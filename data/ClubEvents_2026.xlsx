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777A6C3A-634D-4E77-A65A-8678014DBA08}" xr6:coauthVersionLast="47" xr6:coauthVersionMax="47" xr10:uidLastSave="{00000000-0000-0000-0000-000000000000}"/>
  <bookViews>
    <workbookView xWindow="2647" yWindow="3398" windowWidth="26153" windowHeight="12337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externalReferences>
    <externalReference r:id="rId35"/>
  </externalReference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6" l="1"/>
  <c r="G3" i="6"/>
  <c r="H3" i="6"/>
  <c r="I3" i="6"/>
  <c r="A4" i="6"/>
  <c r="G4" i="6"/>
  <c r="H4" i="6"/>
  <c r="I4" i="6"/>
  <c r="A5" i="6"/>
  <c r="G5" i="6"/>
  <c r="H5" i="6"/>
  <c r="I5" i="6"/>
  <c r="A6" i="6"/>
  <c r="G6" i="6"/>
  <c r="H6" i="6"/>
  <c r="I6" i="6"/>
  <c r="A7" i="6"/>
  <c r="G7" i="6"/>
  <c r="H7" i="6"/>
  <c r="I7" i="6"/>
  <c r="A8" i="6"/>
  <c r="G8" i="6"/>
  <c r="H8" i="6"/>
  <c r="I8" i="6"/>
  <c r="A9" i="6"/>
  <c r="G9" i="6"/>
  <c r="H9" i="6"/>
  <c r="I9" i="6"/>
  <c r="A10" i="6"/>
  <c r="G10" i="6"/>
  <c r="H10" i="6"/>
  <c r="I10" i="6"/>
  <c r="A11" i="6"/>
  <c r="G11" i="6"/>
  <c r="H11" i="6"/>
  <c r="I11" i="6"/>
  <c r="A12" i="6"/>
  <c r="G12" i="6"/>
  <c r="H12" i="6"/>
  <c r="I12" i="6"/>
  <c r="A13" i="6"/>
  <c r="G13" i="6"/>
  <c r="H13" i="6"/>
  <c r="I13" i="6"/>
  <c r="A14" i="6"/>
  <c r="G14" i="6"/>
  <c r="H14" i="6"/>
  <c r="I14" i="6"/>
  <c r="A15" i="6"/>
  <c r="G15" i="6"/>
  <c r="H15" i="6"/>
  <c r="I15" i="6"/>
  <c r="A16" i="6"/>
  <c r="G16" i="6"/>
  <c r="H16" i="6"/>
  <c r="I16" i="6"/>
  <c r="A17" i="6"/>
  <c r="G17" i="6"/>
  <c r="H17" i="6"/>
  <c r="I17" i="6"/>
  <c r="A18" i="6"/>
  <c r="G18" i="6"/>
  <c r="H18" i="6"/>
  <c r="I18" i="6"/>
  <c r="A19" i="6"/>
  <c r="G19" i="6"/>
  <c r="H19" i="6"/>
  <c r="I19" i="6"/>
  <c r="A20" i="6"/>
  <c r="G20" i="6"/>
  <c r="H20" i="6"/>
  <c r="I20" i="6"/>
  <c r="A21" i="6"/>
  <c r="G21" i="6"/>
  <c r="H21" i="6"/>
  <c r="I21" i="6"/>
  <c r="A22" i="6"/>
  <c r="G22" i="6"/>
  <c r="H22" i="6"/>
  <c r="I22" i="6"/>
  <c r="A23" i="6"/>
  <c r="G23" i="6"/>
  <c r="H23" i="6"/>
  <c r="I23" i="6"/>
  <c r="A24" i="6"/>
  <c r="G24" i="6"/>
  <c r="H24" i="6"/>
  <c r="I24" i="6"/>
  <c r="A25" i="6"/>
  <c r="G25" i="6"/>
  <c r="H25" i="6"/>
  <c r="I25" i="6"/>
  <c r="A26" i="6"/>
  <c r="G26" i="6"/>
  <c r="H26" i="6"/>
  <c r="I26" i="6"/>
  <c r="A27" i="6"/>
  <c r="G27" i="6"/>
  <c r="H27" i="6"/>
  <c r="I27" i="6"/>
  <c r="A28" i="6"/>
  <c r="G28" i="6"/>
  <c r="H28" i="6"/>
  <c r="I28" i="6"/>
  <c r="A29" i="6"/>
  <c r="G29" i="6"/>
  <c r="H29" i="6"/>
  <c r="I29" i="6"/>
  <c r="A30" i="6"/>
  <c r="G30" i="6"/>
  <c r="H30" i="6"/>
  <c r="I30" i="6"/>
  <c r="A31" i="6"/>
  <c r="G31" i="6"/>
  <c r="H31" i="6"/>
  <c r="I31" i="6"/>
  <c r="A32" i="6"/>
  <c r="G32" i="6"/>
  <c r="H32" i="6"/>
  <c r="I32" i="6"/>
  <c r="A33" i="6"/>
  <c r="G33" i="6"/>
  <c r="H33" i="6"/>
  <c r="I33" i="6"/>
  <c r="A34" i="6"/>
  <c r="G34" i="6"/>
  <c r="H34" i="6"/>
  <c r="I34" i="6"/>
  <c r="A35" i="6"/>
  <c r="G35" i="6"/>
  <c r="H35" i="6"/>
  <c r="I35" i="6"/>
  <c r="A36" i="6"/>
  <c r="G36" i="6"/>
  <c r="H36" i="6"/>
  <c r="I36" i="6"/>
  <c r="A37" i="6"/>
  <c r="G37" i="6"/>
  <c r="H37" i="6"/>
  <c r="I37" i="6"/>
  <c r="A38" i="6"/>
  <c r="G38" i="6"/>
  <c r="H38" i="6"/>
  <c r="I38" i="6"/>
  <c r="A39" i="6"/>
  <c r="G39" i="6"/>
  <c r="H39" i="6"/>
  <c r="I39" i="6"/>
  <c r="A40" i="6"/>
  <c r="G40" i="6"/>
  <c r="H40" i="6"/>
  <c r="I40" i="6"/>
  <c r="A41" i="6"/>
  <c r="G41" i="6"/>
  <c r="H41" i="6"/>
  <c r="I41" i="6"/>
  <c r="A42" i="6"/>
  <c r="G42" i="6"/>
  <c r="H42" i="6"/>
  <c r="I42" i="6"/>
  <c r="A43" i="6"/>
  <c r="G43" i="6"/>
  <c r="H43" i="6"/>
  <c r="I43" i="6"/>
  <c r="A44" i="6"/>
  <c r="G44" i="6"/>
  <c r="H44" i="6"/>
  <c r="I44" i="6"/>
  <c r="A45" i="6"/>
  <c r="G45" i="6"/>
  <c r="H45" i="6"/>
  <c r="I45" i="6"/>
  <c r="A46" i="6"/>
  <c r="G46" i="6"/>
  <c r="H46" i="6"/>
  <c r="I46" i="6"/>
  <c r="A47" i="6"/>
  <c r="G47" i="6"/>
  <c r="H47" i="6"/>
  <c r="I47" i="6"/>
  <c r="A48" i="6"/>
  <c r="G48" i="6"/>
  <c r="H48" i="6"/>
  <c r="I48" i="6"/>
  <c r="A49" i="6"/>
  <c r="G49" i="6"/>
  <c r="H49" i="6"/>
  <c r="I49" i="6"/>
  <c r="A50" i="6"/>
  <c r="G50" i="6"/>
  <c r="H50" i="6"/>
  <c r="I50" i="6"/>
  <c r="A51" i="6"/>
  <c r="G51" i="6"/>
  <c r="H51" i="6"/>
  <c r="I51" i="6"/>
  <c r="A52" i="6"/>
  <c r="G52" i="6"/>
  <c r="H52" i="6"/>
  <c r="I52" i="6"/>
  <c r="A53" i="6"/>
  <c r="G53" i="6"/>
  <c r="H53" i="6"/>
  <c r="I53" i="6"/>
  <c r="A54" i="6"/>
  <c r="G54" i="6"/>
  <c r="H54" i="6"/>
  <c r="I54" i="6"/>
  <c r="A55" i="6"/>
  <c r="G55" i="6"/>
  <c r="H55" i="6"/>
  <c r="I55" i="6"/>
  <c r="A56" i="6"/>
  <c r="G56" i="6"/>
  <c r="H56" i="6"/>
  <c r="I56" i="6"/>
  <c r="A57" i="6"/>
  <c r="G57" i="6"/>
  <c r="H57" i="6"/>
  <c r="I57" i="6"/>
  <c r="A58" i="6"/>
  <c r="G58" i="6"/>
  <c r="H58" i="6"/>
  <c r="I58" i="6"/>
  <c r="A59" i="6"/>
  <c r="G59" i="6"/>
  <c r="H59" i="6"/>
  <c r="I59" i="6"/>
  <c r="A60" i="6"/>
  <c r="G60" i="6"/>
  <c r="H60" i="6"/>
  <c r="I60" i="6"/>
  <c r="A61" i="6"/>
  <c r="G61" i="6"/>
  <c r="H61" i="6"/>
  <c r="I61" i="6"/>
  <c r="A62" i="6"/>
  <c r="G62" i="6"/>
  <c r="H62" i="6"/>
  <c r="I62" i="6"/>
  <c r="A63" i="6"/>
  <c r="G63" i="6"/>
  <c r="H63" i="6"/>
  <c r="I63" i="6"/>
  <c r="A64" i="6"/>
  <c r="G64" i="6"/>
  <c r="H64" i="6"/>
  <c r="I64" i="6"/>
  <c r="A65" i="6"/>
  <c r="G65" i="6"/>
  <c r="H65" i="6"/>
  <c r="I65" i="6"/>
  <c r="A66" i="6"/>
  <c r="G66" i="6"/>
  <c r="H66" i="6"/>
  <c r="I66" i="6"/>
  <c r="A67" i="6"/>
  <c r="G67" i="6"/>
  <c r="H67" i="6"/>
  <c r="I67" i="6"/>
  <c r="A68" i="6"/>
  <c r="G68" i="6"/>
  <c r="H68" i="6"/>
  <c r="I68" i="6"/>
  <c r="A69" i="6"/>
  <c r="G69" i="6"/>
  <c r="H69" i="6"/>
  <c r="I69" i="6"/>
  <c r="A70" i="6"/>
  <c r="G70" i="6"/>
  <c r="H70" i="6"/>
  <c r="I70" i="6"/>
  <c r="A71" i="6"/>
  <c r="G71" i="6"/>
  <c r="H71" i="6"/>
  <c r="I71" i="6"/>
  <c r="A72" i="6"/>
  <c r="G72" i="6"/>
  <c r="H72" i="6"/>
  <c r="I72" i="6"/>
  <c r="A73" i="6"/>
  <c r="G73" i="6"/>
  <c r="H73" i="6"/>
  <c r="I73" i="6"/>
  <c r="A74" i="6"/>
  <c r="G74" i="6"/>
  <c r="H74" i="6"/>
  <c r="I74" i="6"/>
  <c r="A75" i="6"/>
  <c r="G75" i="6"/>
  <c r="H75" i="6"/>
  <c r="I75" i="6"/>
  <c r="A76" i="6"/>
  <c r="G76" i="6"/>
  <c r="H76" i="6"/>
  <c r="I76" i="6"/>
  <c r="A77" i="6"/>
  <c r="G77" i="6"/>
  <c r="H77" i="6"/>
  <c r="I77" i="6"/>
  <c r="A78" i="6"/>
  <c r="G78" i="6"/>
  <c r="H78" i="6"/>
  <c r="I78" i="6"/>
  <c r="A79" i="6"/>
  <c r="G79" i="6"/>
  <c r="H79" i="6"/>
  <c r="I79" i="6"/>
  <c r="A80" i="6"/>
  <c r="G80" i="6"/>
  <c r="H80" i="6"/>
  <c r="I80" i="6"/>
  <c r="A81" i="6"/>
  <c r="G81" i="6"/>
  <c r="H81" i="6"/>
  <c r="I81" i="6"/>
  <c r="A82" i="6"/>
  <c r="G82" i="6"/>
  <c r="H82" i="6"/>
  <c r="I82" i="6"/>
  <c r="A83" i="6"/>
  <c r="G83" i="6"/>
  <c r="H83" i="6"/>
  <c r="I83" i="6"/>
  <c r="A84" i="6"/>
  <c r="G84" i="6"/>
  <c r="H84" i="6"/>
  <c r="I84" i="6"/>
  <c r="A85" i="6"/>
  <c r="G85" i="6"/>
  <c r="H85" i="6"/>
  <c r="I85" i="6"/>
  <c r="A86" i="6"/>
  <c r="G86" i="6"/>
  <c r="H86" i="6"/>
  <c r="I86" i="6"/>
  <c r="A87" i="6"/>
  <c r="G87" i="6"/>
  <c r="H87" i="6"/>
  <c r="I87" i="6"/>
  <c r="A88" i="6"/>
  <c r="G88" i="6"/>
  <c r="H88" i="6"/>
  <c r="I88" i="6"/>
  <c r="A89" i="6"/>
  <c r="G89" i="6"/>
  <c r="H89" i="6"/>
  <c r="I89" i="6"/>
  <c r="A90" i="6"/>
  <c r="G90" i="6"/>
  <c r="H90" i="6"/>
  <c r="I90" i="6"/>
  <c r="A91" i="6"/>
  <c r="G91" i="6"/>
  <c r="H91" i="6"/>
  <c r="I91" i="6"/>
  <c r="A92" i="6"/>
  <c r="G92" i="6"/>
  <c r="H92" i="6"/>
  <c r="I92" i="6"/>
  <c r="A93" i="6"/>
  <c r="G93" i="6"/>
  <c r="H93" i="6"/>
  <c r="I93" i="6"/>
  <c r="A94" i="6"/>
  <c r="G94" i="6"/>
  <c r="H94" i="6"/>
  <c r="I94" i="6"/>
  <c r="A95" i="6"/>
  <c r="G95" i="6"/>
  <c r="H95" i="6"/>
  <c r="I95" i="6"/>
  <c r="A96" i="6"/>
  <c r="G96" i="6"/>
  <c r="H96" i="6"/>
  <c r="I96" i="6"/>
  <c r="A97" i="6"/>
  <c r="G97" i="6"/>
  <c r="H97" i="6"/>
  <c r="I97" i="6"/>
  <c r="A98" i="6"/>
  <c r="G98" i="6"/>
  <c r="H98" i="6"/>
  <c r="I98" i="6"/>
  <c r="A99" i="6"/>
  <c r="G99" i="6"/>
  <c r="H99" i="6"/>
  <c r="I99" i="6"/>
  <c r="A100" i="6"/>
  <c r="G100" i="6"/>
  <c r="H100" i="6"/>
  <c r="I100" i="6"/>
  <c r="A101" i="6"/>
  <c r="G101" i="6"/>
  <c r="H101" i="6"/>
  <c r="I101" i="6"/>
  <c r="A3" i="7"/>
  <c r="G3" i="7"/>
  <c r="H3" i="7"/>
  <c r="I3" i="7"/>
  <c r="A4" i="7"/>
  <c r="G4" i="7"/>
  <c r="H4" i="7"/>
  <c r="I4" i="7"/>
  <c r="A5" i="7"/>
  <c r="G5" i="7"/>
  <c r="H5" i="7"/>
  <c r="I5" i="7"/>
  <c r="A6" i="7"/>
  <c r="G6" i="7"/>
  <c r="H6" i="7"/>
  <c r="I6" i="7"/>
  <c r="A7" i="7"/>
  <c r="G7" i="7"/>
  <c r="H7" i="7"/>
  <c r="I7" i="7"/>
  <c r="A8" i="7"/>
  <c r="G8" i="7"/>
  <c r="H8" i="7"/>
  <c r="I8" i="7"/>
  <c r="A9" i="7"/>
  <c r="G9" i="7"/>
  <c r="H9" i="7"/>
  <c r="I9" i="7"/>
  <c r="A10" i="7"/>
  <c r="G10" i="7"/>
  <c r="H10" i="7"/>
  <c r="I10" i="7"/>
  <c r="A11" i="7"/>
  <c r="G11" i="7"/>
  <c r="H11" i="7"/>
  <c r="I11" i="7"/>
  <c r="A12" i="7"/>
  <c r="G12" i="7"/>
  <c r="H12" i="7"/>
  <c r="I12" i="7"/>
  <c r="A13" i="7"/>
  <c r="G13" i="7"/>
  <c r="H13" i="7"/>
  <c r="I13" i="7"/>
  <c r="A14" i="7"/>
  <c r="G14" i="7"/>
  <c r="H14" i="7"/>
  <c r="I14" i="7"/>
  <c r="A15" i="7"/>
  <c r="G15" i="7"/>
  <c r="H15" i="7"/>
  <c r="I15" i="7"/>
  <c r="A16" i="7"/>
  <c r="G16" i="7" s="1"/>
  <c r="H16" i="7"/>
  <c r="I16" i="7"/>
  <c r="A17" i="7"/>
  <c r="G17" i="7" s="1"/>
  <c r="H17" i="7"/>
  <c r="I17" i="7"/>
  <c r="A18" i="7"/>
  <c r="G18" i="7"/>
  <c r="H18" i="7"/>
  <c r="I18" i="7"/>
  <c r="A19" i="7"/>
  <c r="G19" i="7" s="1"/>
  <c r="H19" i="7"/>
  <c r="I19" i="7"/>
  <c r="A20" i="7"/>
  <c r="G20" i="7"/>
  <c r="H20" i="7"/>
  <c r="I20" i="7"/>
  <c r="A21" i="7"/>
  <c r="G21" i="7"/>
  <c r="H21" i="7"/>
  <c r="I21" i="7"/>
  <c r="A22" i="7"/>
  <c r="G22" i="7"/>
  <c r="H22" i="7"/>
  <c r="I22" i="7"/>
  <c r="A23" i="7"/>
  <c r="G23" i="7" s="1"/>
  <c r="H23" i="7"/>
  <c r="I23" i="7"/>
  <c r="A24" i="7"/>
  <c r="G24" i="7"/>
  <c r="H24" i="7"/>
  <c r="I24" i="7"/>
  <c r="A25" i="7"/>
  <c r="G25" i="7"/>
  <c r="H25" i="7"/>
  <c r="I25" i="7"/>
  <c r="A26" i="7"/>
  <c r="G26" i="7"/>
  <c r="H26" i="7"/>
  <c r="I26" i="7"/>
  <c r="A27" i="7"/>
  <c r="G27" i="7"/>
  <c r="H27" i="7"/>
  <c r="I27" i="7"/>
  <c r="A28" i="7"/>
  <c r="G28" i="7" s="1"/>
  <c r="H28" i="7"/>
  <c r="I28" i="7"/>
  <c r="A29" i="7"/>
  <c r="G29" i="7"/>
  <c r="H29" i="7"/>
  <c r="I29" i="7"/>
  <c r="A30" i="7"/>
  <c r="G30" i="7"/>
  <c r="H30" i="7"/>
  <c r="I30" i="7"/>
  <c r="A31" i="7"/>
  <c r="G31" i="7"/>
  <c r="H31" i="7"/>
  <c r="I31" i="7"/>
  <c r="A32" i="7"/>
  <c r="G32" i="7" s="1"/>
  <c r="H32" i="7"/>
  <c r="I32" i="7"/>
  <c r="A33" i="7"/>
  <c r="G33" i="7" s="1"/>
  <c r="H33" i="7"/>
  <c r="I33" i="7"/>
  <c r="A34" i="7"/>
  <c r="G34" i="7"/>
  <c r="H34" i="7"/>
  <c r="I34" i="7"/>
  <c r="A35" i="7"/>
  <c r="G35" i="7"/>
  <c r="H35" i="7"/>
  <c r="I35" i="7"/>
  <c r="A36" i="7"/>
  <c r="H36" i="7"/>
  <c r="A37" i="7"/>
  <c r="G37" i="7"/>
  <c r="H37" i="7"/>
  <c r="I37" i="7"/>
  <c r="A38" i="7"/>
  <c r="G38" i="7" s="1"/>
  <c r="H38" i="7"/>
  <c r="I38" i="7"/>
  <c r="A39" i="7"/>
  <c r="G39" i="7"/>
  <c r="H39" i="7"/>
  <c r="I39" i="7"/>
  <c r="A40" i="7"/>
  <c r="G40" i="7"/>
  <c r="H40" i="7"/>
  <c r="I40" i="7"/>
  <c r="A41" i="7"/>
  <c r="G41" i="7" s="1"/>
  <c r="H41" i="7"/>
  <c r="I41" i="7"/>
  <c r="A42" i="7"/>
  <c r="G42" i="7"/>
  <c r="H42" i="7"/>
  <c r="I42" i="7"/>
  <c r="A43" i="7"/>
  <c r="G43" i="7"/>
  <c r="H43" i="7"/>
  <c r="I43" i="7"/>
  <c r="A44" i="7"/>
  <c r="G44" i="7" s="1"/>
  <c r="H44" i="7"/>
  <c r="I44" i="7"/>
  <c r="A45" i="7"/>
  <c r="G45" i="7"/>
  <c r="H45" i="7"/>
  <c r="I45" i="7"/>
  <c r="A46" i="7"/>
  <c r="G46" i="7" s="1"/>
  <c r="H46" i="7"/>
  <c r="I46" i="7"/>
  <c r="A47" i="7"/>
  <c r="G47" i="7"/>
  <c r="H47" i="7"/>
  <c r="I47" i="7"/>
  <c r="A48" i="7"/>
  <c r="G48" i="7"/>
  <c r="H48" i="7"/>
  <c r="I48" i="7"/>
  <c r="A49" i="7"/>
  <c r="G49" i="7" s="1"/>
  <c r="H49" i="7"/>
  <c r="I49" i="7"/>
  <c r="A50" i="7"/>
  <c r="G50" i="7"/>
  <c r="H50" i="7"/>
  <c r="I50" i="7"/>
  <c r="A51" i="7"/>
  <c r="G51" i="7"/>
  <c r="H51" i="7"/>
  <c r="I51" i="7"/>
  <c r="A52" i="7"/>
  <c r="G52" i="7" s="1"/>
  <c r="H52" i="7"/>
  <c r="I52" i="7"/>
  <c r="A53" i="7"/>
  <c r="G53" i="7" s="1"/>
  <c r="H53" i="7"/>
  <c r="I53" i="7"/>
  <c r="A54" i="7"/>
  <c r="G54" i="7"/>
  <c r="H54" i="7"/>
  <c r="I54" i="7"/>
  <c r="A55" i="7"/>
  <c r="H55" i="7"/>
  <c r="A56" i="7"/>
  <c r="G56" i="7"/>
  <c r="H56" i="7"/>
  <c r="I56" i="7"/>
  <c r="A57" i="7"/>
  <c r="G57" i="7"/>
  <c r="H57" i="7"/>
  <c r="I57" i="7"/>
  <c r="A58" i="7"/>
  <c r="G58" i="7"/>
  <c r="H58" i="7"/>
  <c r="I58" i="7"/>
  <c r="A59" i="7"/>
  <c r="G59" i="7"/>
  <c r="H59" i="7"/>
  <c r="I59" i="7"/>
  <c r="A60" i="7"/>
  <c r="G60" i="7" s="1"/>
  <c r="H60" i="7"/>
  <c r="I60" i="7"/>
  <c r="A61" i="7"/>
  <c r="G61" i="7" s="1"/>
  <c r="H61" i="7"/>
  <c r="I61" i="7"/>
  <c r="A62" i="7"/>
  <c r="G62" i="7"/>
  <c r="H62" i="7"/>
  <c r="I62" i="7"/>
  <c r="A63" i="7"/>
  <c r="H63" i="7"/>
  <c r="A64" i="7"/>
  <c r="H64" i="7"/>
  <c r="A65" i="7"/>
  <c r="G65" i="7"/>
  <c r="H65" i="7"/>
  <c r="I65" i="7"/>
  <c r="A66" i="7"/>
  <c r="G66" i="7"/>
  <c r="H66" i="7"/>
  <c r="I66" i="7"/>
  <c r="A67" i="7"/>
  <c r="G67" i="7" s="1"/>
  <c r="H67" i="7"/>
  <c r="I67" i="7"/>
  <c r="A68" i="7"/>
  <c r="H68" i="7"/>
  <c r="A69" i="7"/>
  <c r="G69" i="7"/>
  <c r="H69" i="7"/>
  <c r="I69" i="7"/>
  <c r="A70" i="7"/>
  <c r="H70" i="7"/>
  <c r="A71" i="7"/>
  <c r="G71" i="7" s="1"/>
  <c r="H71" i="7"/>
  <c r="I71" i="7"/>
  <c r="A72" i="7"/>
  <c r="G72" i="7"/>
  <c r="H72" i="7"/>
  <c r="I72" i="7"/>
  <c r="A73" i="7"/>
  <c r="H73" i="7"/>
  <c r="A74" i="7"/>
  <c r="G74" i="7"/>
  <c r="H74" i="7"/>
  <c r="I74" i="7"/>
  <c r="A75" i="7"/>
  <c r="G75" i="7" s="1"/>
  <c r="H75" i="7"/>
  <c r="I75" i="7"/>
  <c r="A76" i="7"/>
  <c r="H76" i="7"/>
  <c r="A77" i="7"/>
  <c r="G77" i="7" s="1"/>
  <c r="H77" i="7"/>
  <c r="I77" i="7"/>
  <c r="A78" i="7"/>
  <c r="G78" i="7" s="1"/>
  <c r="H78" i="7"/>
  <c r="I78" i="7"/>
  <c r="A79" i="7"/>
  <c r="G79" i="7"/>
  <c r="H79" i="7"/>
  <c r="I79" i="7"/>
  <c r="A80" i="7"/>
  <c r="H80" i="7"/>
  <c r="A81" i="7"/>
  <c r="G81" i="7"/>
  <c r="H81" i="7"/>
  <c r="I81" i="7"/>
  <c r="A82" i="7"/>
  <c r="G82" i="7" s="1"/>
  <c r="H82" i="7"/>
  <c r="I82" i="7"/>
  <c r="A83" i="7"/>
  <c r="G83" i="7" s="1"/>
  <c r="H83" i="7"/>
  <c r="I83" i="7"/>
  <c r="A84" i="7"/>
  <c r="G84" i="7" s="1"/>
  <c r="H84" i="7"/>
  <c r="I84" i="7"/>
  <c r="A85" i="7"/>
  <c r="G85" i="7" s="1"/>
  <c r="H85" i="7"/>
  <c r="I85" i="7"/>
  <c r="A86" i="7"/>
  <c r="H86" i="7"/>
  <c r="A87" i="7"/>
  <c r="H87" i="7"/>
  <c r="A88" i="7"/>
  <c r="G88" i="7" s="1"/>
  <c r="H88" i="7"/>
  <c r="I88" i="7"/>
  <c r="A89" i="7"/>
  <c r="H89" i="7"/>
  <c r="A90" i="7"/>
  <c r="H90" i="7"/>
  <c r="A91" i="7"/>
  <c r="H91" i="7"/>
  <c r="A92" i="7"/>
  <c r="H92" i="7"/>
  <c r="A93" i="7"/>
  <c r="G93" i="7"/>
  <c r="H93" i="7"/>
  <c r="I93" i="7"/>
  <c r="A94" i="7"/>
  <c r="H94" i="7"/>
  <c r="A95" i="7"/>
  <c r="G95" i="7"/>
  <c r="H95" i="7"/>
  <c r="I95" i="7"/>
  <c r="A96" i="7"/>
  <c r="H96" i="7"/>
  <c r="A97" i="7"/>
  <c r="H97" i="7"/>
  <c r="A98" i="7"/>
  <c r="H98" i="7"/>
  <c r="A99" i="7"/>
  <c r="G99" i="7"/>
  <c r="H99" i="7"/>
  <c r="I99" i="7"/>
  <c r="A100" i="7"/>
  <c r="H100" i="7"/>
  <c r="A101" i="7"/>
  <c r="G101" i="7" s="1"/>
  <c r="H101" i="7"/>
  <c r="I101" i="7"/>
  <c r="A3" i="8"/>
  <c r="H3" i="8"/>
  <c r="A4" i="8"/>
  <c r="H4" i="8"/>
  <c r="A5" i="8"/>
  <c r="G5" i="8" s="1"/>
  <c r="H5" i="8"/>
  <c r="I5" i="8"/>
  <c r="A6" i="8"/>
  <c r="H6" i="8"/>
  <c r="A7" i="8"/>
  <c r="H7" i="8"/>
  <c r="A8" i="8"/>
  <c r="H8" i="8"/>
  <c r="A9" i="8"/>
  <c r="H9" i="8"/>
  <c r="A10" i="8"/>
  <c r="H10" i="8"/>
  <c r="A11" i="8"/>
  <c r="G11" i="8"/>
  <c r="H11" i="8"/>
  <c r="I11" i="8"/>
  <c r="A12" i="8"/>
  <c r="H12" i="8"/>
  <c r="A13" i="8"/>
  <c r="H13" i="8"/>
  <c r="A14" i="8"/>
  <c r="H14" i="8"/>
  <c r="A15" i="8"/>
  <c r="H15" i="8"/>
  <c r="A16" i="8"/>
  <c r="H16" i="8"/>
  <c r="A17" i="8"/>
  <c r="H17" i="8"/>
  <c r="A18" i="8"/>
  <c r="H18" i="8"/>
  <c r="A19" i="8"/>
  <c r="G19" i="8" s="1"/>
  <c r="H19" i="8"/>
  <c r="I19" i="8"/>
  <c r="A20" i="8"/>
  <c r="H20" i="8"/>
  <c r="A21" i="8"/>
  <c r="H21" i="8"/>
  <c r="A22" i="8"/>
  <c r="H22" i="8"/>
  <c r="A23" i="8"/>
  <c r="H23" i="8"/>
  <c r="A24" i="8"/>
  <c r="G24" i="8" s="1"/>
  <c r="H24" i="8"/>
  <c r="I24" i="8"/>
  <c r="A25" i="8"/>
  <c r="G25" i="8"/>
  <c r="H25" i="8"/>
  <c r="I25" i="8"/>
  <c r="A26" i="8"/>
  <c r="H26" i="8"/>
  <c r="A27" i="8"/>
  <c r="G27" i="8" s="1"/>
  <c r="H27" i="8"/>
  <c r="I27" i="8"/>
  <c r="A28" i="8"/>
  <c r="H28" i="8"/>
  <c r="A29" i="8"/>
  <c r="H29" i="8"/>
  <c r="A30" i="8"/>
  <c r="G30" i="8" s="1"/>
  <c r="H30" i="8"/>
  <c r="I30" i="8"/>
  <c r="A31" i="8"/>
  <c r="H31" i="8"/>
  <c r="A32" i="8"/>
  <c r="G32" i="8" s="1"/>
  <c r="H32" i="8"/>
  <c r="I32" i="8"/>
  <c r="A33" i="8"/>
  <c r="G33" i="8"/>
  <c r="H33" i="8"/>
  <c r="I33" i="8"/>
  <c r="A34" i="8"/>
  <c r="H34" i="8"/>
  <c r="A35" i="8"/>
  <c r="H35" i="8"/>
  <c r="A36" i="8"/>
  <c r="H36" i="8"/>
  <c r="A37" i="8"/>
  <c r="H37" i="8"/>
  <c r="A38" i="8"/>
  <c r="H38" i="8"/>
  <c r="A39" i="8"/>
  <c r="H39" i="8"/>
  <c r="A40" i="8"/>
  <c r="H40" i="8"/>
  <c r="A41" i="8"/>
  <c r="H41" i="8"/>
  <c r="A42" i="8"/>
  <c r="G42" i="8" s="1"/>
  <c r="H42" i="8"/>
  <c r="I42" i="8"/>
  <c r="A43" i="8"/>
  <c r="G43" i="8"/>
  <c r="H43" i="8"/>
  <c r="I43" i="8"/>
  <c r="A44" i="8"/>
  <c r="G44" i="8" s="1"/>
  <c r="H44" i="8"/>
  <c r="I44" i="8"/>
  <c r="A45" i="8"/>
  <c r="G45" i="8" s="1"/>
  <c r="H45" i="8"/>
  <c r="I45" i="8"/>
  <c r="A46" i="8"/>
  <c r="G46" i="8" s="1"/>
  <c r="H46" i="8"/>
  <c r="I46" i="8"/>
  <c r="A47" i="8"/>
  <c r="G47" i="8" s="1"/>
  <c r="H47" i="8"/>
  <c r="I47" i="8"/>
  <c r="A48" i="8"/>
  <c r="H48" i="8"/>
  <c r="A49" i="8"/>
  <c r="H49" i="8"/>
  <c r="A50" i="8"/>
  <c r="G50" i="8" s="1"/>
  <c r="H50" i="8"/>
  <c r="I50" i="8"/>
  <c r="A51" i="8"/>
  <c r="G51" i="8"/>
  <c r="H51" i="8"/>
  <c r="I51" i="8"/>
  <c r="A52" i="8"/>
  <c r="G52" i="8" s="1"/>
  <c r="H52" i="8"/>
  <c r="I52" i="8"/>
  <c r="A53" i="8"/>
  <c r="H53" i="8"/>
  <c r="A54" i="8"/>
  <c r="H54" i="8"/>
  <c r="A55" i="8"/>
  <c r="G55" i="8" s="1"/>
  <c r="H55" i="8"/>
  <c r="I55" i="8"/>
  <c r="A56" i="8"/>
  <c r="G56" i="8"/>
  <c r="H56" i="8"/>
  <c r="I56" i="8"/>
  <c r="A57" i="8"/>
  <c r="G57" i="8" s="1"/>
  <c r="H57" i="8"/>
  <c r="I57" i="8"/>
  <c r="A58" i="8"/>
  <c r="H58" i="8"/>
  <c r="A59" i="8"/>
  <c r="H59" i="8"/>
  <c r="A60" i="8"/>
  <c r="H60" i="8"/>
  <c r="A61" i="8"/>
  <c r="H61" i="8"/>
  <c r="A62" i="8"/>
  <c r="H62" i="8"/>
  <c r="A63" i="8"/>
  <c r="G63" i="8" s="1"/>
  <c r="H63" i="8"/>
  <c r="I63" i="8"/>
  <c r="A64" i="8"/>
  <c r="H64" i="8"/>
  <c r="A65" i="8"/>
  <c r="H65" i="8"/>
  <c r="A66" i="8"/>
  <c r="H66" i="8"/>
  <c r="A67" i="8"/>
  <c r="H67" i="8"/>
  <c r="A68" i="8"/>
  <c r="H68" i="8"/>
  <c r="A69" i="8"/>
  <c r="G69" i="8" s="1"/>
  <c r="H69" i="8"/>
  <c r="I69" i="8"/>
  <c r="A70" i="8"/>
  <c r="H70" i="8"/>
  <c r="A71" i="8"/>
  <c r="H71" i="8"/>
  <c r="A72" i="8"/>
  <c r="H72" i="8"/>
  <c r="A73" i="8"/>
  <c r="H73" i="8"/>
  <c r="A74" i="8"/>
  <c r="H74" i="8"/>
  <c r="A75" i="8"/>
  <c r="G75" i="8" s="1"/>
  <c r="H75" i="8"/>
  <c r="I75" i="8"/>
  <c r="A76" i="8"/>
  <c r="H76" i="8"/>
  <c r="A77" i="8"/>
  <c r="H77" i="8"/>
  <c r="A78" i="8"/>
  <c r="G78" i="8" s="1"/>
  <c r="H78" i="8"/>
  <c r="I78" i="8"/>
  <c r="A79" i="8"/>
  <c r="H79" i="8"/>
  <c r="A80" i="8"/>
  <c r="H80" i="8"/>
  <c r="A81" i="8"/>
  <c r="H81" i="8"/>
  <c r="A82" i="8"/>
  <c r="G82" i="8" s="1"/>
  <c r="H82" i="8"/>
  <c r="I82" i="8"/>
  <c r="A83" i="8"/>
  <c r="H83" i="8"/>
  <c r="A84" i="8"/>
  <c r="H84" i="8"/>
  <c r="A85" i="8"/>
  <c r="G85" i="8" s="1"/>
  <c r="H85" i="8"/>
  <c r="I85" i="8"/>
  <c r="A86" i="8"/>
  <c r="G86" i="8" s="1"/>
  <c r="H86" i="8"/>
  <c r="I86" i="8"/>
  <c r="A87" i="8"/>
  <c r="H87" i="8"/>
  <c r="A88" i="8"/>
  <c r="H88" i="8"/>
  <c r="A89" i="8"/>
  <c r="G89" i="8" s="1"/>
  <c r="H89" i="8"/>
  <c r="I89" i="8"/>
  <c r="A90" i="8"/>
  <c r="G90" i="8" s="1"/>
  <c r="H90" i="8"/>
  <c r="I90" i="8"/>
  <c r="A91" i="8"/>
  <c r="G91" i="8" s="1"/>
  <c r="H91" i="8"/>
  <c r="I91" i="8"/>
  <c r="A92" i="8"/>
  <c r="H92" i="8"/>
  <c r="A93" i="8"/>
  <c r="H93" i="8"/>
  <c r="A94" i="8"/>
  <c r="H94" i="8"/>
  <c r="A95" i="8"/>
  <c r="H95" i="8"/>
  <c r="A96" i="8"/>
  <c r="H96" i="8"/>
  <c r="A97" i="8"/>
  <c r="H97" i="8"/>
  <c r="A98" i="8"/>
  <c r="H98" i="8"/>
  <c r="A99" i="8"/>
  <c r="G99" i="8"/>
  <c r="H99" i="8"/>
  <c r="I99" i="8"/>
  <c r="A100" i="8"/>
  <c r="G100" i="8"/>
  <c r="H100" i="8"/>
  <c r="I100" i="8"/>
  <c r="A101" i="8"/>
  <c r="G101" i="8"/>
  <c r="H101" i="8"/>
  <c r="I101" i="8"/>
  <c r="A3" i="9"/>
  <c r="G3" i="9"/>
  <c r="H3" i="9"/>
  <c r="I3" i="9"/>
  <c r="A4" i="9"/>
  <c r="G4" i="9"/>
  <c r="H4" i="9"/>
  <c r="I4" i="9"/>
  <c r="A5" i="9"/>
  <c r="G5" i="9"/>
  <c r="H5" i="9"/>
  <c r="I5" i="9"/>
  <c r="A6" i="9"/>
  <c r="G6" i="9"/>
  <c r="H6" i="9"/>
  <c r="I6" i="9"/>
  <c r="A7" i="9"/>
  <c r="G7" i="9"/>
  <c r="H7" i="9"/>
  <c r="I7" i="9"/>
  <c r="A8" i="9"/>
  <c r="G8" i="9"/>
  <c r="H8" i="9"/>
  <c r="I8" i="9"/>
  <c r="A9" i="9"/>
  <c r="G9" i="9"/>
  <c r="H9" i="9"/>
  <c r="I9" i="9"/>
  <c r="A10" i="9"/>
  <c r="G10" i="9"/>
  <c r="H10" i="9"/>
  <c r="I10" i="9"/>
  <c r="A11" i="9"/>
  <c r="G11" i="9"/>
  <c r="H11" i="9"/>
  <c r="I11" i="9"/>
  <c r="A12" i="9"/>
  <c r="G12" i="9"/>
  <c r="H12" i="9"/>
  <c r="I12" i="9"/>
  <c r="A13" i="9"/>
  <c r="G13" i="9"/>
  <c r="H13" i="9"/>
  <c r="I13" i="9"/>
  <c r="A14" i="9"/>
  <c r="G14" i="9"/>
  <c r="H14" i="9"/>
  <c r="I14" i="9"/>
  <c r="A15" i="9"/>
  <c r="G15" i="9"/>
  <c r="H15" i="9"/>
  <c r="I15" i="9"/>
  <c r="A16" i="9"/>
  <c r="G16" i="9"/>
  <c r="H16" i="9"/>
  <c r="I16" i="9"/>
  <c r="A17" i="9"/>
  <c r="G17" i="9"/>
  <c r="H17" i="9"/>
  <c r="I17" i="9"/>
  <c r="A18" i="9"/>
  <c r="G18" i="9"/>
  <c r="H18" i="9"/>
  <c r="I18" i="9"/>
  <c r="A19" i="9"/>
  <c r="G19" i="9"/>
  <c r="H19" i="9"/>
  <c r="I19" i="9"/>
  <c r="A20" i="9"/>
  <c r="G20" i="9"/>
  <c r="H20" i="9"/>
  <c r="I20" i="9"/>
  <c r="A21" i="9"/>
  <c r="G21" i="9"/>
  <c r="H21" i="9"/>
  <c r="I21" i="9"/>
  <c r="A22" i="9"/>
  <c r="G22" i="9"/>
  <c r="H22" i="9"/>
  <c r="I22" i="9"/>
  <c r="A23" i="9"/>
  <c r="G23" i="9"/>
  <c r="H23" i="9"/>
  <c r="I23" i="9"/>
  <c r="A24" i="9"/>
  <c r="G24" i="9"/>
  <c r="H24" i="9"/>
  <c r="I24" i="9"/>
  <c r="A25" i="9"/>
  <c r="G25" i="9"/>
  <c r="H25" i="9"/>
  <c r="I25" i="9"/>
  <c r="A26" i="9"/>
  <c r="G26" i="9"/>
  <c r="H26" i="9"/>
  <c r="I26" i="9"/>
  <c r="A27" i="9"/>
  <c r="G27" i="9"/>
  <c r="H27" i="9"/>
  <c r="I27" i="9"/>
  <c r="A28" i="9"/>
  <c r="G28" i="9"/>
  <c r="H28" i="9"/>
  <c r="I28" i="9"/>
  <c r="A29" i="9"/>
  <c r="G29" i="9"/>
  <c r="H29" i="9"/>
  <c r="I29" i="9"/>
  <c r="A30" i="9"/>
  <c r="G30" i="9"/>
  <c r="H30" i="9"/>
  <c r="I30" i="9"/>
  <c r="A31" i="9"/>
  <c r="G31" i="9"/>
  <c r="H31" i="9"/>
  <c r="I31" i="9"/>
  <c r="A32" i="9"/>
  <c r="G32" i="9"/>
  <c r="H32" i="9"/>
  <c r="I32" i="9"/>
  <c r="A33" i="9"/>
  <c r="G33" i="9"/>
  <c r="H33" i="9"/>
  <c r="I33" i="9"/>
  <c r="A34" i="9"/>
  <c r="G34" i="9"/>
  <c r="H34" i="9"/>
  <c r="I34" i="9"/>
  <c r="A35" i="9"/>
  <c r="G35" i="9"/>
  <c r="H35" i="9"/>
  <c r="I35" i="9"/>
  <c r="A36" i="9"/>
  <c r="G36" i="9"/>
  <c r="H36" i="9"/>
  <c r="I36" i="9"/>
  <c r="A37" i="9"/>
  <c r="G37" i="9"/>
  <c r="H37" i="9"/>
  <c r="I37" i="9"/>
  <c r="A38" i="9"/>
  <c r="G38" i="9"/>
  <c r="H38" i="9"/>
  <c r="I38" i="9"/>
  <c r="A39" i="9"/>
  <c r="G39" i="9"/>
  <c r="H39" i="9"/>
  <c r="I39" i="9"/>
  <c r="A40" i="9"/>
  <c r="G40" i="9"/>
  <c r="H40" i="9"/>
  <c r="I40" i="9"/>
  <c r="A41" i="9"/>
  <c r="G41" i="9"/>
  <c r="H41" i="9"/>
  <c r="I41" i="9"/>
  <c r="A42" i="9"/>
  <c r="G42" i="9"/>
  <c r="H42" i="9"/>
  <c r="I42" i="9"/>
  <c r="A43" i="9"/>
  <c r="G43" i="9"/>
  <c r="H43" i="9"/>
  <c r="I43" i="9"/>
  <c r="A44" i="9"/>
  <c r="G44" i="9"/>
  <c r="H44" i="9"/>
  <c r="I44" i="9"/>
  <c r="A45" i="9"/>
  <c r="G45" i="9"/>
  <c r="H45" i="9"/>
  <c r="I45" i="9"/>
  <c r="A46" i="9"/>
  <c r="G46" i="9"/>
  <c r="H46" i="9"/>
  <c r="I46" i="9"/>
  <c r="A47" i="9"/>
  <c r="G47" i="9"/>
  <c r="H47" i="9"/>
  <c r="I47" i="9"/>
  <c r="A48" i="9"/>
  <c r="G48" i="9"/>
  <c r="H48" i="9"/>
  <c r="I48" i="9"/>
  <c r="A49" i="9"/>
  <c r="G49" i="9"/>
  <c r="H49" i="9"/>
  <c r="I49" i="9"/>
  <c r="A50" i="9"/>
  <c r="G50" i="9"/>
  <c r="H50" i="9"/>
  <c r="I50" i="9"/>
  <c r="A51" i="9"/>
  <c r="G51" i="9"/>
  <c r="H51" i="9"/>
  <c r="I51" i="9"/>
  <c r="A52" i="9"/>
  <c r="G52" i="9"/>
  <c r="H52" i="9"/>
  <c r="I52" i="9"/>
  <c r="A53" i="9"/>
  <c r="G53" i="9"/>
  <c r="H53" i="9"/>
  <c r="I53" i="9"/>
  <c r="A54" i="9"/>
  <c r="G54" i="9"/>
  <c r="H54" i="9"/>
  <c r="I54" i="9"/>
  <c r="A55" i="9"/>
  <c r="G55" i="9"/>
  <c r="H55" i="9"/>
  <c r="I55" i="9"/>
  <c r="A56" i="9"/>
  <c r="G56" i="9"/>
  <c r="H56" i="9"/>
  <c r="I56" i="9"/>
  <c r="A57" i="9"/>
  <c r="G57" i="9"/>
  <c r="H57" i="9"/>
  <c r="I57" i="9"/>
  <c r="A58" i="9"/>
  <c r="G58" i="9"/>
  <c r="H58" i="9"/>
  <c r="I58" i="9"/>
  <c r="A59" i="9"/>
  <c r="G59" i="9"/>
  <c r="H59" i="9"/>
  <c r="I59" i="9"/>
  <c r="A60" i="9"/>
  <c r="G60" i="9"/>
  <c r="H60" i="9"/>
  <c r="I60" i="9"/>
  <c r="A61" i="9"/>
  <c r="G61" i="9"/>
  <c r="H61" i="9"/>
  <c r="I61" i="9"/>
  <c r="A62" i="9"/>
  <c r="G62" i="9"/>
  <c r="H62" i="9"/>
  <c r="I62" i="9"/>
  <c r="A63" i="9"/>
  <c r="G63" i="9"/>
  <c r="H63" i="9"/>
  <c r="I63" i="9"/>
  <c r="A64" i="9"/>
  <c r="G64" i="9"/>
  <c r="H64" i="9"/>
  <c r="I64" i="9"/>
  <c r="A65" i="9"/>
  <c r="G65" i="9"/>
  <c r="H65" i="9"/>
  <c r="I65" i="9"/>
  <c r="A66" i="9"/>
  <c r="G66" i="9"/>
  <c r="H66" i="9"/>
  <c r="I66" i="9"/>
  <c r="A67" i="9"/>
  <c r="G67" i="9"/>
  <c r="H67" i="9"/>
  <c r="I67" i="9"/>
  <c r="A68" i="9"/>
  <c r="G68" i="9"/>
  <c r="H68" i="9"/>
  <c r="I68" i="9"/>
  <c r="A69" i="9"/>
  <c r="G69" i="9"/>
  <c r="H69" i="9"/>
  <c r="I69" i="9"/>
  <c r="A70" i="9"/>
  <c r="G70" i="9"/>
  <c r="H70" i="9"/>
  <c r="I70" i="9"/>
  <c r="A71" i="9"/>
  <c r="G71" i="9"/>
  <c r="H71" i="9"/>
  <c r="I71" i="9"/>
  <c r="A72" i="9"/>
  <c r="G72" i="9"/>
  <c r="H72" i="9"/>
  <c r="I72" i="9"/>
  <c r="A73" i="9"/>
  <c r="G73" i="9"/>
  <c r="H73" i="9"/>
  <c r="I73" i="9"/>
  <c r="A74" i="9"/>
  <c r="G74" i="9"/>
  <c r="H74" i="9"/>
  <c r="I74" i="9"/>
  <c r="A75" i="9"/>
  <c r="G75" i="9"/>
  <c r="H75" i="9"/>
  <c r="I75" i="9"/>
  <c r="A76" i="9"/>
  <c r="G76" i="9"/>
  <c r="H76" i="9"/>
  <c r="I76" i="9"/>
  <c r="A77" i="9"/>
  <c r="G77" i="9"/>
  <c r="H77" i="9"/>
  <c r="I77" i="9"/>
  <c r="A78" i="9"/>
  <c r="G78" i="9"/>
  <c r="H78" i="9"/>
  <c r="I78" i="9"/>
  <c r="A79" i="9"/>
  <c r="G79" i="9"/>
  <c r="H79" i="9"/>
  <c r="I79" i="9"/>
  <c r="A80" i="9"/>
  <c r="G80" i="9"/>
  <c r="H80" i="9"/>
  <c r="I80" i="9"/>
  <c r="A81" i="9"/>
  <c r="G81" i="9"/>
  <c r="H81" i="9"/>
  <c r="I81" i="9"/>
  <c r="A82" i="9"/>
  <c r="G82" i="9"/>
  <c r="H82" i="9"/>
  <c r="I82" i="9"/>
  <c r="A83" i="9"/>
  <c r="G83" i="9"/>
  <c r="H83" i="9"/>
  <c r="I83" i="9"/>
  <c r="A84" i="9"/>
  <c r="G84" i="9"/>
  <c r="H84" i="9"/>
  <c r="I84" i="9"/>
  <c r="A85" i="9"/>
  <c r="G85" i="9"/>
  <c r="H85" i="9"/>
  <c r="I85" i="9"/>
  <c r="A86" i="9"/>
  <c r="G86" i="9"/>
  <c r="H86" i="9"/>
  <c r="I86" i="9"/>
  <c r="A87" i="9"/>
  <c r="G87" i="9"/>
  <c r="H87" i="9"/>
  <c r="I87" i="9"/>
  <c r="A88" i="9"/>
  <c r="G88" i="9"/>
  <c r="H88" i="9"/>
  <c r="I88" i="9"/>
  <c r="A89" i="9"/>
  <c r="G89" i="9"/>
  <c r="H89" i="9"/>
  <c r="I89" i="9"/>
  <c r="A90" i="9"/>
  <c r="G90" i="9"/>
  <c r="H90" i="9"/>
  <c r="I90" i="9"/>
  <c r="A91" i="9"/>
  <c r="G91" i="9"/>
  <c r="H91" i="9"/>
  <c r="I91" i="9"/>
  <c r="A92" i="9"/>
  <c r="G92" i="9"/>
  <c r="H92" i="9"/>
  <c r="I92" i="9"/>
  <c r="A93" i="9"/>
  <c r="G93" i="9"/>
  <c r="H93" i="9"/>
  <c r="I93" i="9"/>
  <c r="A94" i="9"/>
  <c r="G94" i="9"/>
  <c r="H94" i="9"/>
  <c r="I94" i="9"/>
  <c r="A95" i="9"/>
  <c r="G95" i="9"/>
  <c r="H95" i="9"/>
  <c r="I95" i="9"/>
  <c r="A96" i="9"/>
  <c r="G96" i="9"/>
  <c r="H96" i="9"/>
  <c r="I96" i="9"/>
  <c r="A97" i="9"/>
  <c r="G97" i="9"/>
  <c r="H97" i="9"/>
  <c r="I97" i="9"/>
  <c r="A98" i="9"/>
  <c r="G98" i="9"/>
  <c r="H98" i="9"/>
  <c r="I98" i="9"/>
  <c r="A99" i="9"/>
  <c r="G99" i="9"/>
  <c r="H99" i="9"/>
  <c r="I99" i="9"/>
  <c r="A100" i="9"/>
  <c r="G100" i="9"/>
  <c r="H100" i="9"/>
  <c r="I100" i="9"/>
  <c r="A101" i="9"/>
  <c r="G101" i="9"/>
  <c r="H101" i="9"/>
  <c r="I101" i="9"/>
  <c r="A3" i="10"/>
  <c r="G3" i="10"/>
  <c r="H3" i="10"/>
  <c r="I3" i="10"/>
  <c r="A4" i="10"/>
  <c r="G4" i="10"/>
  <c r="H4" i="10"/>
  <c r="I4" i="10"/>
  <c r="A5" i="10"/>
  <c r="G5" i="10"/>
  <c r="H5" i="10"/>
  <c r="I5" i="10"/>
  <c r="A6" i="10"/>
  <c r="G6" i="10"/>
  <c r="H6" i="10"/>
  <c r="I6" i="10"/>
  <c r="A7" i="10"/>
  <c r="G7" i="10"/>
  <c r="H7" i="10"/>
  <c r="I7" i="10"/>
  <c r="A8" i="10"/>
  <c r="G8" i="10"/>
  <c r="H8" i="10"/>
  <c r="I8" i="10"/>
  <c r="A9" i="10"/>
  <c r="G9" i="10"/>
  <c r="H9" i="10"/>
  <c r="I9" i="10"/>
  <c r="A10" i="10"/>
  <c r="G10" i="10"/>
  <c r="H10" i="10"/>
  <c r="I10" i="10"/>
  <c r="A11" i="10"/>
  <c r="G11" i="10"/>
  <c r="H11" i="10"/>
  <c r="I11" i="10"/>
  <c r="A12" i="10"/>
  <c r="G12" i="10"/>
  <c r="H12" i="10"/>
  <c r="I12" i="10"/>
  <c r="A13" i="10"/>
  <c r="G13" i="10"/>
  <c r="H13" i="10"/>
  <c r="I13" i="10"/>
  <c r="A14" i="10"/>
  <c r="G14" i="10"/>
  <c r="H14" i="10"/>
  <c r="I14" i="10"/>
  <c r="A15" i="10"/>
  <c r="G15" i="10"/>
  <c r="H15" i="10"/>
  <c r="I15" i="10"/>
  <c r="A16" i="10"/>
  <c r="G16" i="10"/>
  <c r="H16" i="10"/>
  <c r="I16" i="10"/>
  <c r="A17" i="10"/>
  <c r="G17" i="10"/>
  <c r="H17" i="10"/>
  <c r="I17" i="10"/>
  <c r="A18" i="10"/>
  <c r="G18" i="10"/>
  <c r="H18" i="10"/>
  <c r="I18" i="10"/>
  <c r="A19" i="10"/>
  <c r="G19" i="10"/>
  <c r="H19" i="10"/>
  <c r="I19" i="10"/>
  <c r="A20" i="10"/>
  <c r="G20" i="10"/>
  <c r="H20" i="10"/>
  <c r="I20" i="10"/>
  <c r="A21" i="10"/>
  <c r="G21" i="10"/>
  <c r="H21" i="10"/>
  <c r="I21" i="10"/>
  <c r="A22" i="10"/>
  <c r="G22" i="10"/>
  <c r="H22" i="10"/>
  <c r="I22" i="10"/>
  <c r="A23" i="10"/>
  <c r="G23" i="10"/>
  <c r="H23" i="10"/>
  <c r="I23" i="10"/>
  <c r="A24" i="10"/>
  <c r="G24" i="10"/>
  <c r="H24" i="10"/>
  <c r="I24" i="10"/>
  <c r="A25" i="10"/>
  <c r="G25" i="10"/>
  <c r="H25" i="10"/>
  <c r="I25" i="10"/>
  <c r="A26" i="10"/>
  <c r="G26" i="10"/>
  <c r="H26" i="10"/>
  <c r="I26" i="10"/>
  <c r="A27" i="10"/>
  <c r="G27" i="10"/>
  <c r="H27" i="10"/>
  <c r="I27" i="10"/>
  <c r="A28" i="10"/>
  <c r="G28" i="10"/>
  <c r="H28" i="10"/>
  <c r="I28" i="10"/>
  <c r="A29" i="10"/>
  <c r="G29" i="10"/>
  <c r="H29" i="10"/>
  <c r="I29" i="10"/>
  <c r="A30" i="10"/>
  <c r="G30" i="10"/>
  <c r="H30" i="10"/>
  <c r="I30" i="10"/>
  <c r="A31" i="10"/>
  <c r="G31" i="10"/>
  <c r="H31" i="10"/>
  <c r="I31" i="10"/>
  <c r="A32" i="10"/>
  <c r="G32" i="10"/>
  <c r="H32" i="10"/>
  <c r="I32" i="10"/>
  <c r="A33" i="10"/>
  <c r="G33" i="10"/>
  <c r="H33" i="10"/>
  <c r="I33" i="10"/>
  <c r="A34" i="10"/>
  <c r="G34" i="10"/>
  <c r="H34" i="10"/>
  <c r="I34" i="10"/>
  <c r="A35" i="10"/>
  <c r="G35" i="10"/>
  <c r="H35" i="10"/>
  <c r="I35" i="10"/>
  <c r="A36" i="10"/>
  <c r="G36" i="10"/>
  <c r="H36" i="10"/>
  <c r="I36" i="10"/>
  <c r="A37" i="10"/>
  <c r="G37" i="10"/>
  <c r="H37" i="10"/>
  <c r="I37" i="10"/>
  <c r="A38" i="10"/>
  <c r="G38" i="10"/>
  <c r="H38" i="10"/>
  <c r="I38" i="10"/>
  <c r="A39" i="10"/>
  <c r="G39" i="10"/>
  <c r="H39" i="10"/>
  <c r="I39" i="10"/>
  <c r="A40" i="10"/>
  <c r="G40" i="10"/>
  <c r="H40" i="10"/>
  <c r="I40" i="10"/>
  <c r="A41" i="10"/>
  <c r="G41" i="10"/>
  <c r="H41" i="10"/>
  <c r="I41" i="10"/>
  <c r="A42" i="10"/>
  <c r="G42" i="10"/>
  <c r="H42" i="10"/>
  <c r="I42" i="10"/>
  <c r="A43" i="10"/>
  <c r="G43" i="10"/>
  <c r="H43" i="10"/>
  <c r="I43" i="10"/>
  <c r="A44" i="10"/>
  <c r="G44" i="10"/>
  <c r="H44" i="10"/>
  <c r="I44" i="10"/>
  <c r="A45" i="10"/>
  <c r="G45" i="10"/>
  <c r="H45" i="10"/>
  <c r="I45" i="10"/>
  <c r="A46" i="10"/>
  <c r="G46" i="10"/>
  <c r="H46" i="10"/>
  <c r="I46" i="10"/>
  <c r="A47" i="10"/>
  <c r="G47" i="10"/>
  <c r="H47" i="10"/>
  <c r="I47" i="10"/>
  <c r="A48" i="10"/>
  <c r="G48" i="10"/>
  <c r="H48" i="10"/>
  <c r="I48" i="10"/>
  <c r="A49" i="10"/>
  <c r="G49" i="10"/>
  <c r="H49" i="10"/>
  <c r="I49" i="10"/>
  <c r="A50" i="10"/>
  <c r="G50" i="10"/>
  <c r="H50" i="10"/>
  <c r="I50" i="10"/>
  <c r="A51" i="10"/>
  <c r="G51" i="10"/>
  <c r="H51" i="10"/>
  <c r="I51" i="10"/>
  <c r="A52" i="10"/>
  <c r="G52" i="10"/>
  <c r="H52" i="10"/>
  <c r="I52" i="10"/>
  <c r="A53" i="10"/>
  <c r="G53" i="10"/>
  <c r="H53" i="10"/>
  <c r="I53" i="10"/>
  <c r="A54" i="10"/>
  <c r="G54" i="10"/>
  <c r="H54" i="10"/>
  <c r="I54" i="10"/>
  <c r="A55" i="10"/>
  <c r="G55" i="10"/>
  <c r="H55" i="10"/>
  <c r="I55" i="10"/>
  <c r="A56" i="10"/>
  <c r="G56" i="10"/>
  <c r="H56" i="10"/>
  <c r="I56" i="10"/>
  <c r="A57" i="10"/>
  <c r="G57" i="10"/>
  <c r="H57" i="10"/>
  <c r="I57" i="10"/>
  <c r="A58" i="10"/>
  <c r="G58" i="10"/>
  <c r="H58" i="10"/>
  <c r="I58" i="10"/>
  <c r="A59" i="10"/>
  <c r="G59" i="10"/>
  <c r="H59" i="10"/>
  <c r="I59" i="10"/>
  <c r="A60" i="10"/>
  <c r="G60" i="10"/>
  <c r="H60" i="10"/>
  <c r="I60" i="10"/>
  <c r="A61" i="10"/>
  <c r="G61" i="10"/>
  <c r="H61" i="10"/>
  <c r="I61" i="10"/>
  <c r="A62" i="10"/>
  <c r="G62" i="10"/>
  <c r="H62" i="10"/>
  <c r="I62" i="10"/>
  <c r="A63" i="10"/>
  <c r="G63" i="10"/>
  <c r="H63" i="10"/>
  <c r="I63" i="10"/>
  <c r="A64" i="10"/>
  <c r="G64" i="10"/>
  <c r="H64" i="10"/>
  <c r="I64" i="10"/>
  <c r="A65" i="10"/>
  <c r="G65" i="10"/>
  <c r="H65" i="10"/>
  <c r="I65" i="10"/>
  <c r="A66" i="10"/>
  <c r="G66" i="10"/>
  <c r="H66" i="10"/>
  <c r="I66" i="10"/>
  <c r="A67" i="10"/>
  <c r="G67" i="10"/>
  <c r="H67" i="10"/>
  <c r="I67" i="10"/>
  <c r="A68" i="10"/>
  <c r="G68" i="10"/>
  <c r="H68" i="10"/>
  <c r="I68" i="10"/>
  <c r="A69" i="10"/>
  <c r="G69" i="10"/>
  <c r="H69" i="10"/>
  <c r="I69" i="10"/>
  <c r="A70" i="10"/>
  <c r="G70" i="10"/>
  <c r="H70" i="10"/>
  <c r="I70" i="10"/>
  <c r="A71" i="10"/>
  <c r="G71" i="10"/>
  <c r="H71" i="10"/>
  <c r="I71" i="10"/>
  <c r="A72" i="10"/>
  <c r="G72" i="10"/>
  <c r="H72" i="10"/>
  <c r="I72" i="10"/>
  <c r="A73" i="10"/>
  <c r="G73" i="10"/>
  <c r="H73" i="10"/>
  <c r="I73" i="10"/>
  <c r="A74" i="10"/>
  <c r="G74" i="10"/>
  <c r="H74" i="10"/>
  <c r="I74" i="10"/>
  <c r="A75" i="10"/>
  <c r="G75" i="10"/>
  <c r="H75" i="10"/>
  <c r="I75" i="10"/>
  <c r="A76" i="10"/>
  <c r="G76" i="10"/>
  <c r="H76" i="10"/>
  <c r="I76" i="10"/>
  <c r="A77" i="10"/>
  <c r="G77" i="10"/>
  <c r="H77" i="10"/>
  <c r="I77" i="10"/>
  <c r="A78" i="10"/>
  <c r="G78" i="10"/>
  <c r="H78" i="10"/>
  <c r="I78" i="10"/>
  <c r="A79" i="10"/>
  <c r="G79" i="10"/>
  <c r="H79" i="10"/>
  <c r="I79" i="10"/>
  <c r="A80" i="10"/>
  <c r="G80" i="10"/>
  <c r="H80" i="10"/>
  <c r="I80" i="10"/>
  <c r="A81" i="10"/>
  <c r="G81" i="10"/>
  <c r="H81" i="10"/>
  <c r="I81" i="10"/>
  <c r="A82" i="10"/>
  <c r="G82" i="10"/>
  <c r="H82" i="10"/>
  <c r="I82" i="10"/>
  <c r="A83" i="10"/>
  <c r="G83" i="10"/>
  <c r="H83" i="10"/>
  <c r="I83" i="10"/>
  <c r="A84" i="10"/>
  <c r="G84" i="10"/>
  <c r="H84" i="10"/>
  <c r="I84" i="10"/>
  <c r="A85" i="10"/>
  <c r="G85" i="10"/>
  <c r="H85" i="10"/>
  <c r="I85" i="10"/>
  <c r="A86" i="10"/>
  <c r="G86" i="10"/>
  <c r="H86" i="10"/>
  <c r="I86" i="10"/>
  <c r="A87" i="10"/>
  <c r="G87" i="10"/>
  <c r="H87" i="10"/>
  <c r="I87" i="10"/>
  <c r="A88" i="10"/>
  <c r="G88" i="10"/>
  <c r="H88" i="10"/>
  <c r="I88" i="10"/>
  <c r="A89" i="10"/>
  <c r="G89" i="10"/>
  <c r="H89" i="10"/>
  <c r="I89" i="10"/>
  <c r="A90" i="10"/>
  <c r="G90" i="10"/>
  <c r="H90" i="10"/>
  <c r="I90" i="10"/>
  <c r="A91" i="10"/>
  <c r="G91" i="10"/>
  <c r="H91" i="10"/>
  <c r="I91" i="10"/>
  <c r="A92" i="10"/>
  <c r="G92" i="10"/>
  <c r="H92" i="10"/>
  <c r="I92" i="10"/>
  <c r="A93" i="10"/>
  <c r="G93" i="10"/>
  <c r="H93" i="10"/>
  <c r="I93" i="10"/>
  <c r="A94" i="10"/>
  <c r="G94" i="10"/>
  <c r="H94" i="10"/>
  <c r="I94" i="10"/>
  <c r="A95" i="10"/>
  <c r="G95" i="10"/>
  <c r="H95" i="10"/>
  <c r="I95" i="10"/>
  <c r="A96" i="10"/>
  <c r="G96" i="10"/>
  <c r="H96" i="10"/>
  <c r="I96" i="10"/>
  <c r="A97" i="10"/>
  <c r="G97" i="10"/>
  <c r="H97" i="10"/>
  <c r="I97" i="10"/>
  <c r="A98" i="10"/>
  <c r="G98" i="10"/>
  <c r="H98" i="10"/>
  <c r="I98" i="10"/>
  <c r="A99" i="10"/>
  <c r="G99" i="10"/>
  <c r="H99" i="10"/>
  <c r="I99" i="10"/>
  <c r="A100" i="10"/>
  <c r="G100" i="10" s="1"/>
  <c r="H100" i="10"/>
  <c r="I100" i="10"/>
  <c r="A101" i="10"/>
  <c r="G101" i="10" s="1"/>
  <c r="H101" i="10"/>
  <c r="I101" i="10"/>
  <c r="A3" i="11"/>
  <c r="G3" i="11"/>
  <c r="H3" i="11"/>
  <c r="I3" i="11"/>
  <c r="A4" i="11"/>
  <c r="H4" i="11"/>
  <c r="A5" i="11"/>
  <c r="H5" i="11"/>
  <c r="A6" i="11"/>
  <c r="G6" i="11" s="1"/>
  <c r="H6" i="11"/>
  <c r="I6" i="11"/>
  <c r="A7" i="11"/>
  <c r="H7" i="11"/>
  <c r="A8" i="11"/>
  <c r="H8" i="11"/>
  <c r="A9" i="11"/>
  <c r="H9" i="11"/>
  <c r="A10" i="11"/>
  <c r="H10" i="11"/>
  <c r="A11" i="11"/>
  <c r="H11" i="11"/>
  <c r="A12" i="11"/>
  <c r="G12" i="11" s="1"/>
  <c r="H12" i="11"/>
  <c r="I12" i="11"/>
  <c r="A13" i="11"/>
  <c r="H13" i="11"/>
  <c r="A14" i="11"/>
  <c r="G14" i="11"/>
  <c r="H14" i="11"/>
  <c r="I14" i="11"/>
  <c r="A15" i="11"/>
  <c r="H15" i="11"/>
  <c r="A16" i="11"/>
  <c r="H16" i="11"/>
  <c r="A17" i="11"/>
  <c r="G17" i="11"/>
  <c r="H17" i="11"/>
  <c r="I17" i="11"/>
  <c r="A18" i="11"/>
  <c r="H18" i="11"/>
  <c r="A19" i="11"/>
  <c r="G19" i="11" s="1"/>
  <c r="H19" i="11"/>
  <c r="I19" i="11"/>
  <c r="A20" i="11"/>
  <c r="H20" i="11"/>
  <c r="A21" i="11"/>
  <c r="G21" i="11"/>
  <c r="H21" i="11"/>
  <c r="I21" i="11"/>
  <c r="A22" i="11"/>
  <c r="G22" i="11"/>
  <c r="H22" i="11"/>
  <c r="I22" i="11"/>
  <c r="A23" i="11"/>
  <c r="H23" i="11"/>
  <c r="A24" i="11"/>
  <c r="H24" i="11"/>
  <c r="A25" i="11"/>
  <c r="H25" i="11"/>
  <c r="A26" i="11"/>
  <c r="G26" i="11" s="1"/>
  <c r="H26" i="11"/>
  <c r="I26" i="11"/>
  <c r="A27" i="11"/>
  <c r="H27" i="11"/>
  <c r="A28" i="11"/>
  <c r="H28" i="11"/>
  <c r="A29" i="11"/>
  <c r="H29" i="11"/>
  <c r="A30" i="11"/>
  <c r="G30" i="11"/>
  <c r="H30" i="11"/>
  <c r="I30" i="11"/>
  <c r="A31" i="11"/>
  <c r="G31" i="11"/>
  <c r="H31" i="11"/>
  <c r="I31" i="11"/>
  <c r="A32" i="11"/>
  <c r="H32" i="11"/>
  <c r="A33" i="11"/>
  <c r="H33" i="11"/>
  <c r="A34" i="11"/>
  <c r="G34" i="11" s="1"/>
  <c r="H34" i="11"/>
  <c r="I34" i="11"/>
  <c r="A35" i="11"/>
  <c r="G35" i="11"/>
  <c r="H35" i="11"/>
  <c r="I35" i="11"/>
  <c r="A36" i="11"/>
  <c r="H36" i="11"/>
  <c r="A37" i="11"/>
  <c r="G37" i="11" s="1"/>
  <c r="H37" i="11"/>
  <c r="I37" i="11"/>
  <c r="A38" i="11"/>
  <c r="H38" i="11"/>
  <c r="A39" i="11"/>
  <c r="G39" i="11" s="1"/>
  <c r="H39" i="11"/>
  <c r="I39" i="11"/>
  <c r="A40" i="11"/>
  <c r="H40" i="11"/>
  <c r="A41" i="11"/>
  <c r="G41" i="11" s="1"/>
  <c r="H41" i="11"/>
  <c r="I41" i="11"/>
  <c r="A42" i="11"/>
  <c r="G42" i="11" s="1"/>
  <c r="H42" i="11"/>
  <c r="I42" i="11"/>
  <c r="A43" i="11"/>
  <c r="G43" i="11"/>
  <c r="H43" i="11"/>
  <c r="I43" i="11"/>
  <c r="A44" i="11"/>
  <c r="H44" i="11"/>
  <c r="A45" i="11"/>
  <c r="H45" i="11"/>
  <c r="A46" i="11"/>
  <c r="G46" i="11" s="1"/>
  <c r="H46" i="11"/>
  <c r="I46" i="11"/>
  <c r="A47" i="11"/>
  <c r="G47" i="11" s="1"/>
  <c r="H47" i="11"/>
  <c r="I47" i="11"/>
  <c r="A48" i="11"/>
  <c r="H48" i="11"/>
  <c r="A49" i="11"/>
  <c r="H49" i="11"/>
  <c r="A50" i="11"/>
  <c r="H50" i="11"/>
  <c r="A51" i="11"/>
  <c r="G51" i="11" s="1"/>
  <c r="H51" i="11"/>
  <c r="I51" i="11"/>
  <c r="A52" i="11"/>
  <c r="G52" i="11" s="1"/>
  <c r="H52" i="11"/>
  <c r="I52" i="11"/>
  <c r="A53" i="11"/>
  <c r="G53" i="11"/>
  <c r="H53" i="11"/>
  <c r="I53" i="11"/>
  <c r="A54" i="11"/>
  <c r="H54" i="11"/>
  <c r="A55" i="11"/>
  <c r="H55" i="11"/>
  <c r="A56" i="11"/>
  <c r="G56" i="11" s="1"/>
  <c r="H56" i="11"/>
  <c r="I56" i="11"/>
  <c r="A57" i="11"/>
  <c r="G57" i="11" s="1"/>
  <c r="H57" i="11"/>
  <c r="I57" i="11"/>
  <c r="A58" i="11"/>
  <c r="G58" i="11" s="1"/>
  <c r="H58" i="11"/>
  <c r="I58" i="11"/>
  <c r="A59" i="11"/>
  <c r="H59" i="11"/>
  <c r="A60" i="11"/>
  <c r="G60" i="11" s="1"/>
  <c r="H60" i="11"/>
  <c r="I60" i="11"/>
  <c r="A61" i="11"/>
  <c r="G61" i="11"/>
  <c r="H61" i="11"/>
  <c r="I61" i="11"/>
  <c r="A62" i="11"/>
  <c r="G62" i="11" s="1"/>
  <c r="H62" i="11"/>
  <c r="I62" i="11"/>
  <c r="A63" i="11"/>
  <c r="H63" i="11"/>
  <c r="A64" i="11"/>
  <c r="G64" i="11"/>
  <c r="H64" i="11"/>
  <c r="I64" i="11"/>
  <c r="A65" i="11"/>
  <c r="H65" i="11"/>
  <c r="A66" i="11"/>
  <c r="H66" i="11"/>
  <c r="A67" i="11"/>
  <c r="H67" i="11"/>
  <c r="A68" i="11"/>
  <c r="G68" i="11"/>
  <c r="H68" i="11"/>
  <c r="I68" i="11"/>
  <c r="A69" i="11"/>
  <c r="G69" i="11" s="1"/>
  <c r="H69" i="11"/>
  <c r="I69" i="11"/>
  <c r="A70" i="11"/>
  <c r="G70" i="11" s="1"/>
  <c r="H70" i="11"/>
  <c r="I70" i="11"/>
  <c r="A71" i="11"/>
  <c r="H71" i="11"/>
  <c r="A72" i="11"/>
  <c r="G72" i="11" s="1"/>
  <c r="H72" i="11"/>
  <c r="I72" i="11"/>
  <c r="A73" i="11"/>
  <c r="H73" i="11"/>
  <c r="A74" i="11"/>
  <c r="H74" i="11"/>
  <c r="A75" i="11"/>
  <c r="G75" i="11" s="1"/>
  <c r="H75" i="11"/>
  <c r="I75" i="11"/>
  <c r="A76" i="11"/>
  <c r="G76" i="11"/>
  <c r="H76" i="11"/>
  <c r="I76" i="11"/>
  <c r="A77" i="11"/>
  <c r="H77" i="11"/>
  <c r="A78" i="11"/>
  <c r="H78" i="11"/>
  <c r="A79" i="11"/>
  <c r="G79" i="11"/>
  <c r="H79" i="11"/>
  <c r="I79" i="11"/>
  <c r="A80" i="11"/>
  <c r="H80" i="11"/>
  <c r="A81" i="11"/>
  <c r="G81" i="11" s="1"/>
  <c r="H81" i="11"/>
  <c r="I81" i="11"/>
  <c r="A82" i="11"/>
  <c r="G82" i="11" s="1"/>
  <c r="H82" i="11"/>
  <c r="I82" i="11"/>
  <c r="A83" i="11"/>
  <c r="G83" i="11"/>
  <c r="H83" i="11"/>
  <c r="I83" i="11"/>
  <c r="A84" i="11"/>
  <c r="G84" i="11"/>
  <c r="H84" i="11"/>
  <c r="I84" i="11"/>
  <c r="A85" i="11"/>
  <c r="G85" i="11" s="1"/>
  <c r="H85" i="11"/>
  <c r="I85" i="11"/>
  <c r="A86" i="11"/>
  <c r="G86" i="11"/>
  <c r="H86" i="11"/>
  <c r="I86" i="11"/>
  <c r="A87" i="11"/>
  <c r="H87" i="11"/>
  <c r="A88" i="11"/>
  <c r="G88" i="11" s="1"/>
  <c r="H88" i="11"/>
  <c r="I88" i="11"/>
  <c r="A89" i="11"/>
  <c r="G89" i="11" s="1"/>
  <c r="H89" i="11"/>
  <c r="I89" i="11"/>
  <c r="A90" i="11"/>
  <c r="G90" i="11"/>
  <c r="H90" i="11"/>
  <c r="I90" i="11"/>
  <c r="A91" i="11"/>
  <c r="H91" i="11"/>
  <c r="A92" i="11"/>
  <c r="G92" i="11" s="1"/>
  <c r="H92" i="11"/>
  <c r="I92" i="11"/>
  <c r="A93" i="11"/>
  <c r="H93" i="11"/>
  <c r="A94" i="11"/>
  <c r="G94" i="11" s="1"/>
  <c r="H94" i="11"/>
  <c r="I94" i="11"/>
  <c r="A95" i="11"/>
  <c r="G95" i="11" s="1"/>
  <c r="H95" i="11"/>
  <c r="I95" i="11"/>
  <c r="A96" i="11"/>
  <c r="H96" i="11"/>
  <c r="A97" i="11"/>
  <c r="G97" i="11"/>
  <c r="H97" i="11"/>
  <c r="I97" i="11"/>
  <c r="A98" i="11"/>
  <c r="G98" i="11"/>
  <c r="H98" i="11"/>
  <c r="I98" i="11"/>
  <c r="A99" i="11"/>
  <c r="G99" i="11"/>
  <c r="H99" i="11"/>
  <c r="I99" i="11"/>
  <c r="A100" i="11"/>
  <c r="G100" i="11"/>
  <c r="H100" i="11"/>
  <c r="I100" i="11"/>
  <c r="A101" i="11"/>
  <c r="G101" i="11"/>
  <c r="H101" i="11"/>
  <c r="I101" i="11"/>
  <c r="A3" i="12"/>
  <c r="G3" i="12"/>
  <c r="H3" i="12"/>
  <c r="I3" i="12"/>
  <c r="A4" i="12"/>
  <c r="G4" i="12"/>
  <c r="H4" i="12"/>
  <c r="I4" i="12"/>
  <c r="A5" i="12"/>
  <c r="G5" i="12"/>
  <c r="H5" i="12"/>
  <c r="I5" i="12"/>
  <c r="A6" i="12"/>
  <c r="G6" i="12"/>
  <c r="H6" i="12"/>
  <c r="I6" i="12"/>
  <c r="A7" i="12"/>
  <c r="G7" i="12"/>
  <c r="H7" i="12"/>
  <c r="I7" i="12"/>
  <c r="A8" i="12"/>
  <c r="G8" i="12"/>
  <c r="H8" i="12"/>
  <c r="I8" i="12"/>
  <c r="A9" i="12"/>
  <c r="G9" i="12"/>
  <c r="H9" i="12"/>
  <c r="I9" i="12"/>
  <c r="A10" i="12"/>
  <c r="G10" i="12"/>
  <c r="H10" i="12"/>
  <c r="I10" i="12"/>
  <c r="A11" i="12"/>
  <c r="G11" i="12"/>
  <c r="H11" i="12"/>
  <c r="I11" i="12"/>
  <c r="A12" i="12"/>
  <c r="G12" i="12"/>
  <c r="H12" i="12"/>
  <c r="I12" i="12"/>
  <c r="A13" i="12"/>
  <c r="G13" i="12"/>
  <c r="H13" i="12"/>
  <c r="I13" i="12"/>
  <c r="A14" i="12"/>
  <c r="G14" i="12"/>
  <c r="H14" i="12"/>
  <c r="I14" i="12"/>
  <c r="A15" i="12"/>
  <c r="G15" i="12"/>
  <c r="H15" i="12"/>
  <c r="I15" i="12"/>
  <c r="A16" i="12"/>
  <c r="G16" i="12"/>
  <c r="H16" i="12"/>
  <c r="I16" i="12"/>
  <c r="A17" i="12"/>
  <c r="G17" i="12"/>
  <c r="H17" i="12"/>
  <c r="I17" i="12"/>
  <c r="A18" i="12"/>
  <c r="G18" i="12"/>
  <c r="H18" i="12"/>
  <c r="I18" i="12"/>
  <c r="A19" i="12"/>
  <c r="G19" i="12"/>
  <c r="H19" i="12"/>
  <c r="I19" i="12"/>
  <c r="A20" i="12"/>
  <c r="G20" i="12"/>
  <c r="H20" i="12"/>
  <c r="I20" i="12"/>
  <c r="A21" i="12"/>
  <c r="G21" i="12"/>
  <c r="H21" i="12"/>
  <c r="I21" i="12"/>
  <c r="A22" i="12"/>
  <c r="G22" i="12"/>
  <c r="H22" i="12"/>
  <c r="I22" i="12"/>
  <c r="A23" i="12"/>
  <c r="G23" i="12"/>
  <c r="H23" i="12"/>
  <c r="I23" i="12"/>
  <c r="A24" i="12"/>
  <c r="G24" i="12"/>
  <c r="H24" i="12"/>
  <c r="I24" i="12"/>
  <c r="A25" i="12"/>
  <c r="G25" i="12"/>
  <c r="H25" i="12"/>
  <c r="I25" i="12"/>
  <c r="A26" i="12"/>
  <c r="G26" i="12"/>
  <c r="H26" i="12"/>
  <c r="I26" i="12"/>
  <c r="A27" i="12"/>
  <c r="G27" i="12"/>
  <c r="H27" i="12"/>
  <c r="I27" i="12"/>
  <c r="A28" i="12"/>
  <c r="G28" i="12"/>
  <c r="H28" i="12"/>
  <c r="I28" i="12"/>
  <c r="A29" i="12"/>
  <c r="G29" i="12"/>
  <c r="H29" i="12"/>
  <c r="I29" i="12"/>
  <c r="A30" i="12"/>
  <c r="G30" i="12"/>
  <c r="H30" i="12"/>
  <c r="I30" i="12"/>
  <c r="A31" i="12"/>
  <c r="G31" i="12"/>
  <c r="H31" i="12"/>
  <c r="I31" i="12"/>
  <c r="A32" i="12"/>
  <c r="G32" i="12"/>
  <c r="H32" i="12"/>
  <c r="I32" i="12"/>
  <c r="A33" i="12"/>
  <c r="G33" i="12"/>
  <c r="H33" i="12"/>
  <c r="I33" i="12"/>
  <c r="A34" i="12"/>
  <c r="G34" i="12"/>
  <c r="H34" i="12"/>
  <c r="I34" i="12"/>
  <c r="A35" i="12"/>
  <c r="G35" i="12"/>
  <c r="H35" i="12"/>
  <c r="I35" i="12"/>
  <c r="A36" i="12"/>
  <c r="G36" i="12"/>
  <c r="H36" i="12"/>
  <c r="I36" i="12"/>
  <c r="A37" i="12"/>
  <c r="G37" i="12"/>
  <c r="H37" i="12"/>
  <c r="I37" i="12"/>
  <c r="A38" i="12"/>
  <c r="G38" i="12"/>
  <c r="H38" i="12"/>
  <c r="I38" i="12"/>
  <c r="A39" i="12"/>
  <c r="G39" i="12"/>
  <c r="H39" i="12"/>
  <c r="I39" i="12"/>
  <c r="A40" i="12"/>
  <c r="G40" i="12"/>
  <c r="H40" i="12"/>
  <c r="I40" i="12"/>
  <c r="A41" i="12"/>
  <c r="G41" i="12"/>
  <c r="H41" i="12"/>
  <c r="I41" i="12"/>
  <c r="A42" i="12"/>
  <c r="G42" i="12"/>
  <c r="H42" i="12"/>
  <c r="I42" i="12"/>
  <c r="A43" i="12"/>
  <c r="G43" i="12"/>
  <c r="H43" i="12"/>
  <c r="I43" i="12"/>
  <c r="A44" i="12"/>
  <c r="G44" i="12"/>
  <c r="H44" i="12"/>
  <c r="I44" i="12"/>
  <c r="A45" i="12"/>
  <c r="G45" i="12"/>
  <c r="H45" i="12"/>
  <c r="I45" i="12"/>
  <c r="A46" i="12"/>
  <c r="G46" i="12"/>
  <c r="H46" i="12"/>
  <c r="I46" i="12"/>
  <c r="A47" i="12"/>
  <c r="G47" i="12"/>
  <c r="H47" i="12"/>
  <c r="I47" i="12"/>
  <c r="A48" i="12"/>
  <c r="G48" i="12"/>
  <c r="H48" i="12"/>
  <c r="I48" i="12"/>
  <c r="A49" i="12"/>
  <c r="G49" i="12"/>
  <c r="H49" i="12"/>
  <c r="I49" i="12"/>
  <c r="A50" i="12"/>
  <c r="G50" i="12"/>
  <c r="H50" i="12"/>
  <c r="I50" i="12"/>
  <c r="A51" i="12"/>
  <c r="G51" i="12"/>
  <c r="H51" i="12"/>
  <c r="I51" i="12"/>
  <c r="A52" i="12"/>
  <c r="G52" i="12"/>
  <c r="H52" i="12"/>
  <c r="I52" i="12"/>
  <c r="A53" i="12"/>
  <c r="G53" i="12"/>
  <c r="H53" i="12"/>
  <c r="I53" i="12"/>
  <c r="A54" i="12"/>
  <c r="G54" i="12"/>
  <c r="H54" i="12"/>
  <c r="I54" i="12"/>
  <c r="A55" i="12"/>
  <c r="G55" i="12"/>
  <c r="H55" i="12"/>
  <c r="I55" i="12"/>
  <c r="A56" i="12"/>
  <c r="G56" i="12"/>
  <c r="H56" i="12"/>
  <c r="I56" i="12"/>
  <c r="A57" i="12"/>
  <c r="G57" i="12"/>
  <c r="H57" i="12"/>
  <c r="I57" i="12"/>
  <c r="A58" i="12"/>
  <c r="G58" i="12"/>
  <c r="H58" i="12"/>
  <c r="I58" i="12"/>
  <c r="A59" i="12"/>
  <c r="G59" i="12"/>
  <c r="H59" i="12"/>
  <c r="I59" i="12"/>
  <c r="A60" i="12"/>
  <c r="G60" i="12"/>
  <c r="H60" i="12"/>
  <c r="I60" i="12"/>
  <c r="A61" i="12"/>
  <c r="G61" i="12"/>
  <c r="H61" i="12"/>
  <c r="I61" i="12"/>
  <c r="A62" i="12"/>
  <c r="G62" i="12"/>
  <c r="H62" i="12"/>
  <c r="I62" i="12"/>
  <c r="A63" i="12"/>
  <c r="G63" i="12"/>
  <c r="H63" i="12"/>
  <c r="I63" i="12"/>
  <c r="A64" i="12"/>
  <c r="G64" i="12"/>
  <c r="H64" i="12"/>
  <c r="I64" i="12"/>
  <c r="A65" i="12"/>
  <c r="G65" i="12"/>
  <c r="H65" i="12"/>
  <c r="I65" i="12"/>
  <c r="A66" i="12"/>
  <c r="G66" i="12"/>
  <c r="H66" i="12"/>
  <c r="I66" i="12"/>
  <c r="A67" i="12"/>
  <c r="G67" i="12"/>
  <c r="H67" i="12"/>
  <c r="I67" i="12"/>
  <c r="A68" i="12"/>
  <c r="G68" i="12"/>
  <c r="H68" i="12"/>
  <c r="I68" i="12"/>
  <c r="A69" i="12"/>
  <c r="G69" i="12"/>
  <c r="H69" i="12"/>
  <c r="I69" i="12"/>
  <c r="A70" i="12"/>
  <c r="G70" i="12"/>
  <c r="H70" i="12"/>
  <c r="I70" i="12"/>
  <c r="A71" i="12"/>
  <c r="G71" i="12"/>
  <c r="H71" i="12"/>
  <c r="I71" i="12"/>
  <c r="A72" i="12"/>
  <c r="G72" i="12"/>
  <c r="H72" i="12"/>
  <c r="I72" i="12"/>
  <c r="A73" i="12"/>
  <c r="G73" i="12"/>
  <c r="H73" i="12"/>
  <c r="I73" i="12"/>
  <c r="A74" i="12"/>
  <c r="G74" i="12"/>
  <c r="H74" i="12"/>
  <c r="I74" i="12"/>
  <c r="A75" i="12"/>
  <c r="G75" i="12"/>
  <c r="H75" i="12"/>
  <c r="I75" i="12"/>
  <c r="A76" i="12"/>
  <c r="G76" i="12"/>
  <c r="H76" i="12"/>
  <c r="I76" i="12"/>
  <c r="A77" i="12"/>
  <c r="G77" i="12"/>
  <c r="H77" i="12"/>
  <c r="I77" i="12"/>
  <c r="A78" i="12"/>
  <c r="G78" i="12"/>
  <c r="H78" i="12"/>
  <c r="I78" i="12"/>
  <c r="A79" i="12"/>
  <c r="G79" i="12"/>
  <c r="H79" i="12"/>
  <c r="I79" i="12"/>
  <c r="A80" i="12"/>
  <c r="G80" i="12"/>
  <c r="H80" i="12"/>
  <c r="I80" i="12"/>
  <c r="A81" i="12"/>
  <c r="G81" i="12"/>
  <c r="H81" i="12"/>
  <c r="I81" i="12"/>
  <c r="A82" i="12"/>
  <c r="G82" i="12"/>
  <c r="H82" i="12"/>
  <c r="I82" i="12"/>
  <c r="A83" i="12"/>
  <c r="G83" i="12"/>
  <c r="H83" i="12"/>
  <c r="I83" i="12"/>
  <c r="A84" i="12"/>
  <c r="G84" i="12"/>
  <c r="H84" i="12"/>
  <c r="I84" i="12"/>
  <c r="A85" i="12"/>
  <c r="G85" i="12"/>
  <c r="H85" i="12"/>
  <c r="I85" i="12"/>
  <c r="A86" i="12"/>
  <c r="G86" i="12"/>
  <c r="H86" i="12"/>
  <c r="I86" i="12"/>
  <c r="A87" i="12"/>
  <c r="G87" i="12"/>
  <c r="H87" i="12"/>
  <c r="I87" i="12"/>
  <c r="A88" i="12"/>
  <c r="G88" i="12"/>
  <c r="H88" i="12"/>
  <c r="I88" i="12"/>
  <c r="A89" i="12"/>
  <c r="G89" i="12"/>
  <c r="H89" i="12"/>
  <c r="I89" i="12"/>
  <c r="A90" i="12"/>
  <c r="G90" i="12"/>
  <c r="H90" i="12"/>
  <c r="I90" i="12"/>
  <c r="A91" i="12"/>
  <c r="G91" i="12"/>
  <c r="H91" i="12"/>
  <c r="I91" i="12"/>
  <c r="A92" i="12"/>
  <c r="G92" i="12"/>
  <c r="H92" i="12"/>
  <c r="I92" i="12"/>
  <c r="A93" i="12"/>
  <c r="G93" i="12"/>
  <c r="H93" i="12"/>
  <c r="I93" i="12"/>
  <c r="A94" i="12"/>
  <c r="G94" i="12"/>
  <c r="H94" i="12"/>
  <c r="I94" i="12"/>
  <c r="A95" i="12"/>
  <c r="G95" i="12"/>
  <c r="H95" i="12"/>
  <c r="I95" i="12"/>
  <c r="A96" i="12"/>
  <c r="G96" i="12"/>
  <c r="H96" i="12"/>
  <c r="I96" i="12"/>
  <c r="A97" i="12"/>
  <c r="G97" i="12"/>
  <c r="H97" i="12"/>
  <c r="I97" i="12"/>
  <c r="A98" i="12"/>
  <c r="G98" i="12"/>
  <c r="H98" i="12"/>
  <c r="I98" i="12"/>
  <c r="A99" i="12"/>
  <c r="G99" i="12"/>
  <c r="H99" i="12"/>
  <c r="I99" i="12"/>
  <c r="A100" i="12"/>
  <c r="G100" i="12"/>
  <c r="H100" i="12"/>
  <c r="I100" i="12"/>
  <c r="A101" i="12"/>
  <c r="G101" i="12"/>
  <c r="H101" i="12"/>
  <c r="I101" i="12"/>
  <c r="A3" i="13"/>
  <c r="G3" i="13"/>
  <c r="H3" i="13"/>
  <c r="I3" i="13"/>
  <c r="A4" i="13"/>
  <c r="G4" i="13"/>
  <c r="H4" i="13"/>
  <c r="I4" i="13"/>
  <c r="A5" i="13"/>
  <c r="G5" i="13"/>
  <c r="H5" i="13"/>
  <c r="I5" i="13"/>
  <c r="A6" i="13"/>
  <c r="G6" i="13"/>
  <c r="H6" i="13"/>
  <c r="I6" i="13"/>
  <c r="A7" i="13"/>
  <c r="G7" i="13"/>
  <c r="H7" i="13"/>
  <c r="I7" i="13"/>
  <c r="A8" i="13"/>
  <c r="G8" i="13"/>
  <c r="H8" i="13"/>
  <c r="I8" i="13"/>
  <c r="A9" i="13"/>
  <c r="G9" i="13"/>
  <c r="H9" i="13"/>
  <c r="I9" i="13"/>
  <c r="A10" i="13"/>
  <c r="G10" i="13"/>
  <c r="H10" i="13"/>
  <c r="I10" i="13"/>
  <c r="A11" i="13"/>
  <c r="G11" i="13"/>
  <c r="H11" i="13"/>
  <c r="I11" i="13"/>
  <c r="A12" i="13"/>
  <c r="G12" i="13"/>
  <c r="H12" i="13"/>
  <c r="I12" i="13"/>
  <c r="A13" i="13"/>
  <c r="G13" i="13"/>
  <c r="H13" i="13"/>
  <c r="I13" i="13"/>
  <c r="A14" i="13"/>
  <c r="G14" i="13"/>
  <c r="H14" i="13"/>
  <c r="I14" i="13"/>
  <c r="A15" i="13"/>
  <c r="G15" i="13"/>
  <c r="H15" i="13"/>
  <c r="I15" i="13"/>
  <c r="A16" i="13"/>
  <c r="G16" i="13"/>
  <c r="H16" i="13"/>
  <c r="I16" i="13"/>
  <c r="A17" i="13"/>
  <c r="G17" i="13"/>
  <c r="H17" i="13"/>
  <c r="I17" i="13"/>
  <c r="A18" i="13"/>
  <c r="G18" i="13"/>
  <c r="H18" i="13"/>
  <c r="I18" i="13"/>
  <c r="A19" i="13"/>
  <c r="G19" i="13"/>
  <c r="H19" i="13"/>
  <c r="I19" i="13"/>
  <c r="A20" i="13"/>
  <c r="G20" i="13"/>
  <c r="H20" i="13"/>
  <c r="I20" i="13"/>
  <c r="A21" i="13"/>
  <c r="G21" i="13"/>
  <c r="H21" i="13"/>
  <c r="I21" i="13"/>
  <c r="A22" i="13"/>
  <c r="G22" i="13"/>
  <c r="H22" i="13"/>
  <c r="I22" i="13"/>
  <c r="A23" i="13"/>
  <c r="G23" i="13"/>
  <c r="H23" i="13"/>
  <c r="I23" i="13"/>
  <c r="A24" i="13"/>
  <c r="G24" i="13"/>
  <c r="H24" i="13"/>
  <c r="I24" i="13"/>
  <c r="A25" i="13"/>
  <c r="G25" i="13"/>
  <c r="H25" i="13"/>
  <c r="I25" i="13"/>
  <c r="A26" i="13"/>
  <c r="G26" i="13"/>
  <c r="H26" i="13"/>
  <c r="I26" i="13"/>
  <c r="A27" i="13"/>
  <c r="G27" i="13"/>
  <c r="H27" i="13"/>
  <c r="I27" i="13"/>
  <c r="A28" i="13"/>
  <c r="G28" i="13"/>
  <c r="H28" i="13"/>
  <c r="I28" i="13"/>
  <c r="A29" i="13"/>
  <c r="G29" i="13"/>
  <c r="H29" i="13"/>
  <c r="I29" i="13"/>
  <c r="A30" i="13"/>
  <c r="G30" i="13"/>
  <c r="H30" i="13"/>
  <c r="I30" i="13"/>
  <c r="A31" i="13"/>
  <c r="G31" i="13"/>
  <c r="H31" i="13"/>
  <c r="I31" i="13"/>
  <c r="A32" i="13"/>
  <c r="G32" i="13"/>
  <c r="H32" i="13"/>
  <c r="I32" i="13"/>
  <c r="A33" i="13"/>
  <c r="G33" i="13"/>
  <c r="H33" i="13"/>
  <c r="I33" i="13"/>
  <c r="A34" i="13"/>
  <c r="G34" i="13"/>
  <c r="H34" i="13"/>
  <c r="I34" i="13"/>
  <c r="A35" i="13"/>
  <c r="G35" i="13"/>
  <c r="H35" i="13"/>
  <c r="I35" i="13"/>
  <c r="A36" i="13"/>
  <c r="G36" i="13"/>
  <c r="H36" i="13"/>
  <c r="I36" i="13"/>
  <c r="A37" i="13"/>
  <c r="G37" i="13"/>
  <c r="H37" i="13"/>
  <c r="I37" i="13"/>
  <c r="A38" i="13"/>
  <c r="G38" i="13"/>
  <c r="H38" i="13"/>
  <c r="I38" i="13"/>
  <c r="A39" i="13"/>
  <c r="G39" i="13"/>
  <c r="H39" i="13"/>
  <c r="I39" i="13"/>
  <c r="A40" i="13"/>
  <c r="G40" i="13"/>
  <c r="H40" i="13"/>
  <c r="I40" i="13"/>
  <c r="A41" i="13"/>
  <c r="G41" i="13"/>
  <c r="H41" i="13"/>
  <c r="I41" i="13"/>
  <c r="A42" i="13"/>
  <c r="G42" i="13"/>
  <c r="H42" i="13"/>
  <c r="I42" i="13"/>
  <c r="A43" i="13"/>
  <c r="G43" i="13"/>
  <c r="H43" i="13"/>
  <c r="I43" i="13"/>
  <c r="A44" i="13"/>
  <c r="G44" i="13"/>
  <c r="H44" i="13"/>
  <c r="I44" i="13"/>
  <c r="A45" i="13"/>
  <c r="G45" i="13"/>
  <c r="H45" i="13"/>
  <c r="I45" i="13"/>
  <c r="A46" i="13"/>
  <c r="G46" i="13"/>
  <c r="H46" i="13"/>
  <c r="I46" i="13"/>
  <c r="A47" i="13"/>
  <c r="G47" i="13"/>
  <c r="H47" i="13"/>
  <c r="I47" i="13"/>
  <c r="A48" i="13"/>
  <c r="G48" i="13"/>
  <c r="H48" i="13"/>
  <c r="I48" i="13"/>
  <c r="A49" i="13"/>
  <c r="G49" i="13"/>
  <c r="H49" i="13"/>
  <c r="I49" i="13"/>
  <c r="A50" i="13"/>
  <c r="G50" i="13"/>
  <c r="H50" i="13"/>
  <c r="I50" i="13"/>
  <c r="A51" i="13"/>
  <c r="G51" i="13"/>
  <c r="H51" i="13"/>
  <c r="I51" i="13"/>
  <c r="A52" i="13"/>
  <c r="G52" i="13"/>
  <c r="H52" i="13"/>
  <c r="I52" i="13"/>
  <c r="A53" i="13"/>
  <c r="G53" i="13"/>
  <c r="H53" i="13"/>
  <c r="I53" i="13"/>
  <c r="A54" i="13"/>
  <c r="G54" i="13"/>
  <c r="H54" i="13"/>
  <c r="I54" i="13"/>
  <c r="A55" i="13"/>
  <c r="G55" i="13"/>
  <c r="H55" i="13"/>
  <c r="I55" i="13"/>
  <c r="A56" i="13"/>
  <c r="G56" i="13"/>
  <c r="H56" i="13"/>
  <c r="I56" i="13"/>
  <c r="A57" i="13"/>
  <c r="G57" i="13"/>
  <c r="H57" i="13"/>
  <c r="I57" i="13"/>
  <c r="A58" i="13"/>
  <c r="G58" i="13"/>
  <c r="H58" i="13"/>
  <c r="I58" i="13"/>
  <c r="A59" i="13"/>
  <c r="G59" i="13"/>
  <c r="H59" i="13"/>
  <c r="I59" i="13"/>
  <c r="A60" i="13"/>
  <c r="G60" i="13"/>
  <c r="H60" i="13"/>
  <c r="I60" i="13"/>
  <c r="A61" i="13"/>
  <c r="G61" i="13"/>
  <c r="H61" i="13"/>
  <c r="I61" i="13"/>
  <c r="A62" i="13"/>
  <c r="G62" i="13"/>
  <c r="H62" i="13"/>
  <c r="I62" i="13"/>
  <c r="A63" i="13"/>
  <c r="G63" i="13"/>
  <c r="H63" i="13"/>
  <c r="I63" i="13"/>
  <c r="A64" i="13"/>
  <c r="G64" i="13"/>
  <c r="H64" i="13"/>
  <c r="I64" i="13"/>
  <c r="A65" i="13"/>
  <c r="G65" i="13"/>
  <c r="H65" i="13"/>
  <c r="I65" i="13"/>
  <c r="A66" i="13"/>
  <c r="G66" i="13"/>
  <c r="H66" i="13"/>
  <c r="I66" i="13"/>
  <c r="A67" i="13"/>
  <c r="G67" i="13"/>
  <c r="H67" i="13"/>
  <c r="I67" i="13"/>
  <c r="A68" i="13"/>
  <c r="G68" i="13"/>
  <c r="H68" i="13"/>
  <c r="I68" i="13"/>
  <c r="A69" i="13"/>
  <c r="G69" i="13"/>
  <c r="H69" i="13"/>
  <c r="I69" i="13"/>
  <c r="A70" i="13"/>
  <c r="G70" i="13"/>
  <c r="H70" i="13"/>
  <c r="I70" i="13"/>
  <c r="A71" i="13"/>
  <c r="G71" i="13"/>
  <c r="H71" i="13"/>
  <c r="I71" i="13"/>
  <c r="A72" i="13"/>
  <c r="G72" i="13"/>
  <c r="H72" i="13"/>
  <c r="I72" i="13"/>
  <c r="A73" i="13"/>
  <c r="G73" i="13"/>
  <c r="H73" i="13"/>
  <c r="I73" i="13"/>
  <c r="A74" i="13"/>
  <c r="G74" i="13"/>
  <c r="H74" i="13"/>
  <c r="I74" i="13"/>
  <c r="A75" i="13"/>
  <c r="G75" i="13"/>
  <c r="H75" i="13"/>
  <c r="I75" i="13"/>
  <c r="A76" i="13"/>
  <c r="G76" i="13"/>
  <c r="H76" i="13"/>
  <c r="I76" i="13"/>
  <c r="A77" i="13"/>
  <c r="G77" i="13"/>
  <c r="H77" i="13"/>
  <c r="I77" i="13"/>
  <c r="A78" i="13"/>
  <c r="G78" i="13"/>
  <c r="H78" i="13"/>
  <c r="I78" i="13"/>
  <c r="A79" i="13"/>
  <c r="G79" i="13"/>
  <c r="H79" i="13"/>
  <c r="I79" i="13"/>
  <c r="A80" i="13"/>
  <c r="G80" i="13"/>
  <c r="H80" i="13"/>
  <c r="I80" i="13"/>
  <c r="A81" i="13"/>
  <c r="G81" i="13"/>
  <c r="H81" i="13"/>
  <c r="I81" i="13"/>
  <c r="A82" i="13"/>
  <c r="G82" i="13"/>
  <c r="H82" i="13"/>
  <c r="I82" i="13"/>
  <c r="A83" i="13"/>
  <c r="G83" i="13"/>
  <c r="H83" i="13"/>
  <c r="I83" i="13"/>
  <c r="A84" i="13"/>
  <c r="G84" i="13"/>
  <c r="H84" i="13"/>
  <c r="I84" i="13"/>
  <c r="A85" i="13"/>
  <c r="G85" i="13"/>
  <c r="H85" i="13"/>
  <c r="I85" i="13"/>
  <c r="A86" i="13"/>
  <c r="G86" i="13"/>
  <c r="H86" i="13"/>
  <c r="I86" i="13"/>
  <c r="A87" i="13"/>
  <c r="G87" i="13" s="1"/>
  <c r="H87" i="13"/>
  <c r="I87" i="13"/>
  <c r="A88" i="13"/>
  <c r="G88" i="13" s="1"/>
  <c r="H88" i="13"/>
  <c r="I88" i="13"/>
  <c r="A89" i="13"/>
  <c r="G89" i="13" s="1"/>
  <c r="H89" i="13"/>
  <c r="I89" i="13"/>
  <c r="A90" i="13"/>
  <c r="G90" i="13" s="1"/>
  <c r="H90" i="13"/>
  <c r="I90" i="13"/>
  <c r="A91" i="13"/>
  <c r="G91" i="13"/>
  <c r="H91" i="13"/>
  <c r="I91" i="13"/>
  <c r="A92" i="13"/>
  <c r="G92" i="13"/>
  <c r="H92" i="13"/>
  <c r="I92" i="13"/>
  <c r="A93" i="13"/>
  <c r="G93" i="13"/>
  <c r="H93" i="13"/>
  <c r="I93" i="13"/>
  <c r="A94" i="13"/>
  <c r="G94" i="13"/>
  <c r="H94" i="13"/>
  <c r="I94" i="13"/>
  <c r="A95" i="13"/>
  <c r="H95" i="13"/>
  <c r="A96" i="13"/>
  <c r="H96" i="13"/>
  <c r="A97" i="13"/>
  <c r="H97" i="13"/>
  <c r="A98" i="13"/>
  <c r="H98" i="13"/>
  <c r="A99" i="13"/>
  <c r="G99" i="13"/>
  <c r="H99" i="13"/>
  <c r="I99" i="13"/>
  <c r="A100" i="13"/>
  <c r="H100" i="13"/>
  <c r="A101" i="13"/>
  <c r="G101" i="13" s="1"/>
  <c r="H101" i="13"/>
  <c r="I101" i="13"/>
  <c r="A3" i="14"/>
  <c r="G3" i="14" s="1"/>
  <c r="H3" i="14"/>
  <c r="I3" i="14"/>
  <c r="A4" i="14"/>
  <c r="H4" i="14"/>
  <c r="A5" i="14"/>
  <c r="G5" i="14" s="1"/>
  <c r="H5" i="14"/>
  <c r="I5" i="14"/>
  <c r="A6" i="14"/>
  <c r="H6" i="14"/>
  <c r="A7" i="14"/>
  <c r="H7" i="14"/>
  <c r="A8" i="14"/>
  <c r="G8" i="14" s="1"/>
  <c r="H8" i="14"/>
  <c r="I8" i="14"/>
  <c r="A9" i="14"/>
  <c r="H9" i="14"/>
  <c r="A10" i="14"/>
  <c r="H10" i="14"/>
  <c r="A11" i="14"/>
  <c r="G11" i="14" s="1"/>
  <c r="H11" i="14"/>
  <c r="I11" i="14"/>
  <c r="A12" i="14"/>
  <c r="G12" i="14"/>
  <c r="H12" i="14"/>
  <c r="I12" i="14"/>
  <c r="A13" i="14"/>
  <c r="G13" i="14" s="1"/>
  <c r="H13" i="14"/>
  <c r="I13" i="14"/>
  <c r="A14" i="14"/>
  <c r="G14" i="14"/>
  <c r="H14" i="14"/>
  <c r="I14" i="14"/>
  <c r="A15" i="14"/>
  <c r="H15" i="14"/>
  <c r="A16" i="14"/>
  <c r="H16" i="14"/>
  <c r="A17" i="14"/>
  <c r="H17" i="14"/>
  <c r="A18" i="14"/>
  <c r="H18" i="14"/>
  <c r="A19" i="14"/>
  <c r="H19" i="14"/>
  <c r="A20" i="14"/>
  <c r="H20" i="14"/>
  <c r="A21" i="14"/>
  <c r="I21" i="14" s="1"/>
  <c r="G21" i="14"/>
  <c r="H21" i="14"/>
  <c r="A22" i="14"/>
  <c r="H22" i="14"/>
  <c r="A23" i="14"/>
  <c r="H23" i="14"/>
  <c r="A24" i="14"/>
  <c r="G24" i="14" s="1"/>
  <c r="H24" i="14"/>
  <c r="I24" i="14"/>
  <c r="A25" i="14"/>
  <c r="H25" i="14"/>
  <c r="A26" i="14"/>
  <c r="G26" i="14" s="1"/>
  <c r="H26" i="14"/>
  <c r="I26" i="14"/>
  <c r="A27" i="14"/>
  <c r="H27" i="14"/>
  <c r="A28" i="14"/>
  <c r="H28" i="14"/>
  <c r="A29" i="14"/>
  <c r="G29" i="14" s="1"/>
  <c r="H29" i="14"/>
  <c r="I29" i="14"/>
  <c r="A30" i="14"/>
  <c r="G30" i="14" s="1"/>
  <c r="H30" i="14"/>
  <c r="I30" i="14"/>
  <c r="A31" i="14"/>
  <c r="G31" i="14" s="1"/>
  <c r="H31" i="14"/>
  <c r="I31" i="14"/>
  <c r="A32" i="14"/>
  <c r="G32" i="14" s="1"/>
  <c r="H32" i="14"/>
  <c r="I32" i="14"/>
  <c r="A33" i="14"/>
  <c r="G33" i="14" s="1"/>
  <c r="H33" i="14"/>
  <c r="I33" i="14"/>
  <c r="A34" i="14"/>
  <c r="H34" i="14"/>
  <c r="A35" i="14"/>
  <c r="H35" i="14"/>
  <c r="A36" i="14"/>
  <c r="G36" i="14" s="1"/>
  <c r="H36" i="14"/>
  <c r="I36" i="14"/>
  <c r="A37" i="14"/>
  <c r="H37" i="14"/>
  <c r="A38" i="14"/>
  <c r="I38" i="14" s="1"/>
  <c r="G38" i="14"/>
  <c r="H38" i="14"/>
  <c r="A39" i="14"/>
  <c r="H39" i="14"/>
  <c r="A40" i="14"/>
  <c r="H40" i="14"/>
  <c r="A41" i="14"/>
  <c r="G41" i="14" s="1"/>
  <c r="H41" i="14"/>
  <c r="I41" i="14"/>
  <c r="A42" i="14"/>
  <c r="H42" i="14"/>
  <c r="A43" i="14"/>
  <c r="G43" i="14" s="1"/>
  <c r="H43" i="14"/>
  <c r="I43" i="14"/>
  <c r="A44" i="14"/>
  <c r="G44" i="14"/>
  <c r="H44" i="14"/>
  <c r="I44" i="14"/>
  <c r="A45" i="14"/>
  <c r="G45" i="14" s="1"/>
  <c r="H45" i="14"/>
  <c r="I45" i="14"/>
  <c r="A46" i="14"/>
  <c r="G46" i="14" s="1"/>
  <c r="H46" i="14"/>
  <c r="I46" i="14"/>
  <c r="A47" i="14"/>
  <c r="H47" i="14"/>
  <c r="A48" i="14"/>
  <c r="H48" i="14"/>
  <c r="A49" i="14"/>
  <c r="G49" i="14"/>
  <c r="H49" i="14"/>
  <c r="I49" i="14"/>
  <c r="A50" i="14"/>
  <c r="H50" i="14"/>
  <c r="A51" i="14"/>
  <c r="H51" i="14"/>
  <c r="A52" i="14"/>
  <c r="G52" i="14" s="1"/>
  <c r="H52" i="14"/>
  <c r="I52" i="14"/>
  <c r="A53" i="14"/>
  <c r="H53" i="14"/>
  <c r="A54" i="14"/>
  <c r="G54" i="14"/>
  <c r="H54" i="14"/>
  <c r="I54" i="14"/>
  <c r="A55" i="14"/>
  <c r="G55" i="14"/>
  <c r="H55" i="14"/>
  <c r="I55" i="14"/>
  <c r="A56" i="14"/>
  <c r="H56" i="14"/>
  <c r="A57" i="14"/>
  <c r="G57" i="14" s="1"/>
  <c r="H57" i="14"/>
  <c r="I57" i="14"/>
  <c r="A58" i="14"/>
  <c r="G58" i="14" s="1"/>
  <c r="H58" i="14"/>
  <c r="I58" i="14"/>
  <c r="A59" i="14"/>
  <c r="G59" i="14" s="1"/>
  <c r="H59" i="14"/>
  <c r="I59" i="14"/>
  <c r="A60" i="14"/>
  <c r="H60" i="14"/>
  <c r="A61" i="14"/>
  <c r="G61" i="14" s="1"/>
  <c r="H61" i="14"/>
  <c r="I61" i="14"/>
  <c r="A62" i="14"/>
  <c r="G62" i="14" s="1"/>
  <c r="H62" i="14"/>
  <c r="I62" i="14"/>
  <c r="A63" i="14"/>
  <c r="H63" i="14"/>
  <c r="A64" i="14"/>
  <c r="G64" i="14" s="1"/>
  <c r="H64" i="14"/>
  <c r="I64" i="14"/>
  <c r="A65" i="14"/>
  <c r="G65" i="14" s="1"/>
  <c r="H65" i="14"/>
  <c r="I65" i="14"/>
  <c r="A66" i="14"/>
  <c r="H66" i="14"/>
  <c r="A67" i="14"/>
  <c r="G67" i="14" s="1"/>
  <c r="H67" i="14"/>
  <c r="I67" i="14"/>
  <c r="A68" i="14"/>
  <c r="H68" i="14"/>
  <c r="A69" i="14"/>
  <c r="G69" i="14" s="1"/>
  <c r="H69" i="14"/>
  <c r="I69" i="14"/>
  <c r="A70" i="14"/>
  <c r="H70" i="14"/>
  <c r="A71" i="14"/>
  <c r="H71" i="14"/>
  <c r="A72" i="14"/>
  <c r="H72" i="14"/>
  <c r="A73" i="14"/>
  <c r="G73" i="14" s="1"/>
  <c r="H73" i="14"/>
  <c r="I73" i="14"/>
  <c r="A74" i="14"/>
  <c r="G74" i="14"/>
  <c r="H74" i="14"/>
  <c r="I74" i="14"/>
  <c r="A75" i="14"/>
  <c r="G75" i="14" s="1"/>
  <c r="H75" i="14"/>
  <c r="I75" i="14"/>
  <c r="A76" i="14"/>
  <c r="G76" i="14" s="1"/>
  <c r="H76" i="14"/>
  <c r="I76" i="14"/>
  <c r="A77" i="14"/>
  <c r="G77" i="14" s="1"/>
  <c r="H77" i="14"/>
  <c r="I77" i="14"/>
  <c r="A78" i="14"/>
  <c r="G78" i="14" s="1"/>
  <c r="H78" i="14"/>
  <c r="I78" i="14"/>
  <c r="A79" i="14"/>
  <c r="G79" i="14" s="1"/>
  <c r="H79" i="14"/>
  <c r="I79" i="14"/>
  <c r="A80" i="14"/>
  <c r="G80" i="14"/>
  <c r="H80" i="14"/>
  <c r="I80" i="14"/>
  <c r="A81" i="14"/>
  <c r="G81" i="14"/>
  <c r="H81" i="14"/>
  <c r="I81" i="14"/>
  <c r="A82" i="14"/>
  <c r="H82" i="14"/>
  <c r="A83" i="14"/>
  <c r="H83" i="14"/>
  <c r="A84" i="14"/>
  <c r="G84" i="14" s="1"/>
  <c r="H84" i="14"/>
  <c r="I84" i="14"/>
  <c r="A85" i="14"/>
  <c r="H85" i="14"/>
  <c r="A86" i="14"/>
  <c r="G86" i="14" s="1"/>
  <c r="H86" i="14"/>
  <c r="I86" i="14"/>
  <c r="A87" i="14"/>
  <c r="H87" i="14"/>
  <c r="A88" i="14"/>
  <c r="H88" i="14"/>
  <c r="A89" i="14"/>
  <c r="G89" i="14" s="1"/>
  <c r="H89" i="14"/>
  <c r="I89" i="14"/>
  <c r="A90" i="14"/>
  <c r="H90" i="14"/>
  <c r="A91" i="14"/>
  <c r="H91" i="14"/>
  <c r="A92" i="14"/>
  <c r="H92" i="14"/>
  <c r="A93" i="14"/>
  <c r="H93" i="14"/>
  <c r="A94" i="14"/>
  <c r="G94" i="14"/>
  <c r="H94" i="14"/>
  <c r="I94" i="14"/>
  <c r="A95" i="14"/>
  <c r="G95" i="14"/>
  <c r="H95" i="14"/>
  <c r="I95" i="14"/>
  <c r="A96" i="14"/>
  <c r="G96" i="14"/>
  <c r="H96" i="14"/>
  <c r="I96" i="14"/>
  <c r="A97" i="14"/>
  <c r="G97" i="14"/>
  <c r="H97" i="14"/>
  <c r="I97" i="14"/>
  <c r="A98" i="14"/>
  <c r="G98" i="14"/>
  <c r="H98" i="14"/>
  <c r="I98" i="14"/>
  <c r="A99" i="14"/>
  <c r="G99" i="14"/>
  <c r="H99" i="14"/>
  <c r="I99" i="14"/>
  <c r="A100" i="14"/>
  <c r="G100" i="14"/>
  <c r="H100" i="14"/>
  <c r="I100" i="14"/>
  <c r="A101" i="14"/>
  <c r="G101" i="14"/>
  <c r="H101" i="14"/>
  <c r="I101" i="14"/>
  <c r="A3" i="15"/>
  <c r="G3" i="15"/>
  <c r="H3" i="15"/>
  <c r="I3" i="15"/>
  <c r="A4" i="15"/>
  <c r="G4" i="15"/>
  <c r="H4" i="15"/>
  <c r="I4" i="15"/>
  <c r="A5" i="15"/>
  <c r="G5" i="15"/>
  <c r="H5" i="15"/>
  <c r="I5" i="15"/>
  <c r="A6" i="15"/>
  <c r="G6" i="15"/>
  <c r="H6" i="15"/>
  <c r="I6" i="15"/>
  <c r="A7" i="15"/>
  <c r="G7" i="15"/>
  <c r="H7" i="15"/>
  <c r="I7" i="15"/>
  <c r="A8" i="15"/>
  <c r="G8" i="15"/>
  <c r="H8" i="15"/>
  <c r="I8" i="15"/>
  <c r="A9" i="15"/>
  <c r="G9" i="15"/>
  <c r="H9" i="15"/>
  <c r="I9" i="15"/>
  <c r="A10" i="15"/>
  <c r="G10" i="15"/>
  <c r="H10" i="15"/>
  <c r="I10" i="15"/>
  <c r="A11" i="15"/>
  <c r="G11" i="15"/>
  <c r="H11" i="15"/>
  <c r="I11" i="15"/>
  <c r="A12" i="15"/>
  <c r="G12" i="15"/>
  <c r="H12" i="15"/>
  <c r="I12" i="15"/>
  <c r="A13" i="15"/>
  <c r="G13" i="15"/>
  <c r="H13" i="15"/>
  <c r="I13" i="15"/>
  <c r="A14" i="15"/>
  <c r="G14" i="15"/>
  <c r="H14" i="15"/>
  <c r="I14" i="15"/>
  <c r="A15" i="15"/>
  <c r="G15" i="15"/>
  <c r="H15" i="15"/>
  <c r="I15" i="15"/>
  <c r="A16" i="15"/>
  <c r="G16" i="15"/>
  <c r="H16" i="15"/>
  <c r="I16" i="15"/>
  <c r="A17" i="15"/>
  <c r="G17" i="15"/>
  <c r="H17" i="15"/>
  <c r="I17" i="15"/>
  <c r="A18" i="15"/>
  <c r="G18" i="15"/>
  <c r="H18" i="15"/>
  <c r="I18" i="15"/>
  <c r="A19" i="15"/>
  <c r="G19" i="15"/>
  <c r="H19" i="15"/>
  <c r="I19" i="15"/>
  <c r="A20" i="15"/>
  <c r="G20" i="15"/>
  <c r="H20" i="15"/>
  <c r="I20" i="15"/>
  <c r="A21" i="15"/>
  <c r="G21" i="15"/>
  <c r="H21" i="15"/>
  <c r="I21" i="15"/>
  <c r="A22" i="15"/>
  <c r="G22" i="15"/>
  <c r="H22" i="15"/>
  <c r="I22" i="15"/>
  <c r="A23" i="15"/>
  <c r="G23" i="15"/>
  <c r="H23" i="15"/>
  <c r="I23" i="15"/>
  <c r="A24" i="15"/>
  <c r="G24" i="15"/>
  <c r="H24" i="15"/>
  <c r="I24" i="15"/>
  <c r="A25" i="15"/>
  <c r="G25" i="15"/>
  <c r="H25" i="15"/>
  <c r="I25" i="15"/>
  <c r="A26" i="15"/>
  <c r="G26" i="15"/>
  <c r="H26" i="15"/>
  <c r="I26" i="15"/>
  <c r="A27" i="15"/>
  <c r="G27" i="15"/>
  <c r="H27" i="15"/>
  <c r="I27" i="15"/>
  <c r="A28" i="15"/>
  <c r="G28" i="15"/>
  <c r="H28" i="15"/>
  <c r="I28" i="15"/>
  <c r="A29" i="15"/>
  <c r="G29" i="15"/>
  <c r="H29" i="15"/>
  <c r="I29" i="15"/>
  <c r="A30" i="15"/>
  <c r="G30" i="15"/>
  <c r="H30" i="15"/>
  <c r="I30" i="15"/>
  <c r="A31" i="15"/>
  <c r="G31" i="15"/>
  <c r="H31" i="15"/>
  <c r="I31" i="15"/>
  <c r="A32" i="15"/>
  <c r="G32" i="15"/>
  <c r="H32" i="15"/>
  <c r="I32" i="15"/>
  <c r="A33" i="15"/>
  <c r="G33" i="15"/>
  <c r="H33" i="15"/>
  <c r="I33" i="15"/>
  <c r="A34" i="15"/>
  <c r="G34" i="15"/>
  <c r="H34" i="15"/>
  <c r="I34" i="15"/>
  <c r="A35" i="15"/>
  <c r="G35" i="15"/>
  <c r="H35" i="15"/>
  <c r="I35" i="15"/>
  <c r="A36" i="15"/>
  <c r="G36" i="15"/>
  <c r="H36" i="15"/>
  <c r="I36" i="15"/>
  <c r="A37" i="15"/>
  <c r="G37" i="15"/>
  <c r="H37" i="15"/>
  <c r="I37" i="15"/>
  <c r="A38" i="15"/>
  <c r="G38" i="15"/>
  <c r="H38" i="15"/>
  <c r="I38" i="15"/>
  <c r="A39" i="15"/>
  <c r="G39" i="15"/>
  <c r="H39" i="15"/>
  <c r="I39" i="15"/>
  <c r="A40" i="15"/>
  <c r="G40" i="15"/>
  <c r="H40" i="15"/>
  <c r="I40" i="15"/>
  <c r="A41" i="15"/>
  <c r="G41" i="15"/>
  <c r="H41" i="15"/>
  <c r="I41" i="15"/>
  <c r="A42" i="15"/>
  <c r="G42" i="15"/>
  <c r="H42" i="15"/>
  <c r="I42" i="15"/>
  <c r="A43" i="15"/>
  <c r="G43" i="15"/>
  <c r="H43" i="15"/>
  <c r="I43" i="15"/>
  <c r="A44" i="15"/>
  <c r="G44" i="15"/>
  <c r="H44" i="15"/>
  <c r="I44" i="15"/>
  <c r="A45" i="15"/>
  <c r="G45" i="15"/>
  <c r="H45" i="15"/>
  <c r="I45" i="15"/>
  <c r="A46" i="15"/>
  <c r="G46" i="15"/>
  <c r="H46" i="15"/>
  <c r="I46" i="15"/>
  <c r="A47" i="15"/>
  <c r="G47" i="15"/>
  <c r="H47" i="15"/>
  <c r="I47" i="15"/>
  <c r="A48" i="15"/>
  <c r="G48" i="15"/>
  <c r="H48" i="15"/>
  <c r="I48" i="15"/>
  <c r="A49" i="15"/>
  <c r="G49" i="15"/>
  <c r="H49" i="15"/>
  <c r="I49" i="15"/>
  <c r="A50" i="15"/>
  <c r="G50" i="15"/>
  <c r="H50" i="15"/>
  <c r="I50" i="15"/>
  <c r="A51" i="15"/>
  <c r="G51" i="15"/>
  <c r="H51" i="15"/>
  <c r="I51" i="15"/>
  <c r="A52" i="15"/>
  <c r="G52" i="15"/>
  <c r="H52" i="15"/>
  <c r="I52" i="15"/>
  <c r="A53" i="15"/>
  <c r="G53" i="15"/>
  <c r="H53" i="15"/>
  <c r="I53" i="15"/>
  <c r="A54" i="15"/>
  <c r="G54" i="15"/>
  <c r="H54" i="15"/>
  <c r="I54" i="15"/>
  <c r="A55" i="15"/>
  <c r="G55" i="15"/>
  <c r="H55" i="15"/>
  <c r="I55" i="15"/>
  <c r="A56" i="15"/>
  <c r="G56" i="15"/>
  <c r="H56" i="15"/>
  <c r="I56" i="15"/>
  <c r="A57" i="15"/>
  <c r="G57" i="15"/>
  <c r="H57" i="15"/>
  <c r="I57" i="15"/>
  <c r="A58" i="15"/>
  <c r="G58" i="15"/>
  <c r="H58" i="15"/>
  <c r="I58" i="15"/>
  <c r="A59" i="15"/>
  <c r="G59" i="15"/>
  <c r="H59" i="15"/>
  <c r="I59" i="15"/>
  <c r="A60" i="15"/>
  <c r="G60" i="15"/>
  <c r="H60" i="15"/>
  <c r="I60" i="15"/>
  <c r="A61" i="15"/>
  <c r="G61" i="15"/>
  <c r="H61" i="15"/>
  <c r="I61" i="15"/>
  <c r="A62" i="15"/>
  <c r="G62" i="15"/>
  <c r="H62" i="15"/>
  <c r="I62" i="15"/>
  <c r="A63" i="15"/>
  <c r="G63" i="15"/>
  <c r="H63" i="15"/>
  <c r="I63" i="15"/>
  <c r="A64" i="15"/>
  <c r="G64" i="15"/>
  <c r="H64" i="15"/>
  <c r="I64" i="15"/>
  <c r="A65" i="15"/>
  <c r="G65" i="15"/>
  <c r="H65" i="15"/>
  <c r="I65" i="15"/>
  <c r="A66" i="15"/>
  <c r="G66" i="15"/>
  <c r="H66" i="15"/>
  <c r="I66" i="15"/>
  <c r="A67" i="15"/>
  <c r="G67" i="15"/>
  <c r="H67" i="15"/>
  <c r="I67" i="15"/>
  <c r="A68" i="15"/>
  <c r="G68" i="15"/>
  <c r="H68" i="15"/>
  <c r="I68" i="15"/>
  <c r="A69" i="15"/>
  <c r="G69" i="15"/>
  <c r="H69" i="15"/>
  <c r="I69" i="15"/>
  <c r="A70" i="15"/>
  <c r="G70" i="15"/>
  <c r="H70" i="15"/>
  <c r="I70" i="15"/>
  <c r="A71" i="15"/>
  <c r="G71" i="15"/>
  <c r="H71" i="15"/>
  <c r="I71" i="15"/>
  <c r="A72" i="15"/>
  <c r="G72" i="15"/>
  <c r="H72" i="15"/>
  <c r="I72" i="15"/>
  <c r="A73" i="15"/>
  <c r="G73" i="15"/>
  <c r="H73" i="15"/>
  <c r="I73" i="15"/>
  <c r="A74" i="15"/>
  <c r="G74" i="15"/>
  <c r="H74" i="15"/>
  <c r="I74" i="15"/>
  <c r="A75" i="15"/>
  <c r="G75" i="15"/>
  <c r="H75" i="15"/>
  <c r="I75" i="15"/>
  <c r="A76" i="15"/>
  <c r="G76" i="15"/>
  <c r="H76" i="15"/>
  <c r="I76" i="15"/>
  <c r="A77" i="15"/>
  <c r="G77" i="15"/>
  <c r="H77" i="15"/>
  <c r="I77" i="15"/>
  <c r="A78" i="15"/>
  <c r="G78" i="15"/>
  <c r="H78" i="15"/>
  <c r="I78" i="15"/>
  <c r="A79" i="15"/>
  <c r="G79" i="15"/>
  <c r="H79" i="15"/>
  <c r="I79" i="15"/>
  <c r="A80" i="15"/>
  <c r="G80" i="15"/>
  <c r="H80" i="15"/>
  <c r="I80" i="15"/>
  <c r="A81" i="15"/>
  <c r="G81" i="15"/>
  <c r="H81" i="15"/>
  <c r="I81" i="15"/>
  <c r="A82" i="15"/>
  <c r="G82" i="15"/>
  <c r="H82" i="15"/>
  <c r="I82" i="15"/>
  <c r="A83" i="15"/>
  <c r="G83" i="15"/>
  <c r="H83" i="15"/>
  <c r="I83" i="15"/>
  <c r="A84" i="15"/>
  <c r="G84" i="15"/>
  <c r="H84" i="15"/>
  <c r="I84" i="15"/>
  <c r="A85" i="15"/>
  <c r="G85" i="15"/>
  <c r="H85" i="15"/>
  <c r="I85" i="15"/>
  <c r="A86" i="15"/>
  <c r="G86" i="15"/>
  <c r="H86" i="15"/>
  <c r="I86" i="15"/>
  <c r="A87" i="15"/>
  <c r="G87" i="15"/>
  <c r="H87" i="15"/>
  <c r="I87" i="15"/>
  <c r="A88" i="15"/>
  <c r="G88" i="15"/>
  <c r="H88" i="15"/>
  <c r="I88" i="15"/>
  <c r="A89" i="15"/>
  <c r="G89" i="15"/>
  <c r="H89" i="15"/>
  <c r="I89" i="15"/>
  <c r="A90" i="15"/>
  <c r="G90" i="15"/>
  <c r="H90" i="15"/>
  <c r="I90" i="15"/>
  <c r="A91" i="15"/>
  <c r="G91" i="15"/>
  <c r="H91" i="15"/>
  <c r="I91" i="15"/>
  <c r="A92" i="15"/>
  <c r="G92" i="15"/>
  <c r="H92" i="15"/>
  <c r="I92" i="15"/>
  <c r="A93" i="15"/>
  <c r="G93" i="15"/>
  <c r="H93" i="15"/>
  <c r="I93" i="15"/>
  <c r="A94" i="15"/>
  <c r="G94" i="15"/>
  <c r="H94" i="15"/>
  <c r="I94" i="15"/>
  <c r="A95" i="15"/>
  <c r="G95" i="15"/>
  <c r="H95" i="15"/>
  <c r="I95" i="15"/>
  <c r="A96" i="15"/>
  <c r="G96" i="15"/>
  <c r="H96" i="15"/>
  <c r="I96" i="15"/>
  <c r="A97" i="15"/>
  <c r="G97" i="15"/>
  <c r="H97" i="15"/>
  <c r="I97" i="15"/>
  <c r="A98" i="15"/>
  <c r="G98" i="15"/>
  <c r="H98" i="15"/>
  <c r="I98" i="15"/>
  <c r="A99" i="15"/>
  <c r="G99" i="15"/>
  <c r="H99" i="15"/>
  <c r="I99" i="15"/>
  <c r="A100" i="15"/>
  <c r="G100" i="15"/>
  <c r="H100" i="15"/>
  <c r="I100" i="15"/>
  <c r="A101" i="15"/>
  <c r="G101" i="15"/>
  <c r="H101" i="15"/>
  <c r="I101" i="15"/>
  <c r="A3" i="16"/>
  <c r="G3" i="16"/>
  <c r="H3" i="16"/>
  <c r="I3" i="16"/>
  <c r="A4" i="16"/>
  <c r="G4" i="16"/>
  <c r="H4" i="16"/>
  <c r="I4" i="16"/>
  <c r="A5" i="16"/>
  <c r="G5" i="16"/>
  <c r="H5" i="16"/>
  <c r="I5" i="16"/>
  <c r="A6" i="16"/>
  <c r="G6" i="16"/>
  <c r="H6" i="16"/>
  <c r="I6" i="16"/>
  <c r="A7" i="16"/>
  <c r="G7" i="16"/>
  <c r="H7" i="16"/>
  <c r="I7" i="16"/>
  <c r="A8" i="16"/>
  <c r="G8" i="16"/>
  <c r="H8" i="16"/>
  <c r="I8" i="16"/>
  <c r="A9" i="16"/>
  <c r="G9" i="16"/>
  <c r="H9" i="16"/>
  <c r="I9" i="16"/>
  <c r="A10" i="16"/>
  <c r="G10" i="16"/>
  <c r="H10" i="16"/>
  <c r="I10" i="16"/>
  <c r="A11" i="16"/>
  <c r="G11" i="16"/>
  <c r="H11" i="16"/>
  <c r="I11" i="16"/>
  <c r="A12" i="16"/>
  <c r="H12" i="16"/>
  <c r="A13" i="16"/>
  <c r="G13" i="16"/>
  <c r="H13" i="16"/>
  <c r="I13" i="16"/>
  <c r="A14" i="16"/>
  <c r="G14" i="16" s="1"/>
  <c r="H14" i="16"/>
  <c r="I14" i="16"/>
  <c r="A15" i="16"/>
  <c r="G15" i="16"/>
  <c r="H15" i="16"/>
  <c r="I15" i="16"/>
  <c r="A16" i="16"/>
  <c r="G16" i="16"/>
  <c r="H16" i="16"/>
  <c r="I16" i="16"/>
  <c r="A17" i="16"/>
  <c r="G17" i="16" s="1"/>
  <c r="H17" i="16"/>
  <c r="I17" i="16"/>
  <c r="A18" i="16"/>
  <c r="G18" i="16"/>
  <c r="H18" i="16"/>
  <c r="I18" i="16"/>
  <c r="A19" i="16"/>
  <c r="G19" i="16" s="1"/>
  <c r="H19" i="16"/>
  <c r="I19" i="16"/>
  <c r="A20" i="16"/>
  <c r="G20" i="16" s="1"/>
  <c r="H20" i="16"/>
  <c r="I20" i="16"/>
  <c r="A21" i="16"/>
  <c r="G21" i="16" s="1"/>
  <c r="H21" i="16"/>
  <c r="I21" i="16"/>
  <c r="A22" i="16"/>
  <c r="G22" i="16" s="1"/>
  <c r="H22" i="16"/>
  <c r="I22" i="16"/>
  <c r="A23" i="16"/>
  <c r="G23" i="16"/>
  <c r="H23" i="16"/>
  <c r="I23" i="16"/>
  <c r="A24" i="16"/>
  <c r="G24" i="16" s="1"/>
  <c r="H24" i="16"/>
  <c r="I24" i="16"/>
  <c r="A25" i="16"/>
  <c r="G25" i="16" s="1"/>
  <c r="H25" i="16"/>
  <c r="I25" i="16"/>
  <c r="A26" i="16"/>
  <c r="G26" i="16" s="1"/>
  <c r="H26" i="16"/>
  <c r="I26" i="16"/>
  <c r="A27" i="16"/>
  <c r="H27" i="16"/>
  <c r="A28" i="16"/>
  <c r="G28" i="16" s="1"/>
  <c r="H28" i="16"/>
  <c r="I28" i="16"/>
  <c r="A29" i="16"/>
  <c r="H29" i="16"/>
  <c r="A30" i="16"/>
  <c r="G30" i="16" s="1"/>
  <c r="H30" i="16"/>
  <c r="I30" i="16"/>
  <c r="A31" i="16"/>
  <c r="G31" i="16" s="1"/>
  <c r="H31" i="16"/>
  <c r="I31" i="16"/>
  <c r="A32" i="16"/>
  <c r="H32" i="16"/>
  <c r="A33" i="16"/>
  <c r="H33" i="16"/>
  <c r="A34" i="16"/>
  <c r="G34" i="16"/>
  <c r="H34" i="16"/>
  <c r="I34" i="16"/>
  <c r="A35" i="16"/>
  <c r="H35" i="16"/>
  <c r="A36" i="16"/>
  <c r="H36" i="16"/>
  <c r="A37" i="16"/>
  <c r="G37" i="16" s="1"/>
  <c r="H37" i="16"/>
  <c r="I37" i="16"/>
  <c r="A38" i="16"/>
  <c r="G38" i="16"/>
  <c r="H38" i="16"/>
  <c r="I38" i="16"/>
  <c r="A39" i="16"/>
  <c r="G39" i="16" s="1"/>
  <c r="H39" i="16"/>
  <c r="I39" i="16"/>
  <c r="A40" i="16"/>
  <c r="G40" i="16"/>
  <c r="H40" i="16"/>
  <c r="I40" i="16"/>
  <c r="A41" i="16"/>
  <c r="H41" i="16"/>
  <c r="A42" i="16"/>
  <c r="G42" i="16" s="1"/>
  <c r="H42" i="16"/>
  <c r="I42" i="16"/>
  <c r="A43" i="16"/>
  <c r="H43" i="16"/>
  <c r="A44" i="16"/>
  <c r="G44" i="16" s="1"/>
  <c r="H44" i="16"/>
  <c r="I44" i="16"/>
  <c r="A45" i="16"/>
  <c r="H45" i="16"/>
  <c r="A46" i="16"/>
  <c r="G46" i="16"/>
  <c r="H46" i="16"/>
  <c r="I46" i="16"/>
  <c r="A47" i="16"/>
  <c r="I47" i="16" s="1"/>
  <c r="G47" i="16"/>
  <c r="H47" i="16"/>
  <c r="A48" i="16"/>
  <c r="G48" i="16"/>
  <c r="H48" i="16"/>
  <c r="I48" i="16"/>
  <c r="A49" i="16"/>
  <c r="H49" i="16"/>
  <c r="A50" i="16"/>
  <c r="H50" i="16"/>
  <c r="A51" i="16"/>
  <c r="H51" i="16"/>
  <c r="A52" i="16"/>
  <c r="H52" i="16"/>
  <c r="A53" i="16"/>
  <c r="H53" i="16"/>
  <c r="A54" i="16"/>
  <c r="G54" i="16" s="1"/>
  <c r="H54" i="16"/>
  <c r="I54" i="16"/>
  <c r="A55" i="16"/>
  <c r="H55" i="16"/>
  <c r="A56" i="16"/>
  <c r="H56" i="16"/>
  <c r="A57" i="16"/>
  <c r="H57" i="16"/>
  <c r="A58" i="16"/>
  <c r="G58" i="16"/>
  <c r="H58" i="16"/>
  <c r="I58" i="16"/>
  <c r="A59" i="16"/>
  <c r="H59" i="16"/>
  <c r="A60" i="16"/>
  <c r="H60" i="16"/>
  <c r="A61" i="16"/>
  <c r="G61" i="16"/>
  <c r="H61" i="16"/>
  <c r="I61" i="16"/>
  <c r="A62" i="16"/>
  <c r="H62" i="16"/>
  <c r="A63" i="16"/>
  <c r="H63" i="16"/>
  <c r="A64" i="16"/>
  <c r="G64" i="16"/>
  <c r="H64" i="16"/>
  <c r="I64" i="16"/>
  <c r="A65" i="16"/>
  <c r="H65" i="16"/>
  <c r="A66" i="16"/>
  <c r="G66" i="16" s="1"/>
  <c r="H66" i="16"/>
  <c r="I66" i="16"/>
  <c r="A67" i="16"/>
  <c r="G67" i="16"/>
  <c r="H67" i="16"/>
  <c r="I67" i="16"/>
  <c r="A68" i="16"/>
  <c r="H68" i="16"/>
  <c r="A69" i="16"/>
  <c r="H69" i="16"/>
  <c r="A70" i="16"/>
  <c r="H70" i="16"/>
  <c r="A71" i="16"/>
  <c r="G71" i="16"/>
  <c r="H71" i="16"/>
  <c r="I71" i="16"/>
  <c r="A72" i="16"/>
  <c r="H72" i="16"/>
  <c r="A73" i="16"/>
  <c r="H73" i="16"/>
  <c r="A74" i="16"/>
  <c r="I74" i="16" s="1"/>
  <c r="G74" i="16"/>
  <c r="H74" i="16"/>
  <c r="A75" i="16"/>
  <c r="G75" i="16" s="1"/>
  <c r="H75" i="16"/>
  <c r="I75" i="16"/>
  <c r="A76" i="16"/>
  <c r="G76" i="16"/>
  <c r="H76" i="16"/>
  <c r="I76" i="16"/>
  <c r="A77" i="16"/>
  <c r="G77" i="16" s="1"/>
  <c r="H77" i="16"/>
  <c r="I77" i="16"/>
  <c r="A78" i="16"/>
  <c r="G78" i="16" s="1"/>
  <c r="H78" i="16"/>
  <c r="I78" i="16"/>
  <c r="A79" i="16"/>
  <c r="G79" i="16"/>
  <c r="H79" i="16"/>
  <c r="I79" i="16"/>
  <c r="A80" i="16"/>
  <c r="G80" i="16" s="1"/>
  <c r="H80" i="16"/>
  <c r="I80" i="16"/>
  <c r="A81" i="16"/>
  <c r="H81" i="16"/>
  <c r="A82" i="16"/>
  <c r="H82" i="16"/>
  <c r="A83" i="16"/>
  <c r="H83" i="16"/>
  <c r="A84" i="16"/>
  <c r="G84" i="16" s="1"/>
  <c r="H84" i="16"/>
  <c r="I84" i="16"/>
  <c r="A85" i="16"/>
  <c r="G85" i="16"/>
  <c r="H85" i="16"/>
  <c r="I85" i="16"/>
  <c r="A86" i="16"/>
  <c r="H86" i="16"/>
  <c r="A87" i="16"/>
  <c r="G87" i="16" s="1"/>
  <c r="H87" i="16"/>
  <c r="I87" i="16"/>
  <c r="A88" i="16"/>
  <c r="H88" i="16"/>
  <c r="A89" i="16"/>
  <c r="H89" i="16"/>
  <c r="A90" i="16"/>
  <c r="H90" i="16"/>
  <c r="A91" i="16"/>
  <c r="G91" i="16"/>
  <c r="H91" i="16"/>
  <c r="I91" i="16"/>
  <c r="A92" i="16"/>
  <c r="G92" i="16"/>
  <c r="H92" i="16"/>
  <c r="I92" i="16"/>
  <c r="A93" i="16"/>
  <c r="H93" i="16"/>
  <c r="A94" i="16"/>
  <c r="G94" i="16"/>
  <c r="H94" i="16"/>
  <c r="I94" i="16"/>
  <c r="A95" i="16"/>
  <c r="G95" i="16"/>
  <c r="H95" i="16"/>
  <c r="I95" i="16"/>
  <c r="A96" i="16"/>
  <c r="G96" i="16" s="1"/>
  <c r="H96" i="16"/>
  <c r="I96" i="16"/>
  <c r="A97" i="16"/>
  <c r="H97" i="16"/>
  <c r="A98" i="16"/>
  <c r="G98" i="16"/>
  <c r="H98" i="16"/>
  <c r="I98" i="16"/>
  <c r="A99" i="16"/>
  <c r="H99" i="16"/>
  <c r="A100" i="16"/>
  <c r="G100" i="16" s="1"/>
  <c r="H100" i="16"/>
  <c r="I100" i="16"/>
  <c r="A101" i="16"/>
  <c r="G101" i="16"/>
  <c r="H101" i="16"/>
  <c r="I101" i="16"/>
  <c r="A3" i="17"/>
  <c r="H3" i="17"/>
  <c r="A4" i="17"/>
  <c r="H4" i="17"/>
  <c r="A5" i="17"/>
  <c r="H5" i="17"/>
  <c r="A6" i="17"/>
  <c r="G6" i="17" s="1"/>
  <c r="H6" i="17"/>
  <c r="I6" i="17"/>
  <c r="A7" i="17"/>
  <c r="G7" i="17" s="1"/>
  <c r="H7" i="17"/>
  <c r="I7" i="17"/>
  <c r="A8" i="17"/>
  <c r="G8" i="17"/>
  <c r="H8" i="17"/>
  <c r="I8" i="17"/>
  <c r="A9" i="17"/>
  <c r="H9" i="17"/>
  <c r="A10" i="17"/>
  <c r="H10" i="17"/>
  <c r="A11" i="17"/>
  <c r="H11" i="17"/>
  <c r="A12" i="17"/>
  <c r="H12" i="17"/>
  <c r="A13" i="17"/>
  <c r="G13" i="17" s="1"/>
  <c r="H13" i="17"/>
  <c r="I13" i="17"/>
  <c r="A14" i="17"/>
  <c r="G14" i="17" s="1"/>
  <c r="H14" i="17"/>
  <c r="I14" i="17"/>
  <c r="A15" i="17"/>
  <c r="G15" i="17"/>
  <c r="H15" i="17"/>
  <c r="I15" i="17"/>
  <c r="A16" i="17"/>
  <c r="G16" i="17" s="1"/>
  <c r="H16" i="17"/>
  <c r="I16" i="17"/>
  <c r="A17" i="17"/>
  <c r="H17" i="17"/>
  <c r="A18" i="17"/>
  <c r="H18" i="17"/>
  <c r="A19" i="17"/>
  <c r="H19" i="17"/>
  <c r="A20" i="17"/>
  <c r="H20" i="17"/>
  <c r="A21" i="17"/>
  <c r="H21" i="17"/>
  <c r="A22" i="17"/>
  <c r="H22" i="17"/>
  <c r="A23" i="17"/>
  <c r="H23" i="17"/>
  <c r="A24" i="17"/>
  <c r="H24" i="17"/>
  <c r="A25" i="17"/>
  <c r="G25" i="17"/>
  <c r="H25" i="17"/>
  <c r="I25" i="17"/>
  <c r="A26" i="17"/>
  <c r="H26" i="17"/>
  <c r="A27" i="17"/>
  <c r="G27" i="17" s="1"/>
  <c r="H27" i="17"/>
  <c r="I27" i="17"/>
  <c r="A28" i="17"/>
  <c r="H28" i="17"/>
  <c r="A29" i="17"/>
  <c r="H29" i="17"/>
  <c r="A30" i="17"/>
  <c r="G30" i="17"/>
  <c r="H30" i="17"/>
  <c r="I30" i="17"/>
  <c r="A31" i="17"/>
  <c r="H31" i="17"/>
  <c r="A32" i="17"/>
  <c r="H32" i="17"/>
  <c r="A33" i="17"/>
  <c r="H33" i="17"/>
  <c r="A34" i="17"/>
  <c r="H34" i="17"/>
  <c r="A35" i="17"/>
  <c r="G35" i="17" s="1"/>
  <c r="H35" i="17"/>
  <c r="I35" i="17"/>
  <c r="A36" i="17"/>
  <c r="G36" i="17"/>
  <c r="H36" i="17"/>
  <c r="I36" i="17"/>
  <c r="A37" i="17"/>
  <c r="H37" i="17"/>
  <c r="A38" i="17"/>
  <c r="G38" i="17" s="1"/>
  <c r="H38" i="17"/>
  <c r="I38" i="17"/>
  <c r="A39" i="17"/>
  <c r="I39" i="17" s="1"/>
  <c r="G39" i="17"/>
  <c r="H39" i="17"/>
  <c r="A40" i="17"/>
  <c r="H40" i="17"/>
  <c r="A41" i="17"/>
  <c r="G41" i="17"/>
  <c r="H41" i="17"/>
  <c r="I41" i="17"/>
  <c r="A42" i="17"/>
  <c r="H42" i="17"/>
  <c r="A43" i="17"/>
  <c r="G43" i="17" s="1"/>
  <c r="H43" i="17"/>
  <c r="I43" i="17"/>
  <c r="A44" i="17"/>
  <c r="G44" i="17" s="1"/>
  <c r="H44" i="17"/>
  <c r="I44" i="17"/>
  <c r="A45" i="17"/>
  <c r="G45" i="17"/>
  <c r="H45" i="17"/>
  <c r="I45" i="17"/>
  <c r="A46" i="17"/>
  <c r="G46" i="17"/>
  <c r="H46" i="17"/>
  <c r="I46" i="17"/>
  <c r="A47" i="17"/>
  <c r="H47" i="17"/>
  <c r="A48" i="17"/>
  <c r="G48" i="17" s="1"/>
  <c r="H48" i="17"/>
  <c r="I48" i="17"/>
  <c r="A49" i="17"/>
  <c r="H49" i="17"/>
  <c r="A50" i="17"/>
  <c r="G50" i="17" s="1"/>
  <c r="H50" i="17"/>
  <c r="I50" i="17"/>
  <c r="A51" i="17"/>
  <c r="G51" i="17"/>
  <c r="H51" i="17"/>
  <c r="I51" i="17"/>
  <c r="A52" i="17"/>
  <c r="G52" i="17"/>
  <c r="H52" i="17"/>
  <c r="I52" i="17"/>
  <c r="A53" i="17"/>
  <c r="G53" i="17" s="1"/>
  <c r="H53" i="17"/>
  <c r="I53" i="17"/>
  <c r="A54" i="17"/>
  <c r="H54" i="17"/>
  <c r="A55" i="17"/>
  <c r="H55" i="17"/>
  <c r="A56" i="17"/>
  <c r="G56" i="17" s="1"/>
  <c r="H56" i="17"/>
  <c r="I56" i="17"/>
  <c r="A57" i="17"/>
  <c r="G57" i="17"/>
  <c r="H57" i="17"/>
  <c r="I57" i="17"/>
  <c r="A58" i="17"/>
  <c r="G58" i="17" s="1"/>
  <c r="H58" i="17"/>
  <c r="I58" i="17"/>
  <c r="A59" i="17"/>
  <c r="I59" i="17" s="1"/>
  <c r="G59" i="17"/>
  <c r="H59" i="17"/>
  <c r="A60" i="17"/>
  <c r="H60" i="17"/>
  <c r="A61" i="17"/>
  <c r="I61" i="17" s="1"/>
  <c r="G61" i="17"/>
  <c r="H61" i="17"/>
  <c r="A62" i="17"/>
  <c r="G62" i="17" s="1"/>
  <c r="H62" i="17"/>
  <c r="I62" i="17"/>
  <c r="A63" i="17"/>
  <c r="H63" i="17"/>
  <c r="A64" i="17"/>
  <c r="I64" i="17" s="1"/>
  <c r="G64" i="17"/>
  <c r="H64" i="17"/>
  <c r="A65" i="17"/>
  <c r="G65" i="17"/>
  <c r="H65" i="17"/>
  <c r="I65" i="17"/>
  <c r="A66" i="17"/>
  <c r="G66" i="17"/>
  <c r="H66" i="17"/>
  <c r="I66" i="17"/>
  <c r="A67" i="17"/>
  <c r="G67" i="17" s="1"/>
  <c r="H67" i="17"/>
  <c r="I67" i="17"/>
  <c r="A68" i="17"/>
  <c r="H68" i="17"/>
  <c r="A69" i="17"/>
  <c r="G69" i="17"/>
  <c r="H69" i="17"/>
  <c r="I69" i="17"/>
  <c r="A70" i="17"/>
  <c r="G70" i="17" s="1"/>
  <c r="H70" i="17"/>
  <c r="I70" i="17"/>
  <c r="A71" i="17"/>
  <c r="H71" i="17"/>
  <c r="A72" i="17"/>
  <c r="G72" i="17" s="1"/>
  <c r="H72" i="17"/>
  <c r="I72" i="17"/>
  <c r="A73" i="17"/>
  <c r="H73" i="17"/>
  <c r="A74" i="17"/>
  <c r="H74" i="17"/>
  <c r="A75" i="17"/>
  <c r="H75" i="17"/>
  <c r="A76" i="17"/>
  <c r="G76" i="17"/>
  <c r="H76" i="17"/>
  <c r="I76" i="17"/>
  <c r="A77" i="17"/>
  <c r="G77" i="17" s="1"/>
  <c r="H77" i="17"/>
  <c r="I77" i="17"/>
  <c r="A78" i="17"/>
  <c r="G78" i="17" s="1"/>
  <c r="H78" i="17"/>
  <c r="I78" i="17"/>
  <c r="A79" i="17"/>
  <c r="G79" i="17" s="1"/>
  <c r="H79" i="17"/>
  <c r="I79" i="17"/>
  <c r="A80" i="17"/>
  <c r="G80" i="17" s="1"/>
  <c r="H80" i="17"/>
  <c r="I80" i="17"/>
  <c r="A81" i="17"/>
  <c r="H81" i="17"/>
  <c r="A82" i="17"/>
  <c r="G82" i="17" s="1"/>
  <c r="H82" i="17"/>
  <c r="I82" i="17"/>
  <c r="A83" i="17"/>
  <c r="H83" i="17"/>
  <c r="A84" i="17"/>
  <c r="H84" i="17"/>
  <c r="A85" i="17"/>
  <c r="H85" i="17"/>
  <c r="A86" i="17"/>
  <c r="G86" i="17"/>
  <c r="H86" i="17"/>
  <c r="I86" i="17"/>
  <c r="A87" i="17"/>
  <c r="G87" i="17" s="1"/>
  <c r="H87" i="17"/>
  <c r="I87" i="17"/>
  <c r="A88" i="17"/>
  <c r="H88" i="17"/>
  <c r="A89" i="17"/>
  <c r="H89" i="17"/>
  <c r="A90" i="17"/>
  <c r="H90" i="17"/>
  <c r="A91" i="17"/>
  <c r="G91" i="17"/>
  <c r="H91" i="17"/>
  <c r="I91" i="17"/>
  <c r="A92" i="17"/>
  <c r="G92" i="17"/>
  <c r="H92" i="17"/>
  <c r="I92" i="17"/>
  <c r="A93" i="17"/>
  <c r="G93" i="17"/>
  <c r="H93" i="17"/>
  <c r="I93" i="17"/>
  <c r="A94" i="17"/>
  <c r="G94" i="17"/>
  <c r="H94" i="17"/>
  <c r="I94" i="17"/>
  <c r="A95" i="17"/>
  <c r="G95" i="17"/>
  <c r="H95" i="17"/>
  <c r="I95" i="17"/>
  <c r="A96" i="17"/>
  <c r="G96" i="17"/>
  <c r="H96" i="17"/>
  <c r="I96" i="17"/>
  <c r="A97" i="17"/>
  <c r="G97" i="17"/>
  <c r="H97" i="17"/>
  <c r="I97" i="17"/>
  <c r="A98" i="17"/>
  <c r="G98" i="17"/>
  <c r="H98" i="17"/>
  <c r="I98" i="17"/>
  <c r="A99" i="17"/>
  <c r="G99" i="17"/>
  <c r="H99" i="17"/>
  <c r="I99" i="17"/>
  <c r="A100" i="17"/>
  <c r="G100" i="17"/>
  <c r="H100" i="17"/>
  <c r="I100" i="17"/>
  <c r="A101" i="17"/>
  <c r="G101" i="17"/>
  <c r="H101" i="17"/>
  <c r="I101" i="17"/>
  <c r="A3" i="18"/>
  <c r="G3" i="18"/>
  <c r="H3" i="18"/>
  <c r="I3" i="18"/>
  <c r="A4" i="18"/>
  <c r="G4" i="18"/>
  <c r="H4" i="18"/>
  <c r="I4" i="18"/>
  <c r="A5" i="18"/>
  <c r="G5" i="18"/>
  <c r="H5" i="18"/>
  <c r="I5" i="18"/>
  <c r="A6" i="18"/>
  <c r="G6" i="18"/>
  <c r="H6" i="18"/>
  <c r="I6" i="18"/>
  <c r="A7" i="18"/>
  <c r="G7" i="18"/>
  <c r="H7" i="18"/>
  <c r="I7" i="18"/>
  <c r="A8" i="18"/>
  <c r="G8" i="18"/>
  <c r="H8" i="18"/>
  <c r="I8" i="18"/>
  <c r="A9" i="18"/>
  <c r="G9" i="18"/>
  <c r="H9" i="18"/>
  <c r="I9" i="18"/>
  <c r="A10" i="18"/>
  <c r="G10" i="18"/>
  <c r="H10" i="18"/>
  <c r="I10" i="18"/>
  <c r="A11" i="18"/>
  <c r="G11" i="18"/>
  <c r="H11" i="18"/>
  <c r="I11" i="18"/>
  <c r="A12" i="18"/>
  <c r="G12" i="18"/>
  <c r="H12" i="18"/>
  <c r="I12" i="18"/>
  <c r="A13" i="18"/>
  <c r="G13" i="18"/>
  <c r="H13" i="18"/>
  <c r="I13" i="18"/>
  <c r="A14" i="18"/>
  <c r="G14" i="18"/>
  <c r="H14" i="18"/>
  <c r="I14" i="18"/>
  <c r="A15" i="18"/>
  <c r="G15" i="18"/>
  <c r="H15" i="18"/>
  <c r="I15" i="18"/>
  <c r="A16" i="18"/>
  <c r="G16" i="18"/>
  <c r="H16" i="18"/>
  <c r="I16" i="18"/>
  <c r="A17" i="18"/>
  <c r="G17" i="18"/>
  <c r="H17" i="18"/>
  <c r="I17" i="18"/>
  <c r="A18" i="18"/>
  <c r="H18" i="18"/>
  <c r="A19" i="18"/>
  <c r="G19" i="18"/>
  <c r="H19" i="18"/>
  <c r="I19" i="18"/>
  <c r="A20" i="18"/>
  <c r="H20" i="18"/>
  <c r="A21" i="18"/>
  <c r="H21" i="18"/>
  <c r="A22" i="18"/>
  <c r="H22" i="18"/>
  <c r="A23" i="18"/>
  <c r="G23" i="18"/>
  <c r="H23" i="18"/>
  <c r="I23" i="18"/>
  <c r="A24" i="18"/>
  <c r="H24" i="18"/>
  <c r="A25" i="18"/>
  <c r="H25" i="18"/>
  <c r="A26" i="18"/>
  <c r="H26" i="18"/>
  <c r="A27" i="18"/>
  <c r="H27" i="18"/>
  <c r="A28" i="18"/>
  <c r="G28" i="18"/>
  <c r="H28" i="18"/>
  <c r="I28" i="18"/>
  <c r="A29" i="18"/>
  <c r="H29" i="18"/>
  <c r="A30" i="18"/>
  <c r="H30" i="18"/>
  <c r="A31" i="18"/>
  <c r="G31" i="18"/>
  <c r="H31" i="18"/>
  <c r="I31" i="18"/>
  <c r="A32" i="18"/>
  <c r="G32" i="18"/>
  <c r="H32" i="18"/>
  <c r="I32" i="18"/>
  <c r="A33" i="18"/>
  <c r="G33" i="18" s="1"/>
  <c r="H33" i="18"/>
  <c r="I33" i="18"/>
  <c r="A34" i="18"/>
  <c r="G34" i="18"/>
  <c r="H34" i="18"/>
  <c r="I34" i="18"/>
  <c r="A35" i="18"/>
  <c r="H35" i="18"/>
  <c r="A36" i="18"/>
  <c r="H36" i="18"/>
  <c r="A37" i="18"/>
  <c r="H37" i="18"/>
  <c r="A38" i="18"/>
  <c r="H38" i="18"/>
  <c r="A39" i="18"/>
  <c r="G39" i="18" s="1"/>
  <c r="H39" i="18"/>
  <c r="I39" i="18"/>
  <c r="A40" i="18"/>
  <c r="H40" i="18"/>
  <c r="A41" i="18"/>
  <c r="G41" i="18" s="1"/>
  <c r="H41" i="18"/>
  <c r="I41" i="18"/>
  <c r="A42" i="18"/>
  <c r="G42" i="18"/>
  <c r="H42" i="18"/>
  <c r="I42" i="18"/>
  <c r="A43" i="18"/>
  <c r="G43" i="18" s="1"/>
  <c r="H43" i="18"/>
  <c r="I43" i="18"/>
  <c r="A44" i="18"/>
  <c r="H44" i="18"/>
  <c r="A45" i="18"/>
  <c r="H45" i="18"/>
  <c r="A46" i="18"/>
  <c r="H46" i="18"/>
  <c r="A47" i="18"/>
  <c r="G47" i="18"/>
  <c r="H47" i="18"/>
  <c r="I47" i="18"/>
  <c r="A48" i="18"/>
  <c r="G48" i="18" s="1"/>
  <c r="H48" i="18"/>
  <c r="I48" i="18"/>
  <c r="A49" i="18"/>
  <c r="G49" i="18"/>
  <c r="H49" i="18"/>
  <c r="I49" i="18"/>
  <c r="A50" i="18"/>
  <c r="G50" i="18"/>
  <c r="H50" i="18"/>
  <c r="I50" i="18"/>
  <c r="A51" i="18"/>
  <c r="H51" i="18"/>
  <c r="A52" i="18"/>
  <c r="G52" i="18" s="1"/>
  <c r="H52" i="18"/>
  <c r="I52" i="18"/>
  <c r="A53" i="18"/>
  <c r="H53" i="18"/>
  <c r="A54" i="18"/>
  <c r="H54" i="18"/>
  <c r="A55" i="18"/>
  <c r="H55" i="18"/>
  <c r="A56" i="18"/>
  <c r="H56" i="18"/>
  <c r="A57" i="18"/>
  <c r="G57" i="18" s="1"/>
  <c r="H57" i="18"/>
  <c r="I57" i="18"/>
  <c r="A58" i="18"/>
  <c r="G58" i="18" s="1"/>
  <c r="H58" i="18"/>
  <c r="I58" i="18"/>
  <c r="A59" i="18"/>
  <c r="G59" i="18" s="1"/>
  <c r="H59" i="18"/>
  <c r="I59" i="18"/>
  <c r="A60" i="18"/>
  <c r="H60" i="18"/>
  <c r="A61" i="18"/>
  <c r="G61" i="18" s="1"/>
  <c r="H61" i="18"/>
  <c r="I61" i="18"/>
  <c r="A62" i="18"/>
  <c r="G62" i="18"/>
  <c r="H62" i="18"/>
  <c r="I62" i="18"/>
  <c r="A63" i="18"/>
  <c r="G63" i="18" s="1"/>
  <c r="H63" i="18"/>
  <c r="I63" i="18"/>
  <c r="A64" i="18"/>
  <c r="G64" i="18"/>
  <c r="H64" i="18"/>
  <c r="I64" i="18"/>
  <c r="A65" i="18"/>
  <c r="G65" i="18" s="1"/>
  <c r="H65" i="18"/>
  <c r="I65" i="18"/>
  <c r="A66" i="18"/>
  <c r="G66" i="18" s="1"/>
  <c r="H66" i="18"/>
  <c r="I66" i="18"/>
  <c r="A67" i="18"/>
  <c r="H67" i="18"/>
  <c r="A68" i="18"/>
  <c r="G68" i="18" s="1"/>
  <c r="H68" i="18"/>
  <c r="I68" i="18"/>
  <c r="A69" i="18"/>
  <c r="G69" i="18" s="1"/>
  <c r="H69" i="18"/>
  <c r="I69" i="18"/>
  <c r="A70" i="18"/>
  <c r="G70" i="18" s="1"/>
  <c r="H70" i="18"/>
  <c r="I70" i="18"/>
  <c r="A71" i="18"/>
  <c r="H71" i="18"/>
  <c r="A72" i="18"/>
  <c r="G72" i="18"/>
  <c r="H72" i="18"/>
  <c r="I72" i="18"/>
  <c r="A73" i="18"/>
  <c r="G73" i="18" s="1"/>
  <c r="H73" i="18"/>
  <c r="I73" i="18"/>
  <c r="A74" i="18"/>
  <c r="H74" i="18"/>
  <c r="A75" i="18"/>
  <c r="G75" i="18" s="1"/>
  <c r="H75" i="18"/>
  <c r="I75" i="18"/>
  <c r="A76" i="18"/>
  <c r="G76" i="18" s="1"/>
  <c r="H76" i="18"/>
  <c r="I76" i="18"/>
  <c r="A77" i="18"/>
  <c r="H77" i="18"/>
  <c r="A78" i="18"/>
  <c r="H78" i="18"/>
  <c r="A79" i="18"/>
  <c r="H79" i="18"/>
  <c r="A80" i="18"/>
  <c r="H80" i="18"/>
  <c r="A81" i="18"/>
  <c r="H81" i="18"/>
  <c r="A82" i="18"/>
  <c r="H82" i="18"/>
  <c r="A83" i="18"/>
  <c r="H83" i="18"/>
  <c r="A84" i="18"/>
  <c r="G84" i="18" s="1"/>
  <c r="H84" i="18"/>
  <c r="I84" i="18"/>
  <c r="A85" i="18"/>
  <c r="H85" i="18"/>
  <c r="A86" i="18"/>
  <c r="G86" i="18" s="1"/>
  <c r="H86" i="18"/>
  <c r="I86" i="18"/>
  <c r="A87" i="18"/>
  <c r="H87" i="18"/>
  <c r="A88" i="18"/>
  <c r="G88" i="18"/>
  <c r="H88" i="18"/>
  <c r="I88" i="18"/>
  <c r="A89" i="18"/>
  <c r="G89" i="18" s="1"/>
  <c r="H89" i="18"/>
  <c r="I89" i="18"/>
  <c r="A90" i="18"/>
  <c r="H90" i="18"/>
  <c r="A91" i="18"/>
  <c r="H91" i="18"/>
  <c r="A92" i="18"/>
  <c r="G92" i="18" s="1"/>
  <c r="H92" i="18"/>
  <c r="I92" i="18"/>
  <c r="A93" i="18"/>
  <c r="G93" i="18" s="1"/>
  <c r="H93" i="18"/>
  <c r="I93" i="18"/>
  <c r="A94" i="18"/>
  <c r="H94" i="18"/>
  <c r="A95" i="18"/>
  <c r="H95" i="18"/>
  <c r="A96" i="18"/>
  <c r="H96" i="18"/>
  <c r="A97" i="18"/>
  <c r="G97" i="18" s="1"/>
  <c r="H97" i="18"/>
  <c r="I97" i="18"/>
  <c r="A98" i="18"/>
  <c r="H98" i="18"/>
  <c r="A99" i="18"/>
  <c r="H99" i="18"/>
  <c r="A100" i="18"/>
  <c r="H100" i="18"/>
  <c r="A101" i="18"/>
  <c r="G101" i="18"/>
  <c r="H101" i="18"/>
  <c r="I101" i="18"/>
  <c r="A3" i="19"/>
  <c r="G3" i="19" s="1"/>
  <c r="H3" i="19"/>
  <c r="I3" i="19"/>
  <c r="A4" i="19"/>
  <c r="G4" i="19"/>
  <c r="H4" i="19"/>
  <c r="I4" i="19"/>
  <c r="A5" i="19"/>
  <c r="H5" i="19"/>
  <c r="A6" i="19"/>
  <c r="G6" i="19"/>
  <c r="H6" i="19"/>
  <c r="I6" i="19"/>
  <c r="A7" i="19"/>
  <c r="G7" i="19" s="1"/>
  <c r="H7" i="19"/>
  <c r="I7" i="19"/>
  <c r="A8" i="19"/>
  <c r="H8" i="19"/>
  <c r="A9" i="19"/>
  <c r="G9" i="19" s="1"/>
  <c r="H9" i="19"/>
  <c r="I9" i="19"/>
  <c r="A10" i="19"/>
  <c r="G10" i="19"/>
  <c r="H10" i="19"/>
  <c r="I10" i="19"/>
  <c r="A11" i="19"/>
  <c r="G11" i="19"/>
  <c r="H11" i="19"/>
  <c r="I11" i="19"/>
  <c r="A12" i="19"/>
  <c r="H12" i="19"/>
  <c r="A13" i="19"/>
  <c r="G13" i="19" s="1"/>
  <c r="H13" i="19"/>
  <c r="I13" i="19"/>
  <c r="A14" i="19"/>
  <c r="H14" i="19"/>
  <c r="A15" i="19"/>
  <c r="H15" i="19"/>
  <c r="A16" i="19"/>
  <c r="G16" i="19"/>
  <c r="H16" i="19"/>
  <c r="I16" i="19"/>
  <c r="A17" i="19"/>
  <c r="H17" i="19"/>
  <c r="A18" i="19"/>
  <c r="H18" i="19"/>
  <c r="A19" i="19"/>
  <c r="H19" i="19"/>
  <c r="A20" i="19"/>
  <c r="G20" i="19" s="1"/>
  <c r="H20" i="19"/>
  <c r="I20" i="19"/>
  <c r="A21" i="19"/>
  <c r="H21" i="19"/>
  <c r="A22" i="19"/>
  <c r="H22" i="19"/>
  <c r="A23" i="19"/>
  <c r="G23" i="19" s="1"/>
  <c r="H23" i="19"/>
  <c r="I23" i="19"/>
  <c r="A24" i="19"/>
  <c r="G24" i="19" s="1"/>
  <c r="H24" i="19"/>
  <c r="I24" i="19"/>
  <c r="A25" i="19"/>
  <c r="G25" i="19"/>
  <c r="H25" i="19"/>
  <c r="I25" i="19"/>
  <c r="A26" i="19"/>
  <c r="H26" i="19"/>
  <c r="A27" i="19"/>
  <c r="G27" i="19" s="1"/>
  <c r="H27" i="19"/>
  <c r="I27" i="19"/>
  <c r="A28" i="19"/>
  <c r="H28" i="19"/>
  <c r="A29" i="19"/>
  <c r="G29" i="19" s="1"/>
  <c r="H29" i="19"/>
  <c r="I29" i="19"/>
  <c r="A30" i="19"/>
  <c r="H30" i="19"/>
  <c r="A31" i="19"/>
  <c r="G31" i="19" s="1"/>
  <c r="H31" i="19"/>
  <c r="I31" i="19"/>
  <c r="A32" i="19"/>
  <c r="G32" i="19"/>
  <c r="H32" i="19"/>
  <c r="I32" i="19"/>
  <c r="A33" i="19"/>
  <c r="H33" i="19"/>
  <c r="A34" i="19"/>
  <c r="G34" i="19" s="1"/>
  <c r="H34" i="19"/>
  <c r="I34" i="19"/>
  <c r="A35" i="19"/>
  <c r="G35" i="19"/>
  <c r="H35" i="19"/>
  <c r="I35" i="19"/>
  <c r="A36" i="19"/>
  <c r="G36" i="19" s="1"/>
  <c r="H36" i="19"/>
  <c r="I36" i="19"/>
  <c r="A37" i="19"/>
  <c r="G37" i="19"/>
  <c r="H37" i="19"/>
  <c r="I37" i="19"/>
  <c r="A38" i="19"/>
  <c r="H38" i="19"/>
  <c r="A39" i="19"/>
  <c r="G39" i="19"/>
  <c r="H39" i="19"/>
  <c r="I39" i="19"/>
  <c r="A40" i="19"/>
  <c r="I40" i="19" s="1"/>
  <c r="G40" i="19"/>
  <c r="H40" i="19"/>
  <c r="A41" i="19"/>
  <c r="H41" i="19"/>
  <c r="A42" i="19"/>
  <c r="H42" i="19"/>
  <c r="A43" i="19"/>
  <c r="H43" i="19"/>
  <c r="A44" i="19"/>
  <c r="H44" i="19"/>
  <c r="A45" i="19"/>
  <c r="H45" i="19"/>
  <c r="A46" i="19"/>
  <c r="G46" i="19"/>
  <c r="H46" i="19"/>
  <c r="I46" i="19"/>
  <c r="A47" i="19"/>
  <c r="G47" i="19"/>
  <c r="H47" i="19"/>
  <c r="I47" i="19"/>
  <c r="A48" i="19"/>
  <c r="G48" i="19" s="1"/>
  <c r="H48" i="19"/>
  <c r="I48" i="19"/>
  <c r="A49" i="19"/>
  <c r="G49" i="19"/>
  <c r="H49" i="19"/>
  <c r="I49" i="19"/>
  <c r="A50" i="19"/>
  <c r="G50" i="19" s="1"/>
  <c r="H50" i="19"/>
  <c r="I50" i="19"/>
  <c r="A51" i="19"/>
  <c r="G51" i="19"/>
  <c r="H51" i="19"/>
  <c r="I51" i="19"/>
  <c r="A52" i="19"/>
  <c r="G52" i="19"/>
  <c r="H52" i="19"/>
  <c r="I52" i="19"/>
  <c r="A53" i="19"/>
  <c r="H53" i="19"/>
  <c r="A54" i="19"/>
  <c r="I54" i="19" s="1"/>
  <c r="G54" i="19"/>
  <c r="H54" i="19"/>
  <c r="A55" i="19"/>
  <c r="H55" i="19"/>
  <c r="A56" i="19"/>
  <c r="G56" i="19"/>
  <c r="H56" i="19"/>
  <c r="I56" i="19"/>
  <c r="A57" i="19"/>
  <c r="G57" i="19" s="1"/>
  <c r="H57" i="19"/>
  <c r="I57" i="19"/>
  <c r="A58" i="19"/>
  <c r="G58" i="19"/>
  <c r="H58" i="19"/>
  <c r="I58" i="19"/>
  <c r="A59" i="19"/>
  <c r="H59" i="19"/>
  <c r="A60" i="19"/>
  <c r="G60" i="19"/>
  <c r="H60" i="19"/>
  <c r="I60" i="19"/>
  <c r="A61" i="19"/>
  <c r="H61" i="19"/>
  <c r="A62" i="19"/>
  <c r="H62" i="19"/>
  <c r="A63" i="19"/>
  <c r="G63" i="19" s="1"/>
  <c r="H63" i="19"/>
  <c r="I63" i="19"/>
  <c r="A64" i="19"/>
  <c r="G64" i="19" s="1"/>
  <c r="H64" i="19"/>
  <c r="I64" i="19"/>
  <c r="A65" i="19"/>
  <c r="G65" i="19" s="1"/>
  <c r="H65" i="19"/>
  <c r="I65" i="19"/>
  <c r="A66" i="19"/>
  <c r="G66" i="19" s="1"/>
  <c r="H66" i="19"/>
  <c r="I66" i="19"/>
  <c r="A67" i="19"/>
  <c r="G67" i="19"/>
  <c r="H67" i="19"/>
  <c r="I67" i="19"/>
  <c r="A68" i="19"/>
  <c r="G68" i="19"/>
  <c r="H68" i="19"/>
  <c r="I68" i="19"/>
  <c r="A69" i="19"/>
  <c r="G69" i="19"/>
  <c r="H69" i="19"/>
  <c r="I69" i="19"/>
  <c r="A70" i="19"/>
  <c r="G70" i="19"/>
  <c r="H70" i="19"/>
  <c r="I70" i="19"/>
  <c r="A71" i="19"/>
  <c r="G71" i="19"/>
  <c r="H71" i="19"/>
  <c r="I71" i="19"/>
  <c r="A72" i="19"/>
  <c r="I72" i="19" s="1"/>
  <c r="G72" i="19"/>
  <c r="H72" i="19"/>
  <c r="A73" i="19"/>
  <c r="H73" i="19"/>
  <c r="A74" i="19"/>
  <c r="G74" i="19" s="1"/>
  <c r="H74" i="19"/>
  <c r="I74" i="19"/>
  <c r="A75" i="19"/>
  <c r="G75" i="19"/>
  <c r="H75" i="19"/>
  <c r="I75" i="19"/>
  <c r="A76" i="19"/>
  <c r="G76" i="19" s="1"/>
  <c r="H76" i="19"/>
  <c r="I76" i="19"/>
  <c r="A77" i="19"/>
  <c r="G77" i="19" s="1"/>
  <c r="H77" i="19"/>
  <c r="I77" i="19"/>
  <c r="A78" i="19"/>
  <c r="H78" i="19"/>
  <c r="A79" i="19"/>
  <c r="H79" i="19"/>
  <c r="A80" i="19"/>
  <c r="G80" i="19" s="1"/>
  <c r="H80" i="19"/>
  <c r="I80" i="19"/>
  <c r="A81" i="19"/>
  <c r="H81" i="19"/>
  <c r="A82" i="19"/>
  <c r="I82" i="19" s="1"/>
  <c r="G82" i="19"/>
  <c r="H82" i="19"/>
  <c r="A83" i="19"/>
  <c r="H83" i="19"/>
  <c r="A84" i="19"/>
  <c r="H84" i="19"/>
  <c r="A85" i="19"/>
  <c r="H85" i="19"/>
  <c r="A86" i="19"/>
  <c r="H86" i="19"/>
  <c r="A87" i="19"/>
  <c r="G87" i="19" s="1"/>
  <c r="H87" i="19"/>
  <c r="I87" i="19"/>
  <c r="A88" i="19"/>
  <c r="G88" i="19"/>
  <c r="H88" i="19"/>
  <c r="I88" i="19"/>
  <c r="A89" i="19"/>
  <c r="G89" i="19" s="1"/>
  <c r="H89" i="19"/>
  <c r="I89" i="19"/>
  <c r="A90" i="19"/>
  <c r="G90" i="19"/>
  <c r="H90" i="19"/>
  <c r="I90" i="19"/>
  <c r="A91" i="19"/>
  <c r="H91" i="19"/>
  <c r="A92" i="19"/>
  <c r="G92" i="19"/>
  <c r="H92" i="19"/>
  <c r="I92" i="19"/>
  <c r="A93" i="19"/>
  <c r="G93" i="19"/>
  <c r="H93" i="19"/>
  <c r="I93" i="19"/>
  <c r="A94" i="19"/>
  <c r="H94" i="19"/>
  <c r="A95" i="19"/>
  <c r="G95" i="19"/>
  <c r="H95" i="19"/>
  <c r="I95" i="19"/>
  <c r="A96" i="19"/>
  <c r="H96" i="19"/>
  <c r="A97" i="19"/>
  <c r="G97" i="19" s="1"/>
  <c r="H97" i="19"/>
  <c r="I97" i="19"/>
  <c r="A98" i="19"/>
  <c r="H98" i="19"/>
  <c r="A99" i="19"/>
  <c r="H99" i="19"/>
  <c r="A100" i="19"/>
  <c r="G100" i="19"/>
  <c r="H100" i="19"/>
  <c r="I100" i="19"/>
  <c r="A101" i="19"/>
  <c r="G101" i="19" s="1"/>
  <c r="H101" i="19"/>
  <c r="I101" i="19"/>
  <c r="A3" i="20"/>
  <c r="G3" i="20" s="1"/>
  <c r="H3" i="20"/>
  <c r="I3" i="20"/>
  <c r="A4" i="20"/>
  <c r="H4" i="20"/>
  <c r="A5" i="20"/>
  <c r="G5" i="20"/>
  <c r="H5" i="20"/>
  <c r="I5" i="20"/>
  <c r="A6" i="20"/>
  <c r="H6" i="20"/>
  <c r="A7" i="20"/>
  <c r="H7" i="20"/>
  <c r="A8" i="20"/>
  <c r="H8" i="20"/>
  <c r="A9" i="20"/>
  <c r="H9" i="20"/>
  <c r="A10" i="20"/>
  <c r="H10" i="20"/>
  <c r="A11" i="20"/>
  <c r="H11" i="20"/>
  <c r="A12" i="20"/>
  <c r="G12" i="20" s="1"/>
  <c r="H12" i="20"/>
  <c r="I12" i="20"/>
  <c r="A13" i="20"/>
  <c r="G13" i="20" s="1"/>
  <c r="H13" i="20"/>
  <c r="I13" i="20"/>
  <c r="A14" i="20"/>
  <c r="G14" i="20"/>
  <c r="H14" i="20"/>
  <c r="I14" i="20"/>
  <c r="A15" i="20"/>
  <c r="H15" i="20"/>
  <c r="A16" i="20"/>
  <c r="H16" i="20"/>
  <c r="A17" i="20"/>
  <c r="H17" i="20"/>
  <c r="A18" i="20"/>
  <c r="G18" i="20" s="1"/>
  <c r="H18" i="20"/>
  <c r="I18" i="20"/>
  <c r="A19" i="20"/>
  <c r="G19" i="20" s="1"/>
  <c r="H19" i="20"/>
  <c r="I19" i="20"/>
  <c r="A20" i="20"/>
  <c r="H20" i="20"/>
  <c r="A21" i="20"/>
  <c r="G21" i="20" s="1"/>
  <c r="H21" i="20"/>
  <c r="I21" i="20"/>
  <c r="A22" i="20"/>
  <c r="H22" i="20"/>
  <c r="A23" i="20"/>
  <c r="G23" i="20" s="1"/>
  <c r="H23" i="20"/>
  <c r="I23" i="20"/>
  <c r="A24" i="20"/>
  <c r="G24" i="20" s="1"/>
  <c r="H24" i="20"/>
  <c r="I24" i="20"/>
  <c r="A25" i="20"/>
  <c r="G25" i="20"/>
  <c r="H25" i="20"/>
  <c r="I25" i="20"/>
  <c r="A26" i="20"/>
  <c r="G26" i="20" s="1"/>
  <c r="H26" i="20"/>
  <c r="I26" i="20"/>
  <c r="A27" i="20"/>
  <c r="G27" i="20"/>
  <c r="H27" i="20"/>
  <c r="I27" i="20"/>
  <c r="A28" i="20"/>
  <c r="G28" i="20"/>
  <c r="H28" i="20"/>
  <c r="I28" i="20"/>
  <c r="A29" i="20"/>
  <c r="H29" i="20"/>
  <c r="A30" i="20"/>
  <c r="H30" i="20"/>
  <c r="A31" i="20"/>
  <c r="G31" i="20" s="1"/>
  <c r="H31" i="20"/>
  <c r="I31" i="20"/>
  <c r="A32" i="20"/>
  <c r="G32" i="20"/>
  <c r="H32" i="20"/>
  <c r="I32" i="20"/>
  <c r="A33" i="20"/>
  <c r="G33" i="20" s="1"/>
  <c r="H33" i="20"/>
  <c r="I33" i="20"/>
  <c r="A34" i="20"/>
  <c r="G34" i="20" s="1"/>
  <c r="H34" i="20"/>
  <c r="I34" i="20"/>
  <c r="A35" i="20"/>
  <c r="G35" i="20" s="1"/>
  <c r="H35" i="20"/>
  <c r="I35" i="20"/>
  <c r="A36" i="20"/>
  <c r="H36" i="20"/>
  <c r="A37" i="20"/>
  <c r="G37" i="20" s="1"/>
  <c r="H37" i="20"/>
  <c r="I37" i="20"/>
  <c r="A38" i="20"/>
  <c r="G38" i="20" s="1"/>
  <c r="H38" i="20"/>
  <c r="I38" i="20"/>
  <c r="A39" i="20"/>
  <c r="H39" i="20"/>
  <c r="A40" i="20"/>
  <c r="H40" i="20"/>
  <c r="A41" i="20"/>
  <c r="G41" i="20"/>
  <c r="H41" i="20"/>
  <c r="I41" i="20"/>
  <c r="A42" i="20"/>
  <c r="G42" i="20"/>
  <c r="H42" i="20"/>
  <c r="I42" i="20"/>
  <c r="A43" i="20"/>
  <c r="G43" i="20" s="1"/>
  <c r="H43" i="20"/>
  <c r="I43" i="20"/>
  <c r="A44" i="20"/>
  <c r="H44" i="20"/>
  <c r="A45" i="20"/>
  <c r="G45" i="20"/>
  <c r="H45" i="20"/>
  <c r="I45" i="20"/>
  <c r="A46" i="20"/>
  <c r="G46" i="20" s="1"/>
  <c r="H46" i="20"/>
  <c r="I46" i="20"/>
  <c r="A47" i="20"/>
  <c r="H47" i="20"/>
  <c r="A48" i="20"/>
  <c r="G48" i="20"/>
  <c r="H48" i="20"/>
  <c r="I48" i="20"/>
  <c r="A49" i="20"/>
  <c r="G49" i="20" s="1"/>
  <c r="H49" i="20"/>
  <c r="I49" i="20"/>
  <c r="A50" i="20"/>
  <c r="H50" i="20"/>
  <c r="A51" i="20"/>
  <c r="G51" i="20" s="1"/>
  <c r="H51" i="20"/>
  <c r="I51" i="20"/>
  <c r="A52" i="20"/>
  <c r="G52" i="20" s="1"/>
  <c r="H52" i="20"/>
  <c r="I52" i="20"/>
  <c r="A53" i="20"/>
  <c r="G53" i="20" s="1"/>
  <c r="H53" i="20"/>
  <c r="I53" i="20"/>
  <c r="A54" i="20"/>
  <c r="H54" i="20"/>
  <c r="A55" i="20"/>
  <c r="H55" i="20"/>
  <c r="A56" i="20"/>
  <c r="G56" i="20" s="1"/>
  <c r="H56" i="20"/>
  <c r="I56" i="20"/>
  <c r="A57" i="20"/>
  <c r="G57" i="20" s="1"/>
  <c r="H57" i="20"/>
  <c r="I57" i="20"/>
  <c r="A58" i="20"/>
  <c r="G58" i="20" s="1"/>
  <c r="H58" i="20"/>
  <c r="I58" i="20"/>
  <c r="A59" i="20"/>
  <c r="G59" i="20" s="1"/>
  <c r="H59" i="20"/>
  <c r="I59" i="20"/>
  <c r="A60" i="20"/>
  <c r="H60" i="20"/>
  <c r="A61" i="20"/>
  <c r="H61" i="20"/>
  <c r="A62" i="20"/>
  <c r="G62" i="20"/>
  <c r="H62" i="20"/>
  <c r="I62" i="20"/>
  <c r="A63" i="20"/>
  <c r="H63" i="20"/>
  <c r="A64" i="20"/>
  <c r="G64" i="20" s="1"/>
  <c r="H64" i="20"/>
  <c r="I64" i="20"/>
  <c r="A65" i="20"/>
  <c r="G65" i="20" s="1"/>
  <c r="H65" i="20"/>
  <c r="I65" i="20"/>
  <c r="A66" i="20"/>
  <c r="G66" i="20" s="1"/>
  <c r="H66" i="20"/>
  <c r="I66" i="20"/>
  <c r="A67" i="20"/>
  <c r="H67" i="20"/>
  <c r="A68" i="20"/>
  <c r="G68" i="20" s="1"/>
  <c r="H68" i="20"/>
  <c r="I68" i="20"/>
  <c r="A69" i="20"/>
  <c r="H69" i="20"/>
  <c r="A70" i="20"/>
  <c r="G70" i="20" s="1"/>
  <c r="H70" i="20"/>
  <c r="I70" i="20"/>
  <c r="A71" i="20"/>
  <c r="G71" i="20" s="1"/>
  <c r="H71" i="20"/>
  <c r="I71" i="20"/>
  <c r="A72" i="20"/>
  <c r="G72" i="20"/>
  <c r="H72" i="20"/>
  <c r="I72" i="20"/>
  <c r="A73" i="20"/>
  <c r="H73" i="20"/>
  <c r="A74" i="20"/>
  <c r="G74" i="20" s="1"/>
  <c r="H74" i="20"/>
  <c r="I74" i="20"/>
  <c r="A75" i="20"/>
  <c r="G75" i="20" s="1"/>
  <c r="H75" i="20"/>
  <c r="I75" i="20"/>
  <c r="A76" i="20"/>
  <c r="H76" i="20"/>
  <c r="A77" i="20"/>
  <c r="G77" i="20" s="1"/>
  <c r="H77" i="20"/>
  <c r="I77" i="20"/>
  <c r="A78" i="20"/>
  <c r="G78" i="20" s="1"/>
  <c r="H78" i="20"/>
  <c r="I78" i="20"/>
  <c r="A79" i="20"/>
  <c r="G79" i="20" s="1"/>
  <c r="H79" i="20"/>
  <c r="I79" i="20"/>
  <c r="A80" i="20"/>
  <c r="G80" i="20"/>
  <c r="H80" i="20"/>
  <c r="I80" i="20"/>
  <c r="A81" i="20"/>
  <c r="I81" i="20" s="1"/>
  <c r="G81" i="20"/>
  <c r="H81" i="20"/>
  <c r="A82" i="20"/>
  <c r="H82" i="20"/>
  <c r="A83" i="20"/>
  <c r="G83" i="20"/>
  <c r="H83" i="20"/>
  <c r="I83" i="20"/>
  <c r="A84" i="20"/>
  <c r="G84" i="20"/>
  <c r="H84" i="20"/>
  <c r="I84" i="20"/>
  <c r="A85" i="20"/>
  <c r="H85" i="20"/>
  <c r="A86" i="20"/>
  <c r="G86" i="20" s="1"/>
  <c r="H86" i="20"/>
  <c r="I86" i="20"/>
  <c r="A87" i="20"/>
  <c r="I87" i="20" s="1"/>
  <c r="G87" i="20"/>
  <c r="H87" i="20"/>
  <c r="A88" i="20"/>
  <c r="G88" i="20"/>
  <c r="H88" i="20"/>
  <c r="I88" i="20"/>
  <c r="A89" i="20"/>
  <c r="G89" i="20"/>
  <c r="H89" i="20"/>
  <c r="I89" i="20"/>
  <c r="A90" i="20"/>
  <c r="G90" i="20"/>
  <c r="H90" i="20"/>
  <c r="I90" i="20"/>
  <c r="A91" i="20"/>
  <c r="G91" i="20"/>
  <c r="H91" i="20"/>
  <c r="I91" i="20"/>
  <c r="A92" i="20"/>
  <c r="G92" i="20"/>
  <c r="H92" i="20"/>
  <c r="I92" i="20"/>
  <c r="A93" i="20"/>
  <c r="G93" i="20"/>
  <c r="H93" i="20"/>
  <c r="I93" i="20"/>
  <c r="A94" i="20"/>
  <c r="G94" i="20"/>
  <c r="H94" i="20"/>
  <c r="I94" i="20"/>
  <c r="A95" i="20"/>
  <c r="G95" i="20"/>
  <c r="H95" i="20"/>
  <c r="I95" i="20"/>
  <c r="A96" i="20"/>
  <c r="G96" i="20"/>
  <c r="H96" i="20"/>
  <c r="I96" i="20"/>
  <c r="A97" i="20"/>
  <c r="G97" i="20"/>
  <c r="H97" i="20"/>
  <c r="I97" i="20"/>
  <c r="A98" i="20"/>
  <c r="G98" i="20"/>
  <c r="H98" i="20"/>
  <c r="I98" i="20"/>
  <c r="A99" i="20"/>
  <c r="G99" i="20"/>
  <c r="H99" i="20"/>
  <c r="I99" i="20"/>
  <c r="A100" i="20"/>
  <c r="G100" i="20"/>
  <c r="H100" i="20"/>
  <c r="I100" i="20"/>
  <c r="A101" i="20"/>
  <c r="G101" i="20"/>
  <c r="H101" i="20"/>
  <c r="I101" i="20"/>
  <c r="A3" i="21"/>
  <c r="G3" i="21"/>
  <c r="H3" i="21"/>
  <c r="I3" i="21"/>
  <c r="A4" i="21"/>
  <c r="G4" i="21"/>
  <c r="H4" i="21"/>
  <c r="I4" i="21"/>
  <c r="A5" i="21"/>
  <c r="G5" i="21"/>
  <c r="H5" i="21"/>
  <c r="I5" i="21"/>
  <c r="A6" i="21"/>
  <c r="G6" i="21"/>
  <c r="H6" i="21"/>
  <c r="I6" i="21"/>
  <c r="A7" i="21"/>
  <c r="G7" i="21"/>
  <c r="H7" i="21"/>
  <c r="I7" i="21"/>
  <c r="A8" i="21"/>
  <c r="G8" i="21"/>
  <c r="H8" i="21"/>
  <c r="I8" i="21"/>
  <c r="A9" i="21"/>
  <c r="G9" i="21"/>
  <c r="H9" i="21"/>
  <c r="I9" i="21"/>
  <c r="A10" i="21"/>
  <c r="G10" i="21"/>
  <c r="H10" i="21"/>
  <c r="I10" i="21"/>
  <c r="A11" i="21"/>
  <c r="G11" i="21"/>
  <c r="H11" i="21"/>
  <c r="I11" i="21"/>
  <c r="A12" i="21"/>
  <c r="G12" i="21"/>
  <c r="H12" i="21"/>
  <c r="I12" i="21"/>
  <c r="A13" i="21"/>
  <c r="G13" i="21"/>
  <c r="H13" i="21"/>
  <c r="I13" i="21"/>
  <c r="A14" i="21"/>
  <c r="G14" i="21"/>
  <c r="H14" i="21"/>
  <c r="I14" i="21"/>
  <c r="A15" i="21"/>
  <c r="G15" i="21"/>
  <c r="H15" i="21"/>
  <c r="I15" i="21"/>
  <c r="A16" i="21"/>
  <c r="G16" i="21"/>
  <c r="H16" i="21"/>
  <c r="I16" i="21"/>
  <c r="A17" i="21"/>
  <c r="G17" i="21"/>
  <c r="H17" i="21"/>
  <c r="I17" i="21"/>
  <c r="A18" i="21"/>
  <c r="G18" i="21"/>
  <c r="H18" i="21"/>
  <c r="I18" i="21"/>
  <c r="A19" i="21"/>
  <c r="G19" i="21"/>
  <c r="H19" i="21"/>
  <c r="I19" i="21"/>
  <c r="A20" i="21"/>
  <c r="G20" i="21"/>
  <c r="H20" i="21"/>
  <c r="I20" i="21"/>
  <c r="A21" i="21"/>
  <c r="G21" i="21"/>
  <c r="H21" i="21"/>
  <c r="I21" i="21"/>
  <c r="A22" i="21"/>
  <c r="G22" i="21"/>
  <c r="H22" i="21"/>
  <c r="I22" i="21"/>
  <c r="A23" i="21"/>
  <c r="G23" i="21"/>
  <c r="H23" i="21"/>
  <c r="I23" i="21"/>
  <c r="A24" i="21"/>
  <c r="G24" i="21"/>
  <c r="H24" i="21"/>
  <c r="I24" i="21"/>
  <c r="A25" i="21"/>
  <c r="G25" i="21"/>
  <c r="H25" i="21"/>
  <c r="I25" i="21"/>
  <c r="A26" i="21"/>
  <c r="G26" i="21"/>
  <c r="H26" i="21"/>
  <c r="I26" i="21"/>
  <c r="A27" i="21"/>
  <c r="G27" i="21"/>
  <c r="H27" i="21"/>
  <c r="I27" i="21"/>
  <c r="A28" i="21"/>
  <c r="G28" i="21"/>
  <c r="H28" i="21"/>
  <c r="I28" i="21"/>
  <c r="A29" i="21"/>
  <c r="G29" i="21"/>
  <c r="H29" i="21"/>
  <c r="I29" i="21"/>
  <c r="A30" i="21"/>
  <c r="G30" i="21"/>
  <c r="H30" i="21"/>
  <c r="I30" i="21"/>
  <c r="A31" i="21"/>
  <c r="G31" i="21"/>
  <c r="H31" i="21"/>
  <c r="I31" i="21"/>
  <c r="A32" i="21"/>
  <c r="G32" i="21"/>
  <c r="H32" i="21"/>
  <c r="I32" i="21"/>
  <c r="A33" i="21"/>
  <c r="G33" i="21"/>
  <c r="H33" i="21"/>
  <c r="I33" i="21"/>
  <c r="A34" i="21"/>
  <c r="G34" i="21"/>
  <c r="H34" i="21"/>
  <c r="I34" i="21"/>
  <c r="A35" i="21"/>
  <c r="G35" i="21"/>
  <c r="H35" i="21"/>
  <c r="I35" i="21"/>
  <c r="A36" i="21"/>
  <c r="G36" i="21"/>
  <c r="H36" i="21"/>
  <c r="I36" i="21"/>
  <c r="A37" i="21"/>
  <c r="G37" i="21"/>
  <c r="H37" i="21"/>
  <c r="I37" i="21"/>
  <c r="A38" i="21"/>
  <c r="G38" i="21"/>
  <c r="H38" i="21"/>
  <c r="I38" i="21"/>
  <c r="A39" i="21"/>
  <c r="G39" i="21"/>
  <c r="H39" i="21"/>
  <c r="I39" i="21"/>
  <c r="A40" i="21"/>
  <c r="G40" i="21"/>
  <c r="H40" i="21"/>
  <c r="I40" i="21"/>
  <c r="A41" i="21"/>
  <c r="G41" i="21"/>
  <c r="H41" i="21"/>
  <c r="I41" i="21"/>
  <c r="A42" i="21"/>
  <c r="G42" i="21"/>
  <c r="H42" i="21"/>
  <c r="I42" i="21"/>
  <c r="A43" i="21"/>
  <c r="G43" i="21"/>
  <c r="H43" i="21"/>
  <c r="I43" i="21"/>
  <c r="A44" i="21"/>
  <c r="G44" i="21"/>
  <c r="H44" i="21"/>
  <c r="I44" i="21"/>
  <c r="A45" i="21"/>
  <c r="G45" i="21"/>
  <c r="H45" i="21"/>
  <c r="I45" i="21"/>
  <c r="A46" i="21"/>
  <c r="G46" i="21"/>
  <c r="H46" i="21"/>
  <c r="I46" i="21"/>
  <c r="A47" i="21"/>
  <c r="G47" i="21"/>
  <c r="H47" i="21"/>
  <c r="I47" i="21"/>
  <c r="A48" i="21"/>
  <c r="G48" i="21"/>
  <c r="H48" i="21"/>
  <c r="I48" i="21"/>
  <c r="A49" i="21"/>
  <c r="G49" i="21"/>
  <c r="H49" i="21"/>
  <c r="I49" i="21"/>
  <c r="A50" i="21"/>
  <c r="G50" i="21"/>
  <c r="H50" i="21"/>
  <c r="I50" i="21"/>
  <c r="A51" i="21"/>
  <c r="G51" i="21"/>
  <c r="H51" i="21"/>
  <c r="I51" i="21"/>
  <c r="A52" i="21"/>
  <c r="G52" i="21"/>
  <c r="H52" i="21"/>
  <c r="I52" i="21"/>
  <c r="A53" i="21"/>
  <c r="G53" i="21"/>
  <c r="H53" i="21"/>
  <c r="I53" i="21"/>
  <c r="A54" i="21"/>
  <c r="G54" i="21"/>
  <c r="H54" i="21"/>
  <c r="I54" i="21"/>
  <c r="A55" i="21"/>
  <c r="G55" i="21"/>
  <c r="H55" i="21"/>
  <c r="I55" i="21"/>
  <c r="A56" i="21"/>
  <c r="G56" i="21"/>
  <c r="H56" i="21"/>
  <c r="I56" i="21"/>
  <c r="A57" i="21"/>
  <c r="G57" i="21"/>
  <c r="H57" i="21"/>
  <c r="I57" i="21"/>
  <c r="A58" i="21"/>
  <c r="G58" i="21"/>
  <c r="H58" i="21"/>
  <c r="I58" i="21"/>
  <c r="A59" i="21"/>
  <c r="G59" i="21"/>
  <c r="H59" i="21"/>
  <c r="I59" i="21"/>
  <c r="A60" i="21"/>
  <c r="G60" i="21"/>
  <c r="H60" i="21"/>
  <c r="I60" i="21"/>
  <c r="A61" i="21"/>
  <c r="G61" i="21"/>
  <c r="H61" i="21"/>
  <c r="I61" i="21"/>
  <c r="A62" i="21"/>
  <c r="G62" i="21"/>
  <c r="H62" i="21"/>
  <c r="I62" i="21"/>
  <c r="A63" i="21"/>
  <c r="G63" i="21"/>
  <c r="H63" i="21"/>
  <c r="I63" i="21"/>
  <c r="A64" i="21"/>
  <c r="G64" i="21"/>
  <c r="H64" i="21"/>
  <c r="I64" i="21"/>
  <c r="A65" i="21"/>
  <c r="G65" i="21"/>
  <c r="H65" i="21"/>
  <c r="I65" i="21"/>
  <c r="A66" i="21"/>
  <c r="G66" i="21"/>
  <c r="H66" i="21"/>
  <c r="I66" i="21"/>
  <c r="A67" i="21"/>
  <c r="G67" i="21"/>
  <c r="H67" i="21"/>
  <c r="I67" i="21"/>
  <c r="A68" i="21"/>
  <c r="G68" i="21"/>
  <c r="H68" i="21"/>
  <c r="I68" i="21"/>
  <c r="A69" i="21"/>
  <c r="G69" i="21"/>
  <c r="H69" i="21"/>
  <c r="I69" i="21"/>
  <c r="A70" i="21"/>
  <c r="G70" i="21"/>
  <c r="H70" i="21"/>
  <c r="I70" i="21"/>
  <c r="A71" i="21"/>
  <c r="G71" i="21"/>
  <c r="H71" i="21"/>
  <c r="I71" i="21"/>
  <c r="A72" i="21"/>
  <c r="G72" i="21"/>
  <c r="H72" i="21"/>
  <c r="I72" i="21"/>
  <c r="A73" i="21"/>
  <c r="G73" i="21"/>
  <c r="H73" i="21"/>
  <c r="I73" i="21"/>
  <c r="A74" i="21"/>
  <c r="G74" i="21"/>
  <c r="H74" i="21"/>
  <c r="I74" i="21"/>
  <c r="A75" i="21"/>
  <c r="G75" i="21"/>
  <c r="H75" i="21"/>
  <c r="I75" i="21"/>
  <c r="A76" i="21"/>
  <c r="G76" i="21"/>
  <c r="H76" i="21"/>
  <c r="I76" i="21"/>
  <c r="A77" i="21"/>
  <c r="G77" i="21"/>
  <c r="H77" i="21"/>
  <c r="I77" i="21"/>
  <c r="A78" i="21"/>
  <c r="G78" i="21"/>
  <c r="H78" i="21"/>
  <c r="I78" i="21"/>
  <c r="A79" i="21"/>
  <c r="G79" i="21"/>
  <c r="H79" i="21"/>
  <c r="I79" i="21"/>
  <c r="A80" i="21"/>
  <c r="G80" i="21"/>
  <c r="H80" i="21"/>
  <c r="I80" i="21"/>
  <c r="A81" i="21"/>
  <c r="G81" i="21"/>
  <c r="H81" i="21"/>
  <c r="I81" i="21"/>
  <c r="A82" i="21"/>
  <c r="G82" i="21"/>
  <c r="H82" i="21"/>
  <c r="I82" i="21"/>
  <c r="A83" i="21"/>
  <c r="G83" i="21"/>
  <c r="H83" i="21"/>
  <c r="I83" i="21"/>
  <c r="A84" i="21"/>
  <c r="G84" i="21"/>
  <c r="H84" i="21"/>
  <c r="I84" i="21"/>
  <c r="A85" i="21"/>
  <c r="G85" i="21"/>
  <c r="H85" i="21"/>
  <c r="I85" i="21"/>
  <c r="A86" i="21"/>
  <c r="G86" i="21"/>
  <c r="H86" i="21"/>
  <c r="I86" i="21"/>
  <c r="A87" i="21"/>
  <c r="G87" i="21"/>
  <c r="H87" i="21"/>
  <c r="I87" i="21"/>
  <c r="A88" i="21"/>
  <c r="G88" i="21"/>
  <c r="H88" i="21"/>
  <c r="I88" i="21"/>
  <c r="A89" i="21"/>
  <c r="G89" i="21"/>
  <c r="H89" i="21"/>
  <c r="I89" i="21"/>
  <c r="A90" i="21"/>
  <c r="G90" i="21"/>
  <c r="H90" i="21"/>
  <c r="I90" i="21"/>
  <c r="A91" i="21"/>
  <c r="G91" i="21"/>
  <c r="H91" i="21"/>
  <c r="I91" i="21"/>
  <c r="A92" i="21"/>
  <c r="G92" i="21"/>
  <c r="H92" i="21"/>
  <c r="I92" i="21"/>
  <c r="A93" i="21"/>
  <c r="G93" i="21"/>
  <c r="H93" i="21"/>
  <c r="I93" i="21"/>
  <c r="A94" i="21"/>
  <c r="G94" i="21"/>
  <c r="H94" i="21"/>
  <c r="I94" i="21"/>
  <c r="A95" i="21"/>
  <c r="G95" i="21"/>
  <c r="H95" i="21"/>
  <c r="I95" i="21"/>
  <c r="A96" i="21"/>
  <c r="H96" i="21"/>
  <c r="A97" i="21"/>
  <c r="H97" i="21"/>
  <c r="A98" i="21"/>
  <c r="G98" i="21"/>
  <c r="H98" i="21"/>
  <c r="I98" i="21"/>
  <c r="A99" i="21"/>
  <c r="G99" i="21" s="1"/>
  <c r="H99" i="21"/>
  <c r="I99" i="21"/>
  <c r="A100" i="21"/>
  <c r="G100" i="21" s="1"/>
  <c r="H100" i="21"/>
  <c r="I100" i="21"/>
  <c r="A101" i="21"/>
  <c r="G101" i="21"/>
  <c r="H101" i="21"/>
  <c r="I101" i="21"/>
  <c r="A3" i="22"/>
  <c r="H3" i="22"/>
  <c r="A4" i="22"/>
  <c r="G4" i="22"/>
  <c r="H4" i="22"/>
  <c r="I4" i="22"/>
  <c r="A5" i="22"/>
  <c r="H5" i="22"/>
  <c r="A6" i="22"/>
  <c r="G6" i="22"/>
  <c r="H6" i="22"/>
  <c r="I6" i="22"/>
  <c r="A7" i="22"/>
  <c r="G7" i="22" s="1"/>
  <c r="H7" i="22"/>
  <c r="I7" i="22"/>
  <c r="A8" i="22"/>
  <c r="H8" i="22"/>
  <c r="A9" i="22"/>
  <c r="G9" i="22" s="1"/>
  <c r="H9" i="22"/>
  <c r="I9" i="22"/>
  <c r="A10" i="22"/>
  <c r="H10" i="22"/>
  <c r="A11" i="22"/>
  <c r="H11" i="22"/>
  <c r="A12" i="22"/>
  <c r="G12" i="22"/>
  <c r="H12" i="22"/>
  <c r="I12" i="22"/>
  <c r="A13" i="22"/>
  <c r="H13" i="22"/>
  <c r="A14" i="22"/>
  <c r="G14" i="22" s="1"/>
  <c r="H14" i="22"/>
  <c r="I14" i="22"/>
  <c r="A15" i="22"/>
  <c r="H15" i="22"/>
  <c r="A16" i="22"/>
  <c r="H16" i="22"/>
  <c r="A17" i="22"/>
  <c r="H17" i="22"/>
  <c r="A18" i="22"/>
  <c r="G18" i="22"/>
  <c r="H18" i="22"/>
  <c r="I18" i="22"/>
  <c r="A19" i="22"/>
  <c r="G19" i="22"/>
  <c r="H19" i="22"/>
  <c r="I19" i="22"/>
  <c r="A20" i="22"/>
  <c r="G20" i="22" s="1"/>
  <c r="H20" i="22"/>
  <c r="I20" i="22"/>
  <c r="A21" i="22"/>
  <c r="G21" i="22" s="1"/>
  <c r="H21" i="22"/>
  <c r="I21" i="22"/>
  <c r="A22" i="22"/>
  <c r="G22" i="22" s="1"/>
  <c r="H22" i="22"/>
  <c r="I22" i="22"/>
  <c r="A23" i="22"/>
  <c r="G23" i="22"/>
  <c r="H23" i="22"/>
  <c r="I23" i="22"/>
  <c r="A24" i="22"/>
  <c r="G24" i="22"/>
  <c r="H24" i="22"/>
  <c r="I24" i="22"/>
  <c r="A25" i="22"/>
  <c r="G25" i="22" s="1"/>
  <c r="H25" i="22"/>
  <c r="I25" i="22"/>
  <c r="A26" i="22"/>
  <c r="G26" i="22" s="1"/>
  <c r="H26" i="22"/>
  <c r="I26" i="22"/>
  <c r="A27" i="22"/>
  <c r="G27" i="22"/>
  <c r="H27" i="22"/>
  <c r="I27" i="22"/>
  <c r="A28" i="22"/>
  <c r="G28" i="22"/>
  <c r="H28" i="22"/>
  <c r="I28" i="22"/>
  <c r="A29" i="22"/>
  <c r="H29" i="22"/>
  <c r="A30" i="22"/>
  <c r="G30" i="22" s="1"/>
  <c r="H30" i="22"/>
  <c r="I30" i="22"/>
  <c r="A31" i="22"/>
  <c r="G31" i="22"/>
  <c r="H31" i="22"/>
  <c r="I31" i="22"/>
  <c r="A32" i="22"/>
  <c r="G32" i="22" s="1"/>
  <c r="H32" i="22"/>
  <c r="I32" i="22"/>
  <c r="A33" i="22"/>
  <c r="G33" i="22" s="1"/>
  <c r="H33" i="22"/>
  <c r="I33" i="22"/>
  <c r="A34" i="22"/>
  <c r="H34" i="22"/>
  <c r="A35" i="22"/>
  <c r="G35" i="22"/>
  <c r="H35" i="22"/>
  <c r="I35" i="22"/>
  <c r="A36" i="22"/>
  <c r="H36" i="22"/>
  <c r="A37" i="22"/>
  <c r="G37" i="22"/>
  <c r="H37" i="22"/>
  <c r="I37" i="22"/>
  <c r="A38" i="22"/>
  <c r="G38" i="22" s="1"/>
  <c r="H38" i="22"/>
  <c r="I38" i="22"/>
  <c r="A39" i="22"/>
  <c r="H39" i="22"/>
  <c r="A40" i="22"/>
  <c r="G40" i="22" s="1"/>
  <c r="H40" i="22"/>
  <c r="I40" i="22"/>
  <c r="A41" i="22"/>
  <c r="G41" i="22" s="1"/>
  <c r="H41" i="22"/>
  <c r="I41" i="22"/>
  <c r="A42" i="22"/>
  <c r="G42" i="22" s="1"/>
  <c r="H42" i="22"/>
  <c r="I42" i="22"/>
  <c r="A43" i="22"/>
  <c r="H43" i="22"/>
  <c r="A44" i="22"/>
  <c r="H44" i="22"/>
  <c r="A45" i="22"/>
  <c r="H45" i="22"/>
  <c r="A46" i="22"/>
  <c r="H46" i="22"/>
  <c r="A47" i="22"/>
  <c r="G47" i="22" s="1"/>
  <c r="H47" i="22"/>
  <c r="I47" i="22"/>
  <c r="A48" i="22"/>
  <c r="G48" i="22"/>
  <c r="H48" i="22"/>
  <c r="I48" i="22"/>
  <c r="A49" i="22"/>
  <c r="H49" i="22"/>
  <c r="A50" i="22"/>
  <c r="H50" i="22"/>
  <c r="A51" i="22"/>
  <c r="G51" i="22" s="1"/>
  <c r="H51" i="22"/>
  <c r="I51" i="22"/>
  <c r="A52" i="22"/>
  <c r="G52" i="22" s="1"/>
  <c r="H52" i="22"/>
  <c r="I52" i="22"/>
  <c r="A53" i="22"/>
  <c r="G53" i="22" s="1"/>
  <c r="H53" i="22"/>
  <c r="I53" i="22"/>
  <c r="A54" i="22"/>
  <c r="H54" i="22"/>
  <c r="A55" i="22"/>
  <c r="H55" i="22"/>
  <c r="A56" i="22"/>
  <c r="G56" i="22"/>
  <c r="H56" i="22"/>
  <c r="I56" i="22"/>
  <c r="A57" i="22"/>
  <c r="G57" i="22"/>
  <c r="H57" i="22"/>
  <c r="I57" i="22"/>
  <c r="A58" i="22"/>
  <c r="G58" i="22" s="1"/>
  <c r="H58" i="22"/>
  <c r="I58" i="22"/>
  <c r="A59" i="22"/>
  <c r="G59" i="22" s="1"/>
  <c r="H59" i="22"/>
  <c r="I59" i="22"/>
  <c r="A60" i="22"/>
  <c r="H60" i="22"/>
  <c r="A61" i="22"/>
  <c r="H61" i="22"/>
  <c r="A62" i="22"/>
  <c r="G62" i="22"/>
  <c r="H62" i="22"/>
  <c r="I62" i="22"/>
  <c r="A63" i="22"/>
  <c r="G63" i="22" s="1"/>
  <c r="H63" i="22"/>
  <c r="I63" i="22"/>
  <c r="A64" i="22"/>
  <c r="H64" i="22"/>
  <c r="A65" i="22"/>
  <c r="H65" i="22"/>
  <c r="A66" i="22"/>
  <c r="G66" i="22"/>
  <c r="H66" i="22"/>
  <c r="I66" i="22"/>
  <c r="A67" i="22"/>
  <c r="G67" i="22" s="1"/>
  <c r="H67" i="22"/>
  <c r="I67" i="22"/>
  <c r="A68" i="22"/>
  <c r="H68" i="22"/>
  <c r="A69" i="22"/>
  <c r="G69" i="22"/>
  <c r="H69" i="22"/>
  <c r="I69" i="22"/>
  <c r="A70" i="22"/>
  <c r="G70" i="22" s="1"/>
  <c r="H70" i="22"/>
  <c r="I70" i="22"/>
  <c r="A71" i="22"/>
  <c r="H71" i="22"/>
  <c r="A72" i="22"/>
  <c r="H72" i="22"/>
  <c r="A73" i="22"/>
  <c r="G73" i="22" s="1"/>
  <c r="H73" i="22"/>
  <c r="I73" i="22"/>
  <c r="A74" i="22"/>
  <c r="G74" i="22" s="1"/>
  <c r="H74" i="22"/>
  <c r="I74" i="22"/>
  <c r="A75" i="22"/>
  <c r="G75" i="22" s="1"/>
  <c r="H75" i="22"/>
  <c r="I75" i="22"/>
  <c r="A76" i="22"/>
  <c r="G76" i="22" s="1"/>
  <c r="H76" i="22"/>
  <c r="I76" i="22"/>
  <c r="A77" i="22"/>
  <c r="G77" i="22"/>
  <c r="H77" i="22"/>
  <c r="I77" i="22"/>
  <c r="A78" i="22"/>
  <c r="G78" i="22" s="1"/>
  <c r="H78" i="22"/>
  <c r="I78" i="22"/>
  <c r="A79" i="22"/>
  <c r="G79" i="22" s="1"/>
  <c r="H79" i="22"/>
  <c r="I79" i="22"/>
  <c r="A80" i="22"/>
  <c r="G80" i="22"/>
  <c r="H80" i="22"/>
  <c r="I80" i="22"/>
  <c r="A81" i="22"/>
  <c r="G81" i="22" s="1"/>
  <c r="H81" i="22"/>
  <c r="I81" i="22"/>
  <c r="A82" i="22"/>
  <c r="H82" i="22"/>
  <c r="A83" i="22"/>
  <c r="G83" i="22" s="1"/>
  <c r="H83" i="22"/>
  <c r="I83" i="22"/>
  <c r="A84" i="22"/>
  <c r="G84" i="22"/>
  <c r="H84" i="22"/>
  <c r="I84" i="22"/>
  <c r="A85" i="22"/>
  <c r="G85" i="22" s="1"/>
  <c r="H85" i="22"/>
  <c r="I85" i="22"/>
  <c r="A86" i="22"/>
  <c r="H86" i="22"/>
  <c r="A87" i="22"/>
  <c r="H87" i="22"/>
  <c r="A88" i="22"/>
  <c r="G88" i="22"/>
  <c r="H88" i="22"/>
  <c r="I88" i="22"/>
  <c r="A89" i="22"/>
  <c r="G89" i="22" s="1"/>
  <c r="H89" i="22"/>
  <c r="I89" i="22"/>
  <c r="A90" i="22"/>
  <c r="H90" i="22"/>
  <c r="A91" i="22"/>
  <c r="H91" i="22"/>
  <c r="A92" i="22"/>
  <c r="G92" i="22"/>
  <c r="H92" i="22"/>
  <c r="I92" i="22"/>
  <c r="A93" i="22"/>
  <c r="G93" i="22" s="1"/>
  <c r="H93" i="22"/>
  <c r="I93" i="22"/>
  <c r="A94" i="22"/>
  <c r="G94" i="22" s="1"/>
  <c r="H94" i="22"/>
  <c r="I94" i="22"/>
  <c r="A95" i="22"/>
  <c r="H95" i="22"/>
  <c r="A96" i="22"/>
  <c r="G96" i="22"/>
  <c r="H96" i="22"/>
  <c r="I96" i="22"/>
  <c r="A97" i="22"/>
  <c r="H97" i="22"/>
  <c r="A98" i="22"/>
  <c r="G98" i="22" s="1"/>
  <c r="H98" i="22"/>
  <c r="I98" i="22"/>
  <c r="A99" i="22"/>
  <c r="H99" i="22"/>
  <c r="A100" i="22"/>
  <c r="G100" i="22"/>
  <c r="H100" i="22"/>
  <c r="I100" i="22"/>
  <c r="A101" i="22"/>
  <c r="G101" i="22"/>
  <c r="H101" i="22"/>
  <c r="I101" i="22"/>
  <c r="A3" i="23"/>
  <c r="G3" i="23"/>
  <c r="H3" i="23"/>
  <c r="I3" i="23"/>
  <c r="A4" i="23"/>
  <c r="G4" i="23" s="1"/>
  <c r="H4" i="23"/>
  <c r="I4" i="23"/>
  <c r="A5" i="23"/>
  <c r="H5" i="23"/>
  <c r="A6" i="23"/>
  <c r="G6" i="23"/>
  <c r="H6" i="23"/>
  <c r="I6" i="23"/>
  <c r="A7" i="23"/>
  <c r="H7" i="23"/>
  <c r="A8" i="23"/>
  <c r="G8" i="23" s="1"/>
  <c r="H8" i="23"/>
  <c r="I8" i="23"/>
  <c r="A9" i="23"/>
  <c r="G9" i="23" s="1"/>
  <c r="H9" i="23"/>
  <c r="I9" i="23"/>
  <c r="A10" i="23"/>
  <c r="G10" i="23" s="1"/>
  <c r="H10" i="23"/>
  <c r="I10" i="23"/>
  <c r="A11" i="23"/>
  <c r="H11" i="23"/>
  <c r="A12" i="23"/>
  <c r="G12" i="23"/>
  <c r="H12" i="23"/>
  <c r="I12" i="23"/>
  <c r="A13" i="23"/>
  <c r="G13" i="23" s="1"/>
  <c r="H13" i="23"/>
  <c r="I13" i="23"/>
  <c r="A14" i="23"/>
  <c r="G14" i="23"/>
  <c r="H14" i="23"/>
  <c r="I14" i="23"/>
  <c r="A15" i="23"/>
  <c r="G15" i="23"/>
  <c r="H15" i="23"/>
  <c r="I15" i="23"/>
  <c r="A16" i="23"/>
  <c r="H16" i="23"/>
  <c r="A17" i="23"/>
  <c r="G17" i="23" s="1"/>
  <c r="H17" i="23"/>
  <c r="I17" i="23"/>
  <c r="A18" i="23"/>
  <c r="G18" i="23"/>
  <c r="H18" i="23"/>
  <c r="I18" i="23"/>
  <c r="A19" i="23"/>
  <c r="H19" i="23"/>
  <c r="A20" i="23"/>
  <c r="G20" i="23" s="1"/>
  <c r="H20" i="23"/>
  <c r="I20" i="23"/>
  <c r="A21" i="23"/>
  <c r="H21" i="23"/>
  <c r="A22" i="23"/>
  <c r="G22" i="23" s="1"/>
  <c r="H22" i="23"/>
  <c r="I22" i="23"/>
  <c r="A23" i="23"/>
  <c r="G23" i="23" s="1"/>
  <c r="H23" i="23"/>
  <c r="I23" i="23"/>
  <c r="A24" i="23"/>
  <c r="G24" i="23" s="1"/>
  <c r="H24" i="23"/>
  <c r="I24" i="23"/>
  <c r="A25" i="23"/>
  <c r="G25" i="23"/>
  <c r="H25" i="23"/>
  <c r="I25" i="23"/>
  <c r="A26" i="23"/>
  <c r="H26" i="23"/>
  <c r="A27" i="23"/>
  <c r="G27" i="23" s="1"/>
  <c r="H27" i="23"/>
  <c r="I27" i="23"/>
  <c r="A28" i="23"/>
  <c r="G28" i="23"/>
  <c r="H28" i="23"/>
  <c r="I28" i="23"/>
  <c r="A29" i="23"/>
  <c r="H29" i="23"/>
  <c r="A30" i="23"/>
  <c r="G30" i="23" s="1"/>
  <c r="H30" i="23"/>
  <c r="I30" i="23"/>
  <c r="A31" i="23"/>
  <c r="G31" i="23" s="1"/>
  <c r="H31" i="23"/>
  <c r="I31" i="23"/>
  <c r="A32" i="23"/>
  <c r="G32" i="23" s="1"/>
  <c r="H32" i="23"/>
  <c r="I32" i="23"/>
  <c r="A33" i="23"/>
  <c r="H33" i="23"/>
  <c r="A34" i="23"/>
  <c r="H34" i="23"/>
  <c r="A35" i="23"/>
  <c r="G35" i="23"/>
  <c r="H35" i="23"/>
  <c r="I35" i="23"/>
  <c r="A36" i="23"/>
  <c r="G36" i="23" s="1"/>
  <c r="H36" i="23"/>
  <c r="I36" i="23"/>
  <c r="A37" i="23"/>
  <c r="G37" i="23"/>
  <c r="H37" i="23"/>
  <c r="I37" i="23"/>
  <c r="A38" i="23"/>
  <c r="H38" i="23"/>
  <c r="A39" i="23"/>
  <c r="H39" i="23"/>
  <c r="A40" i="23"/>
  <c r="H40" i="23"/>
  <c r="A41" i="23"/>
  <c r="G41" i="23"/>
  <c r="H41" i="23"/>
  <c r="I41" i="23"/>
  <c r="A42" i="23"/>
  <c r="G42" i="23" s="1"/>
  <c r="H42" i="23"/>
  <c r="I42" i="23"/>
  <c r="A43" i="23"/>
  <c r="G43" i="23"/>
  <c r="H43" i="23"/>
  <c r="I43" i="23"/>
  <c r="A44" i="23"/>
  <c r="G44" i="23" s="1"/>
  <c r="H44" i="23"/>
  <c r="I44" i="23"/>
  <c r="A45" i="23"/>
  <c r="G45" i="23" s="1"/>
  <c r="H45" i="23"/>
  <c r="I45" i="23"/>
  <c r="A46" i="23"/>
  <c r="H46" i="23"/>
  <c r="A47" i="23"/>
  <c r="H47" i="23"/>
  <c r="A48" i="23"/>
  <c r="G48" i="23"/>
  <c r="H48" i="23"/>
  <c r="I48" i="23"/>
  <c r="A49" i="23"/>
  <c r="G49" i="23" s="1"/>
  <c r="H49" i="23"/>
  <c r="I49" i="23"/>
  <c r="A50" i="23"/>
  <c r="G50" i="23" s="1"/>
  <c r="H50" i="23"/>
  <c r="I50" i="23"/>
  <c r="A51" i="23"/>
  <c r="G51" i="23"/>
  <c r="H51" i="23"/>
  <c r="I51" i="23"/>
  <c r="A52" i="23"/>
  <c r="G52" i="23" s="1"/>
  <c r="H52" i="23"/>
  <c r="I52" i="23"/>
  <c r="A53" i="23"/>
  <c r="H53" i="23"/>
  <c r="A54" i="23"/>
  <c r="G54" i="23"/>
  <c r="H54" i="23"/>
  <c r="I54" i="23"/>
  <c r="A55" i="23"/>
  <c r="G55" i="23"/>
  <c r="H55" i="23"/>
  <c r="I55" i="23"/>
  <c r="A56" i="23"/>
  <c r="H56" i="23"/>
  <c r="A57" i="23"/>
  <c r="G57" i="23" s="1"/>
  <c r="H57" i="23"/>
  <c r="I57" i="23"/>
  <c r="A58" i="23"/>
  <c r="H58" i="23"/>
  <c r="A59" i="23"/>
  <c r="H59" i="23"/>
  <c r="A60" i="23"/>
  <c r="G60" i="23" s="1"/>
  <c r="H60" i="23"/>
  <c r="I60" i="23"/>
  <c r="A61" i="23"/>
  <c r="G61" i="23"/>
  <c r="H61" i="23"/>
  <c r="I61" i="23"/>
  <c r="A62" i="23"/>
  <c r="G62" i="23" s="1"/>
  <c r="H62" i="23"/>
  <c r="I62" i="23"/>
  <c r="A63" i="23"/>
  <c r="G63" i="23" s="1"/>
  <c r="H63" i="23"/>
  <c r="I63" i="23"/>
  <c r="A64" i="23"/>
  <c r="H64" i="23"/>
  <c r="A65" i="23"/>
  <c r="G65" i="23" s="1"/>
  <c r="H65" i="23"/>
  <c r="I65" i="23"/>
  <c r="A66" i="23"/>
  <c r="G66" i="23" s="1"/>
  <c r="H66" i="23"/>
  <c r="I66" i="23"/>
  <c r="A67" i="23"/>
  <c r="H67" i="23"/>
  <c r="A68" i="23"/>
  <c r="G68" i="23" s="1"/>
  <c r="H68" i="23"/>
  <c r="I68" i="23"/>
  <c r="A69" i="23"/>
  <c r="H69" i="23"/>
  <c r="A70" i="23"/>
  <c r="G70" i="23" s="1"/>
  <c r="H70" i="23"/>
  <c r="I70" i="23"/>
  <c r="A71" i="23"/>
  <c r="G71" i="23"/>
  <c r="H71" i="23"/>
  <c r="I71" i="23"/>
  <c r="A72" i="23"/>
  <c r="G72" i="23" s="1"/>
  <c r="H72" i="23"/>
  <c r="I72" i="23"/>
  <c r="A73" i="23"/>
  <c r="G73" i="23"/>
  <c r="H73" i="23"/>
  <c r="I73" i="23"/>
  <c r="A74" i="23"/>
  <c r="G74" i="23" s="1"/>
  <c r="H74" i="23"/>
  <c r="I74" i="23"/>
  <c r="A75" i="23"/>
  <c r="H75" i="23"/>
  <c r="A76" i="23"/>
  <c r="H76" i="23"/>
  <c r="A77" i="23"/>
  <c r="G77" i="23" s="1"/>
  <c r="H77" i="23"/>
  <c r="I77" i="23"/>
  <c r="A78" i="23"/>
  <c r="G78" i="23" s="1"/>
  <c r="H78" i="23"/>
  <c r="I78" i="23"/>
  <c r="A79" i="23"/>
  <c r="G79" i="23" s="1"/>
  <c r="H79" i="23"/>
  <c r="I79" i="23"/>
  <c r="A80" i="23"/>
  <c r="G80" i="23"/>
  <c r="H80" i="23"/>
  <c r="I80" i="23"/>
  <c r="A81" i="23"/>
  <c r="G81" i="23" s="1"/>
  <c r="H81" i="23"/>
  <c r="I81" i="23"/>
  <c r="A82" i="23"/>
  <c r="G82" i="23" s="1"/>
  <c r="H82" i="23"/>
  <c r="I82" i="23"/>
  <c r="A83" i="23"/>
  <c r="G83" i="23" s="1"/>
  <c r="H83" i="23"/>
  <c r="I83" i="23"/>
  <c r="A84" i="23"/>
  <c r="H84" i="23"/>
  <c r="A85" i="23"/>
  <c r="G85" i="23"/>
  <c r="H85" i="23"/>
  <c r="I85" i="23"/>
  <c r="A86" i="23"/>
  <c r="G86" i="23"/>
  <c r="H86" i="23"/>
  <c r="I86" i="23"/>
  <c r="A87" i="23"/>
  <c r="G87" i="23"/>
  <c r="H87" i="23"/>
  <c r="I87" i="23"/>
  <c r="A88" i="23"/>
  <c r="G88" i="23"/>
  <c r="H88" i="23"/>
  <c r="I88" i="23"/>
  <c r="A89" i="23"/>
  <c r="G89" i="23"/>
  <c r="H89" i="23"/>
  <c r="I89" i="23"/>
  <c r="A90" i="23"/>
  <c r="G90" i="23"/>
  <c r="H90" i="23"/>
  <c r="I90" i="23"/>
  <c r="A91" i="23"/>
  <c r="G91" i="23"/>
  <c r="H91" i="23"/>
  <c r="I91" i="23"/>
  <c r="A92" i="23"/>
  <c r="G92" i="23"/>
  <c r="H92" i="23"/>
  <c r="I92" i="23"/>
  <c r="A93" i="23"/>
  <c r="G93" i="23"/>
  <c r="H93" i="23"/>
  <c r="I93" i="23"/>
  <c r="A94" i="23"/>
  <c r="G94" i="23"/>
  <c r="H94" i="23"/>
  <c r="I94" i="23"/>
  <c r="A95" i="23"/>
  <c r="G95" i="23"/>
  <c r="H95" i="23"/>
  <c r="I95" i="23"/>
  <c r="A96" i="23"/>
  <c r="G96" i="23"/>
  <c r="H96" i="23"/>
  <c r="I96" i="23"/>
  <c r="A97" i="23"/>
  <c r="G97" i="23"/>
  <c r="H97" i="23"/>
  <c r="I97" i="23"/>
  <c r="A98" i="23"/>
  <c r="G98" i="23"/>
  <c r="H98" i="23"/>
  <c r="I98" i="23"/>
  <c r="A99" i="23"/>
  <c r="G99" i="23"/>
  <c r="H99" i="23"/>
  <c r="I99" i="23"/>
  <c r="A100" i="23"/>
  <c r="G100" i="23"/>
  <c r="H100" i="23"/>
  <c r="I100" i="23"/>
  <c r="A101" i="23"/>
  <c r="G101" i="23"/>
  <c r="H101" i="23"/>
  <c r="I101" i="23"/>
  <c r="A3" i="24"/>
  <c r="G3" i="24"/>
  <c r="H3" i="24"/>
  <c r="I3" i="24"/>
  <c r="A4" i="24"/>
  <c r="G4" i="24"/>
  <c r="H4" i="24"/>
  <c r="I4" i="24"/>
  <c r="A5" i="24"/>
  <c r="G5" i="24"/>
  <c r="H5" i="24"/>
  <c r="I5" i="24"/>
  <c r="A6" i="24"/>
  <c r="G6" i="24"/>
  <c r="H6" i="24"/>
  <c r="I6" i="24"/>
  <c r="A7" i="24"/>
  <c r="G7" i="24"/>
  <c r="H7" i="24"/>
  <c r="I7" i="24"/>
  <c r="A8" i="24"/>
  <c r="G8" i="24"/>
  <c r="H8" i="24"/>
  <c r="I8" i="24"/>
  <c r="A9" i="24"/>
  <c r="G9" i="24"/>
  <c r="H9" i="24"/>
  <c r="I9" i="24"/>
  <c r="A10" i="24"/>
  <c r="G10" i="24"/>
  <c r="H10" i="24"/>
  <c r="I10" i="24"/>
  <c r="A11" i="24"/>
  <c r="G11" i="24"/>
  <c r="H11" i="24"/>
  <c r="I11" i="24"/>
  <c r="A12" i="24"/>
  <c r="G12" i="24"/>
  <c r="H12" i="24"/>
  <c r="I12" i="24"/>
  <c r="A13" i="24"/>
  <c r="G13" i="24"/>
  <c r="H13" i="24"/>
  <c r="I13" i="24"/>
  <c r="A14" i="24"/>
  <c r="G14" i="24"/>
  <c r="H14" i="24"/>
  <c r="I14" i="24"/>
  <c r="A15" i="24"/>
  <c r="G15" i="24"/>
  <c r="H15" i="24"/>
  <c r="I15" i="24"/>
  <c r="A16" i="24"/>
  <c r="G16" i="24"/>
  <c r="H16" i="24"/>
  <c r="I16" i="24"/>
  <c r="A17" i="24"/>
  <c r="G17" i="24"/>
  <c r="H17" i="24"/>
  <c r="I17" i="24"/>
  <c r="A18" i="24"/>
  <c r="G18" i="24"/>
  <c r="H18" i="24"/>
  <c r="I18" i="24"/>
  <c r="A19" i="24"/>
  <c r="G19" i="24"/>
  <c r="H19" i="24"/>
  <c r="I19" i="24"/>
  <c r="A20" i="24"/>
  <c r="G20" i="24"/>
  <c r="H20" i="24"/>
  <c r="I20" i="24"/>
  <c r="A21" i="24"/>
  <c r="G21" i="24"/>
  <c r="H21" i="24"/>
  <c r="I21" i="24"/>
  <c r="A22" i="24"/>
  <c r="G22" i="24"/>
  <c r="H22" i="24"/>
  <c r="I22" i="24"/>
  <c r="A23" i="24"/>
  <c r="G23" i="24"/>
  <c r="H23" i="24"/>
  <c r="I23" i="24"/>
  <c r="A24" i="24"/>
  <c r="G24" i="24"/>
  <c r="H24" i="24"/>
  <c r="I24" i="24"/>
  <c r="A25" i="24"/>
  <c r="G25" i="24"/>
  <c r="H25" i="24"/>
  <c r="I25" i="24"/>
  <c r="A26" i="24"/>
  <c r="G26" i="24"/>
  <c r="H26" i="24"/>
  <c r="I26" i="24"/>
  <c r="A27" i="24"/>
  <c r="G27" i="24"/>
  <c r="H27" i="24"/>
  <c r="I27" i="24"/>
  <c r="A28" i="24"/>
  <c r="G28" i="24"/>
  <c r="H28" i="24"/>
  <c r="I28" i="24"/>
  <c r="A29" i="24"/>
  <c r="G29" i="24"/>
  <c r="H29" i="24"/>
  <c r="I29" i="24"/>
  <c r="A30" i="24"/>
  <c r="G30" i="24"/>
  <c r="H30" i="24"/>
  <c r="I30" i="24"/>
  <c r="A31" i="24"/>
  <c r="G31" i="24"/>
  <c r="H31" i="24"/>
  <c r="I31" i="24"/>
  <c r="A32" i="24"/>
  <c r="G32" i="24"/>
  <c r="H32" i="24"/>
  <c r="I32" i="24"/>
  <c r="A33" i="24"/>
  <c r="G33" i="24"/>
  <c r="H33" i="24"/>
  <c r="I33" i="24"/>
  <c r="A34" i="24"/>
  <c r="G34" i="24"/>
  <c r="H34" i="24"/>
  <c r="I34" i="24"/>
  <c r="A35" i="24"/>
  <c r="G35" i="24"/>
  <c r="H35" i="24"/>
  <c r="I35" i="24"/>
  <c r="A36" i="24"/>
  <c r="G36" i="24"/>
  <c r="H36" i="24"/>
  <c r="I36" i="24"/>
  <c r="A37" i="24"/>
  <c r="G37" i="24"/>
  <c r="H37" i="24"/>
  <c r="I37" i="24"/>
  <c r="A38" i="24"/>
  <c r="G38" i="24"/>
  <c r="H38" i="24"/>
  <c r="I38" i="24"/>
  <c r="A39" i="24"/>
  <c r="G39" i="24"/>
  <c r="H39" i="24"/>
  <c r="I39" i="24"/>
  <c r="A40" i="24"/>
  <c r="G40" i="24"/>
  <c r="H40" i="24"/>
  <c r="I40" i="24"/>
  <c r="A41" i="24"/>
  <c r="G41" i="24"/>
  <c r="H41" i="24"/>
  <c r="I41" i="24"/>
  <c r="A42" i="24"/>
  <c r="G42" i="24"/>
  <c r="H42" i="24"/>
  <c r="I42" i="24"/>
  <c r="A43" i="24"/>
  <c r="G43" i="24"/>
  <c r="H43" i="24"/>
  <c r="I43" i="24"/>
  <c r="A44" i="24"/>
  <c r="G44" i="24"/>
  <c r="H44" i="24"/>
  <c r="I44" i="24"/>
  <c r="A45" i="24"/>
  <c r="G45" i="24"/>
  <c r="H45" i="24"/>
  <c r="I45" i="24"/>
  <c r="A46" i="24"/>
  <c r="G46" i="24"/>
  <c r="H46" i="24"/>
  <c r="I46" i="24"/>
  <c r="A47" i="24"/>
  <c r="G47" i="24"/>
  <c r="H47" i="24"/>
  <c r="I47" i="24"/>
  <c r="A48" i="24"/>
  <c r="G48" i="24"/>
  <c r="H48" i="24"/>
  <c r="I48" i="24"/>
  <c r="A49" i="24"/>
  <c r="G49" i="24"/>
  <c r="H49" i="24"/>
  <c r="I49" i="24"/>
  <c r="A50" i="24"/>
  <c r="G50" i="24"/>
  <c r="H50" i="24"/>
  <c r="I50" i="24"/>
  <c r="A51" i="24"/>
  <c r="G51" i="24"/>
  <c r="H51" i="24"/>
  <c r="I51" i="24"/>
  <c r="A52" i="24"/>
  <c r="G52" i="24"/>
  <c r="H52" i="24"/>
  <c r="I52" i="24"/>
  <c r="A53" i="24"/>
  <c r="G53" i="24"/>
  <c r="H53" i="24"/>
  <c r="I53" i="24"/>
  <c r="A54" i="24"/>
  <c r="G54" i="24"/>
  <c r="H54" i="24"/>
  <c r="I54" i="24"/>
  <c r="A55" i="24"/>
  <c r="G55" i="24"/>
  <c r="H55" i="24"/>
  <c r="I55" i="24"/>
  <c r="A56" i="24"/>
  <c r="G56" i="24"/>
  <c r="H56" i="24"/>
  <c r="I56" i="24"/>
  <c r="A57" i="24"/>
  <c r="G57" i="24"/>
  <c r="H57" i="24"/>
  <c r="I57" i="24"/>
  <c r="A58" i="24"/>
  <c r="G58" i="24"/>
  <c r="H58" i="24"/>
  <c r="I58" i="24"/>
  <c r="A59" i="24"/>
  <c r="G59" i="24"/>
  <c r="H59" i="24"/>
  <c r="I59" i="24"/>
  <c r="A60" i="24"/>
  <c r="G60" i="24"/>
  <c r="H60" i="24"/>
  <c r="I60" i="24"/>
  <c r="A61" i="24"/>
  <c r="G61" i="24"/>
  <c r="H61" i="24"/>
  <c r="I61" i="24"/>
  <c r="A62" i="24"/>
  <c r="G62" i="24"/>
  <c r="H62" i="24"/>
  <c r="I62" i="24"/>
  <c r="A63" i="24"/>
  <c r="G63" i="24"/>
  <c r="H63" i="24"/>
  <c r="I63" i="24"/>
  <c r="A64" i="24"/>
  <c r="G64" i="24"/>
  <c r="H64" i="24"/>
  <c r="I64" i="24"/>
  <c r="A65" i="24"/>
  <c r="G65" i="24"/>
  <c r="H65" i="24"/>
  <c r="I65" i="24"/>
  <c r="A66" i="24"/>
  <c r="G66" i="24"/>
  <c r="H66" i="24"/>
  <c r="I66" i="24"/>
  <c r="A67" i="24"/>
  <c r="G67" i="24"/>
  <c r="H67" i="24"/>
  <c r="I67" i="24"/>
  <c r="A68" i="24"/>
  <c r="G68" i="24"/>
  <c r="H68" i="24"/>
  <c r="I68" i="24"/>
  <c r="A69" i="24"/>
  <c r="G69" i="24"/>
  <c r="H69" i="24"/>
  <c r="I69" i="24"/>
  <c r="A70" i="24"/>
  <c r="G70" i="24"/>
  <c r="H70" i="24"/>
  <c r="I70" i="24"/>
  <c r="A71" i="24"/>
  <c r="G71" i="24"/>
  <c r="H71" i="24"/>
  <c r="I71" i="24"/>
  <c r="A72" i="24"/>
  <c r="G72" i="24"/>
  <c r="H72" i="24"/>
  <c r="I72" i="24"/>
  <c r="A73" i="24"/>
  <c r="G73" i="24"/>
  <c r="H73" i="24"/>
  <c r="I73" i="24"/>
  <c r="A74" i="24"/>
  <c r="G74" i="24"/>
  <c r="H74" i="24"/>
  <c r="I74" i="24"/>
  <c r="A75" i="24"/>
  <c r="G75" i="24"/>
  <c r="H75" i="24"/>
  <c r="I75" i="24"/>
  <c r="A76" i="24"/>
  <c r="G76" i="24"/>
  <c r="H76" i="24"/>
  <c r="I76" i="24"/>
  <c r="A77" i="24"/>
  <c r="G77" i="24"/>
  <c r="H77" i="24"/>
  <c r="I77" i="24"/>
  <c r="A78" i="24"/>
  <c r="G78" i="24"/>
  <c r="H78" i="24"/>
  <c r="I78" i="24"/>
  <c r="A79" i="24"/>
  <c r="G79" i="24"/>
  <c r="H79" i="24"/>
  <c r="I79" i="24"/>
  <c r="A80" i="24"/>
  <c r="G80" i="24"/>
  <c r="H80" i="24"/>
  <c r="I80" i="24"/>
  <c r="A81" i="24"/>
  <c r="G81" i="24"/>
  <c r="H81" i="24"/>
  <c r="I81" i="24"/>
  <c r="A82" i="24"/>
  <c r="G82" i="24"/>
  <c r="H82" i="24"/>
  <c r="I82" i="24"/>
  <c r="A83" i="24"/>
  <c r="G83" i="24"/>
  <c r="H83" i="24"/>
  <c r="I83" i="24"/>
  <c r="A84" i="24"/>
  <c r="G84" i="24"/>
  <c r="H84" i="24"/>
  <c r="I84" i="24"/>
  <c r="A85" i="24"/>
  <c r="G85" i="24"/>
  <c r="H85" i="24"/>
  <c r="I85" i="24"/>
  <c r="A86" i="24"/>
  <c r="G86" i="24"/>
  <c r="H86" i="24"/>
  <c r="I86" i="24"/>
  <c r="A87" i="24"/>
  <c r="G87" i="24"/>
  <c r="H87" i="24"/>
  <c r="I87" i="24"/>
  <c r="A88" i="24"/>
  <c r="G88" i="24"/>
  <c r="H88" i="24"/>
  <c r="I88" i="24"/>
  <c r="A89" i="24"/>
  <c r="G89" i="24"/>
  <c r="H89" i="24"/>
  <c r="I89" i="24"/>
  <c r="A90" i="24"/>
  <c r="G90" i="24"/>
  <c r="H90" i="24"/>
  <c r="I90" i="24"/>
  <c r="A91" i="24"/>
  <c r="G91" i="24"/>
  <c r="H91" i="24"/>
  <c r="I91" i="24"/>
  <c r="A92" i="24"/>
  <c r="G92" i="24"/>
  <c r="H92" i="24"/>
  <c r="I92" i="24"/>
  <c r="A93" i="24"/>
  <c r="G93" i="24"/>
  <c r="H93" i="24"/>
  <c r="I93" i="24"/>
  <c r="A94" i="24"/>
  <c r="G94" i="24"/>
  <c r="H94" i="24"/>
  <c r="I94" i="24"/>
  <c r="A95" i="24"/>
  <c r="G95" i="24"/>
  <c r="H95" i="24"/>
  <c r="I95" i="24"/>
  <c r="A96" i="24"/>
  <c r="G96" i="24"/>
  <c r="H96" i="24"/>
  <c r="I96" i="24"/>
  <c r="A97" i="24"/>
  <c r="G97" i="24"/>
  <c r="H97" i="24"/>
  <c r="I97" i="24"/>
  <c r="A98" i="24"/>
  <c r="G98" i="24"/>
  <c r="H98" i="24"/>
  <c r="I98" i="24"/>
  <c r="A99" i="24"/>
  <c r="G99" i="24"/>
  <c r="H99" i="24"/>
  <c r="I99" i="24"/>
  <c r="A100" i="24"/>
  <c r="G100" i="24"/>
  <c r="H100" i="24"/>
  <c r="I100" i="24"/>
  <c r="A101" i="24"/>
  <c r="G101" i="24"/>
  <c r="H101" i="24"/>
  <c r="I101" i="24"/>
  <c r="A3" i="25"/>
  <c r="G3" i="25"/>
  <c r="H3" i="25"/>
  <c r="I3" i="25"/>
  <c r="A4" i="25"/>
  <c r="G4" i="25"/>
  <c r="H4" i="25"/>
  <c r="I4" i="25"/>
  <c r="A5" i="25"/>
  <c r="G5" i="25"/>
  <c r="H5" i="25"/>
  <c r="I5" i="25"/>
  <c r="A6" i="25"/>
  <c r="G6" i="25"/>
  <c r="H6" i="25"/>
  <c r="I6" i="25"/>
  <c r="A7" i="25"/>
  <c r="G7" i="25"/>
  <c r="H7" i="25"/>
  <c r="I7" i="25"/>
  <c r="A8" i="25"/>
  <c r="G8" i="25"/>
  <c r="H8" i="25"/>
  <c r="I8" i="25"/>
  <c r="A9" i="25"/>
  <c r="G9" i="25"/>
  <c r="H9" i="25"/>
  <c r="I9" i="25"/>
  <c r="A10" i="25"/>
  <c r="G10" i="25"/>
  <c r="H10" i="25"/>
  <c r="I10" i="25"/>
  <c r="A11" i="25"/>
  <c r="G11" i="25"/>
  <c r="H11" i="25"/>
  <c r="I11" i="25"/>
  <c r="A12" i="25"/>
  <c r="G12" i="25"/>
  <c r="H12" i="25"/>
  <c r="I12" i="25"/>
  <c r="A13" i="25"/>
  <c r="G13" i="25"/>
  <c r="H13" i="25"/>
  <c r="I13" i="25"/>
  <c r="A14" i="25"/>
  <c r="G14" i="25"/>
  <c r="H14" i="25"/>
  <c r="I14" i="25"/>
  <c r="A15" i="25"/>
  <c r="G15" i="25"/>
  <c r="H15" i="25"/>
  <c r="I15" i="25"/>
  <c r="A16" i="25"/>
  <c r="G16" i="25"/>
  <c r="H16" i="25"/>
  <c r="I16" i="25"/>
  <c r="A17" i="25"/>
  <c r="G17" i="25"/>
  <c r="H17" i="25"/>
  <c r="I17" i="25"/>
  <c r="A18" i="25"/>
  <c r="G18" i="25"/>
  <c r="H18" i="25"/>
  <c r="I18" i="25"/>
  <c r="A19" i="25"/>
  <c r="G19" i="25"/>
  <c r="H19" i="25"/>
  <c r="I19" i="25"/>
  <c r="A20" i="25"/>
  <c r="G20" i="25"/>
  <c r="H20" i="25"/>
  <c r="I20" i="25"/>
  <c r="A21" i="25"/>
  <c r="G21" i="25"/>
  <c r="H21" i="25"/>
  <c r="I21" i="25"/>
  <c r="A22" i="25"/>
  <c r="G22" i="25"/>
  <c r="H22" i="25"/>
  <c r="I22" i="25"/>
  <c r="A23" i="25"/>
  <c r="G23" i="25"/>
  <c r="H23" i="25"/>
  <c r="I23" i="25"/>
  <c r="A24" i="25"/>
  <c r="G24" i="25"/>
  <c r="H24" i="25"/>
  <c r="I24" i="25"/>
  <c r="A25" i="25"/>
  <c r="G25" i="25"/>
  <c r="H25" i="25"/>
  <c r="I25" i="25"/>
  <c r="A26" i="25"/>
  <c r="G26" i="25"/>
  <c r="H26" i="25"/>
  <c r="I26" i="25"/>
  <c r="A27" i="25"/>
  <c r="G27" i="25"/>
  <c r="H27" i="25"/>
  <c r="I27" i="25"/>
  <c r="A28" i="25"/>
  <c r="G28" i="25"/>
  <c r="H28" i="25"/>
  <c r="I28" i="25"/>
  <c r="A29" i="25"/>
  <c r="G29" i="25"/>
  <c r="H29" i="25"/>
  <c r="I29" i="25"/>
  <c r="A30" i="25"/>
  <c r="G30" i="25"/>
  <c r="H30" i="25"/>
  <c r="I30" i="25"/>
  <c r="A31" i="25"/>
  <c r="G31" i="25"/>
  <c r="H31" i="25"/>
  <c r="I31" i="25"/>
  <c r="A32" i="25"/>
  <c r="G32" i="25"/>
  <c r="H32" i="25"/>
  <c r="I32" i="25"/>
  <c r="A33" i="25"/>
  <c r="G33" i="25"/>
  <c r="H33" i="25"/>
  <c r="I33" i="25"/>
  <c r="A34" i="25"/>
  <c r="G34" i="25"/>
  <c r="H34" i="25"/>
  <c r="I34" i="25"/>
  <c r="A35" i="25"/>
  <c r="G35" i="25"/>
  <c r="H35" i="25"/>
  <c r="I35" i="25"/>
  <c r="A36" i="25"/>
  <c r="G36" i="25"/>
  <c r="H36" i="25"/>
  <c r="I36" i="25"/>
  <c r="A37" i="25"/>
  <c r="G37" i="25"/>
  <c r="H37" i="25"/>
  <c r="I37" i="25"/>
  <c r="A38" i="25"/>
  <c r="G38" i="25"/>
  <c r="H38" i="25"/>
  <c r="I38" i="25"/>
  <c r="A39" i="25"/>
  <c r="G39" i="25"/>
  <c r="H39" i="25"/>
  <c r="I39" i="25"/>
  <c r="A40" i="25"/>
  <c r="G40" i="25"/>
  <c r="H40" i="25"/>
  <c r="I40" i="25"/>
  <c r="A41" i="25"/>
  <c r="G41" i="25"/>
  <c r="H41" i="25"/>
  <c r="I41" i="25"/>
  <c r="A42" i="25"/>
  <c r="G42" i="25"/>
  <c r="H42" i="25"/>
  <c r="I42" i="25"/>
  <c r="A43" i="25"/>
  <c r="G43" i="25"/>
  <c r="H43" i="25"/>
  <c r="I43" i="25"/>
  <c r="A44" i="25"/>
  <c r="G44" i="25"/>
  <c r="H44" i="25"/>
  <c r="I44" i="25"/>
  <c r="A45" i="25"/>
  <c r="G45" i="25"/>
  <c r="H45" i="25"/>
  <c r="I45" i="25"/>
  <c r="A46" i="25"/>
  <c r="G46" i="25"/>
  <c r="H46" i="25"/>
  <c r="I46" i="25"/>
  <c r="A47" i="25"/>
  <c r="G47" i="25"/>
  <c r="H47" i="25"/>
  <c r="I47" i="25"/>
  <c r="A48" i="25"/>
  <c r="G48" i="25"/>
  <c r="H48" i="25"/>
  <c r="I48" i="25"/>
  <c r="A49" i="25"/>
  <c r="G49" i="25"/>
  <c r="H49" i="25"/>
  <c r="I49" i="25"/>
  <c r="A50" i="25"/>
  <c r="G50" i="25"/>
  <c r="H50" i="25"/>
  <c r="I50" i="25"/>
  <c r="A51" i="25"/>
  <c r="G51" i="25"/>
  <c r="H51" i="25"/>
  <c r="I51" i="25"/>
  <c r="A52" i="25"/>
  <c r="G52" i="25"/>
  <c r="H52" i="25"/>
  <c r="I52" i="25"/>
  <c r="A53" i="25"/>
  <c r="G53" i="25"/>
  <c r="H53" i="25"/>
  <c r="I53" i="25"/>
  <c r="A54" i="25"/>
  <c r="G54" i="25"/>
  <c r="H54" i="25"/>
  <c r="I54" i="25"/>
  <c r="A55" i="25"/>
  <c r="G55" i="25"/>
  <c r="H55" i="25"/>
  <c r="I55" i="25"/>
  <c r="A56" i="25"/>
  <c r="G56" i="25"/>
  <c r="H56" i="25"/>
  <c r="I56" i="25"/>
  <c r="A57" i="25"/>
  <c r="G57" i="25"/>
  <c r="H57" i="25"/>
  <c r="I57" i="25"/>
  <c r="A58" i="25"/>
  <c r="G58" i="25"/>
  <c r="H58" i="25"/>
  <c r="I58" i="25"/>
  <c r="A59" i="25"/>
  <c r="G59" i="25"/>
  <c r="H59" i="25"/>
  <c r="I59" i="25"/>
  <c r="A60" i="25"/>
  <c r="G60" i="25"/>
  <c r="H60" i="25"/>
  <c r="I60" i="25"/>
  <c r="A61" i="25"/>
  <c r="G61" i="25"/>
  <c r="H61" i="25"/>
  <c r="I61" i="25"/>
  <c r="A62" i="25"/>
  <c r="G62" i="25"/>
  <c r="H62" i="25"/>
  <c r="I62" i="25"/>
  <c r="A63" i="25"/>
  <c r="G63" i="25"/>
  <c r="H63" i="25"/>
  <c r="I63" i="25"/>
  <c r="A64" i="25"/>
  <c r="G64" i="25"/>
  <c r="H64" i="25"/>
  <c r="I64" i="25"/>
  <c r="A65" i="25"/>
  <c r="G65" i="25"/>
  <c r="H65" i="25"/>
  <c r="I65" i="25"/>
  <c r="A66" i="25"/>
  <c r="G66" i="25"/>
  <c r="H66" i="25"/>
  <c r="I66" i="25"/>
  <c r="A67" i="25"/>
  <c r="G67" i="25"/>
  <c r="H67" i="25"/>
  <c r="I67" i="25"/>
  <c r="A68" i="25"/>
  <c r="G68" i="25"/>
  <c r="H68" i="25"/>
  <c r="I68" i="25"/>
  <c r="A69" i="25"/>
  <c r="G69" i="25"/>
  <c r="H69" i="25"/>
  <c r="I69" i="25"/>
  <c r="A70" i="25"/>
  <c r="G70" i="25"/>
  <c r="H70" i="25"/>
  <c r="I70" i="25"/>
  <c r="A71" i="25"/>
  <c r="G71" i="25"/>
  <c r="H71" i="25"/>
  <c r="I71" i="25"/>
  <c r="A72" i="25"/>
  <c r="G72" i="25"/>
  <c r="H72" i="25"/>
  <c r="I72" i="25"/>
  <c r="A73" i="25"/>
  <c r="G73" i="25"/>
  <c r="H73" i="25"/>
  <c r="I73" i="25"/>
  <c r="A74" i="25"/>
  <c r="G74" i="25"/>
  <c r="H74" i="25"/>
  <c r="I74" i="25"/>
  <c r="A75" i="25"/>
  <c r="G75" i="25"/>
  <c r="H75" i="25"/>
  <c r="I75" i="25"/>
  <c r="A76" i="25"/>
  <c r="G76" i="25"/>
  <c r="H76" i="25"/>
  <c r="I76" i="25"/>
  <c r="A77" i="25"/>
  <c r="G77" i="25"/>
  <c r="H77" i="25"/>
  <c r="I77" i="25"/>
  <c r="A78" i="25"/>
  <c r="G78" i="25"/>
  <c r="H78" i="25"/>
  <c r="I78" i="25"/>
  <c r="A79" i="25"/>
  <c r="G79" i="25"/>
  <c r="H79" i="25"/>
  <c r="I79" i="25"/>
  <c r="A80" i="25"/>
  <c r="G80" i="25" s="1"/>
  <c r="H80" i="25"/>
  <c r="I80" i="25"/>
  <c r="A81" i="25"/>
  <c r="H81" i="25"/>
  <c r="A82" i="25"/>
  <c r="H82" i="25"/>
  <c r="A83" i="25"/>
  <c r="G83" i="25" s="1"/>
  <c r="H83" i="25"/>
  <c r="I83" i="25"/>
  <c r="A84" i="25"/>
  <c r="H84" i="25"/>
  <c r="A85" i="25"/>
  <c r="G85" i="25" s="1"/>
  <c r="H85" i="25"/>
  <c r="I85" i="25"/>
  <c r="A86" i="25"/>
  <c r="H86" i="25"/>
  <c r="A87" i="25"/>
  <c r="G87" i="25" s="1"/>
  <c r="H87" i="25"/>
  <c r="I87" i="25"/>
  <c r="A88" i="25"/>
  <c r="G88" i="25"/>
  <c r="H88" i="25"/>
  <c r="I88" i="25"/>
  <c r="A89" i="25"/>
  <c r="G89" i="25" s="1"/>
  <c r="H89" i="25"/>
  <c r="I89" i="25"/>
  <c r="A90" i="25"/>
  <c r="H90" i="25"/>
  <c r="A91" i="25"/>
  <c r="H91" i="25"/>
  <c r="A92" i="25"/>
  <c r="G92" i="25"/>
  <c r="H92" i="25"/>
  <c r="I92" i="25"/>
  <c r="A93" i="25"/>
  <c r="G93" i="25" s="1"/>
  <c r="H93" i="25"/>
  <c r="I93" i="25"/>
  <c r="A94" i="25"/>
  <c r="G94" i="25" s="1"/>
  <c r="H94" i="25"/>
  <c r="I94" i="25"/>
  <c r="A95" i="25"/>
  <c r="G95" i="25"/>
  <c r="H95" i="25"/>
  <c r="I95" i="25"/>
  <c r="A96" i="25"/>
  <c r="G96" i="25"/>
  <c r="H96" i="25"/>
  <c r="I96" i="25"/>
  <c r="A97" i="25"/>
  <c r="H97" i="25"/>
  <c r="A98" i="25"/>
  <c r="G98" i="25" s="1"/>
  <c r="H98" i="25"/>
  <c r="I98" i="25"/>
  <c r="A99" i="25"/>
  <c r="G99" i="25"/>
  <c r="H99" i="25"/>
  <c r="I99" i="25"/>
  <c r="A100" i="25"/>
  <c r="I100" i="25" s="1"/>
  <c r="G100" i="25"/>
  <c r="H100" i="25"/>
  <c r="A101" i="25"/>
  <c r="H101" i="25"/>
  <c r="A3" i="26"/>
  <c r="G3" i="26" s="1"/>
  <c r="H3" i="26"/>
  <c r="I3" i="26"/>
  <c r="A4" i="26"/>
  <c r="H4" i="26"/>
  <c r="A5" i="26"/>
  <c r="G5" i="26"/>
  <c r="H5" i="26"/>
  <c r="I5" i="26"/>
  <c r="A6" i="26"/>
  <c r="G6" i="26" s="1"/>
  <c r="H6" i="26"/>
  <c r="I6" i="26"/>
  <c r="A7" i="26"/>
  <c r="H7" i="26"/>
  <c r="A8" i="26"/>
  <c r="G8" i="26"/>
  <c r="H8" i="26"/>
  <c r="I8" i="26"/>
  <c r="A9" i="26"/>
  <c r="G9" i="26"/>
  <c r="H9" i="26"/>
  <c r="I9" i="26"/>
  <c r="A10" i="26"/>
  <c r="H10" i="26"/>
  <c r="A11" i="26"/>
  <c r="H11" i="26"/>
  <c r="A12" i="26"/>
  <c r="H12" i="26"/>
  <c r="A13" i="26"/>
  <c r="G13" i="26" s="1"/>
  <c r="H13" i="26"/>
  <c r="I13" i="26"/>
  <c r="A14" i="26"/>
  <c r="G14" i="26" s="1"/>
  <c r="H14" i="26"/>
  <c r="I14" i="26"/>
  <c r="A15" i="26"/>
  <c r="G15" i="26" s="1"/>
  <c r="H15" i="26"/>
  <c r="I15" i="26"/>
  <c r="A16" i="26"/>
  <c r="G16" i="26" s="1"/>
  <c r="H16" i="26"/>
  <c r="I16" i="26"/>
  <c r="A17" i="26"/>
  <c r="H17" i="26"/>
  <c r="A18" i="26"/>
  <c r="G18" i="26" s="1"/>
  <c r="H18" i="26"/>
  <c r="I18" i="26"/>
  <c r="A19" i="26"/>
  <c r="H19" i="26"/>
  <c r="A20" i="26"/>
  <c r="G20" i="26" s="1"/>
  <c r="H20" i="26"/>
  <c r="I20" i="26"/>
  <c r="A21" i="26"/>
  <c r="G21" i="26"/>
  <c r="H21" i="26"/>
  <c r="I21" i="26"/>
  <c r="A22" i="26"/>
  <c r="G22" i="26"/>
  <c r="H22" i="26"/>
  <c r="I22" i="26"/>
  <c r="A23" i="26"/>
  <c r="G23" i="26" s="1"/>
  <c r="H23" i="26"/>
  <c r="I23" i="26"/>
  <c r="A24" i="26"/>
  <c r="G24" i="26" s="1"/>
  <c r="H24" i="26"/>
  <c r="I24" i="26"/>
  <c r="A25" i="26"/>
  <c r="G25" i="26" s="1"/>
  <c r="H25" i="26"/>
  <c r="I25" i="26"/>
  <c r="A26" i="26"/>
  <c r="H26" i="26"/>
  <c r="A27" i="26"/>
  <c r="H27" i="26"/>
  <c r="A28" i="26"/>
  <c r="H28" i="26"/>
  <c r="A29" i="26"/>
  <c r="H29" i="26"/>
  <c r="A30" i="26"/>
  <c r="G30" i="26"/>
  <c r="H30" i="26"/>
  <c r="I30" i="26"/>
  <c r="A31" i="26"/>
  <c r="H31" i="26"/>
  <c r="A32" i="26"/>
  <c r="G32" i="26"/>
  <c r="H32" i="26"/>
  <c r="I32" i="26"/>
  <c r="A33" i="26"/>
  <c r="G33" i="26"/>
  <c r="H33" i="26"/>
  <c r="I33" i="26"/>
  <c r="A34" i="26"/>
  <c r="G34" i="26" s="1"/>
  <c r="H34" i="26"/>
  <c r="I34" i="26"/>
  <c r="A35" i="26"/>
  <c r="G35" i="26" s="1"/>
  <c r="H35" i="26"/>
  <c r="I35" i="26"/>
  <c r="A36" i="26"/>
  <c r="H36" i="26"/>
  <c r="A37" i="26"/>
  <c r="I37" i="26" s="1"/>
  <c r="G37" i="26"/>
  <c r="H37" i="26"/>
  <c r="A38" i="26"/>
  <c r="H38" i="26"/>
  <c r="A39" i="26"/>
  <c r="H39" i="26"/>
  <c r="A40" i="26"/>
  <c r="H40" i="26"/>
  <c r="A41" i="26"/>
  <c r="G41" i="26" s="1"/>
  <c r="H41" i="26"/>
  <c r="I41" i="26"/>
  <c r="A42" i="26"/>
  <c r="G42" i="26"/>
  <c r="H42" i="26"/>
  <c r="I42" i="26"/>
  <c r="A43" i="26"/>
  <c r="H43" i="26"/>
  <c r="A44" i="26"/>
  <c r="G44" i="26"/>
  <c r="H44" i="26"/>
  <c r="I44" i="26"/>
  <c r="A45" i="26"/>
  <c r="G45" i="26" s="1"/>
  <c r="H45" i="26"/>
  <c r="I45" i="26"/>
  <c r="A46" i="26"/>
  <c r="I46" i="26" s="1"/>
  <c r="G46" i="26"/>
  <c r="H46" i="26"/>
  <c r="A47" i="26"/>
  <c r="G47" i="26"/>
  <c r="H47" i="26"/>
  <c r="I47" i="26"/>
  <c r="A48" i="26"/>
  <c r="H48" i="26"/>
  <c r="A49" i="26"/>
  <c r="H49" i="26"/>
  <c r="A50" i="26"/>
  <c r="H50" i="26"/>
  <c r="A51" i="26"/>
  <c r="H51" i="26"/>
  <c r="A52" i="26"/>
  <c r="G52" i="26"/>
  <c r="H52" i="26"/>
  <c r="I52" i="26"/>
  <c r="A53" i="26"/>
  <c r="G53" i="26"/>
  <c r="H53" i="26"/>
  <c r="I53" i="26"/>
  <c r="A54" i="26"/>
  <c r="G54" i="26" s="1"/>
  <c r="H54" i="26"/>
  <c r="I54" i="26"/>
  <c r="A55" i="26"/>
  <c r="G55" i="26" s="1"/>
  <c r="H55" i="26"/>
  <c r="I55" i="26"/>
  <c r="A56" i="26"/>
  <c r="G56" i="26" s="1"/>
  <c r="H56" i="26"/>
  <c r="I56" i="26"/>
  <c r="A57" i="26"/>
  <c r="G57" i="26"/>
  <c r="H57" i="26"/>
  <c r="I57" i="26"/>
  <c r="A58" i="26"/>
  <c r="G58" i="26" s="1"/>
  <c r="H58" i="26"/>
  <c r="I58" i="26"/>
  <c r="A59" i="26"/>
  <c r="G59" i="26"/>
  <c r="H59" i="26"/>
  <c r="I59" i="26"/>
  <c r="A60" i="26"/>
  <c r="H60" i="26"/>
  <c r="A61" i="26"/>
  <c r="G61" i="26" s="1"/>
  <c r="H61" i="26"/>
  <c r="I61" i="26"/>
  <c r="A62" i="26"/>
  <c r="G62" i="26" s="1"/>
  <c r="H62" i="26"/>
  <c r="I62" i="26"/>
  <c r="A63" i="26"/>
  <c r="G63" i="26" s="1"/>
  <c r="H63" i="26"/>
  <c r="I63" i="26"/>
  <c r="A64" i="26"/>
  <c r="H64" i="26"/>
  <c r="A65" i="26"/>
  <c r="G65" i="26"/>
  <c r="H65" i="26"/>
  <c r="I65" i="26"/>
  <c r="A66" i="26"/>
  <c r="G66" i="26" s="1"/>
  <c r="H66" i="26"/>
  <c r="I66" i="26"/>
  <c r="A67" i="26"/>
  <c r="G67" i="26" s="1"/>
  <c r="H67" i="26"/>
  <c r="I67" i="26"/>
  <c r="A68" i="26"/>
  <c r="G68" i="26"/>
  <c r="H68" i="26"/>
  <c r="I68" i="26"/>
  <c r="A69" i="26"/>
  <c r="H69" i="26"/>
  <c r="A70" i="26"/>
  <c r="G70" i="26" s="1"/>
  <c r="H70" i="26"/>
  <c r="I70" i="26"/>
  <c r="A71" i="26"/>
  <c r="G71" i="26"/>
  <c r="H71" i="26"/>
  <c r="I71" i="26"/>
  <c r="A72" i="26"/>
  <c r="G72" i="26"/>
  <c r="H72" i="26"/>
  <c r="I72" i="26"/>
  <c r="A73" i="26"/>
  <c r="G73" i="26"/>
  <c r="H73" i="26"/>
  <c r="I73" i="26"/>
  <c r="A74" i="26"/>
  <c r="G74" i="26" s="1"/>
  <c r="H74" i="26"/>
  <c r="I74" i="26"/>
  <c r="A75" i="26"/>
  <c r="G75" i="26"/>
  <c r="H75" i="26"/>
  <c r="I75" i="26"/>
  <c r="A76" i="26"/>
  <c r="G76" i="26"/>
  <c r="H76" i="26"/>
  <c r="I76" i="26"/>
  <c r="A77" i="26"/>
  <c r="G77" i="26"/>
  <c r="H77" i="26"/>
  <c r="I77" i="26"/>
  <c r="A78" i="26"/>
  <c r="G78" i="26"/>
  <c r="H78" i="26"/>
  <c r="I78" i="26"/>
  <c r="A79" i="26"/>
  <c r="G79" i="26" s="1"/>
  <c r="H79" i="26"/>
  <c r="I79" i="26"/>
  <c r="A80" i="26"/>
  <c r="G80" i="26" s="1"/>
  <c r="H80" i="26"/>
  <c r="I80" i="26"/>
  <c r="A81" i="26"/>
  <c r="H81" i="26"/>
  <c r="A82" i="26"/>
  <c r="G82" i="26"/>
  <c r="H82" i="26"/>
  <c r="I82" i="26"/>
  <c r="A83" i="26"/>
  <c r="G83" i="26"/>
  <c r="H83" i="26"/>
  <c r="I83" i="26"/>
  <c r="A84" i="26"/>
  <c r="G84" i="26"/>
  <c r="H84" i="26"/>
  <c r="I84" i="26"/>
  <c r="A85" i="26"/>
  <c r="G85" i="26"/>
  <c r="H85" i="26"/>
  <c r="I85" i="26"/>
  <c r="A86" i="26"/>
  <c r="G86" i="26"/>
  <c r="H86" i="26"/>
  <c r="I86" i="26"/>
  <c r="A87" i="26"/>
  <c r="G87" i="26"/>
  <c r="H87" i="26"/>
  <c r="I87" i="26"/>
  <c r="A88" i="26"/>
  <c r="G88" i="26"/>
  <c r="H88" i="26"/>
  <c r="I88" i="26"/>
  <c r="A89" i="26"/>
  <c r="G89" i="26"/>
  <c r="H89" i="26"/>
  <c r="I89" i="26"/>
  <c r="A90" i="26"/>
  <c r="G90" i="26"/>
  <c r="H90" i="26"/>
  <c r="I90" i="26"/>
  <c r="A91" i="26"/>
  <c r="G91" i="26"/>
  <c r="H91" i="26"/>
  <c r="I91" i="26"/>
  <c r="A92" i="26"/>
  <c r="G92" i="26"/>
  <c r="H92" i="26"/>
  <c r="I92" i="26"/>
  <c r="A93" i="26"/>
  <c r="G93" i="26"/>
  <c r="H93" i="26"/>
  <c r="I93" i="26"/>
  <c r="A94" i="26"/>
  <c r="G94" i="26"/>
  <c r="H94" i="26"/>
  <c r="I94" i="26"/>
  <c r="A95" i="26"/>
  <c r="G95" i="26"/>
  <c r="H95" i="26"/>
  <c r="I95" i="26"/>
  <c r="A96" i="26"/>
  <c r="G96" i="26"/>
  <c r="H96" i="26"/>
  <c r="I96" i="26"/>
  <c r="A97" i="26"/>
  <c r="G97" i="26"/>
  <c r="H97" i="26"/>
  <c r="I97" i="26"/>
  <c r="A98" i="26"/>
  <c r="G98" i="26"/>
  <c r="H98" i="26"/>
  <c r="I98" i="26"/>
  <c r="A99" i="26"/>
  <c r="G99" i="26"/>
  <c r="H99" i="26"/>
  <c r="I99" i="26"/>
  <c r="A100" i="26"/>
  <c r="G100" i="26"/>
  <c r="H100" i="26"/>
  <c r="I100" i="26"/>
  <c r="A101" i="26"/>
  <c r="G101" i="26"/>
  <c r="H101" i="26"/>
  <c r="I101" i="26"/>
  <c r="A3" i="27"/>
  <c r="G3" i="27"/>
  <c r="H3" i="27"/>
  <c r="I3" i="27"/>
  <c r="A4" i="27"/>
  <c r="G4" i="27"/>
  <c r="H4" i="27"/>
  <c r="I4" i="27"/>
  <c r="A5" i="27"/>
  <c r="G5" i="27"/>
  <c r="H5" i="27"/>
  <c r="I5" i="27"/>
  <c r="A6" i="27"/>
  <c r="G6" i="27"/>
  <c r="H6" i="27"/>
  <c r="I6" i="27"/>
  <c r="A7" i="27"/>
  <c r="G7" i="27"/>
  <c r="H7" i="27"/>
  <c r="I7" i="27"/>
  <c r="A8" i="27"/>
  <c r="G8" i="27"/>
  <c r="H8" i="27"/>
  <c r="I8" i="27"/>
  <c r="A9" i="27"/>
  <c r="G9" i="27"/>
  <c r="H9" i="27"/>
  <c r="I9" i="27"/>
  <c r="A10" i="27"/>
  <c r="G10" i="27"/>
  <c r="H10" i="27"/>
  <c r="I10" i="27"/>
  <c r="A11" i="27"/>
  <c r="G11" i="27"/>
  <c r="H11" i="27"/>
  <c r="I11" i="27"/>
  <c r="A12" i="27"/>
  <c r="G12" i="27"/>
  <c r="H12" i="27"/>
  <c r="I12" i="27"/>
  <c r="A13" i="27"/>
  <c r="G13" i="27"/>
  <c r="H13" i="27"/>
  <c r="I13" i="27"/>
  <c r="A14" i="27"/>
  <c r="G14" i="27"/>
  <c r="H14" i="27"/>
  <c r="I14" i="27"/>
  <c r="A15" i="27"/>
  <c r="G15" i="27"/>
  <c r="H15" i="27"/>
  <c r="I15" i="27"/>
  <c r="A16" i="27"/>
  <c r="G16" i="27"/>
  <c r="H16" i="27"/>
  <c r="I16" i="27"/>
  <c r="A17" i="27"/>
  <c r="G17" i="27"/>
  <c r="H17" i="27"/>
  <c r="I17" i="27"/>
  <c r="A18" i="27"/>
  <c r="G18" i="27"/>
  <c r="H18" i="27"/>
  <c r="I18" i="27"/>
  <c r="A19" i="27"/>
  <c r="G19" i="27"/>
  <c r="H19" i="27"/>
  <c r="I19" i="27"/>
  <c r="A20" i="27"/>
  <c r="G20" i="27"/>
  <c r="H20" i="27"/>
  <c r="I20" i="27"/>
  <c r="A21" i="27"/>
  <c r="G21" i="27"/>
  <c r="H21" i="27"/>
  <c r="I21" i="27"/>
  <c r="A22" i="27"/>
  <c r="G22" i="27"/>
  <c r="H22" i="27"/>
  <c r="I22" i="27"/>
  <c r="A23" i="27"/>
  <c r="G23" i="27"/>
  <c r="H23" i="27"/>
  <c r="I23" i="27"/>
  <c r="A24" i="27"/>
  <c r="G24" i="27"/>
  <c r="H24" i="27"/>
  <c r="I24" i="27"/>
  <c r="A25" i="27"/>
  <c r="G25" i="27"/>
  <c r="H25" i="27"/>
  <c r="I25" i="27"/>
  <c r="A26" i="27"/>
  <c r="G26" i="27"/>
  <c r="H26" i="27"/>
  <c r="I26" i="27"/>
  <c r="A27" i="27"/>
  <c r="G27" i="27"/>
  <c r="H27" i="27"/>
  <c r="I27" i="27"/>
  <c r="A28" i="27"/>
  <c r="G28" i="27"/>
  <c r="H28" i="27"/>
  <c r="I28" i="27"/>
  <c r="A29" i="27"/>
  <c r="G29" i="27"/>
  <c r="H29" i="27"/>
  <c r="I29" i="27"/>
  <c r="A30" i="27"/>
  <c r="G30" i="27"/>
  <c r="H30" i="27"/>
  <c r="I30" i="27"/>
  <c r="A31" i="27"/>
  <c r="G31" i="27"/>
  <c r="H31" i="27"/>
  <c r="I31" i="27"/>
  <c r="A32" i="27"/>
  <c r="G32" i="27"/>
  <c r="H32" i="27"/>
  <c r="I32" i="27"/>
  <c r="A33" i="27"/>
  <c r="G33" i="27"/>
  <c r="H33" i="27"/>
  <c r="I33" i="27"/>
  <c r="A34" i="27"/>
  <c r="G34" i="27"/>
  <c r="H34" i="27"/>
  <c r="I34" i="27"/>
  <c r="A35" i="27"/>
  <c r="G35" i="27"/>
  <c r="H35" i="27"/>
  <c r="I35" i="27"/>
  <c r="A36" i="27"/>
  <c r="G36" i="27"/>
  <c r="H36" i="27"/>
  <c r="I36" i="27"/>
  <c r="A37" i="27"/>
  <c r="G37" i="27"/>
  <c r="H37" i="27"/>
  <c r="I37" i="27"/>
  <c r="A38" i="27"/>
  <c r="G38" i="27"/>
  <c r="H38" i="27"/>
  <c r="I38" i="27"/>
  <c r="A39" i="27"/>
  <c r="G39" i="27"/>
  <c r="H39" i="27"/>
  <c r="I39" i="27"/>
  <c r="A40" i="27"/>
  <c r="G40" i="27"/>
  <c r="H40" i="27"/>
  <c r="I40" i="27"/>
  <c r="A41" i="27"/>
  <c r="G41" i="27"/>
  <c r="H41" i="27"/>
  <c r="I41" i="27"/>
  <c r="A42" i="27"/>
  <c r="G42" i="27"/>
  <c r="H42" i="27"/>
  <c r="I42" i="27"/>
  <c r="A43" i="27"/>
  <c r="G43" i="27"/>
  <c r="H43" i="27"/>
  <c r="I43" i="27"/>
  <c r="A44" i="27"/>
  <c r="G44" i="27"/>
  <c r="H44" i="27"/>
  <c r="I44" i="27"/>
  <c r="A45" i="27"/>
  <c r="G45" i="27"/>
  <c r="H45" i="27"/>
  <c r="I45" i="27"/>
  <c r="A46" i="27"/>
  <c r="G46" i="27"/>
  <c r="H46" i="27"/>
  <c r="I46" i="27"/>
  <c r="A47" i="27"/>
  <c r="G47" i="27"/>
  <c r="H47" i="27"/>
  <c r="I47" i="27"/>
  <c r="A48" i="27"/>
  <c r="G48" i="27"/>
  <c r="H48" i="27"/>
  <c r="I48" i="27"/>
  <c r="A49" i="27"/>
  <c r="G49" i="27"/>
  <c r="H49" i="27"/>
  <c r="I49" i="27"/>
  <c r="A50" i="27"/>
  <c r="G50" i="27"/>
  <c r="H50" i="27"/>
  <c r="I50" i="27"/>
  <c r="A51" i="27"/>
  <c r="G51" i="27"/>
  <c r="H51" i="27"/>
  <c r="I51" i="27"/>
  <c r="A52" i="27"/>
  <c r="G52" i="27"/>
  <c r="H52" i="27"/>
  <c r="I52" i="27"/>
  <c r="A53" i="27"/>
  <c r="G53" i="27"/>
  <c r="H53" i="27"/>
  <c r="I53" i="27"/>
  <c r="A54" i="27"/>
  <c r="G54" i="27"/>
  <c r="H54" i="27"/>
  <c r="I54" i="27"/>
  <c r="A55" i="27"/>
  <c r="G55" i="27"/>
  <c r="H55" i="27"/>
  <c r="I55" i="27"/>
  <c r="A56" i="27"/>
  <c r="G56" i="27"/>
  <c r="H56" i="27"/>
  <c r="I56" i="27"/>
  <c r="A57" i="27"/>
  <c r="G57" i="27"/>
  <c r="H57" i="27"/>
  <c r="I57" i="27"/>
  <c r="A58" i="27"/>
  <c r="G58" i="27"/>
  <c r="H58" i="27"/>
  <c r="I58" i="27"/>
  <c r="A59" i="27"/>
  <c r="G59" i="27"/>
  <c r="H59" i="27"/>
  <c r="I59" i="27"/>
  <c r="A60" i="27"/>
  <c r="G60" i="27"/>
  <c r="H60" i="27"/>
  <c r="I60" i="27"/>
  <c r="A61" i="27"/>
  <c r="G61" i="27"/>
  <c r="H61" i="27"/>
  <c r="I61" i="27"/>
  <c r="A62" i="27"/>
  <c r="G62" i="27"/>
  <c r="H62" i="27"/>
  <c r="I62" i="27"/>
  <c r="A63" i="27"/>
  <c r="G63" i="27"/>
  <c r="H63" i="27"/>
  <c r="I63" i="27"/>
  <c r="A64" i="27"/>
  <c r="G64" i="27"/>
  <c r="H64" i="27"/>
  <c r="I64" i="27"/>
  <c r="A65" i="27"/>
  <c r="G65" i="27"/>
  <c r="H65" i="27"/>
  <c r="I65" i="27"/>
  <c r="A66" i="27"/>
  <c r="G66" i="27"/>
  <c r="H66" i="27"/>
  <c r="I66" i="27"/>
  <c r="A67" i="27"/>
  <c r="G67" i="27"/>
  <c r="H67" i="27"/>
  <c r="I67" i="27"/>
  <c r="A68" i="27"/>
  <c r="G68" i="27"/>
  <c r="H68" i="27"/>
  <c r="I68" i="27"/>
  <c r="A69" i="27"/>
  <c r="G69" i="27"/>
  <c r="H69" i="27"/>
  <c r="I69" i="27"/>
  <c r="A70" i="27"/>
  <c r="G70" i="27"/>
  <c r="H70" i="27"/>
  <c r="I70" i="27"/>
  <c r="A71" i="27"/>
  <c r="G71" i="27"/>
  <c r="H71" i="27"/>
  <c r="I71" i="27"/>
  <c r="A72" i="27"/>
  <c r="G72" i="27"/>
  <c r="H72" i="27"/>
  <c r="I72" i="27"/>
  <c r="A73" i="27"/>
  <c r="G73" i="27"/>
  <c r="H73" i="27"/>
  <c r="I73" i="27"/>
  <c r="A74" i="27"/>
  <c r="G74" i="27"/>
  <c r="H74" i="27"/>
  <c r="I74" i="27"/>
  <c r="A75" i="27"/>
  <c r="G75" i="27"/>
  <c r="H75" i="27"/>
  <c r="I75" i="27"/>
  <c r="A76" i="27"/>
  <c r="G76" i="27"/>
  <c r="H76" i="27"/>
  <c r="I76" i="27"/>
  <c r="A77" i="27"/>
  <c r="G77" i="27"/>
  <c r="H77" i="27"/>
  <c r="I77" i="27"/>
  <c r="A78" i="27"/>
  <c r="G78" i="27"/>
  <c r="H78" i="27"/>
  <c r="I78" i="27"/>
  <c r="A79" i="27"/>
  <c r="G79" i="27"/>
  <c r="H79" i="27"/>
  <c r="I79" i="27"/>
  <c r="A80" i="27"/>
  <c r="G80" i="27"/>
  <c r="H80" i="27"/>
  <c r="I80" i="27"/>
  <c r="A81" i="27"/>
  <c r="G81" i="27"/>
  <c r="H81" i="27"/>
  <c r="I81" i="27"/>
  <c r="A82" i="27"/>
  <c r="G82" i="27"/>
  <c r="H82" i="27"/>
  <c r="I82" i="27"/>
  <c r="A83" i="27"/>
  <c r="G83" i="27"/>
  <c r="H83" i="27"/>
  <c r="I83" i="27"/>
  <c r="A84" i="27"/>
  <c r="G84" i="27"/>
  <c r="H84" i="27"/>
  <c r="I84" i="27"/>
  <c r="A85" i="27"/>
  <c r="G85" i="27"/>
  <c r="H85" i="27"/>
  <c r="I85" i="27"/>
  <c r="A86" i="27"/>
  <c r="G86" i="27"/>
  <c r="H86" i="27"/>
  <c r="I86" i="27"/>
  <c r="A87" i="27"/>
  <c r="G87" i="27"/>
  <c r="H87" i="27"/>
  <c r="I87" i="27"/>
  <c r="A88" i="27"/>
  <c r="G88" i="27"/>
  <c r="H88" i="27"/>
  <c r="I88" i="27"/>
  <c r="A89" i="27"/>
  <c r="G89" i="27"/>
  <c r="H89" i="27"/>
  <c r="I89" i="27"/>
  <c r="A90" i="27"/>
  <c r="G90" i="27"/>
  <c r="H90" i="27"/>
  <c r="I90" i="27"/>
  <c r="A91" i="27"/>
  <c r="G91" i="27"/>
  <c r="H91" i="27"/>
  <c r="I91" i="27"/>
  <c r="A92" i="27"/>
  <c r="G92" i="27"/>
  <c r="H92" i="27"/>
  <c r="I92" i="27"/>
  <c r="A93" i="27"/>
  <c r="G93" i="27"/>
  <c r="H93" i="27"/>
  <c r="I93" i="27"/>
  <c r="A94" i="27"/>
  <c r="G94" i="27"/>
  <c r="H94" i="27"/>
  <c r="I94" i="27"/>
  <c r="A95" i="27"/>
  <c r="G95" i="27"/>
  <c r="H95" i="27"/>
  <c r="I95" i="27"/>
  <c r="A96" i="27"/>
  <c r="G96" i="27"/>
  <c r="H96" i="27"/>
  <c r="I96" i="27"/>
  <c r="A97" i="27"/>
  <c r="G97" i="27"/>
  <c r="H97" i="27"/>
  <c r="I97" i="27"/>
  <c r="A98" i="27"/>
  <c r="G98" i="27"/>
  <c r="H98" i="27"/>
  <c r="I98" i="27"/>
  <c r="A99" i="27"/>
  <c r="G99" i="27"/>
  <c r="H99" i="27"/>
  <c r="I99" i="27"/>
  <c r="A100" i="27"/>
  <c r="G100" i="27"/>
  <c r="H100" i="27"/>
  <c r="I100" i="27"/>
  <c r="A101" i="27"/>
  <c r="G101" i="27"/>
  <c r="H101" i="27"/>
  <c r="I101" i="27"/>
  <c r="A3" i="28"/>
  <c r="G3" i="28"/>
  <c r="H3" i="28"/>
  <c r="I3" i="28"/>
  <c r="A4" i="28"/>
  <c r="G4" i="28"/>
  <c r="H4" i="28"/>
  <c r="I4" i="28"/>
  <c r="A5" i="28"/>
  <c r="G5" i="28"/>
  <c r="H5" i="28"/>
  <c r="I5" i="28"/>
  <c r="A6" i="28"/>
  <c r="G6" i="28"/>
  <c r="H6" i="28"/>
  <c r="I6" i="28"/>
  <c r="A7" i="28"/>
  <c r="G7" i="28"/>
  <c r="H7" i="28"/>
  <c r="I7" i="28"/>
  <c r="A8" i="28"/>
  <c r="G8" i="28"/>
  <c r="H8" i="28"/>
  <c r="I8" i="28"/>
  <c r="A9" i="28"/>
  <c r="G9" i="28"/>
  <c r="H9" i="28"/>
  <c r="I9" i="28"/>
  <c r="A10" i="28"/>
  <c r="G10" i="28"/>
  <c r="H10" i="28"/>
  <c r="I10" i="28"/>
  <c r="A11" i="28"/>
  <c r="G11" i="28"/>
  <c r="H11" i="28"/>
  <c r="I11" i="28"/>
  <c r="A12" i="28"/>
  <c r="G12" i="28"/>
  <c r="H12" i="28"/>
  <c r="I12" i="28"/>
  <c r="A13" i="28"/>
  <c r="G13" i="28"/>
  <c r="H13" i="28"/>
  <c r="I13" i="28"/>
  <c r="A14" i="28"/>
  <c r="G14" i="28"/>
  <c r="H14" i="28"/>
  <c r="I14" i="28"/>
  <c r="A15" i="28"/>
  <c r="G15" i="28"/>
  <c r="H15" i="28"/>
  <c r="I15" i="28"/>
  <c r="A16" i="28"/>
  <c r="G16" i="28"/>
  <c r="H16" i="28"/>
  <c r="I16" i="28"/>
  <c r="A17" i="28"/>
  <c r="G17" i="28"/>
  <c r="H17" i="28"/>
  <c r="I17" i="28"/>
  <c r="A18" i="28"/>
  <c r="G18" i="28"/>
  <c r="H18" i="28"/>
  <c r="I18" i="28"/>
  <c r="A19" i="28"/>
  <c r="G19" i="28"/>
  <c r="H19" i="28"/>
  <c r="I19" i="28"/>
  <c r="A20" i="28"/>
  <c r="G20" i="28"/>
  <c r="H20" i="28"/>
  <c r="I20" i="28"/>
  <c r="A21" i="28"/>
  <c r="G21" i="28"/>
  <c r="H21" i="28"/>
  <c r="I21" i="28"/>
  <c r="A22" i="28"/>
  <c r="G22" i="28"/>
  <c r="H22" i="28"/>
  <c r="I22" i="28"/>
  <c r="A23" i="28"/>
  <c r="G23" i="28"/>
  <c r="H23" i="28"/>
  <c r="I23" i="28"/>
  <c r="A24" i="28"/>
  <c r="G24" i="28"/>
  <c r="H24" i="28"/>
  <c r="I24" i="28"/>
  <c r="A25" i="28"/>
  <c r="G25" i="28"/>
  <c r="H25" i="28"/>
  <c r="I25" i="28"/>
  <c r="A26" i="28"/>
  <c r="G26" i="28"/>
  <c r="H26" i="28"/>
  <c r="I26" i="28"/>
  <c r="A27" i="28"/>
  <c r="G27" i="28"/>
  <c r="H27" i="28"/>
  <c r="I27" i="28"/>
  <c r="A28" i="28"/>
  <c r="G28" i="28"/>
  <c r="H28" i="28"/>
  <c r="I28" i="28"/>
  <c r="A29" i="28"/>
  <c r="G29" i="28"/>
  <c r="H29" i="28"/>
  <c r="I29" i="28"/>
  <c r="A30" i="28"/>
  <c r="G30" i="28"/>
  <c r="H30" i="28"/>
  <c r="I30" i="28"/>
  <c r="A31" i="28"/>
  <c r="G31" i="28"/>
  <c r="H31" i="28"/>
  <c r="I31" i="28"/>
  <c r="A32" i="28"/>
  <c r="G32" i="28"/>
  <c r="H32" i="28"/>
  <c r="I32" i="28"/>
  <c r="A33" i="28"/>
  <c r="G33" i="28"/>
  <c r="H33" i="28"/>
  <c r="I33" i="28"/>
  <c r="A34" i="28"/>
  <c r="G34" i="28"/>
  <c r="H34" i="28"/>
  <c r="I34" i="28"/>
  <c r="A35" i="28"/>
  <c r="G35" i="28"/>
  <c r="H35" i="28"/>
  <c r="I35" i="28"/>
  <c r="A36" i="28"/>
  <c r="G36" i="28"/>
  <c r="H36" i="28"/>
  <c r="I36" i="28"/>
  <c r="A37" i="28"/>
  <c r="G37" i="28"/>
  <c r="H37" i="28"/>
  <c r="I37" i="28"/>
  <c r="A38" i="28"/>
  <c r="G38" i="28"/>
  <c r="H38" i="28"/>
  <c r="I38" i="28"/>
  <c r="A39" i="28"/>
  <c r="G39" i="28"/>
  <c r="H39" i="28"/>
  <c r="I39" i="28"/>
  <c r="A40" i="28"/>
  <c r="G40" i="28"/>
  <c r="H40" i="28"/>
  <c r="I40" i="28"/>
  <c r="A41" i="28"/>
  <c r="G41" i="28"/>
  <c r="H41" i="28"/>
  <c r="I41" i="28"/>
  <c r="A42" i="28"/>
  <c r="G42" i="28"/>
  <c r="H42" i="28"/>
  <c r="I42" i="28"/>
  <c r="A43" i="28"/>
  <c r="G43" i="28"/>
  <c r="H43" i="28"/>
  <c r="I43" i="28"/>
  <c r="A44" i="28"/>
  <c r="G44" i="28"/>
  <c r="H44" i="28"/>
  <c r="I44" i="28"/>
  <c r="A45" i="28"/>
  <c r="G45" i="28"/>
  <c r="H45" i="28"/>
  <c r="I45" i="28"/>
  <c r="A46" i="28"/>
  <c r="G46" i="28"/>
  <c r="H46" i="28"/>
  <c r="I46" i="28"/>
  <c r="A47" i="28"/>
  <c r="G47" i="28"/>
  <c r="H47" i="28"/>
  <c r="I47" i="28"/>
  <c r="A48" i="28"/>
  <c r="G48" i="28"/>
  <c r="H48" i="28"/>
  <c r="I48" i="28"/>
  <c r="A49" i="28"/>
  <c r="G49" i="28"/>
  <c r="H49" i="28"/>
  <c r="I49" i="28"/>
  <c r="A50" i="28"/>
  <c r="G50" i="28"/>
  <c r="H50" i="28"/>
  <c r="I50" i="28"/>
  <c r="A51" i="28"/>
  <c r="G51" i="28"/>
  <c r="H51" i="28"/>
  <c r="I51" i="28"/>
  <c r="A52" i="28"/>
  <c r="G52" i="28"/>
  <c r="H52" i="28"/>
  <c r="I52" i="28"/>
  <c r="A53" i="28"/>
  <c r="G53" i="28"/>
  <c r="H53" i="28"/>
  <c r="I53" i="28"/>
  <c r="A54" i="28"/>
  <c r="G54" i="28"/>
  <c r="H54" i="28"/>
  <c r="I54" i="28"/>
  <c r="A55" i="28"/>
  <c r="G55" i="28"/>
  <c r="H55" i="28"/>
  <c r="I55" i="28"/>
  <c r="A56" i="28"/>
  <c r="G56" i="28"/>
  <c r="H56" i="28"/>
  <c r="I56" i="28"/>
  <c r="A57" i="28"/>
  <c r="G57" i="28"/>
  <c r="H57" i="28"/>
  <c r="I57" i="28"/>
  <c r="A58" i="28"/>
  <c r="G58" i="28"/>
  <c r="H58" i="28"/>
  <c r="I58" i="28"/>
  <c r="A59" i="28"/>
  <c r="G59" i="28"/>
  <c r="H59" i="28"/>
  <c r="I59" i="28"/>
  <c r="A60" i="28"/>
  <c r="G60" i="28"/>
  <c r="H60" i="28"/>
  <c r="I60" i="28"/>
  <c r="A61" i="28"/>
  <c r="G61" i="28"/>
  <c r="H61" i="28"/>
  <c r="I61" i="28"/>
  <c r="A62" i="28"/>
  <c r="G62" i="28"/>
  <c r="H62" i="28"/>
  <c r="I62" i="28"/>
  <c r="A63" i="28"/>
  <c r="G63" i="28"/>
  <c r="H63" i="28"/>
  <c r="I63" i="28"/>
  <c r="A64" i="28"/>
  <c r="G64" i="28"/>
  <c r="H64" i="28"/>
  <c r="I64" i="28"/>
  <c r="A65" i="28"/>
  <c r="G65" i="28"/>
  <c r="H65" i="28"/>
  <c r="I65" i="28"/>
  <c r="A66" i="28"/>
  <c r="G66" i="28"/>
  <c r="H66" i="28"/>
  <c r="I66" i="28"/>
  <c r="A67" i="28"/>
  <c r="G67" i="28"/>
  <c r="H67" i="28"/>
  <c r="I67" i="28"/>
  <c r="A68" i="28"/>
  <c r="G68" i="28"/>
  <c r="H68" i="28"/>
  <c r="I68" i="28"/>
  <c r="A69" i="28"/>
  <c r="G69" i="28"/>
  <c r="H69" i="28"/>
  <c r="I69" i="28"/>
  <c r="A70" i="28"/>
  <c r="G70" i="28"/>
  <c r="H70" i="28"/>
  <c r="I70" i="28"/>
  <c r="A71" i="28"/>
  <c r="G71" i="28"/>
  <c r="H71" i="28"/>
  <c r="I71" i="28"/>
  <c r="A72" i="28"/>
  <c r="G72" i="28"/>
  <c r="H72" i="28"/>
  <c r="I72" i="28"/>
  <c r="A73" i="28"/>
  <c r="G73" i="28"/>
  <c r="H73" i="28"/>
  <c r="I73" i="28"/>
  <c r="A74" i="28"/>
  <c r="G74" i="28"/>
  <c r="H74" i="28"/>
  <c r="I74" i="28"/>
  <c r="A75" i="28"/>
  <c r="G75" i="28"/>
  <c r="H75" i="28"/>
  <c r="I75" i="28"/>
  <c r="A76" i="28"/>
  <c r="G76" i="28"/>
  <c r="H76" i="28"/>
  <c r="I76" i="28"/>
  <c r="A77" i="28"/>
  <c r="G77" i="28"/>
  <c r="H77" i="28"/>
  <c r="I77" i="28"/>
  <c r="A78" i="28"/>
  <c r="G78" i="28"/>
  <c r="H78" i="28"/>
  <c r="I78" i="28"/>
  <c r="A79" i="28"/>
  <c r="G79" i="28"/>
  <c r="H79" i="28"/>
  <c r="I79" i="28"/>
  <c r="A80" i="28"/>
  <c r="G80" i="28"/>
  <c r="H80" i="28"/>
  <c r="I80" i="28"/>
  <c r="A81" i="28"/>
  <c r="G81" i="28"/>
  <c r="H81" i="28"/>
  <c r="I81" i="28"/>
  <c r="A82" i="28"/>
  <c r="G82" i="28"/>
  <c r="H82" i="28"/>
  <c r="I82" i="28"/>
  <c r="A83" i="28"/>
  <c r="G83" i="28"/>
  <c r="H83" i="28"/>
  <c r="I83" i="28"/>
  <c r="A84" i="28"/>
  <c r="G84" i="28"/>
  <c r="H84" i="28"/>
  <c r="I84" i="28"/>
  <c r="A85" i="28"/>
  <c r="G85" i="28"/>
  <c r="H85" i="28"/>
  <c r="I85" i="28"/>
  <c r="A86" i="28"/>
  <c r="G86" i="28"/>
  <c r="H86" i="28"/>
  <c r="I86" i="28"/>
  <c r="A87" i="28"/>
  <c r="G87" i="28"/>
  <c r="H87" i="28"/>
  <c r="I87" i="28"/>
  <c r="A88" i="28"/>
  <c r="G88" i="28"/>
  <c r="H88" i="28"/>
  <c r="I88" i="28"/>
  <c r="A89" i="28"/>
  <c r="G89" i="28"/>
  <c r="H89" i="28"/>
  <c r="I89" i="28"/>
  <c r="A90" i="28"/>
  <c r="G90" i="28"/>
  <c r="H90" i="28"/>
  <c r="I90" i="28"/>
  <c r="A91" i="28"/>
  <c r="G91" i="28"/>
  <c r="H91" i="28"/>
  <c r="I91" i="28"/>
  <c r="A92" i="28"/>
  <c r="G92" i="28"/>
  <c r="H92" i="28"/>
  <c r="I92" i="28"/>
  <c r="A93" i="28"/>
  <c r="G93" i="28"/>
  <c r="H93" i="28"/>
  <c r="I93" i="28"/>
  <c r="A94" i="28"/>
  <c r="G94" i="28"/>
  <c r="H94" i="28"/>
  <c r="I94" i="28"/>
  <c r="A95" i="28"/>
  <c r="G95" i="28"/>
  <c r="H95" i="28"/>
  <c r="I95" i="28"/>
  <c r="A96" i="28"/>
  <c r="G96" i="28"/>
  <c r="H96" i="28"/>
  <c r="I96" i="28"/>
  <c r="A97" i="28"/>
  <c r="G97" i="28"/>
  <c r="H97" i="28"/>
  <c r="I97" i="28"/>
  <c r="A98" i="28"/>
  <c r="G98" i="28"/>
  <c r="H98" i="28"/>
  <c r="I98" i="28"/>
  <c r="A99" i="28"/>
  <c r="G99" i="28"/>
  <c r="H99" i="28"/>
  <c r="I99" i="28"/>
  <c r="A100" i="28"/>
  <c r="G100" i="28"/>
  <c r="H100" i="28"/>
  <c r="I100" i="28"/>
  <c r="A101" i="28"/>
  <c r="G101" i="28"/>
  <c r="H101" i="28"/>
  <c r="I101" i="28"/>
  <c r="A3" i="29"/>
  <c r="G3" i="29"/>
  <c r="H3" i="29"/>
  <c r="I3" i="29"/>
  <c r="A4" i="29"/>
  <c r="G4" i="29"/>
  <c r="H4" i="29"/>
  <c r="I4" i="29"/>
  <c r="A5" i="29"/>
  <c r="G5" i="29"/>
  <c r="H5" i="29"/>
  <c r="I5" i="29"/>
  <c r="A6" i="29"/>
  <c r="G6" i="29"/>
  <c r="H6" i="29"/>
  <c r="I6" i="29"/>
  <c r="A7" i="29"/>
  <c r="G7" i="29"/>
  <c r="H7" i="29"/>
  <c r="I7" i="29"/>
  <c r="A8" i="29"/>
  <c r="G8" i="29"/>
  <c r="H8" i="29"/>
  <c r="I8" i="29"/>
  <c r="A9" i="29"/>
  <c r="G9" i="29"/>
  <c r="H9" i="29"/>
  <c r="I9" i="29"/>
  <c r="A10" i="29"/>
  <c r="G10" i="29"/>
  <c r="H10" i="29"/>
  <c r="I10" i="29"/>
  <c r="A11" i="29"/>
  <c r="G11" i="29"/>
  <c r="H11" i="29"/>
  <c r="I11" i="29"/>
  <c r="A12" i="29"/>
  <c r="G12" i="29"/>
  <c r="H12" i="29"/>
  <c r="I12" i="29"/>
  <c r="A13" i="29"/>
  <c r="G13" i="29"/>
  <c r="H13" i="29"/>
  <c r="I13" i="29"/>
  <c r="A14" i="29"/>
  <c r="G14" i="29"/>
  <c r="H14" i="29"/>
  <c r="I14" i="29"/>
  <c r="A15" i="29"/>
  <c r="G15" i="29"/>
  <c r="H15" i="29"/>
  <c r="I15" i="29"/>
  <c r="A16" i="29"/>
  <c r="G16" i="29"/>
  <c r="H16" i="29"/>
  <c r="I16" i="29"/>
  <c r="A17" i="29"/>
  <c r="G17" i="29"/>
  <c r="H17" i="29"/>
  <c r="I17" i="29"/>
  <c r="A18" i="29"/>
  <c r="G18" i="29"/>
  <c r="H18" i="29"/>
  <c r="I18" i="29"/>
  <c r="A19" i="29"/>
  <c r="G19" i="29"/>
  <c r="H19" i="29"/>
  <c r="I19" i="29"/>
  <c r="A20" i="29"/>
  <c r="G20" i="29"/>
  <c r="H20" i="29"/>
  <c r="I20" i="29"/>
  <c r="A21" i="29"/>
  <c r="G21" i="29"/>
  <c r="H21" i="29"/>
  <c r="I21" i="29"/>
  <c r="A22" i="29"/>
  <c r="G22" i="29"/>
  <c r="H22" i="29"/>
  <c r="I22" i="29"/>
  <c r="A23" i="29"/>
  <c r="G23" i="29"/>
  <c r="H23" i="29"/>
  <c r="I23" i="29"/>
  <c r="A24" i="29"/>
  <c r="G24" i="29"/>
  <c r="H24" i="29"/>
  <c r="I24" i="29"/>
  <c r="A25" i="29"/>
  <c r="G25" i="29"/>
  <c r="H25" i="29"/>
  <c r="I25" i="29"/>
  <c r="A26" i="29"/>
  <c r="G26" i="29"/>
  <c r="H26" i="29"/>
  <c r="I26" i="29"/>
  <c r="A27" i="29"/>
  <c r="G27" i="29"/>
  <c r="H27" i="29"/>
  <c r="I27" i="29"/>
  <c r="A28" i="29"/>
  <c r="G28" i="29"/>
  <c r="H28" i="29"/>
  <c r="I28" i="29"/>
  <c r="A29" i="29"/>
  <c r="G29" i="29"/>
  <c r="H29" i="29"/>
  <c r="I29" i="29"/>
  <c r="A30" i="29"/>
  <c r="G30" i="29"/>
  <c r="H30" i="29"/>
  <c r="I30" i="29"/>
  <c r="A31" i="29"/>
  <c r="G31" i="29"/>
  <c r="H31" i="29"/>
  <c r="I31" i="29"/>
  <c r="A32" i="29"/>
  <c r="G32" i="29"/>
  <c r="H32" i="29"/>
  <c r="I32" i="29"/>
  <c r="A33" i="29"/>
  <c r="G33" i="29"/>
  <c r="H33" i="29"/>
  <c r="I33" i="29"/>
  <c r="A34" i="29"/>
  <c r="G34" i="29"/>
  <c r="H34" i="29"/>
  <c r="I34" i="29"/>
  <c r="A35" i="29"/>
  <c r="G35" i="29"/>
  <c r="H35" i="29"/>
  <c r="I35" i="29"/>
  <c r="A36" i="29"/>
  <c r="G36" i="29"/>
  <c r="H36" i="29"/>
  <c r="I36" i="29"/>
  <c r="A37" i="29"/>
  <c r="G37" i="29"/>
  <c r="H37" i="29"/>
  <c r="I37" i="29"/>
  <c r="A38" i="29"/>
  <c r="G38" i="29"/>
  <c r="H38" i="29"/>
  <c r="I38" i="29"/>
  <c r="A39" i="29"/>
  <c r="G39" i="29"/>
  <c r="H39" i="29"/>
  <c r="I39" i="29"/>
  <c r="A40" i="29"/>
  <c r="G40" i="29"/>
  <c r="H40" i="29"/>
  <c r="I40" i="29"/>
  <c r="A41" i="29"/>
  <c r="G41" i="29"/>
  <c r="H41" i="29"/>
  <c r="I41" i="29"/>
  <c r="A42" i="29"/>
  <c r="G42" i="29"/>
  <c r="H42" i="29"/>
  <c r="I42" i="29"/>
  <c r="A43" i="29"/>
  <c r="G43" i="29"/>
  <c r="H43" i="29"/>
  <c r="I43" i="29"/>
  <c r="A44" i="29"/>
  <c r="G44" i="29"/>
  <c r="H44" i="29"/>
  <c r="I44" i="29"/>
  <c r="A45" i="29"/>
  <c r="G45" i="29"/>
  <c r="H45" i="29"/>
  <c r="I45" i="29"/>
  <c r="A46" i="29"/>
  <c r="G46" i="29"/>
  <c r="H46" i="29"/>
  <c r="I46" i="29"/>
  <c r="A47" i="29"/>
  <c r="G47" i="29"/>
  <c r="H47" i="29"/>
  <c r="I47" i="29"/>
  <c r="A48" i="29"/>
  <c r="G48" i="29"/>
  <c r="H48" i="29"/>
  <c r="I48" i="29"/>
  <c r="A49" i="29"/>
  <c r="G49" i="29"/>
  <c r="H49" i="29"/>
  <c r="I49" i="29"/>
  <c r="A50" i="29"/>
  <c r="G50" i="29"/>
  <c r="H50" i="29"/>
  <c r="I50" i="29"/>
  <c r="A51" i="29"/>
  <c r="G51" i="29"/>
  <c r="H51" i="29"/>
  <c r="I51" i="29"/>
  <c r="A52" i="29"/>
  <c r="G52" i="29"/>
  <c r="H52" i="29"/>
  <c r="I52" i="29"/>
  <c r="A53" i="29"/>
  <c r="G53" i="29"/>
  <c r="H53" i="29"/>
  <c r="I53" i="29"/>
  <c r="A54" i="29"/>
  <c r="G54" i="29"/>
  <c r="H54" i="29"/>
  <c r="I54" i="29"/>
  <c r="A55" i="29"/>
  <c r="G55" i="29"/>
  <c r="H55" i="29"/>
  <c r="I55" i="29"/>
  <c r="A56" i="29"/>
  <c r="G56" i="29"/>
  <c r="H56" i="29"/>
  <c r="I56" i="29"/>
  <c r="A57" i="29"/>
  <c r="G57" i="29"/>
  <c r="H57" i="29"/>
  <c r="I57" i="29"/>
  <c r="A58" i="29"/>
  <c r="G58" i="29"/>
  <c r="H58" i="29"/>
  <c r="I58" i="29"/>
  <c r="A59" i="29"/>
  <c r="G59" i="29"/>
  <c r="H59" i="29"/>
  <c r="I59" i="29"/>
  <c r="A60" i="29"/>
  <c r="G60" i="29"/>
  <c r="H60" i="29"/>
  <c r="I60" i="29"/>
  <c r="A61" i="29"/>
  <c r="G61" i="29"/>
  <c r="H61" i="29"/>
  <c r="I61" i="29"/>
  <c r="A62" i="29"/>
  <c r="G62" i="29"/>
  <c r="H62" i="29"/>
  <c r="I62" i="29"/>
  <c r="A63" i="29"/>
  <c r="G63" i="29"/>
  <c r="H63" i="29"/>
  <c r="I63" i="29"/>
  <c r="A64" i="29"/>
  <c r="G64" i="29"/>
  <c r="H64" i="29"/>
  <c r="I64" i="29"/>
  <c r="A65" i="29"/>
  <c r="G65" i="29"/>
  <c r="H65" i="29"/>
  <c r="I65" i="29"/>
  <c r="A66" i="29"/>
  <c r="G66" i="29"/>
  <c r="H66" i="29"/>
  <c r="I66" i="29"/>
  <c r="A67" i="29"/>
  <c r="G67" i="29"/>
  <c r="H67" i="29"/>
  <c r="I67" i="29"/>
  <c r="A68" i="29"/>
  <c r="G68" i="29"/>
  <c r="H68" i="29"/>
  <c r="I68" i="29"/>
  <c r="A69" i="29"/>
  <c r="G69" i="29"/>
  <c r="H69" i="29"/>
  <c r="I69" i="29"/>
  <c r="A70" i="29"/>
  <c r="G70" i="29"/>
  <c r="H70" i="29"/>
  <c r="I70" i="29"/>
  <c r="A71" i="29"/>
  <c r="G71" i="29"/>
  <c r="H71" i="29"/>
  <c r="I71" i="29"/>
  <c r="A72" i="29"/>
  <c r="G72" i="29"/>
  <c r="H72" i="29"/>
  <c r="I72" i="29"/>
  <c r="A73" i="29"/>
  <c r="G73" i="29"/>
  <c r="H73" i="29"/>
  <c r="I73" i="29"/>
  <c r="A74" i="29"/>
  <c r="G74" i="29"/>
  <c r="H74" i="29"/>
  <c r="I74" i="29"/>
  <c r="A75" i="29"/>
  <c r="G75" i="29"/>
  <c r="H75" i="29"/>
  <c r="I75" i="29"/>
  <c r="A76" i="29"/>
  <c r="G76" i="29"/>
  <c r="H76" i="29"/>
  <c r="I76" i="29"/>
  <c r="A77" i="29"/>
  <c r="G77" i="29"/>
  <c r="H77" i="29"/>
  <c r="I77" i="29"/>
  <c r="A78" i="29"/>
  <c r="G78" i="29"/>
  <c r="H78" i="29"/>
  <c r="I78" i="29"/>
  <c r="A79" i="29"/>
  <c r="H79" i="29"/>
  <c r="A80" i="29"/>
  <c r="G80" i="29"/>
  <c r="H80" i="29"/>
  <c r="I80" i="29"/>
  <c r="A81" i="29"/>
  <c r="G81" i="29"/>
  <c r="H81" i="29"/>
  <c r="I81" i="29"/>
  <c r="A82" i="29"/>
  <c r="G82" i="29"/>
  <c r="H82" i="29"/>
  <c r="I82" i="29"/>
  <c r="A83" i="29"/>
  <c r="G83" i="29"/>
  <c r="H83" i="29"/>
  <c r="I83" i="29"/>
  <c r="A84" i="29"/>
  <c r="G84" i="29"/>
  <c r="H84" i="29"/>
  <c r="I84" i="29"/>
  <c r="A85" i="29"/>
  <c r="G85" i="29"/>
  <c r="H85" i="29"/>
  <c r="I85" i="29"/>
  <c r="A86" i="29"/>
  <c r="G86" i="29"/>
  <c r="H86" i="29"/>
  <c r="I86" i="29"/>
  <c r="A87" i="29"/>
  <c r="G87" i="29"/>
  <c r="H87" i="29"/>
  <c r="I87" i="29"/>
  <c r="A88" i="29"/>
  <c r="G88" i="29"/>
  <c r="H88" i="29"/>
  <c r="I88" i="29"/>
  <c r="A89" i="29"/>
  <c r="G89" i="29"/>
  <c r="H89" i="29"/>
  <c r="I89" i="29"/>
  <c r="A90" i="29"/>
  <c r="G90" i="29"/>
  <c r="H90" i="29"/>
  <c r="I90" i="29"/>
  <c r="A91" i="29"/>
  <c r="G91" i="29"/>
  <c r="H91" i="29"/>
  <c r="I91" i="29"/>
  <c r="A92" i="29"/>
  <c r="G92" i="29"/>
  <c r="H92" i="29"/>
  <c r="I92" i="29"/>
  <c r="A93" i="29"/>
  <c r="G93" i="29"/>
  <c r="H93" i="29"/>
  <c r="I93" i="29"/>
  <c r="A94" i="29"/>
  <c r="G94" i="29"/>
  <c r="H94" i="29"/>
  <c r="I94" i="29"/>
  <c r="A95" i="29"/>
  <c r="G95" i="29"/>
  <c r="H95" i="29"/>
  <c r="I95" i="29"/>
  <c r="A96" i="29"/>
  <c r="G96" i="29"/>
  <c r="H96" i="29"/>
  <c r="I96" i="29"/>
  <c r="A97" i="29"/>
  <c r="G97" i="29"/>
  <c r="H97" i="29"/>
  <c r="I97" i="29"/>
  <c r="A98" i="29"/>
  <c r="G98" i="29"/>
  <c r="H98" i="29"/>
  <c r="I98" i="29"/>
  <c r="A99" i="29"/>
  <c r="G99" i="29"/>
  <c r="H99" i="29"/>
  <c r="I99" i="29"/>
  <c r="A100" i="29"/>
  <c r="G100" i="29"/>
  <c r="H100" i="29"/>
  <c r="I100" i="29"/>
  <c r="A101" i="29"/>
  <c r="G101" i="29"/>
  <c r="H101" i="29"/>
  <c r="I101" i="29"/>
  <c r="A3" i="30"/>
  <c r="G3" i="30"/>
  <c r="H3" i="30"/>
  <c r="I3" i="30"/>
  <c r="A4" i="30"/>
  <c r="G4" i="30"/>
  <c r="H4" i="30"/>
  <c r="I4" i="30"/>
  <c r="A5" i="30"/>
  <c r="G5" i="30"/>
  <c r="H5" i="30"/>
  <c r="I5" i="30"/>
  <c r="A6" i="30"/>
  <c r="G6" i="30"/>
  <c r="H6" i="30"/>
  <c r="I6" i="30"/>
  <c r="A7" i="30"/>
  <c r="G7" i="30"/>
  <c r="H7" i="30"/>
  <c r="I7" i="30"/>
  <c r="A8" i="30"/>
  <c r="G8" i="30"/>
  <c r="H8" i="30"/>
  <c r="I8" i="30"/>
  <c r="A9" i="30"/>
  <c r="G9" i="30"/>
  <c r="H9" i="30"/>
  <c r="I9" i="30"/>
  <c r="A10" i="30"/>
  <c r="G10" i="30"/>
  <c r="H10" i="30"/>
  <c r="I10" i="30"/>
  <c r="A11" i="30"/>
  <c r="G11" i="30"/>
  <c r="H11" i="30"/>
  <c r="I11" i="30"/>
  <c r="A12" i="30"/>
  <c r="G12" i="30"/>
  <c r="H12" i="30"/>
  <c r="I12" i="30"/>
  <c r="A13" i="30"/>
  <c r="G13" i="30"/>
  <c r="H13" i="30"/>
  <c r="I13" i="30"/>
  <c r="A14" i="30"/>
  <c r="G14" i="30"/>
  <c r="H14" i="30"/>
  <c r="I14" i="30"/>
  <c r="A15" i="30"/>
  <c r="G15" i="30"/>
  <c r="H15" i="30"/>
  <c r="I15" i="30"/>
  <c r="A16" i="30"/>
  <c r="G16" i="30"/>
  <c r="H16" i="30"/>
  <c r="I16" i="30"/>
  <c r="A17" i="30"/>
  <c r="G17" i="30"/>
  <c r="H17" i="30"/>
  <c r="I17" i="30"/>
  <c r="A18" i="30"/>
  <c r="G18" i="30"/>
  <c r="H18" i="30"/>
  <c r="I18" i="30"/>
  <c r="A19" i="30"/>
  <c r="G19" i="30"/>
  <c r="H19" i="30"/>
  <c r="I19" i="30"/>
  <c r="A20" i="30"/>
  <c r="G20" i="30"/>
  <c r="H20" i="30"/>
  <c r="I20" i="30"/>
  <c r="A21" i="30"/>
  <c r="G21" i="30"/>
  <c r="H21" i="30"/>
  <c r="I21" i="30"/>
  <c r="A22" i="30"/>
  <c r="G22" i="30"/>
  <c r="H22" i="30"/>
  <c r="I22" i="30"/>
  <c r="A23" i="30"/>
  <c r="G23" i="30"/>
  <c r="H23" i="30"/>
  <c r="I23" i="30"/>
  <c r="A24" i="30"/>
  <c r="G24" i="30"/>
  <c r="H24" i="30"/>
  <c r="I24" i="30"/>
  <c r="A25" i="30"/>
  <c r="G25" i="30"/>
  <c r="H25" i="30"/>
  <c r="I25" i="30"/>
  <c r="A26" i="30"/>
  <c r="G26" i="30"/>
  <c r="H26" i="30"/>
  <c r="I26" i="30"/>
  <c r="A27" i="30"/>
  <c r="G27" i="30"/>
  <c r="H27" i="30"/>
  <c r="I27" i="30"/>
  <c r="A28" i="30"/>
  <c r="G28" i="30"/>
  <c r="H28" i="30"/>
  <c r="I28" i="30"/>
  <c r="A29" i="30"/>
  <c r="G29" i="30"/>
  <c r="H29" i="30"/>
  <c r="I29" i="30"/>
  <c r="A30" i="30"/>
  <c r="G30" i="30"/>
  <c r="H30" i="30"/>
  <c r="I30" i="30"/>
  <c r="A31" i="30"/>
  <c r="G31" i="30"/>
  <c r="H31" i="30"/>
  <c r="I31" i="30"/>
  <c r="A32" i="30"/>
  <c r="G32" i="30"/>
  <c r="H32" i="30"/>
  <c r="I32" i="30"/>
  <c r="A33" i="30"/>
  <c r="G33" i="30"/>
  <c r="H33" i="30"/>
  <c r="I33" i="30"/>
  <c r="A34" i="30"/>
  <c r="G34" i="30"/>
  <c r="H34" i="30"/>
  <c r="I34" i="30"/>
  <c r="A35" i="30"/>
  <c r="G35" i="30"/>
  <c r="H35" i="30"/>
  <c r="I35" i="30"/>
  <c r="A36" i="30"/>
  <c r="G36" i="30"/>
  <c r="H36" i="30"/>
  <c r="I36" i="30"/>
  <c r="A37" i="30"/>
  <c r="G37" i="30"/>
  <c r="H37" i="30"/>
  <c r="I37" i="30"/>
  <c r="A38" i="30"/>
  <c r="G38" i="30"/>
  <c r="H38" i="30"/>
  <c r="I38" i="30"/>
  <c r="A39" i="30"/>
  <c r="G39" i="30"/>
  <c r="H39" i="30"/>
  <c r="I39" i="30"/>
  <c r="A40" i="30"/>
  <c r="G40" i="30"/>
  <c r="H40" i="30"/>
  <c r="I40" i="30"/>
  <c r="A41" i="30"/>
  <c r="G41" i="30"/>
  <c r="H41" i="30"/>
  <c r="I41" i="30"/>
  <c r="A42" i="30"/>
  <c r="G42" i="30"/>
  <c r="H42" i="30"/>
  <c r="I42" i="30"/>
  <c r="A43" i="30"/>
  <c r="G43" i="30"/>
  <c r="H43" i="30"/>
  <c r="I43" i="30"/>
  <c r="A44" i="30"/>
  <c r="G44" i="30"/>
  <c r="H44" i="30"/>
  <c r="I44" i="30"/>
  <c r="A45" i="30"/>
  <c r="G45" i="30"/>
  <c r="H45" i="30"/>
  <c r="I45" i="30"/>
  <c r="A46" i="30"/>
  <c r="G46" i="30"/>
  <c r="H46" i="30"/>
  <c r="I46" i="30"/>
  <c r="A47" i="30"/>
  <c r="G47" i="30"/>
  <c r="H47" i="30"/>
  <c r="I47" i="30"/>
  <c r="A48" i="30"/>
  <c r="G48" i="30"/>
  <c r="H48" i="30"/>
  <c r="I48" i="30"/>
  <c r="A49" i="30"/>
  <c r="G49" i="30"/>
  <c r="H49" i="30"/>
  <c r="I49" i="30"/>
  <c r="A50" i="30"/>
  <c r="G50" i="30"/>
  <c r="H50" i="30"/>
  <c r="I50" i="30"/>
  <c r="A51" i="30"/>
  <c r="G51" i="30"/>
  <c r="H51" i="30"/>
  <c r="I51" i="30"/>
  <c r="A52" i="30"/>
  <c r="G52" i="30"/>
  <c r="H52" i="30"/>
  <c r="I52" i="30"/>
  <c r="A53" i="30"/>
  <c r="G53" i="30"/>
  <c r="H53" i="30"/>
  <c r="I53" i="30"/>
  <c r="A54" i="30"/>
  <c r="G54" i="30"/>
  <c r="H54" i="30"/>
  <c r="I54" i="30"/>
  <c r="A55" i="30"/>
  <c r="G55" i="30"/>
  <c r="H55" i="30"/>
  <c r="I55" i="30"/>
  <c r="A56" i="30"/>
  <c r="G56" i="30"/>
  <c r="H56" i="30"/>
  <c r="I56" i="30"/>
  <c r="A57" i="30"/>
  <c r="G57" i="30"/>
  <c r="H57" i="30"/>
  <c r="I57" i="30"/>
  <c r="A58" i="30"/>
  <c r="G58" i="30"/>
  <c r="H58" i="30"/>
  <c r="I58" i="30"/>
  <c r="A59" i="30"/>
  <c r="G59" i="30"/>
  <c r="H59" i="30"/>
  <c r="I59" i="30"/>
  <c r="A60" i="30"/>
  <c r="G60" i="30"/>
  <c r="H60" i="30"/>
  <c r="I60" i="30"/>
  <c r="A61" i="30"/>
  <c r="G61" i="30"/>
  <c r="H61" i="30"/>
  <c r="I61" i="30"/>
  <c r="A62" i="30"/>
  <c r="G62" i="30"/>
  <c r="H62" i="30"/>
  <c r="I62" i="30"/>
  <c r="A63" i="30"/>
  <c r="G63" i="30"/>
  <c r="H63" i="30"/>
  <c r="I63" i="30"/>
  <c r="A64" i="30"/>
  <c r="G64" i="30"/>
  <c r="H64" i="30"/>
  <c r="I64" i="30"/>
  <c r="A65" i="30"/>
  <c r="G65" i="30"/>
  <c r="H65" i="30"/>
  <c r="I65" i="30"/>
  <c r="A66" i="30"/>
  <c r="G66" i="30"/>
  <c r="H66" i="30"/>
  <c r="I66" i="30"/>
  <c r="A67" i="30"/>
  <c r="G67" i="30"/>
  <c r="H67" i="30"/>
  <c r="I67" i="30"/>
  <c r="A68" i="30"/>
  <c r="G68" i="30"/>
  <c r="H68" i="30"/>
  <c r="I68" i="30"/>
  <c r="A69" i="30"/>
  <c r="G69" i="30"/>
  <c r="H69" i="30"/>
  <c r="I69" i="30"/>
  <c r="A70" i="30"/>
  <c r="G70" i="30"/>
  <c r="H70" i="30"/>
  <c r="I70" i="30"/>
  <c r="A71" i="30"/>
  <c r="G71" i="30"/>
  <c r="H71" i="30"/>
  <c r="I71" i="30"/>
  <c r="A72" i="30"/>
  <c r="G72" i="30"/>
  <c r="H72" i="30"/>
  <c r="I72" i="30"/>
  <c r="A73" i="30"/>
  <c r="G73" i="30"/>
  <c r="H73" i="30"/>
  <c r="I73" i="30"/>
  <c r="A74" i="30"/>
  <c r="G74" i="30"/>
  <c r="H74" i="30"/>
  <c r="I74" i="30"/>
  <c r="A75" i="30"/>
  <c r="G75" i="30"/>
  <c r="H75" i="30"/>
  <c r="I75" i="30"/>
  <c r="A76" i="30"/>
  <c r="G76" i="30"/>
  <c r="H76" i="30"/>
  <c r="I76" i="30"/>
  <c r="A77" i="30"/>
  <c r="G77" i="30"/>
  <c r="H77" i="30"/>
  <c r="I77" i="30"/>
  <c r="A78" i="30"/>
  <c r="G78" i="30"/>
  <c r="H78" i="30"/>
  <c r="I78" i="30"/>
  <c r="A79" i="30"/>
  <c r="G79" i="30"/>
  <c r="H79" i="30"/>
  <c r="I79" i="30"/>
  <c r="A80" i="30"/>
  <c r="G80" i="30"/>
  <c r="H80" i="30"/>
  <c r="I80" i="30"/>
  <c r="A81" i="30"/>
  <c r="G81" i="30"/>
  <c r="H81" i="30"/>
  <c r="I81" i="30"/>
  <c r="A82" i="30"/>
  <c r="G82" i="30"/>
  <c r="H82" i="30"/>
  <c r="I82" i="30"/>
  <c r="A83" i="30"/>
  <c r="G83" i="30"/>
  <c r="H83" i="30"/>
  <c r="I83" i="30"/>
  <c r="A84" i="30"/>
  <c r="G84" i="30"/>
  <c r="H84" i="30"/>
  <c r="I84" i="30"/>
  <c r="A85" i="30"/>
  <c r="G85" i="30"/>
  <c r="H85" i="30"/>
  <c r="I85" i="30"/>
  <c r="A86" i="30"/>
  <c r="G86" i="30"/>
  <c r="H86" i="30"/>
  <c r="I86" i="30"/>
  <c r="A87" i="30"/>
  <c r="G87" i="30"/>
  <c r="H87" i="30"/>
  <c r="I87" i="30"/>
  <c r="A88" i="30"/>
  <c r="G88" i="30"/>
  <c r="H88" i="30"/>
  <c r="I88" i="30"/>
  <c r="A89" i="30"/>
  <c r="G89" i="30"/>
  <c r="H89" i="30"/>
  <c r="I89" i="30"/>
  <c r="A90" i="30"/>
  <c r="G90" i="30"/>
  <c r="H90" i="30"/>
  <c r="I90" i="30"/>
  <c r="A91" i="30"/>
  <c r="G91" i="30"/>
  <c r="H91" i="30"/>
  <c r="I91" i="30"/>
  <c r="A92" i="30"/>
  <c r="G92" i="30"/>
  <c r="H92" i="30"/>
  <c r="I92" i="30"/>
  <c r="A93" i="30"/>
  <c r="G93" i="30"/>
  <c r="H93" i="30"/>
  <c r="I93" i="30"/>
  <c r="A94" i="30"/>
  <c r="G94" i="30"/>
  <c r="H94" i="30"/>
  <c r="I94" i="30"/>
  <c r="A95" i="30"/>
  <c r="G95" i="30"/>
  <c r="H95" i="30"/>
  <c r="I95" i="30"/>
  <c r="A96" i="30"/>
  <c r="G96" i="30"/>
  <c r="H96" i="30"/>
  <c r="I96" i="30"/>
  <c r="A97" i="30"/>
  <c r="G97" i="30"/>
  <c r="H97" i="30"/>
  <c r="I97" i="30"/>
  <c r="A98" i="30"/>
  <c r="G98" i="30"/>
  <c r="H98" i="30"/>
  <c r="I98" i="30"/>
  <c r="A99" i="30"/>
  <c r="G99" i="30"/>
  <c r="H99" i="30"/>
  <c r="I99" i="30"/>
  <c r="A100" i="30"/>
  <c r="G100" i="30"/>
  <c r="H100" i="30"/>
  <c r="I100" i="30"/>
  <c r="A101" i="30"/>
  <c r="G101" i="30"/>
  <c r="H101" i="30"/>
  <c r="I101" i="30"/>
  <c r="A3" i="34"/>
  <c r="G3" i="34"/>
  <c r="H3" i="34"/>
  <c r="I3" i="34"/>
  <c r="A4" i="34"/>
  <c r="G4" i="34"/>
  <c r="H4" i="34"/>
  <c r="I4" i="34"/>
  <c r="A5" i="34"/>
  <c r="G5" i="34"/>
  <c r="H5" i="34"/>
  <c r="I5" i="34"/>
  <c r="A6" i="34"/>
  <c r="G6" i="34"/>
  <c r="H6" i="34"/>
  <c r="I6" i="34"/>
  <c r="A7" i="34"/>
  <c r="G7" i="34"/>
  <c r="H7" i="34"/>
  <c r="I7" i="34"/>
  <c r="A8" i="34"/>
  <c r="G8" i="34"/>
  <c r="H8" i="34"/>
  <c r="I8" i="34"/>
  <c r="A9" i="34"/>
  <c r="G9" i="34"/>
  <c r="H9" i="34"/>
  <c r="I9" i="34"/>
  <c r="A10" i="34"/>
  <c r="G10" i="34"/>
  <c r="H10" i="34"/>
  <c r="I10" i="34"/>
  <c r="A11" i="34"/>
  <c r="G11" i="34"/>
  <c r="H11" i="34"/>
  <c r="I11" i="34"/>
  <c r="A12" i="34"/>
  <c r="G12" i="34"/>
  <c r="H12" i="34"/>
  <c r="I12" i="34"/>
  <c r="A13" i="34"/>
  <c r="G13" i="34"/>
  <c r="H13" i="34"/>
  <c r="I13" i="34"/>
  <c r="A14" i="34"/>
  <c r="G14" i="34"/>
  <c r="H14" i="34"/>
  <c r="I14" i="34"/>
  <c r="A15" i="34"/>
  <c r="G15" i="34"/>
  <c r="H15" i="34"/>
  <c r="I15" i="34"/>
  <c r="A16" i="34"/>
  <c r="G16" i="34"/>
  <c r="H16" i="34"/>
  <c r="I16" i="34"/>
  <c r="A17" i="34"/>
  <c r="G17" i="34"/>
  <c r="H17" i="34"/>
  <c r="I17" i="34"/>
  <c r="A18" i="34"/>
  <c r="G18" i="34"/>
  <c r="H18" i="34"/>
  <c r="I18" i="34"/>
  <c r="A19" i="34"/>
  <c r="G19" i="34"/>
  <c r="H19" i="34"/>
  <c r="I19" i="34"/>
  <c r="A20" i="34"/>
  <c r="G20" i="34"/>
  <c r="H20" i="34"/>
  <c r="I20" i="34"/>
  <c r="A21" i="34"/>
  <c r="G21" i="34"/>
  <c r="H21" i="34"/>
  <c r="I21" i="34"/>
  <c r="A22" i="34"/>
  <c r="G22" i="34"/>
  <c r="H22" i="34"/>
  <c r="I22" i="34"/>
  <c r="A23" i="34"/>
  <c r="G23" i="34"/>
  <c r="H23" i="34"/>
  <c r="I23" i="34"/>
  <c r="A24" i="34"/>
  <c r="G24" i="34"/>
  <c r="H24" i="34"/>
  <c r="I24" i="34"/>
  <c r="A25" i="34"/>
  <c r="G25" i="34"/>
  <c r="H25" i="34"/>
  <c r="I25" i="34"/>
  <c r="A26" i="34"/>
  <c r="G26" i="34"/>
  <c r="H26" i="34"/>
  <c r="I26" i="34"/>
  <c r="A27" i="34"/>
  <c r="G27" i="34"/>
  <c r="H27" i="34"/>
  <c r="I27" i="34"/>
  <c r="A28" i="34"/>
  <c r="G28" i="34"/>
  <c r="H28" i="34"/>
  <c r="I28" i="34"/>
  <c r="A29" i="34"/>
  <c r="G29" i="34"/>
  <c r="H29" i="34"/>
  <c r="I29" i="34"/>
  <c r="A30" i="34"/>
  <c r="G30" i="34"/>
  <c r="H30" i="34"/>
  <c r="I30" i="34"/>
  <c r="A31" i="34"/>
  <c r="G31" i="34"/>
  <c r="H31" i="34"/>
  <c r="I31" i="34"/>
  <c r="A32" i="34"/>
  <c r="G32" i="34"/>
  <c r="H32" i="34"/>
  <c r="I32" i="34"/>
  <c r="A33" i="34"/>
  <c r="G33" i="34"/>
  <c r="H33" i="34"/>
  <c r="I33" i="34"/>
  <c r="A34" i="34"/>
  <c r="G34" i="34"/>
  <c r="H34" i="34"/>
  <c r="I34" i="34"/>
  <c r="A35" i="34"/>
  <c r="G35" i="34"/>
  <c r="H35" i="34"/>
  <c r="I35" i="34"/>
  <c r="A36" i="34"/>
  <c r="G36" i="34"/>
  <c r="H36" i="34"/>
  <c r="I36" i="34"/>
  <c r="A37" i="34"/>
  <c r="G37" i="34"/>
  <c r="H37" i="34"/>
  <c r="I37" i="34"/>
  <c r="A38" i="34"/>
  <c r="G38" i="34"/>
  <c r="H38" i="34"/>
  <c r="I38" i="34"/>
  <c r="A39" i="34"/>
  <c r="G39" i="34"/>
  <c r="H39" i="34"/>
  <c r="I39" i="34"/>
  <c r="A40" i="34"/>
  <c r="G40" i="34"/>
  <c r="H40" i="34"/>
  <c r="I40" i="34"/>
  <c r="A41" i="34"/>
  <c r="G41" i="34"/>
  <c r="H41" i="34"/>
  <c r="I41" i="34"/>
  <c r="A42" i="34"/>
  <c r="G42" i="34"/>
  <c r="H42" i="34"/>
  <c r="I42" i="34"/>
  <c r="A43" i="34"/>
  <c r="G43" i="34"/>
  <c r="H43" i="34"/>
  <c r="I43" i="34"/>
  <c r="A44" i="34"/>
  <c r="G44" i="34"/>
  <c r="H44" i="34"/>
  <c r="I44" i="34"/>
  <c r="A45" i="34"/>
  <c r="G45" i="34"/>
  <c r="H45" i="34"/>
  <c r="I45" i="34"/>
  <c r="A46" i="34"/>
  <c r="G46" i="34"/>
  <c r="H46" i="34"/>
  <c r="I46" i="34"/>
  <c r="A47" i="34"/>
  <c r="G47" i="34"/>
  <c r="H47" i="34"/>
  <c r="I47" i="34"/>
  <c r="A48" i="34"/>
  <c r="G48" i="34"/>
  <c r="H48" i="34"/>
  <c r="I48" i="34"/>
  <c r="A49" i="34"/>
  <c r="G49" i="34"/>
  <c r="H49" i="34"/>
  <c r="I49" i="34"/>
  <c r="A50" i="34"/>
  <c r="G50" i="34"/>
  <c r="H50" i="34"/>
  <c r="I50" i="34"/>
  <c r="A51" i="34"/>
  <c r="G51" i="34"/>
  <c r="H51" i="34"/>
  <c r="I51" i="34"/>
  <c r="A52" i="34"/>
  <c r="G52" i="34"/>
  <c r="H52" i="34"/>
  <c r="I52" i="34"/>
  <c r="A53" i="34"/>
  <c r="G53" i="34"/>
  <c r="H53" i="34"/>
  <c r="I53" i="34"/>
  <c r="A54" i="34"/>
  <c r="G54" i="34"/>
  <c r="H54" i="34"/>
  <c r="I54" i="34"/>
  <c r="A55" i="34"/>
  <c r="G55" i="34"/>
  <c r="H55" i="34"/>
  <c r="I55" i="34"/>
  <c r="A56" i="34"/>
  <c r="G56" i="34"/>
  <c r="H56" i="34"/>
  <c r="I56" i="34"/>
  <c r="A57" i="34"/>
  <c r="G57" i="34"/>
  <c r="H57" i="34"/>
  <c r="I57" i="34"/>
  <c r="A58" i="34"/>
  <c r="G58" i="34"/>
  <c r="H58" i="34"/>
  <c r="I58" i="34"/>
  <c r="A59" i="34"/>
  <c r="G59" i="34"/>
  <c r="H59" i="34"/>
  <c r="I59" i="34"/>
  <c r="A60" i="34"/>
  <c r="G60" i="34"/>
  <c r="H60" i="34"/>
  <c r="I60" i="34"/>
  <c r="A61" i="34"/>
  <c r="G61" i="34"/>
  <c r="H61" i="34"/>
  <c r="I61" i="34"/>
  <c r="A62" i="34"/>
  <c r="G62" i="34"/>
  <c r="H62" i="34"/>
  <c r="I62" i="34"/>
  <c r="A63" i="34"/>
  <c r="G63" i="34"/>
  <c r="H63" i="34"/>
  <c r="I63" i="34"/>
  <c r="A64" i="34"/>
  <c r="G64" i="34"/>
  <c r="H64" i="34"/>
  <c r="I64" i="34"/>
  <c r="A65" i="34"/>
  <c r="G65" i="34"/>
  <c r="H65" i="34"/>
  <c r="I65" i="34"/>
  <c r="A66" i="34"/>
  <c r="G66" i="34"/>
  <c r="H66" i="34"/>
  <c r="I66" i="34"/>
  <c r="A67" i="34"/>
  <c r="G67" i="34"/>
  <c r="H67" i="34"/>
  <c r="I67" i="34"/>
  <c r="A68" i="34"/>
  <c r="G68" i="34"/>
  <c r="H68" i="34"/>
  <c r="I68" i="34"/>
  <c r="A69" i="34"/>
  <c r="G69" i="34"/>
  <c r="H69" i="34"/>
  <c r="I69" i="34"/>
  <c r="A70" i="34"/>
  <c r="G70" i="34"/>
  <c r="H70" i="34"/>
  <c r="I70" i="34"/>
  <c r="A71" i="34"/>
  <c r="G71" i="34"/>
  <c r="H71" i="34"/>
  <c r="I71" i="34"/>
  <c r="A72" i="34"/>
  <c r="G72" i="34"/>
  <c r="H72" i="34"/>
  <c r="I72" i="34"/>
  <c r="A73" i="34"/>
  <c r="G73" i="34"/>
  <c r="H73" i="34"/>
  <c r="I73" i="34"/>
  <c r="A74" i="34"/>
  <c r="G74" i="34"/>
  <c r="H74" i="34"/>
  <c r="I74" i="34"/>
  <c r="A75" i="34"/>
  <c r="G75" i="34"/>
  <c r="H75" i="34"/>
  <c r="I75" i="34"/>
  <c r="A76" i="34"/>
  <c r="G76" i="34"/>
  <c r="H76" i="34"/>
  <c r="I76" i="34"/>
  <c r="A77" i="34"/>
  <c r="G77" i="34"/>
  <c r="H77" i="34"/>
  <c r="I77" i="34"/>
  <c r="A78" i="34"/>
  <c r="G78" i="34"/>
  <c r="H78" i="34"/>
  <c r="I78" i="34"/>
  <c r="A79" i="34"/>
  <c r="G79" i="34"/>
  <c r="H79" i="34"/>
  <c r="I79" i="34"/>
  <c r="A80" i="34"/>
  <c r="G80" i="34"/>
  <c r="H80" i="34"/>
  <c r="I80" i="34"/>
  <c r="A81" i="34"/>
  <c r="G81" i="34"/>
  <c r="H81" i="34"/>
  <c r="I81" i="34"/>
  <c r="A82" i="34"/>
  <c r="G82" i="34"/>
  <c r="H82" i="34"/>
  <c r="I82" i="34"/>
  <c r="A83" i="34"/>
  <c r="G83" i="34"/>
  <c r="H83" i="34"/>
  <c r="I83" i="34"/>
  <c r="A84" i="34"/>
  <c r="G84" i="34"/>
  <c r="H84" i="34"/>
  <c r="I84" i="34"/>
  <c r="A85" i="34"/>
  <c r="G85" i="34"/>
  <c r="H85" i="34"/>
  <c r="I85" i="34"/>
  <c r="A86" i="34"/>
  <c r="G86" i="34"/>
  <c r="H86" i="34"/>
  <c r="I86" i="34"/>
  <c r="A87" i="34"/>
  <c r="G87" i="34"/>
  <c r="H87" i="34"/>
  <c r="I87" i="34"/>
  <c r="A88" i="34"/>
  <c r="G88" i="34"/>
  <c r="H88" i="34"/>
  <c r="I88" i="34"/>
  <c r="A89" i="34"/>
  <c r="G89" i="34"/>
  <c r="H89" i="34"/>
  <c r="I89" i="34"/>
  <c r="A90" i="34"/>
  <c r="G90" i="34"/>
  <c r="H90" i="34"/>
  <c r="I90" i="34"/>
  <c r="A91" i="34"/>
  <c r="G91" i="34"/>
  <c r="H91" i="34"/>
  <c r="I91" i="34"/>
  <c r="A92" i="34"/>
  <c r="G92" i="34"/>
  <c r="H92" i="34"/>
  <c r="I92" i="34"/>
  <c r="A93" i="34"/>
  <c r="G93" i="34"/>
  <c r="H93" i="34"/>
  <c r="I93" i="34"/>
  <c r="A94" i="34"/>
  <c r="G94" i="34"/>
  <c r="H94" i="34"/>
  <c r="I94" i="34"/>
  <c r="A95" i="34"/>
  <c r="G95" i="34"/>
  <c r="H95" i="34"/>
  <c r="I95" i="34"/>
  <c r="A96" i="34"/>
  <c r="G96" i="34"/>
  <c r="H96" i="34"/>
  <c r="I96" i="34"/>
  <c r="A97" i="34"/>
  <c r="G97" i="34" s="1"/>
  <c r="H97" i="34"/>
  <c r="I97" i="34"/>
  <c r="A98" i="34"/>
  <c r="G98" i="34" s="1"/>
  <c r="H98" i="34"/>
  <c r="I98" i="34"/>
  <c r="A99" i="34"/>
  <c r="G99" i="34"/>
  <c r="H99" i="34"/>
  <c r="I99" i="34"/>
  <c r="A100" i="34"/>
  <c r="G100" i="34" s="1"/>
  <c r="H100" i="34"/>
  <c r="I100" i="34"/>
  <c r="A101" i="34"/>
  <c r="G101" i="34"/>
  <c r="H101" i="34"/>
  <c r="I101" i="34"/>
  <c r="A3" i="35"/>
  <c r="G3" i="35" s="1"/>
  <c r="H3" i="35"/>
  <c r="I3" i="35"/>
  <c r="A4" i="35"/>
  <c r="G4" i="35"/>
  <c r="H4" i="35"/>
  <c r="I4" i="35"/>
  <c r="A5" i="35"/>
  <c r="G5" i="35"/>
  <c r="H5" i="35"/>
  <c r="I5" i="35"/>
  <c r="A6" i="35"/>
  <c r="G6" i="35"/>
  <c r="H6" i="35"/>
  <c r="I6" i="35"/>
  <c r="A7" i="35"/>
  <c r="G7" i="35" s="1"/>
  <c r="H7" i="35"/>
  <c r="I7" i="35"/>
  <c r="A8" i="35"/>
  <c r="G8" i="35" s="1"/>
  <c r="H8" i="35"/>
  <c r="I8" i="35"/>
  <c r="A9" i="35"/>
  <c r="G9" i="35"/>
  <c r="H9" i="35"/>
  <c r="I9" i="35"/>
  <c r="A10" i="35"/>
  <c r="G10" i="35" s="1"/>
  <c r="H10" i="35"/>
  <c r="I10" i="35"/>
  <c r="A11" i="35"/>
  <c r="G11" i="35"/>
  <c r="H11" i="35"/>
  <c r="I11" i="35"/>
  <c r="A12" i="35"/>
  <c r="G12" i="35"/>
  <c r="H12" i="35"/>
  <c r="I12" i="35"/>
  <c r="A13" i="35"/>
  <c r="G13" i="35" s="1"/>
  <c r="H13" i="35"/>
  <c r="I13" i="35"/>
  <c r="A14" i="35"/>
  <c r="G14" i="35" s="1"/>
  <c r="H14" i="35"/>
  <c r="I14" i="35"/>
  <c r="A15" i="35"/>
  <c r="G15" i="35" s="1"/>
  <c r="H15" i="35"/>
  <c r="I15" i="35"/>
  <c r="A16" i="35"/>
  <c r="G16" i="35" s="1"/>
  <c r="H16" i="35"/>
  <c r="I16" i="35"/>
  <c r="A17" i="35"/>
  <c r="G17" i="35" s="1"/>
  <c r="H17" i="35"/>
  <c r="I17" i="35"/>
  <c r="A18" i="35"/>
  <c r="G18" i="35"/>
  <c r="H18" i="35"/>
  <c r="I18" i="35"/>
  <c r="A19" i="35"/>
  <c r="G19" i="35" s="1"/>
  <c r="H19" i="35"/>
  <c r="I19" i="35"/>
  <c r="A20" i="35"/>
  <c r="G20" i="35"/>
  <c r="H20" i="35"/>
  <c r="I20" i="35"/>
  <c r="A21" i="35"/>
  <c r="G21" i="35"/>
  <c r="H21" i="35"/>
  <c r="I21" i="35"/>
  <c r="A22" i="35"/>
  <c r="G22" i="35" s="1"/>
  <c r="H22" i="35"/>
  <c r="I22" i="35"/>
  <c r="A23" i="35"/>
  <c r="G23" i="35"/>
  <c r="H23" i="35"/>
  <c r="I23" i="35"/>
  <c r="A24" i="35"/>
  <c r="G24" i="35" s="1"/>
  <c r="H24" i="35"/>
  <c r="I24" i="35"/>
  <c r="A25" i="35"/>
  <c r="G25" i="35"/>
  <c r="H25" i="35"/>
  <c r="I25" i="35"/>
  <c r="A26" i="35"/>
  <c r="G26" i="35"/>
  <c r="H26" i="35"/>
  <c r="I26" i="35"/>
  <c r="A27" i="35"/>
  <c r="G27" i="35"/>
  <c r="H27" i="35"/>
  <c r="I27" i="35"/>
  <c r="A28" i="35"/>
  <c r="G28" i="35"/>
  <c r="H28" i="35"/>
  <c r="I28" i="35"/>
  <c r="A29" i="35"/>
  <c r="G29" i="35" s="1"/>
  <c r="H29" i="35"/>
  <c r="I29" i="35"/>
  <c r="A30" i="35"/>
  <c r="G30" i="35"/>
  <c r="H30" i="35"/>
  <c r="I30" i="35"/>
  <c r="A31" i="35"/>
  <c r="G31" i="35" s="1"/>
  <c r="H31" i="35"/>
  <c r="I31" i="35"/>
  <c r="A32" i="35"/>
  <c r="G32" i="35"/>
  <c r="H32" i="35"/>
  <c r="I32" i="35"/>
  <c r="A33" i="35"/>
  <c r="G33" i="35" s="1"/>
  <c r="H33" i="35"/>
  <c r="I33" i="35"/>
  <c r="A34" i="35"/>
  <c r="G34" i="35"/>
  <c r="H34" i="35"/>
  <c r="I34" i="35"/>
  <c r="A35" i="35"/>
  <c r="G35" i="35" s="1"/>
  <c r="H35" i="35"/>
  <c r="I35" i="35"/>
  <c r="A36" i="35"/>
  <c r="G36" i="35"/>
  <c r="H36" i="35"/>
  <c r="I36" i="35"/>
  <c r="A37" i="35"/>
  <c r="G37" i="35" s="1"/>
  <c r="H37" i="35"/>
  <c r="I37" i="35"/>
  <c r="A38" i="35"/>
  <c r="G38" i="35"/>
  <c r="H38" i="35"/>
  <c r="I38" i="35"/>
  <c r="A39" i="35"/>
  <c r="G39" i="35"/>
  <c r="H39" i="35"/>
  <c r="I39" i="35"/>
  <c r="A40" i="35"/>
  <c r="G40" i="35" s="1"/>
  <c r="H40" i="35"/>
  <c r="I40" i="35"/>
  <c r="A41" i="35"/>
  <c r="G41" i="35"/>
  <c r="H41" i="35"/>
  <c r="I41" i="35"/>
  <c r="A42" i="35"/>
  <c r="G42" i="35" s="1"/>
  <c r="H42" i="35"/>
  <c r="I42" i="35"/>
  <c r="A43" i="35"/>
  <c r="G43" i="35"/>
  <c r="H43" i="35"/>
  <c r="I43" i="35"/>
  <c r="A44" i="35"/>
  <c r="G44" i="35"/>
  <c r="H44" i="35"/>
  <c r="I44" i="35"/>
  <c r="A45" i="35"/>
  <c r="G45" i="35" s="1"/>
  <c r="H45" i="35"/>
  <c r="I45" i="35"/>
  <c r="A46" i="35"/>
  <c r="G46" i="35"/>
  <c r="H46" i="35"/>
  <c r="I46" i="35"/>
  <c r="A47" i="35"/>
  <c r="G47" i="35"/>
  <c r="H47" i="35"/>
  <c r="I47" i="35"/>
  <c r="A48" i="35"/>
  <c r="G48" i="35" s="1"/>
  <c r="H48" i="35"/>
  <c r="I48" i="35"/>
  <c r="A49" i="35"/>
  <c r="G49" i="35"/>
  <c r="H49" i="35"/>
  <c r="I49" i="35"/>
  <c r="A50" i="35"/>
  <c r="G50" i="35" s="1"/>
  <c r="H50" i="35"/>
  <c r="I50" i="35"/>
  <c r="A51" i="35"/>
  <c r="G51" i="35"/>
  <c r="H51" i="35"/>
  <c r="I51" i="35"/>
  <c r="A52" i="35"/>
  <c r="G52" i="35"/>
  <c r="H52" i="35"/>
  <c r="I52" i="35"/>
  <c r="A53" i="35"/>
  <c r="G53" i="35" s="1"/>
  <c r="H53" i="35"/>
  <c r="I53" i="35"/>
  <c r="A54" i="35"/>
  <c r="G54" i="35" s="1"/>
  <c r="H54" i="35"/>
  <c r="I54" i="35"/>
  <c r="A55" i="35"/>
  <c r="G55" i="35"/>
  <c r="H55" i="35"/>
  <c r="I55" i="35"/>
  <c r="A56" i="35"/>
  <c r="G56" i="35"/>
  <c r="H56" i="35"/>
  <c r="I56" i="35"/>
  <c r="A57" i="35"/>
  <c r="G57" i="35" s="1"/>
  <c r="H57" i="35"/>
  <c r="I57" i="35"/>
  <c r="A58" i="35"/>
  <c r="G58" i="35"/>
  <c r="H58" i="35"/>
  <c r="I58" i="35"/>
  <c r="A59" i="35"/>
  <c r="G59" i="35"/>
  <c r="H59" i="35"/>
  <c r="I59" i="35"/>
  <c r="A60" i="35"/>
  <c r="G60" i="35" s="1"/>
  <c r="H60" i="35"/>
  <c r="I60" i="35"/>
  <c r="A61" i="35"/>
  <c r="G61" i="35"/>
  <c r="H61" i="35"/>
  <c r="I61" i="35"/>
  <c r="A62" i="35"/>
  <c r="G62" i="35" s="1"/>
  <c r="H62" i="35"/>
  <c r="I62" i="35"/>
  <c r="A63" i="35"/>
  <c r="G63" i="35" s="1"/>
  <c r="H63" i="35"/>
  <c r="I63" i="35"/>
  <c r="A64" i="35"/>
  <c r="G64" i="35"/>
  <c r="H64" i="35"/>
  <c r="I64" i="35"/>
  <c r="A65" i="35"/>
  <c r="G65" i="35" s="1"/>
  <c r="H65" i="35"/>
  <c r="I65" i="35"/>
  <c r="A66" i="35"/>
  <c r="G66" i="35"/>
  <c r="H66" i="35"/>
  <c r="I66" i="35"/>
  <c r="A67" i="35"/>
  <c r="G67" i="35"/>
  <c r="H67" i="35"/>
  <c r="I67" i="35"/>
  <c r="A68" i="35"/>
  <c r="G68" i="35"/>
  <c r="H68" i="35"/>
  <c r="I68" i="35"/>
  <c r="A69" i="35"/>
  <c r="G69" i="35"/>
  <c r="H69" i="35"/>
  <c r="I69" i="35"/>
  <c r="A70" i="35"/>
  <c r="G70" i="35"/>
  <c r="H70" i="35"/>
  <c r="I70" i="35"/>
  <c r="A71" i="35"/>
  <c r="G71" i="35"/>
  <c r="H71" i="35"/>
  <c r="I71" i="35"/>
  <c r="A72" i="35"/>
  <c r="G72" i="35" s="1"/>
  <c r="H72" i="35"/>
  <c r="I72" i="35"/>
  <c r="A73" i="35"/>
  <c r="G73" i="35"/>
  <c r="H73" i="35"/>
  <c r="I73" i="35"/>
  <c r="A74" i="35"/>
  <c r="G74" i="35" s="1"/>
  <c r="H74" i="35"/>
  <c r="I74" i="35"/>
  <c r="A75" i="35"/>
  <c r="G75" i="35"/>
  <c r="H75" i="35"/>
  <c r="I75" i="35"/>
  <c r="A76" i="35"/>
  <c r="I76" i="35" s="1"/>
  <c r="G76" i="35"/>
  <c r="H76" i="35"/>
  <c r="A77" i="35"/>
  <c r="G77" i="35"/>
  <c r="H77" i="35"/>
  <c r="I77" i="35"/>
  <c r="A78" i="35"/>
  <c r="G78" i="35"/>
  <c r="H78" i="35"/>
  <c r="I78" i="35"/>
  <c r="A79" i="35"/>
  <c r="G79" i="35"/>
  <c r="H79" i="35"/>
  <c r="I79" i="35"/>
  <c r="A80" i="35"/>
  <c r="G80" i="35"/>
  <c r="H80" i="35"/>
  <c r="I80" i="35"/>
  <c r="A81" i="35"/>
  <c r="G81" i="35"/>
  <c r="H81" i="35"/>
  <c r="I81" i="35"/>
  <c r="A82" i="35"/>
  <c r="G82" i="35"/>
  <c r="H82" i="35"/>
  <c r="I82" i="35"/>
  <c r="A83" i="35"/>
  <c r="G83" i="35"/>
  <c r="H83" i="35"/>
  <c r="I83" i="35"/>
  <c r="A84" i="35"/>
  <c r="G84" i="35"/>
  <c r="H84" i="35"/>
  <c r="I84" i="35"/>
  <c r="A85" i="35"/>
  <c r="G85" i="35"/>
  <c r="H85" i="35"/>
  <c r="I85" i="35"/>
  <c r="A86" i="35"/>
  <c r="G86" i="35"/>
  <c r="H86" i="35"/>
  <c r="I86" i="35"/>
  <c r="A87" i="35"/>
  <c r="G87" i="35"/>
  <c r="H87" i="35"/>
  <c r="I87" i="35"/>
  <c r="A88" i="35"/>
  <c r="G88" i="35"/>
  <c r="H88" i="35"/>
  <c r="I88" i="35"/>
  <c r="A89" i="35"/>
  <c r="G89" i="35"/>
  <c r="H89" i="35"/>
  <c r="I89" i="35"/>
  <c r="A90" i="35"/>
  <c r="G90" i="35"/>
  <c r="H90" i="35"/>
  <c r="I90" i="35"/>
  <c r="A91" i="35"/>
  <c r="G91" i="35"/>
  <c r="H91" i="35"/>
  <c r="I91" i="35"/>
  <c r="A92" i="35"/>
  <c r="G92" i="35"/>
  <c r="H92" i="35"/>
  <c r="I92" i="35"/>
  <c r="A93" i="35"/>
  <c r="G93" i="35"/>
  <c r="H93" i="35"/>
  <c r="I93" i="35"/>
  <c r="A94" i="35"/>
  <c r="G94" i="35"/>
  <c r="H94" i="35"/>
  <c r="I94" i="35"/>
  <c r="A95" i="35"/>
  <c r="G95" i="35"/>
  <c r="H95" i="35"/>
  <c r="I95" i="35"/>
  <c r="A96" i="35"/>
  <c r="G96" i="35"/>
  <c r="H96" i="35"/>
  <c r="I96" i="35"/>
  <c r="A97" i="35"/>
  <c r="G97" i="35"/>
  <c r="H97" i="35"/>
  <c r="I97" i="35"/>
  <c r="A98" i="35"/>
  <c r="G98" i="35"/>
  <c r="H98" i="35"/>
  <c r="I98" i="35"/>
  <c r="A99" i="35"/>
  <c r="G99" i="35"/>
  <c r="H99" i="35"/>
  <c r="I99" i="35"/>
  <c r="A100" i="35"/>
  <c r="G100" i="35"/>
  <c r="H100" i="35"/>
  <c r="I100" i="35"/>
  <c r="A101" i="35"/>
  <c r="G101" i="35"/>
  <c r="H101" i="35"/>
  <c r="I101" i="35"/>
  <c r="A3" i="5"/>
  <c r="G3" i="5"/>
  <c r="H3" i="5"/>
  <c r="I3" i="5"/>
  <c r="A4" i="5"/>
  <c r="G4" i="5"/>
  <c r="H4" i="5"/>
  <c r="I4" i="5"/>
  <c r="A5" i="5"/>
  <c r="G5" i="5"/>
  <c r="H5" i="5"/>
  <c r="I5" i="5"/>
  <c r="A6" i="5"/>
  <c r="G6" i="5"/>
  <c r="H6" i="5"/>
  <c r="I6" i="5"/>
  <c r="A7" i="5"/>
  <c r="G7" i="5"/>
  <c r="H7" i="5"/>
  <c r="I7" i="5"/>
  <c r="A8" i="5"/>
  <c r="G8" i="5"/>
  <c r="H8" i="5"/>
  <c r="I8" i="5"/>
  <c r="A9" i="5"/>
  <c r="G9" i="5"/>
  <c r="H9" i="5"/>
  <c r="I9" i="5"/>
  <c r="A10" i="5"/>
  <c r="G10" i="5"/>
  <c r="H10" i="5"/>
  <c r="I10" i="5"/>
  <c r="A11" i="5"/>
  <c r="G11" i="5"/>
  <c r="H11" i="5"/>
  <c r="I11" i="5"/>
  <c r="A12" i="5"/>
  <c r="G12" i="5"/>
  <c r="H12" i="5"/>
  <c r="I12" i="5"/>
  <c r="A13" i="5"/>
  <c r="G13" i="5"/>
  <c r="H13" i="5"/>
  <c r="I13" i="5"/>
  <c r="A14" i="5"/>
  <c r="G14" i="5"/>
  <c r="H14" i="5"/>
  <c r="I14" i="5"/>
  <c r="A15" i="5"/>
  <c r="G15" i="5"/>
  <c r="H15" i="5"/>
  <c r="I15" i="5"/>
  <c r="A16" i="5"/>
  <c r="G16" i="5"/>
  <c r="H16" i="5"/>
  <c r="I16" i="5"/>
  <c r="A17" i="5"/>
  <c r="G17" i="5"/>
  <c r="H17" i="5"/>
  <c r="I17" i="5"/>
  <c r="A18" i="5"/>
  <c r="G18" i="5"/>
  <c r="H18" i="5"/>
  <c r="I18" i="5"/>
  <c r="A19" i="5"/>
  <c r="G19" i="5"/>
  <c r="H19" i="5"/>
  <c r="I19" i="5"/>
  <c r="A20" i="5"/>
  <c r="G20" i="5"/>
  <c r="H20" i="5"/>
  <c r="I20" i="5"/>
  <c r="A21" i="5"/>
  <c r="G21" i="5"/>
  <c r="H21" i="5"/>
  <c r="I21" i="5"/>
  <c r="A22" i="5"/>
  <c r="G22" i="5"/>
  <c r="H22" i="5"/>
  <c r="I22" i="5"/>
  <c r="A23" i="5"/>
  <c r="G23" i="5"/>
  <c r="H23" i="5"/>
  <c r="I23" i="5"/>
  <c r="A24" i="5"/>
  <c r="G24" i="5"/>
  <c r="H24" i="5"/>
  <c r="I24" i="5"/>
  <c r="A25" i="5"/>
  <c r="G25" i="5"/>
  <c r="H25" i="5"/>
  <c r="I25" i="5"/>
  <c r="A26" i="5"/>
  <c r="G26" i="5"/>
  <c r="H26" i="5"/>
  <c r="I26" i="5"/>
  <c r="A27" i="5"/>
  <c r="G27" i="5"/>
  <c r="H27" i="5"/>
  <c r="I27" i="5"/>
  <c r="A28" i="5"/>
  <c r="G28" i="5"/>
  <c r="H28" i="5"/>
  <c r="I28" i="5"/>
  <c r="A29" i="5"/>
  <c r="G29" i="5"/>
  <c r="H29" i="5"/>
  <c r="I29" i="5"/>
  <c r="A30" i="5"/>
  <c r="G30" i="5"/>
  <c r="H30" i="5"/>
  <c r="I30" i="5"/>
  <c r="A31" i="5"/>
  <c r="G31" i="5"/>
  <c r="H31" i="5"/>
  <c r="I31" i="5"/>
  <c r="A32" i="5"/>
  <c r="G32" i="5"/>
  <c r="H32" i="5"/>
  <c r="I32" i="5"/>
  <c r="A33" i="5"/>
  <c r="G33" i="5"/>
  <c r="H33" i="5"/>
  <c r="I33" i="5"/>
  <c r="A34" i="5"/>
  <c r="G34" i="5"/>
  <c r="H34" i="5"/>
  <c r="I34" i="5"/>
  <c r="A35" i="5"/>
  <c r="G35" i="5"/>
  <c r="H35" i="5"/>
  <c r="I35" i="5"/>
  <c r="A36" i="5"/>
  <c r="G36" i="5"/>
  <c r="H36" i="5"/>
  <c r="I36" i="5"/>
  <c r="A37" i="5"/>
  <c r="G37" i="5"/>
  <c r="H37" i="5"/>
  <c r="I37" i="5"/>
  <c r="A38" i="5"/>
  <c r="G38" i="5"/>
  <c r="H38" i="5"/>
  <c r="I38" i="5"/>
  <c r="A39" i="5"/>
  <c r="G39" i="5"/>
  <c r="H39" i="5"/>
  <c r="I39" i="5"/>
  <c r="A40" i="5"/>
  <c r="G40" i="5"/>
  <c r="H40" i="5"/>
  <c r="I40" i="5"/>
  <c r="A41" i="5"/>
  <c r="G41" i="5"/>
  <c r="H41" i="5"/>
  <c r="I41" i="5"/>
  <c r="A42" i="5"/>
  <c r="G42" i="5"/>
  <c r="H42" i="5"/>
  <c r="I42" i="5"/>
  <c r="A43" i="5"/>
  <c r="G43" i="5"/>
  <c r="H43" i="5"/>
  <c r="I43" i="5"/>
  <c r="A44" i="5"/>
  <c r="G44" i="5"/>
  <c r="H44" i="5"/>
  <c r="I44" i="5"/>
  <c r="A45" i="5"/>
  <c r="G45" i="5"/>
  <c r="H45" i="5"/>
  <c r="I45" i="5"/>
  <c r="A46" i="5"/>
  <c r="G46" i="5"/>
  <c r="H46" i="5"/>
  <c r="I46" i="5"/>
  <c r="A47" i="5"/>
  <c r="G47" i="5"/>
  <c r="H47" i="5"/>
  <c r="I47" i="5"/>
  <c r="A48" i="5"/>
  <c r="G48" i="5"/>
  <c r="H48" i="5"/>
  <c r="I48" i="5"/>
  <c r="A49" i="5"/>
  <c r="G49" i="5"/>
  <c r="H49" i="5"/>
  <c r="I49" i="5"/>
  <c r="A50" i="5"/>
  <c r="G50" i="5"/>
  <c r="H50" i="5"/>
  <c r="I50" i="5"/>
  <c r="A51" i="5"/>
  <c r="G51" i="5"/>
  <c r="H51" i="5"/>
  <c r="I51" i="5"/>
  <c r="A52" i="5"/>
  <c r="G52" i="5"/>
  <c r="H52" i="5"/>
  <c r="I52" i="5"/>
  <c r="A53" i="5"/>
  <c r="G53" i="5"/>
  <c r="H53" i="5"/>
  <c r="I53" i="5"/>
  <c r="A54" i="5"/>
  <c r="G54" i="5"/>
  <c r="H54" i="5"/>
  <c r="I54" i="5"/>
  <c r="A55" i="5"/>
  <c r="G55" i="5"/>
  <c r="H55" i="5"/>
  <c r="I55" i="5"/>
  <c r="A56" i="5"/>
  <c r="G56" i="5"/>
  <c r="H56" i="5"/>
  <c r="I56" i="5"/>
  <c r="A57" i="5"/>
  <c r="G57" i="5"/>
  <c r="H57" i="5"/>
  <c r="I57" i="5"/>
  <c r="A58" i="5"/>
  <c r="G58" i="5"/>
  <c r="H58" i="5"/>
  <c r="I58" i="5"/>
  <c r="A59" i="5"/>
  <c r="G59" i="5"/>
  <c r="H59" i="5"/>
  <c r="I59" i="5"/>
  <c r="A60" i="5"/>
  <c r="G60" i="5"/>
  <c r="H60" i="5"/>
  <c r="I60" i="5"/>
  <c r="A61" i="5"/>
  <c r="G61" i="5"/>
  <c r="H61" i="5"/>
  <c r="I61" i="5"/>
  <c r="A62" i="5"/>
  <c r="G62" i="5"/>
  <c r="H62" i="5"/>
  <c r="I62" i="5"/>
  <c r="A63" i="5"/>
  <c r="G63" i="5"/>
  <c r="H63" i="5"/>
  <c r="I63" i="5"/>
  <c r="A64" i="5"/>
  <c r="G64" i="5"/>
  <c r="H64" i="5"/>
  <c r="I64" i="5"/>
  <c r="A65" i="5"/>
  <c r="G65" i="5"/>
  <c r="H65" i="5"/>
  <c r="I65" i="5"/>
  <c r="A66" i="5"/>
  <c r="G66" i="5"/>
  <c r="H66" i="5"/>
  <c r="I66" i="5"/>
  <c r="A67" i="5"/>
  <c r="G67" i="5"/>
  <c r="H67" i="5"/>
  <c r="I67" i="5"/>
  <c r="A68" i="5"/>
  <c r="G68" i="5"/>
  <c r="H68" i="5"/>
  <c r="I68" i="5"/>
  <c r="A69" i="5"/>
  <c r="G69" i="5"/>
  <c r="H69" i="5"/>
  <c r="I69" i="5"/>
  <c r="A70" i="5"/>
  <c r="G70" i="5"/>
  <c r="H70" i="5"/>
  <c r="I70" i="5"/>
  <c r="A71" i="5"/>
  <c r="G71" i="5"/>
  <c r="H71" i="5"/>
  <c r="I71" i="5"/>
  <c r="A72" i="5"/>
  <c r="G72" i="5"/>
  <c r="H72" i="5"/>
  <c r="I72" i="5"/>
  <c r="A73" i="5"/>
  <c r="G73" i="5"/>
  <c r="H73" i="5"/>
  <c r="I73" i="5"/>
  <c r="A74" i="5"/>
  <c r="G74" i="5"/>
  <c r="H74" i="5"/>
  <c r="I74" i="5"/>
  <c r="A75" i="5"/>
  <c r="G75" i="5"/>
  <c r="H75" i="5"/>
  <c r="I75" i="5"/>
  <c r="A76" i="5"/>
  <c r="G76" i="5"/>
  <c r="H76" i="5"/>
  <c r="I76" i="5"/>
  <c r="A77" i="5"/>
  <c r="G77" i="5"/>
  <c r="H77" i="5"/>
  <c r="I77" i="5"/>
  <c r="A78" i="5"/>
  <c r="G78" i="5"/>
  <c r="H78" i="5"/>
  <c r="I78" i="5"/>
  <c r="A79" i="5"/>
  <c r="G79" i="5"/>
  <c r="H79" i="5"/>
  <c r="I79" i="5"/>
  <c r="A80" i="5"/>
  <c r="G80" i="5"/>
  <c r="H80" i="5"/>
  <c r="I80" i="5"/>
  <c r="A81" i="5"/>
  <c r="G81" i="5"/>
  <c r="H81" i="5"/>
  <c r="I81" i="5"/>
  <c r="A82" i="5"/>
  <c r="G82" i="5"/>
  <c r="H82" i="5"/>
  <c r="I82" i="5"/>
  <c r="A83" i="5"/>
  <c r="G83" i="5"/>
  <c r="H83" i="5"/>
  <c r="I83" i="5"/>
  <c r="A84" i="5"/>
  <c r="G84" i="5"/>
  <c r="H84" i="5"/>
  <c r="I84" i="5"/>
  <c r="A85" i="5"/>
  <c r="G85" i="5"/>
  <c r="H85" i="5"/>
  <c r="I85" i="5"/>
  <c r="A86" i="5"/>
  <c r="G86" i="5"/>
  <c r="H86" i="5"/>
  <c r="I86" i="5"/>
  <c r="A87" i="5"/>
  <c r="G87" i="5"/>
  <c r="H87" i="5"/>
  <c r="I87" i="5"/>
  <c r="A88" i="5"/>
  <c r="G88" i="5"/>
  <c r="H88" i="5"/>
  <c r="I88" i="5"/>
  <c r="A89" i="5"/>
  <c r="G89" i="5"/>
  <c r="H89" i="5"/>
  <c r="I89" i="5"/>
  <c r="A90" i="5"/>
  <c r="G90" i="5"/>
  <c r="H90" i="5"/>
  <c r="I90" i="5"/>
  <c r="A91" i="5"/>
  <c r="G91" i="5"/>
  <c r="H91" i="5"/>
  <c r="I91" i="5"/>
  <c r="A92" i="5"/>
  <c r="G92" i="5"/>
  <c r="H92" i="5"/>
  <c r="I92" i="5"/>
  <c r="A93" i="5"/>
  <c r="G93" i="5"/>
  <c r="H93" i="5"/>
  <c r="I93" i="5"/>
  <c r="A94" i="5"/>
  <c r="G94" i="5"/>
  <c r="H94" i="5"/>
  <c r="I94" i="5"/>
  <c r="A95" i="5"/>
  <c r="G95" i="5"/>
  <c r="H95" i="5"/>
  <c r="I95" i="5"/>
  <c r="A96" i="5"/>
  <c r="G96" i="5"/>
  <c r="H96" i="5"/>
  <c r="I96" i="5"/>
  <c r="A97" i="5"/>
  <c r="G97" i="5"/>
  <c r="H97" i="5"/>
  <c r="I97" i="5"/>
  <c r="A98" i="5"/>
  <c r="G98" i="5"/>
  <c r="H98" i="5"/>
  <c r="I98" i="5"/>
  <c r="A99" i="5"/>
  <c r="G99" i="5"/>
  <c r="H99" i="5"/>
  <c r="I99" i="5"/>
  <c r="A100" i="5"/>
  <c r="G100" i="5"/>
  <c r="H100" i="5"/>
  <c r="I100" i="5"/>
  <c r="A101" i="5"/>
  <c r="G101" i="5"/>
  <c r="H101" i="5"/>
  <c r="I101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7"/>
  <c r="H2" i="28"/>
  <c r="H2" i="29"/>
  <c r="H2" i="30"/>
  <c r="H2" i="34"/>
  <c r="H2" i="35"/>
  <c r="H2" i="5"/>
  <c r="A2" i="6"/>
  <c r="A2" i="7"/>
  <c r="A2" i="8"/>
  <c r="A2" i="9"/>
  <c r="A2" i="10"/>
  <c r="A2" i="11"/>
  <c r="A2" i="12"/>
  <c r="A2" i="13"/>
  <c r="A2" i="14"/>
  <c r="A2" i="15"/>
  <c r="A2" i="16"/>
  <c r="A2" i="17"/>
  <c r="A2" i="18"/>
  <c r="A2" i="19"/>
  <c r="A2" i="20"/>
  <c r="A2" i="21"/>
  <c r="A2" i="22"/>
  <c r="A2" i="23"/>
  <c r="A2" i="24"/>
  <c r="A2" i="25"/>
  <c r="A2" i="26"/>
  <c r="A2" i="27"/>
  <c r="A2" i="28"/>
  <c r="A2" i="29"/>
  <c r="A2" i="30"/>
  <c r="A2" i="34"/>
  <c r="A2" i="35"/>
  <c r="A2" i="5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8" i="2"/>
  <c r="J3" i="2"/>
  <c r="J4" i="2"/>
  <c r="J5" i="2"/>
  <c r="J6" i="2"/>
  <c r="J2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5" i="2"/>
  <c r="I26" i="2"/>
  <c r="I27" i="2"/>
  <c r="I2" i="2"/>
  <c r="I3" i="2"/>
  <c r="I4" i="2"/>
  <c r="I5" i="2"/>
  <c r="I6" i="2"/>
  <c r="I7" i="2"/>
  <c r="I8" i="2"/>
  <c r="E8" i="2"/>
  <c r="K28" i="2"/>
  <c r="I28" i="2"/>
  <c r="G28" i="2"/>
  <c r="K27" i="2"/>
  <c r="G27" i="2"/>
  <c r="K26" i="2"/>
  <c r="G26" i="2"/>
  <c r="K25" i="2"/>
  <c r="G25" i="2"/>
  <c r="K24" i="2"/>
  <c r="G24" i="2"/>
  <c r="K23" i="2"/>
  <c r="G23" i="2"/>
  <c r="K22" i="2"/>
  <c r="G22" i="2"/>
  <c r="K21" i="2"/>
  <c r="G21" i="2"/>
  <c r="K20" i="2"/>
  <c r="G20" i="2"/>
  <c r="K19" i="2"/>
  <c r="G19" i="2"/>
  <c r="K18" i="2"/>
  <c r="G18" i="2"/>
  <c r="K17" i="2"/>
  <c r="G17" i="2"/>
  <c r="K16" i="2"/>
  <c r="G16" i="2"/>
  <c r="K15" i="2"/>
  <c r="G15" i="2"/>
  <c r="K14" i="2"/>
  <c r="G14" i="2"/>
  <c r="K13" i="2"/>
  <c r="G13" i="2"/>
  <c r="K12" i="2"/>
  <c r="G12" i="2"/>
  <c r="K11" i="2"/>
  <c r="G11" i="2"/>
  <c r="K10" i="2"/>
  <c r="G10" i="2"/>
  <c r="K9" i="2"/>
  <c r="G9" i="2"/>
  <c r="K8" i="2"/>
  <c r="G8" i="2"/>
  <c r="K7" i="2"/>
  <c r="G7" i="2"/>
  <c r="K6" i="2"/>
  <c r="G6" i="2"/>
  <c r="K5" i="2"/>
  <c r="G5" i="2"/>
  <c r="K4" i="2"/>
  <c r="G4" i="2"/>
  <c r="K3" i="2"/>
  <c r="G3" i="2"/>
  <c r="A3" i="2"/>
  <c r="L2" i="2"/>
  <c r="K2" i="2"/>
  <c r="G2" i="2"/>
  <c r="B103" i="35" a="1"/>
  <c r="B103" i="35" s="1"/>
  <c r="B103" i="34" a="1"/>
  <c r="B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I2" i="6" l="1"/>
  <c r="G2" i="6" s="1"/>
  <c r="I2" i="7"/>
  <c r="G2" i="7" s="1"/>
  <c r="I2" i="8"/>
  <c r="G2" i="8"/>
  <c r="I2" i="9"/>
  <c r="G2" i="9" s="1"/>
  <c r="I2" i="10"/>
  <c r="G2" i="10" s="1"/>
  <c r="I2" i="11"/>
  <c r="G2" i="11" s="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G2" i="26" s="1"/>
  <c r="I2" i="27"/>
  <c r="G2" i="27" s="1"/>
  <c r="I2" i="28"/>
  <c r="G2" i="28" s="1"/>
  <c r="I2" i="29"/>
  <c r="G2" i="29" s="1"/>
  <c r="I2" i="30"/>
  <c r="G2" i="30" s="1"/>
  <c r="I2" i="34"/>
  <c r="G2" i="34" s="1"/>
  <c r="I2" i="35"/>
  <c r="G2" i="35" s="1"/>
  <c r="I2" i="5"/>
  <c r="G2" i="5" s="1"/>
  <c r="G36" i="7"/>
  <c r="I36" i="7"/>
  <c r="G55" i="7"/>
  <c r="I55" i="7"/>
  <c r="I63" i="7"/>
  <c r="G63" i="7"/>
  <c r="G64" i="7"/>
  <c r="I64" i="7"/>
  <c r="I68" i="7"/>
  <c r="G68" i="7"/>
  <c r="I70" i="7"/>
  <c r="G70" i="7"/>
  <c r="G73" i="7"/>
  <c r="I73" i="7"/>
  <c r="I76" i="7"/>
  <c r="G76" i="7"/>
  <c r="G80" i="7"/>
  <c r="I80" i="7"/>
  <c r="G86" i="7"/>
  <c r="I86" i="7"/>
  <c r="I87" i="7"/>
  <c r="G87" i="7"/>
  <c r="G89" i="7"/>
  <c r="I89" i="7"/>
  <c r="I90" i="7"/>
  <c r="G90" i="7"/>
  <c r="I91" i="7"/>
  <c r="G91" i="7"/>
  <c r="G92" i="7"/>
  <c r="I92" i="7"/>
  <c r="I94" i="7"/>
  <c r="G94" i="7"/>
  <c r="G96" i="7"/>
  <c r="I96" i="7"/>
  <c r="G97" i="7"/>
  <c r="I97" i="7"/>
  <c r="I98" i="7"/>
  <c r="G98" i="7"/>
  <c r="G100" i="7"/>
  <c r="I100" i="7"/>
  <c r="I3" i="8"/>
  <c r="G3" i="8"/>
  <c r="G4" i="8"/>
  <c r="I4" i="8"/>
  <c r="I6" i="8"/>
  <c r="G6" i="8"/>
  <c r="G7" i="8"/>
  <c r="I7" i="8"/>
  <c r="I8" i="8"/>
  <c r="G8" i="8"/>
  <c r="I9" i="8"/>
  <c r="G9" i="8"/>
  <c r="G10" i="8"/>
  <c r="I10" i="8"/>
  <c r="G12" i="8"/>
  <c r="I12" i="8"/>
  <c r="G13" i="8"/>
  <c r="I13" i="8"/>
  <c r="I14" i="8"/>
  <c r="G14" i="8"/>
  <c r="G15" i="8"/>
  <c r="I15" i="8"/>
  <c r="I16" i="8"/>
  <c r="G16" i="8"/>
  <c r="G17" i="8"/>
  <c r="I17" i="8"/>
  <c r="I18" i="8"/>
  <c r="G18" i="8"/>
  <c r="I20" i="8"/>
  <c r="G20" i="8"/>
  <c r="G21" i="8"/>
  <c r="I21" i="8"/>
  <c r="I22" i="8"/>
  <c r="G22" i="8"/>
  <c r="G23" i="8"/>
  <c r="I23" i="8"/>
  <c r="I26" i="8"/>
  <c r="G26" i="8"/>
  <c r="I28" i="8"/>
  <c r="G28" i="8"/>
  <c r="G29" i="8"/>
  <c r="I29" i="8"/>
  <c r="G31" i="8"/>
  <c r="I31" i="8"/>
  <c r="I34" i="8"/>
  <c r="G34" i="8"/>
  <c r="I35" i="8"/>
  <c r="G35" i="8"/>
  <c r="G36" i="8"/>
  <c r="I36" i="8"/>
  <c r="I37" i="8"/>
  <c r="G37" i="8"/>
  <c r="G38" i="8"/>
  <c r="I38" i="8"/>
  <c r="G39" i="8"/>
  <c r="I39" i="8"/>
  <c r="G40" i="8"/>
  <c r="I40" i="8"/>
  <c r="I41" i="8"/>
  <c r="G41" i="8"/>
  <c r="I48" i="8"/>
  <c r="G48" i="8"/>
  <c r="G49" i="8"/>
  <c r="I49" i="8"/>
  <c r="I53" i="8"/>
  <c r="G53" i="8"/>
  <c r="G54" i="8"/>
  <c r="I54" i="8"/>
  <c r="I58" i="8"/>
  <c r="G58" i="8"/>
  <c r="G59" i="8"/>
  <c r="I59" i="8"/>
  <c r="G60" i="8"/>
  <c r="I60" i="8"/>
  <c r="G61" i="8"/>
  <c r="I61" i="8"/>
  <c r="I62" i="8"/>
  <c r="G62" i="8"/>
  <c r="I64" i="8"/>
  <c r="G64" i="8"/>
  <c r="G65" i="8"/>
  <c r="I65" i="8"/>
  <c r="G66" i="8"/>
  <c r="I66" i="8"/>
  <c r="I67" i="8"/>
  <c r="G67" i="8"/>
  <c r="G68" i="8"/>
  <c r="I68" i="8"/>
  <c r="G70" i="8"/>
  <c r="I70" i="8"/>
  <c r="G71" i="8"/>
  <c r="I71" i="8"/>
  <c r="G72" i="8"/>
  <c r="I72" i="8"/>
  <c r="G73" i="8"/>
  <c r="I73" i="8"/>
  <c r="G74" i="8"/>
  <c r="I74" i="8"/>
  <c r="G76" i="8"/>
  <c r="I76" i="8"/>
  <c r="I77" i="8"/>
  <c r="G77" i="8"/>
  <c r="G79" i="8"/>
  <c r="I79" i="8"/>
  <c r="G80" i="8"/>
  <c r="I80" i="8"/>
  <c r="I81" i="8"/>
  <c r="G81" i="8"/>
  <c r="G83" i="8"/>
  <c r="I83" i="8"/>
  <c r="I84" i="8"/>
  <c r="G84" i="8"/>
  <c r="G87" i="8"/>
  <c r="I87" i="8"/>
  <c r="I88" i="8"/>
  <c r="G88" i="8"/>
  <c r="G92" i="8"/>
  <c r="I92" i="8"/>
  <c r="G93" i="8"/>
  <c r="I93" i="8"/>
  <c r="G94" i="8"/>
  <c r="I94" i="8"/>
  <c r="I95" i="8"/>
  <c r="G95" i="8"/>
  <c r="I96" i="8"/>
  <c r="G96" i="8"/>
  <c r="I97" i="8"/>
  <c r="G97" i="8"/>
  <c r="I98" i="8"/>
  <c r="G98" i="8"/>
  <c r="I4" i="11"/>
  <c r="G4" i="11"/>
  <c r="I5" i="11"/>
  <c r="G5" i="11"/>
  <c r="I7" i="11"/>
  <c r="G7" i="11"/>
  <c r="G8" i="11"/>
  <c r="I8" i="11"/>
  <c r="G9" i="11"/>
  <c r="I9" i="11"/>
  <c r="G10" i="11"/>
  <c r="I10" i="11"/>
  <c r="G11" i="11"/>
  <c r="I11" i="11"/>
  <c r="I13" i="11"/>
  <c r="G13" i="11"/>
  <c r="I15" i="11"/>
  <c r="G15" i="11"/>
  <c r="I16" i="11"/>
  <c r="G16" i="11"/>
  <c r="G18" i="11"/>
  <c r="I18" i="11"/>
  <c r="I20" i="11"/>
  <c r="G20" i="11"/>
  <c r="G23" i="11"/>
  <c r="I23" i="11"/>
  <c r="I24" i="11"/>
  <c r="G24" i="11"/>
  <c r="G25" i="11"/>
  <c r="I25" i="11"/>
  <c r="G27" i="11"/>
  <c r="I27" i="11"/>
  <c r="G28" i="11"/>
  <c r="I28" i="11"/>
  <c r="I29" i="11"/>
  <c r="G29" i="11"/>
  <c r="I32" i="11"/>
  <c r="G32" i="11"/>
  <c r="G33" i="11"/>
  <c r="I33" i="11"/>
  <c r="I36" i="11"/>
  <c r="G36" i="11"/>
  <c r="G38" i="11"/>
  <c r="I38" i="11"/>
  <c r="I40" i="11"/>
  <c r="G40" i="11"/>
  <c r="G44" i="11"/>
  <c r="I44" i="11"/>
  <c r="G45" i="11"/>
  <c r="I45" i="11"/>
  <c r="G48" i="11"/>
  <c r="I48" i="11"/>
  <c r="I49" i="11"/>
  <c r="G49" i="11"/>
  <c r="G50" i="11"/>
  <c r="I50" i="11"/>
  <c r="G54" i="11"/>
  <c r="I54" i="11"/>
  <c r="G55" i="11"/>
  <c r="I55" i="11"/>
  <c r="G59" i="11"/>
  <c r="I59" i="11"/>
  <c r="I63" i="11"/>
  <c r="G63" i="11"/>
  <c r="G65" i="11"/>
  <c r="I65" i="11"/>
  <c r="G66" i="11"/>
  <c r="I66" i="11"/>
  <c r="G67" i="11"/>
  <c r="I67" i="11"/>
  <c r="G71" i="11"/>
  <c r="I71" i="11"/>
  <c r="I73" i="11"/>
  <c r="G73" i="11"/>
  <c r="I74" i="11"/>
  <c r="G74" i="11"/>
  <c r="I77" i="11"/>
  <c r="G77" i="11"/>
  <c r="G78" i="11"/>
  <c r="I78" i="11"/>
  <c r="G80" i="11"/>
  <c r="I80" i="11"/>
  <c r="G87" i="11"/>
  <c r="I87" i="11"/>
  <c r="G91" i="11"/>
  <c r="I91" i="11"/>
  <c r="I93" i="11"/>
  <c r="G93" i="11"/>
  <c r="I96" i="11"/>
  <c r="G96" i="11"/>
  <c r="I95" i="13"/>
  <c r="G95" i="13"/>
  <c r="I96" i="13"/>
  <c r="G96" i="13"/>
  <c r="G97" i="13"/>
  <c r="I97" i="13"/>
  <c r="I98" i="13"/>
  <c r="G98" i="13"/>
  <c r="G100" i="13"/>
  <c r="I100" i="13"/>
  <c r="G4" i="14"/>
  <c r="I4" i="14"/>
  <c r="G6" i="14"/>
  <c r="I6" i="14"/>
  <c r="G7" i="14"/>
  <c r="I7" i="14"/>
  <c r="G9" i="14"/>
  <c r="I9" i="14"/>
  <c r="G10" i="14"/>
  <c r="I10" i="14"/>
  <c r="I15" i="14"/>
  <c r="G15" i="14"/>
  <c r="I16" i="14"/>
  <c r="G16" i="14"/>
  <c r="I17" i="14"/>
  <c r="G17" i="14"/>
  <c r="I18" i="14"/>
  <c r="G18" i="14"/>
  <c r="G19" i="14"/>
  <c r="I19" i="14"/>
  <c r="I20" i="14"/>
  <c r="G20" i="14"/>
  <c r="G22" i="14"/>
  <c r="I22" i="14"/>
  <c r="G23" i="14"/>
  <c r="I23" i="14"/>
  <c r="I25" i="14"/>
  <c r="G25" i="14"/>
  <c r="I27" i="14"/>
  <c r="G27" i="14"/>
  <c r="I28" i="14"/>
  <c r="G28" i="14"/>
  <c r="I34" i="14"/>
  <c r="G34" i="14"/>
  <c r="I35" i="14"/>
  <c r="G35" i="14"/>
  <c r="I37" i="14"/>
  <c r="G37" i="14"/>
  <c r="G39" i="14"/>
  <c r="I39" i="14"/>
  <c r="G40" i="14"/>
  <c r="I40" i="14"/>
  <c r="G42" i="14"/>
  <c r="I42" i="14"/>
  <c r="G47" i="14"/>
  <c r="I47" i="14"/>
  <c r="G48" i="14"/>
  <c r="I48" i="14"/>
  <c r="G50" i="14"/>
  <c r="I50" i="14"/>
  <c r="G51" i="14"/>
  <c r="I51" i="14"/>
  <c r="G53" i="14"/>
  <c r="I53" i="14"/>
  <c r="G56" i="14"/>
  <c r="I56" i="14"/>
  <c r="G60" i="14"/>
  <c r="I60" i="14"/>
  <c r="I63" i="14"/>
  <c r="G63" i="14"/>
  <c r="I66" i="14"/>
  <c r="G66" i="14"/>
  <c r="G68" i="14"/>
  <c r="I68" i="14"/>
  <c r="I70" i="14"/>
  <c r="G70" i="14"/>
  <c r="I71" i="14"/>
  <c r="G71" i="14"/>
  <c r="G72" i="14"/>
  <c r="I72" i="14"/>
  <c r="I82" i="14"/>
  <c r="G82" i="14"/>
  <c r="I83" i="14"/>
  <c r="G83" i="14"/>
  <c r="I85" i="14"/>
  <c r="G85" i="14"/>
  <c r="G87" i="14"/>
  <c r="I87" i="14"/>
  <c r="G88" i="14"/>
  <c r="I88" i="14"/>
  <c r="G90" i="14"/>
  <c r="I90" i="14"/>
  <c r="I91" i="14"/>
  <c r="G91" i="14"/>
  <c r="I92" i="14"/>
  <c r="G92" i="14"/>
  <c r="G93" i="14"/>
  <c r="I93" i="14"/>
  <c r="G12" i="16"/>
  <c r="I12" i="16"/>
  <c r="I27" i="16"/>
  <c r="G27" i="16"/>
  <c r="G29" i="16"/>
  <c r="I29" i="16"/>
  <c r="G32" i="16"/>
  <c r="I32" i="16"/>
  <c r="G33" i="16"/>
  <c r="I33" i="16"/>
  <c r="I35" i="16"/>
  <c r="G35" i="16"/>
  <c r="G36" i="16"/>
  <c r="I36" i="16"/>
  <c r="G41" i="16"/>
  <c r="I41" i="16"/>
  <c r="G43" i="16"/>
  <c r="I43" i="16"/>
  <c r="G45" i="16"/>
  <c r="I45" i="16"/>
  <c r="I49" i="16"/>
  <c r="G49" i="16"/>
  <c r="I50" i="16"/>
  <c r="G50" i="16"/>
  <c r="G51" i="16"/>
  <c r="I51" i="16"/>
  <c r="G52" i="16"/>
  <c r="I52" i="16"/>
  <c r="G53" i="16"/>
  <c r="I53" i="16"/>
  <c r="G55" i="16"/>
  <c r="I55" i="16"/>
  <c r="I56" i="16"/>
  <c r="G56" i="16"/>
  <c r="I57" i="16"/>
  <c r="G57" i="16"/>
  <c r="G59" i="16"/>
  <c r="I59" i="16"/>
  <c r="I60" i="16"/>
  <c r="G60" i="16"/>
  <c r="G62" i="16"/>
  <c r="I62" i="16"/>
  <c r="G63" i="16"/>
  <c r="I63" i="16"/>
  <c r="G65" i="16"/>
  <c r="I65" i="16"/>
  <c r="G68" i="16"/>
  <c r="I68" i="16"/>
  <c r="I69" i="16"/>
  <c r="G69" i="16"/>
  <c r="G70" i="16"/>
  <c r="I70" i="16"/>
  <c r="G72" i="16"/>
  <c r="I72" i="16"/>
  <c r="I73" i="16"/>
  <c r="G73" i="16"/>
  <c r="I81" i="16"/>
  <c r="G81" i="16"/>
  <c r="I82" i="16"/>
  <c r="G82" i="16"/>
  <c r="G83" i="16"/>
  <c r="I83" i="16"/>
  <c r="I86" i="16"/>
  <c r="G86" i="16"/>
  <c r="G88" i="16"/>
  <c r="I88" i="16"/>
  <c r="G89" i="16"/>
  <c r="I89" i="16"/>
  <c r="G90" i="16"/>
  <c r="I90" i="16"/>
  <c r="I93" i="16"/>
  <c r="G93" i="16"/>
  <c r="I97" i="16"/>
  <c r="G97" i="16"/>
  <c r="G99" i="16"/>
  <c r="I99" i="16"/>
  <c r="I3" i="17"/>
  <c r="G3" i="17"/>
  <c r="I4" i="17"/>
  <c r="G4" i="17"/>
  <c r="G5" i="17"/>
  <c r="I5" i="17"/>
  <c r="G9" i="17"/>
  <c r="I9" i="17"/>
  <c r="G10" i="17"/>
  <c r="I10" i="17"/>
  <c r="G11" i="17"/>
  <c r="I11" i="17"/>
  <c r="G12" i="17"/>
  <c r="I12" i="17"/>
  <c r="G17" i="17"/>
  <c r="I17" i="17"/>
  <c r="I18" i="17"/>
  <c r="G18" i="17"/>
  <c r="I19" i="17"/>
  <c r="G19" i="17"/>
  <c r="G20" i="17"/>
  <c r="I20" i="17"/>
  <c r="G21" i="17"/>
  <c r="I21" i="17"/>
  <c r="G22" i="17"/>
  <c r="I22" i="17"/>
  <c r="I23" i="17"/>
  <c r="G23" i="17"/>
  <c r="I24" i="17"/>
  <c r="G24" i="17"/>
  <c r="I26" i="17"/>
  <c r="G26" i="17"/>
  <c r="G28" i="17"/>
  <c r="I28" i="17"/>
  <c r="I29" i="17"/>
  <c r="G29" i="17"/>
  <c r="I31" i="17"/>
  <c r="G31" i="17"/>
  <c r="G32" i="17"/>
  <c r="I32" i="17"/>
  <c r="I33" i="17"/>
  <c r="G33" i="17"/>
  <c r="G34" i="17"/>
  <c r="I34" i="17"/>
  <c r="G37" i="17"/>
  <c r="I37" i="17"/>
  <c r="I40" i="17"/>
  <c r="G40" i="17"/>
  <c r="G42" i="17"/>
  <c r="I42" i="17"/>
  <c r="I47" i="17"/>
  <c r="G47" i="17"/>
  <c r="I49" i="17"/>
  <c r="G49" i="17"/>
  <c r="G54" i="17"/>
  <c r="I54" i="17"/>
  <c r="I55" i="17"/>
  <c r="G55" i="17"/>
  <c r="G60" i="17"/>
  <c r="I60" i="17"/>
  <c r="G63" i="17"/>
  <c r="I63" i="17"/>
  <c r="G68" i="17"/>
  <c r="I68" i="17"/>
  <c r="I71" i="17"/>
  <c r="G71" i="17"/>
  <c r="G73" i="17"/>
  <c r="I73" i="17"/>
  <c r="G74" i="17"/>
  <c r="I74" i="17"/>
  <c r="I75" i="17"/>
  <c r="G75" i="17"/>
  <c r="G81" i="17"/>
  <c r="I81" i="17"/>
  <c r="I83" i="17"/>
  <c r="G83" i="17"/>
  <c r="I84" i="17"/>
  <c r="G84" i="17"/>
  <c r="G85" i="17"/>
  <c r="I85" i="17"/>
  <c r="I88" i="17"/>
  <c r="G88" i="17"/>
  <c r="G89" i="17"/>
  <c r="I89" i="17"/>
  <c r="G90" i="17"/>
  <c r="I90" i="17"/>
  <c r="G18" i="18"/>
  <c r="I18" i="18"/>
  <c r="I20" i="18"/>
  <c r="G20" i="18"/>
  <c r="G21" i="18"/>
  <c r="I21" i="18"/>
  <c r="G22" i="18"/>
  <c r="I22" i="18"/>
  <c r="I24" i="18"/>
  <c r="G24" i="18"/>
  <c r="I25" i="18"/>
  <c r="G25" i="18"/>
  <c r="I26" i="18"/>
  <c r="G26" i="18"/>
  <c r="I27" i="18"/>
  <c r="G27" i="18"/>
  <c r="I29" i="18"/>
  <c r="G29" i="18"/>
  <c r="G30" i="18"/>
  <c r="I30" i="18"/>
  <c r="G35" i="18"/>
  <c r="I35" i="18"/>
  <c r="G36" i="18"/>
  <c r="I36" i="18"/>
  <c r="I37" i="18"/>
  <c r="G37" i="18"/>
  <c r="I38" i="18"/>
  <c r="G38" i="18"/>
  <c r="G40" i="18"/>
  <c r="I40" i="18"/>
  <c r="G44" i="18"/>
  <c r="I44" i="18"/>
  <c r="I45" i="18"/>
  <c r="G45" i="18"/>
  <c r="I46" i="18"/>
  <c r="G46" i="18"/>
  <c r="I51" i="18"/>
  <c r="G51" i="18"/>
  <c r="G53" i="18"/>
  <c r="I53" i="18"/>
  <c r="G54" i="18"/>
  <c r="I54" i="18"/>
  <c r="G55" i="18"/>
  <c r="I55" i="18"/>
  <c r="G56" i="18"/>
  <c r="I56" i="18"/>
  <c r="I60" i="18"/>
  <c r="G60" i="18"/>
  <c r="G67" i="18"/>
  <c r="I67" i="18"/>
  <c r="I71" i="18"/>
  <c r="G71" i="18"/>
  <c r="G74" i="18"/>
  <c r="I74" i="18"/>
  <c r="I77" i="18"/>
  <c r="G77" i="18"/>
  <c r="G78" i="18"/>
  <c r="I78" i="18"/>
  <c r="I79" i="18"/>
  <c r="G79" i="18"/>
  <c r="I80" i="18"/>
  <c r="G80" i="18"/>
  <c r="I81" i="18"/>
  <c r="G81" i="18"/>
  <c r="I82" i="18"/>
  <c r="G82" i="18"/>
  <c r="I83" i="18"/>
  <c r="G83" i="18"/>
  <c r="I85" i="18"/>
  <c r="G85" i="18"/>
  <c r="G87" i="18"/>
  <c r="I87" i="18"/>
  <c r="I90" i="18"/>
  <c r="G90" i="18"/>
  <c r="G91" i="18"/>
  <c r="I91" i="18"/>
  <c r="I94" i="18"/>
  <c r="G94" i="18"/>
  <c r="I95" i="18"/>
  <c r="G95" i="18"/>
  <c r="G96" i="18"/>
  <c r="I96" i="18"/>
  <c r="I98" i="18"/>
  <c r="G98" i="18"/>
  <c r="I99" i="18"/>
  <c r="G99" i="18"/>
  <c r="I100" i="18"/>
  <c r="G100" i="18"/>
  <c r="G5" i="19"/>
  <c r="I5" i="19"/>
  <c r="I8" i="19"/>
  <c r="G8" i="19"/>
  <c r="I12" i="19"/>
  <c r="G12" i="19"/>
  <c r="I14" i="19"/>
  <c r="G14" i="19"/>
  <c r="I15" i="19"/>
  <c r="G15" i="19"/>
  <c r="I17" i="19"/>
  <c r="G17" i="19"/>
  <c r="G18" i="19"/>
  <c r="I18" i="19"/>
  <c r="I19" i="19"/>
  <c r="G19" i="19"/>
  <c r="I21" i="19"/>
  <c r="G21" i="19"/>
  <c r="I22" i="19"/>
  <c r="G22" i="19"/>
  <c r="I26" i="19"/>
  <c r="G26" i="19"/>
  <c r="I28" i="19"/>
  <c r="G28" i="19"/>
  <c r="I30" i="19"/>
  <c r="G30" i="19"/>
  <c r="G33" i="19"/>
  <c r="I33" i="19"/>
  <c r="I38" i="19"/>
  <c r="G38" i="19"/>
  <c r="G41" i="19"/>
  <c r="I41" i="19"/>
  <c r="G42" i="19"/>
  <c r="I42" i="19"/>
  <c r="I43" i="19"/>
  <c r="G43" i="19"/>
  <c r="G44" i="19"/>
  <c r="I44" i="19"/>
  <c r="I45" i="19"/>
  <c r="G45" i="19"/>
  <c r="G53" i="19"/>
  <c r="I53" i="19"/>
  <c r="G55" i="19"/>
  <c r="I55" i="19"/>
  <c r="I59" i="19"/>
  <c r="G59" i="19"/>
  <c r="G61" i="19"/>
  <c r="I61" i="19"/>
  <c r="I62" i="19"/>
  <c r="G62" i="19"/>
  <c r="I73" i="19"/>
  <c r="G73" i="19"/>
  <c r="G78" i="19"/>
  <c r="I78" i="19"/>
  <c r="I79" i="19"/>
  <c r="G79" i="19"/>
  <c r="G81" i="19"/>
  <c r="I81" i="19"/>
  <c r="I83" i="19"/>
  <c r="G83" i="19"/>
  <c r="G84" i="19"/>
  <c r="I84" i="19"/>
  <c r="G85" i="19"/>
  <c r="I85" i="19"/>
  <c r="G86" i="19"/>
  <c r="I86" i="19"/>
  <c r="I91" i="19"/>
  <c r="G91" i="19"/>
  <c r="I94" i="19"/>
  <c r="G94" i="19"/>
  <c r="G96" i="19"/>
  <c r="I96" i="19"/>
  <c r="G98" i="19"/>
  <c r="I98" i="19"/>
  <c r="I99" i="19"/>
  <c r="G99" i="19"/>
  <c r="I4" i="20"/>
  <c r="G4" i="20"/>
  <c r="G6" i="20"/>
  <c r="I6" i="20"/>
  <c r="I7" i="20"/>
  <c r="G7" i="20"/>
  <c r="I8" i="20"/>
  <c r="G8" i="20"/>
  <c r="G9" i="20"/>
  <c r="I9" i="20"/>
  <c r="I10" i="20"/>
  <c r="G10" i="20"/>
  <c r="G11" i="20"/>
  <c r="I11" i="20"/>
  <c r="G15" i="20"/>
  <c r="I15" i="20"/>
  <c r="I16" i="20"/>
  <c r="G16" i="20"/>
  <c r="G17" i="20"/>
  <c r="I17" i="20"/>
  <c r="G20" i="20"/>
  <c r="I20" i="20"/>
  <c r="I22" i="20"/>
  <c r="G22" i="20"/>
  <c r="G29" i="20"/>
  <c r="I29" i="20"/>
  <c r="G30" i="20"/>
  <c r="I30" i="20"/>
  <c r="I36" i="20"/>
  <c r="G36" i="20"/>
  <c r="G39" i="20"/>
  <c r="I39" i="20"/>
  <c r="G40" i="20"/>
  <c r="I40" i="20"/>
  <c r="G44" i="20"/>
  <c r="I44" i="20"/>
  <c r="G47" i="20"/>
  <c r="I47" i="20"/>
  <c r="G50" i="20"/>
  <c r="I50" i="20"/>
  <c r="I54" i="20"/>
  <c r="G54" i="20"/>
  <c r="I55" i="20"/>
  <c r="G55" i="20"/>
  <c r="G60" i="20"/>
  <c r="I60" i="20"/>
  <c r="G61" i="20"/>
  <c r="I61" i="20"/>
  <c r="I63" i="20"/>
  <c r="G63" i="20"/>
  <c r="G67" i="20"/>
  <c r="I67" i="20"/>
  <c r="G69" i="20"/>
  <c r="I69" i="20"/>
  <c r="I73" i="20"/>
  <c r="G73" i="20"/>
  <c r="I76" i="20"/>
  <c r="G76" i="20"/>
  <c r="G82" i="20"/>
  <c r="I82" i="20"/>
  <c r="G85" i="20"/>
  <c r="I85" i="20"/>
  <c r="I96" i="21"/>
  <c r="G96" i="21"/>
  <c r="G97" i="21"/>
  <c r="I97" i="21"/>
  <c r="I3" i="22"/>
  <c r="G3" i="22"/>
  <c r="I5" i="22"/>
  <c r="G5" i="22"/>
  <c r="I8" i="22"/>
  <c r="G8" i="22"/>
  <c r="I10" i="22"/>
  <c r="G10" i="22"/>
  <c r="I11" i="22"/>
  <c r="G11" i="22"/>
  <c r="G13" i="22"/>
  <c r="I13" i="22"/>
  <c r="G15" i="22"/>
  <c r="I15" i="22"/>
  <c r="G16" i="22"/>
  <c r="I16" i="22"/>
  <c r="I17" i="22"/>
  <c r="G17" i="22"/>
  <c r="I29" i="22"/>
  <c r="G29" i="22"/>
  <c r="G34" i="22"/>
  <c r="I34" i="22"/>
  <c r="I36" i="22"/>
  <c r="G36" i="22"/>
  <c r="I39" i="22"/>
  <c r="G39" i="22"/>
  <c r="I43" i="22"/>
  <c r="G43" i="22"/>
  <c r="G44" i="22"/>
  <c r="I44" i="22"/>
  <c r="G45" i="22"/>
  <c r="I45" i="22"/>
  <c r="G46" i="22"/>
  <c r="I46" i="22"/>
  <c r="G49" i="22"/>
  <c r="I49" i="22"/>
  <c r="G50" i="22"/>
  <c r="I50" i="22"/>
  <c r="I54" i="22"/>
  <c r="G54" i="22"/>
  <c r="G55" i="22"/>
  <c r="I55" i="22"/>
  <c r="G60" i="22"/>
  <c r="I60" i="22"/>
  <c r="G61" i="22"/>
  <c r="I61" i="22"/>
  <c r="G64" i="22"/>
  <c r="I64" i="22"/>
  <c r="G65" i="22"/>
  <c r="I65" i="22"/>
  <c r="I68" i="22"/>
  <c r="G68" i="22"/>
  <c r="G71" i="22"/>
  <c r="I71" i="22"/>
  <c r="I72" i="22"/>
  <c r="G72" i="22"/>
  <c r="G82" i="22"/>
  <c r="I82" i="22"/>
  <c r="I86" i="22"/>
  <c r="G86" i="22"/>
  <c r="G87" i="22"/>
  <c r="I87" i="22"/>
  <c r="G90" i="22"/>
  <c r="I90" i="22"/>
  <c r="I91" i="22"/>
  <c r="G91" i="22"/>
  <c r="G95" i="22"/>
  <c r="I95" i="22"/>
  <c r="G97" i="22"/>
  <c r="I97" i="22"/>
  <c r="I99" i="22"/>
  <c r="G99" i="22"/>
  <c r="I5" i="23"/>
  <c r="G5" i="23"/>
  <c r="I7" i="23"/>
  <c r="G7" i="23"/>
  <c r="G11" i="23"/>
  <c r="I11" i="23"/>
  <c r="I16" i="23"/>
  <c r="G16" i="23"/>
  <c r="G19" i="23"/>
  <c r="I19" i="23"/>
  <c r="G21" i="23"/>
  <c r="I21" i="23"/>
  <c r="I26" i="23"/>
  <c r="G26" i="23"/>
  <c r="I29" i="23"/>
  <c r="G29" i="23"/>
  <c r="I33" i="23"/>
  <c r="G33" i="23"/>
  <c r="I34" i="23"/>
  <c r="G34" i="23"/>
  <c r="G38" i="23"/>
  <c r="I38" i="23"/>
  <c r="G39" i="23"/>
  <c r="I39" i="23"/>
  <c r="G40" i="23"/>
  <c r="I40" i="23"/>
  <c r="I46" i="23"/>
  <c r="G46" i="23"/>
  <c r="I47" i="23"/>
  <c r="G47" i="23"/>
  <c r="I53" i="23"/>
  <c r="G53" i="23"/>
  <c r="G56" i="23"/>
  <c r="I56" i="23"/>
  <c r="G58" i="23"/>
  <c r="I58" i="23"/>
  <c r="I59" i="23"/>
  <c r="G59" i="23"/>
  <c r="I64" i="23"/>
  <c r="G64" i="23"/>
  <c r="G67" i="23"/>
  <c r="I67" i="23"/>
  <c r="G69" i="23"/>
  <c r="I69" i="23"/>
  <c r="I75" i="23"/>
  <c r="G75" i="23"/>
  <c r="I76" i="23"/>
  <c r="G76" i="23"/>
  <c r="G84" i="23"/>
  <c r="I84" i="23"/>
  <c r="G81" i="25"/>
  <c r="I81" i="25"/>
  <c r="G82" i="25"/>
  <c r="I82" i="25"/>
  <c r="I84" i="25"/>
  <c r="G84" i="25"/>
  <c r="G86" i="25"/>
  <c r="I86" i="25"/>
  <c r="I90" i="25"/>
  <c r="G90" i="25"/>
  <c r="G91" i="25"/>
  <c r="I91" i="25"/>
  <c r="G97" i="25"/>
  <c r="I97" i="25"/>
  <c r="G101" i="25"/>
  <c r="I101" i="25"/>
  <c r="I4" i="26"/>
  <c r="G4" i="26"/>
  <c r="I7" i="26"/>
  <c r="G7" i="26"/>
  <c r="G10" i="26"/>
  <c r="I10" i="26"/>
  <c r="G11" i="26"/>
  <c r="I11" i="26"/>
  <c r="I12" i="26"/>
  <c r="G12" i="26"/>
  <c r="I17" i="26"/>
  <c r="G17" i="26"/>
  <c r="I19" i="26"/>
  <c r="G19" i="26"/>
  <c r="G26" i="26"/>
  <c r="I26" i="26"/>
  <c r="I27" i="26"/>
  <c r="G27" i="26"/>
  <c r="I28" i="26"/>
  <c r="G28" i="26"/>
  <c r="G29" i="26"/>
  <c r="I29" i="26"/>
  <c r="G31" i="26"/>
  <c r="I31" i="26"/>
  <c r="I36" i="26"/>
  <c r="G36" i="26"/>
  <c r="G38" i="26"/>
  <c r="I38" i="26"/>
  <c r="I39" i="26"/>
  <c r="G39" i="26"/>
  <c r="I40" i="26"/>
  <c r="G40" i="26"/>
  <c r="I43" i="26"/>
  <c r="G43" i="26"/>
  <c r="I48" i="26"/>
  <c r="G48" i="26"/>
  <c r="G49" i="26"/>
  <c r="I49" i="26"/>
  <c r="G50" i="26"/>
  <c r="I50" i="26"/>
  <c r="I51" i="26"/>
  <c r="G51" i="26"/>
  <c r="G60" i="26"/>
  <c r="I60" i="26"/>
  <c r="I64" i="26"/>
  <c r="G64" i="26"/>
  <c r="I69" i="26"/>
  <c r="G69" i="26"/>
  <c r="G81" i="26"/>
  <c r="I81" i="26"/>
  <c r="I79" i="29"/>
  <c r="G79" i="29"/>
  <c r="A4" i="2"/>
  <c r="L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4" i="2" l="1"/>
  <c r="A5" i="2"/>
  <c r="B104" i="6"/>
  <c r="L5" i="2" l="1"/>
  <c r="A6" i="2"/>
  <c r="B104" i="7"/>
  <c r="L6" i="2" l="1"/>
  <c r="A7" i="2"/>
  <c r="B104" i="8"/>
  <c r="L7" i="2" l="1"/>
  <c r="A8" i="2"/>
  <c r="B104" i="9"/>
  <c r="L8" i="2" l="1"/>
  <c r="A9" i="2"/>
  <c r="B104" i="10"/>
  <c r="B104" i="11"/>
  <c r="L9" i="2" l="1"/>
  <c r="A10" i="2"/>
  <c r="B104" i="12"/>
  <c r="L10" i="2" l="1"/>
  <c r="A11" i="2"/>
  <c r="B104" i="13"/>
  <c r="L11" i="2" l="1"/>
  <c r="A12" i="2"/>
  <c r="L12" i="2" l="1"/>
  <c r="A13" i="2"/>
  <c r="L13" i="2" l="1"/>
  <c r="A14" i="2"/>
  <c r="L14" i="2" l="1"/>
  <c r="A15" i="2"/>
  <c r="L15" i="2" l="1"/>
  <c r="A16" i="2"/>
  <c r="L16" i="2" l="1"/>
  <c r="A17" i="2"/>
  <c r="L17" i="2" l="1"/>
  <c r="A18" i="2"/>
  <c r="L18" i="2" l="1"/>
  <c r="A19" i="2"/>
  <c r="L19" i="2" l="1"/>
  <c r="A20" i="2"/>
  <c r="L20" i="2" l="1"/>
  <c r="A21" i="2"/>
  <c r="L21" i="2" l="1"/>
  <c r="A22" i="2"/>
  <c r="L22" i="2" l="1"/>
  <c r="A23" i="2"/>
  <c r="B104" i="16"/>
  <c r="B104" i="18"/>
  <c r="B104" i="19"/>
  <c r="B104" i="23"/>
  <c r="B104" i="22"/>
  <c r="B104" i="21"/>
  <c r="B104" i="24"/>
  <c r="B104" i="20"/>
  <c r="L23" i="2" l="1"/>
  <c r="A24" i="2"/>
  <c r="B104" i="25"/>
  <c r="L24" i="2" l="1"/>
  <c r="A25" i="2"/>
  <c r="B104" i="26"/>
  <c r="L25" i="2" l="1"/>
  <c r="A26" i="2"/>
  <c r="B104" i="27"/>
  <c r="B104" i="28"/>
  <c r="L26" i="2" l="1"/>
  <c r="A27" i="2"/>
  <c r="B104" i="30" l="1"/>
  <c r="B104" i="29"/>
  <c r="L27" i="2"/>
  <c r="A28" i="2"/>
  <c r="L28" i="2" l="1"/>
  <c r="B104" i="17" l="1"/>
  <c r="B104" i="15"/>
  <c r="B104" i="14"/>
  <c r="B104" i="34"/>
  <c r="B104" i="3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<sst xmlns="http://schemas.openxmlformats.org/spreadsheetml/2006/main" count="1545" uniqueCount="492">
  <si>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</si>
  <si>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</si>
  <si>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</si>
  <si>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</si>
  <si>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</si>
  <si>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</si>
  <si>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</si>
  <si>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</si>
  <si>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</si>
  <si>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</si>
  <si>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</si>
  <si>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</si>
  <si>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</si>
  <si>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</si>
  <si>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</si>
  <si>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</si>
  <si>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</si>
  <si>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</si>
  <si>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</si>
  <si>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</si>
  <si>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</si>
  <si>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</si>
  <si>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</si>
  <si>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</si>
  <si>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</si>
  <si>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</si>
  <si>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</si>
  <si>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</si>
  <si>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</si>
  <si>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</si>
  <si>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</si>
  <si>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</si>
  <si>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</si>
  <si>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</si>
  <si>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</si>
  <si>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</si>
  <si>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</si>
  <si>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</si>
  <si>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</si>
  <si>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</si>
  <si>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</si>
  <si>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</si>
  <si>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</si>
  <si>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</si>
  <si>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</si>
  <si>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</si>
  <si>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</si>
  <si>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</si>
  <si>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</si>
  <si>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</si>
  <si>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</si>
  <si>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</si>
  <si>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</si>
  <si>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</si>
  <si>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</si>
  <si>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</si>
  <si>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</si>
  <si>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</si>
  <si>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</si>
  <si>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</si>
  <si>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</si>
  <si>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</si>
  <si>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</si>
  <si>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</si>
  <si>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</si>
  <si>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</si>
  <si>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</si>
  <si>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</si>
  <si>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</si>
  <si>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</si>
  <si>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</si>
  <si>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</si>
  <si>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</si>
  <si>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</si>
  <si>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</si>
  <si>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</si>
  <si>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</si>
  <si>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</si>
  <si>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</si>
  <si>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</si>
  <si>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</si>
  <si>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</si>
  <si>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</si>
  <si>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</si>
  <si>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</si>
  <si>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</si>
  <si>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</si>
  <si>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</si>
  <si>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</si>
  <si>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</si>
  <si>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</si>
  <si>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</si>
  <si>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</si>
  <si>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</si>
  <si>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</si>
  <si>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</si>
  <si>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</si>
  <si>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</si>
  <si>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</si>
  <si>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</si>
  <si>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</si>
  <si>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</si>
  <si>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</si>
  <si>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</si>
  <si>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</si>
  <si>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</si>
  <si>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</si>
  <si>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</si>
  <si>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</si>
  <si>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</si>
  <si>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</si>
  <si>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</si>
  <si>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</si>
  <si>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</si>
  <si>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</si>
  <si>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</si>
  <si>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</si>
  <si>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</si>
  <si>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</si>
  <si>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</si>
  <si>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</si>
  <si>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</si>
  <si>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</si>
  <si>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</si>
  <si>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</si>
  <si>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</si>
  <si>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</si>
  <si>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</si>
  <si>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</si>
  <si>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</si>
  <si>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</si>
  <si>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</si>
  <si>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</si>
  <si>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</si>
  <si>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</si>
  <si>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</si>
  <si>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</si>
  <si>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</si>
  <si>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</si>
  <si>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</si>
  <si>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</si>
  <si>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</si>
  <si>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</si>
  <si>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</si>
  <si>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</si>
  <si>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</si>
  <si>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</si>
  <si>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</si>
  <si>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</si>
  <si>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</si>
  <si>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</si>
  <si>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</si>
  <si>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</si>
  <si>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</si>
  <si>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</si>
  <si>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</si>
  <si>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</si>
  <si>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</si>
  <si>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</si>
  <si>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</si>
  <si>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</si>
  <si>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</si>
  <si>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</si>
  <si>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</si>
  <si>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</si>
  <si>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</si>
  <si>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</si>
  <si>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</si>
  <si>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</si>
  <si>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</si>
  <si>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</si>
  <si>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</si>
  <si>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</si>
  <si>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</si>
  <si>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</si>
  <si>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</si>
  <si>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</si>
  <si>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</si>
  <si>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</si>
  <si>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</si>
  <si>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</si>
  <si>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</si>
  <si>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</si>
  <si>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</si>
  <si>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</si>
  <si>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</si>
  <si>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</si>
  <si>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</si>
  <si>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</si>
  <si>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</si>
  <si>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</si>
  <si>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</si>
  <si>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</si>
  <si>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</si>
  <si>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</si>
  <si>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</si>
  <si>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</si>
  <si>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</si>
  <si>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</si>
  <si>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</si>
  <si>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</si>
  <si>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</si>
  <si>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</si>
  <si>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</si>
  <si>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</si>
  <si>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</si>
  <si>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</si>
  <si>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</si>
  <si>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</si>
  <si>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</si>
  <si>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</si>
  <si>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</si>
  <si>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</si>
  <si>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</si>
  <si>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</si>
  <si>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</si>
  <si>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</si>
  <si>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</si>
  <si>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</si>
  <si>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</si>
  <si>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</si>
  <si>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</si>
  <si>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</si>
  <si>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</si>
  <si>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</si>
  <si>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</si>
  <si>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</si>
  <si>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</si>
  <si>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</si>
  <si>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</si>
  <si>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</si>
  <si>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</si>
  <si>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</si>
  <si>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</si>
  <si>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</si>
  <si>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</si>
  <si>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</si>
  <si>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</si>
  <si>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</si>
  <si>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</si>
  <si>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</si>
  <si>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</si>
  <si>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</si>
  <si>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</si>
  <si>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</si>
  <si>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</si>
  <si>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</si>
  <si>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</si>
  <si>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</si>
  <si>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</si>
  <si>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</si>
  <si>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</si>
  <si>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</si>
  <si>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</si>
  <si>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</si>
  <si>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</si>
  <si>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</si>
  <si>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</si>
  <si>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</si>
  <si>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</si>
  <si>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</si>
  <si>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</si>
  <si>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</si>
  <si>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</si>
  <si>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</si>
  <si>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</si>
  <si>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</si>
  <si>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</si>
  <si>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</si>
  <si>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</si>
  <si>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</si>
  <si>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</si>
  <si>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</si>
  <si>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</si>
  <si>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</si>
  <si>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</si>
  <si>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</si>
  <si>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</si>
  <si>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</si>
  <si>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</si>
  <si>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</si>
  <si>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</si>
  <si>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</si>
  <si>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</si>
  <si>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</si>
  <si>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</si>
  <si>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</si>
  <si>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</si>
  <si>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</si>
  <si>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</si>
  <si>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</si>
  <si>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</si>
  <si>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</si>
  <si>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</si>
  <si>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</si>
  <si>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</si>
  <si>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</si>
  <si>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</si>
  <si>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</si>
  <si>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</si>
  <si>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</si>
  <si>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</si>
  <si>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</si>
  <si>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</si>
  <si>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</si>
  <si>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</si>
  <si>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</si>
  <si>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</si>
  <si>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</si>
  <si>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</si>
  <si>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</si>
  <si>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</si>
  <si>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</si>
  <si>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</si>
  <si>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</si>
  <si>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</si>
  <si>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</si>
  <si>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</si>
  <si>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</si>
  <si>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</si>
  <si>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</si>
  <si>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</si>
  <si>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</si>
  <si>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</si>
  <si>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</si>
  <si>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</si>
  <si>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</si>
  <si>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</si>
  <si>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</si>
  <si>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</si>
  <si>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</si>
  <si>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</si>
  <si>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</si>
  <si>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</si>
  <si>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</si>
  <si>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</si>
  <si>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</si>
  <si>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</si>
  <si>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</si>
  <si>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</si>
  <si>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</si>
  <si>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</si>
  <si>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</si>
  <si>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</si>
  <si>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</si>
  <si>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</si>
  <si>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</si>
  <si>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</si>
  <si>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</si>
  <si>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</si>
  <si>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</si>
  <si>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</si>
  <si>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</si>
  <si>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</si>
  <si>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</si>
  <si>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</si>
  <si>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</si>
  <si>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</si>
  <si>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</si>
  <si>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</si>
  <si>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</si>
  <si>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</si>
  <si>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</si>
  <si>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</si>
  <si>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</si>
  <si>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</si>
  <si>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</si>
  <si>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</si>
  <si>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</si>
  <si>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</si>
  <si>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</si>
  <si>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</si>
  <si>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</si>
  <si>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</si>
  <si>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</si>
  <si>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</si>
  <si>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</si>
  <si>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</si>
  <si>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</si>
  <si>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</si>
  <si>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</si>
  <si>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</si>
  <si>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</si>
  <si>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</si>
  <si>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</si>
  <si>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</si>
  <si>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</si>
  <si>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</si>
  <si>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</si>
  <si>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</si>
  <si>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</si>
  <si>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</si>
  <si>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</si>
  <si>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</si>
  <si>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</si>
  <si>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</si>
  <si>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</si>
  <si>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</si>
  <si>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</si>
  <si>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</si>
  <si>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</si>
  <si>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</si>
  <si>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</si>
  <si>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</si>
  <si>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</si>
  <si>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</si>
  <si>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</si>
  <si>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</si>
  <si>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</si>
  <si>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</si>
  <si>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</si>
  <si>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</si>
  <si>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</si>
  <si>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</si>
  <si>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</si>
  <si>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</si>
  <si>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</si>
  <si>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</si>
  <si>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</si>
  <si>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</si>
  <si>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</si>
  <si>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</si>
  <si>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</si>
  <si>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</si>
  <si>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</si>
  <si>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</si>
  <si>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</si>
  <si>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</si>
  <si>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</si>
  <si>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</si>
  <si>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</si>
  <si>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</si>
  <si>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</si>
  <si>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</si>
  <si>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</si>
  <si>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</si>
  <si>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</si>
  <si>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</si>
  <si>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</si>
  <si>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</si>
  <si>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</si>
  <si>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</si>
  <si>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</si>
  <si>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</si>
  <si>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</si>
  <si>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</si>
  <si>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</si>
  <si>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</si>
  <si>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</si>
  <si>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</si>
  <si>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</si>
  <si>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</si>
  <si>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</si>
  <si>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</si>
  <si>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</si>
  <si>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</si>
  <si>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</si>
  <si>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</si>
  <si>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</si>
  <si>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</si>
  <si>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</si>
  <si>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</si>
  <si>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</si>
  <si>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</si>
  <si>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</si>
  <si>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</si>
  <si>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</si>
  <si>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</si>
  <si>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</si>
  <si>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</si>
  <si>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</si>
  <si>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</si>
  <si>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</si>
  <si>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</si>
  <si>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</si>
  <si>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</si>
  <si>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</si>
  <si>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</si>
  <si>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</si>
  <si>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</si>
  <si>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</si>
  <si>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</si>
  <si>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</si>
  <si>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</si>
  <si>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</si>
  <si>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</si>
  <si>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</si>
  <si>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</si>
  <si>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Raw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</si>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</sst>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7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0" borderId="6" xfId="0" applyFont="1" applyBorder="1" applyAlignment="1">
      <alignment horizontal="left"/>
    </xf>
    <xf numFmtId="166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5" fillId="2" borderId="0" xfId="2" applyNumberFormat="1" applyFont="1" applyFill="1"/>
    <xf numFmtId="167" fontId="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9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0" fillId="0" borderId="0" xfId="0" quotePrefix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repos\wvcc\WellandValleyCC.github.io\data\ClubEvents_2025.xlsx" TargetMode="External"/><Relationship Id="rId1" Type="http://schemas.openxmlformats.org/officeDocument/2006/relationships/externalLinkPath" Target="ClubEvents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visions"/>
      <sheetName val="Competitors"/>
      <sheetName val="NameLookup"/>
      <sheetName val="Calendar"/>
      <sheetName val="Leagues"/>
      <sheetName val="RoundRobinRiders"/>
      <sheetName val="Event_01"/>
      <sheetName val="Event_02"/>
      <sheetName val="Event_03"/>
      <sheetName val="Event_04"/>
      <sheetName val="Event_05"/>
      <sheetName val="Event_06"/>
      <sheetName val="Event_07"/>
      <sheetName val="Event_08"/>
      <sheetName val="Event_09"/>
      <sheetName val="Event_10"/>
      <sheetName val="Event_11"/>
      <sheetName val="Event_12"/>
      <sheetName val="Event_13"/>
      <sheetName val="Event_14"/>
      <sheetName val="Event_15"/>
      <sheetName val="Event_16"/>
      <sheetName val="Event_17"/>
      <sheetName val="Event_18"/>
      <sheetName val="Event_19"/>
      <sheetName val="Event_20"/>
      <sheetName val="Event_21"/>
      <sheetName val="Event_22"/>
      <sheetName val="Event_23"/>
      <sheetName val="Event_24"/>
      <sheetName val="Event_25"/>
      <sheetName val="Event_26"/>
    </sheetNames>
    <sheetDataSet>
      <sheetData sheetId="0"/>
      <sheetData sheetId="1">
        <row r="2">
          <cell r="A2">
            <v>1237</v>
          </cell>
          <cell r="B2" t="str">
            <v>Abbott</v>
          </cell>
          <cell r="C2" t="str">
            <v>John</v>
          </cell>
          <cell r="D2" t="str">
            <v>First Claim</v>
          </cell>
          <cell r="E2" t="b">
            <v>0</v>
          </cell>
          <cell r="F2" t="str">
            <v>Veteran</v>
          </cell>
          <cell r="G2">
            <v>1</v>
          </cell>
          <cell r="H2">
            <v>46000</v>
          </cell>
        </row>
        <row r="3">
          <cell r="A3">
            <v>1327</v>
          </cell>
          <cell r="B3" t="str">
            <v>Abbott</v>
          </cell>
          <cell r="C3" t="str">
            <v>James</v>
          </cell>
          <cell r="D3" t="str">
            <v>First Claim</v>
          </cell>
          <cell r="E3" t="b">
            <v>0</v>
          </cell>
          <cell r="F3" t="str">
            <v>Senior</v>
          </cell>
          <cell r="H3">
            <v>46000</v>
          </cell>
        </row>
        <row r="4">
          <cell r="A4">
            <v>1197</v>
          </cell>
          <cell r="B4" t="str">
            <v>Adcock</v>
          </cell>
          <cell r="C4" t="str">
            <v>David</v>
          </cell>
          <cell r="D4" t="str">
            <v>First Claim</v>
          </cell>
          <cell r="E4" t="b">
            <v>0</v>
          </cell>
          <cell r="F4" t="str">
            <v>Veteran</v>
          </cell>
          <cell r="G4">
            <v>2</v>
          </cell>
          <cell r="H4">
            <v>46000</v>
          </cell>
        </row>
        <row r="5">
          <cell r="A5">
            <v>1353</v>
          </cell>
          <cell r="B5" t="str">
            <v>Ainsley</v>
          </cell>
          <cell r="C5" t="str">
            <v>Emma</v>
          </cell>
          <cell r="D5" t="str">
            <v>First Claim</v>
          </cell>
          <cell r="E5" t="b">
            <v>1</v>
          </cell>
          <cell r="F5" t="str">
            <v>Senior</v>
          </cell>
          <cell r="H5">
            <v>46000</v>
          </cell>
        </row>
        <row r="6">
          <cell r="A6">
            <v>819</v>
          </cell>
          <cell r="B6" t="str">
            <v>Akoslovski</v>
          </cell>
          <cell r="C6" t="str">
            <v>Kath</v>
          </cell>
          <cell r="D6" t="str">
            <v>First Claim</v>
          </cell>
          <cell r="E6" t="b">
            <v>1</v>
          </cell>
          <cell r="F6" t="str">
            <v>Veteran</v>
          </cell>
          <cell r="G6">
            <v>23</v>
          </cell>
          <cell r="H6">
            <v>46000</v>
          </cell>
        </row>
        <row r="7">
          <cell r="A7">
            <v>2</v>
          </cell>
          <cell r="B7" t="str">
            <v>Alden</v>
          </cell>
          <cell r="C7" t="str">
            <v>Steve</v>
          </cell>
          <cell r="D7" t="str">
            <v>First Claim</v>
          </cell>
          <cell r="E7" t="b">
            <v>0</v>
          </cell>
          <cell r="F7" t="str">
            <v>Veteran</v>
          </cell>
          <cell r="G7">
            <v>21</v>
          </cell>
          <cell r="H7">
            <v>46000</v>
          </cell>
        </row>
        <row r="8">
          <cell r="A8">
            <v>1370</v>
          </cell>
          <cell r="B8" t="str">
            <v>Aldridge</v>
          </cell>
          <cell r="C8" t="str">
            <v>Ian</v>
          </cell>
          <cell r="D8" t="str">
            <v>First Claim</v>
          </cell>
          <cell r="E8" t="b">
            <v>0</v>
          </cell>
          <cell r="F8" t="str">
            <v>Veteran</v>
          </cell>
          <cell r="G8">
            <v>4</v>
          </cell>
          <cell r="H8">
            <v>46000</v>
          </cell>
        </row>
        <row r="9">
          <cell r="A9">
            <v>1286</v>
          </cell>
          <cell r="B9" t="str">
            <v>Allen</v>
          </cell>
          <cell r="C9" t="str">
            <v>Ian</v>
          </cell>
          <cell r="D9" t="str">
            <v>First Claim</v>
          </cell>
          <cell r="E9" t="b">
            <v>0</v>
          </cell>
          <cell r="F9" t="str">
            <v>Veteran</v>
          </cell>
          <cell r="G9">
            <v>13</v>
          </cell>
          <cell r="H9">
            <v>46000</v>
          </cell>
        </row>
        <row r="10">
          <cell r="A10">
            <v>1381</v>
          </cell>
          <cell r="B10" t="str">
            <v>Allen</v>
          </cell>
          <cell r="C10" t="str">
            <v>Roland</v>
          </cell>
          <cell r="D10" t="str">
            <v>First Claim</v>
          </cell>
          <cell r="E10" t="b">
            <v>0</v>
          </cell>
          <cell r="F10" t="str">
            <v>Senior</v>
          </cell>
          <cell r="H10">
            <v>46000</v>
          </cell>
        </row>
        <row r="11">
          <cell r="A11">
            <v>1153</v>
          </cell>
          <cell r="B11" t="str">
            <v>Allitt</v>
          </cell>
          <cell r="C11" t="str">
            <v>Chris</v>
          </cell>
          <cell r="D11" t="str">
            <v>First Claim</v>
          </cell>
          <cell r="E11" t="b">
            <v>0</v>
          </cell>
          <cell r="F11" t="str">
            <v>Senior</v>
          </cell>
          <cell r="H11">
            <v>46000</v>
          </cell>
        </row>
        <row r="12">
          <cell r="A12">
            <v>1372</v>
          </cell>
          <cell r="B12" t="str">
            <v>Andrew</v>
          </cell>
          <cell r="C12" t="str">
            <v>Dan</v>
          </cell>
          <cell r="D12" t="str">
            <v>First Claim</v>
          </cell>
          <cell r="E12" t="b">
            <v>0</v>
          </cell>
          <cell r="F12" t="str">
            <v>Senior</v>
          </cell>
          <cell r="H12">
            <v>46000</v>
          </cell>
        </row>
        <row r="13">
          <cell r="A13">
            <v>1112</v>
          </cell>
          <cell r="B13" t="str">
            <v>Ashwell</v>
          </cell>
          <cell r="C13" t="str">
            <v>Gary</v>
          </cell>
          <cell r="D13" t="str">
            <v>First Claim</v>
          </cell>
          <cell r="E13" t="b">
            <v>0</v>
          </cell>
          <cell r="F13" t="str">
            <v>Veteran</v>
          </cell>
          <cell r="G13">
            <v>16</v>
          </cell>
          <cell r="H13">
            <v>46000</v>
          </cell>
        </row>
        <row r="14">
          <cell r="A14">
            <v>1135</v>
          </cell>
          <cell r="B14" t="str">
            <v>Askham</v>
          </cell>
          <cell r="C14" t="str">
            <v>Simon</v>
          </cell>
          <cell r="D14" t="str">
            <v>First Claim</v>
          </cell>
          <cell r="E14" t="b">
            <v>0</v>
          </cell>
          <cell r="F14" t="str">
            <v>Veteran</v>
          </cell>
          <cell r="G14">
            <v>1</v>
          </cell>
          <cell r="H14">
            <v>46000</v>
          </cell>
        </row>
        <row r="15">
          <cell r="A15">
            <v>1368</v>
          </cell>
          <cell r="B15" t="str">
            <v>Awdry</v>
          </cell>
          <cell r="C15" t="str">
            <v>Ollie</v>
          </cell>
          <cell r="D15" t="str">
            <v>First Claim</v>
          </cell>
          <cell r="E15" t="b">
            <v>0</v>
          </cell>
          <cell r="F15" t="str">
            <v>Juvenile</v>
          </cell>
          <cell r="H15">
            <v>46000</v>
          </cell>
        </row>
        <row r="16">
          <cell r="A16">
            <v>1328</v>
          </cell>
          <cell r="B16" t="str">
            <v>Bailey</v>
          </cell>
          <cell r="C16" t="str">
            <v>Shaun</v>
          </cell>
          <cell r="D16" t="str">
            <v>First Claim</v>
          </cell>
          <cell r="E16" t="b">
            <v>0</v>
          </cell>
          <cell r="F16" t="str">
            <v>Veteran</v>
          </cell>
          <cell r="G16">
            <v>4</v>
          </cell>
          <cell r="H16">
            <v>46000</v>
          </cell>
        </row>
        <row r="17">
          <cell r="A17">
            <v>369</v>
          </cell>
          <cell r="B17" t="str">
            <v>Barnett</v>
          </cell>
          <cell r="C17" t="str">
            <v>Dean</v>
          </cell>
          <cell r="D17" t="str">
            <v>First Claim</v>
          </cell>
          <cell r="E17" t="b">
            <v>0</v>
          </cell>
          <cell r="F17" t="str">
            <v>Veteran</v>
          </cell>
          <cell r="G17">
            <v>8</v>
          </cell>
          <cell r="H17">
            <v>46000</v>
          </cell>
        </row>
        <row r="18">
          <cell r="A18">
            <v>7</v>
          </cell>
          <cell r="B18" t="str">
            <v>Barnett</v>
          </cell>
          <cell r="C18" t="str">
            <v>Vic</v>
          </cell>
          <cell r="D18" t="str">
            <v>Honorary</v>
          </cell>
          <cell r="E18" t="b">
            <v>0</v>
          </cell>
          <cell r="F18" t="str">
            <v>Veteran</v>
          </cell>
          <cell r="G18">
            <v>32</v>
          </cell>
          <cell r="H18">
            <v>46000</v>
          </cell>
        </row>
        <row r="19">
          <cell r="A19">
            <v>473</v>
          </cell>
          <cell r="B19" t="str">
            <v>Barnett</v>
          </cell>
          <cell r="C19" t="str">
            <v>George</v>
          </cell>
          <cell r="D19" t="str">
            <v>Honorary</v>
          </cell>
          <cell r="E19" t="b">
            <v>0</v>
          </cell>
          <cell r="F19" t="str">
            <v>Veteran</v>
          </cell>
          <cell r="G19">
            <v>33</v>
          </cell>
          <cell r="H19">
            <v>46000</v>
          </cell>
        </row>
        <row r="20">
          <cell r="A20">
            <v>1384</v>
          </cell>
          <cell r="B20" t="str">
            <v>Barrett</v>
          </cell>
          <cell r="C20" t="str">
            <v>Paul</v>
          </cell>
          <cell r="D20" t="str">
            <v>First Claim</v>
          </cell>
          <cell r="E20" t="b">
            <v>0</v>
          </cell>
          <cell r="F20" t="str">
            <v>Veteran</v>
          </cell>
          <cell r="G20">
            <v>30</v>
          </cell>
          <cell r="H20">
            <v>46000</v>
          </cell>
        </row>
        <row r="21">
          <cell r="A21">
            <v>1348</v>
          </cell>
          <cell r="B21" t="str">
            <v>Baxter</v>
          </cell>
          <cell r="C21" t="str">
            <v>Lydia</v>
          </cell>
          <cell r="D21" t="str">
            <v>Second Claim</v>
          </cell>
          <cell r="E21" t="b">
            <v>1</v>
          </cell>
          <cell r="F21" t="str">
            <v>Senior</v>
          </cell>
          <cell r="H21">
            <v>46000</v>
          </cell>
        </row>
        <row r="22">
          <cell r="A22">
            <v>1275</v>
          </cell>
          <cell r="B22" t="str">
            <v>Baxter</v>
          </cell>
          <cell r="C22" t="str">
            <v>Sylvia</v>
          </cell>
          <cell r="D22" t="str">
            <v>First Claim</v>
          </cell>
          <cell r="E22" t="b">
            <v>1</v>
          </cell>
          <cell r="F22" t="str">
            <v>Juvenile</v>
          </cell>
          <cell r="H22">
            <v>46000</v>
          </cell>
        </row>
        <row r="23">
          <cell r="A23">
            <v>68</v>
          </cell>
          <cell r="B23" t="str">
            <v>Beach</v>
          </cell>
          <cell r="C23" t="str">
            <v>Ronald</v>
          </cell>
          <cell r="D23" t="str">
            <v>Honorary</v>
          </cell>
          <cell r="E23" t="b">
            <v>0</v>
          </cell>
          <cell r="F23" t="str">
            <v>Veteran</v>
          </cell>
          <cell r="G23">
            <v>35</v>
          </cell>
          <cell r="H23">
            <v>46000</v>
          </cell>
        </row>
        <row r="24">
          <cell r="A24">
            <v>1035</v>
          </cell>
          <cell r="B24" t="str">
            <v>Bell</v>
          </cell>
          <cell r="C24" t="str">
            <v>Peter</v>
          </cell>
          <cell r="D24" t="str">
            <v>First Claim</v>
          </cell>
          <cell r="E24" t="b">
            <v>0</v>
          </cell>
          <cell r="F24" t="str">
            <v>Veteran</v>
          </cell>
          <cell r="G24">
            <v>6</v>
          </cell>
          <cell r="H24">
            <v>46000</v>
          </cell>
        </row>
        <row r="25">
          <cell r="A25">
            <v>1326</v>
          </cell>
          <cell r="B25" t="str">
            <v>Bennis</v>
          </cell>
          <cell r="C25" t="str">
            <v>Laoise</v>
          </cell>
          <cell r="D25" t="str">
            <v>First Claim</v>
          </cell>
          <cell r="E25" t="b">
            <v>1</v>
          </cell>
          <cell r="F25" t="str">
            <v>Senior</v>
          </cell>
          <cell r="H25">
            <v>46000</v>
          </cell>
        </row>
        <row r="26">
          <cell r="A26">
            <v>10</v>
          </cell>
          <cell r="B26" t="str">
            <v>Birch</v>
          </cell>
          <cell r="C26" t="str">
            <v>Dave</v>
          </cell>
          <cell r="D26" t="str">
            <v>Honorary</v>
          </cell>
          <cell r="E26" t="b">
            <v>0</v>
          </cell>
          <cell r="F26" t="str">
            <v>Veteran</v>
          </cell>
          <cell r="G26">
            <v>35</v>
          </cell>
          <cell r="H26">
            <v>46000</v>
          </cell>
        </row>
        <row r="27">
          <cell r="A27">
            <v>477</v>
          </cell>
          <cell r="B27" t="str">
            <v>Birch</v>
          </cell>
          <cell r="C27" t="str">
            <v>Carol</v>
          </cell>
          <cell r="D27" t="str">
            <v>First Claim</v>
          </cell>
          <cell r="E27" t="b">
            <v>1</v>
          </cell>
          <cell r="F27" t="str">
            <v>Veteran</v>
          </cell>
          <cell r="G27">
            <v>34</v>
          </cell>
          <cell r="H27">
            <v>46000</v>
          </cell>
        </row>
        <row r="28">
          <cell r="A28">
            <v>1318</v>
          </cell>
          <cell r="B28" t="str">
            <v>Blake</v>
          </cell>
          <cell r="C28" t="str">
            <v>Andy</v>
          </cell>
          <cell r="D28" t="str">
            <v>First Claim</v>
          </cell>
          <cell r="E28" t="b">
            <v>0</v>
          </cell>
          <cell r="F28" t="str">
            <v>Veteran</v>
          </cell>
          <cell r="G28">
            <v>22</v>
          </cell>
          <cell r="H28">
            <v>46000</v>
          </cell>
        </row>
        <row r="29">
          <cell r="A29">
            <v>779</v>
          </cell>
          <cell r="B29" t="str">
            <v>Bosence</v>
          </cell>
          <cell r="C29" t="str">
            <v>Mark</v>
          </cell>
          <cell r="D29" t="str">
            <v>First Claim</v>
          </cell>
          <cell r="E29" t="b">
            <v>0</v>
          </cell>
          <cell r="F29" t="str">
            <v>Veteran</v>
          </cell>
          <cell r="G29">
            <v>15</v>
          </cell>
          <cell r="H29">
            <v>46000</v>
          </cell>
        </row>
        <row r="30">
          <cell r="A30">
            <v>1029</v>
          </cell>
          <cell r="B30" t="str">
            <v>Bowie</v>
          </cell>
          <cell r="C30" t="str">
            <v>Victor</v>
          </cell>
          <cell r="D30" t="str">
            <v>First Claim</v>
          </cell>
          <cell r="E30" t="b">
            <v>0</v>
          </cell>
          <cell r="F30" t="str">
            <v>Veteran</v>
          </cell>
          <cell r="G30">
            <v>28</v>
          </cell>
          <cell r="H30">
            <v>46000</v>
          </cell>
        </row>
        <row r="31">
          <cell r="A31">
            <v>13</v>
          </cell>
          <cell r="B31" t="str">
            <v>Bramford</v>
          </cell>
          <cell r="C31" t="str">
            <v>Paul</v>
          </cell>
          <cell r="D31" t="str">
            <v>First Claim</v>
          </cell>
          <cell r="E31" t="b">
            <v>0</v>
          </cell>
          <cell r="F31" t="str">
            <v>Veteran</v>
          </cell>
          <cell r="G31">
            <v>28</v>
          </cell>
          <cell r="H31">
            <v>46000</v>
          </cell>
        </row>
        <row r="32">
          <cell r="A32">
            <v>1255</v>
          </cell>
          <cell r="B32" t="str">
            <v>Bridgstock</v>
          </cell>
          <cell r="C32" t="str">
            <v>Anne</v>
          </cell>
          <cell r="D32" t="str">
            <v>First Claim</v>
          </cell>
          <cell r="E32" t="b">
            <v>1</v>
          </cell>
          <cell r="F32" t="str">
            <v>Veteran</v>
          </cell>
          <cell r="G32">
            <v>13</v>
          </cell>
          <cell r="H32">
            <v>46000</v>
          </cell>
        </row>
        <row r="33">
          <cell r="A33">
            <v>919</v>
          </cell>
          <cell r="B33" t="str">
            <v>Brundell</v>
          </cell>
          <cell r="C33" t="str">
            <v>Paul</v>
          </cell>
          <cell r="D33" t="str">
            <v>First Claim</v>
          </cell>
          <cell r="E33" t="b">
            <v>0</v>
          </cell>
          <cell r="F33" t="str">
            <v>Veteran</v>
          </cell>
          <cell r="G33">
            <v>16</v>
          </cell>
          <cell r="H33">
            <v>46000</v>
          </cell>
        </row>
        <row r="34">
          <cell r="A34">
            <v>1190</v>
          </cell>
          <cell r="B34" t="str">
            <v>Burke</v>
          </cell>
          <cell r="C34" t="str">
            <v>Jacob</v>
          </cell>
          <cell r="D34" t="str">
            <v>First Claim</v>
          </cell>
          <cell r="E34" t="b">
            <v>0</v>
          </cell>
          <cell r="F34" t="str">
            <v>Juvenile</v>
          </cell>
          <cell r="H34">
            <v>46000</v>
          </cell>
        </row>
        <row r="35">
          <cell r="A35">
            <v>1189</v>
          </cell>
          <cell r="B35" t="str">
            <v>Burke</v>
          </cell>
          <cell r="C35" t="str">
            <v>Max</v>
          </cell>
          <cell r="D35" t="str">
            <v>First Claim</v>
          </cell>
          <cell r="E35" t="b">
            <v>0</v>
          </cell>
          <cell r="F35" t="str">
            <v>Juvenile</v>
          </cell>
          <cell r="H35">
            <v>46000</v>
          </cell>
        </row>
        <row r="36">
          <cell r="A36">
            <v>735</v>
          </cell>
          <cell r="B36" t="str">
            <v>Burke</v>
          </cell>
          <cell r="C36" t="str">
            <v>Michael</v>
          </cell>
          <cell r="D36" t="str">
            <v>Second Claim</v>
          </cell>
          <cell r="E36" t="b">
            <v>0</v>
          </cell>
          <cell r="F36" t="str">
            <v>Senior</v>
          </cell>
          <cell r="H36">
            <v>46000</v>
          </cell>
        </row>
        <row r="37">
          <cell r="A37">
            <v>1319</v>
          </cell>
          <cell r="B37" t="str">
            <v>Burgess</v>
          </cell>
          <cell r="C37" t="str">
            <v>Steve</v>
          </cell>
          <cell r="D37" t="str">
            <v>First Claim</v>
          </cell>
          <cell r="E37" t="b">
            <v>0</v>
          </cell>
          <cell r="F37" t="str">
            <v>Veteran</v>
          </cell>
          <cell r="G37">
            <v>9</v>
          </cell>
          <cell r="H37">
            <v>46000</v>
          </cell>
        </row>
        <row r="38">
          <cell r="A38">
            <v>1389</v>
          </cell>
          <cell r="B38" t="str">
            <v>Campbell</v>
          </cell>
          <cell r="C38" t="str">
            <v>Billy</v>
          </cell>
          <cell r="D38" t="str">
            <v>First Claim</v>
          </cell>
          <cell r="E38" t="b">
            <v>0</v>
          </cell>
          <cell r="F38" t="str">
            <v>Senior</v>
          </cell>
          <cell r="H38">
            <v>46000</v>
          </cell>
        </row>
        <row r="39">
          <cell r="A39">
            <v>1291</v>
          </cell>
          <cell r="B39" t="str">
            <v>Carter</v>
          </cell>
          <cell r="C39" t="str">
            <v>Jason</v>
          </cell>
          <cell r="D39" t="str">
            <v>First Claim</v>
          </cell>
          <cell r="E39" t="b">
            <v>0</v>
          </cell>
          <cell r="F39" t="str">
            <v>Veteran</v>
          </cell>
          <cell r="G39">
            <v>6</v>
          </cell>
          <cell r="H39">
            <v>46000</v>
          </cell>
        </row>
        <row r="40">
          <cell r="A40">
            <v>940</v>
          </cell>
          <cell r="B40" t="str">
            <v>Chapman</v>
          </cell>
          <cell r="C40" t="str">
            <v>Alison</v>
          </cell>
          <cell r="D40" t="str">
            <v>First Claim</v>
          </cell>
          <cell r="E40" t="b">
            <v>1</v>
          </cell>
          <cell r="F40" t="str">
            <v>Veteran</v>
          </cell>
          <cell r="G40">
            <v>9</v>
          </cell>
          <cell r="H40">
            <v>46000</v>
          </cell>
        </row>
        <row r="41">
          <cell r="A41">
            <v>806</v>
          </cell>
          <cell r="B41" t="str">
            <v>Chapman</v>
          </cell>
          <cell r="C41" t="str">
            <v>Mark</v>
          </cell>
          <cell r="D41" t="str">
            <v>First Claim</v>
          </cell>
          <cell r="E41" t="b">
            <v>0</v>
          </cell>
          <cell r="F41" t="str">
            <v>Veteran</v>
          </cell>
          <cell r="G41">
            <v>11</v>
          </cell>
          <cell r="H41">
            <v>46000</v>
          </cell>
        </row>
        <row r="42">
          <cell r="A42">
            <v>1306</v>
          </cell>
          <cell r="B42" t="str">
            <v>Clanfield</v>
          </cell>
          <cell r="C42" t="str">
            <v>Steve</v>
          </cell>
          <cell r="D42" t="str">
            <v>First Claim</v>
          </cell>
          <cell r="E42" t="b">
            <v>0</v>
          </cell>
          <cell r="F42" t="str">
            <v>Veteran</v>
          </cell>
          <cell r="G42">
            <v>11</v>
          </cell>
          <cell r="H42">
            <v>46000</v>
          </cell>
        </row>
        <row r="43">
          <cell r="A43">
            <v>361</v>
          </cell>
          <cell r="B43" t="str">
            <v>Clarke</v>
          </cell>
          <cell r="C43" t="str">
            <v>David</v>
          </cell>
          <cell r="D43" t="str">
            <v>First Claim</v>
          </cell>
          <cell r="E43" t="b">
            <v>0</v>
          </cell>
          <cell r="F43" t="str">
            <v>Veteran</v>
          </cell>
          <cell r="G43">
            <v>2</v>
          </cell>
          <cell r="H43">
            <v>46000</v>
          </cell>
        </row>
        <row r="44">
          <cell r="A44">
            <v>482</v>
          </cell>
          <cell r="B44" t="str">
            <v>Clarke</v>
          </cell>
          <cell r="C44" t="str">
            <v>Nick</v>
          </cell>
          <cell r="D44" t="str">
            <v>First Claim</v>
          </cell>
          <cell r="E44" t="b">
            <v>0</v>
          </cell>
          <cell r="F44" t="str">
            <v>Veteran</v>
          </cell>
          <cell r="G44">
            <v>13</v>
          </cell>
          <cell r="H44">
            <v>46000</v>
          </cell>
        </row>
        <row r="45">
          <cell r="A45">
            <v>674</v>
          </cell>
          <cell r="B45" t="str">
            <v>Clegg</v>
          </cell>
          <cell r="C45" t="str">
            <v>Jennifer</v>
          </cell>
          <cell r="D45" t="str">
            <v>Second Claim</v>
          </cell>
          <cell r="E45" t="b">
            <v>1</v>
          </cell>
          <cell r="F45" t="str">
            <v>Veteran</v>
          </cell>
          <cell r="G45">
            <v>23</v>
          </cell>
          <cell r="H45">
            <v>46000</v>
          </cell>
        </row>
        <row r="46">
          <cell r="A46">
            <v>1383</v>
          </cell>
          <cell r="B46" t="str">
            <v>Collett</v>
          </cell>
          <cell r="C46" t="str">
            <v>Evan</v>
          </cell>
          <cell r="D46" t="str">
            <v>First Claim</v>
          </cell>
          <cell r="E46" t="b">
            <v>0</v>
          </cell>
          <cell r="F46" t="str">
            <v>Juvenile</v>
          </cell>
          <cell r="H46">
            <v>46000</v>
          </cell>
        </row>
        <row r="47">
          <cell r="A47">
            <v>1061</v>
          </cell>
          <cell r="B47" t="str">
            <v>Collis</v>
          </cell>
          <cell r="C47" t="str">
            <v>Daryl</v>
          </cell>
          <cell r="D47" t="str">
            <v>First Claim</v>
          </cell>
          <cell r="E47" t="b">
            <v>0</v>
          </cell>
          <cell r="F47" t="str">
            <v>Veteran</v>
          </cell>
          <cell r="G47">
            <v>19</v>
          </cell>
          <cell r="H47">
            <v>46000</v>
          </cell>
        </row>
        <row r="48">
          <cell r="A48">
            <v>763</v>
          </cell>
          <cell r="B48" t="str">
            <v>Condon</v>
          </cell>
          <cell r="C48" t="str">
            <v>Peter</v>
          </cell>
          <cell r="D48" t="str">
            <v>First Claim</v>
          </cell>
          <cell r="E48" t="b">
            <v>0</v>
          </cell>
          <cell r="F48" t="str">
            <v>Veteran</v>
          </cell>
          <cell r="G48">
            <v>17</v>
          </cell>
          <cell r="H48">
            <v>46000</v>
          </cell>
        </row>
        <row r="49">
          <cell r="A49">
            <v>1227</v>
          </cell>
          <cell r="B49" t="str">
            <v>Copson</v>
          </cell>
          <cell r="C49" t="str">
            <v>Yvonne</v>
          </cell>
          <cell r="D49" t="str">
            <v>First Claim</v>
          </cell>
          <cell r="E49" t="b">
            <v>1</v>
          </cell>
          <cell r="F49" t="str">
            <v>Veteran</v>
          </cell>
          <cell r="G49">
            <v>8</v>
          </cell>
          <cell r="H49">
            <v>46000</v>
          </cell>
        </row>
        <row r="50">
          <cell r="A50">
            <v>715</v>
          </cell>
          <cell r="B50" t="str">
            <v>Coulam</v>
          </cell>
          <cell r="C50" t="str">
            <v>Steven</v>
          </cell>
          <cell r="D50" t="str">
            <v>First Claim</v>
          </cell>
          <cell r="E50" t="b">
            <v>0</v>
          </cell>
          <cell r="F50" t="str">
            <v>Veteran</v>
          </cell>
          <cell r="G50">
            <v>5</v>
          </cell>
          <cell r="H50">
            <v>46000</v>
          </cell>
        </row>
        <row r="51">
          <cell r="A51">
            <v>567</v>
          </cell>
          <cell r="B51" t="str">
            <v>Cox</v>
          </cell>
          <cell r="C51" t="str">
            <v>Lawrence</v>
          </cell>
          <cell r="D51" t="str">
            <v>First Claim</v>
          </cell>
          <cell r="E51" t="b">
            <v>0</v>
          </cell>
          <cell r="F51" t="str">
            <v>Veteran</v>
          </cell>
          <cell r="G51">
            <v>7</v>
          </cell>
          <cell r="H51">
            <v>46000</v>
          </cell>
        </row>
        <row r="52">
          <cell r="A52">
            <v>1295</v>
          </cell>
          <cell r="B52" t="str">
            <v>Coyle</v>
          </cell>
          <cell r="C52" t="str">
            <v>Fiona</v>
          </cell>
          <cell r="D52" t="str">
            <v>First Claim</v>
          </cell>
          <cell r="E52" t="b">
            <v>1</v>
          </cell>
          <cell r="F52" t="str">
            <v>Senior</v>
          </cell>
          <cell r="H52">
            <v>46000</v>
          </cell>
        </row>
        <row r="53">
          <cell r="A53">
            <v>704</v>
          </cell>
          <cell r="B53" t="str">
            <v>Dainty</v>
          </cell>
          <cell r="C53" t="str">
            <v>Chris</v>
          </cell>
          <cell r="D53" t="str">
            <v>First Claim</v>
          </cell>
          <cell r="E53" t="b">
            <v>0</v>
          </cell>
          <cell r="F53" t="str">
            <v>Veteran</v>
          </cell>
          <cell r="G53">
            <v>21</v>
          </cell>
          <cell r="H53">
            <v>46000</v>
          </cell>
        </row>
        <row r="54">
          <cell r="A54">
            <v>1283</v>
          </cell>
          <cell r="B54" t="str">
            <v>Dare</v>
          </cell>
          <cell r="C54" t="str">
            <v>Martin</v>
          </cell>
          <cell r="D54" t="str">
            <v>First Claim</v>
          </cell>
          <cell r="E54" t="b">
            <v>0</v>
          </cell>
          <cell r="F54" t="str">
            <v>Veteran</v>
          </cell>
          <cell r="G54">
            <v>18</v>
          </cell>
          <cell r="H54">
            <v>46000</v>
          </cell>
        </row>
        <row r="55">
          <cell r="A55">
            <v>295</v>
          </cell>
          <cell r="B55" t="str">
            <v>Dawkins</v>
          </cell>
          <cell r="C55" t="str">
            <v>Stuart</v>
          </cell>
          <cell r="D55" t="str">
            <v>First Claim</v>
          </cell>
          <cell r="E55" t="b">
            <v>0</v>
          </cell>
          <cell r="F55" t="str">
            <v>Veteran</v>
          </cell>
          <cell r="G55">
            <v>15</v>
          </cell>
          <cell r="H55">
            <v>46000</v>
          </cell>
        </row>
        <row r="56">
          <cell r="A56">
            <v>1169</v>
          </cell>
          <cell r="B56" t="str">
            <v>Deeks</v>
          </cell>
          <cell r="C56" t="str">
            <v>Andy</v>
          </cell>
          <cell r="D56" t="str">
            <v>First Claim</v>
          </cell>
          <cell r="E56" t="b">
            <v>0</v>
          </cell>
          <cell r="F56" t="str">
            <v>Senior</v>
          </cell>
          <cell r="H56">
            <v>46000</v>
          </cell>
        </row>
        <row r="57">
          <cell r="A57">
            <v>1226</v>
          </cell>
          <cell r="B57" t="str">
            <v>Dhillon</v>
          </cell>
          <cell r="C57" t="str">
            <v>Navpreet</v>
          </cell>
          <cell r="D57" t="str">
            <v>First Claim</v>
          </cell>
          <cell r="E57" t="b">
            <v>1</v>
          </cell>
          <cell r="F57" t="str">
            <v>Senior</v>
          </cell>
          <cell r="H57">
            <v>46000</v>
          </cell>
        </row>
        <row r="58">
          <cell r="A58">
            <v>1333</v>
          </cell>
          <cell r="B58" t="str">
            <v>Dickens</v>
          </cell>
          <cell r="C58" t="str">
            <v>Graham</v>
          </cell>
          <cell r="D58" t="str">
            <v>First Claim</v>
          </cell>
          <cell r="E58" t="b">
            <v>0</v>
          </cell>
          <cell r="F58" t="str">
            <v>Veteran</v>
          </cell>
          <cell r="G58">
            <v>3</v>
          </cell>
          <cell r="H58">
            <v>46000</v>
          </cell>
        </row>
        <row r="59">
          <cell r="A59">
            <v>1185</v>
          </cell>
          <cell r="B59" t="str">
            <v>Dixey</v>
          </cell>
          <cell r="C59" t="str">
            <v>Isabelle</v>
          </cell>
          <cell r="D59" t="str">
            <v>First Claim</v>
          </cell>
          <cell r="E59" t="b">
            <v>1</v>
          </cell>
          <cell r="F59" t="str">
            <v>Juvenile</v>
          </cell>
          <cell r="H59">
            <v>46000</v>
          </cell>
        </row>
        <row r="60">
          <cell r="A60">
            <v>1065</v>
          </cell>
          <cell r="B60" t="str">
            <v>Dixey</v>
          </cell>
          <cell r="C60" t="str">
            <v>Simon</v>
          </cell>
          <cell r="D60" t="str">
            <v>First Claim</v>
          </cell>
          <cell r="E60" t="b">
            <v>0</v>
          </cell>
          <cell r="F60" t="str">
            <v>Veteran</v>
          </cell>
          <cell r="G60">
            <v>1</v>
          </cell>
          <cell r="H60">
            <v>46000</v>
          </cell>
        </row>
        <row r="61">
          <cell r="A61">
            <v>1137</v>
          </cell>
          <cell r="B61" t="str">
            <v>Doe</v>
          </cell>
          <cell r="C61" t="str">
            <v>Graham</v>
          </cell>
          <cell r="D61" t="str">
            <v>Second Claim</v>
          </cell>
          <cell r="E61" t="b">
            <v>0</v>
          </cell>
          <cell r="F61" t="str">
            <v>Veteran</v>
          </cell>
          <cell r="G61">
            <v>6</v>
          </cell>
          <cell r="H61">
            <v>46000</v>
          </cell>
        </row>
        <row r="62">
          <cell r="A62">
            <v>701</v>
          </cell>
          <cell r="B62" t="str">
            <v>Doherty</v>
          </cell>
          <cell r="C62" t="str">
            <v>Neil</v>
          </cell>
          <cell r="D62" t="str">
            <v>First Claim</v>
          </cell>
          <cell r="E62" t="b">
            <v>0</v>
          </cell>
          <cell r="F62" t="str">
            <v>Veteran</v>
          </cell>
          <cell r="G62">
            <v>4</v>
          </cell>
          <cell r="H62">
            <v>46000</v>
          </cell>
        </row>
        <row r="63">
          <cell r="A63">
            <v>1316</v>
          </cell>
          <cell r="B63" t="str">
            <v>Dumbill</v>
          </cell>
          <cell r="C63" t="str">
            <v>Andrew</v>
          </cell>
          <cell r="D63" t="str">
            <v>Second Claim</v>
          </cell>
          <cell r="E63" t="b">
            <v>0</v>
          </cell>
          <cell r="F63" t="str">
            <v>Veteran</v>
          </cell>
          <cell r="G63">
            <v>10</v>
          </cell>
          <cell r="H63">
            <v>46000</v>
          </cell>
        </row>
        <row r="64">
          <cell r="A64">
            <v>1096</v>
          </cell>
          <cell r="B64" t="str">
            <v>Durnin</v>
          </cell>
          <cell r="C64" t="str">
            <v>Nathan</v>
          </cell>
          <cell r="D64" t="str">
            <v>First Claim</v>
          </cell>
          <cell r="E64" t="b">
            <v>0</v>
          </cell>
          <cell r="F64" t="str">
            <v>Juvenile</v>
          </cell>
          <cell r="H64">
            <v>46000</v>
          </cell>
        </row>
        <row r="65">
          <cell r="A65">
            <v>1236</v>
          </cell>
          <cell r="B65" t="str">
            <v>Durnin</v>
          </cell>
          <cell r="C65" t="str">
            <v>Clare</v>
          </cell>
          <cell r="D65" t="str">
            <v>First Claim</v>
          </cell>
          <cell r="E65" t="b">
            <v>1</v>
          </cell>
          <cell r="F65" t="str">
            <v>Veteran</v>
          </cell>
          <cell r="G65">
            <v>5</v>
          </cell>
          <cell r="H65">
            <v>46000</v>
          </cell>
        </row>
        <row r="66">
          <cell r="A66">
            <v>699</v>
          </cell>
          <cell r="B66" t="str">
            <v>Durnin</v>
          </cell>
          <cell r="C66" t="str">
            <v>Jonathan</v>
          </cell>
          <cell r="D66" t="str">
            <v>First Claim</v>
          </cell>
          <cell r="E66" t="b">
            <v>0</v>
          </cell>
          <cell r="F66" t="str">
            <v>Veteran</v>
          </cell>
          <cell r="G66">
            <v>5</v>
          </cell>
          <cell r="H66">
            <v>46000</v>
          </cell>
        </row>
        <row r="67">
          <cell r="A67">
            <v>682</v>
          </cell>
          <cell r="B67" t="str">
            <v>Edmonds</v>
          </cell>
          <cell r="C67" t="str">
            <v>Lee</v>
          </cell>
          <cell r="D67" t="str">
            <v>Second Claim</v>
          </cell>
          <cell r="E67" t="b">
            <v>0</v>
          </cell>
          <cell r="F67" t="str">
            <v>Veteran</v>
          </cell>
          <cell r="G67">
            <v>11</v>
          </cell>
          <cell r="H67">
            <v>46000</v>
          </cell>
        </row>
        <row r="68">
          <cell r="A68">
            <v>1000</v>
          </cell>
          <cell r="B68" t="str">
            <v>Easton</v>
          </cell>
          <cell r="C68" t="str">
            <v>Ashley</v>
          </cell>
          <cell r="D68" t="str">
            <v>First Claim</v>
          </cell>
          <cell r="E68" t="b">
            <v>0</v>
          </cell>
          <cell r="F68" t="str">
            <v>Senior</v>
          </cell>
          <cell r="H68">
            <v>46000</v>
          </cell>
        </row>
        <row r="69">
          <cell r="A69">
            <v>1332</v>
          </cell>
          <cell r="B69" t="str">
            <v>Eaton</v>
          </cell>
          <cell r="C69" t="str">
            <v>Jo</v>
          </cell>
          <cell r="D69" t="str">
            <v>First Claim</v>
          </cell>
          <cell r="E69" t="b">
            <v>1</v>
          </cell>
          <cell r="F69" t="str">
            <v>Senior</v>
          </cell>
          <cell r="H69">
            <v>46000</v>
          </cell>
        </row>
        <row r="70">
          <cell r="A70">
            <v>1355</v>
          </cell>
          <cell r="B70" t="str">
            <v>Elmer</v>
          </cell>
          <cell r="C70" t="str">
            <v>Aubrey</v>
          </cell>
          <cell r="D70" t="str">
            <v>First Claim</v>
          </cell>
          <cell r="E70" t="b">
            <v>0</v>
          </cell>
          <cell r="F70" t="str">
            <v>Juvenile</v>
          </cell>
          <cell r="H70">
            <v>46000</v>
          </cell>
        </row>
        <row r="71">
          <cell r="A71">
            <v>1164</v>
          </cell>
          <cell r="B71" t="str">
            <v>Evans</v>
          </cell>
          <cell r="C71" t="str">
            <v>Harriet</v>
          </cell>
          <cell r="D71" t="str">
            <v>Second Claim</v>
          </cell>
          <cell r="E71" t="b">
            <v>1</v>
          </cell>
          <cell r="F71" t="str">
            <v>Senior</v>
          </cell>
          <cell r="H71">
            <v>46000</v>
          </cell>
        </row>
        <row r="72">
          <cell r="A72">
            <v>1062</v>
          </cell>
          <cell r="B72" t="str">
            <v>Evans</v>
          </cell>
          <cell r="C72" t="str">
            <v>Mark</v>
          </cell>
          <cell r="D72" t="str">
            <v>First Claim</v>
          </cell>
          <cell r="E72" t="b">
            <v>0</v>
          </cell>
          <cell r="F72" t="str">
            <v>Veteran</v>
          </cell>
          <cell r="G72">
            <v>9</v>
          </cell>
          <cell r="H72">
            <v>46000</v>
          </cell>
        </row>
        <row r="73">
          <cell r="A73">
            <v>938</v>
          </cell>
          <cell r="B73" t="str">
            <v>Evans</v>
          </cell>
          <cell r="C73" t="str">
            <v>Jane</v>
          </cell>
          <cell r="D73" t="str">
            <v>First Claim</v>
          </cell>
          <cell r="E73" t="b">
            <v>1</v>
          </cell>
          <cell r="F73" t="str">
            <v>Veteran</v>
          </cell>
          <cell r="G73">
            <v>7</v>
          </cell>
          <cell r="H73">
            <v>46000</v>
          </cell>
        </row>
        <row r="74">
          <cell r="A74">
            <v>939</v>
          </cell>
          <cell r="B74" t="str">
            <v>Foreman</v>
          </cell>
          <cell r="C74" t="str">
            <v>Sally</v>
          </cell>
          <cell r="D74" t="str">
            <v>First Claim</v>
          </cell>
          <cell r="E74" t="b">
            <v>1</v>
          </cell>
          <cell r="F74" t="str">
            <v>Veteran</v>
          </cell>
          <cell r="G74">
            <v>12</v>
          </cell>
          <cell r="H74">
            <v>46000</v>
          </cell>
        </row>
        <row r="75">
          <cell r="A75">
            <v>1377</v>
          </cell>
          <cell r="B75" t="str">
            <v>Fraser</v>
          </cell>
          <cell r="C75" t="str">
            <v>Lucy</v>
          </cell>
          <cell r="D75" t="str">
            <v>First Claim</v>
          </cell>
          <cell r="E75" t="b">
            <v>1</v>
          </cell>
          <cell r="F75" t="str">
            <v>Veteran</v>
          </cell>
          <cell r="G75">
            <v>12</v>
          </cell>
          <cell r="H75">
            <v>46000</v>
          </cell>
        </row>
        <row r="76">
          <cell r="A76">
            <v>1281</v>
          </cell>
          <cell r="B76" t="str">
            <v>Garner</v>
          </cell>
          <cell r="C76" t="str">
            <v>Gerald</v>
          </cell>
          <cell r="D76" t="str">
            <v>First Claim</v>
          </cell>
          <cell r="E76" t="b">
            <v>0</v>
          </cell>
          <cell r="F76" t="str">
            <v>Veteran</v>
          </cell>
          <cell r="G76">
            <v>19</v>
          </cell>
          <cell r="H76">
            <v>46000</v>
          </cell>
        </row>
        <row r="77">
          <cell r="A77">
            <v>1274</v>
          </cell>
          <cell r="B77" t="str">
            <v>Gowers</v>
          </cell>
          <cell r="C77" t="str">
            <v>Sophia</v>
          </cell>
          <cell r="D77" t="str">
            <v>First Claim</v>
          </cell>
          <cell r="E77" t="b">
            <v>1</v>
          </cell>
          <cell r="F77" t="str">
            <v>Senior</v>
          </cell>
          <cell r="H77">
            <v>46000</v>
          </cell>
        </row>
        <row r="78">
          <cell r="A78">
            <v>933</v>
          </cell>
          <cell r="B78" t="str">
            <v>Grandidge</v>
          </cell>
          <cell r="C78" t="str">
            <v>Ed</v>
          </cell>
          <cell r="D78" t="str">
            <v>First Claim</v>
          </cell>
          <cell r="E78" t="b">
            <v>0</v>
          </cell>
          <cell r="F78" t="str">
            <v>Senior</v>
          </cell>
          <cell r="H78">
            <v>46000</v>
          </cell>
        </row>
        <row r="79">
          <cell r="A79">
            <v>1317</v>
          </cell>
          <cell r="B79" t="str">
            <v>Gray</v>
          </cell>
          <cell r="C79" t="str">
            <v>Lawrence</v>
          </cell>
          <cell r="D79" t="str">
            <v>First Claim</v>
          </cell>
          <cell r="E79" t="b">
            <v>0</v>
          </cell>
          <cell r="F79" t="str">
            <v>Veteran</v>
          </cell>
          <cell r="G79">
            <v>23</v>
          </cell>
          <cell r="H79">
            <v>46000</v>
          </cell>
        </row>
        <row r="80">
          <cell r="A80">
            <v>493</v>
          </cell>
          <cell r="B80" t="str">
            <v>Halls</v>
          </cell>
          <cell r="C80" t="str">
            <v>George</v>
          </cell>
          <cell r="D80" t="str">
            <v>Honorary</v>
          </cell>
          <cell r="E80" t="b">
            <v>0</v>
          </cell>
          <cell r="F80" t="str">
            <v>Veteran</v>
          </cell>
          <cell r="G80">
            <v>37</v>
          </cell>
          <cell r="H80">
            <v>46000</v>
          </cell>
        </row>
        <row r="81">
          <cell r="A81">
            <v>1287</v>
          </cell>
          <cell r="B81" t="str">
            <v>Hamilton-Fox</v>
          </cell>
          <cell r="C81" t="str">
            <v>Sandra</v>
          </cell>
          <cell r="D81" t="str">
            <v>First Claim</v>
          </cell>
          <cell r="E81" t="b">
            <v>1</v>
          </cell>
          <cell r="F81" t="str">
            <v>Veteran</v>
          </cell>
          <cell r="G81">
            <v>21</v>
          </cell>
          <cell r="H81">
            <v>46000</v>
          </cell>
        </row>
        <row r="82">
          <cell r="A82">
            <v>1279</v>
          </cell>
          <cell r="B82" t="str">
            <v>Hanner</v>
          </cell>
          <cell r="C82" t="str">
            <v>Jeffrey</v>
          </cell>
          <cell r="D82" t="str">
            <v>First Claim</v>
          </cell>
          <cell r="E82" t="b">
            <v>0</v>
          </cell>
          <cell r="F82" t="str">
            <v>Veteran</v>
          </cell>
          <cell r="G82">
            <v>4</v>
          </cell>
          <cell r="H82">
            <v>46000</v>
          </cell>
        </row>
        <row r="83">
          <cell r="A83">
            <v>1196</v>
          </cell>
          <cell r="B83" t="str">
            <v>Hardwicke</v>
          </cell>
          <cell r="C83" t="str">
            <v>Daniel</v>
          </cell>
          <cell r="D83" t="str">
            <v>First Claim</v>
          </cell>
          <cell r="E83" t="b">
            <v>0</v>
          </cell>
          <cell r="F83" t="str">
            <v>Juvenile</v>
          </cell>
          <cell r="H83">
            <v>46000</v>
          </cell>
        </row>
        <row r="84">
          <cell r="A84">
            <v>1195</v>
          </cell>
          <cell r="B84" t="str">
            <v>Hardwicke</v>
          </cell>
          <cell r="C84" t="str">
            <v>Charlie</v>
          </cell>
          <cell r="D84" t="str">
            <v>First Claim</v>
          </cell>
          <cell r="E84" t="b">
            <v>0</v>
          </cell>
          <cell r="F84" t="str">
            <v>Juvenile</v>
          </cell>
          <cell r="H84">
            <v>46000</v>
          </cell>
        </row>
        <row r="85">
          <cell r="A85">
            <v>1193</v>
          </cell>
          <cell r="B85" t="str">
            <v>Hardwicke</v>
          </cell>
          <cell r="C85" t="str">
            <v>Richard</v>
          </cell>
          <cell r="D85" t="str">
            <v>First Claim</v>
          </cell>
          <cell r="E85" t="b">
            <v>0</v>
          </cell>
          <cell r="F85" t="str">
            <v>Senior</v>
          </cell>
          <cell r="H85">
            <v>46000</v>
          </cell>
        </row>
        <row r="86">
          <cell r="A86">
            <v>1194</v>
          </cell>
          <cell r="B86" t="str">
            <v>Hardwicke</v>
          </cell>
          <cell r="C86" t="str">
            <v>Alex</v>
          </cell>
          <cell r="D86" t="str">
            <v>First Claim</v>
          </cell>
          <cell r="E86" t="b">
            <v>1</v>
          </cell>
          <cell r="F86" t="str">
            <v>Senior</v>
          </cell>
          <cell r="H86">
            <v>46000</v>
          </cell>
        </row>
        <row r="87">
          <cell r="A87">
            <v>936</v>
          </cell>
          <cell r="B87" t="str">
            <v>Harris</v>
          </cell>
          <cell r="C87" t="str">
            <v>Tim</v>
          </cell>
          <cell r="D87" t="str">
            <v>First Claim</v>
          </cell>
          <cell r="E87" t="b">
            <v>0</v>
          </cell>
          <cell r="F87" t="str">
            <v>Veteran</v>
          </cell>
          <cell r="G87">
            <v>8</v>
          </cell>
          <cell r="H87">
            <v>46000</v>
          </cell>
        </row>
        <row r="88">
          <cell r="A88">
            <v>1351</v>
          </cell>
          <cell r="B88" t="str">
            <v>Harrison</v>
          </cell>
          <cell r="C88" t="str">
            <v>Scott</v>
          </cell>
          <cell r="D88" t="str">
            <v>First Claim</v>
          </cell>
          <cell r="E88" t="b">
            <v>0</v>
          </cell>
          <cell r="F88" t="str">
            <v>Veteran</v>
          </cell>
          <cell r="G88">
            <v>4</v>
          </cell>
          <cell r="H88">
            <v>46000</v>
          </cell>
        </row>
        <row r="89">
          <cell r="A89">
            <v>1176</v>
          </cell>
          <cell r="B89" t="str">
            <v>Harrison</v>
          </cell>
          <cell r="C89" t="str">
            <v>Rory</v>
          </cell>
          <cell r="D89" t="str">
            <v>First Claim</v>
          </cell>
          <cell r="E89" t="b">
            <v>0</v>
          </cell>
          <cell r="F89" t="str">
            <v>Juvenile</v>
          </cell>
          <cell r="H89">
            <v>46000</v>
          </cell>
        </row>
        <row r="90">
          <cell r="A90">
            <v>1174</v>
          </cell>
          <cell r="B90" t="str">
            <v>Harrison</v>
          </cell>
          <cell r="C90" t="str">
            <v>Claire</v>
          </cell>
          <cell r="D90" t="str">
            <v>First Claim</v>
          </cell>
          <cell r="E90" t="b">
            <v>1</v>
          </cell>
          <cell r="F90" t="str">
            <v>Veteran</v>
          </cell>
          <cell r="G90">
            <v>6</v>
          </cell>
          <cell r="H90">
            <v>46000</v>
          </cell>
        </row>
        <row r="91">
          <cell r="A91">
            <v>1175</v>
          </cell>
          <cell r="B91" t="str">
            <v>Harrison</v>
          </cell>
          <cell r="C91" t="str">
            <v>Richard</v>
          </cell>
          <cell r="D91" t="str">
            <v>First Claim</v>
          </cell>
          <cell r="E91" t="b">
            <v>0</v>
          </cell>
          <cell r="F91" t="str">
            <v>Veteran</v>
          </cell>
          <cell r="G91">
            <v>12</v>
          </cell>
          <cell r="H91">
            <v>46000</v>
          </cell>
        </row>
        <row r="92">
          <cell r="A92">
            <v>1109</v>
          </cell>
          <cell r="B92" t="str">
            <v>Haycox</v>
          </cell>
          <cell r="C92" t="str">
            <v>Stuart</v>
          </cell>
          <cell r="D92" t="str">
            <v>First Claim</v>
          </cell>
          <cell r="E92" t="b">
            <v>0</v>
          </cell>
          <cell r="F92" t="str">
            <v>Senior</v>
          </cell>
          <cell r="H92">
            <v>46000</v>
          </cell>
        </row>
        <row r="93">
          <cell r="A93">
            <v>1073</v>
          </cell>
          <cell r="B93" t="str">
            <v>Heald</v>
          </cell>
          <cell r="C93" t="str">
            <v>Richard</v>
          </cell>
          <cell r="D93" t="str">
            <v>First Claim</v>
          </cell>
          <cell r="E93" t="b">
            <v>0</v>
          </cell>
          <cell r="F93" t="str">
            <v>Veteran</v>
          </cell>
          <cell r="G93">
            <v>3</v>
          </cell>
          <cell r="H93">
            <v>46000</v>
          </cell>
        </row>
        <row r="94">
          <cell r="A94">
            <v>897</v>
          </cell>
          <cell r="B94" t="str">
            <v>Henderson</v>
          </cell>
          <cell r="C94" t="str">
            <v>Marc</v>
          </cell>
          <cell r="D94" t="str">
            <v>First Claim</v>
          </cell>
          <cell r="E94" t="b">
            <v>0</v>
          </cell>
          <cell r="F94" t="str">
            <v>Veteran</v>
          </cell>
          <cell r="G94">
            <v>13</v>
          </cell>
          <cell r="H94">
            <v>46000</v>
          </cell>
        </row>
        <row r="95">
          <cell r="A95">
            <v>1365</v>
          </cell>
          <cell r="B95" t="str">
            <v>Henderson</v>
          </cell>
          <cell r="C95" t="str">
            <v>Helen</v>
          </cell>
          <cell r="D95" t="str">
            <v>First Claim</v>
          </cell>
          <cell r="E95" t="b">
            <v>1</v>
          </cell>
          <cell r="F95" t="str">
            <v>Veteran</v>
          </cell>
          <cell r="G95">
            <v>7</v>
          </cell>
          <cell r="H95">
            <v>46000</v>
          </cell>
        </row>
        <row r="96">
          <cell r="A96">
            <v>1366</v>
          </cell>
          <cell r="B96" t="str">
            <v>Henderson</v>
          </cell>
          <cell r="C96" t="str">
            <v>Hannah</v>
          </cell>
          <cell r="D96" t="str">
            <v>First Claim</v>
          </cell>
          <cell r="E96" t="b">
            <v>1</v>
          </cell>
          <cell r="F96" t="str">
            <v>Senior</v>
          </cell>
          <cell r="H96">
            <v>46000</v>
          </cell>
        </row>
        <row r="97">
          <cell r="A97">
            <v>1367</v>
          </cell>
          <cell r="B97" t="str">
            <v>Henderson</v>
          </cell>
          <cell r="C97" t="str">
            <v>Daniel</v>
          </cell>
          <cell r="D97" t="str">
            <v>First Claim</v>
          </cell>
          <cell r="E97" t="b">
            <v>0</v>
          </cell>
          <cell r="F97" t="str">
            <v>Juvenile</v>
          </cell>
          <cell r="H97">
            <v>46000</v>
          </cell>
        </row>
        <row r="98">
          <cell r="A98">
            <v>1387</v>
          </cell>
          <cell r="B98" t="str">
            <v>Herbert</v>
          </cell>
          <cell r="C98" t="str">
            <v>Estelle</v>
          </cell>
          <cell r="D98" t="str">
            <v>First Claim</v>
          </cell>
          <cell r="E98" t="b">
            <v>1</v>
          </cell>
          <cell r="F98" t="str">
            <v>Senior</v>
          </cell>
          <cell r="H98">
            <v>46000</v>
          </cell>
        </row>
        <row r="99">
          <cell r="A99">
            <v>1308</v>
          </cell>
          <cell r="B99" t="str">
            <v>Herring</v>
          </cell>
          <cell r="C99" t="str">
            <v>Alice</v>
          </cell>
          <cell r="D99" t="str">
            <v>First Claim</v>
          </cell>
          <cell r="E99" t="b">
            <v>1</v>
          </cell>
          <cell r="F99" t="str">
            <v>Veteran</v>
          </cell>
          <cell r="G99">
            <v>2</v>
          </cell>
          <cell r="H99">
            <v>46000</v>
          </cell>
        </row>
        <row r="100">
          <cell r="A100">
            <v>1206</v>
          </cell>
          <cell r="B100" t="str">
            <v>Hill</v>
          </cell>
          <cell r="C100" t="str">
            <v>Joy</v>
          </cell>
          <cell r="D100" t="str">
            <v>First Claim</v>
          </cell>
          <cell r="E100" t="b">
            <v>1</v>
          </cell>
          <cell r="F100" t="str">
            <v>Veteran</v>
          </cell>
          <cell r="G100">
            <v>8</v>
          </cell>
          <cell r="H100">
            <v>46000</v>
          </cell>
        </row>
        <row r="101">
          <cell r="A101">
            <v>1205</v>
          </cell>
          <cell r="B101" t="str">
            <v>Hill</v>
          </cell>
          <cell r="C101" t="str">
            <v>Dave</v>
          </cell>
          <cell r="D101" t="str">
            <v>First Claim</v>
          </cell>
          <cell r="E101" t="b">
            <v>0</v>
          </cell>
          <cell r="F101" t="str">
            <v>Veteran</v>
          </cell>
          <cell r="G101">
            <v>14</v>
          </cell>
          <cell r="H101">
            <v>46000</v>
          </cell>
        </row>
        <row r="102">
          <cell r="A102">
            <v>1182</v>
          </cell>
          <cell r="B102" t="str">
            <v>Holman</v>
          </cell>
          <cell r="C102" t="str">
            <v>Neil</v>
          </cell>
          <cell r="D102" t="str">
            <v>First Claim</v>
          </cell>
          <cell r="E102" t="b">
            <v>0</v>
          </cell>
          <cell r="F102" t="str">
            <v>Veteran</v>
          </cell>
          <cell r="G102">
            <v>8</v>
          </cell>
          <cell r="H102">
            <v>46000</v>
          </cell>
        </row>
        <row r="103">
          <cell r="A103">
            <v>1340</v>
          </cell>
          <cell r="B103" t="str">
            <v>Holmes</v>
          </cell>
          <cell r="C103" t="str">
            <v>Cristian</v>
          </cell>
          <cell r="D103" t="str">
            <v>First Claim</v>
          </cell>
          <cell r="E103" t="b">
            <v>0</v>
          </cell>
          <cell r="F103" t="str">
            <v>Veteran</v>
          </cell>
          <cell r="G103">
            <v>8</v>
          </cell>
          <cell r="H103">
            <v>46000</v>
          </cell>
        </row>
        <row r="104">
          <cell r="A104">
            <v>913</v>
          </cell>
          <cell r="B104" t="str">
            <v>Holton</v>
          </cell>
          <cell r="C104" t="str">
            <v>Charlie</v>
          </cell>
          <cell r="D104" t="str">
            <v>First Claim</v>
          </cell>
          <cell r="E104" t="b">
            <v>0</v>
          </cell>
          <cell r="F104" t="str">
            <v>Veteran</v>
          </cell>
          <cell r="G104">
            <v>5</v>
          </cell>
          <cell r="H104">
            <v>46000</v>
          </cell>
        </row>
        <row r="105">
          <cell r="A105">
            <v>21</v>
          </cell>
          <cell r="B105" t="str">
            <v>Holton</v>
          </cell>
          <cell r="C105" t="str">
            <v>Wayne</v>
          </cell>
          <cell r="D105" t="str">
            <v>First Claim</v>
          </cell>
          <cell r="E105" t="b">
            <v>0</v>
          </cell>
          <cell r="F105" t="str">
            <v>Senior</v>
          </cell>
          <cell r="H105">
            <v>46000</v>
          </cell>
        </row>
        <row r="106">
          <cell r="A106">
            <v>746</v>
          </cell>
          <cell r="B106" t="str">
            <v>Hopkins</v>
          </cell>
          <cell r="C106" t="str">
            <v>Simon</v>
          </cell>
          <cell r="D106" t="str">
            <v>First Claim</v>
          </cell>
          <cell r="E106" t="b">
            <v>0</v>
          </cell>
          <cell r="F106" t="str">
            <v>Veteran</v>
          </cell>
          <cell r="G106">
            <v>5</v>
          </cell>
          <cell r="H106">
            <v>46000</v>
          </cell>
        </row>
        <row r="107">
          <cell r="A107">
            <v>1049</v>
          </cell>
          <cell r="B107" t="str">
            <v>Hopwood</v>
          </cell>
          <cell r="C107" t="str">
            <v>Duncan</v>
          </cell>
          <cell r="D107" t="str">
            <v>First Claim</v>
          </cell>
          <cell r="E107" t="b">
            <v>0</v>
          </cell>
          <cell r="F107" t="str">
            <v>Veteran</v>
          </cell>
          <cell r="G107">
            <v>19</v>
          </cell>
          <cell r="H107">
            <v>46000</v>
          </cell>
        </row>
        <row r="108">
          <cell r="A108">
            <v>547</v>
          </cell>
          <cell r="B108" t="str">
            <v>Horder</v>
          </cell>
          <cell r="C108" t="str">
            <v>Nick</v>
          </cell>
          <cell r="D108" t="str">
            <v>First Claim</v>
          </cell>
          <cell r="E108" t="b">
            <v>0</v>
          </cell>
          <cell r="F108" t="str">
            <v>Veteran</v>
          </cell>
          <cell r="G108">
            <v>1</v>
          </cell>
          <cell r="H108">
            <v>46000</v>
          </cell>
        </row>
        <row r="109">
          <cell r="A109">
            <v>120</v>
          </cell>
          <cell r="B109" t="str">
            <v>Hubbard</v>
          </cell>
          <cell r="C109" t="str">
            <v>Linda</v>
          </cell>
          <cell r="D109" t="str">
            <v>First Claim</v>
          </cell>
          <cell r="E109" t="b">
            <v>1</v>
          </cell>
          <cell r="F109" t="str">
            <v>Veteran</v>
          </cell>
          <cell r="G109">
            <v>12</v>
          </cell>
          <cell r="H109">
            <v>46000</v>
          </cell>
        </row>
        <row r="110">
          <cell r="A110">
            <v>990</v>
          </cell>
          <cell r="B110" t="str">
            <v>Hulme</v>
          </cell>
          <cell r="C110" t="str">
            <v>Jennifer</v>
          </cell>
          <cell r="D110" t="str">
            <v>First Claim</v>
          </cell>
          <cell r="E110" t="b">
            <v>1</v>
          </cell>
          <cell r="F110" t="str">
            <v>Veteran</v>
          </cell>
          <cell r="G110">
            <v>10</v>
          </cell>
          <cell r="H110">
            <v>46000</v>
          </cell>
        </row>
        <row r="111">
          <cell r="A111">
            <v>1158</v>
          </cell>
          <cell r="B111" t="str">
            <v>Humphries</v>
          </cell>
          <cell r="C111" t="str">
            <v>Eleanor</v>
          </cell>
          <cell r="D111" t="str">
            <v>First Claim</v>
          </cell>
          <cell r="E111" t="b">
            <v>1</v>
          </cell>
          <cell r="F111" t="str">
            <v>Senior</v>
          </cell>
          <cell r="H111">
            <v>46000</v>
          </cell>
        </row>
        <row r="112">
          <cell r="A112">
            <v>23</v>
          </cell>
          <cell r="B112" t="str">
            <v>Hyde</v>
          </cell>
          <cell r="C112" t="str">
            <v>Chris</v>
          </cell>
          <cell r="D112" t="str">
            <v>First Claim</v>
          </cell>
          <cell r="E112" t="b">
            <v>0</v>
          </cell>
          <cell r="F112" t="str">
            <v>Veteran</v>
          </cell>
          <cell r="G112">
            <v>10</v>
          </cell>
          <cell r="H112">
            <v>46000</v>
          </cell>
        </row>
        <row r="113">
          <cell r="A113">
            <v>1152</v>
          </cell>
          <cell r="B113" t="str">
            <v>Isaac</v>
          </cell>
          <cell r="C113" t="str">
            <v>Ruby</v>
          </cell>
          <cell r="D113" t="str">
            <v>Second Claim</v>
          </cell>
          <cell r="E113" t="b">
            <v>1</v>
          </cell>
          <cell r="F113" t="str">
            <v>Junior</v>
          </cell>
          <cell r="H113">
            <v>46000</v>
          </cell>
        </row>
        <row r="114">
          <cell r="A114">
            <v>581</v>
          </cell>
          <cell r="B114" t="str">
            <v>Ives</v>
          </cell>
          <cell r="C114" t="str">
            <v>Mike</v>
          </cell>
          <cell r="D114" t="str">
            <v>First Claim</v>
          </cell>
          <cell r="E114" t="b">
            <v>0</v>
          </cell>
          <cell r="F114" t="str">
            <v>Veteran</v>
          </cell>
          <cell r="G114">
            <v>13</v>
          </cell>
          <cell r="H114">
            <v>46000</v>
          </cell>
        </row>
        <row r="115">
          <cell r="A115">
            <v>1374</v>
          </cell>
          <cell r="B115" t="str">
            <v>Jackson-Bream</v>
          </cell>
          <cell r="C115" t="str">
            <v>Will</v>
          </cell>
          <cell r="D115" t="str">
            <v>First Claim</v>
          </cell>
          <cell r="E115" t="b">
            <v>0</v>
          </cell>
          <cell r="F115" t="str">
            <v>Senior</v>
          </cell>
          <cell r="H115">
            <v>46000</v>
          </cell>
        </row>
        <row r="116">
          <cell r="A116">
            <v>25</v>
          </cell>
          <cell r="B116" t="str">
            <v>James</v>
          </cell>
          <cell r="C116" t="str">
            <v>Mitchell</v>
          </cell>
          <cell r="D116" t="str">
            <v>First Claim</v>
          </cell>
          <cell r="E116" t="b">
            <v>0</v>
          </cell>
          <cell r="F116" t="str">
            <v>Veteran</v>
          </cell>
          <cell r="G116">
            <v>8</v>
          </cell>
          <cell r="H116">
            <v>46000</v>
          </cell>
        </row>
        <row r="117">
          <cell r="A117">
            <v>1257</v>
          </cell>
          <cell r="B117" t="str">
            <v>Kendrick</v>
          </cell>
          <cell r="C117" t="str">
            <v>Richard</v>
          </cell>
          <cell r="D117" t="str">
            <v>Second Claim</v>
          </cell>
          <cell r="E117" t="b">
            <v>0</v>
          </cell>
          <cell r="F117" t="str">
            <v>Senior</v>
          </cell>
          <cell r="H117">
            <v>46000</v>
          </cell>
        </row>
        <row r="118">
          <cell r="A118">
            <v>1144</v>
          </cell>
          <cell r="B118" t="str">
            <v>Kershaw</v>
          </cell>
          <cell r="C118" t="str">
            <v>Jamie</v>
          </cell>
          <cell r="D118" t="str">
            <v>Second Claim</v>
          </cell>
          <cell r="E118" t="b">
            <v>0</v>
          </cell>
          <cell r="F118" t="str">
            <v>Junior</v>
          </cell>
          <cell r="H118">
            <v>46000</v>
          </cell>
        </row>
        <row r="119">
          <cell r="A119">
            <v>415</v>
          </cell>
          <cell r="B119" t="str">
            <v>Kershaw</v>
          </cell>
          <cell r="C119" t="str">
            <v>Nik</v>
          </cell>
          <cell r="D119" t="str">
            <v>First Claim</v>
          </cell>
          <cell r="E119" t="b">
            <v>0</v>
          </cell>
          <cell r="F119" t="str">
            <v>Veteran</v>
          </cell>
          <cell r="G119">
            <v>6</v>
          </cell>
          <cell r="H119">
            <v>46000</v>
          </cell>
        </row>
        <row r="120">
          <cell r="A120">
            <v>203</v>
          </cell>
          <cell r="B120" t="str">
            <v>Killworth</v>
          </cell>
          <cell r="C120" t="str">
            <v>Adrian</v>
          </cell>
          <cell r="D120" t="str">
            <v>First Claim</v>
          </cell>
          <cell r="E120" t="b">
            <v>0</v>
          </cell>
          <cell r="F120" t="str">
            <v>Veteran</v>
          </cell>
          <cell r="G120">
            <v>9</v>
          </cell>
          <cell r="H120">
            <v>46000</v>
          </cell>
        </row>
        <row r="121">
          <cell r="A121">
            <v>956</v>
          </cell>
          <cell r="B121" t="str">
            <v>King</v>
          </cell>
          <cell r="C121" t="str">
            <v>Steven</v>
          </cell>
          <cell r="D121" t="str">
            <v>First Claim</v>
          </cell>
          <cell r="E121" t="b">
            <v>0</v>
          </cell>
          <cell r="F121" t="str">
            <v>Veteran</v>
          </cell>
          <cell r="G121">
            <v>13</v>
          </cell>
          <cell r="H121">
            <v>46000</v>
          </cell>
        </row>
        <row r="122">
          <cell r="A122">
            <v>1273</v>
          </cell>
          <cell r="B122" t="str">
            <v>Knight</v>
          </cell>
          <cell r="C122" t="str">
            <v>Ros</v>
          </cell>
          <cell r="D122" t="str">
            <v>First Claim</v>
          </cell>
          <cell r="E122" t="b">
            <v>1</v>
          </cell>
          <cell r="F122" t="str">
            <v>Veteran</v>
          </cell>
          <cell r="G122">
            <v>22</v>
          </cell>
          <cell r="H122">
            <v>46000</v>
          </cell>
        </row>
        <row r="123">
          <cell r="A123">
            <v>1272</v>
          </cell>
          <cell r="B123" t="str">
            <v>Knight</v>
          </cell>
          <cell r="C123" t="str">
            <v>Tim</v>
          </cell>
          <cell r="D123" t="str">
            <v>First Claim</v>
          </cell>
          <cell r="E123" t="b">
            <v>0</v>
          </cell>
          <cell r="F123" t="str">
            <v>Veteran</v>
          </cell>
          <cell r="G123">
            <v>24</v>
          </cell>
          <cell r="H123">
            <v>46000</v>
          </cell>
        </row>
        <row r="124">
          <cell r="A124">
            <v>846</v>
          </cell>
          <cell r="B124" t="str">
            <v>Kockelbergh</v>
          </cell>
          <cell r="C124" t="str">
            <v>Roger</v>
          </cell>
          <cell r="D124" t="str">
            <v>First Claim</v>
          </cell>
          <cell r="E124" t="b">
            <v>0</v>
          </cell>
          <cell r="F124" t="str">
            <v>Veteran</v>
          </cell>
          <cell r="G124">
            <v>17</v>
          </cell>
          <cell r="H124">
            <v>46000</v>
          </cell>
        </row>
        <row r="125">
          <cell r="A125">
            <v>1162</v>
          </cell>
          <cell r="B125" t="str">
            <v>Krause</v>
          </cell>
          <cell r="C125" t="str">
            <v>Richard</v>
          </cell>
          <cell r="D125" t="str">
            <v>First Claim</v>
          </cell>
          <cell r="E125" t="b">
            <v>0</v>
          </cell>
          <cell r="F125" t="str">
            <v>Senior</v>
          </cell>
          <cell r="H125">
            <v>46000</v>
          </cell>
        </row>
        <row r="126">
          <cell r="A126">
            <v>1244</v>
          </cell>
          <cell r="B126" t="str">
            <v>Latham</v>
          </cell>
          <cell r="C126" t="str">
            <v>Steven</v>
          </cell>
          <cell r="D126" t="str">
            <v>First Claim</v>
          </cell>
          <cell r="E126" t="b">
            <v>0</v>
          </cell>
          <cell r="F126" t="str">
            <v>Veteran</v>
          </cell>
          <cell r="G126">
            <v>2</v>
          </cell>
          <cell r="H126">
            <v>46000</v>
          </cell>
        </row>
        <row r="127">
          <cell r="A127">
            <v>1379</v>
          </cell>
          <cell r="B127" t="str">
            <v>Latham</v>
          </cell>
          <cell r="C127" t="str">
            <v>Michaela</v>
          </cell>
          <cell r="D127" t="str">
            <v>First Claim</v>
          </cell>
          <cell r="E127" t="b">
            <v>1</v>
          </cell>
          <cell r="F127" t="str">
            <v>Senior</v>
          </cell>
          <cell r="H127">
            <v>46000</v>
          </cell>
        </row>
        <row r="128">
          <cell r="A128">
            <v>1296</v>
          </cell>
          <cell r="B128" t="str">
            <v>Latimer</v>
          </cell>
          <cell r="C128" t="str">
            <v>Richard</v>
          </cell>
          <cell r="D128" t="str">
            <v>First Claim</v>
          </cell>
          <cell r="E128" t="b">
            <v>0</v>
          </cell>
          <cell r="F128" t="str">
            <v>Senior</v>
          </cell>
          <cell r="H128">
            <v>46000</v>
          </cell>
        </row>
        <row r="129">
          <cell r="A129">
            <v>1362</v>
          </cell>
          <cell r="B129" t="str">
            <v>Laws</v>
          </cell>
          <cell r="C129" t="str">
            <v>Paula</v>
          </cell>
          <cell r="D129" t="str">
            <v>First Claim</v>
          </cell>
          <cell r="E129" t="b">
            <v>1</v>
          </cell>
          <cell r="F129" t="str">
            <v>Veteran</v>
          </cell>
          <cell r="G129">
            <v>22</v>
          </cell>
          <cell r="H129">
            <v>46000</v>
          </cell>
        </row>
        <row r="130">
          <cell r="A130">
            <v>1229</v>
          </cell>
          <cell r="B130" t="str">
            <v>Leska</v>
          </cell>
          <cell r="C130" t="str">
            <v>Kamila</v>
          </cell>
          <cell r="D130" t="str">
            <v>First Claim</v>
          </cell>
          <cell r="E130" t="b">
            <v>1</v>
          </cell>
          <cell r="F130" t="str">
            <v>Senior</v>
          </cell>
          <cell r="H130">
            <v>46000</v>
          </cell>
        </row>
        <row r="131">
          <cell r="A131">
            <v>1198</v>
          </cell>
          <cell r="B131" t="str">
            <v>Liot</v>
          </cell>
          <cell r="C131" t="str">
            <v>Anthony</v>
          </cell>
          <cell r="D131" t="str">
            <v>First Claim</v>
          </cell>
          <cell r="E131" t="b">
            <v>0</v>
          </cell>
          <cell r="F131" t="str">
            <v>Veteran</v>
          </cell>
          <cell r="G131">
            <v>5</v>
          </cell>
          <cell r="H131">
            <v>46000</v>
          </cell>
        </row>
        <row r="132">
          <cell r="A132">
            <v>1260</v>
          </cell>
          <cell r="B132" t="str">
            <v>Lucas</v>
          </cell>
          <cell r="C132" t="str">
            <v>Alison</v>
          </cell>
          <cell r="D132" t="str">
            <v>First Claim</v>
          </cell>
          <cell r="E132" t="b">
            <v>1</v>
          </cell>
          <cell r="F132" t="str">
            <v>Veteran</v>
          </cell>
          <cell r="G132">
            <v>15</v>
          </cell>
          <cell r="H132">
            <v>46000</v>
          </cell>
        </row>
        <row r="133">
          <cell r="A133">
            <v>1361</v>
          </cell>
          <cell r="B133" t="str">
            <v>Main</v>
          </cell>
          <cell r="C133" t="str">
            <v>Bruce</v>
          </cell>
          <cell r="D133" t="str">
            <v>First Claim</v>
          </cell>
          <cell r="E133" t="b">
            <v>0</v>
          </cell>
          <cell r="F133" t="str">
            <v>Veteran</v>
          </cell>
          <cell r="G133">
            <v>16</v>
          </cell>
          <cell r="H133">
            <v>46000</v>
          </cell>
        </row>
        <row r="134">
          <cell r="A134">
            <v>1100</v>
          </cell>
          <cell r="B134" t="str">
            <v>Mansfield</v>
          </cell>
          <cell r="C134" t="str">
            <v>Ian</v>
          </cell>
          <cell r="D134" t="str">
            <v>First Claim</v>
          </cell>
          <cell r="E134" t="b">
            <v>0</v>
          </cell>
          <cell r="F134" t="str">
            <v>Veteran</v>
          </cell>
          <cell r="G134">
            <v>13</v>
          </cell>
          <cell r="H134">
            <v>46000</v>
          </cell>
        </row>
        <row r="135">
          <cell r="A135">
            <v>1385</v>
          </cell>
          <cell r="B135" t="str">
            <v>Marr</v>
          </cell>
          <cell r="C135" t="str">
            <v>Miles</v>
          </cell>
          <cell r="D135" t="str">
            <v>First Claim</v>
          </cell>
          <cell r="E135" t="b">
            <v>0</v>
          </cell>
          <cell r="F135" t="str">
            <v>Senior</v>
          </cell>
          <cell r="H135">
            <v>46000</v>
          </cell>
        </row>
        <row r="136">
          <cell r="A136">
            <v>1373</v>
          </cell>
          <cell r="B136" t="str">
            <v>McGraw</v>
          </cell>
          <cell r="C136" t="str">
            <v>David</v>
          </cell>
          <cell r="D136" t="str">
            <v>First Claim</v>
          </cell>
          <cell r="E136" t="b">
            <v>0</v>
          </cell>
          <cell r="F136" t="str">
            <v>Veteran</v>
          </cell>
          <cell r="G136">
            <v>10</v>
          </cell>
          <cell r="H136">
            <v>46000</v>
          </cell>
        </row>
        <row r="137">
          <cell r="A137">
            <v>1252</v>
          </cell>
          <cell r="B137" t="str">
            <v>McLeod</v>
          </cell>
          <cell r="C137" t="str">
            <v>Philip</v>
          </cell>
          <cell r="D137" t="str">
            <v>First Claim</v>
          </cell>
          <cell r="E137" t="b">
            <v>0</v>
          </cell>
          <cell r="F137" t="str">
            <v>Veteran</v>
          </cell>
          <cell r="G137">
            <v>6</v>
          </cell>
          <cell r="H137">
            <v>46000</v>
          </cell>
        </row>
        <row r="138">
          <cell r="A138">
            <v>1363</v>
          </cell>
          <cell r="B138" t="str">
            <v>McDonald</v>
          </cell>
          <cell r="C138" t="str">
            <v>Alisa</v>
          </cell>
          <cell r="D138" t="str">
            <v>First Claim</v>
          </cell>
          <cell r="E138" t="b">
            <v>1</v>
          </cell>
          <cell r="F138" t="str">
            <v>Senior</v>
          </cell>
          <cell r="H138">
            <v>46000</v>
          </cell>
        </row>
        <row r="139">
          <cell r="A139">
            <v>967</v>
          </cell>
          <cell r="B139" t="str">
            <v>McDonnell</v>
          </cell>
          <cell r="C139" t="str">
            <v>Daniel</v>
          </cell>
          <cell r="D139" t="str">
            <v>First Claim</v>
          </cell>
          <cell r="E139" t="b">
            <v>0</v>
          </cell>
          <cell r="F139" t="str">
            <v>Veteran</v>
          </cell>
          <cell r="G139">
            <v>5</v>
          </cell>
          <cell r="H139">
            <v>46000</v>
          </cell>
        </row>
        <row r="140">
          <cell r="A140">
            <v>1045</v>
          </cell>
          <cell r="B140" t="str">
            <v>McPherson</v>
          </cell>
          <cell r="C140" t="str">
            <v>Amanda</v>
          </cell>
          <cell r="D140" t="str">
            <v>First Claim</v>
          </cell>
          <cell r="E140" t="b">
            <v>1</v>
          </cell>
          <cell r="F140" t="str">
            <v>Veteran</v>
          </cell>
          <cell r="G140">
            <v>5</v>
          </cell>
          <cell r="H140">
            <v>46000</v>
          </cell>
        </row>
        <row r="141">
          <cell r="A141">
            <v>1046</v>
          </cell>
          <cell r="B141" t="str">
            <v>McPherson</v>
          </cell>
          <cell r="C141" t="str">
            <v>Jim</v>
          </cell>
          <cell r="D141" t="str">
            <v>First Claim</v>
          </cell>
          <cell r="E141" t="b">
            <v>0</v>
          </cell>
          <cell r="F141" t="str">
            <v>Veteran</v>
          </cell>
          <cell r="G141">
            <v>35</v>
          </cell>
          <cell r="H141">
            <v>46000</v>
          </cell>
        </row>
        <row r="142">
          <cell r="A142">
            <v>929</v>
          </cell>
          <cell r="B142" t="str">
            <v>Medley</v>
          </cell>
          <cell r="C142" t="str">
            <v>Thomas</v>
          </cell>
          <cell r="D142" t="str">
            <v>First Claim</v>
          </cell>
          <cell r="E142" t="b">
            <v>0</v>
          </cell>
          <cell r="F142" t="str">
            <v>Senior</v>
          </cell>
          <cell r="H142">
            <v>46000</v>
          </cell>
        </row>
        <row r="143">
          <cell r="A143">
            <v>1349</v>
          </cell>
          <cell r="B143" t="str">
            <v>Mercer</v>
          </cell>
          <cell r="C143" t="str">
            <v>Theo</v>
          </cell>
          <cell r="D143" t="str">
            <v>First Claim</v>
          </cell>
          <cell r="E143" t="b">
            <v>0</v>
          </cell>
          <cell r="F143" t="str">
            <v>Senior</v>
          </cell>
          <cell r="H143">
            <v>46000</v>
          </cell>
        </row>
        <row r="144">
          <cell r="A144">
            <v>1342</v>
          </cell>
          <cell r="B144" t="str">
            <v>Meyer</v>
          </cell>
          <cell r="C144" t="str">
            <v>Danny</v>
          </cell>
          <cell r="D144" t="str">
            <v>First Claim</v>
          </cell>
          <cell r="E144" t="b">
            <v>0</v>
          </cell>
          <cell r="F144" t="str">
            <v>Veteran</v>
          </cell>
          <cell r="G144">
            <v>16</v>
          </cell>
          <cell r="H144">
            <v>46000</v>
          </cell>
        </row>
        <row r="145">
          <cell r="A145">
            <v>771</v>
          </cell>
          <cell r="B145" t="str">
            <v>Middleton</v>
          </cell>
          <cell r="C145" t="str">
            <v>Julian</v>
          </cell>
          <cell r="D145" t="str">
            <v>First Claim</v>
          </cell>
          <cell r="E145" t="b">
            <v>0</v>
          </cell>
          <cell r="F145" t="str">
            <v>Veteran</v>
          </cell>
          <cell r="G145">
            <v>14</v>
          </cell>
          <cell r="H145">
            <v>46000</v>
          </cell>
        </row>
        <row r="146">
          <cell r="A146">
            <v>1265</v>
          </cell>
          <cell r="B146" t="str">
            <v>Millard</v>
          </cell>
          <cell r="C146" t="str">
            <v>Kevin</v>
          </cell>
          <cell r="D146" t="str">
            <v>First Claim</v>
          </cell>
          <cell r="E146" t="b">
            <v>0</v>
          </cell>
          <cell r="F146" t="str">
            <v>Veteran</v>
          </cell>
          <cell r="G146">
            <v>20</v>
          </cell>
          <cell r="H146">
            <v>46000</v>
          </cell>
        </row>
        <row r="147">
          <cell r="A147">
            <v>532</v>
          </cell>
          <cell r="B147" t="str">
            <v>Mills</v>
          </cell>
          <cell r="C147" t="str">
            <v>Kevin</v>
          </cell>
          <cell r="D147" t="str">
            <v>First Claim</v>
          </cell>
          <cell r="E147" t="b">
            <v>0</v>
          </cell>
          <cell r="F147" t="str">
            <v>Veteran</v>
          </cell>
          <cell r="G147">
            <v>13</v>
          </cell>
          <cell r="H147">
            <v>46000</v>
          </cell>
        </row>
        <row r="148">
          <cell r="A148">
            <v>1388</v>
          </cell>
          <cell r="B148" t="str">
            <v>Mitchell</v>
          </cell>
          <cell r="C148" t="str">
            <v>Sophie</v>
          </cell>
          <cell r="D148" t="str">
            <v>First Claim</v>
          </cell>
          <cell r="E148" t="b">
            <v>1</v>
          </cell>
          <cell r="F148" t="str">
            <v>Senior</v>
          </cell>
          <cell r="H148">
            <v>46000</v>
          </cell>
        </row>
        <row r="149">
          <cell r="A149">
            <v>1282</v>
          </cell>
          <cell r="B149" t="str">
            <v>Molyneux</v>
          </cell>
          <cell r="C149" t="str">
            <v>Paul</v>
          </cell>
          <cell r="D149" t="str">
            <v>First Claim</v>
          </cell>
          <cell r="E149" t="b">
            <v>0</v>
          </cell>
          <cell r="F149" t="str">
            <v>Veteran</v>
          </cell>
          <cell r="G149">
            <v>15</v>
          </cell>
          <cell r="H149">
            <v>46000</v>
          </cell>
        </row>
        <row r="150">
          <cell r="A150">
            <v>1386</v>
          </cell>
          <cell r="B150" t="str">
            <v>Moore</v>
          </cell>
          <cell r="C150" t="str">
            <v>Mea</v>
          </cell>
          <cell r="D150" t="str">
            <v>First Claim</v>
          </cell>
          <cell r="E150" t="b">
            <v>1</v>
          </cell>
          <cell r="F150" t="str">
            <v>Juvenile</v>
          </cell>
          <cell r="H150">
            <v>46000</v>
          </cell>
        </row>
        <row r="151">
          <cell r="A151">
            <v>747</v>
          </cell>
          <cell r="B151" t="str">
            <v>Moore</v>
          </cell>
          <cell r="C151" t="str">
            <v>James</v>
          </cell>
          <cell r="D151" t="str">
            <v>First Claim</v>
          </cell>
          <cell r="E151" t="b">
            <v>0</v>
          </cell>
          <cell r="F151" t="str">
            <v>Veteran</v>
          </cell>
          <cell r="G151">
            <v>1</v>
          </cell>
          <cell r="H151">
            <v>46000</v>
          </cell>
        </row>
        <row r="152">
          <cell r="A152">
            <v>1298</v>
          </cell>
          <cell r="B152" t="str">
            <v>Moore</v>
          </cell>
          <cell r="C152" t="str">
            <v>Jane</v>
          </cell>
          <cell r="D152" t="str">
            <v>First Claim</v>
          </cell>
          <cell r="E152" t="b">
            <v>1</v>
          </cell>
          <cell r="F152" t="str">
            <v>Veteran</v>
          </cell>
          <cell r="G152">
            <v>13</v>
          </cell>
          <cell r="H152">
            <v>46000</v>
          </cell>
        </row>
        <row r="153">
          <cell r="A153">
            <v>742</v>
          </cell>
          <cell r="B153" t="str">
            <v>Moore</v>
          </cell>
          <cell r="C153" t="str">
            <v>Claire</v>
          </cell>
          <cell r="D153" t="str">
            <v>First Claim</v>
          </cell>
          <cell r="E153" t="b">
            <v>1</v>
          </cell>
          <cell r="F153" t="str">
            <v>Veteran</v>
          </cell>
          <cell r="G153">
            <v>2</v>
          </cell>
          <cell r="H153">
            <v>46000</v>
          </cell>
        </row>
        <row r="154">
          <cell r="A154">
            <v>741</v>
          </cell>
          <cell r="B154" t="str">
            <v>Moore</v>
          </cell>
          <cell r="C154" t="str">
            <v>Rob</v>
          </cell>
          <cell r="D154" t="str">
            <v>First Claim</v>
          </cell>
          <cell r="E154" t="b">
            <v>0</v>
          </cell>
          <cell r="F154" t="str">
            <v>Veteran</v>
          </cell>
          <cell r="G154">
            <v>4</v>
          </cell>
          <cell r="H154">
            <v>46000</v>
          </cell>
        </row>
        <row r="155">
          <cell r="A155">
            <v>1221</v>
          </cell>
          <cell r="B155" t="str">
            <v>Morgan</v>
          </cell>
          <cell r="C155" t="str">
            <v>David</v>
          </cell>
          <cell r="D155" t="str">
            <v>First Claim</v>
          </cell>
          <cell r="E155" t="b">
            <v>0</v>
          </cell>
          <cell r="F155" t="str">
            <v>Senior</v>
          </cell>
          <cell r="H155">
            <v>46000</v>
          </cell>
        </row>
        <row r="156">
          <cell r="A156">
            <v>900</v>
          </cell>
          <cell r="B156" t="str">
            <v>Morris</v>
          </cell>
          <cell r="C156" t="str">
            <v>Mark</v>
          </cell>
          <cell r="D156" t="str">
            <v>First Claim</v>
          </cell>
          <cell r="E156" t="b">
            <v>0</v>
          </cell>
          <cell r="F156" t="str">
            <v>Veteran</v>
          </cell>
          <cell r="G156">
            <v>17</v>
          </cell>
          <cell r="H156">
            <v>46000</v>
          </cell>
        </row>
        <row r="157">
          <cell r="A157">
            <v>1165</v>
          </cell>
          <cell r="B157" t="str">
            <v>Murray</v>
          </cell>
          <cell r="C157" t="str">
            <v>Duncan</v>
          </cell>
          <cell r="D157" t="str">
            <v>First Claim</v>
          </cell>
          <cell r="E157" t="b">
            <v>0</v>
          </cell>
          <cell r="F157" t="str">
            <v>Veteran</v>
          </cell>
          <cell r="G157">
            <v>10</v>
          </cell>
          <cell r="H157">
            <v>46000</v>
          </cell>
        </row>
        <row r="158">
          <cell r="A158">
            <v>405</v>
          </cell>
          <cell r="B158" t="str">
            <v>Nicholls</v>
          </cell>
          <cell r="C158" t="str">
            <v>Kevin</v>
          </cell>
          <cell r="D158" t="str">
            <v>First Claim</v>
          </cell>
          <cell r="E158" t="b">
            <v>0</v>
          </cell>
          <cell r="F158" t="str">
            <v>Veteran</v>
          </cell>
          <cell r="G158">
            <v>18</v>
          </cell>
          <cell r="H158">
            <v>46000</v>
          </cell>
        </row>
        <row r="159">
          <cell r="A159">
            <v>1346</v>
          </cell>
          <cell r="B159" t="str">
            <v>Nixon</v>
          </cell>
          <cell r="C159" t="str">
            <v>Stephen</v>
          </cell>
          <cell r="D159" t="str">
            <v>First Claim</v>
          </cell>
          <cell r="E159" t="b">
            <v>0</v>
          </cell>
          <cell r="F159" t="str">
            <v>Veteran</v>
          </cell>
          <cell r="G159">
            <v>20</v>
          </cell>
          <cell r="H159">
            <v>46000</v>
          </cell>
        </row>
        <row r="160">
          <cell r="A160">
            <v>1364</v>
          </cell>
          <cell r="B160" t="str">
            <v>Noble</v>
          </cell>
          <cell r="C160" t="str">
            <v>Laurence</v>
          </cell>
          <cell r="D160" t="str">
            <v>First Claim</v>
          </cell>
          <cell r="E160" t="b">
            <v>0</v>
          </cell>
          <cell r="F160" t="str">
            <v>Veteran</v>
          </cell>
          <cell r="G160">
            <v>15</v>
          </cell>
          <cell r="H160">
            <v>46000</v>
          </cell>
        </row>
        <row r="161">
          <cell r="A161">
            <v>1210</v>
          </cell>
          <cell r="B161" t="str">
            <v>Nolan</v>
          </cell>
          <cell r="C161" t="str">
            <v>George</v>
          </cell>
          <cell r="D161" t="str">
            <v>First Claim</v>
          </cell>
          <cell r="E161" t="b">
            <v>0</v>
          </cell>
          <cell r="F161" t="str">
            <v>Veteran</v>
          </cell>
          <cell r="G161">
            <v>14</v>
          </cell>
          <cell r="H161">
            <v>46000</v>
          </cell>
        </row>
        <row r="162">
          <cell r="A162">
            <v>1192</v>
          </cell>
          <cell r="B162" t="str">
            <v>Norris</v>
          </cell>
          <cell r="C162" t="str">
            <v>Dale</v>
          </cell>
          <cell r="D162" t="str">
            <v>First Claim</v>
          </cell>
          <cell r="E162" t="b">
            <v>0</v>
          </cell>
          <cell r="F162" t="str">
            <v>Veteran</v>
          </cell>
          <cell r="G162">
            <v>10</v>
          </cell>
          <cell r="H162">
            <v>46000</v>
          </cell>
        </row>
        <row r="163">
          <cell r="A163">
            <v>1157</v>
          </cell>
          <cell r="B163" t="str">
            <v>Orfeur</v>
          </cell>
          <cell r="C163" t="str">
            <v>Chris</v>
          </cell>
          <cell r="D163" t="str">
            <v>First Claim</v>
          </cell>
          <cell r="E163" t="b">
            <v>0</v>
          </cell>
          <cell r="F163" t="str">
            <v>Senior</v>
          </cell>
          <cell r="H163">
            <v>46000</v>
          </cell>
        </row>
        <row r="164">
          <cell r="A164">
            <v>1357</v>
          </cell>
          <cell r="B164" t="str">
            <v>Parker</v>
          </cell>
          <cell r="C164" t="str">
            <v>Ian</v>
          </cell>
          <cell r="D164" t="str">
            <v>First Claim</v>
          </cell>
          <cell r="E164" t="b">
            <v>0</v>
          </cell>
          <cell r="F164" t="str">
            <v>Veteran</v>
          </cell>
          <cell r="G164">
            <v>5</v>
          </cell>
          <cell r="H164">
            <v>46000</v>
          </cell>
        </row>
        <row r="165">
          <cell r="A165">
            <v>1358</v>
          </cell>
          <cell r="B165" t="str">
            <v>Parker</v>
          </cell>
          <cell r="C165" t="str">
            <v>Mandy</v>
          </cell>
          <cell r="D165" t="str">
            <v>First Claim</v>
          </cell>
          <cell r="E165" t="b">
            <v>1</v>
          </cell>
          <cell r="F165" t="str">
            <v>Veteran</v>
          </cell>
          <cell r="G165">
            <v>7</v>
          </cell>
          <cell r="H165">
            <v>46000</v>
          </cell>
        </row>
        <row r="166">
          <cell r="A166">
            <v>1359</v>
          </cell>
          <cell r="B166" t="str">
            <v>Parker</v>
          </cell>
          <cell r="C166" t="str">
            <v>George</v>
          </cell>
          <cell r="D166" t="str">
            <v>First Claim</v>
          </cell>
          <cell r="E166" t="b">
            <v>0</v>
          </cell>
          <cell r="F166" t="str">
            <v>Junior</v>
          </cell>
          <cell r="H166">
            <v>46000</v>
          </cell>
        </row>
        <row r="167">
          <cell r="A167">
            <v>1360</v>
          </cell>
          <cell r="B167" t="str">
            <v>Parker</v>
          </cell>
          <cell r="C167" t="str">
            <v>Charlotte</v>
          </cell>
          <cell r="D167" t="str">
            <v>First Claim</v>
          </cell>
          <cell r="E167" t="b">
            <v>1</v>
          </cell>
          <cell r="F167" t="str">
            <v>Juvenile</v>
          </cell>
          <cell r="H167">
            <v>46000</v>
          </cell>
        </row>
        <row r="168">
          <cell r="A168">
            <v>1093</v>
          </cell>
          <cell r="B168" t="str">
            <v>Pattrick</v>
          </cell>
          <cell r="C168" t="str">
            <v>Mark</v>
          </cell>
          <cell r="D168" t="str">
            <v>First Claim</v>
          </cell>
          <cell r="E168" t="b">
            <v>0</v>
          </cell>
          <cell r="F168" t="str">
            <v>Senior</v>
          </cell>
          <cell r="H168">
            <v>46000</v>
          </cell>
        </row>
        <row r="169">
          <cell r="A169">
            <v>1107</v>
          </cell>
          <cell r="B169" t="str">
            <v>Pinnock</v>
          </cell>
          <cell r="C169" t="str">
            <v>Milly</v>
          </cell>
          <cell r="D169" t="str">
            <v>First Claim</v>
          </cell>
          <cell r="E169" t="b">
            <v>1</v>
          </cell>
          <cell r="F169" t="str">
            <v>Senior</v>
          </cell>
          <cell r="H169">
            <v>46000</v>
          </cell>
        </row>
        <row r="170">
          <cell r="A170">
            <v>35</v>
          </cell>
          <cell r="B170" t="str">
            <v>Plews</v>
          </cell>
          <cell r="C170" t="str">
            <v>Matt</v>
          </cell>
          <cell r="D170" t="str">
            <v>First Claim</v>
          </cell>
          <cell r="E170" t="b">
            <v>0</v>
          </cell>
          <cell r="F170" t="str">
            <v>Veteran</v>
          </cell>
          <cell r="G170">
            <v>3</v>
          </cell>
          <cell r="H170">
            <v>46000</v>
          </cell>
        </row>
        <row r="171">
          <cell r="A171">
            <v>1094</v>
          </cell>
          <cell r="B171" t="str">
            <v>Poulton</v>
          </cell>
          <cell r="C171" t="str">
            <v>Andy</v>
          </cell>
          <cell r="D171" t="str">
            <v>First Claim</v>
          </cell>
          <cell r="E171" t="b">
            <v>0</v>
          </cell>
          <cell r="F171" t="str">
            <v>Veteran</v>
          </cell>
          <cell r="G171">
            <v>12</v>
          </cell>
          <cell r="H171">
            <v>46000</v>
          </cell>
        </row>
        <row r="172">
          <cell r="A172">
            <v>1325</v>
          </cell>
          <cell r="B172" t="str">
            <v>Prangnell</v>
          </cell>
          <cell r="C172" t="str">
            <v>Greg</v>
          </cell>
          <cell r="D172" t="str">
            <v>First Claim</v>
          </cell>
          <cell r="E172" t="b">
            <v>0</v>
          </cell>
          <cell r="F172" t="str">
            <v>Veteran</v>
          </cell>
          <cell r="G172">
            <v>3</v>
          </cell>
          <cell r="H172">
            <v>46000</v>
          </cell>
        </row>
        <row r="173">
          <cell r="A173">
            <v>1143</v>
          </cell>
          <cell r="B173" t="str">
            <v>Pullen</v>
          </cell>
          <cell r="C173" t="str">
            <v>Rob</v>
          </cell>
          <cell r="D173" t="str">
            <v>First Claim</v>
          </cell>
          <cell r="E173" t="b">
            <v>0</v>
          </cell>
          <cell r="F173" t="str">
            <v>Veteran</v>
          </cell>
          <cell r="G173">
            <v>3</v>
          </cell>
          <cell r="H173">
            <v>46000</v>
          </cell>
        </row>
        <row r="174">
          <cell r="A174">
            <v>576</v>
          </cell>
          <cell r="B174" t="str">
            <v>Rathbone</v>
          </cell>
          <cell r="C174" t="str">
            <v>Julian</v>
          </cell>
          <cell r="D174" t="str">
            <v>First Claim</v>
          </cell>
          <cell r="E174" t="b">
            <v>0</v>
          </cell>
          <cell r="F174" t="str">
            <v>Veteran</v>
          </cell>
          <cell r="G174">
            <v>4</v>
          </cell>
          <cell r="H174">
            <v>46000</v>
          </cell>
        </row>
        <row r="175">
          <cell r="A175">
            <v>38</v>
          </cell>
          <cell r="B175" t="str">
            <v>Rayner</v>
          </cell>
          <cell r="C175" t="str">
            <v>Phil</v>
          </cell>
          <cell r="D175" t="str">
            <v>First Claim</v>
          </cell>
          <cell r="E175" t="b">
            <v>0</v>
          </cell>
          <cell r="F175" t="str">
            <v>Veteran</v>
          </cell>
          <cell r="G175">
            <v>13</v>
          </cell>
          <cell r="H175">
            <v>46000</v>
          </cell>
        </row>
        <row r="176">
          <cell r="A176">
            <v>245</v>
          </cell>
          <cell r="B176" t="str">
            <v>Reay</v>
          </cell>
          <cell r="C176" t="str">
            <v>David</v>
          </cell>
          <cell r="D176" t="str">
            <v>First Claim</v>
          </cell>
          <cell r="E176" t="b">
            <v>0</v>
          </cell>
          <cell r="F176" t="str">
            <v>Veteran</v>
          </cell>
          <cell r="G176">
            <v>10</v>
          </cell>
          <cell r="H176">
            <v>46000</v>
          </cell>
        </row>
        <row r="177">
          <cell r="A177">
            <v>39</v>
          </cell>
          <cell r="B177" t="str">
            <v>Reay</v>
          </cell>
          <cell r="C177" t="str">
            <v>Michael</v>
          </cell>
          <cell r="D177" t="str">
            <v>First Claim</v>
          </cell>
          <cell r="E177" t="b">
            <v>0</v>
          </cell>
          <cell r="F177" t="str">
            <v>Veteran</v>
          </cell>
          <cell r="G177">
            <v>43</v>
          </cell>
          <cell r="H177">
            <v>46000</v>
          </cell>
        </row>
        <row r="178">
          <cell r="A178">
            <v>508</v>
          </cell>
          <cell r="B178" t="str">
            <v>Riley</v>
          </cell>
          <cell r="C178" t="str">
            <v>Peter</v>
          </cell>
          <cell r="D178" t="str">
            <v>First Claim</v>
          </cell>
          <cell r="E178" t="b">
            <v>0</v>
          </cell>
          <cell r="F178" t="str">
            <v>Veteran</v>
          </cell>
          <cell r="G178">
            <v>31</v>
          </cell>
          <cell r="H178">
            <v>46000</v>
          </cell>
        </row>
        <row r="179">
          <cell r="A179">
            <v>1025</v>
          </cell>
          <cell r="B179" t="str">
            <v>Roberts</v>
          </cell>
          <cell r="C179" t="str">
            <v>Leo</v>
          </cell>
          <cell r="D179" t="str">
            <v>First Claim</v>
          </cell>
          <cell r="E179" t="b">
            <v>0</v>
          </cell>
          <cell r="F179" t="str">
            <v>Juvenile</v>
          </cell>
          <cell r="H179">
            <v>46000</v>
          </cell>
        </row>
        <row r="180">
          <cell r="A180">
            <v>1024</v>
          </cell>
          <cell r="B180" t="str">
            <v>Roberts</v>
          </cell>
          <cell r="C180" t="str">
            <v>Jax</v>
          </cell>
          <cell r="D180" t="str">
            <v>First Claim</v>
          </cell>
          <cell r="E180" t="b">
            <v>0</v>
          </cell>
          <cell r="F180" t="str">
            <v>Junior</v>
          </cell>
          <cell r="H180">
            <v>46000</v>
          </cell>
        </row>
        <row r="181">
          <cell r="A181">
            <v>1023</v>
          </cell>
          <cell r="B181" t="str">
            <v>Roberts</v>
          </cell>
          <cell r="C181" t="str">
            <v>Gary</v>
          </cell>
          <cell r="D181" t="str">
            <v>First Claim</v>
          </cell>
          <cell r="E181" t="b">
            <v>0</v>
          </cell>
          <cell r="F181" t="str">
            <v>Senior</v>
          </cell>
          <cell r="H181">
            <v>46000</v>
          </cell>
        </row>
        <row r="182">
          <cell r="A182">
            <v>1232</v>
          </cell>
          <cell r="B182" t="str">
            <v>Roberts</v>
          </cell>
          <cell r="C182" t="str">
            <v>Anna</v>
          </cell>
          <cell r="D182" t="str">
            <v>First Claim</v>
          </cell>
          <cell r="E182" t="b">
            <v>1</v>
          </cell>
          <cell r="F182" t="str">
            <v>Veteran</v>
          </cell>
          <cell r="G182">
            <v>4</v>
          </cell>
          <cell r="H182">
            <v>46000</v>
          </cell>
        </row>
        <row r="183">
          <cell r="A183">
            <v>1141</v>
          </cell>
          <cell r="B183" t="str">
            <v>Rout</v>
          </cell>
          <cell r="C183" t="str">
            <v>Judith</v>
          </cell>
          <cell r="D183" t="str">
            <v>First Claim</v>
          </cell>
          <cell r="E183" t="b">
            <v>1</v>
          </cell>
          <cell r="F183" t="str">
            <v>Veteran</v>
          </cell>
          <cell r="G183">
            <v>15</v>
          </cell>
          <cell r="H183">
            <v>46000</v>
          </cell>
        </row>
        <row r="184">
          <cell r="A184">
            <v>891</v>
          </cell>
          <cell r="B184" t="str">
            <v>Russell</v>
          </cell>
          <cell r="C184" t="str">
            <v>Dawn</v>
          </cell>
          <cell r="D184" t="str">
            <v>First Claim</v>
          </cell>
          <cell r="E184" t="b">
            <v>1</v>
          </cell>
          <cell r="F184" t="str">
            <v>Senior</v>
          </cell>
          <cell r="H184">
            <v>46000</v>
          </cell>
        </row>
        <row r="185">
          <cell r="A185">
            <v>1191</v>
          </cell>
          <cell r="B185" t="str">
            <v>Sangster</v>
          </cell>
          <cell r="C185" t="str">
            <v>Richard</v>
          </cell>
          <cell r="D185" t="str">
            <v>First Claim</v>
          </cell>
          <cell r="E185" t="b">
            <v>0</v>
          </cell>
          <cell r="F185" t="str">
            <v>Veteran</v>
          </cell>
          <cell r="G185">
            <v>7</v>
          </cell>
          <cell r="H185">
            <v>46000</v>
          </cell>
        </row>
        <row r="186">
          <cell r="A186">
            <v>1225</v>
          </cell>
          <cell r="B186" t="str">
            <v>Sangster</v>
          </cell>
          <cell r="C186" t="str">
            <v>Joshua</v>
          </cell>
          <cell r="D186" t="str">
            <v>First Claim</v>
          </cell>
          <cell r="E186" t="b">
            <v>0</v>
          </cell>
          <cell r="F186" t="str">
            <v>Senior</v>
          </cell>
          <cell r="H186">
            <v>46000</v>
          </cell>
        </row>
        <row r="187">
          <cell r="A187">
            <v>1350</v>
          </cell>
          <cell r="B187" t="str">
            <v>Savage</v>
          </cell>
          <cell r="C187" t="str">
            <v>Ben</v>
          </cell>
          <cell r="D187" t="str">
            <v>First Claim</v>
          </cell>
          <cell r="E187" t="b">
            <v>0</v>
          </cell>
          <cell r="F187" t="str">
            <v>Senior</v>
          </cell>
          <cell r="H187">
            <v>46000</v>
          </cell>
        </row>
        <row r="188">
          <cell r="A188">
            <v>1352</v>
          </cell>
          <cell r="B188" t="str">
            <v>Scoley</v>
          </cell>
          <cell r="C188" t="str">
            <v>Ian</v>
          </cell>
          <cell r="D188" t="str">
            <v>First Claim</v>
          </cell>
          <cell r="E188" t="b">
            <v>0</v>
          </cell>
          <cell r="F188" t="str">
            <v>Veteran</v>
          </cell>
          <cell r="G188">
            <v>11</v>
          </cell>
          <cell r="H188">
            <v>46000</v>
          </cell>
        </row>
        <row r="189">
          <cell r="A189">
            <v>597</v>
          </cell>
          <cell r="B189" t="str">
            <v>Shelley</v>
          </cell>
          <cell r="C189" t="str">
            <v>Trevor</v>
          </cell>
          <cell r="D189" t="str">
            <v>First Claim</v>
          </cell>
          <cell r="E189" t="b">
            <v>0</v>
          </cell>
          <cell r="F189" t="str">
            <v>Veteran</v>
          </cell>
          <cell r="G189">
            <v>36</v>
          </cell>
          <cell r="H189">
            <v>46000</v>
          </cell>
        </row>
        <row r="190">
          <cell r="A190">
            <v>1339</v>
          </cell>
          <cell r="B190" t="str">
            <v>Shewring</v>
          </cell>
          <cell r="C190" t="str">
            <v>Jack</v>
          </cell>
          <cell r="D190" t="str">
            <v>First Claim</v>
          </cell>
          <cell r="E190" t="b">
            <v>0</v>
          </cell>
          <cell r="F190" t="str">
            <v>Senior</v>
          </cell>
          <cell r="H190">
            <v>46000</v>
          </cell>
        </row>
        <row r="191">
          <cell r="A191">
            <v>914</v>
          </cell>
          <cell r="B191" t="str">
            <v>Simpson</v>
          </cell>
          <cell r="C191" t="str">
            <v>Charlie</v>
          </cell>
          <cell r="D191" t="str">
            <v>First Claim</v>
          </cell>
          <cell r="E191" t="b">
            <v>0</v>
          </cell>
          <cell r="F191" t="str">
            <v>Veteran</v>
          </cell>
          <cell r="G191">
            <v>14</v>
          </cell>
          <cell r="H191">
            <v>46000</v>
          </cell>
        </row>
        <row r="192">
          <cell r="A192">
            <v>1038</v>
          </cell>
          <cell r="B192" t="str">
            <v>Simpson</v>
          </cell>
          <cell r="C192" t="str">
            <v>Paul</v>
          </cell>
          <cell r="D192" t="str">
            <v>First Claim</v>
          </cell>
          <cell r="E192" t="b">
            <v>0</v>
          </cell>
          <cell r="F192" t="str">
            <v>Veteran</v>
          </cell>
          <cell r="G192">
            <v>12</v>
          </cell>
          <cell r="H192">
            <v>46000</v>
          </cell>
        </row>
        <row r="193">
          <cell r="A193">
            <v>1347</v>
          </cell>
          <cell r="B193" t="str">
            <v>Simpson-Smith</v>
          </cell>
          <cell r="C193" t="str">
            <v>Stuart</v>
          </cell>
          <cell r="D193" t="str">
            <v>First Claim</v>
          </cell>
          <cell r="E193" t="b">
            <v>0</v>
          </cell>
          <cell r="F193" t="str">
            <v>Senior</v>
          </cell>
          <cell r="H193">
            <v>46000</v>
          </cell>
        </row>
        <row r="194">
          <cell r="A194">
            <v>1380</v>
          </cell>
          <cell r="B194" t="str">
            <v>Singlehurst</v>
          </cell>
          <cell r="C194" t="str">
            <v>Julie</v>
          </cell>
          <cell r="D194" t="str">
            <v>First Claim</v>
          </cell>
          <cell r="E194" t="b">
            <v>1</v>
          </cell>
          <cell r="F194" t="str">
            <v>Veteran</v>
          </cell>
          <cell r="G194">
            <v>7</v>
          </cell>
          <cell r="H194">
            <v>46000</v>
          </cell>
        </row>
        <row r="195">
          <cell r="A195">
            <v>1242</v>
          </cell>
          <cell r="B195" t="str">
            <v>Sirett</v>
          </cell>
          <cell r="C195" t="str">
            <v>Mike</v>
          </cell>
          <cell r="D195" t="str">
            <v>First Claim</v>
          </cell>
          <cell r="E195" t="b">
            <v>0</v>
          </cell>
          <cell r="F195" t="str">
            <v>Veteran</v>
          </cell>
          <cell r="G195">
            <v>15</v>
          </cell>
          <cell r="H195">
            <v>46000</v>
          </cell>
        </row>
        <row r="196">
          <cell r="A196">
            <v>1048</v>
          </cell>
          <cell r="B196" t="str">
            <v>Smith</v>
          </cell>
          <cell r="C196" t="str">
            <v>Andy</v>
          </cell>
          <cell r="D196" t="str">
            <v>First Claim</v>
          </cell>
          <cell r="E196" t="b">
            <v>0</v>
          </cell>
          <cell r="F196" t="str">
            <v>Veteran</v>
          </cell>
          <cell r="G196">
            <v>16</v>
          </cell>
          <cell r="H196">
            <v>46000</v>
          </cell>
        </row>
        <row r="197">
          <cell r="A197">
            <v>1055</v>
          </cell>
          <cell r="B197" t="str">
            <v>Smith</v>
          </cell>
          <cell r="C197" t="str">
            <v>Austin</v>
          </cell>
          <cell r="D197" t="str">
            <v>First Claim</v>
          </cell>
          <cell r="E197" t="b">
            <v>0</v>
          </cell>
          <cell r="F197" t="str">
            <v>Veteran</v>
          </cell>
          <cell r="G197">
            <v>1</v>
          </cell>
          <cell r="H197">
            <v>46000</v>
          </cell>
        </row>
        <row r="198">
          <cell r="A198">
            <v>1095</v>
          </cell>
          <cell r="B198" t="str">
            <v>Smith</v>
          </cell>
          <cell r="C198" t="str">
            <v>Denis</v>
          </cell>
          <cell r="D198" t="str">
            <v>First Claim</v>
          </cell>
          <cell r="E198" t="b">
            <v>0</v>
          </cell>
          <cell r="F198" t="str">
            <v>Veteran</v>
          </cell>
          <cell r="G198">
            <v>33</v>
          </cell>
          <cell r="H198">
            <v>46000</v>
          </cell>
        </row>
        <row r="199">
          <cell r="A199">
            <v>820</v>
          </cell>
          <cell r="B199" t="str">
            <v>Smith</v>
          </cell>
          <cell r="C199" t="str">
            <v>Lucy</v>
          </cell>
          <cell r="D199" t="str">
            <v>First Claim</v>
          </cell>
          <cell r="E199" t="b">
            <v>1</v>
          </cell>
          <cell r="F199" t="str">
            <v>Veteran</v>
          </cell>
          <cell r="G199">
            <v>6</v>
          </cell>
          <cell r="H199">
            <v>46000</v>
          </cell>
        </row>
        <row r="200">
          <cell r="A200">
            <v>468</v>
          </cell>
          <cell r="B200" t="str">
            <v>Smith</v>
          </cell>
          <cell r="C200" t="str">
            <v>Mike</v>
          </cell>
          <cell r="D200" t="str">
            <v>First Claim</v>
          </cell>
          <cell r="E200" t="b">
            <v>0</v>
          </cell>
          <cell r="F200" t="str">
            <v>Veteran</v>
          </cell>
          <cell r="G200">
            <v>4</v>
          </cell>
          <cell r="H200">
            <v>46000</v>
          </cell>
        </row>
        <row r="201">
          <cell r="A201">
            <v>687</v>
          </cell>
          <cell r="B201" t="str">
            <v>Smith</v>
          </cell>
          <cell r="C201" t="str">
            <v>Timothy</v>
          </cell>
          <cell r="D201" t="str">
            <v>First Claim</v>
          </cell>
          <cell r="E201" t="b">
            <v>0</v>
          </cell>
          <cell r="F201" t="str">
            <v>Veteran</v>
          </cell>
          <cell r="G201">
            <v>7</v>
          </cell>
          <cell r="H201">
            <v>46000</v>
          </cell>
        </row>
        <row r="202">
          <cell r="A202">
            <v>1375</v>
          </cell>
          <cell r="B202" t="str">
            <v>Spencer</v>
          </cell>
          <cell r="C202" t="str">
            <v>Tom</v>
          </cell>
          <cell r="D202" t="str">
            <v>First Claim</v>
          </cell>
          <cell r="E202" t="b">
            <v>0</v>
          </cell>
          <cell r="F202" t="str">
            <v>Senior</v>
          </cell>
          <cell r="H202">
            <v>46000</v>
          </cell>
        </row>
        <row r="203">
          <cell r="A203">
            <v>1382</v>
          </cell>
          <cell r="B203" t="str">
            <v>Stevens</v>
          </cell>
          <cell r="C203" t="str">
            <v>Stan</v>
          </cell>
          <cell r="D203" t="str">
            <v>First Claim</v>
          </cell>
          <cell r="E203" t="b">
            <v>0</v>
          </cell>
          <cell r="F203" t="str">
            <v>Senior</v>
          </cell>
          <cell r="H203">
            <v>46000</v>
          </cell>
        </row>
        <row r="204">
          <cell r="A204">
            <v>1161</v>
          </cell>
          <cell r="B204" t="str">
            <v>Suchocki</v>
          </cell>
          <cell r="C204" t="str">
            <v>Maciej</v>
          </cell>
          <cell r="D204" t="str">
            <v>First Claim</v>
          </cell>
          <cell r="E204" t="b">
            <v>0</v>
          </cell>
          <cell r="F204" t="str">
            <v>Senior</v>
          </cell>
          <cell r="H204">
            <v>46000</v>
          </cell>
        </row>
        <row r="205">
          <cell r="A205">
            <v>890</v>
          </cell>
          <cell r="B205" t="str">
            <v>Summerlin</v>
          </cell>
          <cell r="C205" t="str">
            <v>Rowland</v>
          </cell>
          <cell r="D205" t="str">
            <v>Second Claim</v>
          </cell>
          <cell r="E205" t="b">
            <v>0</v>
          </cell>
          <cell r="F205" t="str">
            <v>Veteran</v>
          </cell>
          <cell r="G205">
            <v>23</v>
          </cell>
          <cell r="H205">
            <v>46000</v>
          </cell>
        </row>
        <row r="206">
          <cell r="A206">
            <v>1238</v>
          </cell>
          <cell r="B206" t="str">
            <v>Sweet</v>
          </cell>
          <cell r="C206" t="str">
            <v>Caitlin</v>
          </cell>
          <cell r="D206" t="str">
            <v>First Claim</v>
          </cell>
          <cell r="E206" t="b">
            <v>1</v>
          </cell>
          <cell r="F206" t="str">
            <v>Senior</v>
          </cell>
          <cell r="H206">
            <v>46000</v>
          </cell>
        </row>
        <row r="207">
          <cell r="A207">
            <v>780</v>
          </cell>
          <cell r="B207" t="str">
            <v>Sweetman</v>
          </cell>
          <cell r="C207" t="str">
            <v>David</v>
          </cell>
          <cell r="D207" t="str">
            <v>First Claim</v>
          </cell>
          <cell r="E207" t="b">
            <v>0</v>
          </cell>
          <cell r="F207" t="str">
            <v>Veteran</v>
          </cell>
          <cell r="G207">
            <v>6</v>
          </cell>
          <cell r="H207">
            <v>46000</v>
          </cell>
        </row>
        <row r="208">
          <cell r="A208">
            <v>1166</v>
          </cell>
          <cell r="B208" t="str">
            <v>Tarelli</v>
          </cell>
          <cell r="C208" t="str">
            <v>Ed</v>
          </cell>
          <cell r="D208" t="str">
            <v>Second Claim</v>
          </cell>
          <cell r="E208" t="b">
            <v>0</v>
          </cell>
          <cell r="F208" t="str">
            <v>Veteran</v>
          </cell>
          <cell r="G208">
            <v>5</v>
          </cell>
          <cell r="H208">
            <v>46000</v>
          </cell>
        </row>
        <row r="209">
          <cell r="A209">
            <v>45</v>
          </cell>
          <cell r="B209" t="str">
            <v>Taylor</v>
          </cell>
          <cell r="C209" t="str">
            <v>Ray</v>
          </cell>
          <cell r="D209" t="str">
            <v>First Claim</v>
          </cell>
          <cell r="E209" t="b">
            <v>0</v>
          </cell>
          <cell r="F209" t="str">
            <v>Veteran</v>
          </cell>
          <cell r="G209">
            <v>20</v>
          </cell>
          <cell r="H209">
            <v>46000</v>
          </cell>
        </row>
        <row r="210">
          <cell r="A210">
            <v>1160</v>
          </cell>
          <cell r="B210" t="str">
            <v>Thomas</v>
          </cell>
          <cell r="C210" t="str">
            <v>Rhys</v>
          </cell>
          <cell r="D210" t="str">
            <v>First Claim</v>
          </cell>
          <cell r="E210" t="b">
            <v>0</v>
          </cell>
          <cell r="F210" t="str">
            <v>Senior</v>
          </cell>
          <cell r="H210">
            <v>46000</v>
          </cell>
        </row>
        <row r="211">
          <cell r="A211">
            <v>1341</v>
          </cell>
          <cell r="B211" t="str">
            <v>Thompson</v>
          </cell>
          <cell r="C211" t="str">
            <v>Mark</v>
          </cell>
          <cell r="D211" t="str">
            <v>First Claim</v>
          </cell>
          <cell r="E211" t="b">
            <v>0</v>
          </cell>
          <cell r="F211" t="str">
            <v>Senior</v>
          </cell>
          <cell r="H211">
            <v>46000</v>
          </cell>
        </row>
        <row r="212">
          <cell r="A212">
            <v>945</v>
          </cell>
          <cell r="B212" t="str">
            <v>Timmins</v>
          </cell>
          <cell r="C212" t="str">
            <v>George</v>
          </cell>
          <cell r="D212" t="str">
            <v>First Claim</v>
          </cell>
          <cell r="E212" t="b">
            <v>0</v>
          </cell>
          <cell r="F212" t="str">
            <v>Senior</v>
          </cell>
          <cell r="H212">
            <v>46000</v>
          </cell>
        </row>
        <row r="213">
          <cell r="A213">
            <v>813</v>
          </cell>
          <cell r="B213" t="str">
            <v>Timmins</v>
          </cell>
          <cell r="C213" t="str">
            <v>Dawn</v>
          </cell>
          <cell r="D213" t="str">
            <v>First Claim</v>
          </cell>
          <cell r="E213" t="b">
            <v>1</v>
          </cell>
          <cell r="F213" t="str">
            <v>Veteran</v>
          </cell>
          <cell r="G213">
            <v>7</v>
          </cell>
          <cell r="H213">
            <v>46000</v>
          </cell>
        </row>
        <row r="214">
          <cell r="A214">
            <v>812</v>
          </cell>
          <cell r="B214" t="str">
            <v>Timmins</v>
          </cell>
          <cell r="C214" t="str">
            <v>Gavin</v>
          </cell>
          <cell r="D214" t="str">
            <v>First Claim</v>
          </cell>
          <cell r="E214" t="b">
            <v>0</v>
          </cell>
          <cell r="F214" t="str">
            <v>Veteran</v>
          </cell>
          <cell r="G214">
            <v>9</v>
          </cell>
          <cell r="H214">
            <v>46000</v>
          </cell>
        </row>
        <row r="215">
          <cell r="A215">
            <v>1129</v>
          </cell>
          <cell r="B215" t="str">
            <v>Tincello</v>
          </cell>
          <cell r="C215" t="str">
            <v>Doug</v>
          </cell>
          <cell r="D215" t="str">
            <v>First Claim</v>
          </cell>
          <cell r="E215" t="b">
            <v>0</v>
          </cell>
          <cell r="F215" t="str">
            <v>Veteran</v>
          </cell>
          <cell r="G215">
            <v>12</v>
          </cell>
          <cell r="H215">
            <v>46000</v>
          </cell>
        </row>
        <row r="216">
          <cell r="A216">
            <v>808</v>
          </cell>
          <cell r="B216" t="str">
            <v>Traynor</v>
          </cell>
          <cell r="C216" t="str">
            <v>Nicola</v>
          </cell>
          <cell r="D216" t="str">
            <v>First Claim</v>
          </cell>
          <cell r="E216" t="b">
            <v>1</v>
          </cell>
          <cell r="F216" t="str">
            <v>Veteran</v>
          </cell>
          <cell r="G216">
            <v>5</v>
          </cell>
          <cell r="H216">
            <v>46000</v>
          </cell>
        </row>
        <row r="217">
          <cell r="A217">
            <v>1290</v>
          </cell>
          <cell r="B217" t="str">
            <v>Tucker</v>
          </cell>
          <cell r="C217" t="str">
            <v>Scott</v>
          </cell>
          <cell r="D217" t="str">
            <v>First Claim</v>
          </cell>
          <cell r="E217" t="b">
            <v>0</v>
          </cell>
          <cell r="F217" t="str">
            <v>Senior</v>
          </cell>
          <cell r="H217">
            <v>46000</v>
          </cell>
        </row>
        <row r="218">
          <cell r="A218">
            <v>1209</v>
          </cell>
          <cell r="B218" t="str">
            <v>Turner</v>
          </cell>
          <cell r="C218" t="str">
            <v>Paul</v>
          </cell>
          <cell r="D218" t="str">
            <v>Second Claim</v>
          </cell>
          <cell r="E218" t="b">
            <v>0</v>
          </cell>
          <cell r="F218" t="str">
            <v>Veteran</v>
          </cell>
          <cell r="G218">
            <v>12</v>
          </cell>
          <cell r="H218">
            <v>46000</v>
          </cell>
        </row>
        <row r="219">
          <cell r="A219">
            <v>1356</v>
          </cell>
          <cell r="B219" t="str">
            <v>Vaal</v>
          </cell>
          <cell r="C219" t="str">
            <v>Michiel</v>
          </cell>
          <cell r="D219" t="str">
            <v>Second Claim</v>
          </cell>
          <cell r="E219" t="b">
            <v>0</v>
          </cell>
          <cell r="F219" t="str">
            <v>Veteran</v>
          </cell>
          <cell r="G219">
            <v>15</v>
          </cell>
          <cell r="H219">
            <v>46000</v>
          </cell>
        </row>
        <row r="220">
          <cell r="A220">
            <v>860</v>
          </cell>
          <cell r="B220" t="str">
            <v>van Nierop</v>
          </cell>
          <cell r="C220" t="str">
            <v>Millie</v>
          </cell>
          <cell r="D220" t="str">
            <v>First Claim</v>
          </cell>
          <cell r="E220" t="b">
            <v>1</v>
          </cell>
          <cell r="F220" t="str">
            <v>Senior</v>
          </cell>
          <cell r="H220">
            <v>46000</v>
          </cell>
        </row>
        <row r="221">
          <cell r="A221">
            <v>756</v>
          </cell>
          <cell r="B221" t="str">
            <v>van Nierop</v>
          </cell>
          <cell r="C221" t="str">
            <v>Josh</v>
          </cell>
          <cell r="D221" t="str">
            <v>First Claim</v>
          </cell>
          <cell r="E221" t="b">
            <v>0</v>
          </cell>
          <cell r="F221" t="str">
            <v>Senior</v>
          </cell>
          <cell r="H221">
            <v>46000</v>
          </cell>
        </row>
        <row r="222">
          <cell r="A222">
            <v>407</v>
          </cell>
          <cell r="B222" t="str">
            <v>van Nierop</v>
          </cell>
          <cell r="C222" t="str">
            <v>Hans</v>
          </cell>
          <cell r="D222" t="str">
            <v>First Claim</v>
          </cell>
          <cell r="E222" t="b">
            <v>0</v>
          </cell>
          <cell r="F222" t="str">
            <v>Veteran</v>
          </cell>
          <cell r="G222">
            <v>5</v>
          </cell>
          <cell r="H222">
            <v>46000</v>
          </cell>
        </row>
        <row r="223">
          <cell r="A223">
            <v>1312</v>
          </cell>
          <cell r="B223" t="str">
            <v>Waddington</v>
          </cell>
          <cell r="C223" t="str">
            <v>Judith</v>
          </cell>
          <cell r="D223" t="str">
            <v>First Claim</v>
          </cell>
          <cell r="E223" t="b">
            <v>1</v>
          </cell>
          <cell r="F223" t="str">
            <v>Veteran</v>
          </cell>
          <cell r="G223">
            <v>35</v>
          </cell>
          <cell r="H223">
            <v>46000</v>
          </cell>
        </row>
        <row r="224">
          <cell r="A224">
            <v>935</v>
          </cell>
          <cell r="B224" t="str">
            <v>Ward</v>
          </cell>
          <cell r="C224" t="str">
            <v>Sophie</v>
          </cell>
          <cell r="D224" t="str">
            <v>First Claim</v>
          </cell>
          <cell r="E224" t="b">
            <v>1</v>
          </cell>
          <cell r="F224" t="str">
            <v>Senior</v>
          </cell>
          <cell r="H224">
            <v>46000</v>
          </cell>
        </row>
        <row r="225">
          <cell r="A225">
            <v>999</v>
          </cell>
          <cell r="B225" t="str">
            <v>Ward</v>
          </cell>
          <cell r="C225" t="str">
            <v>Abigail</v>
          </cell>
          <cell r="D225" t="str">
            <v>First Claim</v>
          </cell>
          <cell r="E225" t="b">
            <v>1</v>
          </cell>
          <cell r="F225" t="str">
            <v>Senior</v>
          </cell>
          <cell r="H225">
            <v>46000</v>
          </cell>
        </row>
        <row r="226">
          <cell r="A226">
            <v>998</v>
          </cell>
          <cell r="B226" t="str">
            <v>Ward</v>
          </cell>
          <cell r="C226" t="str">
            <v>Debbie</v>
          </cell>
          <cell r="D226" t="str">
            <v>First Claim</v>
          </cell>
          <cell r="E226" t="b">
            <v>1</v>
          </cell>
          <cell r="F226" t="str">
            <v>Veteran</v>
          </cell>
          <cell r="G226">
            <v>5</v>
          </cell>
          <cell r="H226">
            <v>46000</v>
          </cell>
        </row>
        <row r="227">
          <cell r="A227">
            <v>616</v>
          </cell>
          <cell r="B227" t="str">
            <v>Ward</v>
          </cell>
          <cell r="C227" t="str">
            <v>Simon</v>
          </cell>
          <cell r="D227" t="str">
            <v>First Claim</v>
          </cell>
          <cell r="E227" t="b">
            <v>0</v>
          </cell>
          <cell r="F227" t="str">
            <v>Veteran</v>
          </cell>
          <cell r="G227">
            <v>7</v>
          </cell>
          <cell r="H227">
            <v>46000</v>
          </cell>
        </row>
        <row r="228">
          <cell r="A228">
            <v>1111</v>
          </cell>
          <cell r="B228" t="str">
            <v>Ward</v>
          </cell>
          <cell r="C228" t="str">
            <v>Kathryn</v>
          </cell>
          <cell r="D228" t="str">
            <v>First Claim</v>
          </cell>
          <cell r="E228" t="b">
            <v>1</v>
          </cell>
          <cell r="F228" t="str">
            <v>Veteran</v>
          </cell>
          <cell r="G228">
            <v>4</v>
          </cell>
          <cell r="H228">
            <v>46000</v>
          </cell>
        </row>
        <row r="229">
          <cell r="A229">
            <v>1120</v>
          </cell>
          <cell r="B229" t="str">
            <v>Watson</v>
          </cell>
          <cell r="C229" t="str">
            <v>Nina</v>
          </cell>
          <cell r="D229" t="str">
            <v>First Claim</v>
          </cell>
          <cell r="E229" t="b">
            <v>1</v>
          </cell>
          <cell r="F229" t="str">
            <v>Veteran</v>
          </cell>
          <cell r="G229">
            <v>3</v>
          </cell>
          <cell r="H229">
            <v>46000</v>
          </cell>
        </row>
        <row r="230">
          <cell r="A230">
            <v>558</v>
          </cell>
          <cell r="B230" t="str">
            <v>Weatherby</v>
          </cell>
          <cell r="C230" t="str">
            <v>Andrew</v>
          </cell>
          <cell r="D230" t="str">
            <v>First Claim</v>
          </cell>
          <cell r="E230" t="b">
            <v>0</v>
          </cell>
          <cell r="F230" t="str">
            <v>Veteran</v>
          </cell>
          <cell r="G230">
            <v>15</v>
          </cell>
          <cell r="H230">
            <v>46000</v>
          </cell>
        </row>
        <row r="231">
          <cell r="A231">
            <v>991</v>
          </cell>
          <cell r="B231" t="str">
            <v>Webber</v>
          </cell>
          <cell r="C231" t="str">
            <v>Eleanor</v>
          </cell>
          <cell r="D231" t="str">
            <v>First Claim</v>
          </cell>
          <cell r="E231" t="b">
            <v>1</v>
          </cell>
          <cell r="F231" t="str">
            <v>Juvenile</v>
          </cell>
          <cell r="H231">
            <v>46000</v>
          </cell>
        </row>
        <row r="232">
          <cell r="A232">
            <v>707</v>
          </cell>
          <cell r="B232" t="str">
            <v>Webster</v>
          </cell>
          <cell r="C232" t="str">
            <v>Martin</v>
          </cell>
          <cell r="D232" t="str">
            <v>First Claim</v>
          </cell>
          <cell r="E232" t="b">
            <v>0</v>
          </cell>
          <cell r="F232" t="str">
            <v>Veteran</v>
          </cell>
          <cell r="G232">
            <v>13</v>
          </cell>
          <cell r="H232">
            <v>46000</v>
          </cell>
        </row>
        <row r="233">
          <cell r="A233">
            <v>359</v>
          </cell>
          <cell r="B233" t="str">
            <v>Welsford</v>
          </cell>
          <cell r="C233" t="str">
            <v>John</v>
          </cell>
          <cell r="D233" t="str">
            <v>First Claim</v>
          </cell>
          <cell r="E233" t="b">
            <v>0</v>
          </cell>
          <cell r="F233" t="str">
            <v>Veteran</v>
          </cell>
          <cell r="G233">
            <v>24</v>
          </cell>
          <cell r="H233">
            <v>46000</v>
          </cell>
        </row>
        <row r="234">
          <cell r="A234">
            <v>1310</v>
          </cell>
          <cell r="B234" t="str">
            <v>Weston</v>
          </cell>
          <cell r="C234" t="str">
            <v>Thomas</v>
          </cell>
          <cell r="D234" t="str">
            <v>First Claim</v>
          </cell>
          <cell r="E234" t="b">
            <v>0</v>
          </cell>
          <cell r="F234" t="str">
            <v>Senior</v>
          </cell>
          <cell r="H234">
            <v>46000</v>
          </cell>
        </row>
        <row r="235">
          <cell r="A235">
            <v>1378</v>
          </cell>
          <cell r="B235" t="str">
            <v>Whitaker</v>
          </cell>
          <cell r="C235" t="str">
            <v>Benjamin</v>
          </cell>
          <cell r="D235" t="str">
            <v>First Claim</v>
          </cell>
          <cell r="E235" t="b">
            <v>0</v>
          </cell>
          <cell r="F235" t="str">
            <v>Senior</v>
          </cell>
          <cell r="H235">
            <v>46000</v>
          </cell>
        </row>
        <row r="236">
          <cell r="A236">
            <v>1254</v>
          </cell>
          <cell r="B236" t="str">
            <v>White</v>
          </cell>
          <cell r="C236" t="str">
            <v>Paul</v>
          </cell>
          <cell r="D236" t="str">
            <v>First Claim</v>
          </cell>
          <cell r="E236" t="b">
            <v>0</v>
          </cell>
          <cell r="F236" t="str">
            <v>Veteran</v>
          </cell>
          <cell r="G236">
            <v>21</v>
          </cell>
          <cell r="H236">
            <v>46000</v>
          </cell>
        </row>
        <row r="237">
          <cell r="A237">
            <v>1369</v>
          </cell>
          <cell r="B237" t="str">
            <v>Wilkinson</v>
          </cell>
          <cell r="C237" t="str">
            <v>Noah</v>
          </cell>
          <cell r="D237" t="str">
            <v>First Claim</v>
          </cell>
          <cell r="E237" t="b">
            <v>0</v>
          </cell>
          <cell r="F237" t="str">
            <v>Juvenile</v>
          </cell>
          <cell r="H237">
            <v>46000</v>
          </cell>
        </row>
        <row r="238">
          <cell r="A238">
            <v>1200</v>
          </cell>
          <cell r="B238" t="str">
            <v>Wilks</v>
          </cell>
          <cell r="C238" t="str">
            <v>Jules</v>
          </cell>
          <cell r="D238" t="str">
            <v>First Claim</v>
          </cell>
          <cell r="E238" t="b">
            <v>0</v>
          </cell>
          <cell r="F238" t="str">
            <v>Veteran</v>
          </cell>
          <cell r="G238">
            <v>6</v>
          </cell>
          <cell r="H238">
            <v>46000</v>
          </cell>
        </row>
        <row r="239">
          <cell r="A239">
            <v>1376</v>
          </cell>
          <cell r="B239" t="str">
            <v>Will</v>
          </cell>
          <cell r="C239" t="str">
            <v>Sally</v>
          </cell>
          <cell r="D239" t="str">
            <v>First Claim</v>
          </cell>
          <cell r="E239" t="b">
            <v>1</v>
          </cell>
          <cell r="F239" t="str">
            <v>Senior</v>
          </cell>
          <cell r="H239">
            <v>46000</v>
          </cell>
        </row>
        <row r="240">
          <cell r="A240">
            <v>1140</v>
          </cell>
          <cell r="B240" t="str">
            <v>Willett</v>
          </cell>
          <cell r="C240" t="str">
            <v>Kevin</v>
          </cell>
          <cell r="D240" t="str">
            <v>First Claim</v>
          </cell>
          <cell r="E240" t="b">
            <v>0</v>
          </cell>
          <cell r="F240" t="str">
            <v>Senior</v>
          </cell>
          <cell r="H240">
            <v>46000</v>
          </cell>
        </row>
        <row r="241">
          <cell r="A241">
            <v>989</v>
          </cell>
          <cell r="B241" t="str">
            <v>Williams</v>
          </cell>
          <cell r="C241" t="str">
            <v>Jason</v>
          </cell>
          <cell r="D241" t="str">
            <v>First Claim</v>
          </cell>
          <cell r="E241" t="b">
            <v>0</v>
          </cell>
          <cell r="F241" t="str">
            <v>Veteran</v>
          </cell>
          <cell r="G241">
            <v>3</v>
          </cell>
          <cell r="H241">
            <v>46000</v>
          </cell>
        </row>
        <row r="242">
          <cell r="A242">
            <v>1354</v>
          </cell>
          <cell r="B242" t="str">
            <v>Wilson</v>
          </cell>
          <cell r="C242" t="str">
            <v>Ashley</v>
          </cell>
          <cell r="D242" t="str">
            <v>First Claim</v>
          </cell>
          <cell r="E242" t="b">
            <v>0</v>
          </cell>
          <cell r="F242" t="str">
            <v>Senior</v>
          </cell>
          <cell r="H242">
            <v>46000</v>
          </cell>
        </row>
        <row r="243">
          <cell r="A243">
            <v>875</v>
          </cell>
          <cell r="B243" t="str">
            <v>Wilson</v>
          </cell>
          <cell r="C243" t="str">
            <v>Huw</v>
          </cell>
          <cell r="D243" t="str">
            <v>First Claim</v>
          </cell>
          <cell r="E243" t="b">
            <v>0</v>
          </cell>
          <cell r="F243" t="str">
            <v>Senior</v>
          </cell>
          <cell r="H243">
            <v>46000</v>
          </cell>
        </row>
        <row r="244">
          <cell r="A244">
            <v>62</v>
          </cell>
          <cell r="B244" t="str">
            <v>Wilson</v>
          </cell>
          <cell r="C244" t="str">
            <v>David</v>
          </cell>
          <cell r="D244" t="str">
            <v>First Claim</v>
          </cell>
          <cell r="E244" t="b">
            <v>0</v>
          </cell>
          <cell r="F244" t="str">
            <v>Veteran</v>
          </cell>
          <cell r="G244">
            <v>4</v>
          </cell>
          <cell r="H244">
            <v>46000</v>
          </cell>
        </row>
        <row r="245">
          <cell r="A245">
            <v>930</v>
          </cell>
          <cell r="B245" t="str">
            <v>Wintersgill</v>
          </cell>
          <cell r="C245" t="str">
            <v>Catherine</v>
          </cell>
          <cell r="D245" t="str">
            <v>First Claim</v>
          </cell>
          <cell r="E245" t="b">
            <v>1</v>
          </cell>
          <cell r="F245" t="str">
            <v>Veteran</v>
          </cell>
          <cell r="G245">
            <v>6</v>
          </cell>
          <cell r="H245">
            <v>46000</v>
          </cell>
        </row>
        <row r="246">
          <cell r="A246">
            <v>52</v>
          </cell>
          <cell r="B246" t="str">
            <v>Wise</v>
          </cell>
          <cell r="C246" t="str">
            <v>Will</v>
          </cell>
          <cell r="D246" t="str">
            <v>First Claim</v>
          </cell>
          <cell r="E246" t="b">
            <v>0</v>
          </cell>
          <cell r="F246" t="str">
            <v>Senior</v>
          </cell>
          <cell r="H246">
            <v>46000</v>
          </cell>
        </row>
        <row r="247">
          <cell r="A247">
            <v>744</v>
          </cell>
          <cell r="B247" t="str">
            <v>Woodford</v>
          </cell>
          <cell r="C247" t="str">
            <v>Robert</v>
          </cell>
          <cell r="D247" t="str">
            <v>First Claim</v>
          </cell>
          <cell r="E247" t="b">
            <v>0</v>
          </cell>
          <cell r="F247" t="str">
            <v>Veteran</v>
          </cell>
          <cell r="G247">
            <v>28</v>
          </cell>
          <cell r="H247">
            <v>46000</v>
          </cell>
        </row>
        <row r="248">
          <cell r="A248">
            <v>337</v>
          </cell>
          <cell r="B248" t="str">
            <v>Yarnold</v>
          </cell>
          <cell r="C248" t="str">
            <v>Linda</v>
          </cell>
          <cell r="D248" t="str">
            <v>First Claim</v>
          </cell>
          <cell r="E248" t="b">
            <v>1</v>
          </cell>
          <cell r="F248" t="str">
            <v>Veteran</v>
          </cell>
          <cell r="G248">
            <v>21</v>
          </cell>
          <cell r="H248">
            <v>46000</v>
          </cell>
        </row>
        <row r="249">
          <cell r="A249">
            <v>1371</v>
          </cell>
          <cell r="B249" t="str">
            <v>Yeomans</v>
          </cell>
          <cell r="C249" t="str">
            <v>James</v>
          </cell>
          <cell r="D249" t="str">
            <v>First Claim</v>
          </cell>
          <cell r="E249" t="b">
            <v>0</v>
          </cell>
          <cell r="F249" t="str">
            <v>Senior</v>
          </cell>
          <cell r="H249">
            <v>46000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tabSelected="1"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157</v>
      </c>
    </row>
    <row r="3" spans="1:3" x14ac:dyDescent="0.35">
      <c r="C3" t="s">
        <v>158</v>
      </c>
    </row>
    <row r="4" spans="1:3" x14ac:dyDescent="0.35">
      <c r="C4" t="s">
        <v>159</v>
      </c>
    </row>
    <row r="5" spans="1:3" x14ac:dyDescent="0.35">
      <c r="C5" t="s">
        <v>160</v>
      </c>
    </row>
    <row r="6" spans="1:3" x14ac:dyDescent="0.35">
      <c r="C6" t="s">
        <v>161</v>
      </c>
    </row>
    <row r="7" spans="1:3" x14ac:dyDescent="0.35">
      <c r="A7" s="1">
        <v>45954</v>
      </c>
      <c r="B7" s="1" t="s">
        <v>0</v>
      </c>
      <c r="C7" t="s">
        <v>451</v>
      </c>
    </row>
    <row r="8" spans="1:3" x14ac:dyDescent="0.35">
      <c r="A8" s="1">
        <v>46026</v>
      </c>
      <c r="B8" s="1" t="s">
        <v>0</v>
      </c>
      <c r="C8" t="s">
        <v>485</v>
      </c>
    </row>
    <row r="9" spans="1:3" x14ac:dyDescent="0.35">
      <c r="C9" t="s">
        <v>486</v>
      </c>
    </row>
    <row r="10" spans="1:3" x14ac:dyDescent="0.35">
      <c r="A10" s="1">
        <v>46046</v>
      </c>
      <c r="B10" s="1" t="s">
        <v>0</v>
      </c>
      <c r="C10" t="s">
        <v>489</v>
      </c>
    </row>
    <row r="11" spans="1:3" x14ac:dyDescent="0.35">
      <c r="C11" s="46" t="s">
        <v>490</v>
      </c>
    </row>
    <row r="12" spans="1:3" x14ac:dyDescent="0.35">
      <c r="C12" t="s">
        <v>491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170</v>
      </c>
      <c r="B1" t="s">
        <v>26</v>
      </c>
      <c r="C1" t="s">
        <v>171</v>
      </c>
      <c r="D1" t="s">
        <v>169</v>
      </c>
      <c r="E1" t="s">
        <v>168</v>
      </c>
      <c r="F1" t="s">
        <v>469</v>
      </c>
      <c r="G1" t="s">
        <v>470</v>
      </c>
      <c r="H1" t="s">
        <v>412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471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472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471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472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471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471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471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471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472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472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167</v>
      </c>
      <c r="D12" t="s">
        <v>38</v>
      </c>
      <c r="E12" t="b">
        <v>0</v>
      </c>
      <c r="F12" t="s">
        <v>472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471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471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473</v>
      </c>
      <c r="H15" s="1">
        <v>46000</v>
      </c>
      <c r="J15" s="1"/>
    </row>
    <row r="16" spans="1:10" x14ac:dyDescent="0.35">
      <c r="A16">
        <v>1328</v>
      </c>
      <c r="B16" t="s">
        <v>166</v>
      </c>
      <c r="C16" t="s">
        <v>52</v>
      </c>
      <c r="D16" t="s">
        <v>38</v>
      </c>
      <c r="E16" t="b">
        <v>0</v>
      </c>
      <c r="F16" t="s">
        <v>471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471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471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471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471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164</v>
      </c>
      <c r="E21" t="b">
        <v>1</v>
      </c>
      <c r="F21" t="s">
        <v>472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473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471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165</v>
      </c>
      <c r="C24" t="s">
        <v>65</v>
      </c>
      <c r="D24" t="s">
        <v>38</v>
      </c>
      <c r="E24" t="b">
        <v>0</v>
      </c>
      <c r="F24" t="s">
        <v>471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472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471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471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471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471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471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471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471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471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473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473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164</v>
      </c>
      <c r="E36" t="b">
        <v>0</v>
      </c>
      <c r="F36" t="s">
        <v>472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471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163</v>
      </c>
      <c r="C38" t="s">
        <v>162</v>
      </c>
      <c r="D38" t="s">
        <v>38</v>
      </c>
      <c r="E38" t="b">
        <v>0</v>
      </c>
      <c r="F38" t="s">
        <v>472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471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471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471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471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471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174</v>
      </c>
      <c r="D44" t="s">
        <v>38</v>
      </c>
      <c r="E44" t="b">
        <v>0</v>
      </c>
      <c r="F44" t="s">
        <v>471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175</v>
      </c>
      <c r="C45" t="s">
        <v>176</v>
      </c>
      <c r="D45" t="s">
        <v>164</v>
      </c>
      <c r="E45" t="b">
        <v>1</v>
      </c>
      <c r="F45" t="s">
        <v>471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177</v>
      </c>
      <c r="C46" t="s">
        <v>178</v>
      </c>
      <c r="D46" t="s">
        <v>38</v>
      </c>
      <c r="E46" t="b">
        <v>0</v>
      </c>
      <c r="F46" t="s">
        <v>473</v>
      </c>
      <c r="H46" s="1">
        <v>46000</v>
      </c>
      <c r="J46" s="1"/>
    </row>
    <row r="47" spans="1:10" x14ac:dyDescent="0.35">
      <c r="A47">
        <v>1061</v>
      </c>
      <c r="B47" t="s">
        <v>179</v>
      </c>
      <c r="C47" t="s">
        <v>180</v>
      </c>
      <c r="D47" t="s">
        <v>38</v>
      </c>
      <c r="E47" t="b">
        <v>0</v>
      </c>
      <c r="F47" t="s">
        <v>471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181</v>
      </c>
      <c r="C48" t="s">
        <v>65</v>
      </c>
      <c r="D48" t="s">
        <v>38</v>
      </c>
      <c r="E48" t="b">
        <v>0</v>
      </c>
      <c r="F48" t="s">
        <v>471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182</v>
      </c>
      <c r="C49" t="s">
        <v>183</v>
      </c>
      <c r="D49" t="s">
        <v>38</v>
      </c>
      <c r="E49" t="b">
        <v>1</v>
      </c>
      <c r="F49" t="s">
        <v>471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184</v>
      </c>
      <c r="C50" t="s">
        <v>185</v>
      </c>
      <c r="D50" t="s">
        <v>38</v>
      </c>
      <c r="E50" t="b">
        <v>0</v>
      </c>
      <c r="F50" t="s">
        <v>471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186</v>
      </c>
      <c r="C51" t="s">
        <v>187</v>
      </c>
      <c r="D51" t="s">
        <v>38</v>
      </c>
      <c r="E51" t="b">
        <v>0</v>
      </c>
      <c r="F51" t="s">
        <v>471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188</v>
      </c>
      <c r="C52" t="s">
        <v>189</v>
      </c>
      <c r="D52" t="s">
        <v>38</v>
      </c>
      <c r="E52" t="b">
        <v>1</v>
      </c>
      <c r="F52" t="s">
        <v>472</v>
      </c>
      <c r="H52" s="1">
        <v>46000</v>
      </c>
      <c r="J52" s="1"/>
    </row>
    <row r="53" spans="1:10" x14ac:dyDescent="0.35">
      <c r="A53">
        <v>704</v>
      </c>
      <c r="B53" t="s">
        <v>190</v>
      </c>
      <c r="C53" t="s">
        <v>44</v>
      </c>
      <c r="D53" t="s">
        <v>38</v>
      </c>
      <c r="E53" t="b">
        <v>0</v>
      </c>
      <c r="F53" t="s">
        <v>471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191</v>
      </c>
      <c r="C54" t="s">
        <v>192</v>
      </c>
      <c r="D54" t="s">
        <v>38</v>
      </c>
      <c r="E54" t="b">
        <v>0</v>
      </c>
      <c r="F54" t="s">
        <v>471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193</v>
      </c>
      <c r="C55" t="s">
        <v>194</v>
      </c>
      <c r="D55" t="s">
        <v>38</v>
      </c>
      <c r="E55" t="b">
        <v>0</v>
      </c>
      <c r="F55" t="s">
        <v>471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195</v>
      </c>
      <c r="C56" t="s">
        <v>72</v>
      </c>
      <c r="D56" t="s">
        <v>38</v>
      </c>
      <c r="E56" t="b">
        <v>0</v>
      </c>
      <c r="F56" t="s">
        <v>472</v>
      </c>
      <c r="H56" s="1">
        <v>46000</v>
      </c>
      <c r="J56" s="1"/>
    </row>
    <row r="57" spans="1:10" x14ac:dyDescent="0.35">
      <c r="A57">
        <v>1226</v>
      </c>
      <c r="B57" t="s">
        <v>196</v>
      </c>
      <c r="C57" t="s">
        <v>197</v>
      </c>
      <c r="D57" t="s">
        <v>38</v>
      </c>
      <c r="E57" t="b">
        <v>1</v>
      </c>
      <c r="F57" t="s">
        <v>472</v>
      </c>
      <c r="H57" s="1">
        <v>46000</v>
      </c>
      <c r="J57" s="1"/>
    </row>
    <row r="58" spans="1:10" x14ac:dyDescent="0.35">
      <c r="A58">
        <v>1333</v>
      </c>
      <c r="B58" t="s">
        <v>198</v>
      </c>
      <c r="C58" t="s">
        <v>199</v>
      </c>
      <c r="D58" t="s">
        <v>38</v>
      </c>
      <c r="E58" t="b">
        <v>0</v>
      </c>
      <c r="F58" t="s">
        <v>471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200</v>
      </c>
      <c r="C59" t="s">
        <v>201</v>
      </c>
      <c r="D59" t="s">
        <v>38</v>
      </c>
      <c r="E59" t="b">
        <v>1</v>
      </c>
      <c r="F59" t="s">
        <v>473</v>
      </c>
      <c r="H59" s="1">
        <v>46000</v>
      </c>
      <c r="J59" s="1"/>
    </row>
    <row r="60" spans="1:10" x14ac:dyDescent="0.35">
      <c r="A60">
        <v>1065</v>
      </c>
      <c r="B60" t="s">
        <v>200</v>
      </c>
      <c r="C60" t="s">
        <v>49</v>
      </c>
      <c r="D60" t="s">
        <v>38</v>
      </c>
      <c r="E60" t="b">
        <v>0</v>
      </c>
      <c r="F60" t="s">
        <v>471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202</v>
      </c>
      <c r="C61" t="s">
        <v>199</v>
      </c>
      <c r="D61" t="s">
        <v>164</v>
      </c>
      <c r="E61" t="b">
        <v>0</v>
      </c>
      <c r="F61" t="s">
        <v>471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203</v>
      </c>
      <c r="C62" t="s">
        <v>204</v>
      </c>
      <c r="D62" t="s">
        <v>38</v>
      </c>
      <c r="E62" t="b">
        <v>0</v>
      </c>
      <c r="F62" t="s">
        <v>471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205</v>
      </c>
      <c r="C63" t="s">
        <v>45</v>
      </c>
      <c r="D63" t="s">
        <v>164</v>
      </c>
      <c r="E63" t="b">
        <v>0</v>
      </c>
      <c r="F63" t="s">
        <v>471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206</v>
      </c>
      <c r="C64" t="s">
        <v>207</v>
      </c>
      <c r="D64" t="s">
        <v>38</v>
      </c>
      <c r="E64" t="b">
        <v>0</v>
      </c>
      <c r="F64" t="s">
        <v>473</v>
      </c>
      <c r="H64" s="1">
        <v>46000</v>
      </c>
      <c r="J64" s="1"/>
    </row>
    <row r="65" spans="1:10" x14ac:dyDescent="0.35">
      <c r="A65">
        <v>1236</v>
      </c>
      <c r="B65" t="s">
        <v>206</v>
      </c>
      <c r="C65" t="s">
        <v>208</v>
      </c>
      <c r="D65" t="s">
        <v>38</v>
      </c>
      <c r="E65" t="b">
        <v>1</v>
      </c>
      <c r="F65" t="s">
        <v>471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206</v>
      </c>
      <c r="C66" t="s">
        <v>209</v>
      </c>
      <c r="D66" t="s">
        <v>38</v>
      </c>
      <c r="E66" t="b">
        <v>0</v>
      </c>
      <c r="F66" t="s">
        <v>471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210</v>
      </c>
      <c r="C67" t="s">
        <v>211</v>
      </c>
      <c r="D67" t="s">
        <v>164</v>
      </c>
      <c r="E67" t="b">
        <v>0</v>
      </c>
      <c r="F67" t="s">
        <v>471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212</v>
      </c>
      <c r="C68" t="s">
        <v>213</v>
      </c>
      <c r="D68" t="s">
        <v>38</v>
      </c>
      <c r="E68" t="b">
        <v>0</v>
      </c>
      <c r="F68" t="s">
        <v>472</v>
      </c>
      <c r="H68" s="1">
        <v>46000</v>
      </c>
      <c r="J68" s="1"/>
    </row>
    <row r="69" spans="1:10" x14ac:dyDescent="0.35">
      <c r="A69">
        <v>1332</v>
      </c>
      <c r="B69" t="s">
        <v>214</v>
      </c>
      <c r="C69" t="s">
        <v>215</v>
      </c>
      <c r="D69" t="s">
        <v>38</v>
      </c>
      <c r="E69" t="b">
        <v>1</v>
      </c>
      <c r="F69" t="s">
        <v>472</v>
      </c>
      <c r="H69" s="1">
        <v>46000</v>
      </c>
      <c r="J69" s="1"/>
    </row>
    <row r="70" spans="1:10" x14ac:dyDescent="0.35">
      <c r="A70">
        <v>1355</v>
      </c>
      <c r="B70" t="s">
        <v>216</v>
      </c>
      <c r="C70" t="s">
        <v>217</v>
      </c>
      <c r="D70" t="s">
        <v>38</v>
      </c>
      <c r="E70" t="b">
        <v>0</v>
      </c>
      <c r="F70" t="s">
        <v>473</v>
      </c>
      <c r="H70" s="1">
        <v>46000</v>
      </c>
      <c r="J70" s="1"/>
    </row>
    <row r="71" spans="1:10" x14ac:dyDescent="0.35">
      <c r="A71">
        <v>1164</v>
      </c>
      <c r="B71" t="s">
        <v>218</v>
      </c>
      <c r="C71" t="s">
        <v>219</v>
      </c>
      <c r="D71" t="s">
        <v>164</v>
      </c>
      <c r="E71" t="b">
        <v>1</v>
      </c>
      <c r="F71" t="s">
        <v>472</v>
      </c>
      <c r="H71" s="1">
        <v>46000</v>
      </c>
      <c r="J71" s="1"/>
    </row>
    <row r="72" spans="1:10" x14ac:dyDescent="0.35">
      <c r="A72">
        <v>1062</v>
      </c>
      <c r="B72" t="s">
        <v>218</v>
      </c>
      <c r="C72" t="s">
        <v>74</v>
      </c>
      <c r="D72" t="s">
        <v>38</v>
      </c>
      <c r="E72" t="b">
        <v>0</v>
      </c>
      <c r="F72" t="s">
        <v>471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218</v>
      </c>
      <c r="C73" t="s">
        <v>220</v>
      </c>
      <c r="D73" t="s">
        <v>38</v>
      </c>
      <c r="E73" t="b">
        <v>1</v>
      </c>
      <c r="F73" t="s">
        <v>471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221</v>
      </c>
      <c r="C74" t="s">
        <v>222</v>
      </c>
      <c r="D74" t="s">
        <v>38</v>
      </c>
      <c r="E74" t="b">
        <v>1</v>
      </c>
      <c r="F74" t="s">
        <v>471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223</v>
      </c>
      <c r="C75" t="s">
        <v>224</v>
      </c>
      <c r="D75" t="s">
        <v>38</v>
      </c>
      <c r="E75" t="b">
        <v>1</v>
      </c>
      <c r="F75" t="s">
        <v>471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225</v>
      </c>
      <c r="C76" t="s">
        <v>226</v>
      </c>
      <c r="D76" t="s">
        <v>38</v>
      </c>
      <c r="E76" t="b">
        <v>0</v>
      </c>
      <c r="F76" t="s">
        <v>471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227</v>
      </c>
      <c r="C77" t="s">
        <v>228</v>
      </c>
      <c r="D77" t="s">
        <v>38</v>
      </c>
      <c r="E77" t="b">
        <v>1</v>
      </c>
      <c r="F77" t="s">
        <v>472</v>
      </c>
      <c r="H77" s="1">
        <v>46000</v>
      </c>
      <c r="J77" s="1"/>
    </row>
    <row r="78" spans="1:10" x14ac:dyDescent="0.35">
      <c r="A78">
        <v>933</v>
      </c>
      <c r="B78" t="s">
        <v>229</v>
      </c>
      <c r="C78" t="s">
        <v>230</v>
      </c>
      <c r="D78" t="s">
        <v>38</v>
      </c>
      <c r="E78" t="b">
        <v>0</v>
      </c>
      <c r="F78" t="s">
        <v>472</v>
      </c>
      <c r="H78" s="1">
        <v>46000</v>
      </c>
      <c r="J78" s="1"/>
    </row>
    <row r="79" spans="1:10" x14ac:dyDescent="0.35">
      <c r="A79">
        <v>1317</v>
      </c>
      <c r="B79" t="s">
        <v>231</v>
      </c>
      <c r="C79" t="s">
        <v>187</v>
      </c>
      <c r="D79" t="s">
        <v>38</v>
      </c>
      <c r="E79" t="b">
        <v>0</v>
      </c>
      <c r="F79" t="s">
        <v>471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232</v>
      </c>
      <c r="C80" t="s">
        <v>57</v>
      </c>
      <c r="D80" t="s">
        <v>56</v>
      </c>
      <c r="E80" t="b">
        <v>0</v>
      </c>
      <c r="F80" t="s">
        <v>471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233</v>
      </c>
      <c r="C81" t="s">
        <v>234</v>
      </c>
      <c r="D81" t="s">
        <v>38</v>
      </c>
      <c r="E81" t="b">
        <v>1</v>
      </c>
      <c r="F81" t="s">
        <v>471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235</v>
      </c>
      <c r="C82" t="s">
        <v>236</v>
      </c>
      <c r="D82" t="s">
        <v>38</v>
      </c>
      <c r="E82" t="b">
        <v>0</v>
      </c>
      <c r="F82" t="s">
        <v>471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237</v>
      </c>
      <c r="C83" t="s">
        <v>238</v>
      </c>
      <c r="D83" t="s">
        <v>38</v>
      </c>
      <c r="E83" t="b">
        <v>0</v>
      </c>
      <c r="F83" t="s">
        <v>473</v>
      </c>
      <c r="H83" s="1">
        <v>46000</v>
      </c>
      <c r="J83" s="1"/>
    </row>
    <row r="84" spans="1:10" x14ac:dyDescent="0.35">
      <c r="A84">
        <v>1195</v>
      </c>
      <c r="B84" t="s">
        <v>237</v>
      </c>
      <c r="C84" t="s">
        <v>239</v>
      </c>
      <c r="D84" t="s">
        <v>38</v>
      </c>
      <c r="E84" t="b">
        <v>0</v>
      </c>
      <c r="F84" t="s">
        <v>473</v>
      </c>
      <c r="H84" s="1">
        <v>46000</v>
      </c>
      <c r="J84" s="1"/>
    </row>
    <row r="85" spans="1:10" x14ac:dyDescent="0.35">
      <c r="A85">
        <v>1193</v>
      </c>
      <c r="B85" t="s">
        <v>237</v>
      </c>
      <c r="C85" t="s">
        <v>240</v>
      </c>
      <c r="D85" t="s">
        <v>38</v>
      </c>
      <c r="E85" t="b">
        <v>0</v>
      </c>
      <c r="F85" t="s">
        <v>472</v>
      </c>
      <c r="H85" s="1">
        <v>46000</v>
      </c>
      <c r="J85" s="1"/>
    </row>
    <row r="86" spans="1:10" x14ac:dyDescent="0.35">
      <c r="A86">
        <v>1194</v>
      </c>
      <c r="B86" t="s">
        <v>237</v>
      </c>
      <c r="C86" t="s">
        <v>241</v>
      </c>
      <c r="D86" t="s">
        <v>38</v>
      </c>
      <c r="E86" t="b">
        <v>1</v>
      </c>
      <c r="F86" t="s">
        <v>472</v>
      </c>
      <c r="H86" s="1">
        <v>46000</v>
      </c>
      <c r="J86" s="1"/>
    </row>
    <row r="87" spans="1:10" x14ac:dyDescent="0.35">
      <c r="A87">
        <v>936</v>
      </c>
      <c r="B87" t="s">
        <v>242</v>
      </c>
      <c r="C87" t="s">
        <v>243</v>
      </c>
      <c r="D87" t="s">
        <v>38</v>
      </c>
      <c r="E87" t="b">
        <v>0</v>
      </c>
      <c r="F87" t="s">
        <v>471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244</v>
      </c>
      <c r="C88" t="s">
        <v>245</v>
      </c>
      <c r="D88" t="s">
        <v>38</v>
      </c>
      <c r="E88" t="b">
        <v>0</v>
      </c>
      <c r="F88" t="s">
        <v>471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244</v>
      </c>
      <c r="C89" t="s">
        <v>246</v>
      </c>
      <c r="D89" t="s">
        <v>38</v>
      </c>
      <c r="E89" t="b">
        <v>0</v>
      </c>
      <c r="F89" t="s">
        <v>473</v>
      </c>
      <c r="H89" s="1">
        <v>46000</v>
      </c>
      <c r="J89" s="1"/>
    </row>
    <row r="90" spans="1:10" x14ac:dyDescent="0.35">
      <c r="A90">
        <v>1174</v>
      </c>
      <c r="B90" t="s">
        <v>244</v>
      </c>
      <c r="C90" t="s">
        <v>247</v>
      </c>
      <c r="D90" t="s">
        <v>38</v>
      </c>
      <c r="E90" t="b">
        <v>1</v>
      </c>
      <c r="F90" t="s">
        <v>471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244</v>
      </c>
      <c r="C91" t="s">
        <v>240</v>
      </c>
      <c r="D91" t="s">
        <v>38</v>
      </c>
      <c r="E91" t="b">
        <v>0</v>
      </c>
      <c r="F91" t="s">
        <v>471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248</v>
      </c>
      <c r="C92" t="s">
        <v>194</v>
      </c>
      <c r="D92" t="s">
        <v>38</v>
      </c>
      <c r="E92" t="b">
        <v>0</v>
      </c>
      <c r="F92" t="s">
        <v>472</v>
      </c>
      <c r="H92" s="1">
        <v>46000</v>
      </c>
      <c r="J92" s="1"/>
    </row>
    <row r="93" spans="1:10" x14ac:dyDescent="0.35">
      <c r="A93">
        <v>1073</v>
      </c>
      <c r="B93" t="s">
        <v>249</v>
      </c>
      <c r="C93" t="s">
        <v>240</v>
      </c>
      <c r="D93" t="s">
        <v>38</v>
      </c>
      <c r="E93" t="b">
        <v>0</v>
      </c>
      <c r="F93" t="s">
        <v>471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250</v>
      </c>
      <c r="C94" t="s">
        <v>251</v>
      </c>
      <c r="D94" t="s">
        <v>38</v>
      </c>
      <c r="E94" t="b">
        <v>0</v>
      </c>
      <c r="F94" t="s">
        <v>471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250</v>
      </c>
      <c r="C95" t="s">
        <v>252</v>
      </c>
      <c r="D95" t="s">
        <v>38</v>
      </c>
      <c r="E95" t="b">
        <v>1</v>
      </c>
      <c r="F95" t="s">
        <v>471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250</v>
      </c>
      <c r="C96" t="s">
        <v>253</v>
      </c>
      <c r="D96" t="s">
        <v>38</v>
      </c>
      <c r="E96" t="b">
        <v>1</v>
      </c>
      <c r="F96" t="s">
        <v>472</v>
      </c>
      <c r="H96" s="1">
        <v>46000</v>
      </c>
      <c r="J96" s="1"/>
    </row>
    <row r="97" spans="1:10" x14ac:dyDescent="0.35">
      <c r="A97">
        <v>1367</v>
      </c>
      <c r="B97" t="s">
        <v>250</v>
      </c>
      <c r="C97" t="s">
        <v>238</v>
      </c>
      <c r="D97" t="s">
        <v>38</v>
      </c>
      <c r="E97" t="b">
        <v>0</v>
      </c>
      <c r="F97" t="s">
        <v>473</v>
      </c>
      <c r="H97" s="1">
        <v>46000</v>
      </c>
      <c r="J97" s="1"/>
    </row>
    <row r="98" spans="1:10" x14ac:dyDescent="0.35">
      <c r="A98">
        <v>1387</v>
      </c>
      <c r="B98" t="s">
        <v>254</v>
      </c>
      <c r="C98" t="s">
        <v>255</v>
      </c>
      <c r="D98" t="s">
        <v>38</v>
      </c>
      <c r="E98" t="b">
        <v>1</v>
      </c>
      <c r="F98" t="s">
        <v>472</v>
      </c>
      <c r="H98" s="1">
        <v>46000</v>
      </c>
      <c r="J98" s="1"/>
    </row>
    <row r="99" spans="1:10" x14ac:dyDescent="0.35">
      <c r="A99">
        <v>1308</v>
      </c>
      <c r="B99" t="s">
        <v>256</v>
      </c>
      <c r="C99" t="s">
        <v>257</v>
      </c>
      <c r="D99" t="s">
        <v>38</v>
      </c>
      <c r="E99" t="b">
        <v>1</v>
      </c>
      <c r="F99" t="s">
        <v>471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258</v>
      </c>
      <c r="C100" t="s">
        <v>259</v>
      </c>
      <c r="D100" t="s">
        <v>38</v>
      </c>
      <c r="E100" t="b">
        <v>1</v>
      </c>
      <c r="F100" t="s">
        <v>471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258</v>
      </c>
      <c r="C101" t="s">
        <v>69</v>
      </c>
      <c r="D101" t="s">
        <v>38</v>
      </c>
      <c r="E101" t="b">
        <v>0</v>
      </c>
      <c r="F101" t="s">
        <v>471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260</v>
      </c>
      <c r="C102" t="s">
        <v>204</v>
      </c>
      <c r="D102" t="s">
        <v>38</v>
      </c>
      <c r="E102" t="b">
        <v>0</v>
      </c>
      <c r="F102" t="s">
        <v>471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261</v>
      </c>
      <c r="C103" t="s">
        <v>262</v>
      </c>
      <c r="D103" t="s">
        <v>38</v>
      </c>
      <c r="E103" t="b">
        <v>0</v>
      </c>
      <c r="F103" t="s">
        <v>471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263</v>
      </c>
      <c r="C104" t="s">
        <v>239</v>
      </c>
      <c r="D104" t="s">
        <v>38</v>
      </c>
      <c r="E104" t="b">
        <v>0</v>
      </c>
      <c r="F104" t="s">
        <v>471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263</v>
      </c>
      <c r="C105" t="s">
        <v>264</v>
      </c>
      <c r="D105" t="s">
        <v>38</v>
      </c>
      <c r="E105" t="b">
        <v>0</v>
      </c>
      <c r="F105" t="s">
        <v>472</v>
      </c>
      <c r="H105" s="1">
        <v>46000</v>
      </c>
      <c r="J105" s="1"/>
    </row>
    <row r="106" spans="1:10" x14ac:dyDescent="0.35">
      <c r="A106">
        <v>746</v>
      </c>
      <c r="B106" t="s">
        <v>265</v>
      </c>
      <c r="C106" t="s">
        <v>49</v>
      </c>
      <c r="D106" t="s">
        <v>38</v>
      </c>
      <c r="E106" t="b">
        <v>0</v>
      </c>
      <c r="F106" t="s">
        <v>471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266</v>
      </c>
      <c r="C107" t="s">
        <v>267</v>
      </c>
      <c r="D107" t="s">
        <v>38</v>
      </c>
      <c r="E107" t="b">
        <v>0</v>
      </c>
      <c r="F107" t="s">
        <v>471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268</v>
      </c>
      <c r="C108" t="s">
        <v>174</v>
      </c>
      <c r="D108" t="s">
        <v>38</v>
      </c>
      <c r="E108" t="b">
        <v>0</v>
      </c>
      <c r="F108" t="s">
        <v>471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269</v>
      </c>
      <c r="C109" t="s">
        <v>270</v>
      </c>
      <c r="D109" t="s">
        <v>38</v>
      </c>
      <c r="E109" t="b">
        <v>1</v>
      </c>
      <c r="F109" t="s">
        <v>471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271</v>
      </c>
      <c r="C110" t="s">
        <v>176</v>
      </c>
      <c r="D110" t="s">
        <v>38</v>
      </c>
      <c r="E110" t="b">
        <v>1</v>
      </c>
      <c r="F110" t="s">
        <v>471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272</v>
      </c>
      <c r="C111" t="s">
        <v>273</v>
      </c>
      <c r="D111" t="s">
        <v>38</v>
      </c>
      <c r="E111" t="b">
        <v>1</v>
      </c>
      <c r="F111" t="s">
        <v>472</v>
      </c>
      <c r="H111" s="1">
        <v>46000</v>
      </c>
      <c r="J111" s="1"/>
    </row>
    <row r="112" spans="1:10" x14ac:dyDescent="0.35">
      <c r="A112">
        <v>23</v>
      </c>
      <c r="B112" t="s">
        <v>274</v>
      </c>
      <c r="C112" t="s">
        <v>44</v>
      </c>
      <c r="D112" t="s">
        <v>38</v>
      </c>
      <c r="E112" t="b">
        <v>0</v>
      </c>
      <c r="F112" t="s">
        <v>471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275</v>
      </c>
      <c r="C113" t="s">
        <v>276</v>
      </c>
      <c r="D113" t="s">
        <v>164</v>
      </c>
      <c r="E113" t="b">
        <v>1</v>
      </c>
      <c r="F113" t="s">
        <v>474</v>
      </c>
      <c r="H113" s="1">
        <v>46000</v>
      </c>
      <c r="J113" s="1"/>
    </row>
    <row r="114" spans="1:10" x14ac:dyDescent="0.35">
      <c r="A114">
        <v>581</v>
      </c>
      <c r="B114" t="s">
        <v>277</v>
      </c>
      <c r="C114" t="s">
        <v>278</v>
      </c>
      <c r="D114" t="s">
        <v>38</v>
      </c>
      <c r="E114" t="b">
        <v>0</v>
      </c>
      <c r="F114" t="s">
        <v>471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279</v>
      </c>
      <c r="C115" t="s">
        <v>280</v>
      </c>
      <c r="D115" t="s">
        <v>38</v>
      </c>
      <c r="E115" t="b">
        <v>0</v>
      </c>
      <c r="F115" t="s">
        <v>472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281</v>
      </c>
      <c r="D116" t="s">
        <v>38</v>
      </c>
      <c r="E116" t="b">
        <v>0</v>
      </c>
      <c r="F116" t="s">
        <v>471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282</v>
      </c>
      <c r="C117" t="s">
        <v>240</v>
      </c>
      <c r="D117" t="s">
        <v>164</v>
      </c>
      <c r="E117" t="b">
        <v>0</v>
      </c>
      <c r="F117" t="s">
        <v>472</v>
      </c>
      <c r="H117" s="1">
        <v>46000</v>
      </c>
      <c r="J117" s="1"/>
    </row>
    <row r="118" spans="1:10" x14ac:dyDescent="0.35">
      <c r="A118">
        <v>1144</v>
      </c>
      <c r="B118" t="s">
        <v>283</v>
      </c>
      <c r="C118" t="s">
        <v>284</v>
      </c>
      <c r="D118" t="s">
        <v>164</v>
      </c>
      <c r="E118" t="b">
        <v>0</v>
      </c>
      <c r="F118" t="s">
        <v>474</v>
      </c>
      <c r="H118" s="1">
        <v>46000</v>
      </c>
      <c r="J118" s="1"/>
    </row>
    <row r="119" spans="1:10" x14ac:dyDescent="0.35">
      <c r="A119">
        <v>415</v>
      </c>
      <c r="B119" t="s">
        <v>283</v>
      </c>
      <c r="C119" t="s">
        <v>285</v>
      </c>
      <c r="D119" t="s">
        <v>38</v>
      </c>
      <c r="E119" t="b">
        <v>0</v>
      </c>
      <c r="F119" t="s">
        <v>471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286</v>
      </c>
      <c r="C120" t="s">
        <v>287</v>
      </c>
      <c r="D120" t="s">
        <v>38</v>
      </c>
      <c r="E120" t="b">
        <v>0</v>
      </c>
      <c r="F120" t="s">
        <v>471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288</v>
      </c>
      <c r="C121" t="s">
        <v>185</v>
      </c>
      <c r="D121" t="s">
        <v>38</v>
      </c>
      <c r="E121" t="b">
        <v>0</v>
      </c>
      <c r="F121" t="s">
        <v>471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289</v>
      </c>
      <c r="C122" t="s">
        <v>290</v>
      </c>
      <c r="D122" t="s">
        <v>38</v>
      </c>
      <c r="E122" t="b">
        <v>1</v>
      </c>
      <c r="F122" t="s">
        <v>471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289</v>
      </c>
      <c r="C123" t="s">
        <v>243</v>
      </c>
      <c r="D123" t="s">
        <v>38</v>
      </c>
      <c r="E123" t="b">
        <v>0</v>
      </c>
      <c r="F123" t="s">
        <v>471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291</v>
      </c>
      <c r="C124" t="s">
        <v>292</v>
      </c>
      <c r="D124" t="s">
        <v>38</v>
      </c>
      <c r="E124" t="b">
        <v>0</v>
      </c>
      <c r="F124" t="s">
        <v>471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293</v>
      </c>
      <c r="C125" t="s">
        <v>240</v>
      </c>
      <c r="D125" t="s">
        <v>38</v>
      </c>
      <c r="E125" t="b">
        <v>0</v>
      </c>
      <c r="F125" t="s">
        <v>472</v>
      </c>
      <c r="H125" s="1">
        <v>46000</v>
      </c>
      <c r="J125" s="1"/>
    </row>
    <row r="126" spans="1:10" x14ac:dyDescent="0.35">
      <c r="A126">
        <v>1244</v>
      </c>
      <c r="B126" t="s">
        <v>294</v>
      </c>
      <c r="C126" t="s">
        <v>185</v>
      </c>
      <c r="D126" t="s">
        <v>38</v>
      </c>
      <c r="E126" t="b">
        <v>0</v>
      </c>
      <c r="F126" t="s">
        <v>471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294</v>
      </c>
      <c r="C127" t="s">
        <v>295</v>
      </c>
      <c r="D127" t="s">
        <v>38</v>
      </c>
      <c r="E127" t="b">
        <v>1</v>
      </c>
      <c r="F127" t="s">
        <v>472</v>
      </c>
      <c r="H127" s="1">
        <v>46000</v>
      </c>
      <c r="J127" s="1"/>
    </row>
    <row r="128" spans="1:10" x14ac:dyDescent="0.35">
      <c r="A128">
        <v>1296</v>
      </c>
      <c r="B128" t="s">
        <v>296</v>
      </c>
      <c r="C128" t="s">
        <v>240</v>
      </c>
      <c r="D128" t="s">
        <v>38</v>
      </c>
      <c r="E128" t="b">
        <v>0</v>
      </c>
      <c r="F128" t="s">
        <v>472</v>
      </c>
      <c r="H128" s="1">
        <v>46000</v>
      </c>
      <c r="J128" s="1"/>
    </row>
    <row r="129" spans="1:10" x14ac:dyDescent="0.35">
      <c r="A129">
        <v>1362</v>
      </c>
      <c r="B129" t="s">
        <v>297</v>
      </c>
      <c r="C129" t="s">
        <v>298</v>
      </c>
      <c r="D129" t="s">
        <v>38</v>
      </c>
      <c r="E129" t="b">
        <v>1</v>
      </c>
      <c r="F129" t="s">
        <v>471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299</v>
      </c>
      <c r="C130" t="s">
        <v>300</v>
      </c>
      <c r="D130" t="s">
        <v>38</v>
      </c>
      <c r="E130" t="b">
        <v>1</v>
      </c>
      <c r="F130" t="s">
        <v>472</v>
      </c>
      <c r="H130" s="1">
        <v>46000</v>
      </c>
      <c r="J130" s="1"/>
    </row>
    <row r="131" spans="1:10" x14ac:dyDescent="0.35">
      <c r="A131">
        <v>1198</v>
      </c>
      <c r="B131" t="s">
        <v>301</v>
      </c>
      <c r="C131" t="s">
        <v>302</v>
      </c>
      <c r="D131" t="s">
        <v>38</v>
      </c>
      <c r="E131" t="b">
        <v>0</v>
      </c>
      <c r="F131" t="s">
        <v>471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303</v>
      </c>
      <c r="C132" t="s">
        <v>89</v>
      </c>
      <c r="D132" t="s">
        <v>38</v>
      </c>
      <c r="E132" t="b">
        <v>1</v>
      </c>
      <c r="F132" t="s">
        <v>471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304</v>
      </c>
      <c r="C133" t="s">
        <v>305</v>
      </c>
      <c r="D133" t="s">
        <v>38</v>
      </c>
      <c r="E133" t="b">
        <v>0</v>
      </c>
      <c r="F133" t="s">
        <v>471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306</v>
      </c>
      <c r="C134" t="s">
        <v>40</v>
      </c>
      <c r="D134" t="s">
        <v>38</v>
      </c>
      <c r="E134" t="b">
        <v>0</v>
      </c>
      <c r="F134" t="s">
        <v>471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307</v>
      </c>
      <c r="C135" t="s">
        <v>6</v>
      </c>
      <c r="D135" t="s">
        <v>38</v>
      </c>
      <c r="E135" t="b">
        <v>0</v>
      </c>
      <c r="F135" t="s">
        <v>472</v>
      </c>
      <c r="H135" s="1">
        <v>46000</v>
      </c>
      <c r="J135" s="1"/>
    </row>
    <row r="136" spans="1:10" x14ac:dyDescent="0.35">
      <c r="A136">
        <v>1373</v>
      </c>
      <c r="B136" t="s">
        <v>308</v>
      </c>
      <c r="C136" t="s">
        <v>31</v>
      </c>
      <c r="D136" t="s">
        <v>38</v>
      </c>
      <c r="E136" t="b">
        <v>0</v>
      </c>
      <c r="F136" t="s">
        <v>471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309</v>
      </c>
      <c r="C137" t="s">
        <v>310</v>
      </c>
      <c r="D137" t="s">
        <v>38</v>
      </c>
      <c r="E137" t="b">
        <v>0</v>
      </c>
      <c r="F137" t="s">
        <v>471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311</v>
      </c>
      <c r="C138" t="s">
        <v>312</v>
      </c>
      <c r="D138" t="s">
        <v>38</v>
      </c>
      <c r="E138" t="b">
        <v>1</v>
      </c>
      <c r="F138" t="s">
        <v>472</v>
      </c>
      <c r="H138" s="1">
        <v>46000</v>
      </c>
      <c r="J138" s="1"/>
    </row>
    <row r="139" spans="1:10" x14ac:dyDescent="0.35">
      <c r="A139">
        <v>967</v>
      </c>
      <c r="B139" t="s">
        <v>313</v>
      </c>
      <c r="C139" t="s">
        <v>238</v>
      </c>
      <c r="D139" t="s">
        <v>38</v>
      </c>
      <c r="E139" t="b">
        <v>0</v>
      </c>
      <c r="F139" t="s">
        <v>471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314</v>
      </c>
      <c r="C140" t="s">
        <v>315</v>
      </c>
      <c r="D140" t="s">
        <v>38</v>
      </c>
      <c r="E140" t="b">
        <v>1</v>
      </c>
      <c r="F140" t="s">
        <v>471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314</v>
      </c>
      <c r="C141" t="s">
        <v>316</v>
      </c>
      <c r="D141" t="s">
        <v>38</v>
      </c>
      <c r="E141" t="b">
        <v>0</v>
      </c>
      <c r="F141" t="s">
        <v>471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317</v>
      </c>
      <c r="C142" t="s">
        <v>318</v>
      </c>
      <c r="D142" t="s">
        <v>38</v>
      </c>
      <c r="E142" t="b">
        <v>0</v>
      </c>
      <c r="F142" t="s">
        <v>472</v>
      </c>
      <c r="H142" s="1">
        <v>46000</v>
      </c>
      <c r="J142" s="1"/>
    </row>
    <row r="143" spans="1:10" x14ac:dyDescent="0.35">
      <c r="A143">
        <v>1349</v>
      </c>
      <c r="B143" t="s">
        <v>319</v>
      </c>
      <c r="C143" t="s">
        <v>320</v>
      </c>
      <c r="D143" t="s">
        <v>38</v>
      </c>
      <c r="E143" t="b">
        <v>0</v>
      </c>
      <c r="F143" t="s">
        <v>472</v>
      </c>
      <c r="H143" s="1">
        <v>46000</v>
      </c>
      <c r="J143" s="1"/>
    </row>
    <row r="144" spans="1:10" x14ac:dyDescent="0.35">
      <c r="A144">
        <v>1342</v>
      </c>
      <c r="B144" t="s">
        <v>321</v>
      </c>
      <c r="C144" t="s">
        <v>322</v>
      </c>
      <c r="D144" t="s">
        <v>38</v>
      </c>
      <c r="E144" t="b">
        <v>0</v>
      </c>
      <c r="F144" t="s">
        <v>471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323</v>
      </c>
      <c r="C145" t="s">
        <v>324</v>
      </c>
      <c r="D145" t="s">
        <v>38</v>
      </c>
      <c r="E145" t="b">
        <v>0</v>
      </c>
      <c r="F145" t="s">
        <v>471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325</v>
      </c>
      <c r="C146" t="s">
        <v>326</v>
      </c>
      <c r="D146" t="s">
        <v>38</v>
      </c>
      <c r="E146" t="b">
        <v>0</v>
      </c>
      <c r="F146" t="s">
        <v>471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327</v>
      </c>
      <c r="C147" t="s">
        <v>326</v>
      </c>
      <c r="D147" t="s">
        <v>38</v>
      </c>
      <c r="E147" t="b">
        <v>0</v>
      </c>
      <c r="F147" t="s">
        <v>471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281</v>
      </c>
      <c r="C148" t="s">
        <v>328</v>
      </c>
      <c r="D148" t="s">
        <v>38</v>
      </c>
      <c r="E148" t="b">
        <v>1</v>
      </c>
      <c r="F148" t="s">
        <v>472</v>
      </c>
      <c r="H148" s="1">
        <v>46000</v>
      </c>
      <c r="J148" s="1"/>
    </row>
    <row r="149" spans="1:10" x14ac:dyDescent="0.35">
      <c r="A149">
        <v>1282</v>
      </c>
      <c r="B149" t="s">
        <v>329</v>
      </c>
      <c r="C149" t="s">
        <v>59</v>
      </c>
      <c r="D149" t="s">
        <v>38</v>
      </c>
      <c r="E149" t="b">
        <v>0</v>
      </c>
      <c r="F149" t="s">
        <v>471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330</v>
      </c>
      <c r="C150" t="s">
        <v>331</v>
      </c>
      <c r="D150" t="s">
        <v>38</v>
      </c>
      <c r="E150" t="b">
        <v>1</v>
      </c>
      <c r="F150" t="s">
        <v>473</v>
      </c>
      <c r="H150" s="1">
        <v>46000</v>
      </c>
      <c r="J150" s="1"/>
    </row>
    <row r="151" spans="1:10" x14ac:dyDescent="0.35">
      <c r="A151">
        <v>747</v>
      </c>
      <c r="B151" t="s">
        <v>330</v>
      </c>
      <c r="C151" t="s">
        <v>29</v>
      </c>
      <c r="D151" t="s">
        <v>38</v>
      </c>
      <c r="E151" t="b">
        <v>0</v>
      </c>
      <c r="F151" t="s">
        <v>471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330</v>
      </c>
      <c r="C152" t="s">
        <v>220</v>
      </c>
      <c r="D152" t="s">
        <v>38</v>
      </c>
      <c r="E152" t="b">
        <v>1</v>
      </c>
      <c r="F152" t="s">
        <v>471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330</v>
      </c>
      <c r="C153" t="s">
        <v>247</v>
      </c>
      <c r="D153" t="s">
        <v>38</v>
      </c>
      <c r="E153" t="b">
        <v>1</v>
      </c>
      <c r="F153" t="s">
        <v>471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330</v>
      </c>
      <c r="C154" t="s">
        <v>332</v>
      </c>
      <c r="D154" t="s">
        <v>38</v>
      </c>
      <c r="E154" t="b">
        <v>0</v>
      </c>
      <c r="F154" t="s">
        <v>471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333</v>
      </c>
      <c r="C155" t="s">
        <v>31</v>
      </c>
      <c r="D155" t="s">
        <v>38</v>
      </c>
      <c r="E155" t="b">
        <v>0</v>
      </c>
      <c r="F155" t="s">
        <v>472</v>
      </c>
      <c r="H155" s="1">
        <v>46000</v>
      </c>
      <c r="J155" s="1"/>
    </row>
    <row r="156" spans="1:10" x14ac:dyDescent="0.35">
      <c r="A156">
        <v>900</v>
      </c>
      <c r="B156" t="s">
        <v>334</v>
      </c>
      <c r="C156" t="s">
        <v>74</v>
      </c>
      <c r="D156" t="s">
        <v>38</v>
      </c>
      <c r="E156" t="b">
        <v>0</v>
      </c>
      <c r="F156" t="s">
        <v>471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335</v>
      </c>
      <c r="C157" t="s">
        <v>267</v>
      </c>
      <c r="D157" t="s">
        <v>38</v>
      </c>
      <c r="E157" t="b">
        <v>0</v>
      </c>
      <c r="F157" t="s">
        <v>471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336</v>
      </c>
      <c r="C158" t="s">
        <v>326</v>
      </c>
      <c r="D158" t="s">
        <v>38</v>
      </c>
      <c r="E158" t="b">
        <v>0</v>
      </c>
      <c r="F158" t="s">
        <v>471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337</v>
      </c>
      <c r="C159" t="s">
        <v>338</v>
      </c>
      <c r="D159" t="s">
        <v>38</v>
      </c>
      <c r="E159" t="b">
        <v>0</v>
      </c>
      <c r="F159" t="s">
        <v>471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339</v>
      </c>
      <c r="C160" t="s">
        <v>340</v>
      </c>
      <c r="D160" t="s">
        <v>38</v>
      </c>
      <c r="E160" t="b">
        <v>0</v>
      </c>
      <c r="F160" t="s">
        <v>471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341</v>
      </c>
      <c r="C161" t="s">
        <v>57</v>
      </c>
      <c r="D161" t="s">
        <v>38</v>
      </c>
      <c r="E161" t="b">
        <v>0</v>
      </c>
      <c r="F161" t="s">
        <v>471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342</v>
      </c>
      <c r="C162" t="s">
        <v>343</v>
      </c>
      <c r="D162" t="s">
        <v>38</v>
      </c>
      <c r="E162" t="b">
        <v>0</v>
      </c>
      <c r="F162" t="s">
        <v>471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344</v>
      </c>
      <c r="C163" t="s">
        <v>44</v>
      </c>
      <c r="D163" t="s">
        <v>38</v>
      </c>
      <c r="E163" t="b">
        <v>0</v>
      </c>
      <c r="F163" t="s">
        <v>472</v>
      </c>
      <c r="H163" s="1">
        <v>46000</v>
      </c>
      <c r="J163" s="1"/>
    </row>
    <row r="164" spans="1:10" x14ac:dyDescent="0.35">
      <c r="A164">
        <v>1357</v>
      </c>
      <c r="B164" t="s">
        <v>345</v>
      </c>
      <c r="C164" t="s">
        <v>40</v>
      </c>
      <c r="D164" t="s">
        <v>38</v>
      </c>
      <c r="E164" t="b">
        <v>0</v>
      </c>
      <c r="F164" t="s">
        <v>471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345</v>
      </c>
      <c r="C165" t="s">
        <v>346</v>
      </c>
      <c r="D165" t="s">
        <v>38</v>
      </c>
      <c r="E165" t="b">
        <v>1</v>
      </c>
      <c r="F165" t="s">
        <v>471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345</v>
      </c>
      <c r="C166" t="s">
        <v>57</v>
      </c>
      <c r="D166" t="s">
        <v>38</v>
      </c>
      <c r="E166" t="b">
        <v>0</v>
      </c>
      <c r="F166" t="s">
        <v>474</v>
      </c>
      <c r="H166" s="1">
        <v>46000</v>
      </c>
      <c r="J166" s="1"/>
    </row>
    <row r="167" spans="1:10" x14ac:dyDescent="0.35">
      <c r="A167">
        <v>1360</v>
      </c>
      <c r="B167" t="s">
        <v>345</v>
      </c>
      <c r="C167" t="s">
        <v>347</v>
      </c>
      <c r="D167" t="s">
        <v>38</v>
      </c>
      <c r="E167" t="b">
        <v>1</v>
      </c>
      <c r="F167" t="s">
        <v>473</v>
      </c>
      <c r="H167" s="1">
        <v>46000</v>
      </c>
      <c r="J167" s="1"/>
    </row>
    <row r="168" spans="1:10" x14ac:dyDescent="0.35">
      <c r="A168">
        <v>1093</v>
      </c>
      <c r="B168" t="s">
        <v>348</v>
      </c>
      <c r="C168" t="s">
        <v>74</v>
      </c>
      <c r="D168" t="s">
        <v>38</v>
      </c>
      <c r="E168" t="b">
        <v>0</v>
      </c>
      <c r="F168" t="s">
        <v>472</v>
      </c>
      <c r="H168" s="1">
        <v>46000</v>
      </c>
      <c r="J168" s="1"/>
    </row>
    <row r="169" spans="1:10" x14ac:dyDescent="0.35">
      <c r="A169">
        <v>1107</v>
      </c>
      <c r="B169" t="s">
        <v>349</v>
      </c>
      <c r="C169" t="s">
        <v>350</v>
      </c>
      <c r="D169" t="s">
        <v>38</v>
      </c>
      <c r="E169" t="b">
        <v>1</v>
      </c>
      <c r="F169" t="s">
        <v>472</v>
      </c>
      <c r="H169" s="1">
        <v>46000</v>
      </c>
      <c r="J169" s="1"/>
    </row>
    <row r="170" spans="1:10" x14ac:dyDescent="0.35">
      <c r="A170">
        <v>35</v>
      </c>
      <c r="B170" t="s">
        <v>351</v>
      </c>
      <c r="C170" t="s">
        <v>352</v>
      </c>
      <c r="D170" t="s">
        <v>38</v>
      </c>
      <c r="E170" t="b">
        <v>0</v>
      </c>
      <c r="F170" t="s">
        <v>471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353</v>
      </c>
      <c r="C171" t="s">
        <v>72</v>
      </c>
      <c r="D171" t="s">
        <v>38</v>
      </c>
      <c r="E171" t="b">
        <v>0</v>
      </c>
      <c r="F171" t="s">
        <v>471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354</v>
      </c>
      <c r="C172" t="s">
        <v>355</v>
      </c>
      <c r="D172" t="s">
        <v>38</v>
      </c>
      <c r="E172" t="b">
        <v>0</v>
      </c>
      <c r="F172" t="s">
        <v>471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356</v>
      </c>
      <c r="C173" t="s">
        <v>332</v>
      </c>
      <c r="D173" t="s">
        <v>38</v>
      </c>
      <c r="E173" t="b">
        <v>0</v>
      </c>
      <c r="F173" t="s">
        <v>471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357</v>
      </c>
      <c r="C174" t="s">
        <v>324</v>
      </c>
      <c r="D174" t="s">
        <v>38</v>
      </c>
      <c r="E174" t="b">
        <v>0</v>
      </c>
      <c r="F174" t="s">
        <v>471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358</v>
      </c>
      <c r="C175" t="s">
        <v>359</v>
      </c>
      <c r="D175" t="s">
        <v>38</v>
      </c>
      <c r="E175" t="b">
        <v>0</v>
      </c>
      <c r="F175" t="s">
        <v>471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360</v>
      </c>
      <c r="C176" t="s">
        <v>31</v>
      </c>
      <c r="D176" t="s">
        <v>38</v>
      </c>
      <c r="E176" t="b">
        <v>0</v>
      </c>
      <c r="F176" t="s">
        <v>471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360</v>
      </c>
      <c r="C177" t="s">
        <v>84</v>
      </c>
      <c r="D177" t="s">
        <v>38</v>
      </c>
      <c r="E177" t="b">
        <v>0</v>
      </c>
      <c r="F177" t="s">
        <v>471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361</v>
      </c>
      <c r="C178" t="s">
        <v>65</v>
      </c>
      <c r="D178" t="s">
        <v>38</v>
      </c>
      <c r="E178" t="b">
        <v>0</v>
      </c>
      <c r="F178" t="s">
        <v>471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362</v>
      </c>
      <c r="C179" t="s">
        <v>363</v>
      </c>
      <c r="D179" t="s">
        <v>38</v>
      </c>
      <c r="E179" t="b">
        <v>0</v>
      </c>
      <c r="F179" t="s">
        <v>473</v>
      </c>
      <c r="H179" s="1">
        <v>46000</v>
      </c>
      <c r="J179" s="1"/>
    </row>
    <row r="180" spans="1:10" x14ac:dyDescent="0.35">
      <c r="A180">
        <v>1024</v>
      </c>
      <c r="B180" t="s">
        <v>362</v>
      </c>
      <c r="C180" t="s">
        <v>364</v>
      </c>
      <c r="D180" t="s">
        <v>38</v>
      </c>
      <c r="E180" t="b">
        <v>0</v>
      </c>
      <c r="F180" t="s">
        <v>474</v>
      </c>
      <c r="H180" s="1">
        <v>46000</v>
      </c>
      <c r="J180" s="1"/>
    </row>
    <row r="181" spans="1:10" x14ac:dyDescent="0.35">
      <c r="A181">
        <v>1023</v>
      </c>
      <c r="B181" t="s">
        <v>362</v>
      </c>
      <c r="C181" t="s">
        <v>47</v>
      </c>
      <c r="D181" t="s">
        <v>38</v>
      </c>
      <c r="E181" t="b">
        <v>0</v>
      </c>
      <c r="F181" t="s">
        <v>472</v>
      </c>
      <c r="H181" s="1">
        <v>46000</v>
      </c>
      <c r="J181" s="1"/>
    </row>
    <row r="182" spans="1:10" x14ac:dyDescent="0.35">
      <c r="A182">
        <v>1232</v>
      </c>
      <c r="B182" t="s">
        <v>362</v>
      </c>
      <c r="C182" t="s">
        <v>365</v>
      </c>
      <c r="D182" t="s">
        <v>38</v>
      </c>
      <c r="E182" t="b">
        <v>1</v>
      </c>
      <c r="F182" t="s">
        <v>471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366</v>
      </c>
      <c r="C183" t="s">
        <v>367</v>
      </c>
      <c r="D183" t="s">
        <v>38</v>
      </c>
      <c r="E183" t="b">
        <v>1</v>
      </c>
      <c r="F183" t="s">
        <v>471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368</v>
      </c>
      <c r="C184" t="s">
        <v>369</v>
      </c>
      <c r="D184" t="s">
        <v>38</v>
      </c>
      <c r="E184" t="b">
        <v>1</v>
      </c>
      <c r="F184" t="s">
        <v>472</v>
      </c>
      <c r="H184" s="1">
        <v>46000</v>
      </c>
      <c r="J184" s="1"/>
    </row>
    <row r="185" spans="1:10" x14ac:dyDescent="0.35">
      <c r="A185">
        <v>1191</v>
      </c>
      <c r="B185" t="s">
        <v>370</v>
      </c>
      <c r="C185" t="s">
        <v>240</v>
      </c>
      <c r="D185" t="s">
        <v>38</v>
      </c>
      <c r="E185" t="b">
        <v>0</v>
      </c>
      <c r="F185" t="s">
        <v>471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370</v>
      </c>
      <c r="C186" t="s">
        <v>371</v>
      </c>
      <c r="D186" t="s">
        <v>38</v>
      </c>
      <c r="E186" t="b">
        <v>0</v>
      </c>
      <c r="F186" t="s">
        <v>472</v>
      </c>
      <c r="H186" s="1">
        <v>46000</v>
      </c>
      <c r="J186" s="1"/>
    </row>
    <row r="187" spans="1:10" x14ac:dyDescent="0.35">
      <c r="A187">
        <v>1350</v>
      </c>
      <c r="B187" t="s">
        <v>372</v>
      </c>
      <c r="C187" t="s">
        <v>373</v>
      </c>
      <c r="D187" t="s">
        <v>38</v>
      </c>
      <c r="E187" t="b">
        <v>0</v>
      </c>
      <c r="F187" t="s">
        <v>472</v>
      </c>
      <c r="H187" s="1">
        <v>46000</v>
      </c>
      <c r="J187" s="1"/>
    </row>
    <row r="188" spans="1:10" x14ac:dyDescent="0.35">
      <c r="A188">
        <v>1352</v>
      </c>
      <c r="B188" t="s">
        <v>374</v>
      </c>
      <c r="C188" t="s">
        <v>40</v>
      </c>
      <c r="D188" t="s">
        <v>38</v>
      </c>
      <c r="E188" t="b">
        <v>0</v>
      </c>
      <c r="F188" t="s">
        <v>471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375</v>
      </c>
      <c r="C189" t="s">
        <v>376</v>
      </c>
      <c r="D189" t="s">
        <v>38</v>
      </c>
      <c r="E189" t="b">
        <v>0</v>
      </c>
      <c r="F189" t="s">
        <v>471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377</v>
      </c>
      <c r="C190" t="s">
        <v>378</v>
      </c>
      <c r="D190" t="s">
        <v>38</v>
      </c>
      <c r="E190" t="b">
        <v>0</v>
      </c>
      <c r="F190" t="s">
        <v>472</v>
      </c>
      <c r="H190" s="1">
        <v>46000</v>
      </c>
      <c r="J190" s="1"/>
    </row>
    <row r="191" spans="1:10" x14ac:dyDescent="0.35">
      <c r="A191">
        <v>914</v>
      </c>
      <c r="B191" t="s">
        <v>379</v>
      </c>
      <c r="C191" t="s">
        <v>239</v>
      </c>
      <c r="D191" t="s">
        <v>38</v>
      </c>
      <c r="E191" t="b">
        <v>0</v>
      </c>
      <c r="F191" t="s">
        <v>471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379</v>
      </c>
      <c r="C192" t="s">
        <v>59</v>
      </c>
      <c r="D192" t="s">
        <v>38</v>
      </c>
      <c r="E192" t="b">
        <v>0</v>
      </c>
      <c r="F192" t="s">
        <v>471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380</v>
      </c>
      <c r="C193" t="s">
        <v>194</v>
      </c>
      <c r="D193" t="s">
        <v>38</v>
      </c>
      <c r="E193" t="b">
        <v>0</v>
      </c>
      <c r="F193" t="s">
        <v>472</v>
      </c>
      <c r="H193" s="1">
        <v>46000</v>
      </c>
      <c r="J193" s="1"/>
    </row>
    <row r="194" spans="1:10" x14ac:dyDescent="0.35">
      <c r="A194">
        <v>1380</v>
      </c>
      <c r="B194" t="s">
        <v>381</v>
      </c>
      <c r="C194" t="s">
        <v>382</v>
      </c>
      <c r="D194" t="s">
        <v>38</v>
      </c>
      <c r="E194" t="b">
        <v>1</v>
      </c>
      <c r="F194" t="s">
        <v>471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383</v>
      </c>
      <c r="C195" t="s">
        <v>278</v>
      </c>
      <c r="D195" t="s">
        <v>38</v>
      </c>
      <c r="E195" t="b">
        <v>0</v>
      </c>
      <c r="F195" t="s">
        <v>471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384</v>
      </c>
      <c r="C196" t="s">
        <v>72</v>
      </c>
      <c r="D196" t="s">
        <v>38</v>
      </c>
      <c r="E196" t="b">
        <v>0</v>
      </c>
      <c r="F196" t="s">
        <v>471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384</v>
      </c>
      <c r="C197" t="s">
        <v>385</v>
      </c>
      <c r="D197" t="s">
        <v>38</v>
      </c>
      <c r="E197" t="b">
        <v>0</v>
      </c>
      <c r="F197" t="s">
        <v>471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384</v>
      </c>
      <c r="C198" t="s">
        <v>386</v>
      </c>
      <c r="D198" t="s">
        <v>38</v>
      </c>
      <c r="E198" t="b">
        <v>0</v>
      </c>
      <c r="F198" t="s">
        <v>471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384</v>
      </c>
      <c r="C199" t="s">
        <v>224</v>
      </c>
      <c r="D199" t="s">
        <v>38</v>
      </c>
      <c r="E199" t="b">
        <v>1</v>
      </c>
      <c r="F199" t="s">
        <v>471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384</v>
      </c>
      <c r="C200" t="s">
        <v>278</v>
      </c>
      <c r="D200" t="s">
        <v>38</v>
      </c>
      <c r="E200" t="b">
        <v>0</v>
      </c>
      <c r="F200" t="s">
        <v>471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384</v>
      </c>
      <c r="C201" t="s">
        <v>387</v>
      </c>
      <c r="D201" t="s">
        <v>38</v>
      </c>
      <c r="E201" t="b">
        <v>0</v>
      </c>
      <c r="F201" t="s">
        <v>471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388</v>
      </c>
      <c r="C202" t="s">
        <v>389</v>
      </c>
      <c r="D202" t="s">
        <v>38</v>
      </c>
      <c r="E202" t="b">
        <v>0</v>
      </c>
      <c r="F202" t="s">
        <v>472</v>
      </c>
      <c r="H202" s="1">
        <v>46000</v>
      </c>
      <c r="J202" s="1"/>
    </row>
    <row r="203" spans="1:10" x14ac:dyDescent="0.35">
      <c r="A203">
        <v>1382</v>
      </c>
      <c r="B203" t="s">
        <v>390</v>
      </c>
      <c r="C203" t="s">
        <v>391</v>
      </c>
      <c r="D203" t="s">
        <v>38</v>
      </c>
      <c r="E203" t="b">
        <v>0</v>
      </c>
      <c r="F203" t="s">
        <v>472</v>
      </c>
      <c r="H203" s="1">
        <v>46000</v>
      </c>
      <c r="J203" s="1"/>
    </row>
    <row r="204" spans="1:10" x14ac:dyDescent="0.35">
      <c r="A204">
        <v>1161</v>
      </c>
      <c r="B204" t="s">
        <v>392</v>
      </c>
      <c r="C204" t="s">
        <v>393</v>
      </c>
      <c r="D204" t="s">
        <v>38</v>
      </c>
      <c r="E204" t="b">
        <v>0</v>
      </c>
      <c r="F204" t="s">
        <v>472</v>
      </c>
      <c r="H204" s="1">
        <v>46000</v>
      </c>
      <c r="J204" s="1"/>
    </row>
    <row r="205" spans="1:10" x14ac:dyDescent="0.35">
      <c r="A205">
        <v>890</v>
      </c>
      <c r="B205" t="s">
        <v>394</v>
      </c>
      <c r="C205" t="s">
        <v>395</v>
      </c>
      <c r="D205" t="s">
        <v>164</v>
      </c>
      <c r="E205" t="b">
        <v>0</v>
      </c>
      <c r="F205" t="s">
        <v>471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396</v>
      </c>
      <c r="C206" t="s">
        <v>397</v>
      </c>
      <c r="D206" t="s">
        <v>38</v>
      </c>
      <c r="E206" t="b">
        <v>1</v>
      </c>
      <c r="F206" t="s">
        <v>472</v>
      </c>
      <c r="H206" s="1">
        <v>46000</v>
      </c>
      <c r="J206" s="1"/>
    </row>
    <row r="207" spans="1:10" x14ac:dyDescent="0.35">
      <c r="A207">
        <v>780</v>
      </c>
      <c r="B207" t="s">
        <v>398</v>
      </c>
      <c r="C207" t="s">
        <v>31</v>
      </c>
      <c r="D207" t="s">
        <v>38</v>
      </c>
      <c r="E207" t="b">
        <v>0</v>
      </c>
      <c r="F207" t="s">
        <v>471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399</v>
      </c>
      <c r="C208" t="s">
        <v>230</v>
      </c>
      <c r="D208" t="s">
        <v>164</v>
      </c>
      <c r="E208" t="b">
        <v>0</v>
      </c>
      <c r="F208" t="s">
        <v>471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400</v>
      </c>
      <c r="C209" t="s">
        <v>401</v>
      </c>
      <c r="D209" t="s">
        <v>38</v>
      </c>
      <c r="E209" t="b">
        <v>0</v>
      </c>
      <c r="F209" t="s">
        <v>471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318</v>
      </c>
      <c r="C210" t="s">
        <v>402</v>
      </c>
      <c r="D210" t="s">
        <v>38</v>
      </c>
      <c r="E210" t="b">
        <v>0</v>
      </c>
      <c r="F210" t="s">
        <v>472</v>
      </c>
      <c r="H210" s="1">
        <v>46000</v>
      </c>
      <c r="J210" s="1"/>
    </row>
    <row r="211" spans="1:10" x14ac:dyDescent="0.35">
      <c r="A211">
        <v>1341</v>
      </c>
      <c r="B211" t="s">
        <v>403</v>
      </c>
      <c r="C211" t="s">
        <v>74</v>
      </c>
      <c r="D211" t="s">
        <v>38</v>
      </c>
      <c r="E211" t="b">
        <v>0</v>
      </c>
      <c r="F211" t="s">
        <v>472</v>
      </c>
      <c r="H211" s="1">
        <v>46000</v>
      </c>
      <c r="J211" s="1"/>
    </row>
    <row r="212" spans="1:10" x14ac:dyDescent="0.35">
      <c r="A212">
        <v>945</v>
      </c>
      <c r="B212" t="s">
        <v>404</v>
      </c>
      <c r="C212" t="s">
        <v>57</v>
      </c>
      <c r="D212" t="s">
        <v>38</v>
      </c>
      <c r="E212" t="b">
        <v>0</v>
      </c>
      <c r="F212" t="s">
        <v>472</v>
      </c>
      <c r="H212" s="1">
        <v>46000</v>
      </c>
      <c r="J212" s="1"/>
    </row>
    <row r="213" spans="1:10" x14ac:dyDescent="0.35">
      <c r="A213">
        <v>813</v>
      </c>
      <c r="B213" t="s">
        <v>404</v>
      </c>
      <c r="C213" t="s">
        <v>369</v>
      </c>
      <c r="D213" t="s">
        <v>38</v>
      </c>
      <c r="E213" t="b">
        <v>1</v>
      </c>
      <c r="F213" t="s">
        <v>471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404</v>
      </c>
      <c r="C214" t="s">
        <v>405</v>
      </c>
      <c r="D214" t="s">
        <v>38</v>
      </c>
      <c r="E214" t="b">
        <v>0</v>
      </c>
      <c r="F214" t="s">
        <v>471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406</v>
      </c>
      <c r="C215" t="s">
        <v>407</v>
      </c>
      <c r="D215" t="s">
        <v>38</v>
      </c>
      <c r="E215" t="b">
        <v>0</v>
      </c>
      <c r="F215" t="s">
        <v>471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408</v>
      </c>
      <c r="C216" t="s">
        <v>409</v>
      </c>
      <c r="D216" t="s">
        <v>38</v>
      </c>
      <c r="E216" t="b">
        <v>1</v>
      </c>
      <c r="F216" t="s">
        <v>471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410</v>
      </c>
      <c r="C217" t="s">
        <v>245</v>
      </c>
      <c r="D217" t="s">
        <v>38</v>
      </c>
      <c r="E217" t="b">
        <v>0</v>
      </c>
      <c r="F217" t="s">
        <v>472</v>
      </c>
      <c r="H217" s="1">
        <v>46000</v>
      </c>
      <c r="J217" s="1"/>
    </row>
    <row r="218" spans="1:10" x14ac:dyDescent="0.35">
      <c r="A218">
        <v>1209</v>
      </c>
      <c r="B218" t="s">
        <v>411</v>
      </c>
      <c r="C218" t="s">
        <v>59</v>
      </c>
      <c r="D218" t="s">
        <v>164</v>
      </c>
      <c r="E218" t="b">
        <v>0</v>
      </c>
      <c r="F218" t="s">
        <v>471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413</v>
      </c>
      <c r="C219" t="s">
        <v>414</v>
      </c>
      <c r="D219" t="s">
        <v>164</v>
      </c>
      <c r="E219" t="b">
        <v>0</v>
      </c>
      <c r="F219" t="s">
        <v>471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415</v>
      </c>
      <c r="C220" t="s">
        <v>416</v>
      </c>
      <c r="D220" t="s">
        <v>38</v>
      </c>
      <c r="E220" t="b">
        <v>1</v>
      </c>
      <c r="F220" t="s">
        <v>472</v>
      </c>
      <c r="H220" s="1">
        <v>46000</v>
      </c>
      <c r="J220" s="1"/>
    </row>
    <row r="221" spans="1:10" x14ac:dyDescent="0.35">
      <c r="A221">
        <v>756</v>
      </c>
      <c r="B221" t="s">
        <v>415</v>
      </c>
      <c r="C221" t="s">
        <v>417</v>
      </c>
      <c r="D221" t="s">
        <v>38</v>
      </c>
      <c r="E221" t="b">
        <v>0</v>
      </c>
      <c r="F221" t="s">
        <v>472</v>
      </c>
      <c r="H221" s="1">
        <v>46000</v>
      </c>
      <c r="J221" s="1"/>
    </row>
    <row r="222" spans="1:10" x14ac:dyDescent="0.35">
      <c r="A222">
        <v>407</v>
      </c>
      <c r="B222" t="s">
        <v>415</v>
      </c>
      <c r="C222" t="s">
        <v>418</v>
      </c>
      <c r="D222" t="s">
        <v>38</v>
      </c>
      <c r="E222" t="b">
        <v>0</v>
      </c>
      <c r="F222" t="s">
        <v>471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419</v>
      </c>
      <c r="C223" t="s">
        <v>367</v>
      </c>
      <c r="D223" t="s">
        <v>38</v>
      </c>
      <c r="E223" t="b">
        <v>1</v>
      </c>
      <c r="F223" t="s">
        <v>471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420</v>
      </c>
      <c r="C224" t="s">
        <v>328</v>
      </c>
      <c r="D224" t="s">
        <v>38</v>
      </c>
      <c r="E224" t="b">
        <v>1</v>
      </c>
      <c r="F224" t="s">
        <v>472</v>
      </c>
      <c r="H224" s="1">
        <v>46000</v>
      </c>
      <c r="J224" s="1"/>
    </row>
    <row r="225" spans="1:10" x14ac:dyDescent="0.35">
      <c r="A225">
        <v>999</v>
      </c>
      <c r="B225" t="s">
        <v>420</v>
      </c>
      <c r="C225" t="s">
        <v>421</v>
      </c>
      <c r="D225" t="s">
        <v>38</v>
      </c>
      <c r="E225" t="b">
        <v>1</v>
      </c>
      <c r="F225" t="s">
        <v>472</v>
      </c>
      <c r="H225" s="1">
        <v>46000</v>
      </c>
      <c r="J225" s="1"/>
    </row>
    <row r="226" spans="1:10" x14ac:dyDescent="0.35">
      <c r="A226">
        <v>998</v>
      </c>
      <c r="B226" t="s">
        <v>420</v>
      </c>
      <c r="C226" t="s">
        <v>422</v>
      </c>
      <c r="D226" t="s">
        <v>38</v>
      </c>
      <c r="E226" t="b">
        <v>1</v>
      </c>
      <c r="F226" t="s">
        <v>471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420</v>
      </c>
      <c r="C227" t="s">
        <v>49</v>
      </c>
      <c r="D227" t="s">
        <v>38</v>
      </c>
      <c r="E227" t="b">
        <v>0</v>
      </c>
      <c r="F227" t="s">
        <v>471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420</v>
      </c>
      <c r="C228" t="s">
        <v>423</v>
      </c>
      <c r="D228" t="s">
        <v>38</v>
      </c>
      <c r="E228" t="b">
        <v>1</v>
      </c>
      <c r="F228" t="s">
        <v>471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424</v>
      </c>
      <c r="C229" t="s">
        <v>425</v>
      </c>
      <c r="D229" t="s">
        <v>38</v>
      </c>
      <c r="E229" t="b">
        <v>1</v>
      </c>
      <c r="F229" t="s">
        <v>471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426</v>
      </c>
      <c r="C230" t="s">
        <v>45</v>
      </c>
      <c r="D230" t="s">
        <v>38</v>
      </c>
      <c r="E230" t="b">
        <v>0</v>
      </c>
      <c r="F230" t="s">
        <v>471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427</v>
      </c>
      <c r="C231" t="s">
        <v>273</v>
      </c>
      <c r="D231" t="s">
        <v>38</v>
      </c>
      <c r="E231" t="b">
        <v>1</v>
      </c>
      <c r="F231" t="s">
        <v>473</v>
      </c>
      <c r="H231" s="1">
        <v>46000</v>
      </c>
      <c r="J231" s="1"/>
    </row>
    <row r="232" spans="1:10" x14ac:dyDescent="0.35">
      <c r="A232">
        <v>707</v>
      </c>
      <c r="B232" t="s">
        <v>428</v>
      </c>
      <c r="C232" t="s">
        <v>192</v>
      </c>
      <c r="D232" t="s">
        <v>38</v>
      </c>
      <c r="E232" t="b">
        <v>0</v>
      </c>
      <c r="F232" t="s">
        <v>471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429</v>
      </c>
      <c r="C233" t="s">
        <v>28</v>
      </c>
      <c r="D233" t="s">
        <v>38</v>
      </c>
      <c r="E233" t="b">
        <v>0</v>
      </c>
      <c r="F233" t="s">
        <v>471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430</v>
      </c>
      <c r="C234" t="s">
        <v>318</v>
      </c>
      <c r="D234" t="s">
        <v>38</v>
      </c>
      <c r="E234" t="b">
        <v>0</v>
      </c>
      <c r="F234" t="s">
        <v>472</v>
      </c>
      <c r="H234" s="1">
        <v>46000</v>
      </c>
      <c r="J234" s="1"/>
    </row>
    <row r="235" spans="1:10" x14ac:dyDescent="0.35">
      <c r="A235">
        <v>1378</v>
      </c>
      <c r="B235" t="s">
        <v>431</v>
      </c>
      <c r="C235" t="s">
        <v>432</v>
      </c>
      <c r="D235" t="s">
        <v>38</v>
      </c>
      <c r="E235" t="b">
        <v>0</v>
      </c>
      <c r="F235" t="s">
        <v>472</v>
      </c>
      <c r="H235" s="1">
        <v>46000</v>
      </c>
      <c r="J235" s="1"/>
    </row>
    <row r="236" spans="1:10" x14ac:dyDescent="0.35">
      <c r="A236">
        <v>1254</v>
      </c>
      <c r="B236" t="s">
        <v>433</v>
      </c>
      <c r="C236" t="s">
        <v>59</v>
      </c>
      <c r="D236" t="s">
        <v>38</v>
      </c>
      <c r="E236" t="b">
        <v>0</v>
      </c>
      <c r="F236" t="s">
        <v>471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434</v>
      </c>
      <c r="C237" t="s">
        <v>435</v>
      </c>
      <c r="D237" t="s">
        <v>38</v>
      </c>
      <c r="E237" t="b">
        <v>0</v>
      </c>
      <c r="F237" t="s">
        <v>473</v>
      </c>
      <c r="H237" s="1">
        <v>46000</v>
      </c>
      <c r="J237" s="1"/>
    </row>
    <row r="238" spans="1:10" x14ac:dyDescent="0.35">
      <c r="A238">
        <v>1200</v>
      </c>
      <c r="B238" t="s">
        <v>436</v>
      </c>
      <c r="C238" t="s">
        <v>437</v>
      </c>
      <c r="D238" t="s">
        <v>38</v>
      </c>
      <c r="E238" t="b">
        <v>0</v>
      </c>
      <c r="F238" t="s">
        <v>471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280</v>
      </c>
      <c r="C239" t="s">
        <v>222</v>
      </c>
      <c r="D239" t="s">
        <v>38</v>
      </c>
      <c r="E239" t="b">
        <v>1</v>
      </c>
      <c r="F239" t="s">
        <v>472</v>
      </c>
      <c r="H239" s="1">
        <v>46000</v>
      </c>
      <c r="J239" s="1"/>
    </row>
    <row r="240" spans="1:10" x14ac:dyDescent="0.35">
      <c r="A240">
        <v>1140</v>
      </c>
      <c r="B240" t="s">
        <v>438</v>
      </c>
      <c r="C240" t="s">
        <v>326</v>
      </c>
      <c r="D240" t="s">
        <v>38</v>
      </c>
      <c r="E240" t="b">
        <v>0</v>
      </c>
      <c r="F240" t="s">
        <v>472</v>
      </c>
      <c r="H240" s="1">
        <v>46000</v>
      </c>
      <c r="J240" s="1"/>
    </row>
    <row r="241" spans="1:10" x14ac:dyDescent="0.35">
      <c r="A241">
        <v>989</v>
      </c>
      <c r="B241" t="s">
        <v>439</v>
      </c>
      <c r="C241" t="s">
        <v>87</v>
      </c>
      <c r="D241" t="s">
        <v>38</v>
      </c>
      <c r="E241" t="b">
        <v>0</v>
      </c>
      <c r="F241" t="s">
        <v>471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440</v>
      </c>
      <c r="C242" t="s">
        <v>213</v>
      </c>
      <c r="D242" t="s">
        <v>38</v>
      </c>
      <c r="E242" t="b">
        <v>0</v>
      </c>
      <c r="F242" t="s">
        <v>472</v>
      </c>
      <c r="H242" s="1">
        <v>46000</v>
      </c>
      <c r="J242" s="1"/>
    </row>
    <row r="243" spans="1:10" x14ac:dyDescent="0.35">
      <c r="A243">
        <v>875</v>
      </c>
      <c r="B243" t="s">
        <v>440</v>
      </c>
      <c r="C243" t="s">
        <v>441</v>
      </c>
      <c r="D243" t="s">
        <v>38</v>
      </c>
      <c r="E243" t="b">
        <v>0</v>
      </c>
      <c r="F243" t="s">
        <v>472</v>
      </c>
      <c r="H243" s="1">
        <v>46000</v>
      </c>
      <c r="J243" s="1"/>
    </row>
    <row r="244" spans="1:10" x14ac:dyDescent="0.35">
      <c r="A244">
        <v>62</v>
      </c>
      <c r="B244" t="s">
        <v>440</v>
      </c>
      <c r="C244" t="s">
        <v>31</v>
      </c>
      <c r="D244" t="s">
        <v>38</v>
      </c>
      <c r="E244" t="b">
        <v>0</v>
      </c>
      <c r="F244" t="s">
        <v>471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442</v>
      </c>
      <c r="C245" t="s">
        <v>443</v>
      </c>
      <c r="D245" t="s">
        <v>38</v>
      </c>
      <c r="E245" t="b">
        <v>1</v>
      </c>
      <c r="F245" t="s">
        <v>471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444</v>
      </c>
      <c r="C246" t="s">
        <v>280</v>
      </c>
      <c r="D246" t="s">
        <v>38</v>
      </c>
      <c r="E246" t="b">
        <v>0</v>
      </c>
      <c r="F246" t="s">
        <v>472</v>
      </c>
      <c r="H246" s="1">
        <v>46000</v>
      </c>
      <c r="J246" s="1"/>
    </row>
    <row r="247" spans="1:10" x14ac:dyDescent="0.35">
      <c r="A247">
        <v>744</v>
      </c>
      <c r="B247" t="s">
        <v>445</v>
      </c>
      <c r="C247" t="s">
        <v>446</v>
      </c>
      <c r="D247" t="s">
        <v>38</v>
      </c>
      <c r="E247" t="b">
        <v>0</v>
      </c>
      <c r="F247" t="s">
        <v>471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447</v>
      </c>
      <c r="C248" t="s">
        <v>270</v>
      </c>
      <c r="D248" t="s">
        <v>38</v>
      </c>
      <c r="E248" t="b">
        <v>1</v>
      </c>
      <c r="F248" t="s">
        <v>471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448</v>
      </c>
      <c r="C249" t="s">
        <v>29</v>
      </c>
      <c r="D249" t="s">
        <v>38</v>
      </c>
      <c r="E249" t="b">
        <v>0</v>
      </c>
      <c r="F249" t="s">
        <v>472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458</v>
      </c>
      <c r="B1" t="s">
        <v>459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30"/>
  <sheetViews>
    <sheetView zoomScale="120" zoomScaleNormal="120" workbookViewId="0">
      <selection activeCell="D24" sqref="D2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9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455</v>
      </c>
      <c r="B1" s="3" t="s">
        <v>3</v>
      </c>
      <c r="C1" s="38" t="s">
        <v>4</v>
      </c>
      <c r="D1" s="5" t="s">
        <v>5</v>
      </c>
      <c r="E1" s="3" t="s">
        <v>6</v>
      </c>
      <c r="F1" s="5" t="s">
        <v>7</v>
      </c>
      <c r="G1" s="5" t="s">
        <v>452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450</v>
      </c>
      <c r="M1" s="4" t="s">
        <v>449</v>
      </c>
    </row>
    <row r="2" spans="1:13" x14ac:dyDescent="0.35">
      <c r="A2" s="29">
        <v>1</v>
      </c>
      <c r="B2" s="30">
        <v>46103</v>
      </c>
      <c r="C2" s="40">
        <v>0.41666666666666669</v>
      </c>
      <c r="D2" t="s">
        <v>12</v>
      </c>
      <c r="E2">
        <v>9.5</v>
      </c>
      <c r="F2" t="s">
        <v>13</v>
      </c>
      <c r="G2" t="str">
        <f t="shared" ref="G2:G28" si="0">IF($B2="","",IF(ISNUMBER(SEARCH("Hillclimb",$D2)),"Y",""))</f>
        <v/>
      </c>
      <c r="H2" s="31" t="s">
        <v>14</v>
      </c>
      <c r="I2" s="31" t="str">
        <f t="shared" ref="I2:I27" si="1">IF($B2="","",IF(AND(NOT(_xlfn.ISFORMULA($E2)),$E2=10),"","Y"))</f>
        <v>Y</v>
      </c>
      <c r="J2" s="31" t="str">
        <f>IF($B2="","",IF(AND(NOT(_xlfn.ISFORMULA($E2)),$E2=10),"Y",""))</f>
        <v/>
      </c>
      <c r="K2" s="31" t="str">
        <f t="shared" ref="K2:K28" si="2">IF($B2="","",IF(ISNUMBER(SEARCH("Hardride",$D2)),"Y",""))</f>
        <v>Y</v>
      </c>
      <c r="L2" t="str">
        <f t="shared" ref="L2:L28" si="3">"Event_" &amp; TEXT(A2,"00")</f>
        <v>Event_01</v>
      </c>
      <c r="M2"/>
    </row>
    <row r="3" spans="1:13" x14ac:dyDescent="0.35">
      <c r="A3" s="29">
        <f>A2+1</f>
        <v>2</v>
      </c>
      <c r="B3" s="30">
        <v>46110</v>
      </c>
      <c r="C3" s="40">
        <v>0.41666666666666669</v>
      </c>
      <c r="D3" t="s">
        <v>461</v>
      </c>
      <c r="E3">
        <v>19</v>
      </c>
      <c r="F3" t="s">
        <v>13</v>
      </c>
      <c r="G3" t="str">
        <f t="shared" si="0"/>
        <v/>
      </c>
      <c r="H3" s="31" t="s">
        <v>14</v>
      </c>
      <c r="I3" s="31" t="str">
        <f t="shared" si="1"/>
        <v>Y</v>
      </c>
      <c r="J3" s="31" t="str">
        <f t="shared" ref="J3:J28" si="4">IF($B3="","",IF(AND(NOT(_xlfn.ISFORMULA($E3)),$E3=10),"Y",""))</f>
        <v/>
      </c>
      <c r="K3" s="31" t="str">
        <f t="shared" si="2"/>
        <v>Y</v>
      </c>
      <c r="L3" t="str">
        <f t="shared" si="3"/>
        <v>Event_02</v>
      </c>
      <c r="M3"/>
    </row>
    <row r="4" spans="1:13" x14ac:dyDescent="0.35">
      <c r="A4" s="29">
        <f t="shared" ref="A4:A28" si="5">A3+1</f>
        <v>3</v>
      </c>
      <c r="B4" s="30">
        <v>46119</v>
      </c>
      <c r="C4" s="40">
        <v>0.77083333333333337</v>
      </c>
      <c r="D4" t="s">
        <v>23</v>
      </c>
      <c r="E4">
        <v>10</v>
      </c>
      <c r="F4" t="s">
        <v>24</v>
      </c>
      <c r="G4" t="str">
        <f t="shared" si="0"/>
        <v/>
      </c>
      <c r="H4" s="31" t="s">
        <v>14</v>
      </c>
      <c r="I4" s="31" t="str">
        <f t="shared" si="1"/>
        <v/>
      </c>
      <c r="J4" s="31" t="str">
        <f t="shared" si="4"/>
        <v>Y</v>
      </c>
      <c r="K4" s="31" t="str">
        <f t="shared" si="2"/>
        <v/>
      </c>
      <c r="L4" t="str">
        <f t="shared" si="3"/>
        <v>Event_03</v>
      </c>
      <c r="M4"/>
    </row>
    <row r="5" spans="1:13" x14ac:dyDescent="0.35">
      <c r="A5" s="29">
        <f t="shared" si="5"/>
        <v>4</v>
      </c>
      <c r="B5" s="30">
        <v>46126</v>
      </c>
      <c r="C5" s="40">
        <v>0.77083333333333337</v>
      </c>
      <c r="D5" t="s">
        <v>23</v>
      </c>
      <c r="E5">
        <v>10</v>
      </c>
      <c r="F5" t="s">
        <v>24</v>
      </c>
      <c r="G5" t="str">
        <f t="shared" si="0"/>
        <v/>
      </c>
      <c r="H5" s="31" t="s">
        <v>14</v>
      </c>
      <c r="I5" s="31" t="str">
        <f t="shared" si="1"/>
        <v/>
      </c>
      <c r="J5" s="31" t="str">
        <f t="shared" si="4"/>
        <v>Y</v>
      </c>
      <c r="K5" s="31" t="str">
        <f t="shared" si="2"/>
        <v/>
      </c>
      <c r="L5" t="str">
        <f t="shared" si="3"/>
        <v>Event_04</v>
      </c>
      <c r="M5"/>
    </row>
    <row r="6" spans="1:13" x14ac:dyDescent="0.35">
      <c r="A6" s="29">
        <f t="shared" si="5"/>
        <v>5</v>
      </c>
      <c r="B6" s="30">
        <v>46133</v>
      </c>
      <c r="C6" s="40">
        <v>0.77083333333333337</v>
      </c>
      <c r="D6" t="s">
        <v>460</v>
      </c>
      <c r="E6">
        <v>10</v>
      </c>
      <c r="F6" t="s">
        <v>463</v>
      </c>
      <c r="G6" t="str">
        <f t="shared" si="0"/>
        <v/>
      </c>
      <c r="H6" s="31" t="s">
        <v>14</v>
      </c>
      <c r="I6" s="31" t="str">
        <f t="shared" si="1"/>
        <v/>
      </c>
      <c r="J6" s="31" t="str">
        <f t="shared" si="4"/>
        <v>Y</v>
      </c>
      <c r="K6" s="31" t="str">
        <f t="shared" si="2"/>
        <v/>
      </c>
      <c r="L6" t="str">
        <f t="shared" si="3"/>
        <v>Event_05</v>
      </c>
      <c r="M6"/>
    </row>
    <row r="7" spans="1:13" x14ac:dyDescent="0.35">
      <c r="A7" s="29">
        <f>A6+1</f>
        <v>6</v>
      </c>
      <c r="B7" s="30">
        <v>46145</v>
      </c>
      <c r="C7" s="40">
        <v>0.33333333333333331</v>
      </c>
      <c r="D7" t="s">
        <v>15</v>
      </c>
      <c r="E7">
        <v>25</v>
      </c>
      <c r="F7" t="s">
        <v>16</v>
      </c>
      <c r="G7" t="str">
        <f t="shared" si="0"/>
        <v/>
      </c>
      <c r="H7" s="31" t="s">
        <v>14</v>
      </c>
      <c r="I7" s="31" t="str">
        <f t="shared" si="1"/>
        <v>Y</v>
      </c>
      <c r="J7" s="31" t="str">
        <f t="shared" si="4"/>
        <v/>
      </c>
      <c r="K7" s="31" t="str">
        <f t="shared" si="2"/>
        <v/>
      </c>
      <c r="L7" t="str">
        <f t="shared" si="3"/>
        <v>Event_06</v>
      </c>
      <c r="M7"/>
    </row>
    <row r="8" spans="1:13" x14ac:dyDescent="0.35">
      <c r="A8" s="29">
        <f t="shared" si="5"/>
        <v>7</v>
      </c>
      <c r="B8" s="30">
        <v>46147</v>
      </c>
      <c r="C8" s="40">
        <v>0.77083333333333337</v>
      </c>
      <c r="D8" t="s">
        <v>462</v>
      </c>
      <c r="E8" s="41">
        <f>5+5</f>
        <v>10</v>
      </c>
      <c r="F8" t="s">
        <v>464</v>
      </c>
      <c r="G8" t="str">
        <f t="shared" si="0"/>
        <v/>
      </c>
      <c r="H8" s="31" t="s">
        <v>14</v>
      </c>
      <c r="I8" s="31" t="str">
        <f>IF($B8="","",IF(AND(NOT(_xlfn.ISFORMULA($E8)),$E8=10),"","Y"))</f>
        <v>Y</v>
      </c>
      <c r="J8" s="31" t="str">
        <f t="shared" si="4"/>
        <v/>
      </c>
      <c r="K8" s="31" t="str">
        <f t="shared" si="2"/>
        <v/>
      </c>
      <c r="L8" t="str">
        <f t="shared" si="3"/>
        <v>Event_07</v>
      </c>
      <c r="M8"/>
    </row>
    <row r="9" spans="1:13" x14ac:dyDescent="0.35">
      <c r="A9" s="29">
        <f t="shared" si="5"/>
        <v>8</v>
      </c>
      <c r="B9" s="30">
        <v>46161</v>
      </c>
      <c r="C9" s="40">
        <v>0.79166666666666663</v>
      </c>
      <c r="D9" t="s">
        <v>23</v>
      </c>
      <c r="E9">
        <v>10</v>
      </c>
      <c r="F9" t="s">
        <v>24</v>
      </c>
      <c r="G9" t="str">
        <f t="shared" si="0"/>
        <v/>
      </c>
      <c r="H9" s="31" t="s">
        <v>14</v>
      </c>
      <c r="I9" s="31" t="str">
        <f t="shared" si="1"/>
        <v/>
      </c>
      <c r="J9" s="31" t="str">
        <f t="shared" si="4"/>
        <v>Y</v>
      </c>
      <c r="K9" s="31" t="str">
        <f t="shared" si="2"/>
        <v/>
      </c>
      <c r="L9" t="str">
        <f t="shared" si="3"/>
        <v>Event_08</v>
      </c>
      <c r="M9"/>
    </row>
    <row r="10" spans="1:13" x14ac:dyDescent="0.35">
      <c r="A10" s="29">
        <f t="shared" si="5"/>
        <v>9</v>
      </c>
      <c r="B10" s="30">
        <v>46166</v>
      </c>
      <c r="C10" s="40">
        <v>0.33333333333333331</v>
      </c>
      <c r="D10" t="s">
        <v>15</v>
      </c>
      <c r="E10">
        <v>25</v>
      </c>
      <c r="F10" t="s">
        <v>16</v>
      </c>
      <c r="G10" t="str">
        <f t="shared" si="0"/>
        <v/>
      </c>
      <c r="H10" s="31" t="s">
        <v>14</v>
      </c>
      <c r="I10" s="31" t="str">
        <f t="shared" si="1"/>
        <v>Y</v>
      </c>
      <c r="J10" s="31" t="str">
        <f t="shared" si="4"/>
        <v/>
      </c>
      <c r="K10" s="31" t="str">
        <f t="shared" si="2"/>
        <v/>
      </c>
      <c r="L10" t="str">
        <f t="shared" si="3"/>
        <v>Event_09</v>
      </c>
      <c r="M10"/>
    </row>
    <row r="11" spans="1:13" x14ac:dyDescent="0.35">
      <c r="A11" s="29">
        <f t="shared" si="5"/>
        <v>10</v>
      </c>
      <c r="B11" s="30">
        <v>46175</v>
      </c>
      <c r="C11" s="40">
        <v>0.8125</v>
      </c>
      <c r="D11" t="s">
        <v>17</v>
      </c>
      <c r="E11">
        <v>10</v>
      </c>
      <c r="F11" t="s">
        <v>16</v>
      </c>
      <c r="G11" t="str">
        <f t="shared" si="0"/>
        <v/>
      </c>
      <c r="H11" s="31" t="s">
        <v>14</v>
      </c>
      <c r="I11" s="31" t="str">
        <f t="shared" si="1"/>
        <v/>
      </c>
      <c r="J11" s="31" t="str">
        <f t="shared" si="4"/>
        <v>Y</v>
      </c>
      <c r="K11" s="31" t="str">
        <f t="shared" si="2"/>
        <v/>
      </c>
      <c r="L11" t="str">
        <f t="shared" si="3"/>
        <v>Event_10</v>
      </c>
      <c r="M11"/>
    </row>
    <row r="12" spans="1:13" x14ac:dyDescent="0.35">
      <c r="A12" s="29">
        <f t="shared" si="5"/>
        <v>11</v>
      </c>
      <c r="B12" s="30">
        <v>46189</v>
      </c>
      <c r="C12" s="40">
        <v>0.8125</v>
      </c>
      <c r="D12" t="s">
        <v>17</v>
      </c>
      <c r="E12">
        <v>10</v>
      </c>
      <c r="F12" t="s">
        <v>16</v>
      </c>
      <c r="G12" t="str">
        <f t="shared" si="0"/>
        <v/>
      </c>
      <c r="H12" s="31" t="s">
        <v>14</v>
      </c>
      <c r="I12" s="31" t="str">
        <f t="shared" si="1"/>
        <v/>
      </c>
      <c r="J12" s="31" t="str">
        <f t="shared" si="4"/>
        <v>Y</v>
      </c>
      <c r="K12" s="31" t="str">
        <f t="shared" si="2"/>
        <v/>
      </c>
      <c r="L12" t="str">
        <f t="shared" si="3"/>
        <v>Event_11</v>
      </c>
      <c r="M12"/>
    </row>
    <row r="13" spans="1:13" x14ac:dyDescent="0.35">
      <c r="A13" s="29">
        <f t="shared" si="5"/>
        <v>12</v>
      </c>
      <c r="B13" s="30">
        <v>46194</v>
      </c>
      <c r="C13" s="40">
        <v>0.79166666666666663</v>
      </c>
      <c r="D13" t="s">
        <v>476</v>
      </c>
      <c r="E13">
        <v>25</v>
      </c>
      <c r="F13" t="s">
        <v>16</v>
      </c>
      <c r="G13" t="str">
        <f t="shared" si="0"/>
        <v/>
      </c>
      <c r="H13" s="31" t="s">
        <v>14</v>
      </c>
      <c r="I13" s="31" t="str">
        <f t="shared" si="1"/>
        <v>Y</v>
      </c>
      <c r="J13" s="31" t="str">
        <f t="shared" si="4"/>
        <v/>
      </c>
      <c r="K13" s="31" t="str">
        <f t="shared" si="2"/>
        <v/>
      </c>
      <c r="L13" t="str">
        <f t="shared" si="3"/>
        <v>Event_12</v>
      </c>
      <c r="M13"/>
    </row>
    <row r="14" spans="1:13" x14ac:dyDescent="0.35">
      <c r="A14" s="29">
        <f t="shared" si="5"/>
        <v>13</v>
      </c>
      <c r="B14" s="30">
        <v>46196</v>
      </c>
      <c r="C14" s="40">
        <v>0.79166666666666663</v>
      </c>
      <c r="D14" t="s">
        <v>478</v>
      </c>
      <c r="E14">
        <v>10</v>
      </c>
      <c r="F14" t="s">
        <v>21</v>
      </c>
      <c r="G14" t="str">
        <f t="shared" si="0"/>
        <v/>
      </c>
      <c r="H14" s="31" t="s">
        <v>14</v>
      </c>
      <c r="I14" s="31" t="str">
        <f t="shared" si="1"/>
        <v/>
      </c>
      <c r="J14" s="31" t="str">
        <f t="shared" si="4"/>
        <v>Y</v>
      </c>
      <c r="K14" s="31" t="str">
        <f t="shared" si="2"/>
        <v/>
      </c>
      <c r="L14" t="str">
        <f t="shared" si="3"/>
        <v>Event_13</v>
      </c>
      <c r="M14"/>
    </row>
    <row r="15" spans="1:13" x14ac:dyDescent="0.35">
      <c r="A15" s="29">
        <f t="shared" si="5"/>
        <v>14</v>
      </c>
      <c r="B15" s="30">
        <v>46203</v>
      </c>
      <c r="C15" s="40">
        <v>0.79166666666666663</v>
      </c>
      <c r="D15" t="s">
        <v>479</v>
      </c>
      <c r="E15">
        <v>10</v>
      </c>
      <c r="F15" t="s">
        <v>16</v>
      </c>
      <c r="G15" t="str">
        <f t="shared" si="0"/>
        <v/>
      </c>
      <c r="H15" s="31" t="s">
        <v>14</v>
      </c>
      <c r="I15" s="31" t="str">
        <f t="shared" si="1"/>
        <v/>
      </c>
      <c r="J15" s="31" t="str">
        <f t="shared" si="4"/>
        <v>Y</v>
      </c>
      <c r="K15" s="31" t="str">
        <f t="shared" si="2"/>
        <v/>
      </c>
      <c r="L15" t="str">
        <f t="shared" si="3"/>
        <v>Event_14</v>
      </c>
      <c r="M15"/>
    </row>
    <row r="16" spans="1:13" x14ac:dyDescent="0.35">
      <c r="A16" s="29">
        <f t="shared" si="5"/>
        <v>15</v>
      </c>
      <c r="B16" s="30">
        <v>46205</v>
      </c>
      <c r="C16" s="40">
        <v>0.79166666666666663</v>
      </c>
      <c r="D16" t="s">
        <v>480</v>
      </c>
      <c r="E16">
        <v>10</v>
      </c>
      <c r="F16" t="s">
        <v>466</v>
      </c>
      <c r="G16" t="str">
        <f t="shared" si="0"/>
        <v/>
      </c>
      <c r="H16" s="31" t="s">
        <v>14</v>
      </c>
      <c r="I16" s="31" t="str">
        <f t="shared" si="1"/>
        <v/>
      </c>
      <c r="J16" s="31" t="str">
        <f t="shared" si="4"/>
        <v>Y</v>
      </c>
      <c r="K16" s="31" t="str">
        <f t="shared" si="2"/>
        <v/>
      </c>
      <c r="L16" t="str">
        <f t="shared" si="3"/>
        <v>Event_15</v>
      </c>
      <c r="M16"/>
    </row>
    <row r="17" spans="1:13" x14ac:dyDescent="0.35">
      <c r="A17" s="29">
        <f t="shared" si="5"/>
        <v>16</v>
      </c>
      <c r="B17" s="30">
        <v>46211</v>
      </c>
      <c r="C17" s="40">
        <v>0.79166666666666663</v>
      </c>
      <c r="D17" t="s">
        <v>481</v>
      </c>
      <c r="E17">
        <v>10</v>
      </c>
      <c r="F17" t="s">
        <v>19</v>
      </c>
      <c r="G17" t="str">
        <f t="shared" si="0"/>
        <v/>
      </c>
      <c r="H17" s="31" t="s">
        <v>14</v>
      </c>
      <c r="I17" s="31" t="str">
        <f t="shared" si="1"/>
        <v/>
      </c>
      <c r="J17" s="31" t="str">
        <f t="shared" si="4"/>
        <v>Y</v>
      </c>
      <c r="K17" s="31" t="str">
        <f t="shared" si="2"/>
        <v/>
      </c>
      <c r="L17" t="str">
        <f t="shared" si="3"/>
        <v>Event_16</v>
      </c>
      <c r="M17"/>
    </row>
    <row r="18" spans="1:13" x14ac:dyDescent="0.35">
      <c r="A18" s="29">
        <f t="shared" si="5"/>
        <v>17</v>
      </c>
      <c r="B18" s="30">
        <v>46214</v>
      </c>
      <c r="C18" s="40">
        <v>0.45833333333333331</v>
      </c>
      <c r="D18" t="s">
        <v>482</v>
      </c>
      <c r="E18">
        <v>10</v>
      </c>
      <c r="F18" t="s">
        <v>467</v>
      </c>
      <c r="G18" t="str">
        <f t="shared" si="0"/>
        <v/>
      </c>
      <c r="H18" s="31" t="s">
        <v>14</v>
      </c>
      <c r="I18" s="31" t="str">
        <f t="shared" si="1"/>
        <v/>
      </c>
      <c r="J18" s="31" t="str">
        <f t="shared" si="4"/>
        <v>Y</v>
      </c>
      <c r="K18" s="31" t="str">
        <f t="shared" si="2"/>
        <v/>
      </c>
      <c r="L18" t="str">
        <f t="shared" si="3"/>
        <v>Event_17</v>
      </c>
      <c r="M18"/>
    </row>
    <row r="19" spans="1:13" x14ac:dyDescent="0.35">
      <c r="A19" s="29">
        <f t="shared" si="5"/>
        <v>18</v>
      </c>
      <c r="B19" s="30">
        <v>46218</v>
      </c>
      <c r="C19" s="40">
        <v>0.79166666666666663</v>
      </c>
      <c r="D19" t="s">
        <v>481</v>
      </c>
      <c r="E19">
        <v>10</v>
      </c>
      <c r="F19" t="s">
        <v>19</v>
      </c>
      <c r="G19" t="str">
        <f t="shared" si="0"/>
        <v/>
      </c>
      <c r="H19" s="31" t="s">
        <v>14</v>
      </c>
      <c r="I19" s="31" t="str">
        <f t="shared" si="1"/>
        <v/>
      </c>
      <c r="J19" s="31" t="str">
        <f t="shared" si="4"/>
        <v>Y</v>
      </c>
      <c r="K19" s="31" t="str">
        <f t="shared" si="2"/>
        <v/>
      </c>
      <c r="L19" t="str">
        <f t="shared" si="3"/>
        <v>Event_18</v>
      </c>
      <c r="M19"/>
    </row>
    <row r="20" spans="1:13" x14ac:dyDescent="0.35">
      <c r="A20" s="29">
        <f t="shared" si="5"/>
        <v>19</v>
      </c>
      <c r="B20" s="30">
        <v>46224</v>
      </c>
      <c r="C20" s="40">
        <v>0.79166666666666663</v>
      </c>
      <c r="D20" t="s">
        <v>483</v>
      </c>
      <c r="E20">
        <v>10</v>
      </c>
      <c r="F20" t="s">
        <v>22</v>
      </c>
      <c r="G20" t="str">
        <f t="shared" si="0"/>
        <v/>
      </c>
      <c r="H20" s="31" t="s">
        <v>14</v>
      </c>
      <c r="I20" s="31" t="str">
        <f t="shared" si="1"/>
        <v/>
      </c>
      <c r="J20" s="31" t="str">
        <f t="shared" si="4"/>
        <v>Y</v>
      </c>
      <c r="K20" s="31" t="str">
        <f t="shared" si="2"/>
        <v/>
      </c>
      <c r="L20" t="str">
        <f t="shared" si="3"/>
        <v>Event_19</v>
      </c>
      <c r="M20"/>
    </row>
    <row r="21" spans="1:13" x14ac:dyDescent="0.35">
      <c r="A21" s="29">
        <f t="shared" si="5"/>
        <v>20</v>
      </c>
      <c r="B21" s="30">
        <v>46228</v>
      </c>
      <c r="C21" s="40">
        <v>0.45833333333333331</v>
      </c>
      <c r="D21" t="s">
        <v>482</v>
      </c>
      <c r="E21">
        <v>10</v>
      </c>
      <c r="F21" t="s">
        <v>467</v>
      </c>
      <c r="G21" t="str">
        <f t="shared" si="0"/>
        <v/>
      </c>
      <c r="H21" s="31" t="s">
        <v>14</v>
      </c>
      <c r="I21" s="31" t="str">
        <f t="shared" si="1"/>
        <v/>
      </c>
      <c r="J21" s="31" t="str">
        <f t="shared" si="4"/>
        <v>Y</v>
      </c>
      <c r="K21" s="31" t="str">
        <f t="shared" si="2"/>
        <v/>
      </c>
      <c r="L21" t="str">
        <f t="shared" si="3"/>
        <v>Event_20</v>
      </c>
      <c r="M21"/>
    </row>
    <row r="22" spans="1:13" x14ac:dyDescent="0.35">
      <c r="A22" s="29">
        <f t="shared" si="5"/>
        <v>21</v>
      </c>
      <c r="B22" s="30">
        <v>46231</v>
      </c>
      <c r="C22" s="40">
        <v>0.79166666666666663</v>
      </c>
      <c r="D22" t="s">
        <v>478</v>
      </c>
      <c r="E22">
        <v>10</v>
      </c>
      <c r="F22" t="s">
        <v>21</v>
      </c>
      <c r="G22" t="str">
        <f t="shared" si="0"/>
        <v/>
      </c>
      <c r="H22" s="31" t="s">
        <v>14</v>
      </c>
      <c r="I22" s="31" t="str">
        <f t="shared" si="1"/>
        <v/>
      </c>
      <c r="J22" s="31" t="str">
        <f t="shared" si="4"/>
        <v>Y</v>
      </c>
      <c r="K22" s="31" t="str">
        <f t="shared" si="2"/>
        <v/>
      </c>
      <c r="L22" t="str">
        <f t="shared" si="3"/>
        <v>Event_21</v>
      </c>
      <c r="M22"/>
    </row>
    <row r="23" spans="1:13" x14ac:dyDescent="0.35">
      <c r="A23" s="29">
        <f t="shared" si="5"/>
        <v>22</v>
      </c>
      <c r="B23" s="30">
        <v>46238</v>
      </c>
      <c r="C23" s="40">
        <v>0.79166666666666663</v>
      </c>
      <c r="D23" t="s">
        <v>484</v>
      </c>
      <c r="E23">
        <v>10</v>
      </c>
      <c r="F23" t="s">
        <v>20</v>
      </c>
      <c r="G23" t="str">
        <f t="shared" si="0"/>
        <v/>
      </c>
      <c r="H23" s="31" t="s">
        <v>14</v>
      </c>
      <c r="I23" s="31" t="str">
        <f t="shared" si="1"/>
        <v/>
      </c>
      <c r="J23" s="31" t="str">
        <f t="shared" si="4"/>
        <v>Y</v>
      </c>
      <c r="K23" s="31" t="str">
        <f t="shared" si="2"/>
        <v/>
      </c>
      <c r="L23" t="str">
        <f t="shared" si="3"/>
        <v>Event_22</v>
      </c>
      <c r="M23"/>
    </row>
    <row r="24" spans="1:13" x14ac:dyDescent="0.35">
      <c r="A24" s="29">
        <f t="shared" si="5"/>
        <v>23</v>
      </c>
      <c r="B24" s="30">
        <v>46247</v>
      </c>
      <c r="C24" s="40">
        <v>0.79166666666666663</v>
      </c>
      <c r="D24" t="s">
        <v>480</v>
      </c>
      <c r="E24">
        <v>9.4</v>
      </c>
      <c r="F24" t="s">
        <v>466</v>
      </c>
      <c r="G24" t="str">
        <f t="shared" si="0"/>
        <v/>
      </c>
      <c r="H24" s="31" t="s">
        <v>14</v>
      </c>
      <c r="I24" s="31"/>
      <c r="J24" s="31" t="s">
        <v>14</v>
      </c>
      <c r="K24" s="31" t="str">
        <f t="shared" si="2"/>
        <v/>
      </c>
      <c r="L24" t="str">
        <f t="shared" si="3"/>
        <v>Event_23</v>
      </c>
      <c r="M24"/>
    </row>
    <row r="25" spans="1:13" x14ac:dyDescent="0.35">
      <c r="A25" s="29">
        <f t="shared" si="5"/>
        <v>24</v>
      </c>
      <c r="B25" s="30">
        <v>46252</v>
      </c>
      <c r="C25" s="40">
        <v>0.79166666666666663</v>
      </c>
      <c r="D25" t="s">
        <v>483</v>
      </c>
      <c r="E25">
        <v>10</v>
      </c>
      <c r="F25" t="s">
        <v>22</v>
      </c>
      <c r="G25" t="str">
        <f t="shared" si="0"/>
        <v/>
      </c>
      <c r="H25" s="31" t="s">
        <v>14</v>
      </c>
      <c r="I25" s="31" t="str">
        <f t="shared" si="1"/>
        <v/>
      </c>
      <c r="J25" s="31" t="str">
        <f t="shared" si="4"/>
        <v>Y</v>
      </c>
      <c r="K25" s="31" t="str">
        <f t="shared" si="2"/>
        <v/>
      </c>
      <c r="L25" t="str">
        <f t="shared" si="3"/>
        <v>Event_24</v>
      </c>
      <c r="M25"/>
    </row>
    <row r="26" spans="1:13" x14ac:dyDescent="0.35">
      <c r="A26" s="29">
        <f t="shared" si="5"/>
        <v>25</v>
      </c>
      <c r="B26" s="30">
        <v>46271</v>
      </c>
      <c r="C26" s="40">
        <v>0.79166666666666663</v>
      </c>
      <c r="D26" t="s">
        <v>465</v>
      </c>
      <c r="E26">
        <v>25</v>
      </c>
      <c r="F26" t="s">
        <v>18</v>
      </c>
      <c r="G26" t="str">
        <f t="shared" si="0"/>
        <v/>
      </c>
      <c r="H26" s="31" t="s">
        <v>14</v>
      </c>
      <c r="I26" s="31" t="str">
        <f t="shared" si="1"/>
        <v>Y</v>
      </c>
      <c r="J26" s="31" t="str">
        <f t="shared" si="4"/>
        <v/>
      </c>
      <c r="K26" s="31" t="str">
        <f t="shared" si="2"/>
        <v>Y</v>
      </c>
      <c r="L26" t="str">
        <f t="shared" si="3"/>
        <v>Event_25</v>
      </c>
      <c r="M26"/>
    </row>
    <row r="27" spans="1:13" x14ac:dyDescent="0.35">
      <c r="A27" s="29">
        <f t="shared" si="5"/>
        <v>26</v>
      </c>
      <c r="B27" s="30">
        <v>46292</v>
      </c>
      <c r="C27" s="39">
        <v>0.375</v>
      </c>
      <c r="D27" s="8" t="s">
        <v>477</v>
      </c>
      <c r="E27" s="7">
        <v>0.88</v>
      </c>
      <c r="F27" s="8" t="s">
        <v>468</v>
      </c>
      <c r="G27" t="str">
        <f t="shared" si="0"/>
        <v>Y</v>
      </c>
      <c r="H27" s="31" t="s">
        <v>14</v>
      </c>
      <c r="I27" s="31" t="str">
        <f t="shared" si="1"/>
        <v>Y</v>
      </c>
      <c r="J27" s="31" t="str">
        <f t="shared" si="4"/>
        <v/>
      </c>
      <c r="K27" s="31" t="str">
        <f t="shared" si="2"/>
        <v/>
      </c>
      <c r="L27" t="str">
        <f t="shared" si="3"/>
        <v>Event_26</v>
      </c>
      <c r="M27"/>
    </row>
    <row r="28" spans="1:13" x14ac:dyDescent="0.35">
      <c r="A28" s="29">
        <f t="shared" si="5"/>
        <v>27</v>
      </c>
      <c r="B28" s="30">
        <v>46382</v>
      </c>
      <c r="C28" s="39">
        <v>0.41666666666666669</v>
      </c>
      <c r="D28" s="8" t="s">
        <v>475</v>
      </c>
      <c r="E28">
        <v>10</v>
      </c>
      <c r="F28" s="8" t="s">
        <v>24</v>
      </c>
      <c r="G28" t="str">
        <f t="shared" si="0"/>
        <v/>
      </c>
      <c r="H28" s="31"/>
      <c r="I28" s="31" t="str">
        <f t="shared" ref="I28" si="6">IF($B28="","",IF($E28=10,"","Y"))</f>
        <v/>
      </c>
      <c r="J28" s="31" t="str">
        <f t="shared" si="4"/>
        <v>Y</v>
      </c>
      <c r="K28" s="31" t="str">
        <f t="shared" si="2"/>
        <v/>
      </c>
      <c r="L28" t="str">
        <f t="shared" si="3"/>
        <v>Event_27</v>
      </c>
    </row>
    <row r="29" spans="1:13" x14ac:dyDescent="0.35">
      <c r="A29" s="29"/>
      <c r="B29" s="30"/>
      <c r="E29"/>
      <c r="G29"/>
      <c r="H29" s="31"/>
      <c r="I29" s="31"/>
      <c r="J29" s="31"/>
      <c r="K29" s="31"/>
      <c r="L29"/>
    </row>
    <row r="30" spans="1:13" x14ac:dyDescent="0.35">
      <c r="A30" s="29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7" customWidth="1"/>
  </cols>
  <sheetData>
    <row r="1" spans="1:3" s="35" customFormat="1" ht="13.15" x14ac:dyDescent="0.4">
      <c r="A1" s="35" t="s">
        <v>170</v>
      </c>
      <c r="B1" s="35" t="s">
        <v>456</v>
      </c>
      <c r="C1" s="36" t="s">
        <v>457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topLeftCell="A15" workbookViewId="0">
      <selection sqref="A1:XFD1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5" customFormat="1" ht="13.15" x14ac:dyDescent="0.4">
      <c r="A1" s="35" t="s">
        <v>92</v>
      </c>
      <c r="B1" s="35" t="s">
        <v>93</v>
      </c>
      <c r="C1" s="35" t="s">
        <v>487</v>
      </c>
    </row>
    <row r="2" spans="1:4" ht="14.25" x14ac:dyDescent="0.45">
      <c r="A2" t="s">
        <v>94</v>
      </c>
      <c r="B2" t="s">
        <v>95</v>
      </c>
      <c r="C2" s="9" t="str">
        <f>_xlfn.CONCAT(A2," (",B2,")")</f>
        <v>Carl Dyson (Aerologic)</v>
      </c>
      <c r="D2" s="10"/>
    </row>
    <row r="3" spans="1:4" ht="14.25" x14ac:dyDescent="0.45">
      <c r="A3" t="s">
        <v>96</v>
      </c>
      <c r="B3" t="s">
        <v>97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98</v>
      </c>
      <c r="B4" t="s">
        <v>99</v>
      </c>
      <c r="C4" s="9" t="str">
        <f t="shared" si="0"/>
        <v>Jayne Mumford (Cov Tri)</v>
      </c>
      <c r="D4" s="10"/>
    </row>
    <row r="5" spans="1:4" ht="14.25" x14ac:dyDescent="0.45">
      <c r="A5" t="s">
        <v>100</v>
      </c>
      <c r="B5" t="s">
        <v>99</v>
      </c>
      <c r="C5" s="9" t="str">
        <f t="shared" si="0"/>
        <v>Simon Clarke (Cov Tri)</v>
      </c>
      <c r="D5" s="10"/>
    </row>
    <row r="6" spans="1:4" ht="14.25" x14ac:dyDescent="0.45">
      <c r="A6" t="s">
        <v>101</v>
      </c>
      <c r="B6" t="s">
        <v>102</v>
      </c>
      <c r="C6" s="9" t="str">
        <f t="shared" si="0"/>
        <v>Evan Collett Jnr (KCC)</v>
      </c>
      <c r="D6" s="10"/>
    </row>
    <row r="7" spans="1:4" ht="14.25" x14ac:dyDescent="0.45">
      <c r="A7" t="s">
        <v>103</v>
      </c>
      <c r="B7" t="s">
        <v>104</v>
      </c>
      <c r="C7" s="9" t="str">
        <f t="shared" si="0"/>
        <v>Harriet Hughes (LFCC)</v>
      </c>
      <c r="D7" s="10"/>
    </row>
    <row r="8" spans="1:4" ht="14.25" x14ac:dyDescent="0.45">
      <c r="A8" t="s">
        <v>105</v>
      </c>
      <c r="B8" t="s">
        <v>104</v>
      </c>
      <c r="C8" s="9" t="str">
        <f t="shared" si="0"/>
        <v>Mat Mabe (LFCC)</v>
      </c>
      <c r="D8" s="10"/>
    </row>
    <row r="9" spans="1:4" ht="14.25" x14ac:dyDescent="0.45">
      <c r="A9" t="s">
        <v>106</v>
      </c>
      <c r="B9" t="s">
        <v>104</v>
      </c>
      <c r="C9" s="9" t="str">
        <f t="shared" si="0"/>
        <v>Matt Finch (LFCC)</v>
      </c>
      <c r="D9" s="10"/>
    </row>
    <row r="10" spans="1:4" ht="14.25" x14ac:dyDescent="0.45">
      <c r="A10" t="s">
        <v>107</v>
      </c>
      <c r="B10" t="s">
        <v>104</v>
      </c>
      <c r="C10" s="9" t="str">
        <f t="shared" si="0"/>
        <v>Matthew Finch (LFCC)</v>
      </c>
      <c r="D10" s="10"/>
    </row>
    <row r="11" spans="1:4" ht="14.25" x14ac:dyDescent="0.45">
      <c r="A11" t="s">
        <v>107</v>
      </c>
      <c r="B11" t="s">
        <v>104</v>
      </c>
      <c r="C11" s="9" t="str">
        <f t="shared" si="0"/>
        <v>Matthew Finch (LFCC)</v>
      </c>
      <c r="D11" s="10"/>
    </row>
    <row r="12" spans="1:4" ht="14.25" x14ac:dyDescent="0.45">
      <c r="A12" t="s">
        <v>108</v>
      </c>
      <c r="B12" t="s">
        <v>104</v>
      </c>
      <c r="C12" s="9" t="str">
        <f t="shared" si="0"/>
        <v>Morris Mabe (LFCC)</v>
      </c>
      <c r="D12" s="10"/>
    </row>
    <row r="13" spans="1:4" ht="14.25" x14ac:dyDescent="0.45">
      <c r="A13" t="s">
        <v>109</v>
      </c>
      <c r="B13" t="s">
        <v>104</v>
      </c>
      <c r="C13" s="9" t="str">
        <f t="shared" si="0"/>
        <v>Sam Nettel (LFCC)</v>
      </c>
      <c r="D13" s="10"/>
    </row>
    <row r="14" spans="1:4" ht="14.25" x14ac:dyDescent="0.45">
      <c r="A14" t="s">
        <v>110</v>
      </c>
      <c r="B14" t="s">
        <v>104</v>
      </c>
      <c r="C14" s="9" t="str">
        <f t="shared" si="0"/>
        <v>Talles Medevives (LFCC)</v>
      </c>
      <c r="D14" s="10"/>
    </row>
    <row r="15" spans="1:4" ht="14.25" x14ac:dyDescent="0.45">
      <c r="A15" t="s">
        <v>111</v>
      </c>
      <c r="B15" t="s">
        <v>112</v>
      </c>
      <c r="C15" s="9" t="str">
        <f t="shared" si="0"/>
        <v>Dean Tacey (LRC)</v>
      </c>
      <c r="D15" s="10"/>
    </row>
    <row r="16" spans="1:4" ht="14.25" x14ac:dyDescent="0.45">
      <c r="A16" t="s">
        <v>113</v>
      </c>
      <c r="B16" t="s">
        <v>114</v>
      </c>
      <c r="C16" s="9" t="str">
        <f t="shared" si="0"/>
        <v>Joe Murray (M I Racing)</v>
      </c>
    </row>
    <row r="17" spans="1:3" ht="14.25" x14ac:dyDescent="0.45">
      <c r="A17" t="s">
        <v>115</v>
      </c>
      <c r="B17" t="s">
        <v>116</v>
      </c>
      <c r="C17" s="9" t="str">
        <f t="shared" si="0"/>
        <v>Chris Booth (MOCC)</v>
      </c>
    </row>
    <row r="18" spans="1:3" ht="14.25" x14ac:dyDescent="0.45">
      <c r="A18" t="s">
        <v>117</v>
      </c>
      <c r="B18" t="s">
        <v>116</v>
      </c>
      <c r="C18" s="9" t="str">
        <f t="shared" si="0"/>
        <v>David Cooper (MOCC)</v>
      </c>
    </row>
    <row r="19" spans="1:3" ht="14.25" x14ac:dyDescent="0.45">
      <c r="A19" t="s">
        <v>118</v>
      </c>
      <c r="B19" t="s">
        <v>116</v>
      </c>
      <c r="C19" s="9" t="str">
        <f t="shared" si="0"/>
        <v>Jamie Haines (MOCC)</v>
      </c>
    </row>
    <row r="20" spans="1:3" ht="14.25" x14ac:dyDescent="0.45">
      <c r="A20" t="s">
        <v>119</v>
      </c>
      <c r="B20" t="s">
        <v>116</v>
      </c>
      <c r="C20" s="9" t="str">
        <f t="shared" si="0"/>
        <v>Laura Ayers (MOCC)</v>
      </c>
    </row>
    <row r="21" spans="1:3" ht="14.25" x14ac:dyDescent="0.45">
      <c r="A21" t="s">
        <v>120</v>
      </c>
      <c r="B21" t="s">
        <v>121</v>
      </c>
      <c r="C21" s="9" t="str">
        <f t="shared" si="0"/>
        <v>Lewis Cooper (RAF Tri)</v>
      </c>
    </row>
    <row r="22" spans="1:3" ht="14.25" x14ac:dyDescent="0.45">
      <c r="A22" t="s">
        <v>122</v>
      </c>
      <c r="B22" t="s">
        <v>123</v>
      </c>
      <c r="C22" s="9" t="str">
        <f t="shared" si="0"/>
        <v>Alex Whitmore (RATAE)</v>
      </c>
    </row>
    <row r="23" spans="1:3" ht="14.25" x14ac:dyDescent="0.45">
      <c r="A23" t="s">
        <v>124</v>
      </c>
      <c r="B23" t="s">
        <v>123</v>
      </c>
      <c r="C23" s="9" t="str">
        <f t="shared" si="0"/>
        <v>Brian Lincoln (RATAE)</v>
      </c>
    </row>
    <row r="24" spans="1:3" ht="14.25" x14ac:dyDescent="0.45">
      <c r="A24" t="s">
        <v>125</v>
      </c>
      <c r="B24" t="s">
        <v>123</v>
      </c>
      <c r="C24" s="9" t="str">
        <f t="shared" si="0"/>
        <v>Chris Bonsor (RATAE)</v>
      </c>
    </row>
    <row r="25" spans="1:3" ht="14.25" x14ac:dyDescent="0.45">
      <c r="A25" t="s">
        <v>126</v>
      </c>
      <c r="B25" t="s">
        <v>123</v>
      </c>
      <c r="C25" s="9" t="str">
        <f t="shared" si="0"/>
        <v>Chris Spray (RATAE)</v>
      </c>
    </row>
    <row r="26" spans="1:3" ht="14.25" x14ac:dyDescent="0.45">
      <c r="A26" t="s">
        <v>127</v>
      </c>
      <c r="B26" t="s">
        <v>123</v>
      </c>
      <c r="C26" s="9" t="str">
        <f t="shared" si="0"/>
        <v>Ed Watson (RATAE)</v>
      </c>
    </row>
    <row r="27" spans="1:3" ht="14.25" x14ac:dyDescent="0.45">
      <c r="A27" t="s">
        <v>128</v>
      </c>
      <c r="B27" t="s">
        <v>123</v>
      </c>
      <c r="C27" s="9" t="str">
        <f t="shared" si="0"/>
        <v>Mark Marmoy (RATAE)</v>
      </c>
    </row>
    <row r="28" spans="1:3" ht="14.25" x14ac:dyDescent="0.45">
      <c r="A28" t="s">
        <v>129</v>
      </c>
      <c r="B28" t="s">
        <v>123</v>
      </c>
      <c r="C28" s="9" t="str">
        <f t="shared" si="0"/>
        <v>Mark Newton (RATAE)</v>
      </c>
    </row>
    <row r="29" spans="1:3" ht="14.25" x14ac:dyDescent="0.45">
      <c r="A29" t="s">
        <v>130</v>
      </c>
      <c r="B29" t="s">
        <v>123</v>
      </c>
      <c r="C29" s="9" t="str">
        <f t="shared" si="0"/>
        <v>Marshall Briggs (RATAE)</v>
      </c>
    </row>
    <row r="30" spans="1:3" ht="14.25" x14ac:dyDescent="0.45">
      <c r="A30" t="s">
        <v>131</v>
      </c>
      <c r="B30" t="s">
        <v>123</v>
      </c>
      <c r="C30" s="9" t="str">
        <f t="shared" si="0"/>
        <v>Paul Eden (RATAE)</v>
      </c>
    </row>
    <row r="31" spans="1:3" ht="14.25" x14ac:dyDescent="0.45">
      <c r="A31" t="s">
        <v>132</v>
      </c>
      <c r="B31" t="s">
        <v>123</v>
      </c>
      <c r="C31" s="9" t="str">
        <f t="shared" si="0"/>
        <v>Sadie Murphy (RATAE)</v>
      </c>
    </row>
    <row r="32" spans="1:3" ht="14.25" x14ac:dyDescent="0.45">
      <c r="A32" t="s">
        <v>133</v>
      </c>
      <c r="B32" t="s">
        <v>123</v>
      </c>
      <c r="C32" s="9" t="str">
        <f t="shared" si="0"/>
        <v>Steve Pearce (RATAE)</v>
      </c>
    </row>
    <row r="33" spans="1:3" ht="14.25" x14ac:dyDescent="0.45">
      <c r="A33" t="s">
        <v>134</v>
      </c>
      <c r="B33" t="s">
        <v>135</v>
      </c>
      <c r="C33" s="9" t="str">
        <f t="shared" si="0"/>
        <v>Adam Wells (RFW)</v>
      </c>
    </row>
    <row r="34" spans="1:3" ht="14.25" x14ac:dyDescent="0.45">
      <c r="A34" t="s">
        <v>136</v>
      </c>
      <c r="B34" t="s">
        <v>135</v>
      </c>
      <c r="C34" s="9" t="str">
        <f t="shared" si="0"/>
        <v>Alex Borrowman (RFW)</v>
      </c>
    </row>
    <row r="35" spans="1:3" ht="14.25" x14ac:dyDescent="0.45">
      <c r="A35" t="s">
        <v>137</v>
      </c>
      <c r="B35" t="s">
        <v>135</v>
      </c>
      <c r="C35" s="9" t="str">
        <f t="shared" si="0"/>
        <v>Chris Fowler (RFW)</v>
      </c>
    </row>
    <row r="36" spans="1:3" ht="14.25" x14ac:dyDescent="0.45">
      <c r="A36" t="s">
        <v>138</v>
      </c>
      <c r="B36" t="s">
        <v>135</v>
      </c>
      <c r="C36" s="9" t="str">
        <f t="shared" si="0"/>
        <v>Ethan Mitchell-Clarke (RFW)</v>
      </c>
    </row>
    <row r="37" spans="1:3" ht="14.25" x14ac:dyDescent="0.45">
      <c r="A37" t="s">
        <v>139</v>
      </c>
      <c r="B37" t="s">
        <v>135</v>
      </c>
      <c r="C37" s="9" t="str">
        <f t="shared" si="0"/>
        <v>Lynne Scofield (RFW)</v>
      </c>
    </row>
    <row r="38" spans="1:3" ht="14.25" x14ac:dyDescent="0.45">
      <c r="A38" t="s">
        <v>140</v>
      </c>
      <c r="B38" t="s">
        <v>135</v>
      </c>
      <c r="C38" s="9" t="str">
        <f t="shared" si="0"/>
        <v>Michael Carter (RFW)</v>
      </c>
    </row>
    <row r="39" spans="1:3" ht="14.25" x14ac:dyDescent="0.45">
      <c r="A39" t="s">
        <v>131</v>
      </c>
      <c r="B39" t="s">
        <v>135</v>
      </c>
      <c r="C39" s="9" t="str">
        <f t="shared" si="0"/>
        <v>Paul Eden (RFW)</v>
      </c>
    </row>
    <row r="40" spans="1:3" ht="14.25" x14ac:dyDescent="0.45">
      <c r="A40" t="s">
        <v>141</v>
      </c>
      <c r="B40" t="s">
        <v>135</v>
      </c>
      <c r="C40" s="9" t="str">
        <f t="shared" si="0"/>
        <v>Phil Wilkinson (RFW)</v>
      </c>
    </row>
    <row r="41" spans="1:3" ht="14.25" x14ac:dyDescent="0.45">
      <c r="A41" t="s">
        <v>142</v>
      </c>
      <c r="B41" t="s">
        <v>135</v>
      </c>
      <c r="C41" s="9" t="str">
        <f t="shared" si="0"/>
        <v>Philip Wilkinson (RFW)</v>
      </c>
    </row>
    <row r="42" spans="1:3" ht="14.25" x14ac:dyDescent="0.45">
      <c r="A42" t="s">
        <v>143</v>
      </c>
      <c r="B42" t="s">
        <v>144</v>
      </c>
      <c r="C42" s="9" t="str">
        <f t="shared" si="0"/>
        <v>Adrian James (Rugby RCC)</v>
      </c>
    </row>
    <row r="43" spans="1:3" ht="14.25" x14ac:dyDescent="0.45">
      <c r="A43" t="s">
        <v>145</v>
      </c>
      <c r="B43" t="s">
        <v>146</v>
      </c>
      <c r="C43" s="9" t="str">
        <f t="shared" si="0"/>
        <v>Carl Shaw (Speedhub)</v>
      </c>
    </row>
    <row r="44" spans="1:3" ht="14.25" x14ac:dyDescent="0.45">
      <c r="A44" t="s">
        <v>147</v>
      </c>
      <c r="B44" t="s">
        <v>148</v>
      </c>
      <c r="C44" s="9" t="str">
        <f t="shared" si="0"/>
        <v>Oliver Searle (St Ives CC)</v>
      </c>
    </row>
    <row r="45" spans="1:3" ht="14.25" x14ac:dyDescent="0.45">
      <c r="A45" t="s">
        <v>149</v>
      </c>
      <c r="B45" t="s">
        <v>150</v>
      </c>
      <c r="C45" s="9" t="str">
        <f t="shared" si="0"/>
        <v>Colin Parkinson (SWRC)</v>
      </c>
    </row>
    <row r="46" spans="1:3" ht="14.25" x14ac:dyDescent="0.45">
      <c r="A46" t="s">
        <v>151</v>
      </c>
      <c r="C46" s="9" t="str">
        <f t="shared" si="0"/>
        <v>Derek Lawlor ()</v>
      </c>
    </row>
    <row r="47" spans="1:3" ht="14.25" x14ac:dyDescent="0.45">
      <c r="A47" t="s">
        <v>152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83" priority="3">
      <formula>TEXT($B$104,"@")="Y"</formula>
    </cfRule>
  </conditionalFormatting>
  <conditionalFormatting sqref="G2:H101">
    <cfRule type="expression" dxfId="82" priority="2">
      <formula>$I2="X"</formula>
    </cfRule>
  </conditionalFormatting>
  <conditionalFormatting sqref="H2:H101">
    <cfRule type="expression" dxfId="8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19"/>
      <c r="D2" s="19"/>
      <c r="E2" s="19"/>
      <c r="F2" s="19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19"/>
      <c r="D3" s="19"/>
      <c r="E3" s="19"/>
      <c r="F3" s="19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19"/>
      <c r="D4" s="19"/>
      <c r="E4" s="19"/>
      <c r="F4" s="19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19"/>
      <c r="D5" s="19"/>
      <c r="E5" s="19"/>
      <c r="F5" s="19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19"/>
      <c r="D6" s="19"/>
      <c r="E6" s="19"/>
      <c r="F6" s="19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19"/>
      <c r="D7" s="19"/>
      <c r="E7" s="19"/>
      <c r="F7" s="19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19"/>
      <c r="D8" s="19"/>
      <c r="E8" s="19"/>
      <c r="F8" s="19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19"/>
      <c r="D9" s="19"/>
      <c r="E9" s="19"/>
      <c r="F9" s="19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19"/>
      <c r="D10" s="19"/>
      <c r="E10" s="19"/>
      <c r="F10" s="19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19"/>
      <c r="D11" s="19"/>
      <c r="E11" s="19"/>
      <c r="F11" s="19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19"/>
      <c r="D12" s="19"/>
      <c r="E12" s="19"/>
      <c r="F12" s="19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19"/>
      <c r="D13" s="19"/>
      <c r="E13" s="19"/>
      <c r="F13" s="19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19"/>
      <c r="D14" s="19"/>
      <c r="E14" s="19"/>
      <c r="F14" s="19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19"/>
      <c r="D15" s="19"/>
      <c r="E15" s="19"/>
      <c r="F15" s="19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19"/>
      <c r="D16" s="19"/>
      <c r="E16" s="19"/>
      <c r="F16" s="19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19"/>
      <c r="D17" s="19"/>
      <c r="E17" s="19"/>
      <c r="F17" s="19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19"/>
      <c r="D18" s="19"/>
      <c r="E18" s="19"/>
      <c r="F18" s="19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19"/>
      <c r="D19" s="19"/>
      <c r="E19" s="19"/>
      <c r="F19" s="19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19"/>
      <c r="D20" s="19"/>
      <c r="E20" s="19"/>
      <c r="F20" s="19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19"/>
      <c r="D21" s="19"/>
      <c r="E21" s="19"/>
      <c r="F21" s="19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19"/>
      <c r="D22" s="19"/>
      <c r="E22" s="19"/>
      <c r="F22" s="19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80" priority="3">
      <formula>TEXT($B$104,"@")="Y"</formula>
    </cfRule>
  </conditionalFormatting>
  <conditionalFormatting sqref="G2:H101">
    <cfRule type="expression" dxfId="79" priority="2">
      <formula>$I2="X"</formula>
    </cfRule>
  </conditionalFormatting>
  <conditionalFormatting sqref="H2:H101">
    <cfRule type="expression" dxfId="78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19"/>
      <c r="D2" s="19"/>
      <c r="E2" s="19"/>
      <c r="F2" s="19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19"/>
      <c r="D3" s="19"/>
      <c r="E3" s="19"/>
      <c r="F3" s="19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19"/>
      <c r="D4" s="19"/>
      <c r="E4" s="19"/>
      <c r="F4" s="19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19"/>
      <c r="D5" s="19"/>
      <c r="E5" s="19"/>
      <c r="F5" s="19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19"/>
      <c r="D6" s="19"/>
      <c r="E6" s="19"/>
      <c r="F6" s="19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19"/>
      <c r="D7" s="19"/>
      <c r="E7" s="19"/>
      <c r="F7" s="19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19"/>
      <c r="D8" s="19"/>
      <c r="E8" s="19"/>
      <c r="F8" s="19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19"/>
      <c r="D9" s="19"/>
      <c r="E9" s="19"/>
      <c r="F9" s="19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19"/>
      <c r="D10" s="19"/>
      <c r="E10" s="19"/>
      <c r="F10" s="19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19"/>
      <c r="D11" s="19"/>
      <c r="E11" s="19"/>
      <c r="F11" s="19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19"/>
      <c r="D12" s="19"/>
      <c r="E12" s="19"/>
      <c r="F12" s="19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19"/>
      <c r="D13" s="19"/>
      <c r="E13" s="19"/>
      <c r="F13" s="19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19"/>
      <c r="D14" s="19"/>
      <c r="E14" s="19"/>
      <c r="F14" s="19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19"/>
      <c r="D15" s="19"/>
      <c r="E15" s="19"/>
      <c r="F15" s="19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19"/>
      <c r="D16" s="19"/>
      <c r="E16" s="19"/>
      <c r="F16" s="19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19"/>
      <c r="D17" s="19"/>
      <c r="E17" s="19"/>
      <c r="F17" s="19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19"/>
      <c r="D18" s="19"/>
      <c r="E18" s="19"/>
      <c r="F18" s="19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19"/>
      <c r="D19" s="19"/>
      <c r="E19" s="19"/>
      <c r="F19" s="19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19"/>
      <c r="D20" s="19"/>
      <c r="E20" s="19"/>
      <c r="F20" s="19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19"/>
      <c r="D21" s="19"/>
      <c r="E21" s="19"/>
      <c r="F21" s="19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19"/>
      <c r="D22" s="19"/>
      <c r="E22" s="19"/>
      <c r="F22" s="19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77" priority="3">
      <formula>TEXT($B$104,"@")="Y"</formula>
    </cfRule>
  </conditionalFormatting>
  <conditionalFormatting sqref="G2:H101">
    <cfRule type="expression" dxfId="76" priority="2">
      <formula>$I2="X"</formula>
    </cfRule>
  </conditionalFormatting>
  <conditionalFormatting sqref="H2:H101">
    <cfRule type="expression" dxfId="75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5" t="str">
        <f t="shared" ref="A2:A33" si="0">IF(J2="","",_xlfn.XLOOKUP(J2,ClubNames,ClubNumbers,_xlfn.XLOOKUP(J2,RoundRobinRiderNames,RoundRobinRiderDecoratedNames,J2)))</f>
        <v/>
      </c>
      <c r="B2" s="19"/>
      <c r="C2" s="19"/>
      <c r="D2" s="19"/>
      <c r="E2" s="19"/>
      <c r="F2" s="19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5" t="str">
        <f t="shared" si="0"/>
        <v/>
      </c>
      <c r="B3" s="19"/>
      <c r="C3" s="19"/>
      <c r="D3" s="19"/>
      <c r="E3" s="19"/>
      <c r="F3" s="19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5" t="str">
        <f t="shared" si="0"/>
        <v/>
      </c>
      <c r="B4" s="19"/>
      <c r="C4" s="19"/>
      <c r="D4" s="19"/>
      <c r="E4" s="19"/>
      <c r="F4" s="19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5" t="str">
        <f t="shared" si="0"/>
        <v/>
      </c>
      <c r="B5" s="19"/>
      <c r="C5" s="19"/>
      <c r="D5" s="19"/>
      <c r="E5" s="19"/>
      <c r="F5" s="19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5" t="str">
        <f t="shared" si="0"/>
        <v/>
      </c>
      <c r="B6" s="19"/>
      <c r="C6" s="19"/>
      <c r="D6" s="19"/>
      <c r="E6" s="19"/>
      <c r="F6" s="19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5" t="str">
        <f t="shared" si="0"/>
        <v/>
      </c>
      <c r="B7" s="19"/>
      <c r="C7" s="19"/>
      <c r="D7" s="19"/>
      <c r="E7" s="19"/>
      <c r="F7" s="19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5" t="str">
        <f t="shared" si="0"/>
        <v/>
      </c>
      <c r="B8" s="19"/>
      <c r="C8" s="19"/>
      <c r="D8" s="19"/>
      <c r="E8" s="19"/>
      <c r="F8" s="19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5" t="str">
        <f t="shared" si="0"/>
        <v/>
      </c>
      <c r="B9" s="19"/>
      <c r="C9" s="19"/>
      <c r="D9" s="19"/>
      <c r="E9" s="19"/>
      <c r="F9" s="19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5" t="str">
        <f t="shared" si="0"/>
        <v/>
      </c>
      <c r="B10" s="19"/>
      <c r="C10" s="19"/>
      <c r="D10" s="19"/>
      <c r="E10" s="19"/>
      <c r="F10" s="19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5" t="str">
        <f t="shared" si="0"/>
        <v/>
      </c>
      <c r="B11" s="19"/>
      <c r="C11" s="19"/>
      <c r="D11" s="19"/>
      <c r="E11" s="19"/>
      <c r="F11" s="19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5" t="str">
        <f t="shared" si="0"/>
        <v/>
      </c>
      <c r="B12" s="19"/>
      <c r="C12" s="19"/>
      <c r="D12" s="19"/>
      <c r="E12" s="19"/>
      <c r="F12" s="19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5" t="str">
        <f t="shared" si="0"/>
        <v/>
      </c>
      <c r="B13" s="19"/>
      <c r="C13" s="19"/>
      <c r="D13" s="19"/>
      <c r="E13" s="19"/>
      <c r="F13" s="19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5" t="str">
        <f t="shared" si="0"/>
        <v/>
      </c>
      <c r="B14" s="19"/>
      <c r="C14" s="19"/>
      <c r="D14" s="19"/>
      <c r="E14" s="19"/>
      <c r="F14" s="19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5" t="str">
        <f t="shared" si="0"/>
        <v/>
      </c>
      <c r="B15" s="19"/>
      <c r="C15" s="19"/>
      <c r="D15" s="19"/>
      <c r="E15" s="19"/>
      <c r="F15" s="19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5" t="str">
        <f t="shared" si="0"/>
        <v/>
      </c>
      <c r="B16" s="19"/>
      <c r="C16" s="19"/>
      <c r="D16" s="19"/>
      <c r="E16" s="19"/>
      <c r="F16" s="19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5" t="str">
        <f t="shared" si="0"/>
        <v/>
      </c>
      <c r="B17" s="19"/>
      <c r="C17" s="19"/>
      <c r="D17" s="19"/>
      <c r="E17" s="19"/>
      <c r="F17" s="19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5" t="str">
        <f t="shared" si="0"/>
        <v/>
      </c>
      <c r="B18" s="19"/>
      <c r="C18" s="19"/>
      <c r="D18" s="19"/>
      <c r="E18" s="19"/>
      <c r="F18" s="19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5" t="str">
        <f t="shared" si="0"/>
        <v/>
      </c>
      <c r="B19" s="19"/>
      <c r="C19" s="19"/>
      <c r="D19" s="19"/>
      <c r="E19" s="19"/>
      <c r="F19" s="19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5" t="str">
        <f t="shared" si="0"/>
        <v/>
      </c>
      <c r="B20" s="19"/>
      <c r="C20" s="19"/>
      <c r="D20" s="19"/>
      <c r="E20" s="19"/>
      <c r="F20" s="19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5" t="str">
        <f t="shared" si="0"/>
        <v/>
      </c>
      <c r="B21" s="19"/>
      <c r="C21" s="19"/>
      <c r="D21" s="19"/>
      <c r="E21" s="19"/>
      <c r="F21" s="19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5" t="str">
        <f t="shared" si="0"/>
        <v/>
      </c>
      <c r="B22" s="19"/>
      <c r="C22" s="19"/>
      <c r="D22" s="19"/>
      <c r="E22" s="19"/>
      <c r="F22" s="19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5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5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5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5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5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5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5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5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5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5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5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5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5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5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5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5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5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5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5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5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5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5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5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5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5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5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5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5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5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5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5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5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5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5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5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5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5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5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5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5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5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5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5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5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5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5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5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5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5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5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5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5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5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5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5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5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5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5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5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5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5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5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5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5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5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5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5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5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5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5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5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5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5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5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5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5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5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5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5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74" priority="3">
      <formula>TEXT($B$104,"@")="Y"</formula>
    </cfRule>
  </conditionalFormatting>
  <conditionalFormatting sqref="G2:H101">
    <cfRule type="expression" dxfId="73" priority="2">
      <formula>$I2="X"</formula>
    </cfRule>
  </conditionalFormatting>
  <conditionalFormatting sqref="H2:H101">
    <cfRule type="expression" dxfId="7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8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19"/>
      <c r="D2" s="19"/>
      <c r="E2" s="19"/>
      <c r="F2" s="19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19"/>
      <c r="D3" s="19"/>
      <c r="E3" s="19"/>
      <c r="F3" s="19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19"/>
      <c r="D4" s="19"/>
      <c r="E4" s="19"/>
      <c r="F4" s="19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19"/>
      <c r="D5" s="19"/>
      <c r="E5" s="19"/>
      <c r="F5" s="19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19"/>
      <c r="D6" s="19"/>
      <c r="E6" s="19"/>
      <c r="F6" s="19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19"/>
      <c r="D7" s="19"/>
      <c r="E7" s="19"/>
      <c r="F7" s="19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19"/>
      <c r="D8" s="19"/>
      <c r="E8" s="19"/>
      <c r="F8" s="19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19"/>
      <c r="D9" s="19"/>
      <c r="E9" s="19"/>
      <c r="F9" s="19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19"/>
      <c r="D10" s="19"/>
      <c r="E10" s="19"/>
      <c r="F10" s="19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19"/>
      <c r="D11" s="19"/>
      <c r="E11" s="19"/>
      <c r="F11" s="19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19"/>
      <c r="D12" s="19"/>
      <c r="E12" s="19"/>
      <c r="F12" s="19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19"/>
      <c r="D13" s="19"/>
      <c r="E13" s="19"/>
      <c r="F13" s="19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19"/>
      <c r="D14" s="19"/>
      <c r="E14" s="19"/>
      <c r="F14" s="19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19"/>
      <c r="D15" s="19"/>
      <c r="E15" s="19"/>
      <c r="F15" s="19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19"/>
      <c r="D16" s="19"/>
      <c r="E16" s="19"/>
      <c r="F16" s="19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19"/>
      <c r="D17" s="19"/>
      <c r="E17" s="19"/>
      <c r="F17" s="19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19"/>
      <c r="D18" s="19"/>
      <c r="E18" s="19"/>
      <c r="F18" s="19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19"/>
      <c r="D19" s="19"/>
      <c r="E19" s="19"/>
      <c r="F19" s="19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19"/>
      <c r="D20" s="19"/>
      <c r="E20" s="19"/>
      <c r="F20" s="19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19"/>
      <c r="D21" s="19"/>
      <c r="E21" s="19"/>
      <c r="F21" s="19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19"/>
      <c r="D22" s="19"/>
      <c r="E22" s="19"/>
      <c r="F22" s="19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ht="15" x14ac:dyDescent="0.4">
      <c r="G102" s="26"/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71" priority="3">
      <formula>TEXT($B$104,"@")="Y"</formula>
    </cfRule>
  </conditionalFormatting>
  <conditionalFormatting sqref="G2:H101">
    <cfRule type="expression" dxfId="70" priority="2">
      <formula>$I2="X"</formula>
    </cfRule>
  </conditionalFormatting>
  <conditionalFormatting sqref="H2:H101">
    <cfRule type="expression" dxfId="69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19"/>
      <c r="D2" s="19"/>
      <c r="E2" s="19"/>
      <c r="F2" s="19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19"/>
      <c r="D3" s="19"/>
      <c r="E3" s="19"/>
      <c r="F3" s="19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19"/>
      <c r="D4" s="19"/>
      <c r="E4" s="19"/>
      <c r="F4" s="19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19"/>
      <c r="D5" s="19"/>
      <c r="E5" s="19"/>
      <c r="F5" s="19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19"/>
      <c r="D6" s="19"/>
      <c r="E6" s="19"/>
      <c r="F6" s="19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19"/>
      <c r="D7" s="19"/>
      <c r="E7" s="19"/>
      <c r="F7" s="19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19"/>
      <c r="D8" s="19"/>
      <c r="E8" s="19"/>
      <c r="F8" s="19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19"/>
      <c r="D9" s="19"/>
      <c r="E9" s="19"/>
      <c r="F9" s="19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19"/>
      <c r="D10" s="19"/>
      <c r="E10" s="19"/>
      <c r="F10" s="19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19"/>
      <c r="D11" s="19"/>
      <c r="E11" s="19"/>
      <c r="F11" s="19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19"/>
      <c r="D12" s="19"/>
      <c r="E12" s="19"/>
      <c r="F12" s="19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19"/>
      <c r="D13" s="19"/>
      <c r="E13" s="19"/>
      <c r="F13" s="19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19"/>
      <c r="D14" s="19"/>
      <c r="E14" s="19"/>
      <c r="F14" s="19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19"/>
      <c r="D15" s="19"/>
      <c r="E15" s="19"/>
      <c r="F15" s="19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19"/>
      <c r="D16" s="19"/>
      <c r="E16" s="19"/>
      <c r="F16" s="19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19"/>
      <c r="D17" s="19"/>
      <c r="E17" s="19"/>
      <c r="F17" s="19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19"/>
      <c r="D18" s="19"/>
      <c r="E18" s="19"/>
      <c r="F18" s="19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19"/>
      <c r="D19" s="19"/>
      <c r="E19" s="19"/>
      <c r="F19" s="19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19"/>
      <c r="D20" s="19"/>
      <c r="E20" s="19"/>
      <c r="F20" s="19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19"/>
      <c r="D21" s="19"/>
      <c r="E21" s="19"/>
      <c r="F21" s="19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19"/>
      <c r="D22" s="19"/>
      <c r="E22" s="19"/>
      <c r="F22" s="19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68" priority="3">
      <formula>TEXT($B$104,"@")="Y"</formula>
    </cfRule>
  </conditionalFormatting>
  <conditionalFormatting sqref="G2:H101">
    <cfRule type="expression" dxfId="67" priority="2">
      <formula>$I2="X"</formula>
    </cfRule>
  </conditionalFormatting>
  <conditionalFormatting sqref="H2:H101">
    <cfRule type="expression" dxfId="66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19"/>
      <c r="D2" s="19"/>
      <c r="E2" s="19"/>
      <c r="F2" s="19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19"/>
      <c r="D3" s="19"/>
      <c r="E3" s="19"/>
      <c r="F3" s="19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19"/>
      <c r="D4" s="19"/>
      <c r="E4" s="19"/>
      <c r="F4" s="19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19"/>
      <c r="D5" s="19"/>
      <c r="E5" s="19"/>
      <c r="F5" s="19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19"/>
      <c r="D6" s="19"/>
      <c r="E6" s="19"/>
      <c r="F6" s="19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19"/>
      <c r="D7" s="19"/>
      <c r="E7" s="19"/>
      <c r="F7" s="19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19"/>
      <c r="D8" s="19"/>
      <c r="E8" s="19"/>
      <c r="F8" s="19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19"/>
      <c r="D9" s="19"/>
      <c r="E9" s="19"/>
      <c r="F9" s="19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19"/>
      <c r="D10" s="19"/>
      <c r="E10" s="19"/>
      <c r="F10" s="19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19"/>
      <c r="D11" s="19"/>
      <c r="E11" s="19"/>
      <c r="F11" s="19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19"/>
      <c r="D12" s="19"/>
      <c r="E12" s="19"/>
      <c r="F12" s="19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19"/>
      <c r="D13" s="19"/>
      <c r="E13" s="19"/>
      <c r="F13" s="19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19"/>
      <c r="D14" s="19"/>
      <c r="E14" s="19"/>
      <c r="F14" s="19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19"/>
      <c r="D15" s="19"/>
      <c r="E15" s="19"/>
      <c r="F15" s="19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19"/>
      <c r="D16" s="19"/>
      <c r="E16" s="19"/>
      <c r="F16" s="19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19"/>
      <c r="D17" s="19"/>
      <c r="E17" s="19"/>
      <c r="F17" s="19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19"/>
      <c r="D18" s="19"/>
      <c r="E18" s="19"/>
      <c r="F18" s="19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19"/>
      <c r="D19" s="19"/>
      <c r="E19" s="19"/>
      <c r="F19" s="19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19"/>
      <c r="D20" s="19"/>
      <c r="E20" s="19"/>
      <c r="F20" s="19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19"/>
      <c r="D21" s="19"/>
      <c r="E21" s="19"/>
      <c r="F21" s="19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19"/>
      <c r="D22" s="19"/>
      <c r="E22" s="19"/>
      <c r="F22" s="19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65" priority="3">
      <formula>TEXT($B$104,"@")="Y"</formula>
    </cfRule>
  </conditionalFormatting>
  <conditionalFormatting sqref="G2:H101">
    <cfRule type="expression" dxfId="64" priority="2">
      <formula>$I2="X"</formula>
    </cfRule>
  </conditionalFormatting>
  <conditionalFormatting sqref="H2:H101">
    <cfRule type="expression" dxfId="63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19"/>
      <c r="D2" s="19"/>
      <c r="E2" s="19"/>
      <c r="F2" s="19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19"/>
      <c r="D3" s="19"/>
      <c r="E3" s="19"/>
      <c r="F3" s="19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19"/>
      <c r="D4" s="19"/>
      <c r="E4" s="19"/>
      <c r="F4" s="19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19"/>
      <c r="D5" s="19"/>
      <c r="E5" s="19"/>
      <c r="F5" s="19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19"/>
      <c r="D6" s="19"/>
      <c r="E6" s="19"/>
      <c r="F6" s="19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19"/>
      <c r="D7" s="19"/>
      <c r="E7" s="19"/>
      <c r="F7" s="19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19"/>
      <c r="D8" s="19"/>
      <c r="E8" s="19"/>
      <c r="F8" s="19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19"/>
      <c r="D9" s="19"/>
      <c r="E9" s="19"/>
      <c r="F9" s="19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19"/>
      <c r="D10" s="19"/>
      <c r="E10" s="19"/>
      <c r="F10" s="19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19"/>
      <c r="D11" s="19"/>
      <c r="E11" s="19"/>
      <c r="F11" s="19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19"/>
      <c r="D12" s="19"/>
      <c r="E12" s="19"/>
      <c r="F12" s="19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19"/>
      <c r="D13" s="19"/>
      <c r="E13" s="19"/>
      <c r="F13" s="19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19"/>
      <c r="D14" s="19"/>
      <c r="E14" s="19"/>
      <c r="F14" s="19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19"/>
      <c r="D15" s="19"/>
      <c r="E15" s="19"/>
      <c r="F15" s="19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19"/>
      <c r="D16" s="19"/>
      <c r="E16" s="19"/>
      <c r="F16" s="19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19"/>
      <c r="D17" s="19"/>
      <c r="E17" s="19"/>
      <c r="F17" s="19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19"/>
      <c r="D18" s="19"/>
      <c r="E18" s="19"/>
      <c r="F18" s="19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19"/>
      <c r="D19" s="19"/>
      <c r="E19" s="19"/>
      <c r="F19" s="19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19"/>
      <c r="D20" s="19"/>
      <c r="E20" s="19"/>
      <c r="F20" s="19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19"/>
      <c r="D21" s="19"/>
      <c r="E21" s="19"/>
      <c r="F21" s="19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19"/>
      <c r="D22" s="19"/>
      <c r="E22" s="19"/>
      <c r="F22" s="19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62" priority="3">
      <formula>TEXT($B$104,"@")="Y"</formula>
    </cfRule>
  </conditionalFormatting>
  <conditionalFormatting sqref="G2:H101">
    <cfRule type="expression" dxfId="61" priority="2">
      <formula>$I2="X"</formula>
    </cfRule>
  </conditionalFormatting>
  <conditionalFormatting sqref="H2:H101">
    <cfRule type="expression" dxfId="60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19"/>
      <c r="D2" s="19"/>
      <c r="E2" s="19"/>
      <c r="F2" s="19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19"/>
      <c r="D3" s="19"/>
      <c r="E3" s="19"/>
      <c r="F3" s="19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19"/>
      <c r="D4" s="19"/>
      <c r="E4" s="19"/>
      <c r="F4" s="19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19"/>
      <c r="D5" s="19"/>
      <c r="E5" s="19"/>
      <c r="F5" s="19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19"/>
      <c r="D6" s="19"/>
      <c r="E6" s="19"/>
      <c r="F6" s="19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19"/>
      <c r="D7" s="19"/>
      <c r="E7" s="19"/>
      <c r="F7" s="19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19"/>
      <c r="D8" s="19"/>
      <c r="E8" s="19"/>
      <c r="F8" s="19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19"/>
      <c r="D9" s="19"/>
      <c r="E9" s="19"/>
      <c r="F9" s="19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19"/>
      <c r="D10" s="19"/>
      <c r="E10" s="19"/>
      <c r="F10" s="19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19"/>
      <c r="D11" s="19"/>
      <c r="E11" s="19"/>
      <c r="F11" s="19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19"/>
      <c r="D12" s="19"/>
      <c r="E12" s="19"/>
      <c r="F12" s="19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19"/>
      <c r="D13" s="19"/>
      <c r="E13" s="19"/>
      <c r="F13" s="19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19"/>
      <c r="D14" s="19"/>
      <c r="E14" s="19"/>
      <c r="F14" s="19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19"/>
      <c r="D15" s="19"/>
      <c r="E15" s="19"/>
      <c r="F15" s="19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19"/>
      <c r="D16" s="19"/>
      <c r="E16" s="19"/>
      <c r="F16" s="19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19"/>
      <c r="D17" s="19"/>
      <c r="E17" s="19"/>
      <c r="F17" s="19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19"/>
      <c r="D18" s="19"/>
      <c r="E18" s="19"/>
      <c r="F18" s="19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19"/>
      <c r="D19" s="19"/>
      <c r="E19" s="19"/>
      <c r="F19" s="19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19"/>
      <c r="D20" s="19"/>
      <c r="E20" s="19"/>
      <c r="F20" s="19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19"/>
      <c r="D21" s="19"/>
      <c r="E21" s="19"/>
      <c r="F21" s="19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19"/>
      <c r="D22" s="19"/>
      <c r="E22" s="19"/>
      <c r="F22" s="19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59" priority="3">
      <formula>TEXT($B$104,"@")="Y"</formula>
    </cfRule>
  </conditionalFormatting>
  <conditionalFormatting sqref="G2:H101">
    <cfRule type="expression" dxfId="58" priority="2">
      <formula>$I2="X"</formula>
    </cfRule>
  </conditionalFormatting>
  <conditionalFormatting sqref="H2:H101">
    <cfRule type="expression" dxfId="57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19"/>
      <c r="D2" s="19"/>
      <c r="E2" s="19"/>
      <c r="F2" s="19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19"/>
      <c r="D3" s="19"/>
      <c r="E3" s="19"/>
      <c r="F3" s="19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19"/>
      <c r="D4" s="19"/>
      <c r="E4" s="19"/>
      <c r="F4" s="19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19"/>
      <c r="D5" s="19"/>
      <c r="E5" s="19"/>
      <c r="F5" s="19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19"/>
      <c r="D6" s="19"/>
      <c r="E6" s="19"/>
      <c r="F6" s="19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19"/>
      <c r="D7" s="19"/>
      <c r="E7" s="19"/>
      <c r="F7" s="19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19"/>
      <c r="D8" s="19"/>
      <c r="E8" s="19"/>
      <c r="F8" s="19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19"/>
      <c r="D9" s="19"/>
      <c r="E9" s="19"/>
      <c r="F9" s="19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19"/>
      <c r="D10" s="19"/>
      <c r="E10" s="19"/>
      <c r="F10" s="19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19"/>
      <c r="D11" s="19"/>
      <c r="E11" s="19"/>
      <c r="F11" s="19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19"/>
      <c r="D12" s="19"/>
      <c r="E12" s="19"/>
      <c r="F12" s="19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19"/>
      <c r="D13" s="19"/>
      <c r="E13" s="19"/>
      <c r="F13" s="19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19"/>
      <c r="D14" s="19"/>
      <c r="E14" s="19"/>
      <c r="F14" s="19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19"/>
      <c r="D15" s="19"/>
      <c r="E15" s="19"/>
      <c r="F15" s="19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19"/>
      <c r="D16" s="19"/>
      <c r="E16" s="19"/>
      <c r="F16" s="19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19"/>
      <c r="D17" s="19"/>
      <c r="E17" s="19"/>
      <c r="F17" s="19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19"/>
      <c r="D18" s="19"/>
      <c r="E18" s="19"/>
      <c r="F18" s="19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19"/>
      <c r="D19" s="19"/>
      <c r="E19" s="19"/>
      <c r="F19" s="19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19"/>
      <c r="D20" s="19"/>
      <c r="E20" s="19"/>
      <c r="F20" s="19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19"/>
      <c r="D21" s="19"/>
      <c r="E21" s="19"/>
      <c r="F21" s="19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19"/>
      <c r="D22" s="19"/>
      <c r="E22" s="19"/>
      <c r="F22" s="19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56" priority="3">
      <formula>TEXT($B$104,"@")="Y"</formula>
    </cfRule>
  </conditionalFormatting>
  <conditionalFormatting sqref="G2:H101">
    <cfRule type="expression" dxfId="55" priority="2">
      <formula>$I2="X"</formula>
    </cfRule>
  </conditionalFormatting>
  <conditionalFormatting sqref="H2:H101">
    <cfRule type="expression" dxfId="54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19"/>
      <c r="D2" s="19"/>
      <c r="E2" s="19"/>
      <c r="F2" s="19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19"/>
      <c r="D3" s="19"/>
      <c r="E3" s="19"/>
      <c r="F3" s="19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19"/>
      <c r="D4" s="19"/>
      <c r="E4" s="19"/>
      <c r="F4" s="19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19"/>
      <c r="D5" s="19"/>
      <c r="E5" s="19"/>
      <c r="F5" s="19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19"/>
      <c r="D6" s="19"/>
      <c r="E6" s="19"/>
      <c r="F6" s="19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19"/>
      <c r="D7" s="19"/>
      <c r="E7" s="19"/>
      <c r="F7" s="19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19"/>
      <c r="D8" s="19"/>
      <c r="E8" s="19"/>
      <c r="F8" s="19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19"/>
      <c r="D9" s="19"/>
      <c r="E9" s="19"/>
      <c r="F9" s="19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19"/>
      <c r="D10" s="19"/>
      <c r="E10" s="19"/>
      <c r="F10" s="19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19"/>
      <c r="D11" s="19"/>
      <c r="E11" s="19"/>
      <c r="F11" s="19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19"/>
      <c r="D12" s="19"/>
      <c r="E12" s="19"/>
      <c r="F12" s="19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19"/>
      <c r="D13" s="19"/>
      <c r="E13" s="19"/>
      <c r="F13" s="19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19"/>
      <c r="D14" s="19"/>
      <c r="E14" s="19"/>
      <c r="F14" s="19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19"/>
      <c r="D15" s="19"/>
      <c r="E15" s="19"/>
      <c r="F15" s="19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19"/>
      <c r="D16" s="19"/>
      <c r="E16" s="19"/>
      <c r="F16" s="19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19"/>
      <c r="D17" s="19"/>
      <c r="E17" s="19"/>
      <c r="F17" s="19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19"/>
      <c r="D18" s="19"/>
      <c r="E18" s="19"/>
      <c r="F18" s="19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19"/>
      <c r="D19" s="19"/>
      <c r="E19" s="19"/>
      <c r="F19" s="19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19"/>
      <c r="D20" s="19"/>
      <c r="E20" s="19"/>
      <c r="F20" s="19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19"/>
      <c r="D21" s="19"/>
      <c r="E21" s="19"/>
      <c r="F21" s="19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19"/>
      <c r="D22" s="19"/>
      <c r="E22" s="19"/>
      <c r="F22" s="19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19"/>
      <c r="D23" s="19"/>
      <c r="E23" s="19"/>
      <c r="F23" s="19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19"/>
      <c r="D24" s="19"/>
      <c r="E24" s="19"/>
      <c r="F24" s="19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19"/>
      <c r="D25" s="19"/>
      <c r="E25" s="19"/>
      <c r="F25" s="19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19"/>
      <c r="D26" s="19"/>
      <c r="E26" s="19"/>
      <c r="F26" s="19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19"/>
      <c r="D27" s="19"/>
      <c r="E27" s="19"/>
      <c r="F27" s="19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19"/>
      <c r="D28" s="19"/>
      <c r="E28" s="19"/>
      <c r="F28" s="19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19"/>
      <c r="D29" s="19"/>
      <c r="E29" s="19"/>
      <c r="F29" s="19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19"/>
      <c r="D30" s="19"/>
      <c r="E30" s="19"/>
      <c r="F30" s="19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19"/>
      <c r="D31" s="19"/>
      <c r="E31" s="19"/>
      <c r="F31" s="19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19"/>
      <c r="D32" s="19"/>
      <c r="E32" s="19"/>
      <c r="F32" s="19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19"/>
      <c r="D33" s="19"/>
      <c r="E33" s="19"/>
      <c r="F33" s="19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19"/>
      <c r="D34" s="19"/>
      <c r="E34" s="19"/>
      <c r="F34" s="19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19"/>
      <c r="D35" s="19"/>
      <c r="E35" s="19"/>
      <c r="F35" s="19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19"/>
      <c r="D36" s="19"/>
      <c r="E36" s="19"/>
      <c r="F36" s="19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19"/>
      <c r="D37" s="19"/>
      <c r="E37" s="19"/>
      <c r="F37" s="19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19"/>
      <c r="D38" s="19"/>
      <c r="E38" s="19"/>
      <c r="F38" s="19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19"/>
      <c r="D39" s="19"/>
      <c r="E39" s="19"/>
      <c r="F39" s="19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19"/>
      <c r="D40" s="19"/>
      <c r="E40" s="19"/>
      <c r="F40" s="19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19"/>
      <c r="D41" s="19"/>
      <c r="E41" s="19"/>
      <c r="F41" s="19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19"/>
      <c r="D42" s="19"/>
      <c r="E42" s="19"/>
      <c r="F42" s="19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19"/>
      <c r="D43" s="19"/>
      <c r="E43" s="19"/>
      <c r="F43" s="19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19"/>
      <c r="D44" s="19"/>
      <c r="E44" s="19"/>
      <c r="F44" s="19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19"/>
      <c r="D45" s="19"/>
      <c r="E45" s="19"/>
      <c r="F45" s="19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19"/>
      <c r="D46" s="19"/>
      <c r="E46" s="19"/>
      <c r="F46" s="19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19"/>
      <c r="D47" s="19"/>
      <c r="E47" s="19"/>
      <c r="F47" s="19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19"/>
      <c r="D48" s="19"/>
      <c r="E48" s="19"/>
      <c r="F48" s="19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19"/>
      <c r="D49" s="19"/>
      <c r="E49" s="19"/>
      <c r="F49" s="19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19"/>
      <c r="D50" s="19"/>
      <c r="E50" s="19"/>
      <c r="F50" s="19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19"/>
      <c r="D51" s="19"/>
      <c r="E51" s="19"/>
      <c r="F51" s="19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19"/>
      <c r="D52" s="19"/>
      <c r="E52" s="19"/>
      <c r="F52" s="19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19"/>
      <c r="D53" s="19"/>
      <c r="E53" s="19"/>
      <c r="F53" s="19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19"/>
      <c r="D54" s="19"/>
      <c r="E54" s="19"/>
      <c r="F54" s="19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19"/>
      <c r="D55" s="19"/>
      <c r="E55" s="19"/>
      <c r="F55" s="19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19"/>
      <c r="D56" s="19"/>
      <c r="E56" s="19"/>
      <c r="F56" s="19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19"/>
      <c r="D57" s="19"/>
      <c r="E57" s="19"/>
      <c r="F57" s="19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19"/>
      <c r="D58" s="19"/>
      <c r="E58" s="19"/>
      <c r="F58" s="19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19"/>
      <c r="D59" s="19"/>
      <c r="E59" s="19"/>
      <c r="F59" s="19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19"/>
      <c r="D60" s="19"/>
      <c r="E60" s="19"/>
      <c r="F60" s="19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19"/>
      <c r="D61" s="19"/>
      <c r="E61" s="19"/>
      <c r="F61" s="19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19"/>
      <c r="D62" s="19"/>
      <c r="E62" s="19"/>
      <c r="F62" s="19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19"/>
      <c r="D63" s="19"/>
      <c r="E63" s="19"/>
      <c r="F63" s="19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19"/>
      <c r="D64" s="19"/>
      <c r="E64" s="19"/>
      <c r="F64" s="19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19"/>
      <c r="D65" s="19"/>
      <c r="E65" s="19"/>
      <c r="F65" s="19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19"/>
      <c r="D66" s="19"/>
      <c r="E66" s="19"/>
      <c r="F66" s="19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19"/>
      <c r="D67" s="19"/>
      <c r="E67" s="19"/>
      <c r="F67" s="19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19"/>
      <c r="D68" s="19"/>
      <c r="E68" s="19"/>
      <c r="F68" s="19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19"/>
      <c r="D69" s="19"/>
      <c r="E69" s="19"/>
      <c r="F69" s="19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19"/>
      <c r="D70" s="19"/>
      <c r="E70" s="19"/>
      <c r="F70" s="19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19"/>
      <c r="D71" s="19"/>
      <c r="E71" s="19"/>
      <c r="F71" s="19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19"/>
      <c r="D72" s="19"/>
      <c r="E72" s="19"/>
      <c r="F72" s="19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19"/>
      <c r="D73" s="19"/>
      <c r="E73" s="19"/>
      <c r="F73" s="19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19"/>
      <c r="D74" s="19"/>
      <c r="E74" s="19"/>
      <c r="F74" s="19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19"/>
      <c r="D75" s="19"/>
      <c r="E75" s="19"/>
      <c r="F75" s="19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19"/>
      <c r="D76" s="19"/>
      <c r="E76" s="19"/>
      <c r="F76" s="19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19"/>
      <c r="D77" s="19"/>
      <c r="E77" s="19"/>
      <c r="F77" s="19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19"/>
      <c r="D78" s="19"/>
      <c r="E78" s="19"/>
      <c r="F78" s="19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19"/>
      <c r="D79" s="19"/>
      <c r="E79" s="19"/>
      <c r="F79" s="19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19"/>
      <c r="D80" s="19"/>
      <c r="E80" s="19"/>
      <c r="F80" s="19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19"/>
      <c r="D81" s="19"/>
      <c r="E81" s="19"/>
      <c r="F81" s="19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19"/>
      <c r="D82" s="19"/>
      <c r="E82" s="19"/>
      <c r="F82" s="19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19"/>
      <c r="D83" s="19"/>
      <c r="E83" s="19"/>
      <c r="F83" s="19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19"/>
      <c r="D84" s="19"/>
      <c r="E84" s="19"/>
      <c r="F84" s="19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19"/>
      <c r="D85" s="19"/>
      <c r="E85" s="19"/>
      <c r="F85" s="19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19"/>
      <c r="D86" s="19"/>
      <c r="E86" s="19"/>
      <c r="F86" s="19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19"/>
      <c r="D87" s="19"/>
      <c r="E87" s="19"/>
      <c r="F87" s="19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19"/>
      <c r="D88" s="19"/>
      <c r="E88" s="19"/>
      <c r="F88" s="19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19"/>
      <c r="D89" s="19"/>
      <c r="E89" s="19"/>
      <c r="F89" s="19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19"/>
      <c r="D90" s="19"/>
      <c r="E90" s="19"/>
      <c r="F90" s="19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19"/>
      <c r="D91" s="19"/>
      <c r="E91" s="19"/>
      <c r="F91" s="19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19"/>
      <c r="D92" s="19"/>
      <c r="E92" s="19"/>
      <c r="F92" s="19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19"/>
      <c r="D93" s="19"/>
      <c r="E93" s="19"/>
      <c r="F93" s="19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19"/>
      <c r="D94" s="19"/>
      <c r="E94" s="19"/>
      <c r="F94" s="19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19"/>
      <c r="D95" s="19"/>
      <c r="E95" s="19"/>
      <c r="F95" s="19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19"/>
      <c r="D96" s="19"/>
      <c r="E96" s="19"/>
      <c r="F96" s="19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19"/>
      <c r="D97" s="19"/>
      <c r="E97" s="19"/>
      <c r="F97" s="19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19"/>
      <c r="D98" s="19"/>
      <c r="E98" s="19"/>
      <c r="F98" s="19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19"/>
      <c r="D99" s="19"/>
      <c r="E99" s="19"/>
      <c r="F99" s="19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19"/>
      <c r="D100" s="19"/>
      <c r="E100" s="19"/>
      <c r="F100" s="19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19"/>
      <c r="D101" s="19"/>
      <c r="E101" s="19"/>
      <c r="F101" s="19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53" priority="3">
      <formula>TEXT($B$104,"@")="Y"</formula>
    </cfRule>
  </conditionalFormatting>
  <conditionalFormatting sqref="G2:H101">
    <cfRule type="expression" dxfId="52" priority="2">
      <formula>$I2="X"</formula>
    </cfRule>
  </conditionalFormatting>
  <conditionalFormatting sqref="H2:H101">
    <cfRule type="expression" dxfId="5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50" priority="3">
      <formula>TEXT($B$104,"@")="Y"</formula>
    </cfRule>
  </conditionalFormatting>
  <conditionalFormatting sqref="G2:H101">
    <cfRule type="expression" dxfId="49" priority="2">
      <formula>$I2="X"</formula>
    </cfRule>
  </conditionalFormatting>
  <conditionalFormatting sqref="H2:H101">
    <cfRule type="expression" dxfId="48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2" sqref="J2"/>
    </sheetView>
  </sheetViews>
  <sheetFormatPr defaultColWidth="9.1328125" defaultRowHeight="12.75" x14ac:dyDescent="0.35"/>
  <cols>
    <col min="1" max="1" width="24.066406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47" priority="3">
      <formula>TEXT($B$104,"@")="Y"</formula>
    </cfRule>
  </conditionalFormatting>
  <conditionalFormatting sqref="G2:H101">
    <cfRule type="expression" dxfId="46" priority="2">
      <formula>$I2="X"</formula>
    </cfRule>
  </conditionalFormatting>
  <conditionalFormatting sqref="H2:H101">
    <cfRule type="expression" dxfId="45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44" priority="3">
      <formula>TEXT($B$104,"@")="Y"</formula>
    </cfRule>
  </conditionalFormatting>
  <conditionalFormatting sqref="G2:H101">
    <cfRule type="expression" dxfId="43" priority="2">
      <formula>$I2="X"</formula>
    </cfRule>
  </conditionalFormatting>
  <conditionalFormatting sqref="H2:H101">
    <cfRule type="expression" dxfId="42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41" priority="3">
      <formula>TEXT($B$104,"@")="Y"</formula>
    </cfRule>
  </conditionalFormatting>
  <conditionalFormatting sqref="G2:H101">
    <cfRule type="expression" dxfId="40" priority="2">
      <formula>$I2="X"</formula>
    </cfRule>
  </conditionalFormatting>
  <conditionalFormatting sqref="H2:H101">
    <cfRule type="expression" dxfId="39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Event_16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38" priority="3">
      <formula>TEXT($B$104,"@")="Y"</formula>
    </cfRule>
  </conditionalFormatting>
  <conditionalFormatting sqref="G2:H101">
    <cfRule type="expression" dxfId="37" priority="2">
      <formula>$I2="X"</formula>
    </cfRule>
  </conditionalFormatting>
  <conditionalFormatting sqref="H2:H101">
    <cfRule type="expression" dxfId="36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35" priority="3">
      <formula>TEXT($B$104,"@")="Y"</formula>
    </cfRule>
  </conditionalFormatting>
  <conditionalFormatting sqref="G2:H101">
    <cfRule type="expression" dxfId="34" priority="2">
      <formula>$I2="X"</formula>
    </cfRule>
  </conditionalFormatting>
  <conditionalFormatting sqref="H2:H101">
    <cfRule type="expression" dxfId="33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32" priority="3">
      <formula>TEXT($B$104,"@")="Y"</formula>
    </cfRule>
  </conditionalFormatting>
  <conditionalFormatting sqref="G2:H101">
    <cfRule type="expression" dxfId="31" priority="2">
      <formula>$I2="X"</formula>
    </cfRule>
  </conditionalFormatting>
  <conditionalFormatting sqref="H2:H101">
    <cfRule type="expression" dxfId="30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29" priority="3">
      <formula>TEXT($B$104,"@")="Y"</formula>
    </cfRule>
  </conditionalFormatting>
  <conditionalFormatting sqref="G2:H101">
    <cfRule type="expression" dxfId="28" priority="2">
      <formula>$I2="X"</formula>
    </cfRule>
  </conditionalFormatting>
  <conditionalFormatting sqref="H2:H101">
    <cfRule type="expression" dxfId="27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7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7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7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7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7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7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7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7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7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7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7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7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7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7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7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7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7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7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7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7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7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7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7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7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7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7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7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7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7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7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7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7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7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7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7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7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7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7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7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7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7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7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7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7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7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7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7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7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7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7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7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7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7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7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7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7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7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7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7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7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7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7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7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7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7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7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7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7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7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7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7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7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7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7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7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7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7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7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7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7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7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7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7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7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7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7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7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7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7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7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7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7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7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7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7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7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7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7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7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7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26" priority="3">
      <formula>TEXT($B$104,"@")="Y"</formula>
    </cfRule>
  </conditionalFormatting>
  <conditionalFormatting sqref="G2:H101">
    <cfRule type="expression" dxfId="25" priority="2">
      <formula>$I2="X"</formula>
    </cfRule>
  </conditionalFormatting>
  <conditionalFormatting sqref="H2:H101">
    <cfRule type="expression" dxfId="24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23" priority="3">
      <formula>TEXT($B$104,"@")="Y"</formula>
    </cfRule>
  </conditionalFormatting>
  <conditionalFormatting sqref="G2:H101">
    <cfRule type="expression" dxfId="22" priority="2">
      <formula>$I2="X"</formula>
    </cfRule>
  </conditionalFormatting>
  <conditionalFormatting sqref="H2:H101">
    <cfRule type="expression" dxfId="21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4" t="str">
        <f t="shared" ref="A2:A33" si="0">IF(J2="","",_xlfn.XLOOKUP(J2,ClubNames,ClubNumbers,_xlfn.XLOOKUP(J2,RoundRobinRiderNames,RoundRobinRiderDecoratedNames,J2)))</f>
        <v/>
      </c>
      <c r="B2" s="28"/>
      <c r="C2" s="28"/>
      <c r="D2" s="28"/>
      <c r="E2" s="28"/>
      <c r="F2" s="28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4" t="str">
        <f t="shared" si="0"/>
        <v/>
      </c>
      <c r="B3" s="28"/>
      <c r="C3" s="28"/>
      <c r="D3" s="28"/>
      <c r="E3" s="28"/>
      <c r="F3" s="28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4" t="str">
        <f t="shared" si="0"/>
        <v/>
      </c>
      <c r="B4" s="28"/>
      <c r="C4" s="28"/>
      <c r="D4" s="28"/>
      <c r="E4" s="28"/>
      <c r="F4" s="28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4" t="str">
        <f t="shared" si="0"/>
        <v/>
      </c>
      <c r="B5" s="28"/>
      <c r="C5" s="28"/>
      <c r="D5" s="28"/>
      <c r="E5" s="28"/>
      <c r="F5" s="28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4" t="str">
        <f t="shared" si="0"/>
        <v/>
      </c>
      <c r="B6" s="28"/>
      <c r="C6" s="28"/>
      <c r="D6" s="28"/>
      <c r="E6" s="28"/>
      <c r="F6" s="28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4" t="str">
        <f t="shared" si="0"/>
        <v/>
      </c>
      <c r="B7" s="28"/>
      <c r="C7" s="28"/>
      <c r="D7" s="28"/>
      <c r="E7" s="28"/>
      <c r="F7" s="28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4" t="str">
        <f t="shared" si="0"/>
        <v/>
      </c>
      <c r="B8" s="28"/>
      <c r="C8" s="28"/>
      <c r="D8" s="28"/>
      <c r="E8" s="28"/>
      <c r="F8" s="28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4" t="str">
        <f t="shared" si="0"/>
        <v/>
      </c>
      <c r="B9" s="28"/>
      <c r="C9" s="28"/>
      <c r="D9" s="28"/>
      <c r="E9" s="28"/>
      <c r="F9" s="28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4" t="str">
        <f t="shared" si="0"/>
        <v/>
      </c>
      <c r="B10" s="28"/>
      <c r="C10" s="28"/>
      <c r="D10" s="28"/>
      <c r="E10" s="28"/>
      <c r="F10" s="28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4" t="str">
        <f t="shared" si="0"/>
        <v/>
      </c>
      <c r="B11" s="28"/>
      <c r="C11" s="28"/>
      <c r="D11" s="28"/>
      <c r="E11" s="28"/>
      <c r="F11" s="28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4" t="str">
        <f t="shared" si="0"/>
        <v/>
      </c>
      <c r="B12" s="28"/>
      <c r="C12" s="28"/>
      <c r="D12" s="28"/>
      <c r="E12" s="28"/>
      <c r="F12" s="28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4" t="str">
        <f t="shared" si="0"/>
        <v/>
      </c>
      <c r="B13" s="28"/>
      <c r="C13" s="28"/>
      <c r="D13" s="28"/>
      <c r="E13" s="28"/>
      <c r="F13" s="28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4" t="str">
        <f t="shared" si="0"/>
        <v/>
      </c>
      <c r="B14" s="28"/>
      <c r="C14" s="28"/>
      <c r="D14" s="28"/>
      <c r="E14" s="28"/>
      <c r="F14" s="28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4" t="str">
        <f t="shared" si="0"/>
        <v/>
      </c>
      <c r="B15" s="28"/>
      <c r="C15" s="28"/>
      <c r="D15" s="28"/>
      <c r="E15" s="28"/>
      <c r="F15" s="28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4" t="str">
        <f t="shared" si="0"/>
        <v/>
      </c>
      <c r="B16" s="28"/>
      <c r="C16" s="28"/>
      <c r="D16" s="28"/>
      <c r="E16" s="28"/>
      <c r="F16" s="28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4" t="str">
        <f t="shared" si="0"/>
        <v/>
      </c>
      <c r="B17" s="28"/>
      <c r="C17" s="28"/>
      <c r="D17" s="28"/>
      <c r="E17" s="28"/>
      <c r="F17" s="28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4" t="str">
        <f t="shared" si="0"/>
        <v/>
      </c>
      <c r="B18" s="28"/>
      <c r="C18" s="28"/>
      <c r="D18" s="28"/>
      <c r="E18" s="28"/>
      <c r="F18" s="28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4" t="str">
        <f t="shared" si="0"/>
        <v/>
      </c>
      <c r="B19" s="28"/>
      <c r="C19" s="28"/>
      <c r="D19" s="28"/>
      <c r="E19" s="28"/>
      <c r="F19" s="28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4" t="str">
        <f t="shared" si="0"/>
        <v/>
      </c>
      <c r="B20" s="28"/>
      <c r="C20" s="28"/>
      <c r="D20" s="28"/>
      <c r="E20" s="28"/>
      <c r="F20" s="28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4" t="str">
        <f t="shared" si="0"/>
        <v/>
      </c>
      <c r="B21" s="28"/>
      <c r="C21" s="28"/>
      <c r="D21" s="28"/>
      <c r="E21" s="28"/>
      <c r="F21" s="28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4" t="str">
        <f t="shared" si="0"/>
        <v/>
      </c>
      <c r="B22" s="28"/>
      <c r="C22" s="28"/>
      <c r="D22" s="28"/>
      <c r="E22" s="28"/>
      <c r="F22" s="28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4" t="str">
        <f t="shared" si="0"/>
        <v/>
      </c>
      <c r="B23" s="28"/>
      <c r="C23" s="28"/>
      <c r="D23" s="28"/>
      <c r="E23" s="28"/>
      <c r="F23" s="28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4" t="str">
        <f t="shared" si="0"/>
        <v/>
      </c>
      <c r="B24" s="28"/>
      <c r="C24" s="28"/>
      <c r="D24" s="28"/>
      <c r="E24" s="28"/>
      <c r="F24" s="28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4" t="str">
        <f t="shared" si="0"/>
        <v/>
      </c>
      <c r="B25" s="28"/>
      <c r="C25" s="28"/>
      <c r="D25" s="28"/>
      <c r="E25" s="28"/>
      <c r="F25" s="28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4" t="str">
        <f t="shared" si="0"/>
        <v/>
      </c>
      <c r="B26" s="28"/>
      <c r="C26" s="28"/>
      <c r="D26" s="28"/>
      <c r="E26" s="28"/>
      <c r="F26" s="28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4" t="str">
        <f t="shared" si="0"/>
        <v/>
      </c>
      <c r="B27" s="28"/>
      <c r="C27" s="28"/>
      <c r="D27" s="28"/>
      <c r="E27" s="28"/>
      <c r="F27" s="28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4" t="str">
        <f t="shared" si="0"/>
        <v/>
      </c>
      <c r="B28" s="28"/>
      <c r="C28" s="28"/>
      <c r="D28" s="28"/>
      <c r="E28" s="28"/>
      <c r="F28" s="28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4" t="str">
        <f t="shared" si="0"/>
        <v/>
      </c>
      <c r="B29" s="28"/>
      <c r="C29" s="28"/>
      <c r="D29" s="28"/>
      <c r="E29" s="28"/>
      <c r="F29" s="28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4" t="str">
        <f t="shared" si="0"/>
        <v/>
      </c>
      <c r="B30" s="28"/>
      <c r="C30" s="28"/>
      <c r="D30" s="28"/>
      <c r="E30" s="28"/>
      <c r="F30" s="28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4" t="str">
        <f t="shared" si="0"/>
        <v/>
      </c>
      <c r="B31" s="28"/>
      <c r="C31" s="28"/>
      <c r="D31" s="28"/>
      <c r="E31" s="28"/>
      <c r="F31" s="28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4" t="str">
        <f t="shared" si="0"/>
        <v/>
      </c>
      <c r="B32" s="28"/>
      <c r="C32" s="28"/>
      <c r="D32" s="28"/>
      <c r="E32" s="28"/>
      <c r="F32" s="28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4" t="str">
        <f t="shared" si="0"/>
        <v/>
      </c>
      <c r="B33" s="28"/>
      <c r="C33" s="28"/>
      <c r="D33" s="28"/>
      <c r="E33" s="28"/>
      <c r="F33" s="28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4" t="str">
        <f t="shared" ref="A34:A65" si="3">IF(J34="","",_xlfn.XLOOKUP(J34,ClubNames,ClubNumbers,_xlfn.XLOOKUP(J34,RoundRobinRiderNames,RoundRobinRiderDecoratedNames,J34)))</f>
        <v/>
      </c>
      <c r="B34" s="28"/>
      <c r="C34" s="28"/>
      <c r="D34" s="28"/>
      <c r="E34" s="28"/>
      <c r="F34" s="28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4" t="str">
        <f t="shared" si="3"/>
        <v/>
      </c>
      <c r="B35" s="28"/>
      <c r="C35" s="28"/>
      <c r="D35" s="28"/>
      <c r="E35" s="28"/>
      <c r="F35" s="28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4" t="str">
        <f t="shared" si="3"/>
        <v/>
      </c>
      <c r="B36" s="28"/>
      <c r="C36" s="28"/>
      <c r="D36" s="28"/>
      <c r="E36" s="28"/>
      <c r="F36" s="28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4" t="str">
        <f t="shared" si="3"/>
        <v/>
      </c>
      <c r="B37" s="28"/>
      <c r="C37" s="28"/>
      <c r="D37" s="28"/>
      <c r="E37" s="28"/>
      <c r="F37" s="28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4" t="str">
        <f t="shared" si="3"/>
        <v/>
      </c>
      <c r="B38" s="28"/>
      <c r="C38" s="28"/>
      <c r="D38" s="28"/>
      <c r="E38" s="28"/>
      <c r="F38" s="28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4" t="str">
        <f t="shared" si="3"/>
        <v/>
      </c>
      <c r="B39" s="28"/>
      <c r="C39" s="28"/>
      <c r="D39" s="28"/>
      <c r="E39" s="28"/>
      <c r="F39" s="28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4" t="str">
        <f t="shared" si="3"/>
        <v/>
      </c>
      <c r="B40" s="28"/>
      <c r="C40" s="28"/>
      <c r="D40" s="28"/>
      <c r="E40" s="28"/>
      <c r="F40" s="28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4" t="str">
        <f t="shared" si="3"/>
        <v/>
      </c>
      <c r="B41" s="28"/>
      <c r="C41" s="28"/>
      <c r="D41" s="28"/>
      <c r="E41" s="28"/>
      <c r="F41" s="28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4" t="str">
        <f t="shared" si="3"/>
        <v/>
      </c>
      <c r="B42" s="28"/>
      <c r="C42" s="28"/>
      <c r="D42" s="28"/>
      <c r="E42" s="28"/>
      <c r="F42" s="28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4" t="str">
        <f t="shared" si="3"/>
        <v/>
      </c>
      <c r="B43" s="28"/>
      <c r="C43" s="28"/>
      <c r="D43" s="28"/>
      <c r="E43" s="28"/>
      <c r="F43" s="28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4" t="str">
        <f t="shared" si="3"/>
        <v/>
      </c>
      <c r="B44" s="28"/>
      <c r="C44" s="28"/>
      <c r="D44" s="28"/>
      <c r="E44" s="28"/>
      <c r="F44" s="28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4" t="str">
        <f t="shared" si="3"/>
        <v/>
      </c>
      <c r="B45" s="28"/>
      <c r="C45" s="28"/>
      <c r="D45" s="28"/>
      <c r="E45" s="28"/>
      <c r="F45" s="28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4" t="str">
        <f t="shared" si="3"/>
        <v/>
      </c>
      <c r="B46" s="28"/>
      <c r="C46" s="28"/>
      <c r="D46" s="28"/>
      <c r="E46" s="28"/>
      <c r="F46" s="28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4" t="str">
        <f t="shared" si="3"/>
        <v/>
      </c>
      <c r="B47" s="28"/>
      <c r="C47" s="28"/>
      <c r="D47" s="28"/>
      <c r="E47" s="28"/>
      <c r="F47" s="28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4" t="str">
        <f t="shared" si="3"/>
        <v/>
      </c>
      <c r="B48" s="28"/>
      <c r="C48" s="28"/>
      <c r="D48" s="28"/>
      <c r="E48" s="28"/>
      <c r="F48" s="28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4" t="str">
        <f t="shared" si="3"/>
        <v/>
      </c>
      <c r="B49" s="28"/>
      <c r="C49" s="28"/>
      <c r="D49" s="28"/>
      <c r="E49" s="28"/>
      <c r="F49" s="28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4" t="str">
        <f t="shared" si="3"/>
        <v/>
      </c>
      <c r="B50" s="28"/>
      <c r="C50" s="28"/>
      <c r="D50" s="28"/>
      <c r="E50" s="28"/>
      <c r="F50" s="28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4" t="str">
        <f t="shared" si="3"/>
        <v/>
      </c>
      <c r="B51" s="28"/>
      <c r="C51" s="28"/>
      <c r="D51" s="28"/>
      <c r="E51" s="28"/>
      <c r="F51" s="28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4" t="str">
        <f t="shared" si="3"/>
        <v/>
      </c>
      <c r="B52" s="28"/>
      <c r="C52" s="28"/>
      <c r="D52" s="28"/>
      <c r="E52" s="28"/>
      <c r="F52" s="28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4" t="str">
        <f t="shared" si="3"/>
        <v/>
      </c>
      <c r="B53" s="28"/>
      <c r="C53" s="28"/>
      <c r="D53" s="28"/>
      <c r="E53" s="28"/>
      <c r="F53" s="28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4" t="str">
        <f t="shared" si="3"/>
        <v/>
      </c>
      <c r="B54" s="28"/>
      <c r="C54" s="28"/>
      <c r="D54" s="28"/>
      <c r="E54" s="28"/>
      <c r="F54" s="28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4" t="str">
        <f t="shared" si="3"/>
        <v/>
      </c>
      <c r="B55" s="28"/>
      <c r="C55" s="28"/>
      <c r="D55" s="28"/>
      <c r="E55" s="28"/>
      <c r="F55" s="28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4" t="str">
        <f t="shared" si="3"/>
        <v/>
      </c>
      <c r="B56" s="28"/>
      <c r="C56" s="28"/>
      <c r="D56" s="28"/>
      <c r="E56" s="28"/>
      <c r="F56" s="28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4" t="str">
        <f t="shared" si="3"/>
        <v/>
      </c>
      <c r="B57" s="28"/>
      <c r="C57" s="28"/>
      <c r="D57" s="28"/>
      <c r="E57" s="28"/>
      <c r="F57" s="28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4" t="str">
        <f t="shared" si="3"/>
        <v/>
      </c>
      <c r="B58" s="28"/>
      <c r="C58" s="28"/>
      <c r="D58" s="28"/>
      <c r="E58" s="28"/>
      <c r="F58" s="28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4" t="str">
        <f t="shared" si="3"/>
        <v/>
      </c>
      <c r="B59" s="28"/>
      <c r="C59" s="28"/>
      <c r="D59" s="28"/>
      <c r="E59" s="28"/>
      <c r="F59" s="28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4" t="str">
        <f t="shared" si="3"/>
        <v/>
      </c>
      <c r="B60" s="28"/>
      <c r="C60" s="28"/>
      <c r="D60" s="28"/>
      <c r="E60" s="28"/>
      <c r="F60" s="28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4" t="str">
        <f t="shared" si="3"/>
        <v/>
      </c>
      <c r="B61" s="28"/>
      <c r="C61" s="28"/>
      <c r="D61" s="28"/>
      <c r="E61" s="28"/>
      <c r="F61" s="28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4" t="str">
        <f t="shared" si="3"/>
        <v/>
      </c>
      <c r="B62" s="28"/>
      <c r="C62" s="28"/>
      <c r="D62" s="28"/>
      <c r="E62" s="28"/>
      <c r="F62" s="28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4" t="str">
        <f t="shared" si="3"/>
        <v/>
      </c>
      <c r="B63" s="28"/>
      <c r="C63" s="28"/>
      <c r="D63" s="28"/>
      <c r="E63" s="28"/>
      <c r="F63" s="28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4" t="str">
        <f t="shared" si="3"/>
        <v/>
      </c>
      <c r="B64" s="28"/>
      <c r="C64" s="28"/>
      <c r="D64" s="28"/>
      <c r="E64" s="28"/>
      <c r="F64" s="28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4" t="str">
        <f t="shared" si="3"/>
        <v/>
      </c>
      <c r="B65" s="28"/>
      <c r="C65" s="28"/>
      <c r="D65" s="28"/>
      <c r="E65" s="28"/>
      <c r="F65" s="28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4" t="str">
        <f t="shared" ref="A66:A101" si="4">IF(J66="","",_xlfn.XLOOKUP(J66,ClubNames,ClubNumbers,_xlfn.XLOOKUP(J66,RoundRobinRiderNames,RoundRobinRiderDecoratedNames,J66)))</f>
        <v/>
      </c>
      <c r="B66" s="28"/>
      <c r="C66" s="28"/>
      <c r="D66" s="28"/>
      <c r="E66" s="28"/>
      <c r="F66" s="28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4" t="str">
        <f t="shared" si="4"/>
        <v/>
      </c>
      <c r="B67" s="28"/>
      <c r="C67" s="28"/>
      <c r="D67" s="28"/>
      <c r="E67" s="28"/>
      <c r="F67" s="28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4" t="str">
        <f t="shared" si="4"/>
        <v/>
      </c>
      <c r="B68" s="28"/>
      <c r="C68" s="28"/>
      <c r="D68" s="28"/>
      <c r="E68" s="28"/>
      <c r="F68" s="28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4" t="str">
        <f t="shared" si="4"/>
        <v/>
      </c>
      <c r="B69" s="28"/>
      <c r="C69" s="28"/>
      <c r="D69" s="28"/>
      <c r="E69" s="28"/>
      <c r="F69" s="28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4" t="str">
        <f t="shared" si="4"/>
        <v/>
      </c>
      <c r="B70" s="28"/>
      <c r="C70" s="28"/>
      <c r="D70" s="28"/>
      <c r="E70" s="28"/>
      <c r="F70" s="28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4" t="str">
        <f t="shared" si="4"/>
        <v/>
      </c>
      <c r="B71" s="28"/>
      <c r="C71" s="28"/>
      <c r="D71" s="28"/>
      <c r="E71" s="28"/>
      <c r="F71" s="28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4" t="str">
        <f t="shared" si="4"/>
        <v/>
      </c>
      <c r="B72" s="28"/>
      <c r="C72" s="28"/>
      <c r="D72" s="28"/>
      <c r="E72" s="28"/>
      <c r="F72" s="28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4" t="str">
        <f t="shared" si="4"/>
        <v/>
      </c>
      <c r="B73" s="28"/>
      <c r="C73" s="28"/>
      <c r="D73" s="28"/>
      <c r="E73" s="28"/>
      <c r="F73" s="28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4" t="str">
        <f t="shared" si="4"/>
        <v/>
      </c>
      <c r="B74" s="28"/>
      <c r="C74" s="28"/>
      <c r="D74" s="28"/>
      <c r="E74" s="28"/>
      <c r="F74" s="28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4" t="str">
        <f t="shared" si="4"/>
        <v/>
      </c>
      <c r="B75" s="28"/>
      <c r="C75" s="28"/>
      <c r="D75" s="28"/>
      <c r="E75" s="28"/>
      <c r="F75" s="28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4" t="str">
        <f t="shared" si="4"/>
        <v/>
      </c>
      <c r="B76" s="28"/>
      <c r="C76" s="28"/>
      <c r="D76" s="28"/>
      <c r="E76" s="28"/>
      <c r="F76" s="28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4" t="str">
        <f t="shared" si="4"/>
        <v/>
      </c>
      <c r="B77" s="28"/>
      <c r="C77" s="28"/>
      <c r="D77" s="28"/>
      <c r="E77" s="28"/>
      <c r="F77" s="28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4" t="str">
        <f t="shared" si="4"/>
        <v/>
      </c>
      <c r="B78" s="28"/>
      <c r="C78" s="28"/>
      <c r="D78" s="28"/>
      <c r="E78" s="28"/>
      <c r="F78" s="28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4" t="str">
        <f t="shared" si="4"/>
        <v/>
      </c>
      <c r="B79" s="28"/>
      <c r="C79" s="28"/>
      <c r="D79" s="28"/>
      <c r="E79" s="28"/>
      <c r="F79" s="28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4" t="str">
        <f t="shared" si="4"/>
        <v/>
      </c>
      <c r="B80" s="28"/>
      <c r="C80" s="28"/>
      <c r="D80" s="28"/>
      <c r="E80" s="28"/>
      <c r="F80" s="28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4" t="str">
        <f t="shared" si="4"/>
        <v/>
      </c>
      <c r="B81" s="28"/>
      <c r="C81" s="28"/>
      <c r="D81" s="28"/>
      <c r="E81" s="28"/>
      <c r="F81" s="28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4" t="str">
        <f t="shared" si="4"/>
        <v/>
      </c>
      <c r="B82" s="28"/>
      <c r="C82" s="28"/>
      <c r="D82" s="28"/>
      <c r="E82" s="28"/>
      <c r="F82" s="28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4" t="str">
        <f t="shared" si="4"/>
        <v/>
      </c>
      <c r="B83" s="28"/>
      <c r="C83" s="28"/>
      <c r="D83" s="28"/>
      <c r="E83" s="28"/>
      <c r="F83" s="28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4" t="str">
        <f t="shared" si="4"/>
        <v/>
      </c>
      <c r="B84" s="28"/>
      <c r="C84" s="28"/>
      <c r="D84" s="28"/>
      <c r="E84" s="28"/>
      <c r="F84" s="28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4" t="str">
        <f t="shared" si="4"/>
        <v/>
      </c>
      <c r="B85" s="28"/>
      <c r="C85" s="28"/>
      <c r="D85" s="28"/>
      <c r="E85" s="28"/>
      <c r="F85" s="28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4" t="str">
        <f t="shared" si="4"/>
        <v/>
      </c>
      <c r="B86" s="28"/>
      <c r="C86" s="28"/>
      <c r="D86" s="28"/>
      <c r="E86" s="28"/>
      <c r="F86" s="28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4" t="str">
        <f t="shared" si="4"/>
        <v/>
      </c>
      <c r="B87" s="28"/>
      <c r="C87" s="28"/>
      <c r="D87" s="28"/>
      <c r="E87" s="28"/>
      <c r="F87" s="28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4" t="str">
        <f t="shared" si="4"/>
        <v/>
      </c>
      <c r="B88" s="28"/>
      <c r="C88" s="28"/>
      <c r="D88" s="28"/>
      <c r="E88" s="28"/>
      <c r="F88" s="28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4" t="str">
        <f t="shared" si="4"/>
        <v/>
      </c>
      <c r="B89" s="28"/>
      <c r="C89" s="28"/>
      <c r="D89" s="28"/>
      <c r="E89" s="28"/>
      <c r="F89" s="28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4" t="str">
        <f t="shared" si="4"/>
        <v/>
      </c>
      <c r="B90" s="28"/>
      <c r="C90" s="28"/>
      <c r="D90" s="28"/>
      <c r="E90" s="28"/>
      <c r="F90" s="28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4" t="str">
        <f t="shared" si="4"/>
        <v/>
      </c>
      <c r="B91" s="28"/>
      <c r="C91" s="28"/>
      <c r="D91" s="28"/>
      <c r="E91" s="28"/>
      <c r="F91" s="28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4" t="str">
        <f t="shared" si="4"/>
        <v/>
      </c>
      <c r="B92" s="28"/>
      <c r="C92" s="28"/>
      <c r="D92" s="28"/>
      <c r="E92" s="28"/>
      <c r="F92" s="28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4" t="str">
        <f t="shared" si="4"/>
        <v/>
      </c>
      <c r="B93" s="28"/>
      <c r="C93" s="28"/>
      <c r="D93" s="28"/>
      <c r="E93" s="28"/>
      <c r="F93" s="28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4" t="str">
        <f t="shared" si="4"/>
        <v/>
      </c>
      <c r="B94" s="28"/>
      <c r="C94" s="28"/>
      <c r="D94" s="28"/>
      <c r="E94" s="28"/>
      <c r="F94" s="28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4" t="str">
        <f t="shared" si="4"/>
        <v/>
      </c>
      <c r="B95" s="28"/>
      <c r="C95" s="28"/>
      <c r="D95" s="28"/>
      <c r="E95" s="28"/>
      <c r="F95" s="28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4" t="str">
        <f t="shared" si="4"/>
        <v/>
      </c>
      <c r="B96" s="28"/>
      <c r="C96" s="28"/>
      <c r="D96" s="28"/>
      <c r="E96" s="28"/>
      <c r="F96" s="28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4" t="str">
        <f t="shared" si="4"/>
        <v/>
      </c>
      <c r="B97" s="28"/>
      <c r="C97" s="28"/>
      <c r="D97" s="28"/>
      <c r="E97" s="28"/>
      <c r="F97" s="28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4" t="str">
        <f t="shared" si="4"/>
        <v/>
      </c>
      <c r="B98" s="28"/>
      <c r="C98" s="28"/>
      <c r="D98" s="28"/>
      <c r="E98" s="28"/>
      <c r="F98" s="28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4" t="str">
        <f t="shared" si="4"/>
        <v/>
      </c>
      <c r="B99" s="28"/>
      <c r="C99" s="28"/>
      <c r="D99" s="28"/>
      <c r="E99" s="28"/>
      <c r="F99" s="28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4" t="str">
        <f t="shared" si="4"/>
        <v/>
      </c>
      <c r="B100" s="28"/>
      <c r="C100" s="28"/>
      <c r="D100" s="28"/>
      <c r="E100" s="28"/>
      <c r="F100" s="28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4" t="str">
        <f t="shared" si="4"/>
        <v/>
      </c>
      <c r="B101" s="28"/>
      <c r="C101" s="28"/>
      <c r="D101" s="28"/>
      <c r="E101" s="28"/>
      <c r="F101" s="28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20" priority="3">
      <formula>TEXT($B$104,"@")="Y"</formula>
    </cfRule>
  </conditionalFormatting>
  <conditionalFormatting sqref="G2:H101">
    <cfRule type="expression" dxfId="19" priority="2">
      <formula>$I2="X"</formula>
    </cfRule>
  </conditionalFormatting>
  <conditionalFormatting sqref="H2:H101">
    <cfRule type="expression" dxfId="18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32"/>
      <c r="C2" s="33"/>
      <c r="D2" s="34"/>
      <c r="E2" s="33"/>
      <c r="F2" s="33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32"/>
      <c r="C3" s="33"/>
      <c r="D3" s="34"/>
      <c r="E3" s="33"/>
      <c r="F3" s="33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32"/>
      <c r="C4" s="33"/>
      <c r="D4" s="34"/>
      <c r="E4" s="33"/>
      <c r="F4" s="33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32"/>
      <c r="C5" s="33"/>
      <c r="D5" s="34"/>
      <c r="E5" s="33"/>
      <c r="F5" s="33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32"/>
      <c r="C6" s="33"/>
      <c r="D6" s="34"/>
      <c r="E6" s="33"/>
      <c r="F6" s="33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32"/>
      <c r="C7" s="33"/>
      <c r="D7" s="34"/>
      <c r="E7" s="33"/>
      <c r="F7" s="33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32"/>
      <c r="C8" s="33"/>
      <c r="D8" s="34"/>
      <c r="E8" s="33"/>
      <c r="F8" s="33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32"/>
      <c r="C9" s="33"/>
      <c r="D9" s="34"/>
      <c r="E9" s="33"/>
      <c r="F9" s="33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32"/>
      <c r="C10" s="33"/>
      <c r="D10" s="34"/>
      <c r="E10" s="33"/>
      <c r="F10" s="33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32"/>
      <c r="C11" s="33"/>
      <c r="D11" s="34"/>
      <c r="E11" s="33"/>
      <c r="F11" s="33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32"/>
      <c r="C12" s="33"/>
      <c r="D12" s="34"/>
      <c r="E12" s="33"/>
      <c r="F12" s="33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32"/>
      <c r="C13" s="33"/>
      <c r="D13" s="34"/>
      <c r="E13" s="33"/>
      <c r="F13" s="33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32"/>
      <c r="C14" s="33"/>
      <c r="D14" s="34"/>
      <c r="E14" s="33"/>
      <c r="F14" s="33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32"/>
      <c r="C15" s="33"/>
      <c r="D15" s="34"/>
      <c r="E15" s="33"/>
      <c r="F15" s="33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32"/>
      <c r="C16" s="33"/>
      <c r="D16" s="34"/>
      <c r="E16" s="33"/>
      <c r="F16" s="33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32"/>
      <c r="C17" s="33"/>
      <c r="D17" s="34"/>
      <c r="E17" s="33"/>
      <c r="F17" s="33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32"/>
      <c r="C18" s="33"/>
      <c r="D18" s="34"/>
      <c r="E18" s="33"/>
      <c r="F18" s="33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32"/>
      <c r="C19" s="33"/>
      <c r="D19" s="34"/>
      <c r="E19" s="33"/>
      <c r="F19" s="33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32"/>
      <c r="C20" s="33"/>
      <c r="D20" s="34"/>
      <c r="E20" s="33"/>
      <c r="F20" s="33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32"/>
      <c r="C21" s="33"/>
      <c r="D21" s="34"/>
      <c r="E21" s="33"/>
      <c r="F21" s="33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32"/>
      <c r="C22" s="33"/>
      <c r="D22" s="34"/>
      <c r="E22" s="33"/>
      <c r="F22" s="33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32"/>
      <c r="C23" s="33"/>
      <c r="D23" s="34"/>
      <c r="E23" s="33"/>
      <c r="F23" s="33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32"/>
      <c r="C24" s="33"/>
      <c r="D24" s="34"/>
      <c r="E24" s="33"/>
      <c r="F24" s="33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32"/>
      <c r="C25" s="33"/>
      <c r="D25" s="34"/>
      <c r="E25" s="33"/>
      <c r="F25" s="33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32"/>
      <c r="C26" s="33"/>
      <c r="D26" s="34"/>
      <c r="E26" s="33"/>
      <c r="F26" s="33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32"/>
      <c r="C27" s="33"/>
      <c r="D27" s="34"/>
      <c r="E27" s="33"/>
      <c r="F27" s="33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32"/>
      <c r="C28" s="33"/>
      <c r="D28" s="34"/>
      <c r="E28" s="33"/>
      <c r="F28" s="33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32"/>
      <c r="C29" s="33"/>
      <c r="D29" s="34"/>
      <c r="E29" s="33"/>
      <c r="F29" s="33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32"/>
      <c r="C30" s="33"/>
      <c r="D30" s="34"/>
      <c r="E30" s="33"/>
      <c r="F30" s="33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32"/>
      <c r="C31" s="33"/>
      <c r="D31" s="34"/>
      <c r="E31" s="33"/>
      <c r="F31" s="33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32"/>
      <c r="C32" s="33"/>
      <c r="D32" s="34"/>
      <c r="E32" s="33"/>
      <c r="F32" s="33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32"/>
      <c r="C33" s="33"/>
      <c r="D33" s="34"/>
      <c r="E33" s="33"/>
      <c r="F33" s="33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32"/>
      <c r="C34" s="33"/>
      <c r="D34" s="34"/>
      <c r="E34" s="33"/>
      <c r="F34" s="33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32"/>
      <c r="C35" s="33"/>
      <c r="D35" s="34"/>
      <c r="E35" s="33"/>
      <c r="F35" s="33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32"/>
      <c r="C36" s="33"/>
      <c r="D36" s="34"/>
      <c r="E36" s="33"/>
      <c r="F36" s="33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32"/>
      <c r="C37" s="33"/>
      <c r="D37" s="34"/>
      <c r="E37" s="33"/>
      <c r="F37" s="33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32"/>
      <c r="C38" s="33"/>
      <c r="D38" s="34"/>
      <c r="E38" s="33"/>
      <c r="F38" s="33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32"/>
      <c r="C39" s="33"/>
      <c r="D39" s="34"/>
      <c r="E39" s="33"/>
      <c r="F39" s="33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32"/>
      <c r="C40" s="33"/>
      <c r="D40" s="34"/>
      <c r="E40" s="33"/>
      <c r="F40" s="33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32"/>
      <c r="C41" s="33"/>
      <c r="D41" s="34"/>
      <c r="E41" s="33"/>
      <c r="F41" s="33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32"/>
      <c r="C42" s="33"/>
      <c r="D42" s="34"/>
      <c r="E42" s="33"/>
      <c r="F42" s="33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32"/>
      <c r="C43" s="33"/>
      <c r="D43" s="34"/>
      <c r="E43" s="33"/>
      <c r="F43" s="33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32"/>
      <c r="C44" s="33"/>
      <c r="D44" s="34"/>
      <c r="E44" s="33"/>
      <c r="F44" s="33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32"/>
      <c r="C45" s="33"/>
      <c r="D45" s="34"/>
      <c r="E45" s="33"/>
      <c r="F45" s="33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32"/>
      <c r="C46" s="33"/>
      <c r="D46" s="34"/>
      <c r="E46" s="33"/>
      <c r="F46" s="33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32"/>
      <c r="C47" s="33"/>
      <c r="D47" s="34"/>
      <c r="E47" s="33"/>
      <c r="F47" s="33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32"/>
      <c r="C48" s="33"/>
      <c r="D48" s="34"/>
      <c r="E48" s="33"/>
      <c r="F48" s="33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32"/>
      <c r="C49" s="33"/>
      <c r="D49" s="34"/>
      <c r="E49" s="33"/>
      <c r="F49" s="33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32"/>
      <c r="C50" s="33"/>
      <c r="D50" s="34"/>
      <c r="E50" s="33"/>
      <c r="F50" s="33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32"/>
      <c r="C51" s="33"/>
      <c r="D51" s="34"/>
      <c r="E51" s="33"/>
      <c r="F51" s="33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32"/>
      <c r="C52" s="33"/>
      <c r="D52" s="34"/>
      <c r="E52" s="33"/>
      <c r="F52" s="33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32"/>
      <c r="C53" s="33"/>
      <c r="D53" s="34"/>
      <c r="E53" s="33"/>
      <c r="F53" s="33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32"/>
      <c r="C54" s="33"/>
      <c r="D54" s="34"/>
      <c r="E54" s="33"/>
      <c r="F54" s="33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32"/>
      <c r="C55" s="33"/>
      <c r="D55" s="34"/>
      <c r="E55" s="33"/>
      <c r="F55" s="33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32"/>
      <c r="C56" s="33"/>
      <c r="D56" s="34"/>
      <c r="E56" s="33"/>
      <c r="F56" s="33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32"/>
      <c r="C57" s="33"/>
      <c r="D57" s="34"/>
      <c r="E57" s="33"/>
      <c r="F57" s="33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32"/>
      <c r="C58" s="33"/>
      <c r="D58" s="34"/>
      <c r="E58" s="33"/>
      <c r="F58" s="33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32"/>
      <c r="C59" s="33"/>
      <c r="D59" s="34"/>
      <c r="E59" s="33"/>
      <c r="F59" s="33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32"/>
      <c r="C60" s="33"/>
      <c r="D60" s="34"/>
      <c r="E60" s="33"/>
      <c r="F60" s="33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32"/>
      <c r="C61" s="33"/>
      <c r="D61" s="34"/>
      <c r="E61" s="33"/>
      <c r="F61" s="33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32"/>
      <c r="C62" s="33"/>
      <c r="D62" s="34"/>
      <c r="E62" s="33"/>
      <c r="F62" s="33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32"/>
      <c r="C63" s="33"/>
      <c r="D63" s="34"/>
      <c r="E63" s="33"/>
      <c r="F63" s="33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32"/>
      <c r="C64" s="33"/>
      <c r="D64" s="34"/>
      <c r="E64" s="33"/>
      <c r="F64" s="33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32"/>
      <c r="C65" s="33"/>
      <c r="D65" s="34"/>
      <c r="E65" s="33"/>
      <c r="F65" s="33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32"/>
      <c r="C66" s="33"/>
      <c r="D66" s="34"/>
      <c r="E66" s="33"/>
      <c r="F66" s="33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32"/>
      <c r="C67" s="33"/>
      <c r="D67" s="34"/>
      <c r="E67" s="33"/>
      <c r="F67" s="33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32"/>
      <c r="C68" s="33"/>
      <c r="D68" s="34"/>
      <c r="E68" s="33"/>
      <c r="F68" s="33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32"/>
      <c r="C69" s="33"/>
      <c r="D69" s="34"/>
      <c r="E69" s="33"/>
      <c r="F69" s="33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32"/>
      <c r="C70" s="33"/>
      <c r="D70" s="34"/>
      <c r="E70" s="33"/>
      <c r="F70" s="33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32"/>
      <c r="C71" s="33"/>
      <c r="D71" s="34"/>
      <c r="E71" s="33"/>
      <c r="F71" s="33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32"/>
      <c r="C72" s="33"/>
      <c r="D72" s="34"/>
      <c r="E72" s="33"/>
      <c r="F72" s="33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32"/>
      <c r="C73" s="33"/>
      <c r="D73" s="34"/>
      <c r="E73" s="33"/>
      <c r="F73" s="33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32"/>
      <c r="C74" s="33"/>
      <c r="D74" s="34"/>
      <c r="E74" s="33"/>
      <c r="F74" s="33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32"/>
      <c r="C75" s="33"/>
      <c r="D75" s="34"/>
      <c r="E75" s="33"/>
      <c r="F75" s="33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32"/>
      <c r="C76" s="33"/>
      <c r="D76" s="34"/>
      <c r="E76" s="33"/>
      <c r="F76" s="33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32"/>
      <c r="C77" s="33"/>
      <c r="D77" s="34"/>
      <c r="E77" s="33"/>
      <c r="F77" s="33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32"/>
      <c r="C78" s="33"/>
      <c r="D78" s="34"/>
      <c r="E78" s="33"/>
      <c r="F78" s="33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32"/>
      <c r="C79" s="33"/>
      <c r="D79" s="34"/>
      <c r="E79" s="33"/>
      <c r="F79" s="33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32"/>
      <c r="C80" s="33"/>
      <c r="D80" s="34"/>
      <c r="E80" s="33"/>
      <c r="F80" s="33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32"/>
      <c r="C81" s="33"/>
      <c r="D81" s="34"/>
      <c r="E81" s="33"/>
      <c r="F81" s="33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32"/>
      <c r="C82" s="33"/>
      <c r="D82" s="34"/>
      <c r="E82" s="33"/>
      <c r="F82" s="33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32"/>
      <c r="C83" s="33"/>
      <c r="D83" s="34"/>
      <c r="E83" s="33"/>
      <c r="F83" s="33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32"/>
      <c r="C84" s="33"/>
      <c r="D84" s="34"/>
      <c r="E84" s="33"/>
      <c r="F84" s="33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32"/>
      <c r="C85" s="33"/>
      <c r="D85" s="34"/>
      <c r="E85" s="33"/>
      <c r="F85" s="33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32"/>
      <c r="C86" s="33"/>
      <c r="D86" s="34"/>
      <c r="E86" s="33"/>
      <c r="F86" s="33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32"/>
      <c r="C87" s="33"/>
      <c r="D87" s="34"/>
      <c r="E87" s="33"/>
      <c r="F87" s="33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32"/>
      <c r="C88" s="33"/>
      <c r="D88" s="34"/>
      <c r="E88" s="33"/>
      <c r="F88" s="33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32"/>
      <c r="C89" s="33"/>
      <c r="D89" s="34"/>
      <c r="E89" s="33"/>
      <c r="F89" s="33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32"/>
      <c r="C90" s="33"/>
      <c r="D90" s="34"/>
      <c r="E90" s="33"/>
      <c r="F90" s="33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32"/>
      <c r="C91" s="33"/>
      <c r="D91" s="34"/>
      <c r="E91" s="33"/>
      <c r="F91" s="33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32"/>
      <c r="C92" s="33"/>
      <c r="D92" s="34"/>
      <c r="E92" s="33"/>
      <c r="F92" s="33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32"/>
      <c r="C93" s="33"/>
      <c r="D93" s="34"/>
      <c r="E93" s="33"/>
      <c r="F93" s="33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32"/>
      <c r="C94" s="33"/>
      <c r="D94" s="34"/>
      <c r="E94" s="33"/>
      <c r="F94" s="33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32"/>
      <c r="C95" s="33"/>
      <c r="D95" s="34"/>
      <c r="E95" s="33"/>
      <c r="F95" s="33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32"/>
      <c r="C96" s="33"/>
      <c r="D96" s="34"/>
      <c r="E96" s="33"/>
      <c r="F96" s="33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32"/>
      <c r="C97" s="33"/>
      <c r="D97" s="34"/>
      <c r="E97" s="33"/>
      <c r="F97" s="33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32"/>
      <c r="C98" s="33"/>
      <c r="D98" s="34"/>
      <c r="E98" s="33"/>
      <c r="F98" s="33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32"/>
      <c r="C99" s="33"/>
      <c r="D99" s="34"/>
      <c r="E99" s="33"/>
      <c r="F99" s="33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32"/>
      <c r="C100" s="33"/>
      <c r="D100" s="34"/>
      <c r="E100" s="33"/>
      <c r="F100" s="33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32"/>
      <c r="C101" s="33"/>
      <c r="D101" s="34"/>
      <c r="E101" s="33"/>
      <c r="F101" s="33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17" priority="3">
      <formula>TEXT($B$104,"@")="Y"</formula>
    </cfRule>
  </conditionalFormatting>
  <conditionalFormatting sqref="G2:H101">
    <cfRule type="expression" dxfId="16" priority="2">
      <formula>$I2="X"</formula>
    </cfRule>
  </conditionalFormatting>
  <conditionalFormatting sqref="H2:H101">
    <cfRule type="expression" dxfId="15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14" priority="3">
      <formula>TEXT($B$104,"@")="Y"</formula>
    </cfRule>
  </conditionalFormatting>
  <conditionalFormatting sqref="G2:H101">
    <cfRule type="expression" dxfId="13" priority="2">
      <formula>$I2="X"</formula>
    </cfRule>
  </conditionalFormatting>
  <conditionalFormatting sqref="H2:H101">
    <cfRule type="expression" dxfId="12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11" priority="3">
      <formula>TEXT($B$104,"@")="Y"</formula>
    </cfRule>
  </conditionalFormatting>
  <conditionalFormatting sqref="G2:H101">
    <cfRule type="expression" dxfId="10" priority="2">
      <formula>$I2="X"</formula>
    </cfRule>
  </conditionalFormatting>
  <conditionalFormatting sqref="H2:H101">
    <cfRule type="expression" dxfId="9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454</v>
      </c>
      <c r="B104" t="str">
        <f ca="1">_xlfn.XLOOKUP(B103,Calendar!L:L,Calendar!G:G,"Event is not in calendar")</f>
        <v>Y</v>
      </c>
    </row>
  </sheetData>
  <conditionalFormatting sqref="D2:D101">
    <cfRule type="expression" dxfId="8" priority="3">
      <formula>TEXT($B$104,"@")="Y"</formula>
    </cfRule>
  </conditionalFormatting>
  <conditionalFormatting sqref="G2:H101">
    <cfRule type="expression" dxfId="7" priority="2">
      <formula>$I2="X"</formula>
    </cfRule>
  </conditionalFormatting>
  <conditionalFormatting sqref="H2:H101">
    <cfRule type="expression" dxfId="6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Event_27</v>
      </c>
    </row>
    <row r="104" spans="1:10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5" priority="3">
      <formula>TEXT($B$104,"@")="Y"</formula>
    </cfRule>
  </conditionalFormatting>
  <conditionalFormatting sqref="G2:H101">
    <cfRule type="expression" dxfId="4" priority="2">
      <formula>$I2="X"</formula>
    </cfRule>
  </conditionalFormatting>
  <conditionalFormatting sqref="H2:H101">
    <cfRule type="expression" dxfId="3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  <c r="J1" s="17" t="s">
        <v>488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9"/>
      <c r="C2" s="20"/>
      <c r="D2" s="20"/>
      <c r="E2" s="20"/>
      <c r="F2" s="20"/>
      <c r="G2" s="21" t="str">
        <f>IF($A2="","",IF($I2="X",A2,CONCATENATE(VLOOKUP(A2,[1]Competitors!$A$2:$I$650,3, FALSE)," ",VLOOKUP(A2,[1]Competitors!$A$2:$I$650,2,FALSE))))</f>
        <v/>
      </c>
      <c r="H2" s="22">
        <f>IF(LEFT($E2,1)="D",UPPER($E2),(B2*3600+C2*60+D2)/86400)</f>
        <v>0</v>
      </c>
      <c r="I2" t="str">
        <f>IF(OR(A2="",ISNUMBER(A2)),"","X")</f>
        <v/>
      </c>
      <c r="J2" s="42"/>
    </row>
    <row r="3" spans="1:10" ht="15" x14ac:dyDescent="0.4">
      <c r="A3" s="43" t="str">
        <f t="shared" si="0"/>
        <v/>
      </c>
      <c r="B3" s="19"/>
      <c r="C3" s="20"/>
      <c r="D3" s="20"/>
      <c r="E3" s="20"/>
      <c r="F3" s="20"/>
      <c r="G3" s="21" t="str">
        <f>IF($A3="","",IF($I3="X",A3,CONCATENATE(VLOOKUP(A3,[1]Competitors!$A$2:$I$650,3, FALSE)," ",VLOOKUP(A3,[1]Competitors!$A$2:$I$650,2,FALSE))))</f>
        <v/>
      </c>
      <c r="H3" s="22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2"/>
    </row>
    <row r="4" spans="1:10" ht="15" x14ac:dyDescent="0.4">
      <c r="A4" s="43" t="str">
        <f t="shared" si="0"/>
        <v/>
      </c>
      <c r="B4" s="19"/>
      <c r="C4" s="20"/>
      <c r="D4" s="20"/>
      <c r="E4" s="20"/>
      <c r="F4" s="20"/>
      <c r="G4" s="21" t="str">
        <f>IF($A4="","",IF($I4="X",A4,CONCATENATE(VLOOKUP(A4,[1]Competitors!$A$2:$I$650,3, FALSE)," ",VLOOKUP(A4,[1]Competitors!$A$2:$I$650,2,FALSE))))</f>
        <v/>
      </c>
      <c r="H4" s="22">
        <f t="shared" si="1"/>
        <v>0</v>
      </c>
      <c r="I4" t="str">
        <f t="shared" si="2"/>
        <v/>
      </c>
      <c r="J4" s="42"/>
    </row>
    <row r="5" spans="1:10" ht="15" x14ac:dyDescent="0.4">
      <c r="A5" s="43" t="str">
        <f t="shared" si="0"/>
        <v/>
      </c>
      <c r="B5" s="19"/>
      <c r="C5" s="20"/>
      <c r="D5" s="20"/>
      <c r="E5" s="20"/>
      <c r="F5" s="20"/>
      <c r="G5" s="21" t="str">
        <f>IF($A5="","",IF($I5="X",A5,CONCATENATE(VLOOKUP(A5,[1]Competitors!$A$2:$I$650,3, FALSE)," ",VLOOKUP(A5,[1]Competitors!$A$2:$I$650,2,FALSE))))</f>
        <v/>
      </c>
      <c r="H5" s="22">
        <f t="shared" si="1"/>
        <v>0</v>
      </c>
      <c r="I5" t="str">
        <f t="shared" si="2"/>
        <v/>
      </c>
      <c r="J5" s="42"/>
    </row>
    <row r="6" spans="1:10" ht="15" x14ac:dyDescent="0.4">
      <c r="A6" s="43" t="str">
        <f t="shared" si="0"/>
        <v/>
      </c>
      <c r="B6" s="19"/>
      <c r="C6" s="20"/>
      <c r="D6" s="20"/>
      <c r="E6" s="20"/>
      <c r="F6" s="20"/>
      <c r="G6" s="21" t="str">
        <f>IF($A6="","",IF($I6="X",A6,CONCATENATE(VLOOKUP(A6,[1]Competitors!$A$2:$I$650,3, FALSE)," ",VLOOKUP(A6,[1]Competitors!$A$2:$I$650,2,FALSE))))</f>
        <v/>
      </c>
      <c r="H6" s="22">
        <f t="shared" si="1"/>
        <v>0</v>
      </c>
      <c r="I6" t="str">
        <f t="shared" si="2"/>
        <v/>
      </c>
      <c r="J6" s="42"/>
    </row>
    <row r="7" spans="1:10" ht="15" x14ac:dyDescent="0.4">
      <c r="A7" s="43" t="str">
        <f t="shared" si="0"/>
        <v/>
      </c>
      <c r="B7" s="19"/>
      <c r="C7" s="20"/>
      <c r="D7" s="20"/>
      <c r="E7" s="20"/>
      <c r="F7" s="20"/>
      <c r="G7" s="21" t="str">
        <f>IF($A7="","",IF($I7="X",A7,CONCATENATE(VLOOKUP(A7,[1]Competitors!$A$2:$I$650,3, FALSE)," ",VLOOKUP(A7,[1]Competitors!$A$2:$I$650,2,FALSE))))</f>
        <v/>
      </c>
      <c r="H7" s="22">
        <f t="shared" si="1"/>
        <v>0</v>
      </c>
      <c r="I7" t="str">
        <f t="shared" si="2"/>
        <v/>
      </c>
      <c r="J7" s="42"/>
    </row>
    <row r="8" spans="1:10" ht="15" x14ac:dyDescent="0.4">
      <c r="A8" s="43" t="str">
        <f t="shared" si="0"/>
        <v/>
      </c>
      <c r="B8" s="19"/>
      <c r="C8" s="20"/>
      <c r="D8" s="20"/>
      <c r="E8" s="20"/>
      <c r="F8" s="20"/>
      <c r="G8" s="21" t="str">
        <f>IF($A8="","",IF($I8="X",A8,CONCATENATE(VLOOKUP(A8,[1]Competitors!$A$2:$I$650,3, FALSE)," ",VLOOKUP(A8,[1]Competitors!$A$2:$I$650,2,FALSE))))</f>
        <v/>
      </c>
      <c r="H8" s="22">
        <f t="shared" si="1"/>
        <v>0</v>
      </c>
      <c r="I8" t="str">
        <f t="shared" si="2"/>
        <v/>
      </c>
      <c r="J8" s="42"/>
    </row>
    <row r="9" spans="1:10" ht="15" x14ac:dyDescent="0.4">
      <c r="A9" s="43" t="str">
        <f t="shared" si="0"/>
        <v/>
      </c>
      <c r="B9" s="19"/>
      <c r="C9" s="20"/>
      <c r="D9" s="20"/>
      <c r="E9" s="20"/>
      <c r="F9" s="20"/>
      <c r="G9" s="21" t="str">
        <f>IF($A9="","",IF($I9="X",A9,CONCATENATE(VLOOKUP(A9,[1]Competitors!$A$2:$I$650,3, FALSE)," ",VLOOKUP(A9,[1]Competitors!$A$2:$I$650,2,FALSE))))</f>
        <v/>
      </c>
      <c r="H9" s="22">
        <f t="shared" si="1"/>
        <v>0</v>
      </c>
      <c r="I9" t="str">
        <f t="shared" si="2"/>
        <v/>
      </c>
      <c r="J9" s="42"/>
    </row>
    <row r="10" spans="1:10" ht="15" x14ac:dyDescent="0.4">
      <c r="A10" s="43" t="str">
        <f t="shared" si="0"/>
        <v/>
      </c>
      <c r="B10" s="19"/>
      <c r="C10" s="20"/>
      <c r="D10" s="20"/>
      <c r="E10" s="20"/>
      <c r="F10" s="20"/>
      <c r="G10" s="21" t="str">
        <f>IF($A10="","",IF($I10="X",A10,CONCATENATE(VLOOKUP(A10,[1]Competitors!$A$2:$I$650,3, FALSE)," ",VLOOKUP(A10,[1]Competitors!$A$2:$I$650,2,FALSE))))</f>
        <v/>
      </c>
      <c r="H10" s="22">
        <f t="shared" si="1"/>
        <v>0</v>
      </c>
      <c r="I10" t="str">
        <f t="shared" si="2"/>
        <v/>
      </c>
      <c r="J10" s="42"/>
    </row>
    <row r="11" spans="1:10" ht="15" x14ac:dyDescent="0.4">
      <c r="A11" s="43" t="str">
        <f t="shared" si="0"/>
        <v/>
      </c>
      <c r="B11" s="19"/>
      <c r="C11" s="20"/>
      <c r="D11" s="20"/>
      <c r="E11" s="20"/>
      <c r="F11" s="20"/>
      <c r="G11" s="21" t="str">
        <f>IF($A11="","",IF($I11="X",A11,CONCATENATE(VLOOKUP(A11,[1]Competitors!$A$2:$I$650,3, FALSE)," ",VLOOKUP(A11,[1]Competitors!$A$2:$I$650,2,FALSE))))</f>
        <v/>
      </c>
      <c r="H11" s="22">
        <f t="shared" si="1"/>
        <v>0</v>
      </c>
      <c r="I11" t="str">
        <f t="shared" si="2"/>
        <v/>
      </c>
      <c r="J11" s="42"/>
    </row>
    <row r="12" spans="1:10" ht="15" x14ac:dyDescent="0.4">
      <c r="A12" s="43" t="str">
        <f t="shared" si="0"/>
        <v/>
      </c>
      <c r="B12" s="19"/>
      <c r="C12" s="20"/>
      <c r="D12" s="20"/>
      <c r="E12" s="20"/>
      <c r="F12" s="20"/>
      <c r="G12" s="21" t="str">
        <f>IF($A12="","",IF($I12="X",A12,CONCATENATE(VLOOKUP(A12,[1]Competitors!$A$2:$I$650,3, FALSE)," ",VLOOKUP(A12,[1]Competitors!$A$2:$I$650,2,FALSE))))</f>
        <v/>
      </c>
      <c r="H12" s="22">
        <f t="shared" si="1"/>
        <v>0</v>
      </c>
      <c r="I12" t="str">
        <f t="shared" si="2"/>
        <v/>
      </c>
      <c r="J12" s="42"/>
    </row>
    <row r="13" spans="1:10" ht="15" x14ac:dyDescent="0.4">
      <c r="A13" s="43" t="str">
        <f t="shared" si="0"/>
        <v/>
      </c>
      <c r="B13" s="19"/>
      <c r="C13" s="20"/>
      <c r="D13" s="20"/>
      <c r="E13" s="20"/>
      <c r="F13" s="20"/>
      <c r="G13" s="21" t="str">
        <f>IF($A13="","",IF($I13="X",A13,CONCATENATE(VLOOKUP(A13,[1]Competitors!$A$2:$I$650,3, FALSE)," ",VLOOKUP(A13,[1]Competitors!$A$2:$I$650,2,FALSE))))</f>
        <v/>
      </c>
      <c r="H13" s="22">
        <f t="shared" si="1"/>
        <v>0</v>
      </c>
      <c r="I13" t="str">
        <f t="shared" si="2"/>
        <v/>
      </c>
      <c r="J13" s="42"/>
    </row>
    <row r="14" spans="1:10" ht="15" x14ac:dyDescent="0.4">
      <c r="A14" s="43" t="str">
        <f t="shared" si="0"/>
        <v/>
      </c>
      <c r="B14" s="19"/>
      <c r="C14" s="20"/>
      <c r="D14" s="20"/>
      <c r="E14" s="20"/>
      <c r="F14" s="20"/>
      <c r="G14" s="21" t="str">
        <f>IF($A14="","",IF($I14="X",A14,CONCATENATE(VLOOKUP(A14,[1]Competitors!$A$2:$I$650,3, FALSE)," ",VLOOKUP(A14,[1]Competitors!$A$2:$I$650,2,FALSE))))</f>
        <v/>
      </c>
      <c r="H14" s="22">
        <f t="shared" si="1"/>
        <v>0</v>
      </c>
      <c r="I14" t="str">
        <f t="shared" si="2"/>
        <v/>
      </c>
      <c r="J14" s="42"/>
    </row>
    <row r="15" spans="1:10" ht="15" x14ac:dyDescent="0.4">
      <c r="A15" s="43" t="str">
        <f t="shared" si="0"/>
        <v/>
      </c>
      <c r="B15" s="19"/>
      <c r="C15" s="20"/>
      <c r="D15" s="20"/>
      <c r="E15" s="20"/>
      <c r="F15" s="20"/>
      <c r="G15" s="21" t="str">
        <f>IF($A15="","",IF($I15="X",A15,CONCATENATE(VLOOKUP(A15,[1]Competitors!$A$2:$I$650,3, FALSE)," ",VLOOKUP(A15,[1]Competitors!$A$2:$I$650,2,FALSE))))</f>
        <v/>
      </c>
      <c r="H15" s="22">
        <f t="shared" si="1"/>
        <v>0</v>
      </c>
      <c r="I15" t="str">
        <f t="shared" si="2"/>
        <v/>
      </c>
      <c r="J15" s="42"/>
    </row>
    <row r="16" spans="1:10" ht="15" x14ac:dyDescent="0.4">
      <c r="A16" s="43" t="str">
        <f t="shared" si="0"/>
        <v/>
      </c>
      <c r="B16" s="19"/>
      <c r="C16" s="20"/>
      <c r="D16" s="20"/>
      <c r="E16" s="20"/>
      <c r="F16" s="20"/>
      <c r="G16" s="21" t="str">
        <f>IF($A16="","",IF($I16="X",A16,CONCATENATE(VLOOKUP(A16,[1]Competitors!$A$2:$I$650,3, FALSE)," ",VLOOKUP(A16,[1]Competitors!$A$2:$I$650,2,FALSE))))</f>
        <v/>
      </c>
      <c r="H16" s="22">
        <f t="shared" si="1"/>
        <v>0</v>
      </c>
      <c r="I16" t="str">
        <f t="shared" si="2"/>
        <v/>
      </c>
      <c r="J16" s="42"/>
    </row>
    <row r="17" spans="1:10" ht="15" x14ac:dyDescent="0.4">
      <c r="A17" s="43" t="str">
        <f t="shared" si="0"/>
        <v/>
      </c>
      <c r="B17" s="19"/>
      <c r="C17" s="20"/>
      <c r="D17" s="20"/>
      <c r="E17" s="20"/>
      <c r="F17" s="20"/>
      <c r="G17" s="21" t="str">
        <f>IF($A17="","",IF($I17="X",A17,CONCATENATE(VLOOKUP(A17,[1]Competitors!$A$2:$I$650,3, FALSE)," ",VLOOKUP(A17,[1]Competitors!$A$2:$I$650,2,FALSE))))</f>
        <v/>
      </c>
      <c r="H17" s="22">
        <f t="shared" si="1"/>
        <v>0</v>
      </c>
      <c r="I17" t="str">
        <f t="shared" si="2"/>
        <v/>
      </c>
      <c r="J17" s="42"/>
    </row>
    <row r="18" spans="1:10" ht="15" x14ac:dyDescent="0.4">
      <c r="A18" s="43" t="str">
        <f t="shared" si="0"/>
        <v/>
      </c>
      <c r="B18" s="19"/>
      <c r="C18" s="20"/>
      <c r="D18" s="20"/>
      <c r="E18" s="20"/>
      <c r="F18" s="20"/>
      <c r="G18" s="21" t="str">
        <f>IF($A18="","",IF($I18="X",A18,CONCATENATE(VLOOKUP(A18,[1]Competitors!$A$2:$I$650,3, FALSE)," ",VLOOKUP(A18,[1]Competitors!$A$2:$I$650,2,FALSE))))</f>
        <v/>
      </c>
      <c r="H18" s="22">
        <f t="shared" si="1"/>
        <v>0</v>
      </c>
      <c r="I18" t="str">
        <f t="shared" si="2"/>
        <v/>
      </c>
      <c r="J18" s="42"/>
    </row>
    <row r="19" spans="1:10" ht="15" x14ac:dyDescent="0.4">
      <c r="A19" s="43" t="str">
        <f t="shared" si="0"/>
        <v/>
      </c>
      <c r="B19" s="19"/>
      <c r="C19" s="20"/>
      <c r="D19" s="20"/>
      <c r="E19" s="20"/>
      <c r="F19" s="20"/>
      <c r="G19" s="21" t="str">
        <f>IF($A19="","",IF($I19="X",A19,CONCATENATE(VLOOKUP(A19,[1]Competitors!$A$2:$I$650,3, FALSE)," ",VLOOKUP(A19,[1]Competitors!$A$2:$I$650,2,FALSE))))</f>
        <v/>
      </c>
      <c r="H19" s="22">
        <f t="shared" si="1"/>
        <v>0</v>
      </c>
      <c r="I19" t="str">
        <f t="shared" si="2"/>
        <v/>
      </c>
      <c r="J19" s="42"/>
    </row>
    <row r="20" spans="1:10" ht="15" x14ac:dyDescent="0.4">
      <c r="A20" s="43" t="str">
        <f t="shared" si="0"/>
        <v/>
      </c>
      <c r="B20" s="19"/>
      <c r="C20" s="20"/>
      <c r="D20" s="20"/>
      <c r="E20" s="20"/>
      <c r="F20" s="20"/>
      <c r="G20" s="21" t="str">
        <f>IF($A20="","",IF($I20="X",A20,CONCATENATE(VLOOKUP(A20,[1]Competitors!$A$2:$I$650,3, FALSE)," ",VLOOKUP(A20,[1]Competitors!$A$2:$I$650,2,FALSE))))</f>
        <v/>
      </c>
      <c r="H20" s="22">
        <f t="shared" si="1"/>
        <v>0</v>
      </c>
      <c r="I20" t="str">
        <f t="shared" si="2"/>
        <v/>
      </c>
      <c r="J20" s="42"/>
    </row>
    <row r="21" spans="1:10" ht="15" x14ac:dyDescent="0.4">
      <c r="A21" s="43" t="str">
        <f t="shared" si="0"/>
        <v/>
      </c>
      <c r="B21" s="19"/>
      <c r="C21" s="20"/>
      <c r="D21" s="20"/>
      <c r="E21" s="20"/>
      <c r="F21" s="20"/>
      <c r="G21" s="21" t="str">
        <f>IF($A21="","",IF($I21="X",A21,CONCATENATE(VLOOKUP(A21,[1]Competitors!$A$2:$I$650,3, FALSE)," ",VLOOKUP(A21,[1]Competitors!$A$2:$I$650,2,FALSE))))</f>
        <v/>
      </c>
      <c r="H21" s="22">
        <f t="shared" si="1"/>
        <v>0</v>
      </c>
      <c r="I21" t="str">
        <f t="shared" si="2"/>
        <v/>
      </c>
      <c r="J21" s="42"/>
    </row>
    <row r="22" spans="1:10" ht="15" x14ac:dyDescent="0.4">
      <c r="A22" s="43" t="str">
        <f t="shared" si="0"/>
        <v/>
      </c>
      <c r="B22" s="19"/>
      <c r="C22" s="20"/>
      <c r="D22" s="20"/>
      <c r="E22" s="20"/>
      <c r="F22" s="20"/>
      <c r="G22" s="21" t="str">
        <f>IF($A22="","",IF($I22="X",A22,CONCATENATE(VLOOKUP(A22,[1]Competitors!$A$2:$I$650,3, FALSE)," ",VLOOKUP(A22,[1]Competitors!$A$2:$I$650,2,FALSE))))</f>
        <v/>
      </c>
      <c r="H22" s="22">
        <f t="shared" si="1"/>
        <v>0</v>
      </c>
      <c r="I22" t="str">
        <f t="shared" si="2"/>
        <v/>
      </c>
      <c r="J22" s="42"/>
    </row>
    <row r="23" spans="1:10" ht="15" x14ac:dyDescent="0.4">
      <c r="A23" s="43" t="str">
        <f t="shared" si="0"/>
        <v/>
      </c>
      <c r="B23" s="19"/>
      <c r="C23" s="20"/>
      <c r="D23" s="20"/>
      <c r="E23" s="20"/>
      <c r="F23" s="20"/>
      <c r="G23" s="21" t="str">
        <f>IF($A23="","",IF($I23="X",A23,CONCATENATE(VLOOKUP(A23,[1]Competitors!$A$2:$I$650,3, FALSE)," ",VLOOKUP(A23,[1]Competitors!$A$2:$I$650,2,FALSE))))</f>
        <v/>
      </c>
      <c r="H23" s="22">
        <f t="shared" si="1"/>
        <v>0</v>
      </c>
      <c r="I23" t="str">
        <f t="shared" si="2"/>
        <v/>
      </c>
      <c r="J23" s="42"/>
    </row>
    <row r="24" spans="1:10" ht="15" x14ac:dyDescent="0.4">
      <c r="A24" s="43" t="str">
        <f t="shared" si="0"/>
        <v/>
      </c>
      <c r="B24" s="19"/>
      <c r="C24" s="20"/>
      <c r="D24" s="20"/>
      <c r="E24" s="20"/>
      <c r="F24" s="20"/>
      <c r="G24" s="21" t="str">
        <f>IF($A24="","",IF($I24="X",A24,CONCATENATE(VLOOKUP(A24,[1]Competitors!$A$2:$I$650,3, FALSE)," ",VLOOKUP(A24,[1]Competitors!$A$2:$I$650,2,FALSE))))</f>
        <v/>
      </c>
      <c r="H24" s="22">
        <f t="shared" si="1"/>
        <v>0</v>
      </c>
      <c r="I24" t="str">
        <f t="shared" si="2"/>
        <v/>
      </c>
      <c r="J24" s="42"/>
    </row>
    <row r="25" spans="1:10" ht="15" x14ac:dyDescent="0.4">
      <c r="A25" s="43" t="str">
        <f t="shared" si="0"/>
        <v/>
      </c>
      <c r="B25" s="19"/>
      <c r="C25" s="20"/>
      <c r="D25" s="20"/>
      <c r="E25" s="20"/>
      <c r="F25" s="20"/>
      <c r="G25" s="21" t="str">
        <f>IF($A25="","",IF($I25="X",A25,CONCATENATE(VLOOKUP(A25,[1]Competitors!$A$2:$I$650,3, FALSE)," ",VLOOKUP(A25,[1]Competitors!$A$2:$I$650,2,FALSE))))</f>
        <v/>
      </c>
      <c r="H25" s="22">
        <f t="shared" si="1"/>
        <v>0</v>
      </c>
      <c r="I25" t="str">
        <f t="shared" si="2"/>
        <v/>
      </c>
      <c r="J25" s="42"/>
    </row>
    <row r="26" spans="1:10" ht="15" x14ac:dyDescent="0.4">
      <c r="A26" s="43" t="str">
        <f t="shared" si="0"/>
        <v/>
      </c>
      <c r="B26" s="19"/>
      <c r="C26" s="20"/>
      <c r="D26" s="20"/>
      <c r="E26" s="20"/>
      <c r="F26" s="20"/>
      <c r="G26" s="21" t="str">
        <f>IF($A26="","",IF($I26="X",A26,CONCATENATE(VLOOKUP(A26,[1]Competitors!$A$2:$I$650,3, FALSE)," ",VLOOKUP(A26,[1]Competitors!$A$2:$I$650,2,FALSE))))</f>
        <v/>
      </c>
      <c r="H26" s="22">
        <f t="shared" si="1"/>
        <v>0</v>
      </c>
      <c r="I26" t="str">
        <f t="shared" si="2"/>
        <v/>
      </c>
      <c r="J26" s="42"/>
    </row>
    <row r="27" spans="1:10" ht="15" x14ac:dyDescent="0.4">
      <c r="A27" s="43" t="str">
        <f t="shared" si="0"/>
        <v/>
      </c>
      <c r="B27" s="19"/>
      <c r="C27" s="20"/>
      <c r="D27" s="20"/>
      <c r="E27" s="20"/>
      <c r="F27" s="20"/>
      <c r="G27" s="21" t="str">
        <f>IF($A27="","",IF($I27="X",A27,CONCATENATE(VLOOKUP(A27,[1]Competitors!$A$2:$I$650,3, FALSE)," ",VLOOKUP(A27,[1]Competitors!$A$2:$I$650,2,FALSE))))</f>
        <v/>
      </c>
      <c r="H27" s="22">
        <f t="shared" si="1"/>
        <v>0</v>
      </c>
      <c r="I27" t="str">
        <f t="shared" si="2"/>
        <v/>
      </c>
      <c r="J27" s="42"/>
    </row>
    <row r="28" spans="1:10" ht="15" x14ac:dyDescent="0.4">
      <c r="A28" s="43" t="str">
        <f t="shared" si="0"/>
        <v/>
      </c>
      <c r="B28" s="19"/>
      <c r="C28" s="20"/>
      <c r="D28" s="20"/>
      <c r="E28" s="20"/>
      <c r="F28" s="20"/>
      <c r="G28" s="21" t="str">
        <f>IF($A28="","",IF($I28="X",A28,CONCATENATE(VLOOKUP(A28,[1]Competitors!$A$2:$I$650,3, FALSE)," ",VLOOKUP(A28,[1]Competitors!$A$2:$I$650,2,FALSE))))</f>
        <v/>
      </c>
      <c r="H28" s="22">
        <f t="shared" si="1"/>
        <v>0</v>
      </c>
      <c r="I28" t="str">
        <f t="shared" si="2"/>
        <v/>
      </c>
      <c r="J28" s="42"/>
    </row>
    <row r="29" spans="1:10" ht="15" x14ac:dyDescent="0.4">
      <c r="A29" s="43" t="str">
        <f t="shared" si="0"/>
        <v/>
      </c>
      <c r="B29" s="19"/>
      <c r="C29" s="20"/>
      <c r="D29" s="20"/>
      <c r="E29" s="20"/>
      <c r="F29" s="20"/>
      <c r="G29" s="21" t="str">
        <f>IF($A29="","",IF($I29="X",A29,CONCATENATE(VLOOKUP(A29,[1]Competitors!$A$2:$I$650,3, FALSE)," ",VLOOKUP(A29,[1]Competitors!$A$2:$I$650,2,FALSE))))</f>
        <v/>
      </c>
      <c r="H29" s="22">
        <f t="shared" si="1"/>
        <v>0</v>
      </c>
      <c r="I29" t="str">
        <f t="shared" si="2"/>
        <v/>
      </c>
      <c r="J29" s="42"/>
    </row>
    <row r="30" spans="1:10" ht="15" x14ac:dyDescent="0.4">
      <c r="A30" s="43" t="str">
        <f t="shared" si="0"/>
        <v/>
      </c>
      <c r="B30" s="19"/>
      <c r="C30" s="20"/>
      <c r="D30" s="20"/>
      <c r="E30" s="20"/>
      <c r="F30" s="20"/>
      <c r="G30" s="21" t="str">
        <f>IF($A30="","",IF($I30="X",A30,CONCATENATE(VLOOKUP(A30,[1]Competitors!$A$2:$I$650,3, FALSE)," ",VLOOKUP(A30,[1]Competitors!$A$2:$I$650,2,FALSE))))</f>
        <v/>
      </c>
      <c r="H30" s="22">
        <f t="shared" si="1"/>
        <v>0</v>
      </c>
      <c r="I30" t="str">
        <f t="shared" si="2"/>
        <v/>
      </c>
      <c r="J30" s="42"/>
    </row>
    <row r="31" spans="1:10" ht="15" x14ac:dyDescent="0.4">
      <c r="A31" s="43" t="str">
        <f t="shared" si="0"/>
        <v/>
      </c>
      <c r="B31" s="19"/>
      <c r="C31" s="20"/>
      <c r="D31" s="20"/>
      <c r="E31" s="20"/>
      <c r="F31" s="20"/>
      <c r="G31" s="21" t="str">
        <f>IF($A31="","",IF($I31="X",A31,CONCATENATE(VLOOKUP(A31,[1]Competitors!$A$2:$I$650,3, FALSE)," ",VLOOKUP(A31,[1]Competitors!$A$2:$I$650,2,FALSE))))</f>
        <v/>
      </c>
      <c r="H31" s="22">
        <f t="shared" si="1"/>
        <v>0</v>
      </c>
      <c r="I31" t="str">
        <f t="shared" si="2"/>
        <v/>
      </c>
      <c r="J31" s="42"/>
    </row>
    <row r="32" spans="1:10" ht="15" x14ac:dyDescent="0.4">
      <c r="A32" s="43" t="str">
        <f t="shared" si="0"/>
        <v/>
      </c>
      <c r="B32" s="19"/>
      <c r="C32" s="20"/>
      <c r="D32" s="20"/>
      <c r="E32" s="20"/>
      <c r="F32" s="20"/>
      <c r="G32" s="21" t="str">
        <f>IF($A32="","",IF($I32="X",A32,CONCATENATE(VLOOKUP(A32,[1]Competitors!$A$2:$I$650,3, FALSE)," ",VLOOKUP(A32,[1]Competitors!$A$2:$I$650,2,FALSE))))</f>
        <v/>
      </c>
      <c r="H32" s="22">
        <f t="shared" si="1"/>
        <v>0</v>
      </c>
      <c r="I32" t="str">
        <f t="shared" si="2"/>
        <v/>
      </c>
      <c r="J32" s="42"/>
    </row>
    <row r="33" spans="1:10" ht="15" x14ac:dyDescent="0.4">
      <c r="A33" s="43" t="str">
        <f t="shared" si="0"/>
        <v/>
      </c>
      <c r="B33" s="19"/>
      <c r="C33" s="20"/>
      <c r="D33" s="20"/>
      <c r="E33" s="20"/>
      <c r="F33" s="20"/>
      <c r="G33" s="21" t="str">
        <f>IF($A33="","",IF($I33="X",A33,CONCATENATE(VLOOKUP(A33,[1]Competitors!$A$2:$I$650,3, FALSE)," ",VLOOKUP(A33,[1]Competitors!$A$2:$I$650,2,FALSE))))</f>
        <v/>
      </c>
      <c r="H33" s="22">
        <f t="shared" si="1"/>
        <v>0</v>
      </c>
      <c r="I33" t="str">
        <f t="shared" si="2"/>
        <v/>
      </c>
      <c r="J33" s="42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9"/>
      <c r="C34" s="20"/>
      <c r="D34" s="20"/>
      <c r="E34" s="20"/>
      <c r="F34" s="20"/>
      <c r="G34" s="21" t="str">
        <f>IF($A34="","",IF($I34="X",A34,CONCATENATE(VLOOKUP(A34,[1]Competitors!$A$2:$I$650,3, FALSE)," ",VLOOKUP(A34,[1]Competitors!$A$2:$I$650,2,FALSE))))</f>
        <v/>
      </c>
      <c r="H34" s="22">
        <f t="shared" si="1"/>
        <v>0</v>
      </c>
      <c r="I34" t="str">
        <f t="shared" si="2"/>
        <v/>
      </c>
      <c r="J34" s="42"/>
    </row>
    <row r="35" spans="1:10" ht="15" x14ac:dyDescent="0.4">
      <c r="A35" s="43" t="str">
        <f t="shared" si="3"/>
        <v/>
      </c>
      <c r="B35" s="19"/>
      <c r="C35" s="20"/>
      <c r="D35" s="20"/>
      <c r="E35" s="20"/>
      <c r="F35" s="20"/>
      <c r="G35" s="21" t="str">
        <f>IF($A35="","",IF($I35="X",A35,CONCATENATE(VLOOKUP(A35,[1]Competitors!$A$2:$I$650,3, FALSE)," ",VLOOKUP(A35,[1]Competitors!$A$2:$I$650,2,FALSE))))</f>
        <v/>
      </c>
      <c r="H35" s="22">
        <f t="shared" si="1"/>
        <v>0</v>
      </c>
      <c r="I35" t="str">
        <f t="shared" si="2"/>
        <v/>
      </c>
      <c r="J35" s="42"/>
    </row>
    <row r="36" spans="1:10" ht="15" x14ac:dyDescent="0.4">
      <c r="A36" s="43" t="str">
        <f t="shared" si="3"/>
        <v/>
      </c>
      <c r="B36" s="19"/>
      <c r="C36" s="20"/>
      <c r="D36" s="20"/>
      <c r="E36" s="20"/>
      <c r="F36" s="20"/>
      <c r="G36" s="21" t="str">
        <f>IF($A36="","",IF($I36="X",A36,CONCATENATE(VLOOKUP(A36,[1]Competitors!$A$2:$I$650,3, FALSE)," ",VLOOKUP(A36,[1]Competitors!$A$2:$I$650,2,FALSE))))</f>
        <v/>
      </c>
      <c r="H36" s="22">
        <f t="shared" si="1"/>
        <v>0</v>
      </c>
      <c r="I36" t="str">
        <f t="shared" si="2"/>
        <v/>
      </c>
      <c r="J36" s="42"/>
    </row>
    <row r="37" spans="1:10" ht="15" x14ac:dyDescent="0.4">
      <c r="A37" s="43" t="str">
        <f t="shared" si="3"/>
        <v/>
      </c>
      <c r="B37" s="19"/>
      <c r="C37" s="20"/>
      <c r="D37" s="20"/>
      <c r="E37" s="20"/>
      <c r="F37" s="20"/>
      <c r="G37" s="21" t="str">
        <f>IF($A37="","",IF($I37="X",A37,CONCATENATE(VLOOKUP(A37,[1]Competitors!$A$2:$I$650,3, FALSE)," ",VLOOKUP(A37,[1]Competitors!$A$2:$I$650,2,FALSE))))</f>
        <v/>
      </c>
      <c r="H37" s="22">
        <f t="shared" si="1"/>
        <v>0</v>
      </c>
      <c r="I37" t="str">
        <f t="shared" si="2"/>
        <v/>
      </c>
      <c r="J37" s="42"/>
    </row>
    <row r="38" spans="1:10" ht="15" x14ac:dyDescent="0.4">
      <c r="A38" s="43" t="str">
        <f t="shared" si="3"/>
        <v/>
      </c>
      <c r="B38" s="19"/>
      <c r="C38" s="20"/>
      <c r="D38" s="20"/>
      <c r="E38" s="20"/>
      <c r="F38" s="20"/>
      <c r="G38" s="21" t="str">
        <f>IF($A38="","",IF($I38="X",A38,CONCATENATE(VLOOKUP(A38,[1]Competitors!$A$2:$I$650,3, FALSE)," ",VLOOKUP(A38,[1]Competitors!$A$2:$I$650,2,FALSE))))</f>
        <v/>
      </c>
      <c r="H38" s="22">
        <f t="shared" si="1"/>
        <v>0</v>
      </c>
      <c r="I38" t="str">
        <f t="shared" si="2"/>
        <v/>
      </c>
      <c r="J38" s="42"/>
    </row>
    <row r="39" spans="1:10" ht="15" x14ac:dyDescent="0.4">
      <c r="A39" s="43" t="str">
        <f t="shared" si="3"/>
        <v/>
      </c>
      <c r="B39" s="19"/>
      <c r="C39" s="20"/>
      <c r="D39" s="20"/>
      <c r="E39" s="20"/>
      <c r="F39" s="20"/>
      <c r="G39" s="21" t="str">
        <f>IF($A39="","",IF($I39="X",A39,CONCATENATE(VLOOKUP(A39,[1]Competitors!$A$2:$I$650,3, FALSE)," ",VLOOKUP(A39,[1]Competitors!$A$2:$I$650,2,FALSE))))</f>
        <v/>
      </c>
      <c r="H39" s="22">
        <f t="shared" si="1"/>
        <v>0</v>
      </c>
      <c r="I39" t="str">
        <f t="shared" si="2"/>
        <v/>
      </c>
      <c r="J39" s="42"/>
    </row>
    <row r="40" spans="1:10" ht="15" x14ac:dyDescent="0.4">
      <c r="A40" s="43" t="str">
        <f t="shared" si="3"/>
        <v/>
      </c>
      <c r="B40" s="19"/>
      <c r="C40" s="20"/>
      <c r="D40" s="20"/>
      <c r="E40" s="20"/>
      <c r="F40" s="20"/>
      <c r="G40" s="21" t="str">
        <f>IF($A40="","",IF($I40="X",A40,CONCATENATE(VLOOKUP(A40,[1]Competitors!$A$2:$I$650,3, FALSE)," ",VLOOKUP(A40,[1]Competitors!$A$2:$I$650,2,FALSE))))</f>
        <v/>
      </c>
      <c r="H40" s="22">
        <f t="shared" si="1"/>
        <v>0</v>
      </c>
      <c r="I40" t="str">
        <f t="shared" si="2"/>
        <v/>
      </c>
      <c r="J40" s="42"/>
    </row>
    <row r="41" spans="1:10" ht="15" x14ac:dyDescent="0.4">
      <c r="A41" s="43" t="str">
        <f t="shared" si="3"/>
        <v/>
      </c>
      <c r="B41" s="19"/>
      <c r="C41" s="20"/>
      <c r="D41" s="20"/>
      <c r="E41" s="20"/>
      <c r="F41" s="20"/>
      <c r="G41" s="21" t="str">
        <f>IF($A41="","",IF($I41="X",A41,CONCATENATE(VLOOKUP(A41,[1]Competitors!$A$2:$I$650,3, FALSE)," ",VLOOKUP(A41,[1]Competitors!$A$2:$I$650,2,FALSE))))</f>
        <v/>
      </c>
      <c r="H41" s="22">
        <f t="shared" si="1"/>
        <v>0</v>
      </c>
      <c r="I41" t="str">
        <f t="shared" si="2"/>
        <v/>
      </c>
      <c r="J41" s="42"/>
    </row>
    <row r="42" spans="1:10" ht="15" x14ac:dyDescent="0.4">
      <c r="A42" s="43" t="str">
        <f t="shared" si="3"/>
        <v/>
      </c>
      <c r="B42" s="19"/>
      <c r="C42" s="20"/>
      <c r="D42" s="20"/>
      <c r="E42" s="20"/>
      <c r="F42" s="20"/>
      <c r="G42" s="21" t="str">
        <f>IF($A42="","",IF($I42="X",A42,CONCATENATE(VLOOKUP(A42,[1]Competitors!$A$2:$I$650,3, FALSE)," ",VLOOKUP(A42,[1]Competitors!$A$2:$I$650,2,FALSE))))</f>
        <v/>
      </c>
      <c r="H42" s="22">
        <f t="shared" si="1"/>
        <v>0</v>
      </c>
      <c r="I42" t="str">
        <f t="shared" si="2"/>
        <v/>
      </c>
      <c r="J42" s="42"/>
    </row>
    <row r="43" spans="1:10" ht="15" x14ac:dyDescent="0.4">
      <c r="A43" s="43" t="str">
        <f t="shared" si="3"/>
        <v/>
      </c>
      <c r="B43" s="19"/>
      <c r="C43" s="20"/>
      <c r="D43" s="20"/>
      <c r="E43" s="20"/>
      <c r="F43" s="20"/>
      <c r="G43" s="21" t="str">
        <f>IF($A43="","",IF($I43="X",A43,CONCATENATE(VLOOKUP(A43,[1]Competitors!$A$2:$I$650,3, FALSE)," ",VLOOKUP(A43,[1]Competitors!$A$2:$I$650,2,FALSE))))</f>
        <v/>
      </c>
      <c r="H43" s="22">
        <f t="shared" si="1"/>
        <v>0</v>
      </c>
      <c r="I43" t="str">
        <f t="shared" si="2"/>
        <v/>
      </c>
      <c r="J43" s="42"/>
    </row>
    <row r="44" spans="1:10" ht="15" x14ac:dyDescent="0.4">
      <c r="A44" s="43" t="str">
        <f t="shared" si="3"/>
        <v/>
      </c>
      <c r="B44" s="19"/>
      <c r="C44" s="20"/>
      <c r="D44" s="20"/>
      <c r="E44" s="20"/>
      <c r="F44" s="20"/>
      <c r="G44" s="21" t="str">
        <f>IF($A44="","",IF($I44="X",A44,CONCATENATE(VLOOKUP(A44,[1]Competitors!$A$2:$I$650,3, FALSE)," ",VLOOKUP(A44,[1]Competitors!$A$2:$I$650,2,FALSE))))</f>
        <v/>
      </c>
      <c r="H44" s="22">
        <f t="shared" si="1"/>
        <v>0</v>
      </c>
      <c r="I44" t="str">
        <f t="shared" si="2"/>
        <v/>
      </c>
      <c r="J44" s="42"/>
    </row>
    <row r="45" spans="1:10" ht="15" x14ac:dyDescent="0.4">
      <c r="A45" s="43" t="str">
        <f t="shared" si="3"/>
        <v/>
      </c>
      <c r="B45" s="19"/>
      <c r="C45" s="20"/>
      <c r="D45" s="20"/>
      <c r="E45" s="20"/>
      <c r="F45" s="20"/>
      <c r="G45" s="21" t="str">
        <f>IF($A45="","",IF($I45="X",A45,CONCATENATE(VLOOKUP(A45,[1]Competitors!$A$2:$I$650,3, FALSE)," ",VLOOKUP(A45,[1]Competitors!$A$2:$I$650,2,FALSE))))</f>
        <v/>
      </c>
      <c r="H45" s="22">
        <f t="shared" si="1"/>
        <v>0</v>
      </c>
      <c r="I45" t="str">
        <f t="shared" si="2"/>
        <v/>
      </c>
      <c r="J45" s="42"/>
    </row>
    <row r="46" spans="1:10" ht="15" x14ac:dyDescent="0.4">
      <c r="A46" s="43" t="str">
        <f t="shared" si="3"/>
        <v/>
      </c>
      <c r="B46" s="19"/>
      <c r="C46" s="20"/>
      <c r="D46" s="20"/>
      <c r="E46" s="20"/>
      <c r="F46" s="20"/>
      <c r="G46" s="21" t="str">
        <f>IF($A46="","",IF($I46="X",A46,CONCATENATE(VLOOKUP(A46,[1]Competitors!$A$2:$I$650,3, FALSE)," ",VLOOKUP(A46,[1]Competitors!$A$2:$I$650,2,FALSE))))</f>
        <v/>
      </c>
      <c r="H46" s="22">
        <f t="shared" si="1"/>
        <v>0</v>
      </c>
      <c r="I46" t="str">
        <f t="shared" si="2"/>
        <v/>
      </c>
      <c r="J46" s="42"/>
    </row>
    <row r="47" spans="1:10" ht="15" x14ac:dyDescent="0.4">
      <c r="A47" s="43" t="str">
        <f t="shared" si="3"/>
        <v/>
      </c>
      <c r="B47" s="19"/>
      <c r="C47" s="20"/>
      <c r="D47" s="20"/>
      <c r="E47" s="20"/>
      <c r="F47" s="20"/>
      <c r="G47" s="21" t="str">
        <f>IF($A47="","",IF($I47="X",A47,CONCATENATE(VLOOKUP(A47,[1]Competitors!$A$2:$I$650,3, FALSE)," ",VLOOKUP(A47,[1]Competitors!$A$2:$I$650,2,FALSE))))</f>
        <v/>
      </c>
      <c r="H47" s="22">
        <f t="shared" si="1"/>
        <v>0</v>
      </c>
      <c r="I47" t="str">
        <f t="shared" si="2"/>
        <v/>
      </c>
      <c r="J47" s="42"/>
    </row>
    <row r="48" spans="1:10" ht="15" x14ac:dyDescent="0.4">
      <c r="A48" s="43" t="str">
        <f t="shared" si="3"/>
        <v/>
      </c>
      <c r="B48" s="19"/>
      <c r="C48" s="20"/>
      <c r="D48" s="20"/>
      <c r="E48" s="20"/>
      <c r="F48" s="20"/>
      <c r="G48" s="21" t="str">
        <f>IF($A48="","",IF($I48="X",A48,CONCATENATE(VLOOKUP(A48,[1]Competitors!$A$2:$I$650,3, FALSE)," ",VLOOKUP(A48,[1]Competitors!$A$2:$I$650,2,FALSE))))</f>
        <v/>
      </c>
      <c r="H48" s="22">
        <f t="shared" si="1"/>
        <v>0</v>
      </c>
      <c r="I48" t="str">
        <f t="shared" si="2"/>
        <v/>
      </c>
      <c r="J48" s="42"/>
    </row>
    <row r="49" spans="1:10" ht="15" x14ac:dyDescent="0.4">
      <c r="A49" s="43" t="str">
        <f t="shared" si="3"/>
        <v/>
      </c>
      <c r="B49" s="19"/>
      <c r="C49" s="20"/>
      <c r="D49" s="20"/>
      <c r="E49" s="20"/>
      <c r="F49" s="20"/>
      <c r="G49" s="21" t="str">
        <f>IF($A49="","",IF($I49="X",A49,CONCATENATE(VLOOKUP(A49,[1]Competitors!$A$2:$I$650,3, FALSE)," ",VLOOKUP(A49,[1]Competitors!$A$2:$I$650,2,FALSE))))</f>
        <v/>
      </c>
      <c r="H49" s="22">
        <f t="shared" si="1"/>
        <v>0</v>
      </c>
      <c r="I49" t="str">
        <f t="shared" si="2"/>
        <v/>
      </c>
      <c r="J49" s="42"/>
    </row>
    <row r="50" spans="1:10" ht="15" x14ac:dyDescent="0.4">
      <c r="A50" s="43" t="str">
        <f t="shared" si="3"/>
        <v/>
      </c>
      <c r="B50" s="19"/>
      <c r="C50" s="20"/>
      <c r="D50" s="20"/>
      <c r="E50" s="20"/>
      <c r="F50" s="20"/>
      <c r="G50" s="21" t="str">
        <f>IF($A50="","",IF($I50="X",A50,CONCATENATE(VLOOKUP(A50,[1]Competitors!$A$2:$I$650,3, FALSE)," ",VLOOKUP(A50,[1]Competitors!$A$2:$I$650,2,FALSE))))</f>
        <v/>
      </c>
      <c r="H50" s="22">
        <f t="shared" si="1"/>
        <v>0</v>
      </c>
      <c r="I50" t="str">
        <f t="shared" si="2"/>
        <v/>
      </c>
      <c r="J50" s="42"/>
    </row>
    <row r="51" spans="1:10" ht="15" x14ac:dyDescent="0.4">
      <c r="A51" s="43" t="str">
        <f t="shared" si="3"/>
        <v/>
      </c>
      <c r="B51" s="19"/>
      <c r="C51" s="20"/>
      <c r="D51" s="20"/>
      <c r="E51" s="20"/>
      <c r="F51" s="20"/>
      <c r="G51" s="21" t="str">
        <f>IF($A51="","",IF($I51="X",A51,CONCATENATE(VLOOKUP(A51,[1]Competitors!$A$2:$I$650,3, FALSE)," ",VLOOKUP(A51,[1]Competitors!$A$2:$I$650,2,FALSE))))</f>
        <v/>
      </c>
      <c r="H51" s="22">
        <f t="shared" si="1"/>
        <v>0</v>
      </c>
      <c r="I51" t="str">
        <f t="shared" si="2"/>
        <v/>
      </c>
      <c r="J51" s="42"/>
    </row>
    <row r="52" spans="1:10" ht="15" x14ac:dyDescent="0.4">
      <c r="A52" s="43" t="str">
        <f t="shared" si="3"/>
        <v/>
      </c>
      <c r="B52" s="19"/>
      <c r="C52" s="20"/>
      <c r="D52" s="20"/>
      <c r="E52" s="20"/>
      <c r="F52" s="20"/>
      <c r="G52" s="21" t="str">
        <f>IF($A52="","",IF($I52="X",A52,CONCATENATE(VLOOKUP(A52,[1]Competitors!$A$2:$I$650,3, FALSE)," ",VLOOKUP(A52,[1]Competitors!$A$2:$I$650,2,FALSE))))</f>
        <v/>
      </c>
      <c r="H52" s="22">
        <f t="shared" si="1"/>
        <v>0</v>
      </c>
      <c r="I52" t="str">
        <f t="shared" si="2"/>
        <v/>
      </c>
      <c r="J52" s="42"/>
    </row>
    <row r="53" spans="1:10" ht="15" x14ac:dyDescent="0.4">
      <c r="A53" s="43" t="str">
        <f t="shared" si="3"/>
        <v/>
      </c>
      <c r="B53" s="19"/>
      <c r="C53" s="20"/>
      <c r="D53" s="20"/>
      <c r="E53" s="20"/>
      <c r="F53" s="20"/>
      <c r="G53" s="21" t="str">
        <f>IF($A53="","",IF($I53="X",A53,CONCATENATE(VLOOKUP(A53,[1]Competitors!$A$2:$I$650,3, FALSE)," ",VLOOKUP(A53,[1]Competitors!$A$2:$I$650,2,FALSE))))</f>
        <v/>
      </c>
      <c r="H53" s="22">
        <f t="shared" si="1"/>
        <v>0</v>
      </c>
      <c r="I53" t="str">
        <f t="shared" si="2"/>
        <v/>
      </c>
      <c r="J53" s="42"/>
    </row>
    <row r="54" spans="1:10" ht="15" x14ac:dyDescent="0.4">
      <c r="A54" s="43" t="str">
        <f t="shared" si="3"/>
        <v/>
      </c>
      <c r="B54" s="19"/>
      <c r="C54" s="20"/>
      <c r="D54" s="20"/>
      <c r="E54" s="20"/>
      <c r="F54" s="20"/>
      <c r="G54" s="21" t="str">
        <f>IF($A54="","",IF($I54="X",A54,CONCATENATE(VLOOKUP(A54,[1]Competitors!$A$2:$I$650,3, FALSE)," ",VLOOKUP(A54,[1]Competitors!$A$2:$I$650,2,FALSE))))</f>
        <v/>
      </c>
      <c r="H54" s="22">
        <f t="shared" si="1"/>
        <v>0</v>
      </c>
      <c r="I54" t="str">
        <f t="shared" si="2"/>
        <v/>
      </c>
      <c r="J54" s="42"/>
    </row>
    <row r="55" spans="1:10" ht="15" x14ac:dyDescent="0.4">
      <c r="A55" s="43" t="str">
        <f t="shared" si="3"/>
        <v/>
      </c>
      <c r="B55" s="19"/>
      <c r="C55" s="20"/>
      <c r="D55" s="20"/>
      <c r="E55" s="20"/>
      <c r="F55" s="20"/>
      <c r="G55" s="21" t="str">
        <f>IF($A55="","",IF($I55="X",A55,CONCATENATE(VLOOKUP(A55,[1]Competitors!$A$2:$I$650,3, FALSE)," ",VLOOKUP(A55,[1]Competitors!$A$2:$I$650,2,FALSE))))</f>
        <v/>
      </c>
      <c r="H55" s="22">
        <f t="shared" si="1"/>
        <v>0</v>
      </c>
      <c r="I55" t="str">
        <f t="shared" si="2"/>
        <v/>
      </c>
      <c r="J55" s="42"/>
    </row>
    <row r="56" spans="1:10" ht="15" x14ac:dyDescent="0.4">
      <c r="A56" s="43" t="str">
        <f t="shared" si="3"/>
        <v/>
      </c>
      <c r="B56" s="19"/>
      <c r="C56" s="20"/>
      <c r="D56" s="20"/>
      <c r="E56" s="20"/>
      <c r="F56" s="20"/>
      <c r="G56" s="21" t="str">
        <f>IF($A56="","",IF($I56="X",A56,CONCATENATE(VLOOKUP(A56,[1]Competitors!$A$2:$I$650,3, FALSE)," ",VLOOKUP(A56,[1]Competitors!$A$2:$I$650,2,FALSE))))</f>
        <v/>
      </c>
      <c r="H56" s="22">
        <f t="shared" si="1"/>
        <v>0</v>
      </c>
      <c r="I56" t="str">
        <f t="shared" si="2"/>
        <v/>
      </c>
      <c r="J56" s="42"/>
    </row>
    <row r="57" spans="1:10" ht="15" x14ac:dyDescent="0.4">
      <c r="A57" s="43" t="str">
        <f t="shared" si="3"/>
        <v/>
      </c>
      <c r="B57" s="19"/>
      <c r="C57" s="20"/>
      <c r="D57" s="20"/>
      <c r="E57" s="20"/>
      <c r="F57" s="20"/>
      <c r="G57" s="21" t="str">
        <f>IF($A57="","",IF($I57="X",A57,CONCATENATE(VLOOKUP(A57,[1]Competitors!$A$2:$I$650,3, FALSE)," ",VLOOKUP(A57,[1]Competitors!$A$2:$I$650,2,FALSE))))</f>
        <v/>
      </c>
      <c r="H57" s="22">
        <f t="shared" si="1"/>
        <v>0</v>
      </c>
      <c r="I57" t="str">
        <f t="shared" si="2"/>
        <v/>
      </c>
      <c r="J57" s="42"/>
    </row>
    <row r="58" spans="1:10" ht="15" x14ac:dyDescent="0.4">
      <c r="A58" s="43" t="str">
        <f t="shared" si="3"/>
        <v/>
      </c>
      <c r="B58" s="19"/>
      <c r="C58" s="20"/>
      <c r="D58" s="20"/>
      <c r="E58" s="20"/>
      <c r="F58" s="20"/>
      <c r="G58" s="21" t="str">
        <f>IF($A58="","",IF($I58="X",A58,CONCATENATE(VLOOKUP(A58,[1]Competitors!$A$2:$I$650,3, FALSE)," ",VLOOKUP(A58,[1]Competitors!$A$2:$I$650,2,FALSE))))</f>
        <v/>
      </c>
      <c r="H58" s="22">
        <f t="shared" si="1"/>
        <v>0</v>
      </c>
      <c r="I58" t="str">
        <f t="shared" si="2"/>
        <v/>
      </c>
      <c r="J58" s="42"/>
    </row>
    <row r="59" spans="1:10" ht="15" x14ac:dyDescent="0.4">
      <c r="A59" s="43" t="str">
        <f t="shared" si="3"/>
        <v/>
      </c>
      <c r="B59" s="19"/>
      <c r="C59" s="20"/>
      <c r="D59" s="20"/>
      <c r="E59" s="20"/>
      <c r="F59" s="20"/>
      <c r="G59" s="21" t="str">
        <f>IF($A59="","",IF($I59="X",A59,CONCATENATE(VLOOKUP(A59,[1]Competitors!$A$2:$I$650,3, FALSE)," ",VLOOKUP(A59,[1]Competitors!$A$2:$I$650,2,FALSE))))</f>
        <v/>
      </c>
      <c r="H59" s="22">
        <f t="shared" si="1"/>
        <v>0</v>
      </c>
      <c r="I59" t="str">
        <f t="shared" si="2"/>
        <v/>
      </c>
      <c r="J59" s="42"/>
    </row>
    <row r="60" spans="1:10" ht="15" x14ac:dyDescent="0.4">
      <c r="A60" s="43" t="str">
        <f t="shared" si="3"/>
        <v/>
      </c>
      <c r="B60" s="19"/>
      <c r="C60" s="20"/>
      <c r="D60" s="20"/>
      <c r="E60" s="20"/>
      <c r="F60" s="20"/>
      <c r="G60" s="21" t="str">
        <f>IF($A60="","",IF($I60="X",A60,CONCATENATE(VLOOKUP(A60,[1]Competitors!$A$2:$I$650,3, FALSE)," ",VLOOKUP(A60,[1]Competitors!$A$2:$I$650,2,FALSE))))</f>
        <v/>
      </c>
      <c r="H60" s="22">
        <f t="shared" si="1"/>
        <v>0</v>
      </c>
      <c r="I60" t="str">
        <f t="shared" si="2"/>
        <v/>
      </c>
      <c r="J60" s="42"/>
    </row>
    <row r="61" spans="1:10" ht="15" x14ac:dyDescent="0.4">
      <c r="A61" s="43" t="str">
        <f t="shared" si="3"/>
        <v/>
      </c>
      <c r="B61" s="19"/>
      <c r="C61" s="20"/>
      <c r="D61" s="20"/>
      <c r="E61" s="20"/>
      <c r="F61" s="20"/>
      <c r="G61" s="21" t="str">
        <f>IF($A61="","",IF($I61="X",A61,CONCATENATE(VLOOKUP(A61,[1]Competitors!$A$2:$I$650,3, FALSE)," ",VLOOKUP(A61,[1]Competitors!$A$2:$I$650,2,FALSE))))</f>
        <v/>
      </c>
      <c r="H61" s="22">
        <f t="shared" si="1"/>
        <v>0</v>
      </c>
      <c r="I61" t="str">
        <f t="shared" si="2"/>
        <v/>
      </c>
      <c r="J61" s="42"/>
    </row>
    <row r="62" spans="1:10" ht="15" x14ac:dyDescent="0.4">
      <c r="A62" s="43" t="str">
        <f t="shared" si="3"/>
        <v/>
      </c>
      <c r="B62" s="19"/>
      <c r="C62" s="20"/>
      <c r="D62" s="20"/>
      <c r="E62" s="20"/>
      <c r="F62" s="20"/>
      <c r="G62" s="21" t="str">
        <f>IF($A62="","",IF($I62="X",A62,CONCATENATE(VLOOKUP(A62,[1]Competitors!$A$2:$I$650,3, FALSE)," ",VLOOKUP(A62,[1]Competitors!$A$2:$I$650,2,FALSE))))</f>
        <v/>
      </c>
      <c r="H62" s="22">
        <f t="shared" si="1"/>
        <v>0</v>
      </c>
      <c r="I62" t="str">
        <f t="shared" si="2"/>
        <v/>
      </c>
      <c r="J62" s="42"/>
    </row>
    <row r="63" spans="1:10" ht="15" x14ac:dyDescent="0.4">
      <c r="A63" s="43" t="str">
        <f t="shared" si="3"/>
        <v/>
      </c>
      <c r="B63" s="19"/>
      <c r="C63" s="20"/>
      <c r="D63" s="20"/>
      <c r="E63" s="20"/>
      <c r="F63" s="20"/>
      <c r="G63" s="21" t="str">
        <f>IF($A63="","",IF($I63="X",A63,CONCATENATE(VLOOKUP(A63,[1]Competitors!$A$2:$I$650,3, FALSE)," ",VLOOKUP(A63,[1]Competitors!$A$2:$I$650,2,FALSE))))</f>
        <v/>
      </c>
      <c r="H63" s="22">
        <f t="shared" si="1"/>
        <v>0</v>
      </c>
      <c r="I63" t="str">
        <f t="shared" si="2"/>
        <v/>
      </c>
      <c r="J63" s="42"/>
    </row>
    <row r="64" spans="1:10" ht="15" x14ac:dyDescent="0.4">
      <c r="A64" s="43" t="str">
        <f t="shared" si="3"/>
        <v/>
      </c>
      <c r="B64" s="19"/>
      <c r="C64" s="20"/>
      <c r="D64" s="20"/>
      <c r="E64" s="20"/>
      <c r="F64" s="20"/>
      <c r="G64" s="21" t="str">
        <f>IF($A64="","",IF($I64="X",A64,CONCATENATE(VLOOKUP(A64,[1]Competitors!$A$2:$I$650,3, FALSE)," ",VLOOKUP(A64,[1]Competitors!$A$2:$I$650,2,FALSE))))</f>
        <v/>
      </c>
      <c r="H64" s="22">
        <f t="shared" si="1"/>
        <v>0</v>
      </c>
      <c r="I64" t="str">
        <f t="shared" si="2"/>
        <v/>
      </c>
      <c r="J64" s="42"/>
    </row>
    <row r="65" spans="1:10" ht="15" x14ac:dyDescent="0.4">
      <c r="A65" s="43" t="str">
        <f t="shared" si="3"/>
        <v/>
      </c>
      <c r="B65" s="19"/>
      <c r="C65" s="20"/>
      <c r="D65" s="20"/>
      <c r="E65" s="20"/>
      <c r="F65" s="20"/>
      <c r="G65" s="21" t="str">
        <f>IF($A65="","",IF($I65="X",A65,CONCATENATE(VLOOKUP(A65,[1]Competitors!$A$2:$I$650,3, FALSE)," ",VLOOKUP(A65,[1]Competitors!$A$2:$I$650,2,FALSE))))</f>
        <v/>
      </c>
      <c r="H65" s="22">
        <f t="shared" si="1"/>
        <v>0</v>
      </c>
      <c r="I65" t="str">
        <f t="shared" si="2"/>
        <v/>
      </c>
      <c r="J65" s="42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9"/>
      <c r="C66" s="20"/>
      <c r="D66" s="20"/>
      <c r="E66" s="20"/>
      <c r="F66" s="20"/>
      <c r="G66" s="21" t="str">
        <f>IF($A66="","",IF($I66="X",A66,CONCATENATE(VLOOKUP(A66,[1]Competitors!$A$2:$I$650,3, FALSE)," ",VLOOKUP(A66,[1]Competitors!$A$2:$I$650,2,FALSE))))</f>
        <v/>
      </c>
      <c r="H66" s="22">
        <f t="shared" si="1"/>
        <v>0</v>
      </c>
      <c r="I66" t="str">
        <f t="shared" si="2"/>
        <v/>
      </c>
      <c r="J66" s="42"/>
    </row>
    <row r="67" spans="1:10" ht="15" x14ac:dyDescent="0.4">
      <c r="A67" s="43" t="str">
        <f t="shared" si="4"/>
        <v/>
      </c>
      <c r="B67" s="19"/>
      <c r="C67" s="20"/>
      <c r="D67" s="20"/>
      <c r="E67" s="20"/>
      <c r="F67" s="20"/>
      <c r="G67" s="21" t="str">
        <f>IF($A67="","",IF($I67="X",A67,CONCATENATE(VLOOKUP(A67,[1]Competitors!$A$2:$I$650,3, FALSE)," ",VLOOKUP(A67,[1]Competitors!$A$2:$I$650,2,FALSE))))</f>
        <v/>
      </c>
      <c r="H67" s="22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2"/>
    </row>
    <row r="68" spans="1:10" ht="15" x14ac:dyDescent="0.4">
      <c r="A68" s="43" t="str">
        <f t="shared" si="4"/>
        <v/>
      </c>
      <c r="B68" s="19"/>
      <c r="C68" s="20"/>
      <c r="D68" s="20"/>
      <c r="E68" s="20"/>
      <c r="F68" s="20"/>
      <c r="G68" s="21" t="str">
        <f>IF($A68="","",IF($I68="X",A68,CONCATENATE(VLOOKUP(A68,[1]Competitors!$A$2:$I$650,3, FALSE)," ",VLOOKUP(A68,[1]Competitors!$A$2:$I$650,2,FALSE))))</f>
        <v/>
      </c>
      <c r="H68" s="22">
        <f t="shared" si="5"/>
        <v>0</v>
      </c>
      <c r="I68" t="str">
        <f t="shared" si="6"/>
        <v/>
      </c>
      <c r="J68" s="42"/>
    </row>
    <row r="69" spans="1:10" ht="15" x14ac:dyDescent="0.4">
      <c r="A69" s="43" t="str">
        <f t="shared" si="4"/>
        <v/>
      </c>
      <c r="B69" s="19"/>
      <c r="C69" s="20"/>
      <c r="D69" s="20"/>
      <c r="E69" s="20"/>
      <c r="F69" s="20"/>
      <c r="G69" s="21" t="str">
        <f>IF($A69="","",IF($I69="X",A69,CONCATENATE(VLOOKUP(A69,[1]Competitors!$A$2:$I$650,3, FALSE)," ",VLOOKUP(A69,[1]Competitors!$A$2:$I$650,2,FALSE))))</f>
        <v/>
      </c>
      <c r="H69" s="22">
        <f t="shared" si="5"/>
        <v>0</v>
      </c>
      <c r="I69" t="str">
        <f t="shared" si="6"/>
        <v/>
      </c>
      <c r="J69" s="42"/>
    </row>
    <row r="70" spans="1:10" ht="15" x14ac:dyDescent="0.4">
      <c r="A70" s="43" t="str">
        <f t="shared" si="4"/>
        <v/>
      </c>
      <c r="B70" s="19"/>
      <c r="C70" s="20"/>
      <c r="D70" s="20"/>
      <c r="E70" s="20"/>
      <c r="F70" s="20"/>
      <c r="G70" s="21" t="str">
        <f>IF($A70="","",IF($I70="X",A70,CONCATENATE(VLOOKUP(A70,[1]Competitors!$A$2:$I$650,3, FALSE)," ",VLOOKUP(A70,[1]Competitors!$A$2:$I$650,2,FALSE))))</f>
        <v/>
      </c>
      <c r="H70" s="22">
        <f t="shared" si="5"/>
        <v>0</v>
      </c>
      <c r="I70" t="str">
        <f t="shared" si="6"/>
        <v/>
      </c>
      <c r="J70" s="42"/>
    </row>
    <row r="71" spans="1:10" ht="15" x14ac:dyDescent="0.4">
      <c r="A71" s="43" t="str">
        <f t="shared" si="4"/>
        <v/>
      </c>
      <c r="B71" s="19"/>
      <c r="C71" s="20"/>
      <c r="D71" s="20"/>
      <c r="E71" s="20"/>
      <c r="F71" s="20"/>
      <c r="G71" s="21" t="str">
        <f>IF($A71="","",IF($I71="X",A71,CONCATENATE(VLOOKUP(A71,[1]Competitors!$A$2:$I$650,3, FALSE)," ",VLOOKUP(A71,[1]Competitors!$A$2:$I$650,2,FALSE))))</f>
        <v/>
      </c>
      <c r="H71" s="22">
        <f t="shared" si="5"/>
        <v>0</v>
      </c>
      <c r="I71" t="str">
        <f t="shared" si="6"/>
        <v/>
      </c>
      <c r="J71" s="42"/>
    </row>
    <row r="72" spans="1:10" ht="15" x14ac:dyDescent="0.4">
      <c r="A72" s="43" t="str">
        <f t="shared" si="4"/>
        <v/>
      </c>
      <c r="B72" s="19"/>
      <c r="C72" s="20"/>
      <c r="D72" s="20"/>
      <c r="E72" s="20"/>
      <c r="F72" s="20"/>
      <c r="G72" s="21" t="str">
        <f>IF($A72="","",IF($I72="X",A72,CONCATENATE(VLOOKUP(A72,[1]Competitors!$A$2:$I$650,3, FALSE)," ",VLOOKUP(A72,[1]Competitors!$A$2:$I$650,2,FALSE))))</f>
        <v/>
      </c>
      <c r="H72" s="22">
        <f t="shared" si="5"/>
        <v>0</v>
      </c>
      <c r="I72" t="str">
        <f t="shared" si="6"/>
        <v/>
      </c>
      <c r="J72" s="42"/>
    </row>
    <row r="73" spans="1:10" ht="15" x14ac:dyDescent="0.4">
      <c r="A73" s="43" t="str">
        <f t="shared" si="4"/>
        <v/>
      </c>
      <c r="B73" s="19"/>
      <c r="C73" s="20"/>
      <c r="D73" s="20"/>
      <c r="E73" s="20"/>
      <c r="F73" s="20"/>
      <c r="G73" s="21" t="str">
        <f>IF($A73="","",IF($I73="X",A73,CONCATENATE(VLOOKUP(A73,[1]Competitors!$A$2:$I$650,3, FALSE)," ",VLOOKUP(A73,[1]Competitors!$A$2:$I$650,2,FALSE))))</f>
        <v/>
      </c>
      <c r="H73" s="22">
        <f t="shared" si="5"/>
        <v>0</v>
      </c>
      <c r="I73" t="str">
        <f t="shared" si="6"/>
        <v/>
      </c>
      <c r="J73" s="42"/>
    </row>
    <row r="74" spans="1:10" ht="15" x14ac:dyDescent="0.4">
      <c r="A74" s="43" t="str">
        <f t="shared" si="4"/>
        <v/>
      </c>
      <c r="B74" s="19"/>
      <c r="C74" s="20"/>
      <c r="D74" s="20"/>
      <c r="E74" s="20"/>
      <c r="F74" s="20"/>
      <c r="G74" s="21" t="str">
        <f>IF($A74="","",IF($I74="X",A74,CONCATENATE(VLOOKUP(A74,[1]Competitors!$A$2:$I$650,3, FALSE)," ",VLOOKUP(A74,[1]Competitors!$A$2:$I$650,2,FALSE))))</f>
        <v/>
      </c>
      <c r="H74" s="22">
        <f t="shared" si="5"/>
        <v>0</v>
      </c>
      <c r="I74" t="str">
        <f t="shared" si="6"/>
        <v/>
      </c>
      <c r="J74" s="42"/>
    </row>
    <row r="75" spans="1:10" ht="15" x14ac:dyDescent="0.4">
      <c r="A75" s="43" t="str">
        <f t="shared" si="4"/>
        <v/>
      </c>
      <c r="B75" s="19"/>
      <c r="C75" s="20"/>
      <c r="D75" s="20"/>
      <c r="E75" s="20"/>
      <c r="F75" s="20"/>
      <c r="G75" s="21" t="str">
        <f>IF($A75="","",IF($I75="X",A75,CONCATENATE(VLOOKUP(A75,[1]Competitors!$A$2:$I$650,3, FALSE)," ",VLOOKUP(A75,[1]Competitors!$A$2:$I$650,2,FALSE))))</f>
        <v/>
      </c>
      <c r="H75" s="22">
        <f t="shared" si="5"/>
        <v>0</v>
      </c>
      <c r="I75" t="str">
        <f t="shared" si="6"/>
        <v/>
      </c>
      <c r="J75" s="42"/>
    </row>
    <row r="76" spans="1:10" ht="15" x14ac:dyDescent="0.4">
      <c r="A76" s="43" t="str">
        <f t="shared" si="4"/>
        <v/>
      </c>
      <c r="B76" s="19"/>
      <c r="C76" s="20"/>
      <c r="D76" s="20"/>
      <c r="E76" s="20"/>
      <c r="F76" s="20"/>
      <c r="G76" s="21" t="str">
        <f>IF($A76="","",IF($I76="X",A76,CONCATENATE(VLOOKUP(A76,[1]Competitors!$A$2:$I$650,3, FALSE)," ",VLOOKUP(A76,[1]Competitors!$A$2:$I$650,2,FALSE))))</f>
        <v/>
      </c>
      <c r="H76" s="22">
        <f t="shared" si="5"/>
        <v>0</v>
      </c>
      <c r="I76" t="str">
        <f t="shared" si="6"/>
        <v/>
      </c>
      <c r="J76" s="42"/>
    </row>
    <row r="77" spans="1:10" ht="15" x14ac:dyDescent="0.4">
      <c r="A77" s="43" t="str">
        <f t="shared" si="4"/>
        <v/>
      </c>
      <c r="B77" s="19"/>
      <c r="C77" s="20"/>
      <c r="D77" s="20"/>
      <c r="E77" s="20"/>
      <c r="F77" s="20"/>
      <c r="G77" s="21" t="str">
        <f>IF($A77="","",IF($I77="X",A77,CONCATENATE(VLOOKUP(A77,[1]Competitors!$A$2:$I$650,3, FALSE)," ",VLOOKUP(A77,[1]Competitors!$A$2:$I$650,2,FALSE))))</f>
        <v/>
      </c>
      <c r="H77" s="22">
        <f t="shared" si="5"/>
        <v>0</v>
      </c>
      <c r="I77" t="str">
        <f t="shared" si="6"/>
        <v/>
      </c>
      <c r="J77" s="42"/>
    </row>
    <row r="78" spans="1:10" ht="15" x14ac:dyDescent="0.4">
      <c r="A78" s="43" t="str">
        <f t="shared" si="4"/>
        <v/>
      </c>
      <c r="B78" s="19"/>
      <c r="C78" s="20"/>
      <c r="D78" s="20"/>
      <c r="E78" s="20"/>
      <c r="F78" s="20"/>
      <c r="G78" s="21" t="str">
        <f>IF($A78="","",IF($I78="X",A78,CONCATENATE(VLOOKUP(A78,[1]Competitors!$A$2:$I$650,3, FALSE)," ",VLOOKUP(A78,[1]Competitors!$A$2:$I$650,2,FALSE))))</f>
        <v/>
      </c>
      <c r="H78" s="22">
        <f t="shared" si="5"/>
        <v>0</v>
      </c>
      <c r="I78" t="str">
        <f t="shared" si="6"/>
        <v/>
      </c>
      <c r="J78" s="42"/>
    </row>
    <row r="79" spans="1:10" ht="15" x14ac:dyDescent="0.4">
      <c r="A79" s="43" t="str">
        <f t="shared" si="4"/>
        <v/>
      </c>
      <c r="B79" s="19"/>
      <c r="C79" s="20"/>
      <c r="D79" s="20"/>
      <c r="E79" s="20"/>
      <c r="F79" s="20"/>
      <c r="G79" s="21" t="str">
        <f>IF($A79="","",IF($I79="X",A79,CONCATENATE(VLOOKUP(A79,[1]Competitors!$A$2:$I$650,3, FALSE)," ",VLOOKUP(A79,[1]Competitors!$A$2:$I$650,2,FALSE))))</f>
        <v/>
      </c>
      <c r="H79" s="22">
        <f t="shared" si="5"/>
        <v>0</v>
      </c>
      <c r="I79" t="str">
        <f t="shared" si="6"/>
        <v/>
      </c>
      <c r="J79" s="42"/>
    </row>
    <row r="80" spans="1:10" ht="15" x14ac:dyDescent="0.4">
      <c r="A80" s="43" t="str">
        <f t="shared" si="4"/>
        <v/>
      </c>
      <c r="B80" s="19"/>
      <c r="C80" s="20"/>
      <c r="D80" s="20"/>
      <c r="E80" s="20"/>
      <c r="F80" s="20"/>
      <c r="G80" s="21" t="str">
        <f>IF($A80="","",IF($I80="X",A80,CONCATENATE(VLOOKUP(A80,[1]Competitors!$A$2:$I$650,3, FALSE)," ",VLOOKUP(A80,[1]Competitors!$A$2:$I$650,2,FALSE))))</f>
        <v/>
      </c>
      <c r="H80" s="22">
        <f t="shared" si="5"/>
        <v>0</v>
      </c>
      <c r="I80" t="str">
        <f t="shared" si="6"/>
        <v/>
      </c>
      <c r="J80" s="42"/>
    </row>
    <row r="81" spans="1:10" ht="15" x14ac:dyDescent="0.4">
      <c r="A81" s="43" t="str">
        <f t="shared" si="4"/>
        <v/>
      </c>
      <c r="B81" s="19"/>
      <c r="C81" s="20"/>
      <c r="D81" s="20"/>
      <c r="E81" s="20"/>
      <c r="F81" s="20"/>
      <c r="G81" s="21" t="str">
        <f>IF($A81="","",IF($I81="X",A81,CONCATENATE(VLOOKUP(A81,[1]Competitors!$A$2:$I$650,3, FALSE)," ",VLOOKUP(A81,[1]Competitors!$A$2:$I$650,2,FALSE))))</f>
        <v/>
      </c>
      <c r="H81" s="22">
        <f t="shared" si="5"/>
        <v>0</v>
      </c>
      <c r="I81" t="str">
        <f t="shared" si="6"/>
        <v/>
      </c>
      <c r="J81" s="42"/>
    </row>
    <row r="82" spans="1:10" ht="15" x14ac:dyDescent="0.4">
      <c r="A82" s="43" t="str">
        <f t="shared" si="4"/>
        <v/>
      </c>
      <c r="B82" s="19"/>
      <c r="C82" s="20"/>
      <c r="D82" s="20"/>
      <c r="E82" s="20"/>
      <c r="F82" s="20"/>
      <c r="G82" s="21" t="str">
        <f>IF($A82="","",IF($I82="X",A82,CONCATENATE(VLOOKUP(A82,[1]Competitors!$A$2:$I$650,3, FALSE)," ",VLOOKUP(A82,[1]Competitors!$A$2:$I$650,2,FALSE))))</f>
        <v/>
      </c>
      <c r="H82" s="22">
        <f t="shared" si="5"/>
        <v>0</v>
      </c>
      <c r="I82" t="str">
        <f t="shared" si="6"/>
        <v/>
      </c>
      <c r="J82" s="42"/>
    </row>
    <row r="83" spans="1:10" ht="15" x14ac:dyDescent="0.4">
      <c r="A83" s="43" t="str">
        <f t="shared" si="4"/>
        <v/>
      </c>
      <c r="B83" s="19"/>
      <c r="C83" s="20"/>
      <c r="D83" s="20"/>
      <c r="E83" s="20"/>
      <c r="F83" s="20"/>
      <c r="G83" s="21" t="str">
        <f>IF($A83="","",IF($I83="X",A83,CONCATENATE(VLOOKUP(A83,[1]Competitors!$A$2:$I$650,3, FALSE)," ",VLOOKUP(A83,[1]Competitors!$A$2:$I$650,2,FALSE))))</f>
        <v/>
      </c>
      <c r="H83" s="22">
        <f t="shared" si="5"/>
        <v>0</v>
      </c>
      <c r="I83" t="str">
        <f t="shared" si="6"/>
        <v/>
      </c>
      <c r="J83" s="42"/>
    </row>
    <row r="84" spans="1:10" ht="15" x14ac:dyDescent="0.4">
      <c r="A84" s="43" t="str">
        <f t="shared" si="4"/>
        <v/>
      </c>
      <c r="B84" s="19"/>
      <c r="C84" s="20"/>
      <c r="D84" s="20"/>
      <c r="E84" s="20"/>
      <c r="F84" s="20"/>
      <c r="G84" s="21" t="str">
        <f>IF($A84="","",IF($I84="X",A84,CONCATENATE(VLOOKUP(A84,[1]Competitors!$A$2:$I$650,3, FALSE)," ",VLOOKUP(A84,[1]Competitors!$A$2:$I$650,2,FALSE))))</f>
        <v/>
      </c>
      <c r="H84" s="22">
        <f t="shared" si="5"/>
        <v>0</v>
      </c>
      <c r="I84" t="str">
        <f t="shared" si="6"/>
        <v/>
      </c>
      <c r="J84" s="42"/>
    </row>
    <row r="85" spans="1:10" ht="15" x14ac:dyDescent="0.4">
      <c r="A85" s="43" t="str">
        <f t="shared" si="4"/>
        <v/>
      </c>
      <c r="B85" s="19"/>
      <c r="C85" s="20"/>
      <c r="D85" s="20"/>
      <c r="E85" s="20"/>
      <c r="F85" s="20"/>
      <c r="G85" s="21" t="str">
        <f>IF($A85="","",IF($I85="X",A85,CONCATENATE(VLOOKUP(A85,[1]Competitors!$A$2:$I$650,3, FALSE)," ",VLOOKUP(A85,[1]Competitors!$A$2:$I$650,2,FALSE))))</f>
        <v/>
      </c>
      <c r="H85" s="22">
        <f t="shared" si="5"/>
        <v>0</v>
      </c>
      <c r="I85" t="str">
        <f t="shared" si="6"/>
        <v/>
      </c>
      <c r="J85" s="42"/>
    </row>
    <row r="86" spans="1:10" ht="15" x14ac:dyDescent="0.4">
      <c r="A86" s="43" t="str">
        <f t="shared" si="4"/>
        <v/>
      </c>
      <c r="B86" s="19"/>
      <c r="C86" s="20"/>
      <c r="D86" s="20"/>
      <c r="E86" s="20"/>
      <c r="F86" s="20"/>
      <c r="G86" s="21" t="str">
        <f>IF($A86="","",IF($I86="X",A86,CONCATENATE(VLOOKUP(A86,[1]Competitors!$A$2:$I$650,3, FALSE)," ",VLOOKUP(A86,[1]Competitors!$A$2:$I$650,2,FALSE))))</f>
        <v/>
      </c>
      <c r="H86" s="22">
        <f t="shared" si="5"/>
        <v>0</v>
      </c>
      <c r="I86" t="str">
        <f t="shared" si="6"/>
        <v/>
      </c>
      <c r="J86" s="42"/>
    </row>
    <row r="87" spans="1:10" ht="15" x14ac:dyDescent="0.4">
      <c r="A87" s="43" t="str">
        <f t="shared" si="4"/>
        <v/>
      </c>
      <c r="B87" s="19"/>
      <c r="C87" s="20"/>
      <c r="D87" s="20"/>
      <c r="E87" s="20"/>
      <c r="F87" s="20"/>
      <c r="G87" s="21" t="str">
        <f>IF($A87="","",IF($I87="X",A87,CONCATENATE(VLOOKUP(A87,[1]Competitors!$A$2:$I$650,3, FALSE)," ",VLOOKUP(A87,[1]Competitors!$A$2:$I$650,2,FALSE))))</f>
        <v/>
      </c>
      <c r="H87" s="22">
        <f t="shared" si="5"/>
        <v>0</v>
      </c>
      <c r="I87" t="str">
        <f t="shared" si="6"/>
        <v/>
      </c>
      <c r="J87" s="42"/>
    </row>
    <row r="88" spans="1:10" ht="15" x14ac:dyDescent="0.4">
      <c r="A88" s="43" t="str">
        <f t="shared" si="4"/>
        <v/>
      </c>
      <c r="B88" s="19"/>
      <c r="C88" s="20"/>
      <c r="D88" s="20"/>
      <c r="E88" s="20"/>
      <c r="F88" s="20"/>
      <c r="G88" s="21" t="str">
        <f>IF($A88="","",IF($I88="X",A88,CONCATENATE(VLOOKUP(A88,[1]Competitors!$A$2:$I$650,3, FALSE)," ",VLOOKUP(A88,[1]Competitors!$A$2:$I$650,2,FALSE))))</f>
        <v/>
      </c>
      <c r="H88" s="22">
        <f t="shared" si="5"/>
        <v>0</v>
      </c>
      <c r="I88" t="str">
        <f t="shared" si="6"/>
        <v/>
      </c>
      <c r="J88" s="42"/>
    </row>
    <row r="89" spans="1:10" ht="15" x14ac:dyDescent="0.4">
      <c r="A89" s="43" t="str">
        <f t="shared" si="4"/>
        <v/>
      </c>
      <c r="B89" s="19"/>
      <c r="C89" s="20"/>
      <c r="D89" s="20"/>
      <c r="E89" s="20"/>
      <c r="F89" s="20"/>
      <c r="G89" s="21" t="str">
        <f>IF($A89="","",IF($I89="X",A89,CONCATENATE(VLOOKUP(A89,[1]Competitors!$A$2:$I$650,3, FALSE)," ",VLOOKUP(A89,[1]Competitors!$A$2:$I$650,2,FALSE))))</f>
        <v/>
      </c>
      <c r="H89" s="22">
        <f t="shared" si="5"/>
        <v>0</v>
      </c>
      <c r="I89" t="str">
        <f t="shared" si="6"/>
        <v/>
      </c>
      <c r="J89" s="42"/>
    </row>
    <row r="90" spans="1:10" ht="15" x14ac:dyDescent="0.4">
      <c r="A90" s="43" t="str">
        <f t="shared" si="4"/>
        <v/>
      </c>
      <c r="B90" s="19"/>
      <c r="C90" s="20"/>
      <c r="D90" s="20"/>
      <c r="E90" s="20"/>
      <c r="F90" s="20"/>
      <c r="G90" s="21" t="str">
        <f>IF($A90="","",IF($I90="X",A90,CONCATENATE(VLOOKUP(A90,[1]Competitors!$A$2:$I$650,3, FALSE)," ",VLOOKUP(A90,[1]Competitors!$A$2:$I$650,2,FALSE))))</f>
        <v/>
      </c>
      <c r="H90" s="22">
        <f t="shared" si="5"/>
        <v>0</v>
      </c>
      <c r="I90" t="str">
        <f t="shared" si="6"/>
        <v/>
      </c>
      <c r="J90" s="42"/>
    </row>
    <row r="91" spans="1:10" ht="15" x14ac:dyDescent="0.4">
      <c r="A91" s="43" t="str">
        <f t="shared" si="4"/>
        <v/>
      </c>
      <c r="B91" s="19"/>
      <c r="C91" s="20"/>
      <c r="D91" s="20"/>
      <c r="E91" s="20"/>
      <c r="F91" s="20"/>
      <c r="G91" s="21" t="str">
        <f>IF($A91="","",IF($I91="X",A91,CONCATENATE(VLOOKUP(A91,[1]Competitors!$A$2:$I$650,3, FALSE)," ",VLOOKUP(A91,[1]Competitors!$A$2:$I$650,2,FALSE))))</f>
        <v/>
      </c>
      <c r="H91" s="22">
        <f t="shared" si="5"/>
        <v>0</v>
      </c>
      <c r="I91" t="str">
        <f t="shared" si="6"/>
        <v/>
      </c>
      <c r="J91" s="42"/>
    </row>
    <row r="92" spans="1:10" ht="15" x14ac:dyDescent="0.4">
      <c r="A92" s="43" t="str">
        <f t="shared" si="4"/>
        <v/>
      </c>
      <c r="B92" s="19"/>
      <c r="C92" s="20"/>
      <c r="D92" s="20"/>
      <c r="E92" s="20"/>
      <c r="F92" s="20"/>
      <c r="G92" s="21" t="str">
        <f>IF($A92="","",IF($I92="X",A92,CONCATENATE(VLOOKUP(A92,[1]Competitors!$A$2:$I$650,3, FALSE)," ",VLOOKUP(A92,[1]Competitors!$A$2:$I$650,2,FALSE))))</f>
        <v/>
      </c>
      <c r="H92" s="22">
        <f t="shared" si="5"/>
        <v>0</v>
      </c>
      <c r="I92" t="str">
        <f t="shared" si="6"/>
        <v/>
      </c>
      <c r="J92" s="42"/>
    </row>
    <row r="93" spans="1:10" ht="15" x14ac:dyDescent="0.4">
      <c r="A93" s="43" t="str">
        <f t="shared" si="4"/>
        <v/>
      </c>
      <c r="B93" s="19"/>
      <c r="C93" s="20"/>
      <c r="D93" s="20"/>
      <c r="E93" s="20"/>
      <c r="F93" s="20"/>
      <c r="G93" s="21" t="str">
        <f>IF($A93="","",IF($I93="X",A93,CONCATENATE(VLOOKUP(A93,[1]Competitors!$A$2:$I$650,3, FALSE)," ",VLOOKUP(A93,[1]Competitors!$A$2:$I$650,2,FALSE))))</f>
        <v/>
      </c>
      <c r="H93" s="22">
        <f t="shared" si="5"/>
        <v>0</v>
      </c>
      <c r="I93" t="str">
        <f t="shared" si="6"/>
        <v/>
      </c>
      <c r="J93" s="42"/>
    </row>
    <row r="94" spans="1:10" ht="15" x14ac:dyDescent="0.4">
      <c r="A94" s="43" t="str">
        <f t="shared" si="4"/>
        <v/>
      </c>
      <c r="B94" s="19"/>
      <c r="C94" s="20"/>
      <c r="D94" s="20"/>
      <c r="E94" s="20"/>
      <c r="F94" s="20"/>
      <c r="G94" s="21" t="str">
        <f>IF($A94="","",IF($I94="X",A94,CONCATENATE(VLOOKUP(A94,[1]Competitors!$A$2:$I$650,3, FALSE)," ",VLOOKUP(A94,[1]Competitors!$A$2:$I$650,2,FALSE))))</f>
        <v/>
      </c>
      <c r="H94" s="22">
        <f t="shared" si="5"/>
        <v>0</v>
      </c>
      <c r="I94" t="str">
        <f t="shared" si="6"/>
        <v/>
      </c>
      <c r="J94" s="42"/>
    </row>
    <row r="95" spans="1:10" ht="15" x14ac:dyDescent="0.4">
      <c r="A95" s="43" t="str">
        <f t="shared" si="4"/>
        <v/>
      </c>
      <c r="B95" s="19"/>
      <c r="C95" s="20"/>
      <c r="D95" s="20"/>
      <c r="E95" s="20"/>
      <c r="F95" s="20"/>
      <c r="G95" s="21" t="str">
        <f>IF($A95="","",IF($I95="X",A95,CONCATENATE(VLOOKUP(A95,[1]Competitors!$A$2:$I$650,3, FALSE)," ",VLOOKUP(A95,[1]Competitors!$A$2:$I$650,2,FALSE))))</f>
        <v/>
      </c>
      <c r="H95" s="22">
        <f t="shared" si="5"/>
        <v>0</v>
      </c>
      <c r="I95" t="str">
        <f t="shared" si="6"/>
        <v/>
      </c>
      <c r="J95" s="42"/>
    </row>
    <row r="96" spans="1:10" ht="15" x14ac:dyDescent="0.4">
      <c r="A96" s="43" t="str">
        <f t="shared" si="4"/>
        <v/>
      </c>
      <c r="B96" s="19"/>
      <c r="C96" s="20"/>
      <c r="D96" s="20"/>
      <c r="E96" s="20"/>
      <c r="F96" s="20"/>
      <c r="G96" s="21" t="str">
        <f>IF($A96="","",IF($I96="X",A96,CONCATENATE(VLOOKUP(A96,[1]Competitors!$A$2:$I$650,3, FALSE)," ",VLOOKUP(A96,[1]Competitors!$A$2:$I$650,2,FALSE))))</f>
        <v/>
      </c>
      <c r="H96" s="22">
        <f t="shared" si="5"/>
        <v>0</v>
      </c>
      <c r="I96" t="str">
        <f t="shared" si="6"/>
        <v/>
      </c>
      <c r="J96" s="42"/>
    </row>
    <row r="97" spans="1:10" ht="15" x14ac:dyDescent="0.4">
      <c r="A97" s="43" t="str">
        <f t="shared" si="4"/>
        <v/>
      </c>
      <c r="B97" s="19"/>
      <c r="C97" s="20"/>
      <c r="D97" s="20"/>
      <c r="E97" s="20"/>
      <c r="F97" s="20"/>
      <c r="G97" s="21" t="str">
        <f>IF($A97="","",IF($I97="X",A97,CONCATENATE(VLOOKUP(A97,[1]Competitors!$A$2:$I$650,3, FALSE)," ",VLOOKUP(A97,[1]Competitors!$A$2:$I$650,2,FALSE))))</f>
        <v/>
      </c>
      <c r="H97" s="22">
        <f t="shared" si="5"/>
        <v>0</v>
      </c>
      <c r="I97" t="str">
        <f t="shared" si="6"/>
        <v/>
      </c>
      <c r="J97" s="42"/>
    </row>
    <row r="98" spans="1:10" ht="15" x14ac:dyDescent="0.4">
      <c r="A98" s="43" t="str">
        <f t="shared" si="4"/>
        <v/>
      </c>
      <c r="B98" s="19"/>
      <c r="C98" s="20"/>
      <c r="D98" s="20"/>
      <c r="E98" s="20"/>
      <c r="F98" s="20"/>
      <c r="G98" s="21" t="str">
        <f>IF($A98="","",IF($I98="X",A98,CONCATENATE(VLOOKUP(A98,[1]Competitors!$A$2:$I$650,3, FALSE)," ",VLOOKUP(A98,[1]Competitors!$A$2:$I$650,2,FALSE))))</f>
        <v/>
      </c>
      <c r="H98" s="22">
        <f t="shared" si="5"/>
        <v>0</v>
      </c>
      <c r="I98" t="str">
        <f t="shared" si="6"/>
        <v/>
      </c>
      <c r="J98" s="42"/>
    </row>
    <row r="99" spans="1:10" ht="15" x14ac:dyDescent="0.4">
      <c r="A99" s="43" t="str">
        <f t="shared" si="4"/>
        <v/>
      </c>
      <c r="B99" s="19"/>
      <c r="C99" s="20"/>
      <c r="D99" s="20"/>
      <c r="E99" s="20"/>
      <c r="F99" s="20"/>
      <c r="G99" s="21" t="str">
        <f>IF($A99="","",IF($I99="X",A99,CONCATENATE(VLOOKUP(A99,[1]Competitors!$A$2:$I$650,3, FALSE)," ",VLOOKUP(A99,[1]Competitors!$A$2:$I$650,2,FALSE))))</f>
        <v/>
      </c>
      <c r="H99" s="22">
        <f t="shared" si="5"/>
        <v>0</v>
      </c>
      <c r="I99" t="str">
        <f t="shared" si="6"/>
        <v/>
      </c>
      <c r="J99" s="42"/>
    </row>
    <row r="100" spans="1:10" ht="15" x14ac:dyDescent="0.4">
      <c r="A100" s="43" t="str">
        <f t="shared" si="4"/>
        <v/>
      </c>
      <c r="B100" s="19"/>
      <c r="C100" s="20"/>
      <c r="D100" s="20"/>
      <c r="E100" s="20"/>
      <c r="F100" s="20"/>
      <c r="G100" s="21" t="str">
        <f>IF($A100="","",IF($I100="X",A100,CONCATENATE(VLOOKUP(A100,[1]Competitors!$A$2:$I$650,3, FALSE)," ",VLOOKUP(A100,[1]Competitors!$A$2:$I$650,2,FALSE))))</f>
        <v/>
      </c>
      <c r="H100" s="22">
        <f t="shared" si="5"/>
        <v>0</v>
      </c>
      <c r="I100" t="str">
        <f t="shared" si="6"/>
        <v/>
      </c>
      <c r="J100" s="42"/>
    </row>
    <row r="101" spans="1:10" ht="15" x14ac:dyDescent="0.4">
      <c r="A101" s="43" t="str">
        <f t="shared" si="4"/>
        <v/>
      </c>
      <c r="B101" s="19"/>
      <c r="C101" s="20"/>
      <c r="D101" s="20"/>
      <c r="E101" s="20"/>
      <c r="F101" s="20"/>
      <c r="G101" s="21" t="str">
        <f>IF($A101="","",IF($I101="X",A101,CONCATENATE(VLOOKUP(A101,[1]Competitors!$A$2:$I$650,3, FALSE)," ",VLOOKUP(A101,[1]Competitors!$A$2:$I$650,2,FALSE))))</f>
        <v/>
      </c>
      <c r="H101" s="22">
        <f t="shared" si="5"/>
        <v>0</v>
      </c>
      <c r="I101" t="str">
        <f t="shared" si="6"/>
        <v/>
      </c>
      <c r="J101" s="42"/>
    </row>
    <row r="102" spans="1:10" s="23" customFormat="1" x14ac:dyDescent="0.35">
      <c r="H102" s="24"/>
    </row>
    <row r="103" spans="1:10" x14ac:dyDescent="0.35">
      <c r="A103" t="s">
        <v>453</v>
      </c>
      <c r="B103" t="str" cm="1">
        <f t="array" aca="1" ref="B103" ca="1">MID(CELL("filename",A1),FIND("]",CELL("filename",A1))+1,255)</f>
        <v>Event_28</v>
      </c>
    </row>
    <row r="104" spans="1:10" x14ac:dyDescent="0.35">
      <c r="A104" t="s">
        <v>454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" priority="3">
      <formula>TEXT($B$104,"@")="Y"</formula>
    </cfRule>
  </conditionalFormatting>
  <conditionalFormatting sqref="G2:H101">
    <cfRule type="expression" dxfId="1" priority="2">
      <formula>$I2="X"</formula>
    </cfRule>
  </conditionalFormatting>
  <conditionalFormatting sqref="H2:H101">
    <cfRule type="expression" dxfId="0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2026-01-24T17:37:16Z</dcterms:modified>
</cp:coreProperties>
</file>