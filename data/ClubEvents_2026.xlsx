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comments9.xml" ContentType="application/vnd.openxmlformats-officedocument.spreadsheetml.comments+xml"/>
  <Override PartName="/xl/threadedComments/threadedComment9.xml" ContentType="application/vnd.ms-excel.threadedcomments+xml"/>
  <Override PartName="/xl/comments10.xml" ContentType="application/vnd.openxmlformats-officedocument.spreadsheetml.comments+xml"/>
  <Override PartName="/xl/threadedComments/threadedComment10.xml" ContentType="application/vnd.ms-excel.threadedcomments+xml"/>
  <Override PartName="/xl/comments11.xml" ContentType="application/vnd.openxmlformats-officedocument.spreadsheetml.comments+xml"/>
  <Override PartName="/xl/threadedComments/threadedComment11.xml" ContentType="application/vnd.ms-excel.threadedcomments+xml"/>
  <Override PartName="/xl/comments12.xml" ContentType="application/vnd.openxmlformats-officedocument.spreadsheetml.comments+xml"/>
  <Override PartName="/xl/threadedComments/threadedComment12.xml" ContentType="application/vnd.ms-excel.threadedcomments+xml"/>
  <Override PartName="/xl/comments13.xml" ContentType="application/vnd.openxmlformats-officedocument.spreadsheetml.comments+xml"/>
  <Override PartName="/xl/threadedComments/threadedComment13.xml" ContentType="application/vnd.ms-excel.threadedcomments+xml"/>
  <Override PartName="/xl/comments14.xml" ContentType="application/vnd.openxmlformats-officedocument.spreadsheetml.comments+xml"/>
  <Override PartName="/xl/threadedComments/threadedComment14.xml" ContentType="application/vnd.ms-excel.threadedcomments+xml"/>
  <Override PartName="/xl/comments15.xml" ContentType="application/vnd.openxmlformats-officedocument.spreadsheetml.comments+xml"/>
  <Override PartName="/xl/threadedComments/threadedComment15.xml" ContentType="application/vnd.ms-excel.threadedcomments+xml"/>
  <Override PartName="/xl/comments16.xml" ContentType="application/vnd.openxmlformats-officedocument.spreadsheetml.comments+xml"/>
  <Override PartName="/xl/threadedComments/threadedComment16.xml" ContentType="application/vnd.ms-excel.threadedcomments+xml"/>
  <Override PartName="/xl/comments17.xml" ContentType="application/vnd.openxmlformats-officedocument.spreadsheetml.comments+xml"/>
  <Override PartName="/xl/threadedComments/threadedComment17.xml" ContentType="application/vnd.ms-excel.threadedcomments+xml"/>
  <Override PartName="/xl/comments18.xml" ContentType="application/vnd.openxmlformats-officedocument.spreadsheetml.comments+xml"/>
  <Override PartName="/xl/threadedComments/threadedComment18.xml" ContentType="application/vnd.ms-excel.threadedcomments+xml"/>
  <Override PartName="/xl/comments19.xml" ContentType="application/vnd.openxmlformats-officedocument.spreadsheetml.comments+xml"/>
  <Override PartName="/xl/threadedComments/threadedComment19.xml" ContentType="application/vnd.ms-excel.threadedcomments+xml"/>
  <Override PartName="/xl/comments20.xml" ContentType="application/vnd.openxmlformats-officedocument.spreadsheetml.comments+xml"/>
  <Override PartName="/xl/threadedComments/threadedComment20.xml" ContentType="application/vnd.ms-excel.threadedcomments+xml"/>
  <Override PartName="/xl/comments21.xml" ContentType="application/vnd.openxmlformats-officedocument.spreadsheetml.comments+xml"/>
  <Override PartName="/xl/threadedComments/threadedComment21.xml" ContentType="application/vnd.ms-excel.threadedcomments+xml"/>
  <Override PartName="/xl/comments22.xml" ContentType="application/vnd.openxmlformats-officedocument.spreadsheetml.comments+xml"/>
  <Override PartName="/xl/threadedComments/threadedComment22.xml" ContentType="application/vnd.ms-excel.threadedcomments+xml"/>
  <Override PartName="/xl/comments23.xml" ContentType="application/vnd.openxmlformats-officedocument.spreadsheetml.comments+xml"/>
  <Override PartName="/xl/threadedComments/threadedComment23.xml" ContentType="application/vnd.ms-excel.threadedcomments+xml"/>
  <Override PartName="/xl/comments24.xml" ContentType="application/vnd.openxmlformats-officedocument.spreadsheetml.comments+xml"/>
  <Override PartName="/xl/threadedComments/threadedComment24.xml" ContentType="application/vnd.ms-excel.threadedcomments+xml"/>
  <Override PartName="/xl/comments25.xml" ContentType="application/vnd.openxmlformats-officedocument.spreadsheetml.comments+xml"/>
  <Override PartName="/xl/threadedComments/threadedComment25.xml" ContentType="application/vnd.ms-excel.threadedcomments+xml"/>
  <Override PartName="/xl/comments26.xml" ContentType="application/vnd.openxmlformats-officedocument.spreadsheetml.comments+xml"/>
  <Override PartName="/xl/threadedComments/threadedComment26.xml" ContentType="application/vnd.ms-excel.threadedcomments+xml"/>
  <Override PartName="/xl/comments27.xml" ContentType="application/vnd.openxmlformats-officedocument.spreadsheetml.comments+xml"/>
  <Override PartName="/xl/threadedComments/threadedComment27.xml" ContentType="application/vnd.ms-excel.threadedcomments+xml"/>
  <Override PartName="/xl/comments28.xml" ContentType="application/vnd.openxmlformats-officedocument.spreadsheetml.comments+xml"/>
  <Override PartName="/xl/threadedComments/threadedComment28.xml" ContentType="application/vnd.ms-excel.threadedcomments+xml"/>
  <Override PartName="/xl/comments29.xml" ContentType="application/vnd.openxmlformats-officedocument.spreadsheetml.comments+xml"/>
  <Override PartName="/xl/threadedComments/threadedComment2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repos\wvcc\WellandValleyCC.github.io\data\"/>
    </mc:Choice>
  </mc:AlternateContent>
  <xr:revisionPtr revIDLastSave="0" documentId="13_ncr:1_{F48775A5-A03E-40A5-8EB5-41588F35886E}" xr6:coauthVersionLast="47" xr6:coauthVersionMax="47" xr10:uidLastSave="{00000000-0000-0000-0000-000000000000}"/>
  <bookViews>
    <workbookView xWindow="14317" yWindow="8857" windowWidth="14565" windowHeight="8506" firstSheet="17" activeTab="20" xr2:uid="{DB98A43B-CBEA-4F25-93C2-03DD59E77A4E}"/>
    <workbookView xWindow="14317" yWindow="0" windowWidth="14565" windowHeight="8940" firstSheet="38" activeTab="46" xr2:uid="{221FCC7D-F4D0-42E5-B70B-F70066C2E0CB}"/>
  </bookViews>
  <sheets>
    <sheet name="Revisions" sheetId="1" r:id="rId1"/>
    <sheet name="Competitors" sheetId="2" r:id="rId2"/>
    <sheet name="0307_competitors_2026" sheetId="3" r:id="rId3"/>
    <sheet name="0310_competitors_2026" sheetId="4" r:id="rId4"/>
    <sheet name="0321_competitors_2026" sheetId="5" r:id="rId5"/>
    <sheet name="0407_competitors_2026" sheetId="6" r:id="rId6"/>
    <sheet name="0407_competitors_2026b" sheetId="7" r:id="rId7"/>
    <sheet name="0409_competitors_2026" sheetId="8" r:id="rId8"/>
    <sheet name="0413_competitors_2026" sheetId="9" r:id="rId9"/>
    <sheet name="0512_competitors_2026" sheetId="10" r:id="rId10"/>
    <sheet name="0515_competitors_2026" sheetId="11" r:id="rId11"/>
    <sheet name="0517_competitors_2026" sheetId="12" r:id="rId12"/>
    <sheet name="0601_competitors_2026" sheetId="13" r:id="rId13"/>
    <sheet name="0608_competitors_2026" sheetId="14" r:id="rId14"/>
    <sheet name="0623_competitors_2026" sheetId="47" r:id="rId15"/>
    <sheet name="0713_competitors_2026" sheetId="48" r:id="rId16"/>
    <sheet name="0802_competitors_2026" sheetId="49" r:id="rId17"/>
    <sheet name="NameLookup" sheetId="15" r:id="rId18"/>
    <sheet name="Calendar" sheetId="16" r:id="rId19"/>
    <sheet name="Leagues" sheetId="17" r:id="rId20"/>
    <sheet name="RoundRobinRiders" sheetId="18" r:id="rId21"/>
    <sheet name="Event_01" sheetId="19" r:id="rId22"/>
    <sheet name="Event_02" sheetId="20" r:id="rId23"/>
    <sheet name="Event_03" sheetId="21" r:id="rId24"/>
    <sheet name="Event_04" sheetId="22" r:id="rId25"/>
    <sheet name="Event_05" sheetId="23" r:id="rId26"/>
    <sheet name="Event_06" sheetId="24" r:id="rId27"/>
    <sheet name="Event_07" sheetId="25" r:id="rId28"/>
    <sheet name="Event_08" sheetId="26" r:id="rId29"/>
    <sheet name="Event_09" sheetId="27" r:id="rId30"/>
    <sheet name="Event_10" sheetId="28" r:id="rId31"/>
    <sheet name="Event_11" sheetId="29" r:id="rId32"/>
    <sheet name="Event_12" sheetId="30" r:id="rId33"/>
    <sheet name="Event_13" sheetId="32" r:id="rId34"/>
    <sheet name="Event_14" sheetId="33" r:id="rId35"/>
    <sheet name="Event_15" sheetId="34" r:id="rId36"/>
    <sheet name="Event_16" sheetId="35" r:id="rId37"/>
    <sheet name="Event_17" sheetId="36" r:id="rId38"/>
    <sheet name="Event_18" sheetId="37" r:id="rId39"/>
    <sheet name="Event_19" sheetId="46" r:id="rId40"/>
    <sheet name="Event_20" sheetId="38" r:id="rId41"/>
    <sheet name="Event_21" sheetId="39" r:id="rId42"/>
    <sheet name="Event_22" sheetId="40" r:id="rId43"/>
    <sheet name="Event_23" sheetId="41" r:id="rId44"/>
    <sheet name="Event_24" sheetId="42" r:id="rId45"/>
    <sheet name="Event_25" sheetId="43" r:id="rId46"/>
    <sheet name="Event_26" sheetId="44" r:id="rId47"/>
    <sheet name="Event_27" sheetId="45" r:id="rId48"/>
  </sheets>
  <definedNames>
    <definedName name="_xlnm._FilterDatabase" localSheetId="33" hidden="1">Event_13!$A$1:$J$101</definedName>
    <definedName name="_xlnm._FilterDatabase" localSheetId="41" hidden="1">Event_21!$A$1:$J$104</definedName>
    <definedName name="_xlnm._FilterDatabase" localSheetId="20" hidden="1">RoundRobinRiders!$A$1:$D$67</definedName>
    <definedName name="Calendar">Calendar!$A$2:$G$27</definedName>
    <definedName name="CalendarEventNumbers">Calendar!$A$2:$A$27</definedName>
    <definedName name="ClubNames">NameLookup!$B$2:$B$402</definedName>
    <definedName name="ClubNumbers">NameLookup!$A$2:$A$402</definedName>
    <definedName name="MemberData">Event_01!$H$2</definedName>
    <definedName name="NonTenEvents">Calendar!$J$2:$J$27</definedName>
    <definedName name="Number2Name">NameLookup!$A$2:$B$402</definedName>
    <definedName name="RoundRobinNameToClub">RoundRobinRiders!$A$4:$C$33</definedName>
    <definedName name="RoundRobinNameToClubRange">RoundRobinRiders!$A$4:$C$229</definedName>
    <definedName name="RoundRobinRiderClubs">RoundRobinRiders!$B:$B</definedName>
    <definedName name="RoundRobinRiderDecoratedNames">RoundRobinRiders!$C:$C</definedName>
    <definedName name="RoundRobinRiderNames">RoundRobinRiders!$A:$A</definedName>
    <definedName name="TenMileEvents">Calendar!$K$2:$K$27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18" l="1"/>
  <c r="C108" i="18"/>
  <c r="C135" i="18"/>
  <c r="C136" i="18"/>
  <c r="C137" i="18"/>
  <c r="C138" i="18"/>
  <c r="B20" i="44" s="1"/>
  <c r="C139" i="18"/>
  <c r="C140" i="18"/>
  <c r="C141" i="18"/>
  <c r="C142" i="18"/>
  <c r="C143" i="18"/>
  <c r="C144" i="18"/>
  <c r="B7" i="44" s="1"/>
  <c r="C145" i="18"/>
  <c r="B31" i="44" s="1"/>
  <c r="C146" i="18"/>
  <c r="B28" i="44" s="1"/>
  <c r="C147" i="18"/>
  <c r="C148" i="18"/>
  <c r="C149" i="18"/>
  <c r="C150" i="18"/>
  <c r="C151" i="18"/>
  <c r="C152" i="18"/>
  <c r="C153" i="18"/>
  <c r="C154" i="18"/>
  <c r="C155" i="18"/>
  <c r="C156" i="18"/>
  <c r="C157" i="18"/>
  <c r="C158" i="18"/>
  <c r="C159" i="18"/>
  <c r="C160" i="18"/>
  <c r="C74" i="18"/>
  <c r="A14" i="16"/>
  <c r="A15" i="16"/>
  <c r="O14" i="16"/>
  <c r="C37" i="18"/>
  <c r="C38" i="18"/>
  <c r="C47" i="18"/>
  <c r="C61" i="18"/>
  <c r="C10" i="18"/>
  <c r="C87" i="18"/>
  <c r="C119" i="18"/>
  <c r="C118" i="18"/>
  <c r="C26" i="18"/>
  <c r="C128" i="18"/>
  <c r="C129" i="18"/>
  <c r="C122" i="18"/>
  <c r="C123" i="18"/>
  <c r="C83" i="18"/>
  <c r="C64" i="18"/>
  <c r="C127" i="18"/>
  <c r="B9" i="40" s="1"/>
  <c r="C28" i="18"/>
  <c r="C36" i="18"/>
  <c r="B30" i="40" s="1"/>
  <c r="C53" i="18"/>
  <c r="B8" i="41" s="1"/>
  <c r="C63" i="18"/>
  <c r="B9" i="41" s="1"/>
  <c r="C45" i="18"/>
  <c r="B12" i="41" s="1"/>
  <c r="C4" i="18"/>
  <c r="B26" i="41" s="1"/>
  <c r="C97" i="18"/>
  <c r="B7" i="42" s="1"/>
  <c r="C114" i="18"/>
  <c r="B28" i="42" s="1"/>
  <c r="C32" i="18"/>
  <c r="B30" i="42" s="1"/>
  <c r="C106" i="18"/>
  <c r="B39" i="42" s="1"/>
  <c r="J3" i="36"/>
  <c r="J4" i="36"/>
  <c r="J5" i="36"/>
  <c r="J6" i="36"/>
  <c r="J7" i="36"/>
  <c r="J8" i="36"/>
  <c r="J9" i="36"/>
  <c r="J10" i="36"/>
  <c r="J11" i="36"/>
  <c r="J13" i="36"/>
  <c r="J14" i="36"/>
  <c r="J15" i="36"/>
  <c r="J16" i="36"/>
  <c r="J17" i="36"/>
  <c r="J18" i="36"/>
  <c r="J19" i="36"/>
  <c r="J20" i="36"/>
  <c r="J21" i="36"/>
  <c r="J22" i="36"/>
  <c r="J23" i="36"/>
  <c r="J24" i="36"/>
  <c r="J25" i="36"/>
  <c r="J26" i="36"/>
  <c r="J27" i="36"/>
  <c r="J28" i="36"/>
  <c r="J29" i="36"/>
  <c r="J30" i="36"/>
  <c r="J31" i="36"/>
  <c r="C21" i="18"/>
  <c r="C12" i="18"/>
  <c r="C20" i="18"/>
  <c r="C76" i="18"/>
  <c r="C68" i="18"/>
  <c r="C85" i="18"/>
  <c r="C50" i="18"/>
  <c r="C121" i="18"/>
  <c r="C8" i="18"/>
  <c r="C7" i="18"/>
  <c r="C125" i="18"/>
  <c r="C126" i="18"/>
  <c r="C57" i="18"/>
  <c r="C55" i="18"/>
  <c r="C15" i="18"/>
  <c r="C16" i="18"/>
  <c r="C41" i="18"/>
  <c r="C54" i="18"/>
  <c r="C11" i="18"/>
  <c r="C56" i="18"/>
  <c r="C42" i="18"/>
  <c r="J25" i="16"/>
  <c r="K25" i="16"/>
  <c r="M25" i="16"/>
  <c r="J23" i="16"/>
  <c r="K23" i="16"/>
  <c r="M23" i="16"/>
  <c r="H25" i="16"/>
  <c r="C103" i="46" a="1"/>
  <c r="I101" i="46"/>
  <c r="B101" i="46"/>
  <c r="I100" i="46"/>
  <c r="B100" i="46"/>
  <c r="I99" i="46"/>
  <c r="B99" i="46"/>
  <c r="I98" i="46"/>
  <c r="B98" i="46"/>
  <c r="I97" i="46"/>
  <c r="B97" i="46"/>
  <c r="I96" i="46"/>
  <c r="B96" i="46"/>
  <c r="I95" i="46"/>
  <c r="B95" i="46"/>
  <c r="I94" i="46"/>
  <c r="B94" i="46"/>
  <c r="I93" i="46"/>
  <c r="B93" i="46"/>
  <c r="I92" i="46"/>
  <c r="B92" i="46"/>
  <c r="I91" i="46"/>
  <c r="B91" i="46"/>
  <c r="I90" i="46"/>
  <c r="B90" i="46"/>
  <c r="I89" i="46"/>
  <c r="B89" i="46"/>
  <c r="I88" i="46"/>
  <c r="B88" i="46"/>
  <c r="I87" i="46"/>
  <c r="B87" i="46"/>
  <c r="I86" i="46"/>
  <c r="B86" i="46"/>
  <c r="I85" i="46"/>
  <c r="B85" i="46"/>
  <c r="I84" i="46"/>
  <c r="B84" i="46"/>
  <c r="I83" i="46"/>
  <c r="B83" i="46"/>
  <c r="I82" i="46"/>
  <c r="B82" i="46"/>
  <c r="I81" i="46"/>
  <c r="B81" i="46"/>
  <c r="I80" i="46"/>
  <c r="B80" i="46"/>
  <c r="I79" i="46"/>
  <c r="B79" i="46"/>
  <c r="I78" i="46"/>
  <c r="B78" i="46"/>
  <c r="I77" i="46"/>
  <c r="B77" i="46"/>
  <c r="I76" i="46"/>
  <c r="B76" i="46"/>
  <c r="I75" i="46"/>
  <c r="B75" i="46"/>
  <c r="I74" i="46"/>
  <c r="B74" i="46"/>
  <c r="I73" i="46"/>
  <c r="B73" i="46"/>
  <c r="I72" i="46"/>
  <c r="B72" i="46"/>
  <c r="I71" i="46"/>
  <c r="B71" i="46"/>
  <c r="I70" i="46"/>
  <c r="B70" i="46"/>
  <c r="I69" i="46"/>
  <c r="B69" i="46"/>
  <c r="I68" i="46"/>
  <c r="B68" i="46"/>
  <c r="I67" i="46"/>
  <c r="B67" i="46"/>
  <c r="I66" i="46"/>
  <c r="B66" i="46"/>
  <c r="I65" i="46"/>
  <c r="B65" i="46"/>
  <c r="I64" i="46"/>
  <c r="B64" i="46"/>
  <c r="I63" i="46"/>
  <c r="B63" i="46"/>
  <c r="I62" i="46"/>
  <c r="B62" i="46"/>
  <c r="I61" i="46"/>
  <c r="B61" i="46"/>
  <c r="I60" i="46"/>
  <c r="B60" i="46"/>
  <c r="I59" i="46"/>
  <c r="B59" i="46"/>
  <c r="I58" i="46"/>
  <c r="B58" i="46"/>
  <c r="I57" i="46"/>
  <c r="B57" i="46"/>
  <c r="I56" i="46"/>
  <c r="B56" i="46"/>
  <c r="I55" i="46"/>
  <c r="B55" i="46"/>
  <c r="I54" i="46"/>
  <c r="B54" i="46"/>
  <c r="I53" i="46"/>
  <c r="B53" i="46"/>
  <c r="I52" i="46"/>
  <c r="B52" i="46"/>
  <c r="I51" i="46"/>
  <c r="B51" i="46"/>
  <c r="I50" i="46"/>
  <c r="B50" i="46"/>
  <c r="I49" i="46"/>
  <c r="B49" i="46"/>
  <c r="I48" i="46"/>
  <c r="B48" i="46"/>
  <c r="I47" i="46"/>
  <c r="B47" i="46"/>
  <c r="I46" i="46"/>
  <c r="B46" i="46"/>
  <c r="I45" i="46"/>
  <c r="B45" i="46"/>
  <c r="I44" i="46"/>
  <c r="B44" i="46"/>
  <c r="I43" i="46"/>
  <c r="B43" i="46"/>
  <c r="I42" i="46"/>
  <c r="B42" i="46"/>
  <c r="I41" i="46"/>
  <c r="I40" i="46"/>
  <c r="I39" i="46"/>
  <c r="I38" i="46"/>
  <c r="I37" i="46"/>
  <c r="I36" i="46"/>
  <c r="I35" i="46"/>
  <c r="I34" i="46"/>
  <c r="I33" i="46"/>
  <c r="I32" i="46"/>
  <c r="I31" i="46"/>
  <c r="I30" i="46"/>
  <c r="I29" i="46"/>
  <c r="I28" i="46"/>
  <c r="I27" i="46"/>
  <c r="I26" i="46"/>
  <c r="I25" i="46"/>
  <c r="I24" i="46"/>
  <c r="I23" i="46"/>
  <c r="I22" i="46"/>
  <c r="I21" i="46"/>
  <c r="I20" i="46"/>
  <c r="I19" i="46"/>
  <c r="I18" i="46"/>
  <c r="I17" i="46"/>
  <c r="I16" i="46"/>
  <c r="I15" i="46"/>
  <c r="I14" i="46"/>
  <c r="I13" i="46"/>
  <c r="I12" i="46"/>
  <c r="I11" i="46"/>
  <c r="I10" i="46"/>
  <c r="I9" i="46"/>
  <c r="I8" i="46"/>
  <c r="I7" i="46"/>
  <c r="I6" i="46"/>
  <c r="I5" i="46"/>
  <c r="I4" i="46"/>
  <c r="I3" i="46"/>
  <c r="I2" i="46"/>
  <c r="C103" i="45" a="1"/>
  <c r="I101" i="45"/>
  <c r="B101" i="45"/>
  <c r="I100" i="45"/>
  <c r="B100" i="45"/>
  <c r="I99" i="45"/>
  <c r="B99" i="45"/>
  <c r="I98" i="45"/>
  <c r="B98" i="45"/>
  <c r="I97" i="45"/>
  <c r="B97" i="45"/>
  <c r="I96" i="45"/>
  <c r="B96" i="45"/>
  <c r="I95" i="45"/>
  <c r="B95" i="45"/>
  <c r="I94" i="45"/>
  <c r="B94" i="45"/>
  <c r="I93" i="45"/>
  <c r="B93" i="45"/>
  <c r="I92" i="45"/>
  <c r="B92" i="45"/>
  <c r="I91" i="45"/>
  <c r="B91" i="45"/>
  <c r="I90" i="45"/>
  <c r="B90" i="45"/>
  <c r="I89" i="45"/>
  <c r="B89" i="45"/>
  <c r="I88" i="45"/>
  <c r="B88" i="45"/>
  <c r="I87" i="45"/>
  <c r="B87" i="45"/>
  <c r="I86" i="45"/>
  <c r="B86" i="45"/>
  <c r="I85" i="45"/>
  <c r="B85" i="45"/>
  <c r="I84" i="45"/>
  <c r="B84" i="45"/>
  <c r="I83" i="45"/>
  <c r="B83" i="45"/>
  <c r="I82" i="45"/>
  <c r="B82" i="45"/>
  <c r="I81" i="45"/>
  <c r="B81" i="45"/>
  <c r="I80" i="45"/>
  <c r="B80" i="45"/>
  <c r="I79" i="45"/>
  <c r="B79" i="45"/>
  <c r="I78" i="45"/>
  <c r="B78" i="45"/>
  <c r="I77" i="45"/>
  <c r="B77" i="45"/>
  <c r="I76" i="45"/>
  <c r="B76" i="45"/>
  <c r="I75" i="45"/>
  <c r="B75" i="45"/>
  <c r="I74" i="45"/>
  <c r="B74" i="45"/>
  <c r="I73" i="45"/>
  <c r="B73" i="45"/>
  <c r="I72" i="45"/>
  <c r="B72" i="45"/>
  <c r="I71" i="45"/>
  <c r="B71" i="45"/>
  <c r="I70" i="45"/>
  <c r="B70" i="45"/>
  <c r="I69" i="45"/>
  <c r="B69" i="45"/>
  <c r="I68" i="45"/>
  <c r="B68" i="45"/>
  <c r="I67" i="45"/>
  <c r="B67" i="45"/>
  <c r="I66" i="45"/>
  <c r="B66" i="45"/>
  <c r="I65" i="45"/>
  <c r="B65" i="45"/>
  <c r="I64" i="45"/>
  <c r="B64" i="45"/>
  <c r="I63" i="45"/>
  <c r="B63" i="45"/>
  <c r="I62" i="45"/>
  <c r="B62" i="45"/>
  <c r="I61" i="45"/>
  <c r="B61" i="45"/>
  <c r="I60" i="45"/>
  <c r="B60" i="45"/>
  <c r="I59" i="45"/>
  <c r="B59" i="45"/>
  <c r="I58" i="45"/>
  <c r="B58" i="45"/>
  <c r="I57" i="45"/>
  <c r="B57" i="45"/>
  <c r="I56" i="45"/>
  <c r="B56" i="45"/>
  <c r="I55" i="45"/>
  <c r="B55" i="45"/>
  <c r="I54" i="45"/>
  <c r="B54" i="45"/>
  <c r="I53" i="45"/>
  <c r="B53" i="45"/>
  <c r="I52" i="45"/>
  <c r="B52" i="45"/>
  <c r="I51" i="45"/>
  <c r="B51" i="45"/>
  <c r="I50" i="45"/>
  <c r="B50" i="45"/>
  <c r="I49" i="45"/>
  <c r="B49" i="45"/>
  <c r="I48" i="45"/>
  <c r="B48" i="45"/>
  <c r="I47" i="45"/>
  <c r="B47" i="45"/>
  <c r="I46" i="45"/>
  <c r="B46" i="45"/>
  <c r="I45" i="45"/>
  <c r="B45" i="45"/>
  <c r="I44" i="45"/>
  <c r="B44" i="45"/>
  <c r="I43" i="45"/>
  <c r="B43" i="45"/>
  <c r="I42" i="45"/>
  <c r="B42" i="45"/>
  <c r="I41" i="45"/>
  <c r="B41" i="45"/>
  <c r="I40" i="45"/>
  <c r="B40" i="45"/>
  <c r="I39" i="45"/>
  <c r="B39" i="45"/>
  <c r="I38" i="45"/>
  <c r="B38" i="45"/>
  <c r="I37" i="45"/>
  <c r="B37" i="45"/>
  <c r="I36" i="45"/>
  <c r="B36" i="45"/>
  <c r="I35" i="45"/>
  <c r="B35" i="45"/>
  <c r="I34" i="45"/>
  <c r="B34" i="45"/>
  <c r="I33" i="45"/>
  <c r="B33" i="45"/>
  <c r="I32" i="45"/>
  <c r="B32" i="45"/>
  <c r="I31" i="45"/>
  <c r="B31" i="45"/>
  <c r="I30" i="45"/>
  <c r="B30" i="45"/>
  <c r="I29" i="45"/>
  <c r="B29" i="45"/>
  <c r="I28" i="45"/>
  <c r="B28" i="45"/>
  <c r="I27" i="45"/>
  <c r="B27" i="45"/>
  <c r="I26" i="45"/>
  <c r="B26" i="45"/>
  <c r="I25" i="45"/>
  <c r="B25" i="45"/>
  <c r="I24" i="45"/>
  <c r="B24" i="45"/>
  <c r="I23" i="45"/>
  <c r="B23" i="45"/>
  <c r="I22" i="45"/>
  <c r="B22" i="45"/>
  <c r="I21" i="45"/>
  <c r="B21" i="45"/>
  <c r="I20" i="45"/>
  <c r="B20" i="45"/>
  <c r="I19" i="45"/>
  <c r="B19" i="45"/>
  <c r="I18" i="45"/>
  <c r="B18" i="45"/>
  <c r="I17" i="45"/>
  <c r="B17" i="45"/>
  <c r="I16" i="45"/>
  <c r="B16" i="45"/>
  <c r="I15" i="45"/>
  <c r="B15" i="45"/>
  <c r="I14" i="45"/>
  <c r="B14" i="45"/>
  <c r="I13" i="45"/>
  <c r="B13" i="45"/>
  <c r="I12" i="45"/>
  <c r="B12" i="45"/>
  <c r="I11" i="45"/>
  <c r="B11" i="45"/>
  <c r="I10" i="45"/>
  <c r="B10" i="45"/>
  <c r="I9" i="45"/>
  <c r="B9" i="45"/>
  <c r="I8" i="45"/>
  <c r="B8" i="45"/>
  <c r="I7" i="45"/>
  <c r="B7" i="45"/>
  <c r="I6" i="45"/>
  <c r="B6" i="45"/>
  <c r="I5" i="45"/>
  <c r="B5" i="45"/>
  <c r="I4" i="45"/>
  <c r="B4" i="45"/>
  <c r="I3" i="45"/>
  <c r="B3" i="45"/>
  <c r="I2" i="45"/>
  <c r="B2" i="45"/>
  <c r="C103" i="44" a="1"/>
  <c r="I101" i="44"/>
  <c r="B101" i="44"/>
  <c r="I100" i="44"/>
  <c r="B100" i="44"/>
  <c r="I99" i="44"/>
  <c r="B99" i="44"/>
  <c r="I98" i="44"/>
  <c r="B98" i="44"/>
  <c r="I97" i="44"/>
  <c r="B97" i="44"/>
  <c r="I96" i="44"/>
  <c r="B96" i="44"/>
  <c r="I95" i="44"/>
  <c r="B95" i="44"/>
  <c r="I94" i="44"/>
  <c r="B94" i="44"/>
  <c r="I93" i="44"/>
  <c r="B93" i="44"/>
  <c r="I92" i="44"/>
  <c r="B92" i="44"/>
  <c r="I91" i="44"/>
  <c r="B91" i="44"/>
  <c r="I90" i="44"/>
  <c r="B90" i="44"/>
  <c r="I89" i="44"/>
  <c r="B89" i="44"/>
  <c r="I88" i="44"/>
  <c r="B88" i="44"/>
  <c r="I87" i="44"/>
  <c r="B87" i="44"/>
  <c r="I86" i="44"/>
  <c r="B86" i="44"/>
  <c r="I85" i="44"/>
  <c r="B85" i="44"/>
  <c r="I84" i="44"/>
  <c r="B84" i="44"/>
  <c r="I83" i="44"/>
  <c r="B83" i="44"/>
  <c r="I82" i="44"/>
  <c r="B82" i="44"/>
  <c r="I81" i="44"/>
  <c r="B81" i="44"/>
  <c r="I80" i="44"/>
  <c r="B80" i="44"/>
  <c r="I79" i="44"/>
  <c r="B79" i="44"/>
  <c r="I78" i="44"/>
  <c r="B78" i="44"/>
  <c r="I77" i="44"/>
  <c r="B77" i="44"/>
  <c r="I76" i="44"/>
  <c r="B76" i="44"/>
  <c r="I75" i="44"/>
  <c r="B75" i="44"/>
  <c r="I74" i="44"/>
  <c r="B74" i="44"/>
  <c r="I73" i="44"/>
  <c r="B73" i="44"/>
  <c r="I72" i="44"/>
  <c r="B72" i="44"/>
  <c r="I71" i="44"/>
  <c r="B71" i="44"/>
  <c r="I70" i="44"/>
  <c r="B70" i="44"/>
  <c r="I69" i="44"/>
  <c r="B69" i="44"/>
  <c r="I68" i="44"/>
  <c r="B68" i="44"/>
  <c r="I67" i="44"/>
  <c r="B67" i="44"/>
  <c r="I66" i="44"/>
  <c r="B66" i="44"/>
  <c r="I65" i="44"/>
  <c r="B65" i="44"/>
  <c r="I64" i="44"/>
  <c r="B64" i="44"/>
  <c r="I63" i="44"/>
  <c r="B63" i="44"/>
  <c r="I62" i="44"/>
  <c r="B62" i="44"/>
  <c r="I61" i="44"/>
  <c r="B61" i="44"/>
  <c r="I60" i="44"/>
  <c r="B60" i="44"/>
  <c r="I59" i="44"/>
  <c r="B59" i="44"/>
  <c r="I58" i="44"/>
  <c r="B58" i="44"/>
  <c r="I57" i="44"/>
  <c r="B57" i="44"/>
  <c r="I56" i="44"/>
  <c r="B56" i="44"/>
  <c r="I55" i="44"/>
  <c r="B55" i="44"/>
  <c r="I54" i="44"/>
  <c r="B54" i="44"/>
  <c r="I53" i="44"/>
  <c r="B53" i="44"/>
  <c r="I52" i="44"/>
  <c r="B52" i="44"/>
  <c r="I51" i="44"/>
  <c r="B51" i="44"/>
  <c r="I50" i="44"/>
  <c r="B50" i="44"/>
  <c r="I49" i="44"/>
  <c r="B49" i="44"/>
  <c r="I48" i="44"/>
  <c r="B48" i="44"/>
  <c r="I47" i="44"/>
  <c r="B47" i="44"/>
  <c r="I46" i="44"/>
  <c r="B46" i="44"/>
  <c r="I45" i="44"/>
  <c r="B45" i="44"/>
  <c r="I39" i="44"/>
  <c r="B39" i="44"/>
  <c r="I23" i="44"/>
  <c r="B23" i="44"/>
  <c r="I4" i="44"/>
  <c r="B4" i="44"/>
  <c r="I11" i="44"/>
  <c r="B11" i="44"/>
  <c r="I6" i="44"/>
  <c r="B6" i="44"/>
  <c r="I28" i="44"/>
  <c r="I31" i="44"/>
  <c r="I30" i="44"/>
  <c r="B30" i="44"/>
  <c r="I18" i="44"/>
  <c r="B18" i="44"/>
  <c r="I7" i="44"/>
  <c r="I8" i="44"/>
  <c r="B8" i="44"/>
  <c r="I38" i="44"/>
  <c r="B38" i="44"/>
  <c r="I26" i="44"/>
  <c r="B26" i="44"/>
  <c r="I36" i="44"/>
  <c r="B36" i="44"/>
  <c r="I42" i="44"/>
  <c r="B42" i="44"/>
  <c r="I29" i="44"/>
  <c r="B29" i="44"/>
  <c r="I3" i="44"/>
  <c r="B3" i="44"/>
  <c r="I12" i="44"/>
  <c r="B12" i="44"/>
  <c r="I22" i="44"/>
  <c r="B22" i="44"/>
  <c r="I25" i="44"/>
  <c r="B25" i="44"/>
  <c r="I40" i="44"/>
  <c r="B40" i="44"/>
  <c r="I32" i="44"/>
  <c r="B32" i="44"/>
  <c r="I19" i="44"/>
  <c r="B19" i="44"/>
  <c r="I13" i="44"/>
  <c r="B13" i="44"/>
  <c r="I41" i="44"/>
  <c r="B41" i="44"/>
  <c r="I2" i="44"/>
  <c r="B2" i="44"/>
  <c r="I21" i="44"/>
  <c r="B21" i="44"/>
  <c r="I20" i="44"/>
  <c r="I9" i="44"/>
  <c r="B9" i="44"/>
  <c r="I27" i="44"/>
  <c r="B27" i="44"/>
  <c r="I37" i="44"/>
  <c r="B37" i="44"/>
  <c r="I44" i="44"/>
  <c r="B44" i="44"/>
  <c r="I16" i="44"/>
  <c r="B16" i="44"/>
  <c r="I15" i="44"/>
  <c r="B15" i="44"/>
  <c r="I5" i="44"/>
  <c r="B5" i="44"/>
  <c r="I43" i="44"/>
  <c r="B43" i="44"/>
  <c r="I35" i="44"/>
  <c r="B35" i="44"/>
  <c r="I34" i="44"/>
  <c r="B34" i="44"/>
  <c r="I14" i="44"/>
  <c r="I24" i="44"/>
  <c r="B24" i="44"/>
  <c r="I10" i="44"/>
  <c r="B10" i="44"/>
  <c r="I17" i="44"/>
  <c r="B17" i="44"/>
  <c r="I33" i="44"/>
  <c r="B33" i="44"/>
  <c r="C103" i="43" a="1"/>
  <c r="I101" i="43"/>
  <c r="B101" i="43"/>
  <c r="I100" i="43"/>
  <c r="B100" i="43"/>
  <c r="I99" i="43"/>
  <c r="B99" i="43"/>
  <c r="I98" i="43"/>
  <c r="B98" i="43"/>
  <c r="I97" i="43"/>
  <c r="B97" i="43"/>
  <c r="I96" i="43"/>
  <c r="B96" i="43"/>
  <c r="I95" i="43"/>
  <c r="B95" i="43"/>
  <c r="I94" i="43"/>
  <c r="B94" i="43"/>
  <c r="I93" i="43"/>
  <c r="B93" i="43"/>
  <c r="I92" i="43"/>
  <c r="B92" i="43"/>
  <c r="I91" i="43"/>
  <c r="B91" i="43"/>
  <c r="I90" i="43"/>
  <c r="B90" i="43"/>
  <c r="I89" i="43"/>
  <c r="B89" i="43"/>
  <c r="I88" i="43"/>
  <c r="B88" i="43"/>
  <c r="I87" i="43"/>
  <c r="B87" i="43"/>
  <c r="I86" i="43"/>
  <c r="B86" i="43"/>
  <c r="I85" i="43"/>
  <c r="B85" i="43"/>
  <c r="I84" i="43"/>
  <c r="B84" i="43"/>
  <c r="I83" i="43"/>
  <c r="B83" i="43"/>
  <c r="I82" i="43"/>
  <c r="B82" i="43"/>
  <c r="I81" i="43"/>
  <c r="B81" i="43"/>
  <c r="I80" i="43"/>
  <c r="B80" i="43"/>
  <c r="I79" i="43"/>
  <c r="B79" i="43"/>
  <c r="I78" i="43"/>
  <c r="B78" i="43"/>
  <c r="I77" i="43"/>
  <c r="B77" i="43"/>
  <c r="I76" i="43"/>
  <c r="B76" i="43"/>
  <c r="I75" i="43"/>
  <c r="B75" i="43"/>
  <c r="I74" i="43"/>
  <c r="B74" i="43"/>
  <c r="I73" i="43"/>
  <c r="B73" i="43"/>
  <c r="I72" i="43"/>
  <c r="B72" i="43"/>
  <c r="I71" i="43"/>
  <c r="B71" i="43"/>
  <c r="I70" i="43"/>
  <c r="B70" i="43"/>
  <c r="I69" i="43"/>
  <c r="B69" i="43"/>
  <c r="I68" i="43"/>
  <c r="B68" i="43"/>
  <c r="I67" i="43"/>
  <c r="B67" i="43"/>
  <c r="I66" i="43"/>
  <c r="B66" i="43"/>
  <c r="I65" i="43"/>
  <c r="B65" i="43"/>
  <c r="I64" i="43"/>
  <c r="B64" i="43"/>
  <c r="I63" i="43"/>
  <c r="B63" i="43"/>
  <c r="I62" i="43"/>
  <c r="B62" i="43"/>
  <c r="I61" i="43"/>
  <c r="B61" i="43"/>
  <c r="I60" i="43"/>
  <c r="B60" i="43"/>
  <c r="I59" i="43"/>
  <c r="B59" i="43"/>
  <c r="I58" i="43"/>
  <c r="B58" i="43"/>
  <c r="I57" i="43"/>
  <c r="B57" i="43"/>
  <c r="I56" i="43"/>
  <c r="B56" i="43"/>
  <c r="I55" i="43"/>
  <c r="B55" i="43"/>
  <c r="I54" i="43"/>
  <c r="B54" i="43"/>
  <c r="I53" i="43"/>
  <c r="B53" i="43"/>
  <c r="I52" i="43"/>
  <c r="B52" i="43"/>
  <c r="I51" i="43"/>
  <c r="B51" i="43"/>
  <c r="I50" i="43"/>
  <c r="B50" i="43"/>
  <c r="I49" i="43"/>
  <c r="B49" i="43"/>
  <c r="I48" i="43"/>
  <c r="B48" i="43"/>
  <c r="I47" i="43"/>
  <c r="B47" i="43"/>
  <c r="I46" i="43"/>
  <c r="B46" i="43"/>
  <c r="I45" i="43"/>
  <c r="B45" i="43"/>
  <c r="I44" i="43"/>
  <c r="B44" i="43"/>
  <c r="I43" i="43"/>
  <c r="B43" i="43"/>
  <c r="I42" i="43"/>
  <c r="B42" i="43"/>
  <c r="I41" i="43"/>
  <c r="B41" i="43"/>
  <c r="I40" i="43"/>
  <c r="B40" i="43"/>
  <c r="I39" i="43"/>
  <c r="B39" i="43"/>
  <c r="I38" i="43"/>
  <c r="B38" i="43"/>
  <c r="I37" i="43"/>
  <c r="B37" i="43"/>
  <c r="I36" i="43"/>
  <c r="B36" i="43"/>
  <c r="I35" i="43"/>
  <c r="B35" i="43"/>
  <c r="I34" i="43"/>
  <c r="B34" i="43"/>
  <c r="I33" i="43"/>
  <c r="B33" i="43"/>
  <c r="I32" i="43"/>
  <c r="B32" i="43"/>
  <c r="I31" i="43"/>
  <c r="B31" i="43"/>
  <c r="I30" i="43"/>
  <c r="B30" i="43"/>
  <c r="I29" i="43"/>
  <c r="B29" i="43"/>
  <c r="I28" i="43"/>
  <c r="B28" i="43"/>
  <c r="I27" i="43"/>
  <c r="B27" i="43"/>
  <c r="I26" i="43"/>
  <c r="B26" i="43"/>
  <c r="I25" i="43"/>
  <c r="B25" i="43"/>
  <c r="I24" i="43"/>
  <c r="B24" i="43"/>
  <c r="I23" i="43"/>
  <c r="B23" i="43"/>
  <c r="I22" i="43"/>
  <c r="B22" i="43"/>
  <c r="I21" i="43"/>
  <c r="B21" i="43"/>
  <c r="I20" i="43"/>
  <c r="B20" i="43"/>
  <c r="I19" i="43"/>
  <c r="B19" i="43"/>
  <c r="I18" i="43"/>
  <c r="B18" i="43"/>
  <c r="I17" i="43"/>
  <c r="B17" i="43"/>
  <c r="I16" i="43"/>
  <c r="B16" i="43"/>
  <c r="I15" i="43"/>
  <c r="B15" i="43"/>
  <c r="I14" i="43"/>
  <c r="B14" i="43"/>
  <c r="I13" i="43"/>
  <c r="B13" i="43"/>
  <c r="I12" i="43"/>
  <c r="B12" i="43"/>
  <c r="I11" i="43"/>
  <c r="B11" i="43"/>
  <c r="I10" i="43"/>
  <c r="B10" i="43"/>
  <c r="I9" i="43"/>
  <c r="B9" i="43"/>
  <c r="I8" i="43"/>
  <c r="B8" i="43"/>
  <c r="I7" i="43"/>
  <c r="B7" i="43"/>
  <c r="I6" i="43"/>
  <c r="B6" i="43"/>
  <c r="I5" i="43"/>
  <c r="B5" i="43"/>
  <c r="I4" i="43"/>
  <c r="B4" i="43"/>
  <c r="I3" i="43"/>
  <c r="B3" i="43"/>
  <c r="I2" i="43"/>
  <c r="B2" i="43"/>
  <c r="C103" i="42" a="1"/>
  <c r="I101" i="42"/>
  <c r="B101" i="42"/>
  <c r="I100" i="42"/>
  <c r="B100" i="42"/>
  <c r="I99" i="42"/>
  <c r="B99" i="42"/>
  <c r="I98" i="42"/>
  <c r="B98" i="42"/>
  <c r="I97" i="42"/>
  <c r="B97" i="42"/>
  <c r="I96" i="42"/>
  <c r="B96" i="42"/>
  <c r="I95" i="42"/>
  <c r="B95" i="42"/>
  <c r="I94" i="42"/>
  <c r="B94" i="42"/>
  <c r="I93" i="42"/>
  <c r="B93" i="42"/>
  <c r="I92" i="42"/>
  <c r="B92" i="42"/>
  <c r="I91" i="42"/>
  <c r="B91" i="42"/>
  <c r="I90" i="42"/>
  <c r="B90" i="42"/>
  <c r="I89" i="42"/>
  <c r="B89" i="42"/>
  <c r="I88" i="42"/>
  <c r="B88" i="42"/>
  <c r="I87" i="42"/>
  <c r="B87" i="42"/>
  <c r="I86" i="42"/>
  <c r="B86" i="42"/>
  <c r="I85" i="42"/>
  <c r="B85" i="42"/>
  <c r="I84" i="42"/>
  <c r="B84" i="42"/>
  <c r="I83" i="42"/>
  <c r="B83" i="42"/>
  <c r="I82" i="42"/>
  <c r="B82" i="42"/>
  <c r="I81" i="42"/>
  <c r="B81" i="42"/>
  <c r="I80" i="42"/>
  <c r="B80" i="42"/>
  <c r="I79" i="42"/>
  <c r="B79" i="42"/>
  <c r="I78" i="42"/>
  <c r="B78" i="42"/>
  <c r="I77" i="42"/>
  <c r="B77" i="42"/>
  <c r="I76" i="42"/>
  <c r="B76" i="42"/>
  <c r="I75" i="42"/>
  <c r="B75" i="42"/>
  <c r="I74" i="42"/>
  <c r="B74" i="42"/>
  <c r="I73" i="42"/>
  <c r="B73" i="42"/>
  <c r="I72" i="42"/>
  <c r="B72" i="42"/>
  <c r="I71" i="42"/>
  <c r="B71" i="42"/>
  <c r="I70" i="42"/>
  <c r="B70" i="42"/>
  <c r="I69" i="42"/>
  <c r="B69" i="42"/>
  <c r="I68" i="42"/>
  <c r="B68" i="42"/>
  <c r="I67" i="42"/>
  <c r="B67" i="42"/>
  <c r="I66" i="42"/>
  <c r="B66" i="42"/>
  <c r="I65" i="42"/>
  <c r="B65" i="42"/>
  <c r="I64" i="42"/>
  <c r="B64" i="42"/>
  <c r="I63" i="42"/>
  <c r="B63" i="42"/>
  <c r="I62" i="42"/>
  <c r="B62" i="42"/>
  <c r="I61" i="42"/>
  <c r="B61" i="42"/>
  <c r="I60" i="42"/>
  <c r="B60" i="42"/>
  <c r="I59" i="42"/>
  <c r="B59" i="42"/>
  <c r="I58" i="42"/>
  <c r="B58" i="42"/>
  <c r="I57" i="42"/>
  <c r="B57" i="42"/>
  <c r="I56" i="42"/>
  <c r="B56" i="42"/>
  <c r="I55" i="42"/>
  <c r="B55" i="42"/>
  <c r="I54" i="42"/>
  <c r="B54" i="42"/>
  <c r="I53" i="42"/>
  <c r="B53" i="42"/>
  <c r="I52" i="42"/>
  <c r="B52" i="42"/>
  <c r="I51" i="42"/>
  <c r="B51" i="42"/>
  <c r="I50" i="42"/>
  <c r="B50" i="42"/>
  <c r="I49" i="42"/>
  <c r="B49" i="42"/>
  <c r="I48" i="42"/>
  <c r="B48" i="42"/>
  <c r="I47" i="42"/>
  <c r="B47" i="42"/>
  <c r="I46" i="42"/>
  <c r="B46" i="42"/>
  <c r="I45" i="42"/>
  <c r="B45" i="42"/>
  <c r="I44" i="42"/>
  <c r="B44" i="42"/>
  <c r="I43" i="42"/>
  <c r="B43" i="42"/>
  <c r="I42" i="42"/>
  <c r="B42" i="42"/>
  <c r="I41" i="42"/>
  <c r="B41" i="42"/>
  <c r="I40" i="42"/>
  <c r="B40" i="42"/>
  <c r="I39" i="42"/>
  <c r="I38" i="42"/>
  <c r="B38" i="42"/>
  <c r="I37" i="42"/>
  <c r="B37" i="42"/>
  <c r="I36" i="42"/>
  <c r="B36" i="42"/>
  <c r="I35" i="42"/>
  <c r="B35" i="42"/>
  <c r="I34" i="42"/>
  <c r="B34" i="42"/>
  <c r="I33" i="42"/>
  <c r="B33" i="42"/>
  <c r="I32" i="42"/>
  <c r="B32" i="42"/>
  <c r="I31" i="42"/>
  <c r="B31" i="42"/>
  <c r="I30" i="42"/>
  <c r="I29" i="42"/>
  <c r="B29" i="42"/>
  <c r="I28" i="42"/>
  <c r="I27" i="42"/>
  <c r="B27" i="42"/>
  <c r="I26" i="42"/>
  <c r="B26" i="42"/>
  <c r="I25" i="42"/>
  <c r="B25" i="42"/>
  <c r="I24" i="42"/>
  <c r="B24" i="42"/>
  <c r="I23" i="42"/>
  <c r="B23" i="42"/>
  <c r="I22" i="42"/>
  <c r="B22" i="42"/>
  <c r="I21" i="42"/>
  <c r="B21" i="42"/>
  <c r="I20" i="42"/>
  <c r="B20" i="42"/>
  <c r="I19" i="42"/>
  <c r="B19" i="42"/>
  <c r="I18" i="42"/>
  <c r="B18" i="42"/>
  <c r="I17" i="42"/>
  <c r="B17" i="42"/>
  <c r="I16" i="42"/>
  <c r="B16" i="42"/>
  <c r="I15" i="42"/>
  <c r="B15" i="42"/>
  <c r="I14" i="42"/>
  <c r="B14" i="42"/>
  <c r="I13" i="42"/>
  <c r="B13" i="42"/>
  <c r="I12" i="42"/>
  <c r="B12" i="42"/>
  <c r="I11" i="42"/>
  <c r="B11" i="42"/>
  <c r="I10" i="42"/>
  <c r="B10" i="42"/>
  <c r="I9" i="42"/>
  <c r="B9" i="42"/>
  <c r="I8" i="42"/>
  <c r="B8" i="42"/>
  <c r="I7" i="42"/>
  <c r="I6" i="42"/>
  <c r="B6" i="42"/>
  <c r="I5" i="42"/>
  <c r="B5" i="42"/>
  <c r="I4" i="42"/>
  <c r="B4" i="42"/>
  <c r="I3" i="42"/>
  <c r="B3" i="42"/>
  <c r="I2" i="42"/>
  <c r="B2" i="42"/>
  <c r="C103" i="41" a="1"/>
  <c r="I101" i="41"/>
  <c r="B101" i="41"/>
  <c r="I100" i="41"/>
  <c r="B100" i="41"/>
  <c r="I99" i="41"/>
  <c r="B99" i="41"/>
  <c r="I98" i="41"/>
  <c r="B98" i="41"/>
  <c r="I97" i="41"/>
  <c r="B97" i="41"/>
  <c r="I96" i="41"/>
  <c r="B96" i="41"/>
  <c r="I95" i="41"/>
  <c r="B95" i="41"/>
  <c r="I94" i="41"/>
  <c r="B94" i="41"/>
  <c r="I93" i="41"/>
  <c r="B93" i="41"/>
  <c r="I92" i="41"/>
  <c r="B92" i="41"/>
  <c r="I91" i="41"/>
  <c r="B91" i="41"/>
  <c r="I90" i="41"/>
  <c r="B90" i="41"/>
  <c r="I89" i="41"/>
  <c r="B89" i="41"/>
  <c r="I88" i="41"/>
  <c r="B88" i="41"/>
  <c r="I87" i="41"/>
  <c r="B87" i="41"/>
  <c r="I86" i="41"/>
  <c r="B86" i="41"/>
  <c r="I85" i="41"/>
  <c r="B85" i="41"/>
  <c r="I84" i="41"/>
  <c r="B84" i="41"/>
  <c r="I83" i="41"/>
  <c r="B83" i="41"/>
  <c r="I82" i="41"/>
  <c r="B82" i="41"/>
  <c r="I81" i="41"/>
  <c r="B81" i="41"/>
  <c r="I80" i="41"/>
  <c r="B80" i="41"/>
  <c r="I79" i="41"/>
  <c r="B79" i="41"/>
  <c r="I78" i="41"/>
  <c r="B78" i="41"/>
  <c r="I77" i="41"/>
  <c r="B77" i="41"/>
  <c r="I76" i="41"/>
  <c r="B76" i="41"/>
  <c r="I75" i="41"/>
  <c r="B75" i="41"/>
  <c r="I74" i="41"/>
  <c r="B74" i="41"/>
  <c r="I73" i="41"/>
  <c r="B73" i="41"/>
  <c r="I72" i="41"/>
  <c r="B72" i="41"/>
  <c r="I71" i="41"/>
  <c r="B71" i="41"/>
  <c r="I70" i="41"/>
  <c r="B70" i="41"/>
  <c r="I69" i="41"/>
  <c r="B69" i="41"/>
  <c r="I68" i="41"/>
  <c r="B68" i="41"/>
  <c r="I67" i="41"/>
  <c r="B67" i="41"/>
  <c r="I66" i="41"/>
  <c r="B66" i="41"/>
  <c r="I65" i="41"/>
  <c r="B65" i="41"/>
  <c r="I64" i="41"/>
  <c r="B64" i="41"/>
  <c r="I63" i="41"/>
  <c r="B63" i="41"/>
  <c r="I62" i="41"/>
  <c r="B62" i="41"/>
  <c r="I61" i="41"/>
  <c r="B61" i="41"/>
  <c r="I60" i="41"/>
  <c r="B60" i="41"/>
  <c r="I59" i="41"/>
  <c r="B59" i="41"/>
  <c r="I58" i="41"/>
  <c r="B58" i="41"/>
  <c r="I57" i="41"/>
  <c r="B57" i="41"/>
  <c r="I56" i="41"/>
  <c r="B56" i="41"/>
  <c r="I55" i="41"/>
  <c r="B55" i="41"/>
  <c r="I54" i="41"/>
  <c r="B54" i="41"/>
  <c r="I53" i="41"/>
  <c r="B53" i="41"/>
  <c r="I52" i="41"/>
  <c r="B52" i="41"/>
  <c r="I51" i="41"/>
  <c r="B51" i="41"/>
  <c r="I50" i="41"/>
  <c r="B50" i="41"/>
  <c r="I49" i="41"/>
  <c r="B49" i="41"/>
  <c r="I48" i="41"/>
  <c r="B48" i="41"/>
  <c r="I47" i="41"/>
  <c r="B47" i="41"/>
  <c r="I46" i="41"/>
  <c r="B46" i="41"/>
  <c r="I45" i="41"/>
  <c r="B45" i="41"/>
  <c r="I44" i="41"/>
  <c r="B44" i="41"/>
  <c r="I43" i="41"/>
  <c r="B43" i="41"/>
  <c r="I42" i="41"/>
  <c r="B42" i="41"/>
  <c r="I41" i="41"/>
  <c r="B41" i="41"/>
  <c r="I40" i="41"/>
  <c r="B40" i="41"/>
  <c r="I39" i="41"/>
  <c r="B39" i="41"/>
  <c r="I38" i="41"/>
  <c r="B38" i="41"/>
  <c r="I37" i="41"/>
  <c r="B37" i="41"/>
  <c r="I36" i="41"/>
  <c r="B36" i="41"/>
  <c r="I35" i="41"/>
  <c r="B35" i="41"/>
  <c r="I34" i="41"/>
  <c r="B34" i="41"/>
  <c r="I33" i="41"/>
  <c r="B33" i="41"/>
  <c r="I32" i="41"/>
  <c r="B32" i="41"/>
  <c r="I31" i="41"/>
  <c r="B31" i="41"/>
  <c r="I30" i="41"/>
  <c r="B30" i="41"/>
  <c r="I29" i="41"/>
  <c r="B29" i="41"/>
  <c r="I28" i="41"/>
  <c r="B28" i="41"/>
  <c r="I27" i="41"/>
  <c r="B27" i="41"/>
  <c r="I26" i="41"/>
  <c r="I25" i="41"/>
  <c r="B25" i="41"/>
  <c r="I24" i="41"/>
  <c r="B24" i="41"/>
  <c r="I23" i="41"/>
  <c r="B23" i="41"/>
  <c r="I22" i="41"/>
  <c r="B22" i="41"/>
  <c r="I21" i="41"/>
  <c r="B21" i="41"/>
  <c r="I20" i="41"/>
  <c r="B20" i="41"/>
  <c r="I19" i="41"/>
  <c r="B19" i="41"/>
  <c r="I18" i="41"/>
  <c r="B18" i="41"/>
  <c r="I17" i="41"/>
  <c r="B17" i="41"/>
  <c r="I16" i="41"/>
  <c r="B16" i="41"/>
  <c r="I15" i="41"/>
  <c r="B15" i="41"/>
  <c r="I14" i="41"/>
  <c r="B14" i="41"/>
  <c r="I13" i="41"/>
  <c r="B13" i="41"/>
  <c r="I12" i="41"/>
  <c r="I11" i="41"/>
  <c r="B11" i="41"/>
  <c r="I10" i="41"/>
  <c r="B10" i="41"/>
  <c r="I9" i="41"/>
  <c r="I8" i="41"/>
  <c r="I7" i="41"/>
  <c r="B7" i="41"/>
  <c r="I6" i="41"/>
  <c r="B6" i="41"/>
  <c r="I5" i="41"/>
  <c r="B5" i="41"/>
  <c r="I4" i="41"/>
  <c r="B4" i="41"/>
  <c r="I3" i="41"/>
  <c r="B3" i="41"/>
  <c r="I2" i="41"/>
  <c r="B2" i="41"/>
  <c r="C103" i="40" a="1"/>
  <c r="I101" i="40"/>
  <c r="B101" i="40"/>
  <c r="I100" i="40"/>
  <c r="B100" i="40"/>
  <c r="I99" i="40"/>
  <c r="B99" i="40"/>
  <c r="I98" i="40"/>
  <c r="B98" i="40"/>
  <c r="I97" i="40"/>
  <c r="B97" i="40"/>
  <c r="I96" i="40"/>
  <c r="B96" i="40"/>
  <c r="I95" i="40"/>
  <c r="B95" i="40"/>
  <c r="I94" i="40"/>
  <c r="B94" i="40"/>
  <c r="I93" i="40"/>
  <c r="B93" i="40"/>
  <c r="I92" i="40"/>
  <c r="B92" i="40"/>
  <c r="I91" i="40"/>
  <c r="B91" i="40"/>
  <c r="I90" i="40"/>
  <c r="B90" i="40"/>
  <c r="I89" i="40"/>
  <c r="B89" i="40"/>
  <c r="I88" i="40"/>
  <c r="B88" i="40"/>
  <c r="I87" i="40"/>
  <c r="B87" i="40"/>
  <c r="I86" i="40"/>
  <c r="B86" i="40"/>
  <c r="I85" i="40"/>
  <c r="B85" i="40"/>
  <c r="I84" i="40"/>
  <c r="B84" i="40"/>
  <c r="I83" i="40"/>
  <c r="B83" i="40"/>
  <c r="I82" i="40"/>
  <c r="B82" i="40"/>
  <c r="I81" i="40"/>
  <c r="B81" i="40"/>
  <c r="I80" i="40"/>
  <c r="B80" i="40"/>
  <c r="I79" i="40"/>
  <c r="B79" i="40"/>
  <c r="I78" i="40"/>
  <c r="B78" i="40"/>
  <c r="I77" i="40"/>
  <c r="B77" i="40"/>
  <c r="I76" i="40"/>
  <c r="B76" i="40"/>
  <c r="I75" i="40"/>
  <c r="B75" i="40"/>
  <c r="I74" i="40"/>
  <c r="B74" i="40"/>
  <c r="I73" i="40"/>
  <c r="B73" i="40"/>
  <c r="I72" i="40"/>
  <c r="B72" i="40"/>
  <c r="I71" i="40"/>
  <c r="B71" i="40"/>
  <c r="I70" i="40"/>
  <c r="B70" i="40"/>
  <c r="I69" i="40"/>
  <c r="B69" i="40"/>
  <c r="I68" i="40"/>
  <c r="B68" i="40"/>
  <c r="I67" i="40"/>
  <c r="B67" i="40"/>
  <c r="I66" i="40"/>
  <c r="B66" i="40"/>
  <c r="I65" i="40"/>
  <c r="B65" i="40"/>
  <c r="I64" i="40"/>
  <c r="B64" i="40"/>
  <c r="I63" i="40"/>
  <c r="B63" i="40"/>
  <c r="I62" i="40"/>
  <c r="B62" i="40"/>
  <c r="I61" i="40"/>
  <c r="B61" i="40"/>
  <c r="I60" i="40"/>
  <c r="B60" i="40"/>
  <c r="I59" i="40"/>
  <c r="B59" i="40"/>
  <c r="I58" i="40"/>
  <c r="B58" i="40"/>
  <c r="I57" i="40"/>
  <c r="B57" i="40"/>
  <c r="I56" i="40"/>
  <c r="B56" i="40"/>
  <c r="I55" i="40"/>
  <c r="B55" i="40"/>
  <c r="I54" i="40"/>
  <c r="B54" i="40"/>
  <c r="I53" i="40"/>
  <c r="B53" i="40"/>
  <c r="I52" i="40"/>
  <c r="B52" i="40"/>
  <c r="I51" i="40"/>
  <c r="B51" i="40"/>
  <c r="I50" i="40"/>
  <c r="B50" i="40"/>
  <c r="I49" i="40"/>
  <c r="B49" i="40"/>
  <c r="I48" i="40"/>
  <c r="B48" i="40"/>
  <c r="I47" i="40"/>
  <c r="B47" i="40"/>
  <c r="I46" i="40"/>
  <c r="B46" i="40"/>
  <c r="I45" i="40"/>
  <c r="B45" i="40"/>
  <c r="I44" i="40"/>
  <c r="B44" i="40"/>
  <c r="I43" i="40"/>
  <c r="B43" i="40"/>
  <c r="I42" i="40"/>
  <c r="B42" i="40"/>
  <c r="I41" i="40"/>
  <c r="B41" i="40"/>
  <c r="I40" i="40"/>
  <c r="B40" i="40"/>
  <c r="I39" i="40"/>
  <c r="B39" i="40"/>
  <c r="I38" i="40"/>
  <c r="B38" i="40"/>
  <c r="I37" i="40"/>
  <c r="B37" i="40"/>
  <c r="I36" i="40"/>
  <c r="B36" i="40"/>
  <c r="I35" i="40"/>
  <c r="B35" i="40"/>
  <c r="I34" i="40"/>
  <c r="B34" i="40"/>
  <c r="I33" i="40"/>
  <c r="B33" i="40"/>
  <c r="I32" i="40"/>
  <c r="B32" i="40"/>
  <c r="I31" i="40"/>
  <c r="B31" i="40"/>
  <c r="I30" i="40"/>
  <c r="I29" i="40"/>
  <c r="B29" i="40"/>
  <c r="I28" i="40"/>
  <c r="B28" i="40"/>
  <c r="I27" i="40"/>
  <c r="B27" i="40"/>
  <c r="I26" i="40"/>
  <c r="B26" i="40"/>
  <c r="I25" i="40"/>
  <c r="B25" i="40"/>
  <c r="I24" i="40"/>
  <c r="B24" i="40"/>
  <c r="I23" i="40"/>
  <c r="B23" i="40"/>
  <c r="I22" i="40"/>
  <c r="B22" i="40"/>
  <c r="I21" i="40"/>
  <c r="B21" i="40"/>
  <c r="I20" i="40"/>
  <c r="B20" i="40"/>
  <c r="I19" i="40"/>
  <c r="B19" i="40"/>
  <c r="I18" i="40"/>
  <c r="B18" i="40"/>
  <c r="I17" i="40"/>
  <c r="B17" i="40"/>
  <c r="I16" i="40"/>
  <c r="B16" i="40"/>
  <c r="I15" i="40"/>
  <c r="B15" i="40"/>
  <c r="I14" i="40"/>
  <c r="B14" i="40"/>
  <c r="I13" i="40"/>
  <c r="B13" i="40"/>
  <c r="I12" i="40"/>
  <c r="B12" i="40"/>
  <c r="I11" i="40"/>
  <c r="B11" i="40"/>
  <c r="I10" i="40"/>
  <c r="B10" i="40"/>
  <c r="I9" i="40"/>
  <c r="I8" i="40"/>
  <c r="B8" i="40"/>
  <c r="I7" i="40"/>
  <c r="B7" i="40"/>
  <c r="I6" i="40"/>
  <c r="B6" i="40"/>
  <c r="I5" i="40"/>
  <c r="B5" i="40"/>
  <c r="I4" i="40"/>
  <c r="B4" i="40"/>
  <c r="I3" i="40"/>
  <c r="B3" i="40"/>
  <c r="I2" i="40"/>
  <c r="B2" i="40"/>
  <c r="C103" i="39" a="1"/>
  <c r="I101" i="39"/>
  <c r="B101" i="39"/>
  <c r="I100" i="39"/>
  <c r="B100" i="39"/>
  <c r="I99" i="39"/>
  <c r="B99" i="39"/>
  <c r="I98" i="39"/>
  <c r="B98" i="39"/>
  <c r="I97" i="39"/>
  <c r="B97" i="39"/>
  <c r="I96" i="39"/>
  <c r="B96" i="39"/>
  <c r="I95" i="39"/>
  <c r="B95" i="39"/>
  <c r="I94" i="39"/>
  <c r="B94" i="39"/>
  <c r="I93" i="39"/>
  <c r="B93" i="39"/>
  <c r="I92" i="39"/>
  <c r="B92" i="39"/>
  <c r="I91" i="39"/>
  <c r="B91" i="39"/>
  <c r="I90" i="39"/>
  <c r="B90" i="39"/>
  <c r="I89" i="39"/>
  <c r="B89" i="39"/>
  <c r="I88" i="39"/>
  <c r="B88" i="39"/>
  <c r="I87" i="39"/>
  <c r="B87" i="39"/>
  <c r="I86" i="39"/>
  <c r="B86" i="39"/>
  <c r="I85" i="39"/>
  <c r="B85" i="39"/>
  <c r="I84" i="39"/>
  <c r="B84" i="39"/>
  <c r="I83" i="39"/>
  <c r="B83" i="39"/>
  <c r="I82" i="39"/>
  <c r="B82" i="39"/>
  <c r="I81" i="39"/>
  <c r="B81" i="39"/>
  <c r="I80" i="39"/>
  <c r="B80" i="39"/>
  <c r="I79" i="39"/>
  <c r="B79" i="39"/>
  <c r="I78" i="39"/>
  <c r="B78" i="39"/>
  <c r="I77" i="39"/>
  <c r="B77" i="39"/>
  <c r="I76" i="39"/>
  <c r="B76" i="39"/>
  <c r="I75" i="39"/>
  <c r="B75" i="39"/>
  <c r="I74" i="39"/>
  <c r="B74" i="39"/>
  <c r="I73" i="39"/>
  <c r="B73" i="39"/>
  <c r="I72" i="39"/>
  <c r="B72" i="39"/>
  <c r="I71" i="39"/>
  <c r="B71" i="39"/>
  <c r="I70" i="39"/>
  <c r="B70" i="39"/>
  <c r="I69" i="39"/>
  <c r="B69" i="39"/>
  <c r="I68" i="39"/>
  <c r="B68" i="39"/>
  <c r="I67" i="39"/>
  <c r="B67" i="39"/>
  <c r="I66" i="39"/>
  <c r="B66" i="39"/>
  <c r="I65" i="39"/>
  <c r="B65" i="39"/>
  <c r="I64" i="39"/>
  <c r="B64" i="39"/>
  <c r="I63" i="39"/>
  <c r="B63" i="39"/>
  <c r="I62" i="39"/>
  <c r="B62" i="39"/>
  <c r="I61" i="39"/>
  <c r="B61" i="39"/>
  <c r="I60" i="39"/>
  <c r="B60" i="39"/>
  <c r="I59" i="39"/>
  <c r="B59" i="39"/>
  <c r="I58" i="39"/>
  <c r="B58" i="39"/>
  <c r="I57" i="39"/>
  <c r="B57" i="39"/>
  <c r="I56" i="39"/>
  <c r="B56" i="39"/>
  <c r="I55" i="39"/>
  <c r="B55" i="39"/>
  <c r="I54" i="39"/>
  <c r="B54" i="39"/>
  <c r="I53" i="39"/>
  <c r="B53" i="39"/>
  <c r="I52" i="39"/>
  <c r="B52" i="39"/>
  <c r="I51" i="39"/>
  <c r="B51" i="39"/>
  <c r="I50" i="39"/>
  <c r="B50" i="39"/>
  <c r="I49" i="39"/>
  <c r="B49" i="39"/>
  <c r="I48" i="39"/>
  <c r="B48" i="39"/>
  <c r="I47" i="39"/>
  <c r="B47" i="39"/>
  <c r="I46" i="39"/>
  <c r="B46" i="39"/>
  <c r="I45" i="39"/>
  <c r="B45" i="39"/>
  <c r="I44" i="39"/>
  <c r="B44" i="39"/>
  <c r="I43" i="39"/>
  <c r="B43" i="39"/>
  <c r="I42" i="39"/>
  <c r="B42" i="39"/>
  <c r="I41" i="39"/>
  <c r="B41" i="39"/>
  <c r="I40" i="39"/>
  <c r="B40" i="39"/>
  <c r="I39" i="39"/>
  <c r="B39" i="39"/>
  <c r="I38" i="39"/>
  <c r="B38" i="39"/>
  <c r="I37" i="39"/>
  <c r="B37" i="39"/>
  <c r="I36" i="39"/>
  <c r="B36" i="39"/>
  <c r="I35" i="39"/>
  <c r="B35" i="39"/>
  <c r="I34" i="39"/>
  <c r="B34" i="39"/>
  <c r="I33" i="39"/>
  <c r="B33" i="39"/>
  <c r="I32" i="39"/>
  <c r="B32" i="39"/>
  <c r="I31" i="39"/>
  <c r="B31" i="39"/>
  <c r="I30" i="39"/>
  <c r="B30" i="39"/>
  <c r="I29" i="39"/>
  <c r="B29" i="39"/>
  <c r="I28" i="39"/>
  <c r="B28" i="39"/>
  <c r="I27" i="39"/>
  <c r="B27" i="39"/>
  <c r="I26" i="39"/>
  <c r="B26" i="39"/>
  <c r="I25" i="39"/>
  <c r="B25" i="39"/>
  <c r="I24" i="39"/>
  <c r="B24" i="39"/>
  <c r="I23" i="39"/>
  <c r="B23" i="39"/>
  <c r="I22" i="39"/>
  <c r="B22" i="39"/>
  <c r="I21" i="39"/>
  <c r="B21" i="39"/>
  <c r="I20" i="39"/>
  <c r="B20" i="39"/>
  <c r="I19" i="39"/>
  <c r="B19" i="39"/>
  <c r="I18" i="39"/>
  <c r="B18" i="39"/>
  <c r="I17" i="39"/>
  <c r="B17" i="39"/>
  <c r="I16" i="39"/>
  <c r="B16" i="39"/>
  <c r="I15" i="39"/>
  <c r="B15" i="39"/>
  <c r="I14" i="39"/>
  <c r="B14" i="39"/>
  <c r="I13" i="39"/>
  <c r="B13" i="39"/>
  <c r="I12" i="39"/>
  <c r="B12" i="39"/>
  <c r="I11" i="39"/>
  <c r="B11" i="39"/>
  <c r="I10" i="39"/>
  <c r="B10" i="39"/>
  <c r="I9" i="39"/>
  <c r="B9" i="39"/>
  <c r="I8" i="39"/>
  <c r="B8" i="39"/>
  <c r="I7" i="39"/>
  <c r="B7" i="39"/>
  <c r="I6" i="39"/>
  <c r="B6" i="39"/>
  <c r="I5" i="39"/>
  <c r="B5" i="39"/>
  <c r="I4" i="39"/>
  <c r="B4" i="39"/>
  <c r="I3" i="39"/>
  <c r="B3" i="39"/>
  <c r="I2" i="39"/>
  <c r="B2" i="39"/>
  <c r="D103" i="38" a="1"/>
  <c r="J101" i="38"/>
  <c r="B101" i="38"/>
  <c r="J100" i="38"/>
  <c r="B100" i="38"/>
  <c r="J99" i="38"/>
  <c r="B99" i="38"/>
  <c r="J98" i="38"/>
  <c r="B98" i="38"/>
  <c r="J97" i="38"/>
  <c r="B97" i="38"/>
  <c r="J96" i="38"/>
  <c r="B96" i="38"/>
  <c r="J95" i="38"/>
  <c r="B95" i="38"/>
  <c r="J94" i="38"/>
  <c r="B94" i="38"/>
  <c r="J93" i="38"/>
  <c r="B93" i="38"/>
  <c r="J92" i="38"/>
  <c r="B92" i="38"/>
  <c r="J91" i="38"/>
  <c r="B91" i="38"/>
  <c r="J90" i="38"/>
  <c r="B90" i="38"/>
  <c r="J89" i="38"/>
  <c r="B89" i="38"/>
  <c r="J88" i="38"/>
  <c r="B88" i="38"/>
  <c r="J87" i="38"/>
  <c r="B87" i="38"/>
  <c r="J86" i="38"/>
  <c r="B86" i="38"/>
  <c r="J85" i="38"/>
  <c r="B85" i="38"/>
  <c r="J84" i="38"/>
  <c r="B84" i="38"/>
  <c r="J83" i="38"/>
  <c r="B83" i="38"/>
  <c r="J82" i="38"/>
  <c r="B82" i="38"/>
  <c r="J81" i="38"/>
  <c r="B81" i="38"/>
  <c r="J80" i="38"/>
  <c r="B80" i="38"/>
  <c r="J79" i="38"/>
  <c r="B79" i="38"/>
  <c r="J78" i="38"/>
  <c r="B78" i="38"/>
  <c r="J77" i="38"/>
  <c r="B77" i="38"/>
  <c r="J76" i="38"/>
  <c r="B76" i="38"/>
  <c r="J75" i="38"/>
  <c r="B75" i="38"/>
  <c r="J74" i="38"/>
  <c r="B74" i="38"/>
  <c r="J73" i="38"/>
  <c r="B73" i="38"/>
  <c r="J72" i="38"/>
  <c r="B72" i="38"/>
  <c r="J71" i="38"/>
  <c r="B71" i="38"/>
  <c r="J70" i="38"/>
  <c r="B70" i="38"/>
  <c r="J69" i="38"/>
  <c r="B69" i="38"/>
  <c r="J68" i="38"/>
  <c r="B68" i="38"/>
  <c r="J67" i="38"/>
  <c r="B67" i="38"/>
  <c r="J66" i="38"/>
  <c r="B66" i="38"/>
  <c r="J65" i="38"/>
  <c r="B65" i="38"/>
  <c r="J64" i="38"/>
  <c r="B64" i="38"/>
  <c r="J63" i="38"/>
  <c r="B63" i="38"/>
  <c r="J62" i="38"/>
  <c r="B62" i="38"/>
  <c r="J61" i="38"/>
  <c r="J60" i="38"/>
  <c r="J59" i="38"/>
  <c r="J58" i="38"/>
  <c r="J57" i="38"/>
  <c r="J56" i="38"/>
  <c r="J55" i="38"/>
  <c r="J54" i="38"/>
  <c r="J53" i="38"/>
  <c r="J52" i="38"/>
  <c r="J51" i="38"/>
  <c r="J50" i="38"/>
  <c r="J49" i="38"/>
  <c r="J48" i="38"/>
  <c r="J47" i="38"/>
  <c r="J46" i="38"/>
  <c r="J45" i="38"/>
  <c r="J44" i="38"/>
  <c r="J43" i="38"/>
  <c r="J17" i="38"/>
  <c r="J24" i="38"/>
  <c r="J7" i="38"/>
  <c r="J36" i="38"/>
  <c r="J32" i="38"/>
  <c r="J6" i="38"/>
  <c r="J27" i="38"/>
  <c r="J23" i="38"/>
  <c r="J22" i="38"/>
  <c r="J42" i="38"/>
  <c r="J26" i="38"/>
  <c r="J28" i="38"/>
  <c r="J37" i="38"/>
  <c r="J33" i="38"/>
  <c r="J25" i="38"/>
  <c r="J38" i="38"/>
  <c r="J5" i="38"/>
  <c r="J31" i="38"/>
  <c r="J39" i="38"/>
  <c r="J34" i="38"/>
  <c r="J35" i="38"/>
  <c r="J29" i="38"/>
  <c r="J40" i="38"/>
  <c r="J30" i="38"/>
  <c r="J4" i="38"/>
  <c r="J21" i="38"/>
  <c r="J41" i="38"/>
  <c r="J18" i="38"/>
  <c r="J20" i="38"/>
  <c r="J19" i="38"/>
  <c r="J12" i="38"/>
  <c r="J10" i="38"/>
  <c r="J9" i="38"/>
  <c r="J16" i="38"/>
  <c r="J14" i="38"/>
  <c r="J13" i="38"/>
  <c r="J11" i="38"/>
  <c r="J8" i="38"/>
  <c r="J15" i="38"/>
  <c r="J3" i="38"/>
  <c r="J2" i="38"/>
  <c r="C103" i="37" a="1"/>
  <c r="I101" i="37"/>
  <c r="B101" i="37"/>
  <c r="I100" i="37"/>
  <c r="B100" i="37"/>
  <c r="I99" i="37"/>
  <c r="B99" i="37"/>
  <c r="I98" i="37"/>
  <c r="B98" i="37"/>
  <c r="I97" i="37"/>
  <c r="B97" i="37"/>
  <c r="I96" i="37"/>
  <c r="B96" i="37"/>
  <c r="I95" i="37"/>
  <c r="B95" i="37"/>
  <c r="I94" i="37"/>
  <c r="B94" i="37"/>
  <c r="I93" i="37"/>
  <c r="B93" i="37"/>
  <c r="I92" i="37"/>
  <c r="B92" i="37"/>
  <c r="I91" i="37"/>
  <c r="B91" i="37"/>
  <c r="I90" i="37"/>
  <c r="B90" i="37"/>
  <c r="I89" i="37"/>
  <c r="B89" i="37"/>
  <c r="I88" i="37"/>
  <c r="B88" i="37"/>
  <c r="I87" i="37"/>
  <c r="B87" i="37"/>
  <c r="I86" i="37"/>
  <c r="B86" i="37"/>
  <c r="I85" i="37"/>
  <c r="B85" i="37"/>
  <c r="I84" i="37"/>
  <c r="B84" i="37"/>
  <c r="I83" i="37"/>
  <c r="B83" i="37"/>
  <c r="I82" i="37"/>
  <c r="B82" i="37"/>
  <c r="I81" i="37"/>
  <c r="B81" i="37"/>
  <c r="I80" i="37"/>
  <c r="B80" i="37"/>
  <c r="I79" i="37"/>
  <c r="B79" i="37"/>
  <c r="I78" i="37"/>
  <c r="B78" i="37"/>
  <c r="I77" i="37"/>
  <c r="B77" i="37"/>
  <c r="I76" i="37"/>
  <c r="B76" i="37"/>
  <c r="I75" i="37"/>
  <c r="B75" i="37"/>
  <c r="I74" i="37"/>
  <c r="B74" i="37"/>
  <c r="I73" i="37"/>
  <c r="B73" i="37"/>
  <c r="I72" i="37"/>
  <c r="B72" i="37"/>
  <c r="I71" i="37"/>
  <c r="B71" i="37"/>
  <c r="I70" i="37"/>
  <c r="B70" i="37"/>
  <c r="I69" i="37"/>
  <c r="B69" i="37"/>
  <c r="I68" i="37"/>
  <c r="B68" i="37"/>
  <c r="I67" i="37"/>
  <c r="B67" i="37"/>
  <c r="I66" i="37"/>
  <c r="B66" i="37"/>
  <c r="I65" i="37"/>
  <c r="B65" i="37"/>
  <c r="I64" i="37"/>
  <c r="B64" i="37"/>
  <c r="I63" i="37"/>
  <c r="B63" i="37"/>
  <c r="I62" i="37"/>
  <c r="B62" i="37"/>
  <c r="I61" i="37"/>
  <c r="B61" i="37"/>
  <c r="I60" i="37"/>
  <c r="B60" i="37"/>
  <c r="I59" i="37"/>
  <c r="B59" i="37"/>
  <c r="I58" i="37"/>
  <c r="B58" i="37"/>
  <c r="I57" i="37"/>
  <c r="B57" i="37"/>
  <c r="I56" i="37"/>
  <c r="B56" i="37"/>
  <c r="I55" i="37"/>
  <c r="B55" i="37"/>
  <c r="I54" i="37"/>
  <c r="B54" i="37"/>
  <c r="I53" i="37"/>
  <c r="B53" i="37"/>
  <c r="I52" i="37"/>
  <c r="B52" i="37"/>
  <c r="I51" i="37"/>
  <c r="B51" i="37"/>
  <c r="I50" i="37"/>
  <c r="B50" i="37"/>
  <c r="I49" i="37"/>
  <c r="B49" i="37"/>
  <c r="I48" i="37"/>
  <c r="B48" i="37"/>
  <c r="I47" i="37"/>
  <c r="B47" i="37"/>
  <c r="I46" i="37"/>
  <c r="B46" i="37"/>
  <c r="I45" i="37"/>
  <c r="B45" i="37"/>
  <c r="I44" i="37"/>
  <c r="B44" i="37"/>
  <c r="I43" i="37"/>
  <c r="B43" i="37"/>
  <c r="I42" i="37"/>
  <c r="B42" i="37"/>
  <c r="I41" i="37"/>
  <c r="B41" i="37"/>
  <c r="I40" i="37"/>
  <c r="B40" i="37"/>
  <c r="I39" i="37"/>
  <c r="B39" i="37"/>
  <c r="I38" i="37"/>
  <c r="B38" i="37"/>
  <c r="I37" i="37"/>
  <c r="B37" i="37"/>
  <c r="I36" i="37"/>
  <c r="B36" i="37"/>
  <c r="I35" i="37"/>
  <c r="B35" i="37"/>
  <c r="I34" i="37"/>
  <c r="B34" i="37"/>
  <c r="I33" i="37"/>
  <c r="B33" i="37"/>
  <c r="I32" i="37"/>
  <c r="B32" i="37"/>
  <c r="I31" i="37"/>
  <c r="B31" i="37"/>
  <c r="I30" i="37"/>
  <c r="I29" i="37"/>
  <c r="I28" i="37"/>
  <c r="I27" i="37"/>
  <c r="I26" i="37"/>
  <c r="I25" i="37"/>
  <c r="I24" i="37"/>
  <c r="I23" i="37"/>
  <c r="I22" i="37"/>
  <c r="I21" i="37"/>
  <c r="I20" i="37"/>
  <c r="I19" i="37"/>
  <c r="I18" i="37"/>
  <c r="I17" i="37"/>
  <c r="I16" i="37"/>
  <c r="I15" i="37"/>
  <c r="I14" i="37"/>
  <c r="I13" i="37"/>
  <c r="I12" i="37"/>
  <c r="I11" i="37"/>
  <c r="I10" i="37"/>
  <c r="I9" i="37"/>
  <c r="I8" i="37"/>
  <c r="I7" i="37"/>
  <c r="I6" i="37"/>
  <c r="I5" i="37"/>
  <c r="I4" i="37"/>
  <c r="I3" i="37"/>
  <c r="I2" i="37"/>
  <c r="D103" i="36" a="1"/>
  <c r="J101" i="36"/>
  <c r="B101" i="36"/>
  <c r="J100" i="36"/>
  <c r="B100" i="36"/>
  <c r="J99" i="36"/>
  <c r="B99" i="36"/>
  <c r="J98" i="36"/>
  <c r="B98" i="36"/>
  <c r="J97" i="36"/>
  <c r="B97" i="36"/>
  <c r="J96" i="36"/>
  <c r="B96" i="36"/>
  <c r="J95" i="36"/>
  <c r="B95" i="36"/>
  <c r="J94" i="36"/>
  <c r="B94" i="36"/>
  <c r="J93" i="36"/>
  <c r="B93" i="36"/>
  <c r="J92" i="36"/>
  <c r="B92" i="36"/>
  <c r="J91" i="36"/>
  <c r="B91" i="36"/>
  <c r="J90" i="36"/>
  <c r="B90" i="36"/>
  <c r="J89" i="36"/>
  <c r="B89" i="36"/>
  <c r="J88" i="36"/>
  <c r="B88" i="36"/>
  <c r="J87" i="36"/>
  <c r="B87" i="36"/>
  <c r="J86" i="36"/>
  <c r="B86" i="36"/>
  <c r="J85" i="36"/>
  <c r="B85" i="36"/>
  <c r="J84" i="36"/>
  <c r="B84" i="36"/>
  <c r="J83" i="36"/>
  <c r="B83" i="36"/>
  <c r="J82" i="36"/>
  <c r="B82" i="36"/>
  <c r="J81" i="36"/>
  <c r="B81" i="36"/>
  <c r="J80" i="36"/>
  <c r="B80" i="36"/>
  <c r="J79" i="36"/>
  <c r="B79" i="36"/>
  <c r="J78" i="36"/>
  <c r="B78" i="36"/>
  <c r="J77" i="36"/>
  <c r="B77" i="36"/>
  <c r="J76" i="36"/>
  <c r="B76" i="36"/>
  <c r="J75" i="36"/>
  <c r="B75" i="36"/>
  <c r="J74" i="36"/>
  <c r="B74" i="36"/>
  <c r="J73" i="36"/>
  <c r="B73" i="36"/>
  <c r="J72" i="36"/>
  <c r="B72" i="36"/>
  <c r="J71" i="36"/>
  <c r="B71" i="36"/>
  <c r="J70" i="36"/>
  <c r="B70" i="36"/>
  <c r="J69" i="36"/>
  <c r="B69" i="36"/>
  <c r="J68" i="36"/>
  <c r="B68" i="36"/>
  <c r="J67" i="36"/>
  <c r="B67" i="36"/>
  <c r="J66" i="36"/>
  <c r="B66" i="36"/>
  <c r="J65" i="36"/>
  <c r="B65" i="36"/>
  <c r="J64" i="36"/>
  <c r="B64" i="36"/>
  <c r="J63" i="36"/>
  <c r="B63" i="36"/>
  <c r="J62" i="36"/>
  <c r="B62" i="36"/>
  <c r="J61" i="36"/>
  <c r="B61" i="36"/>
  <c r="J60" i="36"/>
  <c r="B60" i="36"/>
  <c r="J59" i="36"/>
  <c r="B59" i="36"/>
  <c r="J58" i="36"/>
  <c r="B58" i="36"/>
  <c r="J57" i="36"/>
  <c r="B57" i="36"/>
  <c r="J56" i="36"/>
  <c r="B56" i="36"/>
  <c r="J55" i="36"/>
  <c r="B55" i="36"/>
  <c r="J54" i="36"/>
  <c r="B54" i="36"/>
  <c r="J53" i="36"/>
  <c r="J52" i="36"/>
  <c r="J47" i="36"/>
  <c r="J41" i="36"/>
  <c r="J38" i="36"/>
  <c r="J37" i="36"/>
  <c r="J36" i="36"/>
  <c r="J35" i="36"/>
  <c r="J34" i="36"/>
  <c r="J33" i="36"/>
  <c r="J32" i="36"/>
  <c r="J40" i="36"/>
  <c r="J50" i="36"/>
  <c r="J51" i="36"/>
  <c r="J46" i="36"/>
  <c r="J39" i="36"/>
  <c r="J44" i="36"/>
  <c r="J49" i="36"/>
  <c r="J48" i="36"/>
  <c r="J43" i="36"/>
  <c r="J45" i="36"/>
  <c r="J12" i="36"/>
  <c r="J42" i="36"/>
  <c r="J2" i="36"/>
  <c r="D103" i="35" a="1"/>
  <c r="J101" i="35"/>
  <c r="B101" i="35"/>
  <c r="J100" i="35"/>
  <c r="B100" i="35"/>
  <c r="J99" i="35"/>
  <c r="B99" i="35"/>
  <c r="J98" i="35"/>
  <c r="B98" i="35"/>
  <c r="J97" i="35"/>
  <c r="B97" i="35"/>
  <c r="J96" i="35"/>
  <c r="B96" i="35"/>
  <c r="J95" i="35"/>
  <c r="B95" i="35"/>
  <c r="J94" i="35"/>
  <c r="B94" i="35"/>
  <c r="J93" i="35"/>
  <c r="B93" i="35"/>
  <c r="J92" i="35"/>
  <c r="B92" i="35"/>
  <c r="J91" i="35"/>
  <c r="B91" i="35"/>
  <c r="J90" i="35"/>
  <c r="B90" i="35"/>
  <c r="J89" i="35"/>
  <c r="B89" i="35"/>
  <c r="J88" i="35"/>
  <c r="B88" i="35"/>
  <c r="J87" i="35"/>
  <c r="B87" i="35"/>
  <c r="J86" i="35"/>
  <c r="B86" i="35"/>
  <c r="J85" i="35"/>
  <c r="B85" i="35"/>
  <c r="J84" i="35"/>
  <c r="B84" i="35"/>
  <c r="J83" i="35"/>
  <c r="B83" i="35"/>
  <c r="J82" i="35"/>
  <c r="B82" i="35"/>
  <c r="J81" i="35"/>
  <c r="B81" i="35"/>
  <c r="J80" i="35"/>
  <c r="B80" i="35"/>
  <c r="J79" i="35"/>
  <c r="B79" i="35"/>
  <c r="J78" i="35"/>
  <c r="B78" i="35"/>
  <c r="J77" i="35"/>
  <c r="B77" i="35"/>
  <c r="J76" i="35"/>
  <c r="B76" i="35"/>
  <c r="J75" i="35"/>
  <c r="B75" i="35"/>
  <c r="J74" i="35"/>
  <c r="B74" i="35"/>
  <c r="J73" i="35"/>
  <c r="B73" i="35"/>
  <c r="J72" i="35"/>
  <c r="B72" i="35"/>
  <c r="J71" i="35"/>
  <c r="B71" i="35"/>
  <c r="J70" i="35"/>
  <c r="B70" i="35"/>
  <c r="J69" i="35"/>
  <c r="B69" i="35"/>
  <c r="J68" i="35"/>
  <c r="B68" i="35"/>
  <c r="J67" i="35"/>
  <c r="B67" i="35"/>
  <c r="J66" i="35"/>
  <c r="B66" i="35"/>
  <c r="J65" i="35"/>
  <c r="B65" i="35"/>
  <c r="J64" i="35"/>
  <c r="B64" i="35"/>
  <c r="J63" i="35"/>
  <c r="B63" i="35"/>
  <c r="J62" i="35"/>
  <c r="B62" i="35"/>
  <c r="J61" i="35"/>
  <c r="B61" i="35"/>
  <c r="J60" i="35"/>
  <c r="B60" i="35"/>
  <c r="J59" i="35"/>
  <c r="B59" i="35"/>
  <c r="J58" i="35"/>
  <c r="B58" i="35"/>
  <c r="J57" i="35"/>
  <c r="B57" i="35"/>
  <c r="J56" i="35"/>
  <c r="B56" i="35"/>
  <c r="J55" i="35"/>
  <c r="B55" i="35"/>
  <c r="J54" i="35"/>
  <c r="B54" i="35"/>
  <c r="J53" i="35"/>
  <c r="B53" i="35"/>
  <c r="J52" i="35"/>
  <c r="B52" i="35"/>
  <c r="J51" i="35"/>
  <c r="B51" i="35"/>
  <c r="J50" i="35"/>
  <c r="B50" i="35"/>
  <c r="J49" i="35"/>
  <c r="B49" i="35"/>
  <c r="J48" i="35"/>
  <c r="B48" i="35"/>
  <c r="J47" i="35"/>
  <c r="B47" i="35"/>
  <c r="J46" i="35"/>
  <c r="B46" i="35"/>
  <c r="J45" i="35"/>
  <c r="B45" i="35"/>
  <c r="J44" i="35"/>
  <c r="B44" i="35"/>
  <c r="J43" i="35"/>
  <c r="B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J17" i="35"/>
  <c r="J16" i="35"/>
  <c r="J15" i="35"/>
  <c r="J14" i="35"/>
  <c r="J13" i="35"/>
  <c r="J12" i="35"/>
  <c r="J11" i="35"/>
  <c r="J10" i="35"/>
  <c r="J9" i="35"/>
  <c r="J8" i="35"/>
  <c r="J7" i="35"/>
  <c r="J6" i="35"/>
  <c r="J5" i="35"/>
  <c r="J4" i="35"/>
  <c r="J3" i="35"/>
  <c r="J2" i="35"/>
  <c r="C103" i="34" a="1"/>
  <c r="I101" i="34"/>
  <c r="B101" i="34"/>
  <c r="I100" i="34"/>
  <c r="B100" i="34"/>
  <c r="I99" i="34"/>
  <c r="B99" i="34"/>
  <c r="I98" i="34"/>
  <c r="B98" i="34"/>
  <c r="I97" i="34"/>
  <c r="B97" i="34"/>
  <c r="I96" i="34"/>
  <c r="B96" i="34"/>
  <c r="I95" i="34"/>
  <c r="B95" i="34"/>
  <c r="I94" i="34"/>
  <c r="B94" i="34"/>
  <c r="I93" i="34"/>
  <c r="B93" i="34"/>
  <c r="I92" i="34"/>
  <c r="B92" i="34"/>
  <c r="I91" i="34"/>
  <c r="B91" i="34"/>
  <c r="I90" i="34"/>
  <c r="B90" i="34"/>
  <c r="I89" i="34"/>
  <c r="B89" i="34"/>
  <c r="I88" i="34"/>
  <c r="B88" i="34"/>
  <c r="I87" i="34"/>
  <c r="B87" i="34"/>
  <c r="I86" i="34"/>
  <c r="B86" i="34"/>
  <c r="I85" i="34"/>
  <c r="B85" i="34"/>
  <c r="I84" i="34"/>
  <c r="B84" i="34"/>
  <c r="I83" i="34"/>
  <c r="B83" i="34"/>
  <c r="I82" i="34"/>
  <c r="B82" i="34"/>
  <c r="I81" i="34"/>
  <c r="B81" i="34"/>
  <c r="I80" i="34"/>
  <c r="B80" i="34"/>
  <c r="I79" i="34"/>
  <c r="B79" i="34"/>
  <c r="I78" i="34"/>
  <c r="B78" i="34"/>
  <c r="I77" i="34"/>
  <c r="B77" i="34"/>
  <c r="I76" i="34"/>
  <c r="B76" i="34"/>
  <c r="I75" i="34"/>
  <c r="B75" i="34"/>
  <c r="I74" i="34"/>
  <c r="B74" i="34"/>
  <c r="I73" i="34"/>
  <c r="B73" i="34"/>
  <c r="I72" i="34"/>
  <c r="B72" i="34"/>
  <c r="I71" i="34"/>
  <c r="B71" i="34"/>
  <c r="I70" i="34"/>
  <c r="B70" i="34"/>
  <c r="I69" i="34"/>
  <c r="B69" i="34"/>
  <c r="I68" i="34"/>
  <c r="B68" i="34"/>
  <c r="I67" i="34"/>
  <c r="B67" i="34"/>
  <c r="I66" i="34"/>
  <c r="B66" i="34"/>
  <c r="I65" i="34"/>
  <c r="B65" i="34"/>
  <c r="I64" i="34"/>
  <c r="B64" i="34"/>
  <c r="I63" i="34"/>
  <c r="B63" i="34"/>
  <c r="I62" i="34"/>
  <c r="B62" i="34"/>
  <c r="I61" i="34"/>
  <c r="B61" i="34"/>
  <c r="I60" i="34"/>
  <c r="B60" i="34"/>
  <c r="I59" i="34"/>
  <c r="B59" i="34"/>
  <c r="I58" i="34"/>
  <c r="B58" i="34"/>
  <c r="I57" i="34"/>
  <c r="B57" i="34"/>
  <c r="I56" i="34"/>
  <c r="B56" i="34"/>
  <c r="I55" i="34"/>
  <c r="B55" i="34"/>
  <c r="I54" i="34"/>
  <c r="B54" i="34"/>
  <c r="I53" i="34"/>
  <c r="B53" i="34"/>
  <c r="I52" i="34"/>
  <c r="B52" i="34"/>
  <c r="I51" i="34"/>
  <c r="B51" i="34"/>
  <c r="I50" i="34"/>
  <c r="B50" i="34"/>
  <c r="I49" i="34"/>
  <c r="B49" i="34"/>
  <c r="I48" i="34"/>
  <c r="B48" i="34"/>
  <c r="I47" i="34"/>
  <c r="B47" i="34"/>
  <c r="I46" i="34"/>
  <c r="B46" i="34"/>
  <c r="I20" i="34"/>
  <c r="I14" i="34"/>
  <c r="I9" i="34"/>
  <c r="I37" i="34"/>
  <c r="I8" i="34"/>
  <c r="I10" i="34"/>
  <c r="I7" i="34"/>
  <c r="I34" i="34"/>
  <c r="I23" i="34"/>
  <c r="I29" i="34"/>
  <c r="I31" i="34"/>
  <c r="I36" i="34"/>
  <c r="I43" i="34"/>
  <c r="I22" i="34"/>
  <c r="I42" i="34"/>
  <c r="I21" i="34"/>
  <c r="I18" i="34"/>
  <c r="I11" i="34"/>
  <c r="I39" i="34"/>
  <c r="I6" i="34"/>
  <c r="I12" i="34"/>
  <c r="I25" i="34"/>
  <c r="I24" i="34"/>
  <c r="I17" i="34"/>
  <c r="I38" i="34"/>
  <c r="I13" i="34"/>
  <c r="I32" i="34"/>
  <c r="I15" i="34"/>
  <c r="I45" i="34"/>
  <c r="B45" i="34"/>
  <c r="I3" i="34"/>
  <c r="I5" i="34"/>
  <c r="I2" i="34"/>
  <c r="I16" i="34"/>
  <c r="I19" i="34"/>
  <c r="I44" i="34"/>
  <c r="I41" i="34"/>
  <c r="I30" i="34"/>
  <c r="I28" i="34"/>
  <c r="I26" i="34"/>
  <c r="I33" i="34"/>
  <c r="I4" i="34"/>
  <c r="I40" i="34"/>
  <c r="I35" i="34"/>
  <c r="I27" i="34"/>
  <c r="C103" i="33" a="1"/>
  <c r="I101" i="33"/>
  <c r="B101" i="33"/>
  <c r="I100" i="33"/>
  <c r="B100" i="33"/>
  <c r="I99" i="33"/>
  <c r="B99" i="33"/>
  <c r="I98" i="33"/>
  <c r="B98" i="33"/>
  <c r="I97" i="33"/>
  <c r="B97" i="33"/>
  <c r="I96" i="33"/>
  <c r="B96" i="33"/>
  <c r="I95" i="33"/>
  <c r="B95" i="33"/>
  <c r="I94" i="33"/>
  <c r="B94" i="33"/>
  <c r="I93" i="33"/>
  <c r="B93" i="33"/>
  <c r="I92" i="33"/>
  <c r="B92" i="33"/>
  <c r="I91" i="33"/>
  <c r="B91" i="33"/>
  <c r="I90" i="33"/>
  <c r="B90" i="33"/>
  <c r="I89" i="33"/>
  <c r="B89" i="33"/>
  <c r="I88" i="33"/>
  <c r="B88" i="33"/>
  <c r="I87" i="33"/>
  <c r="B87" i="33"/>
  <c r="I86" i="33"/>
  <c r="B86" i="33"/>
  <c r="I85" i="33"/>
  <c r="B85" i="33"/>
  <c r="I84" i="33"/>
  <c r="B84" i="33"/>
  <c r="I83" i="33"/>
  <c r="B83" i="33"/>
  <c r="I82" i="33"/>
  <c r="B82" i="33"/>
  <c r="I81" i="33"/>
  <c r="B81" i="33"/>
  <c r="I80" i="33"/>
  <c r="B80" i="33"/>
  <c r="I79" i="33"/>
  <c r="B79" i="33"/>
  <c r="I78" i="33"/>
  <c r="B78" i="33"/>
  <c r="I77" i="33"/>
  <c r="B77" i="33"/>
  <c r="I76" i="33"/>
  <c r="B76" i="33"/>
  <c r="I75" i="33"/>
  <c r="B75" i="33"/>
  <c r="I74" i="33"/>
  <c r="B74" i="33"/>
  <c r="I73" i="33"/>
  <c r="B73" i="33"/>
  <c r="I72" i="33"/>
  <c r="B72" i="33"/>
  <c r="I71" i="33"/>
  <c r="B71" i="33"/>
  <c r="I70" i="33"/>
  <c r="B70" i="33"/>
  <c r="I69" i="33"/>
  <c r="B69" i="33"/>
  <c r="I68" i="33"/>
  <c r="B68" i="33"/>
  <c r="I67" i="33"/>
  <c r="B67" i="33"/>
  <c r="I66" i="33"/>
  <c r="B66" i="33"/>
  <c r="I65" i="33"/>
  <c r="B65" i="33"/>
  <c r="I64" i="33"/>
  <c r="B64" i="33"/>
  <c r="I63" i="33"/>
  <c r="B63" i="33"/>
  <c r="I62" i="33"/>
  <c r="B62" i="33"/>
  <c r="I61" i="33"/>
  <c r="B61" i="33"/>
  <c r="I60" i="33"/>
  <c r="B60" i="33"/>
  <c r="I59" i="33"/>
  <c r="B59" i="33"/>
  <c r="I58" i="33"/>
  <c r="B58" i="33"/>
  <c r="I57" i="33"/>
  <c r="B57" i="33"/>
  <c r="I56" i="33"/>
  <c r="B56" i="33"/>
  <c r="I55" i="33"/>
  <c r="B55" i="33"/>
  <c r="I54" i="33"/>
  <c r="B54" i="33"/>
  <c r="I53" i="33"/>
  <c r="B53" i="33"/>
  <c r="I52" i="33"/>
  <c r="B52" i="33"/>
  <c r="I51" i="33"/>
  <c r="B51" i="33"/>
  <c r="I50" i="33"/>
  <c r="B50" i="33"/>
  <c r="I49" i="33"/>
  <c r="B49" i="33"/>
  <c r="I48" i="33"/>
  <c r="B48" i="33"/>
  <c r="I47" i="33"/>
  <c r="B47" i="33"/>
  <c r="I46" i="33"/>
  <c r="B46" i="33"/>
  <c r="I45" i="33"/>
  <c r="B45" i="33"/>
  <c r="I44" i="33"/>
  <c r="B44" i="33"/>
  <c r="I43" i="33"/>
  <c r="B43" i="33"/>
  <c r="I42" i="33"/>
  <c r="B42" i="33"/>
  <c r="I41" i="33"/>
  <c r="B41" i="33"/>
  <c r="I40" i="33"/>
  <c r="B40" i="33"/>
  <c r="I39" i="33"/>
  <c r="B39" i="33"/>
  <c r="I38" i="33"/>
  <c r="B38" i="33"/>
  <c r="I37" i="33"/>
  <c r="B37" i="33"/>
  <c r="I36" i="33"/>
  <c r="B36" i="33"/>
  <c r="I35" i="33"/>
  <c r="B35" i="33"/>
  <c r="I34" i="33"/>
  <c r="B34" i="33"/>
  <c r="I20" i="33"/>
  <c r="I6" i="33"/>
  <c r="I3" i="33"/>
  <c r="I12" i="33"/>
  <c r="I33" i="33"/>
  <c r="I21" i="33"/>
  <c r="I19" i="33"/>
  <c r="I24" i="33"/>
  <c r="I18" i="33"/>
  <c r="I2" i="33"/>
  <c r="I28" i="33"/>
  <c r="I25" i="33"/>
  <c r="I32" i="33"/>
  <c r="I17" i="33"/>
  <c r="I5" i="33"/>
  <c r="I9" i="33"/>
  <c r="I30" i="33"/>
  <c r="I29" i="33"/>
  <c r="I16" i="33"/>
  <c r="I22" i="33"/>
  <c r="I13" i="33"/>
  <c r="I8" i="33"/>
  <c r="I11" i="33"/>
  <c r="I15" i="33"/>
  <c r="I26" i="33"/>
  <c r="I27" i="33"/>
  <c r="I7" i="33"/>
  <c r="I10" i="33"/>
  <c r="I31" i="33"/>
  <c r="I23" i="33"/>
  <c r="I14" i="33"/>
  <c r="I4" i="33"/>
  <c r="C103" i="32" a="1"/>
  <c r="I101" i="32"/>
  <c r="B101" i="32"/>
  <c r="I100" i="32"/>
  <c r="B100" i="32"/>
  <c r="I99" i="32"/>
  <c r="B99" i="32"/>
  <c r="I98" i="32"/>
  <c r="B98" i="32"/>
  <c r="I97" i="32"/>
  <c r="B97" i="32"/>
  <c r="I96" i="32"/>
  <c r="B96" i="32"/>
  <c r="I95" i="32"/>
  <c r="B95" i="32"/>
  <c r="I94" i="32"/>
  <c r="B94" i="32"/>
  <c r="I93" i="32"/>
  <c r="B93" i="32"/>
  <c r="I92" i="32"/>
  <c r="B92" i="32"/>
  <c r="I91" i="32"/>
  <c r="B91" i="32"/>
  <c r="I90" i="32"/>
  <c r="B90" i="32"/>
  <c r="I89" i="32"/>
  <c r="B89" i="32"/>
  <c r="I88" i="32"/>
  <c r="B88" i="32"/>
  <c r="I87" i="32"/>
  <c r="B87" i="32"/>
  <c r="I86" i="32"/>
  <c r="B86" i="32"/>
  <c r="I85" i="32"/>
  <c r="B85" i="32"/>
  <c r="I84" i="32"/>
  <c r="B84" i="32"/>
  <c r="I83" i="32"/>
  <c r="B83" i="32"/>
  <c r="I82" i="32"/>
  <c r="B82" i="32"/>
  <c r="I81" i="32"/>
  <c r="B81" i="32"/>
  <c r="I80" i="32"/>
  <c r="B80" i="32"/>
  <c r="I79" i="32"/>
  <c r="B79" i="32"/>
  <c r="I78" i="32"/>
  <c r="B78" i="32"/>
  <c r="I77" i="32"/>
  <c r="B77" i="32"/>
  <c r="I76" i="32"/>
  <c r="B76" i="32"/>
  <c r="I75" i="32"/>
  <c r="B75" i="32"/>
  <c r="I74" i="32"/>
  <c r="B74" i="32"/>
  <c r="I73" i="32"/>
  <c r="B73" i="32"/>
  <c r="I72" i="32"/>
  <c r="B72" i="32"/>
  <c r="I71" i="32"/>
  <c r="B71" i="32"/>
  <c r="I70" i="32"/>
  <c r="B70" i="32"/>
  <c r="I69" i="32"/>
  <c r="B69" i="32"/>
  <c r="I68" i="32"/>
  <c r="B68" i="32"/>
  <c r="I67" i="32"/>
  <c r="B67" i="32"/>
  <c r="I66" i="32"/>
  <c r="B66" i="32"/>
  <c r="I65" i="32"/>
  <c r="B65" i="32"/>
  <c r="I64" i="32"/>
  <c r="B64" i="32"/>
  <c r="I63" i="32"/>
  <c r="B63" i="32"/>
  <c r="I62" i="32"/>
  <c r="B62" i="32"/>
  <c r="I61" i="32"/>
  <c r="B61" i="32"/>
  <c r="I60" i="32"/>
  <c r="B60" i="32"/>
  <c r="I59" i="32"/>
  <c r="B59" i="32"/>
  <c r="I58" i="32"/>
  <c r="B58" i="32"/>
  <c r="I57" i="32"/>
  <c r="B57" i="32"/>
  <c r="I56" i="32"/>
  <c r="B56" i="32"/>
  <c r="I55" i="32"/>
  <c r="B55" i="32"/>
  <c r="I54" i="32"/>
  <c r="B54" i="32"/>
  <c r="I53" i="32"/>
  <c r="B53" i="32"/>
  <c r="I52" i="32"/>
  <c r="B52" i="32"/>
  <c r="I51" i="32"/>
  <c r="I50" i="32"/>
  <c r="I49" i="32"/>
  <c r="I48" i="32"/>
  <c r="I47" i="32"/>
  <c r="I46" i="32"/>
  <c r="I45" i="32"/>
  <c r="I44" i="32"/>
  <c r="I43" i="32"/>
  <c r="I42" i="32"/>
  <c r="I41" i="32"/>
  <c r="I40" i="32"/>
  <c r="I39" i="32"/>
  <c r="I38" i="32"/>
  <c r="I37" i="32"/>
  <c r="I36" i="32"/>
  <c r="I35" i="32"/>
  <c r="I34" i="32"/>
  <c r="I33" i="32"/>
  <c r="I32" i="32"/>
  <c r="I31" i="32"/>
  <c r="I30" i="32"/>
  <c r="I29" i="32"/>
  <c r="I28" i="32"/>
  <c r="I27" i="32"/>
  <c r="I26" i="32"/>
  <c r="I25" i="32"/>
  <c r="I24" i="32"/>
  <c r="I23" i="32"/>
  <c r="I22" i="32"/>
  <c r="I21" i="32"/>
  <c r="I20" i="32"/>
  <c r="I19" i="32"/>
  <c r="I18" i="32"/>
  <c r="I17" i="32"/>
  <c r="I16" i="32"/>
  <c r="I15" i="32"/>
  <c r="I14" i="32"/>
  <c r="I13" i="32"/>
  <c r="I12" i="32"/>
  <c r="I11" i="32"/>
  <c r="I10" i="32"/>
  <c r="I9" i="32"/>
  <c r="I8" i="32"/>
  <c r="I7" i="32"/>
  <c r="I6" i="32"/>
  <c r="I5" i="32"/>
  <c r="I4" i="32"/>
  <c r="I3" i="32"/>
  <c r="I2" i="32"/>
  <c r="C30" i="18"/>
  <c r="C103" i="30" a="1"/>
  <c r="I101" i="30"/>
  <c r="I100" i="30"/>
  <c r="I99" i="30"/>
  <c r="I98" i="30"/>
  <c r="I97" i="30"/>
  <c r="I96" i="30"/>
  <c r="I95" i="30"/>
  <c r="I94" i="30"/>
  <c r="I93" i="30"/>
  <c r="I92" i="30"/>
  <c r="I91" i="30"/>
  <c r="I90" i="30"/>
  <c r="I89" i="30"/>
  <c r="I88" i="30"/>
  <c r="I87" i="30"/>
  <c r="I86" i="30"/>
  <c r="I85" i="30"/>
  <c r="I84" i="30"/>
  <c r="I83" i="30"/>
  <c r="I82" i="30"/>
  <c r="I81" i="30"/>
  <c r="I80" i="30"/>
  <c r="I79" i="30"/>
  <c r="I78" i="30"/>
  <c r="I77" i="30"/>
  <c r="I76" i="30"/>
  <c r="I75" i="30"/>
  <c r="I74" i="30"/>
  <c r="I73" i="30"/>
  <c r="I72" i="30"/>
  <c r="I71" i="30"/>
  <c r="I70" i="30"/>
  <c r="I69" i="30"/>
  <c r="I68" i="30"/>
  <c r="I67" i="30"/>
  <c r="I66" i="30"/>
  <c r="I65" i="30"/>
  <c r="I64" i="30"/>
  <c r="I63" i="30"/>
  <c r="I62" i="30"/>
  <c r="I61" i="30"/>
  <c r="I60" i="30"/>
  <c r="I59" i="30"/>
  <c r="I58" i="30"/>
  <c r="I57" i="30"/>
  <c r="I56" i="30"/>
  <c r="I55" i="30"/>
  <c r="I54" i="30"/>
  <c r="I53" i="30"/>
  <c r="I52" i="30"/>
  <c r="I51" i="30"/>
  <c r="I50" i="30"/>
  <c r="I49" i="30"/>
  <c r="I48" i="30"/>
  <c r="I47" i="30"/>
  <c r="I46" i="30"/>
  <c r="I45" i="30"/>
  <c r="I44" i="30"/>
  <c r="I43" i="30"/>
  <c r="I42" i="30"/>
  <c r="I41" i="30"/>
  <c r="I40" i="30"/>
  <c r="I39" i="30"/>
  <c r="I38" i="30"/>
  <c r="I37" i="30"/>
  <c r="I36" i="30"/>
  <c r="I35" i="30"/>
  <c r="I34" i="30"/>
  <c r="I33" i="30"/>
  <c r="I32" i="30"/>
  <c r="I31" i="30"/>
  <c r="I30" i="30"/>
  <c r="I29" i="30"/>
  <c r="I28" i="30"/>
  <c r="I27" i="30"/>
  <c r="I26" i="30"/>
  <c r="I25" i="30"/>
  <c r="I24" i="30"/>
  <c r="I23" i="30"/>
  <c r="I22" i="30"/>
  <c r="I21" i="30"/>
  <c r="I20" i="30"/>
  <c r="I19" i="30"/>
  <c r="I18" i="30"/>
  <c r="I17" i="30"/>
  <c r="I16" i="30"/>
  <c r="I15" i="30"/>
  <c r="I14" i="30"/>
  <c r="I13" i="30"/>
  <c r="I12" i="30"/>
  <c r="I11" i="30"/>
  <c r="I10" i="30"/>
  <c r="I9" i="30"/>
  <c r="I8" i="30"/>
  <c r="I7" i="30"/>
  <c r="I6" i="30"/>
  <c r="I5" i="30"/>
  <c r="I4" i="30"/>
  <c r="I3" i="30"/>
  <c r="I2" i="30"/>
  <c r="C103" i="29" a="1"/>
  <c r="I101" i="29"/>
  <c r="B101" i="29"/>
  <c r="I100" i="29"/>
  <c r="B100" i="29"/>
  <c r="I99" i="29"/>
  <c r="B99" i="29"/>
  <c r="I98" i="29"/>
  <c r="B98" i="29"/>
  <c r="I97" i="29"/>
  <c r="B97" i="29"/>
  <c r="I96" i="29"/>
  <c r="B96" i="29"/>
  <c r="I95" i="29"/>
  <c r="B95" i="29"/>
  <c r="I94" i="29"/>
  <c r="B94" i="29"/>
  <c r="I93" i="29"/>
  <c r="B93" i="29"/>
  <c r="I92" i="29"/>
  <c r="B92" i="29"/>
  <c r="I91" i="29"/>
  <c r="B91" i="29"/>
  <c r="I90" i="29"/>
  <c r="B90" i="29"/>
  <c r="I89" i="29"/>
  <c r="B89" i="29"/>
  <c r="I88" i="29"/>
  <c r="B88" i="29"/>
  <c r="I87" i="29"/>
  <c r="B87" i="29"/>
  <c r="I86" i="29"/>
  <c r="B86" i="29"/>
  <c r="I85" i="29"/>
  <c r="B85" i="29"/>
  <c r="I84" i="29"/>
  <c r="B84" i="29"/>
  <c r="I83" i="29"/>
  <c r="B83" i="29"/>
  <c r="I82" i="29"/>
  <c r="B82" i="29"/>
  <c r="I81" i="29"/>
  <c r="B81" i="29"/>
  <c r="I80" i="29"/>
  <c r="B80" i="29"/>
  <c r="I79" i="29"/>
  <c r="B79" i="29"/>
  <c r="I78" i="29"/>
  <c r="B78" i="29"/>
  <c r="I77" i="29"/>
  <c r="B77" i="29"/>
  <c r="I76" i="29"/>
  <c r="B76" i="29"/>
  <c r="I75" i="29"/>
  <c r="B75" i="29"/>
  <c r="I74" i="29"/>
  <c r="B74" i="29"/>
  <c r="I73" i="29"/>
  <c r="B73" i="29"/>
  <c r="I72" i="29"/>
  <c r="B72" i="29"/>
  <c r="I71" i="29"/>
  <c r="B71" i="29"/>
  <c r="I70" i="29"/>
  <c r="B70" i="29"/>
  <c r="I69" i="29"/>
  <c r="B69" i="29"/>
  <c r="I68" i="29"/>
  <c r="B68" i="29"/>
  <c r="I67" i="29"/>
  <c r="B67" i="29"/>
  <c r="I66" i="29"/>
  <c r="B66" i="29"/>
  <c r="I65" i="29"/>
  <c r="B65" i="29"/>
  <c r="I64" i="29"/>
  <c r="B64" i="29"/>
  <c r="I63" i="29"/>
  <c r="B63" i="29"/>
  <c r="I62" i="29"/>
  <c r="B62" i="29"/>
  <c r="I61" i="29"/>
  <c r="B61" i="29"/>
  <c r="I60" i="29"/>
  <c r="B60" i="29"/>
  <c r="I59" i="29"/>
  <c r="B59" i="29"/>
  <c r="I58" i="29"/>
  <c r="B58" i="29"/>
  <c r="I57" i="29"/>
  <c r="B57" i="29"/>
  <c r="I56" i="29"/>
  <c r="B56" i="29"/>
  <c r="I55" i="29"/>
  <c r="B55" i="29"/>
  <c r="I54" i="29"/>
  <c r="B54" i="29"/>
  <c r="I53" i="29"/>
  <c r="B53" i="29"/>
  <c r="I52" i="29"/>
  <c r="I51" i="29"/>
  <c r="I50" i="29"/>
  <c r="I49" i="29"/>
  <c r="C84" i="18"/>
  <c r="I48" i="29"/>
  <c r="C101" i="18"/>
  <c r="I47" i="29"/>
  <c r="I46" i="29"/>
  <c r="C107" i="18"/>
  <c r="I45" i="29"/>
  <c r="I44" i="29"/>
  <c r="I43" i="29"/>
  <c r="I42" i="29"/>
  <c r="I41" i="29"/>
  <c r="I40" i="29"/>
  <c r="I39" i="29"/>
  <c r="I38" i="29"/>
  <c r="I37" i="29"/>
  <c r="I36" i="29"/>
  <c r="I35" i="29"/>
  <c r="I34" i="29"/>
  <c r="I33" i="29"/>
  <c r="I32" i="29"/>
  <c r="I31" i="29"/>
  <c r="I30" i="29"/>
  <c r="I29" i="29"/>
  <c r="I28" i="29"/>
  <c r="I27" i="29"/>
  <c r="I26" i="29"/>
  <c r="I25" i="29"/>
  <c r="I24" i="29"/>
  <c r="C80" i="18"/>
  <c r="I23" i="29"/>
  <c r="I22" i="29"/>
  <c r="C67" i="18"/>
  <c r="I21" i="29"/>
  <c r="I20" i="29"/>
  <c r="I19" i="29"/>
  <c r="C73" i="18"/>
  <c r="I18" i="29"/>
  <c r="I17" i="29"/>
  <c r="I16" i="29"/>
  <c r="I15" i="29"/>
  <c r="I14" i="29"/>
  <c r="I13" i="29"/>
  <c r="I12" i="29"/>
  <c r="I11" i="29"/>
  <c r="I10" i="29"/>
  <c r="C69" i="18"/>
  <c r="I9" i="29"/>
  <c r="I8" i="29"/>
  <c r="I7" i="29"/>
  <c r="I6" i="29"/>
  <c r="I5" i="29"/>
  <c r="I4" i="29"/>
  <c r="I3" i="29"/>
  <c r="C77" i="18"/>
  <c r="I2" i="29"/>
  <c r="C103" i="28" a="1"/>
  <c r="I101" i="28"/>
  <c r="B101" i="28"/>
  <c r="I100" i="28"/>
  <c r="B100" i="28"/>
  <c r="I99" i="28"/>
  <c r="B99" i="28"/>
  <c r="I98" i="28"/>
  <c r="B98" i="28"/>
  <c r="I97" i="28"/>
  <c r="B97" i="28"/>
  <c r="I96" i="28"/>
  <c r="B96" i="28"/>
  <c r="I95" i="28"/>
  <c r="B95" i="28"/>
  <c r="I94" i="28"/>
  <c r="B94" i="28"/>
  <c r="I93" i="28"/>
  <c r="B93" i="28"/>
  <c r="I92" i="28"/>
  <c r="B92" i="28"/>
  <c r="I91" i="28"/>
  <c r="B91" i="28"/>
  <c r="I90" i="28"/>
  <c r="B90" i="28"/>
  <c r="I89" i="28"/>
  <c r="B89" i="28"/>
  <c r="I88" i="28"/>
  <c r="B88" i="28"/>
  <c r="I87" i="28"/>
  <c r="B87" i="28"/>
  <c r="I86" i="28"/>
  <c r="B86" i="28"/>
  <c r="I85" i="28"/>
  <c r="B85" i="28"/>
  <c r="I84" i="28"/>
  <c r="B84" i="28"/>
  <c r="I83" i="28"/>
  <c r="B83" i="28"/>
  <c r="I82" i="28"/>
  <c r="B82" i="28"/>
  <c r="I81" i="28"/>
  <c r="B81" i="28"/>
  <c r="I80" i="28"/>
  <c r="B80" i="28"/>
  <c r="I79" i="28"/>
  <c r="B79" i="28"/>
  <c r="I78" i="28"/>
  <c r="B78" i="28"/>
  <c r="I77" i="28"/>
  <c r="B77" i="28"/>
  <c r="I76" i="28"/>
  <c r="B76" i="28"/>
  <c r="I75" i="28"/>
  <c r="B75" i="28"/>
  <c r="I74" i="28"/>
  <c r="B74" i="28"/>
  <c r="I73" i="28"/>
  <c r="B73" i="28"/>
  <c r="I72" i="28"/>
  <c r="B72" i="28"/>
  <c r="I71" i="28"/>
  <c r="B71" i="28"/>
  <c r="I70" i="28"/>
  <c r="B70" i="28"/>
  <c r="I69" i="28"/>
  <c r="B69" i="28"/>
  <c r="I68" i="28"/>
  <c r="B68" i="28"/>
  <c r="I67" i="28"/>
  <c r="B67" i="28"/>
  <c r="I66" i="28"/>
  <c r="B66" i="28"/>
  <c r="I65" i="28"/>
  <c r="B65" i="28"/>
  <c r="I64" i="28"/>
  <c r="B64" i="28"/>
  <c r="I63" i="28"/>
  <c r="B63" i="28"/>
  <c r="I62" i="28"/>
  <c r="B62" i="28"/>
  <c r="I61" i="28"/>
  <c r="B61" i="28"/>
  <c r="I60" i="28"/>
  <c r="B60" i="28"/>
  <c r="I59" i="28"/>
  <c r="B59" i="28"/>
  <c r="I58" i="28"/>
  <c r="B58" i="28"/>
  <c r="I57" i="28"/>
  <c r="B57" i="28"/>
  <c r="I56" i="28"/>
  <c r="B56" i="28"/>
  <c r="I55" i="28"/>
  <c r="B55" i="28"/>
  <c r="I54" i="28"/>
  <c r="B54" i="28"/>
  <c r="I53" i="28"/>
  <c r="B53" i="28"/>
  <c r="I52" i="28"/>
  <c r="B52" i="28"/>
  <c r="I51" i="28"/>
  <c r="B51" i="28"/>
  <c r="I50" i="28"/>
  <c r="B50" i="28"/>
  <c r="I49" i="28"/>
  <c r="B49" i="28"/>
  <c r="I48" i="28"/>
  <c r="B48" i="28"/>
  <c r="I47" i="28"/>
  <c r="B47" i="28"/>
  <c r="I46" i="28"/>
  <c r="I45" i="28"/>
  <c r="I44" i="28"/>
  <c r="I43" i="28"/>
  <c r="I42" i="28"/>
  <c r="I41" i="28"/>
  <c r="I40" i="28"/>
  <c r="I39" i="28"/>
  <c r="I38" i="28"/>
  <c r="I37" i="28"/>
  <c r="I36" i="28"/>
  <c r="I35" i="28"/>
  <c r="I34" i="28"/>
  <c r="I33" i="28"/>
  <c r="I32" i="28"/>
  <c r="I31" i="28"/>
  <c r="I30" i="28"/>
  <c r="I29" i="28"/>
  <c r="I28" i="28"/>
  <c r="I27" i="28"/>
  <c r="I26" i="28"/>
  <c r="I25" i="28"/>
  <c r="I24" i="28"/>
  <c r="I23" i="28"/>
  <c r="I22" i="28"/>
  <c r="I21" i="28"/>
  <c r="I20" i="28"/>
  <c r="I19" i="28"/>
  <c r="I18" i="28"/>
  <c r="I17" i="28"/>
  <c r="I16" i="28"/>
  <c r="I15" i="28"/>
  <c r="I14" i="28"/>
  <c r="I13" i="28"/>
  <c r="I12" i="28"/>
  <c r="I11" i="28"/>
  <c r="I10" i="28"/>
  <c r="I9" i="28"/>
  <c r="I8" i="28"/>
  <c r="I7" i="28"/>
  <c r="I6" i="28"/>
  <c r="I5" i="28"/>
  <c r="I4" i="28"/>
  <c r="I3" i="28"/>
  <c r="I2" i="28"/>
  <c r="C103" i="27" a="1"/>
  <c r="I101" i="27"/>
  <c r="B101" i="27"/>
  <c r="I100" i="27"/>
  <c r="B100" i="27"/>
  <c r="I99" i="27"/>
  <c r="B99" i="27"/>
  <c r="I98" i="27"/>
  <c r="B98" i="27"/>
  <c r="I97" i="27"/>
  <c r="B97" i="27"/>
  <c r="I96" i="27"/>
  <c r="B96" i="27"/>
  <c r="I95" i="27"/>
  <c r="B95" i="27"/>
  <c r="I94" i="27"/>
  <c r="B94" i="27"/>
  <c r="I93" i="27"/>
  <c r="B93" i="27"/>
  <c r="I92" i="27"/>
  <c r="B92" i="27"/>
  <c r="I91" i="27"/>
  <c r="B91" i="27"/>
  <c r="I90" i="27"/>
  <c r="B90" i="27"/>
  <c r="I89" i="27"/>
  <c r="B89" i="27"/>
  <c r="I88" i="27"/>
  <c r="B88" i="27"/>
  <c r="I87" i="27"/>
  <c r="B87" i="27"/>
  <c r="I86" i="27"/>
  <c r="B86" i="27"/>
  <c r="I85" i="27"/>
  <c r="B85" i="27"/>
  <c r="I84" i="27"/>
  <c r="B84" i="27"/>
  <c r="I83" i="27"/>
  <c r="B83" i="27"/>
  <c r="I82" i="27"/>
  <c r="B82" i="27"/>
  <c r="I81" i="27"/>
  <c r="B81" i="27"/>
  <c r="I80" i="27"/>
  <c r="B80" i="27"/>
  <c r="I79" i="27"/>
  <c r="B79" i="27"/>
  <c r="I78" i="27"/>
  <c r="B78" i="27"/>
  <c r="I77" i="27"/>
  <c r="B77" i="27"/>
  <c r="I76" i="27"/>
  <c r="B76" i="27"/>
  <c r="I75" i="27"/>
  <c r="B75" i="27"/>
  <c r="I74" i="27"/>
  <c r="B74" i="27"/>
  <c r="I73" i="27"/>
  <c r="B73" i="27"/>
  <c r="I72" i="27"/>
  <c r="B72" i="27"/>
  <c r="I71" i="27"/>
  <c r="B71" i="27"/>
  <c r="I70" i="27"/>
  <c r="B70" i="27"/>
  <c r="I69" i="27"/>
  <c r="B69" i="27"/>
  <c r="I68" i="27"/>
  <c r="B68" i="27"/>
  <c r="I67" i="27"/>
  <c r="B67" i="27"/>
  <c r="I66" i="27"/>
  <c r="B66" i="27"/>
  <c r="I65" i="27"/>
  <c r="B65" i="27"/>
  <c r="I64" i="27"/>
  <c r="B64" i="27"/>
  <c r="I63" i="27"/>
  <c r="B63" i="27"/>
  <c r="I62" i="27"/>
  <c r="B62" i="27"/>
  <c r="I61" i="27"/>
  <c r="B61" i="27"/>
  <c r="I60" i="27"/>
  <c r="B60" i="27"/>
  <c r="I59" i="27"/>
  <c r="B59" i="27"/>
  <c r="I58" i="27"/>
  <c r="B58" i="27"/>
  <c r="I57" i="27"/>
  <c r="B57" i="27"/>
  <c r="I56" i="27"/>
  <c r="B56" i="27"/>
  <c r="I55" i="27"/>
  <c r="B55" i="27"/>
  <c r="I54" i="27"/>
  <c r="B54" i="27"/>
  <c r="I53" i="27"/>
  <c r="B53" i="27"/>
  <c r="I52" i="27"/>
  <c r="B52" i="27"/>
  <c r="I51" i="27"/>
  <c r="B51" i="27"/>
  <c r="I50" i="27"/>
  <c r="B50" i="27"/>
  <c r="I49" i="27"/>
  <c r="B49" i="27"/>
  <c r="I48" i="27"/>
  <c r="B48" i="27"/>
  <c r="I47" i="27"/>
  <c r="B47" i="27"/>
  <c r="I46" i="27"/>
  <c r="B46" i="27"/>
  <c r="I45" i="27"/>
  <c r="B45" i="27"/>
  <c r="I44" i="27"/>
  <c r="B44" i="27"/>
  <c r="I43" i="27"/>
  <c r="B43" i="27"/>
  <c r="I42" i="27"/>
  <c r="B42" i="27"/>
  <c r="I41" i="27"/>
  <c r="B41" i="27"/>
  <c r="I40" i="27"/>
  <c r="B40" i="27"/>
  <c r="I39" i="27"/>
  <c r="B39" i="27"/>
  <c r="I38" i="27"/>
  <c r="B38" i="27"/>
  <c r="I37" i="27"/>
  <c r="B37" i="27"/>
  <c r="I36" i="27"/>
  <c r="B36" i="27"/>
  <c r="I35" i="27"/>
  <c r="B35" i="27"/>
  <c r="I34" i="27"/>
  <c r="B34" i="27"/>
  <c r="I33" i="27"/>
  <c r="B33" i="27"/>
  <c r="I32" i="27"/>
  <c r="I31" i="27"/>
  <c r="I30" i="27"/>
  <c r="I29" i="27"/>
  <c r="I28" i="27"/>
  <c r="I27" i="27"/>
  <c r="I26" i="27"/>
  <c r="I25" i="27"/>
  <c r="I24" i="27"/>
  <c r="I23" i="27"/>
  <c r="I22" i="27"/>
  <c r="I21" i="27"/>
  <c r="I20" i="27"/>
  <c r="I19" i="27"/>
  <c r="I18" i="27"/>
  <c r="I17" i="27"/>
  <c r="I16" i="27"/>
  <c r="I15" i="27"/>
  <c r="I14" i="27"/>
  <c r="I13" i="27"/>
  <c r="I12" i="27"/>
  <c r="I11" i="27"/>
  <c r="I10" i="27"/>
  <c r="I9" i="27"/>
  <c r="I8" i="27"/>
  <c r="I7" i="27"/>
  <c r="I6" i="27"/>
  <c r="I5" i="27"/>
  <c r="I4" i="27"/>
  <c r="I3" i="27"/>
  <c r="I2" i="27"/>
  <c r="C103" i="26" a="1"/>
  <c r="I101" i="26"/>
  <c r="B101" i="26"/>
  <c r="I100" i="26"/>
  <c r="B100" i="26"/>
  <c r="I99" i="26"/>
  <c r="B99" i="26"/>
  <c r="I98" i="26"/>
  <c r="B98" i="26"/>
  <c r="I97" i="26"/>
  <c r="B97" i="26"/>
  <c r="I96" i="26"/>
  <c r="B96" i="26"/>
  <c r="I95" i="26"/>
  <c r="B95" i="26"/>
  <c r="I94" i="26"/>
  <c r="B94" i="26"/>
  <c r="I93" i="26"/>
  <c r="B93" i="26"/>
  <c r="I92" i="26"/>
  <c r="B92" i="26"/>
  <c r="I91" i="26"/>
  <c r="B91" i="26"/>
  <c r="I90" i="26"/>
  <c r="B90" i="26"/>
  <c r="I89" i="26"/>
  <c r="B89" i="26"/>
  <c r="I88" i="26"/>
  <c r="B88" i="26"/>
  <c r="I87" i="26"/>
  <c r="B87" i="26"/>
  <c r="I86" i="26"/>
  <c r="B86" i="26"/>
  <c r="I85" i="26"/>
  <c r="B85" i="26"/>
  <c r="I84" i="26"/>
  <c r="B84" i="26"/>
  <c r="I83" i="26"/>
  <c r="B83" i="26"/>
  <c r="I82" i="26"/>
  <c r="B82" i="26"/>
  <c r="I81" i="26"/>
  <c r="B81" i="26"/>
  <c r="I80" i="26"/>
  <c r="B80" i="26"/>
  <c r="I79" i="26"/>
  <c r="B79" i="26"/>
  <c r="I78" i="26"/>
  <c r="B78" i="26"/>
  <c r="I77" i="26"/>
  <c r="B77" i="26"/>
  <c r="I76" i="26"/>
  <c r="B76" i="26"/>
  <c r="I75" i="26"/>
  <c r="B75" i="26"/>
  <c r="I74" i="26"/>
  <c r="B74" i="26"/>
  <c r="I73" i="26"/>
  <c r="B73" i="26"/>
  <c r="I72" i="26"/>
  <c r="B72" i="26"/>
  <c r="I71" i="26"/>
  <c r="B71" i="26"/>
  <c r="I70" i="26"/>
  <c r="B70" i="26"/>
  <c r="I69" i="26"/>
  <c r="B69" i="26"/>
  <c r="I68" i="26"/>
  <c r="B68" i="26"/>
  <c r="I67" i="26"/>
  <c r="B67" i="26"/>
  <c r="I66" i="26"/>
  <c r="B66" i="26"/>
  <c r="I65" i="26"/>
  <c r="B65" i="26"/>
  <c r="I64" i="26"/>
  <c r="B64" i="26"/>
  <c r="I63" i="26"/>
  <c r="B63" i="26"/>
  <c r="I62" i="26"/>
  <c r="B62" i="26"/>
  <c r="I61" i="26"/>
  <c r="B61" i="26"/>
  <c r="I60" i="26"/>
  <c r="B60" i="26"/>
  <c r="I59" i="26"/>
  <c r="B59" i="26"/>
  <c r="I58" i="26"/>
  <c r="B58" i="26"/>
  <c r="I57" i="26"/>
  <c r="B57" i="26"/>
  <c r="I56" i="26"/>
  <c r="B56" i="26"/>
  <c r="I55" i="26"/>
  <c r="B55" i="26"/>
  <c r="I54" i="26"/>
  <c r="B54" i="26"/>
  <c r="I53" i="26"/>
  <c r="B53" i="26"/>
  <c r="I52" i="26"/>
  <c r="B52" i="26"/>
  <c r="I51" i="26"/>
  <c r="B51" i="26"/>
  <c r="I50" i="26"/>
  <c r="B50" i="26"/>
  <c r="I49" i="26"/>
  <c r="B49" i="26"/>
  <c r="I48" i="26"/>
  <c r="B48" i="26"/>
  <c r="I47" i="26"/>
  <c r="B47" i="26"/>
  <c r="I46" i="26"/>
  <c r="B46" i="26"/>
  <c r="I45" i="26"/>
  <c r="B45" i="26"/>
  <c r="I44" i="26"/>
  <c r="B44" i="26"/>
  <c r="I43" i="26"/>
  <c r="B43" i="26"/>
  <c r="I42" i="26"/>
  <c r="B42" i="26"/>
  <c r="I41" i="26"/>
  <c r="B41" i="26"/>
  <c r="I40" i="26"/>
  <c r="B40" i="26"/>
  <c r="I39" i="26"/>
  <c r="B39" i="26"/>
  <c r="I38" i="26"/>
  <c r="B38" i="26"/>
  <c r="I37" i="26"/>
  <c r="B37" i="26"/>
  <c r="I36" i="26"/>
  <c r="B36" i="26"/>
  <c r="I35" i="26"/>
  <c r="B35" i="26"/>
  <c r="I34" i="26"/>
  <c r="B34" i="26"/>
  <c r="I33" i="26"/>
  <c r="B33" i="26"/>
  <c r="I32" i="26"/>
  <c r="B32" i="26"/>
  <c r="I31" i="26"/>
  <c r="I30" i="26"/>
  <c r="I29" i="26"/>
  <c r="I28" i="26"/>
  <c r="I27" i="26"/>
  <c r="I26" i="26"/>
  <c r="I25" i="26"/>
  <c r="I24" i="26"/>
  <c r="I23" i="26"/>
  <c r="I22" i="26"/>
  <c r="I21" i="26"/>
  <c r="I20" i="26"/>
  <c r="I19" i="26"/>
  <c r="I18" i="26"/>
  <c r="I17" i="26"/>
  <c r="I16" i="26"/>
  <c r="I15" i="26"/>
  <c r="I14" i="26"/>
  <c r="I13" i="26"/>
  <c r="I12" i="26"/>
  <c r="I11" i="26"/>
  <c r="I10" i="26"/>
  <c r="I9" i="26"/>
  <c r="I8" i="26"/>
  <c r="I7" i="26"/>
  <c r="I6" i="26"/>
  <c r="I5" i="26"/>
  <c r="I4" i="26"/>
  <c r="I3" i="26"/>
  <c r="I2" i="26"/>
  <c r="C103" i="25" a="1"/>
  <c r="I101" i="25"/>
  <c r="B101" i="25"/>
  <c r="I100" i="25"/>
  <c r="B100" i="25"/>
  <c r="I99" i="25"/>
  <c r="B99" i="25"/>
  <c r="I98" i="25"/>
  <c r="B98" i="25"/>
  <c r="I97" i="25"/>
  <c r="B97" i="25"/>
  <c r="I96" i="25"/>
  <c r="B96" i="25"/>
  <c r="I95" i="25"/>
  <c r="B95" i="25"/>
  <c r="I94" i="25"/>
  <c r="B94" i="25"/>
  <c r="I93" i="25"/>
  <c r="B93" i="25"/>
  <c r="I92" i="25"/>
  <c r="B92" i="25"/>
  <c r="I91" i="25"/>
  <c r="B91" i="25"/>
  <c r="I90" i="25"/>
  <c r="B90" i="25"/>
  <c r="I89" i="25"/>
  <c r="B89" i="25"/>
  <c r="I88" i="25"/>
  <c r="B88" i="25"/>
  <c r="I87" i="25"/>
  <c r="B87" i="25"/>
  <c r="I86" i="25"/>
  <c r="B86" i="25"/>
  <c r="I85" i="25"/>
  <c r="B85" i="25"/>
  <c r="I84" i="25"/>
  <c r="B84" i="25"/>
  <c r="I83" i="25"/>
  <c r="B83" i="25"/>
  <c r="I82" i="25"/>
  <c r="B82" i="25"/>
  <c r="I81" i="25"/>
  <c r="B81" i="25"/>
  <c r="I80" i="25"/>
  <c r="B80" i="25"/>
  <c r="I79" i="25"/>
  <c r="B79" i="25"/>
  <c r="I78" i="25"/>
  <c r="B78" i="25"/>
  <c r="I77" i="25"/>
  <c r="B77" i="25"/>
  <c r="I76" i="25"/>
  <c r="B76" i="25"/>
  <c r="I75" i="25"/>
  <c r="B75" i="25"/>
  <c r="I74" i="25"/>
  <c r="B74" i="25"/>
  <c r="I73" i="25"/>
  <c r="B73" i="25"/>
  <c r="I72" i="25"/>
  <c r="B72" i="25"/>
  <c r="I71" i="25"/>
  <c r="B71" i="25"/>
  <c r="I70" i="25"/>
  <c r="B70" i="25"/>
  <c r="I69" i="25"/>
  <c r="B69" i="25"/>
  <c r="I68" i="25"/>
  <c r="B68" i="25"/>
  <c r="I67" i="25"/>
  <c r="B67" i="25"/>
  <c r="I66" i="25"/>
  <c r="B66" i="25"/>
  <c r="I65" i="25"/>
  <c r="B65" i="25"/>
  <c r="I64" i="25"/>
  <c r="B64" i="25"/>
  <c r="I63" i="25"/>
  <c r="B63" i="25"/>
  <c r="I62" i="25"/>
  <c r="B62" i="25"/>
  <c r="I61" i="25"/>
  <c r="B61" i="25"/>
  <c r="I60" i="25"/>
  <c r="B60" i="25"/>
  <c r="I59" i="25"/>
  <c r="B59" i="25"/>
  <c r="I58" i="25"/>
  <c r="B58" i="25"/>
  <c r="I57" i="25"/>
  <c r="B57" i="25"/>
  <c r="I56" i="25"/>
  <c r="B56" i="25"/>
  <c r="I55" i="25"/>
  <c r="B55" i="25"/>
  <c r="I54" i="25"/>
  <c r="B54" i="25"/>
  <c r="I53" i="25"/>
  <c r="B53" i="25"/>
  <c r="I52" i="25"/>
  <c r="B52" i="25"/>
  <c r="I51" i="25"/>
  <c r="B51" i="25"/>
  <c r="I50" i="25"/>
  <c r="B50" i="25"/>
  <c r="I49" i="25"/>
  <c r="B49" i="25"/>
  <c r="I48" i="25"/>
  <c r="B48" i="25"/>
  <c r="I47" i="25"/>
  <c r="B47" i="25"/>
  <c r="I46" i="25"/>
  <c r="B46" i="25"/>
  <c r="I45" i="25"/>
  <c r="B45" i="25"/>
  <c r="I44" i="25"/>
  <c r="B44" i="25"/>
  <c r="I43" i="25"/>
  <c r="B43" i="25"/>
  <c r="I42" i="25"/>
  <c r="B42" i="25"/>
  <c r="I41" i="25"/>
  <c r="B41" i="25"/>
  <c r="I40" i="25"/>
  <c r="B40" i="25"/>
  <c r="I39" i="25"/>
  <c r="B39" i="25"/>
  <c r="I38" i="25"/>
  <c r="B38" i="25"/>
  <c r="I37" i="25"/>
  <c r="B37" i="25"/>
  <c r="I36" i="25"/>
  <c r="B36" i="25"/>
  <c r="E35" i="25"/>
  <c r="D35" i="25"/>
  <c r="E34" i="25"/>
  <c r="D34" i="25"/>
  <c r="E33" i="25"/>
  <c r="D33" i="25"/>
  <c r="I32" i="25"/>
  <c r="E31" i="25"/>
  <c r="D31" i="25"/>
  <c r="E30" i="25"/>
  <c r="D30" i="25"/>
  <c r="E29" i="25"/>
  <c r="D29" i="25"/>
  <c r="E28" i="25"/>
  <c r="D28" i="25"/>
  <c r="E27" i="25"/>
  <c r="D27" i="25"/>
  <c r="E26" i="25"/>
  <c r="D26" i="25"/>
  <c r="E25" i="25"/>
  <c r="D25" i="25"/>
  <c r="E24" i="25"/>
  <c r="D24" i="25"/>
  <c r="E23" i="25"/>
  <c r="D23" i="25"/>
  <c r="E22" i="25"/>
  <c r="D22" i="25"/>
  <c r="E21" i="25"/>
  <c r="D21" i="25"/>
  <c r="E20" i="25"/>
  <c r="D20" i="25"/>
  <c r="I19" i="25"/>
  <c r="E18" i="25"/>
  <c r="D18" i="25"/>
  <c r="E17" i="25"/>
  <c r="D17" i="25"/>
  <c r="E16" i="25"/>
  <c r="D16" i="25"/>
  <c r="E15" i="25"/>
  <c r="D15" i="25"/>
  <c r="E14" i="25"/>
  <c r="D14" i="25"/>
  <c r="E13" i="25"/>
  <c r="D13" i="25"/>
  <c r="E12" i="25"/>
  <c r="D12" i="25"/>
  <c r="E11" i="25"/>
  <c r="D11" i="25"/>
  <c r="E10" i="25"/>
  <c r="D10" i="25"/>
  <c r="E9" i="25"/>
  <c r="D9" i="25"/>
  <c r="E8" i="25"/>
  <c r="D8" i="25"/>
  <c r="D7" i="25"/>
  <c r="E6" i="25"/>
  <c r="D6" i="25"/>
  <c r="E5" i="25"/>
  <c r="D5" i="25"/>
  <c r="E4" i="25"/>
  <c r="D4" i="25"/>
  <c r="E3" i="25"/>
  <c r="D3" i="25"/>
  <c r="E2" i="25"/>
  <c r="D2" i="25"/>
  <c r="C103" i="24" a="1"/>
  <c r="I101" i="24"/>
  <c r="B101" i="24"/>
  <c r="I100" i="24"/>
  <c r="B100" i="24"/>
  <c r="I99" i="24"/>
  <c r="B99" i="24"/>
  <c r="I98" i="24"/>
  <c r="B98" i="24"/>
  <c r="I97" i="24"/>
  <c r="B97" i="24"/>
  <c r="I96" i="24"/>
  <c r="B96" i="24"/>
  <c r="I95" i="24"/>
  <c r="B95" i="24"/>
  <c r="I94" i="24"/>
  <c r="B94" i="24"/>
  <c r="I93" i="24"/>
  <c r="B93" i="24"/>
  <c r="I92" i="24"/>
  <c r="B92" i="24"/>
  <c r="I91" i="24"/>
  <c r="B91" i="24"/>
  <c r="I90" i="24"/>
  <c r="B90" i="24"/>
  <c r="I89" i="24"/>
  <c r="B89" i="24"/>
  <c r="I88" i="24"/>
  <c r="B88" i="24"/>
  <c r="I87" i="24"/>
  <c r="B87" i="24"/>
  <c r="I86" i="24"/>
  <c r="B86" i="24"/>
  <c r="I85" i="24"/>
  <c r="B85" i="24"/>
  <c r="I84" i="24"/>
  <c r="B84" i="24"/>
  <c r="I83" i="24"/>
  <c r="B83" i="24"/>
  <c r="I82" i="24"/>
  <c r="B82" i="24"/>
  <c r="I81" i="24"/>
  <c r="B81" i="24"/>
  <c r="I80" i="24"/>
  <c r="B80" i="24"/>
  <c r="I79" i="24"/>
  <c r="B79" i="24"/>
  <c r="I78" i="24"/>
  <c r="B78" i="24"/>
  <c r="I77" i="24"/>
  <c r="B77" i="24"/>
  <c r="I76" i="24"/>
  <c r="B76" i="24"/>
  <c r="I75" i="24"/>
  <c r="B75" i="24"/>
  <c r="I74" i="24"/>
  <c r="B74" i="24"/>
  <c r="I73" i="24"/>
  <c r="B73" i="24"/>
  <c r="I72" i="24"/>
  <c r="B72" i="24"/>
  <c r="I71" i="24"/>
  <c r="B71" i="24"/>
  <c r="I70" i="24"/>
  <c r="B70" i="24"/>
  <c r="I69" i="24"/>
  <c r="B69" i="24"/>
  <c r="I68" i="24"/>
  <c r="B68" i="24"/>
  <c r="I67" i="24"/>
  <c r="B67" i="24"/>
  <c r="I66" i="24"/>
  <c r="B66" i="24"/>
  <c r="I65" i="24"/>
  <c r="B65" i="24"/>
  <c r="I64" i="24"/>
  <c r="B64" i="24"/>
  <c r="I63" i="24"/>
  <c r="B63" i="24"/>
  <c r="I62" i="24"/>
  <c r="B62" i="24"/>
  <c r="I61" i="24"/>
  <c r="B61" i="24"/>
  <c r="I60" i="24"/>
  <c r="B60" i="24"/>
  <c r="I59" i="24"/>
  <c r="B59" i="24"/>
  <c r="I58" i="24"/>
  <c r="B58" i="24"/>
  <c r="I57" i="24"/>
  <c r="B57" i="24"/>
  <c r="I56" i="24"/>
  <c r="B56" i="24"/>
  <c r="I55" i="24"/>
  <c r="B55" i="24"/>
  <c r="I54" i="24"/>
  <c r="B54" i="24"/>
  <c r="I53" i="24"/>
  <c r="B53" i="24"/>
  <c r="I52" i="24"/>
  <c r="B52" i="24"/>
  <c r="I51" i="24"/>
  <c r="B51" i="24"/>
  <c r="I50" i="24"/>
  <c r="B50" i="24"/>
  <c r="I49" i="24"/>
  <c r="B49" i="24"/>
  <c r="I48" i="24"/>
  <c r="B48" i="24"/>
  <c r="I47" i="24"/>
  <c r="B47" i="24"/>
  <c r="I46" i="24"/>
  <c r="B46" i="24"/>
  <c r="I45" i="24"/>
  <c r="B45" i="24"/>
  <c r="I44" i="24"/>
  <c r="B44" i="24"/>
  <c r="I43" i="24"/>
  <c r="B43" i="24"/>
  <c r="I42" i="24"/>
  <c r="B42" i="24"/>
  <c r="I41" i="24"/>
  <c r="B41" i="24"/>
  <c r="I40" i="24"/>
  <c r="B40" i="24"/>
  <c r="I39" i="24"/>
  <c r="B39" i="24"/>
  <c r="I38" i="24"/>
  <c r="B38" i="24"/>
  <c r="I37" i="24"/>
  <c r="B37" i="24"/>
  <c r="I36" i="24"/>
  <c r="B36" i="24"/>
  <c r="I35" i="24"/>
  <c r="B35" i="24"/>
  <c r="I34" i="24"/>
  <c r="B34" i="24"/>
  <c r="I33" i="24"/>
  <c r="B33" i="24"/>
  <c r="I32" i="24"/>
  <c r="B32" i="24"/>
  <c r="I31" i="24"/>
  <c r="B31" i="24"/>
  <c r="I30" i="24"/>
  <c r="B30" i="24"/>
  <c r="I29" i="24"/>
  <c r="B29" i="24"/>
  <c r="I28" i="24"/>
  <c r="B28" i="24"/>
  <c r="I27" i="24"/>
  <c r="B27" i="24"/>
  <c r="I26" i="24"/>
  <c r="I25" i="24"/>
  <c r="I24" i="24"/>
  <c r="I23" i="24"/>
  <c r="I22" i="24"/>
  <c r="I21" i="24"/>
  <c r="I20" i="24"/>
  <c r="I19" i="24"/>
  <c r="I18" i="24"/>
  <c r="I17" i="24"/>
  <c r="I16" i="24"/>
  <c r="I15" i="24"/>
  <c r="I14" i="24"/>
  <c r="I13" i="24"/>
  <c r="I12" i="24"/>
  <c r="I11" i="24"/>
  <c r="I10" i="24"/>
  <c r="I9" i="24"/>
  <c r="I8" i="24"/>
  <c r="I7" i="24"/>
  <c r="I6" i="24"/>
  <c r="I5" i="24"/>
  <c r="I4" i="24"/>
  <c r="I3" i="24"/>
  <c r="I2" i="24"/>
  <c r="C103" i="23" a="1"/>
  <c r="I101" i="23"/>
  <c r="B101" i="23"/>
  <c r="I100" i="23"/>
  <c r="B100" i="23"/>
  <c r="I99" i="23"/>
  <c r="B99" i="23"/>
  <c r="I98" i="23"/>
  <c r="B98" i="23"/>
  <c r="I97" i="23"/>
  <c r="B97" i="23"/>
  <c r="I96" i="23"/>
  <c r="B96" i="23"/>
  <c r="I95" i="23"/>
  <c r="B95" i="23"/>
  <c r="I94" i="23"/>
  <c r="B94" i="23"/>
  <c r="I93" i="23"/>
  <c r="B93" i="23"/>
  <c r="I92" i="23"/>
  <c r="B92" i="23"/>
  <c r="I91" i="23"/>
  <c r="B91" i="23"/>
  <c r="I90" i="23"/>
  <c r="B90" i="23"/>
  <c r="I89" i="23"/>
  <c r="B89" i="23"/>
  <c r="I88" i="23"/>
  <c r="B88" i="23"/>
  <c r="I87" i="23"/>
  <c r="B87" i="23"/>
  <c r="I86" i="23"/>
  <c r="B86" i="23"/>
  <c r="I85" i="23"/>
  <c r="B85" i="23"/>
  <c r="I84" i="23"/>
  <c r="B84" i="23"/>
  <c r="I83" i="23"/>
  <c r="B83" i="23"/>
  <c r="I82" i="23"/>
  <c r="B82" i="23"/>
  <c r="I81" i="23"/>
  <c r="B81" i="23"/>
  <c r="I80" i="23"/>
  <c r="B80" i="23"/>
  <c r="I79" i="23"/>
  <c r="B79" i="23"/>
  <c r="I78" i="23"/>
  <c r="B78" i="23"/>
  <c r="I77" i="23"/>
  <c r="B77" i="23"/>
  <c r="I76" i="23"/>
  <c r="B76" i="23"/>
  <c r="I75" i="23"/>
  <c r="B75" i="23"/>
  <c r="I74" i="23"/>
  <c r="B74" i="23"/>
  <c r="I73" i="23"/>
  <c r="B73" i="23"/>
  <c r="I72" i="23"/>
  <c r="B72" i="23"/>
  <c r="I71" i="23"/>
  <c r="B71" i="23"/>
  <c r="I70" i="23"/>
  <c r="B70" i="23"/>
  <c r="I69" i="23"/>
  <c r="B69" i="23"/>
  <c r="I68" i="23"/>
  <c r="B68" i="23"/>
  <c r="I67" i="23"/>
  <c r="B67" i="23"/>
  <c r="I66" i="23"/>
  <c r="B66" i="23"/>
  <c r="I65" i="23"/>
  <c r="B65" i="23"/>
  <c r="I64" i="23"/>
  <c r="B64" i="23"/>
  <c r="I63" i="23"/>
  <c r="B63" i="23"/>
  <c r="I62" i="23"/>
  <c r="B62" i="23"/>
  <c r="I61" i="23"/>
  <c r="B61" i="23"/>
  <c r="I60" i="23"/>
  <c r="B60" i="23"/>
  <c r="I59" i="23"/>
  <c r="B59" i="23"/>
  <c r="I58" i="23"/>
  <c r="B58" i="23"/>
  <c r="I57" i="23"/>
  <c r="B57" i="23"/>
  <c r="I56" i="23"/>
  <c r="B56" i="23"/>
  <c r="I55" i="23"/>
  <c r="B55" i="23"/>
  <c r="I54" i="23"/>
  <c r="B54" i="23"/>
  <c r="I53" i="23"/>
  <c r="B53" i="23"/>
  <c r="I52" i="23"/>
  <c r="B52" i="23"/>
  <c r="I51" i="23"/>
  <c r="B51" i="23"/>
  <c r="I50" i="23"/>
  <c r="B50" i="23"/>
  <c r="I49" i="23"/>
  <c r="B49" i="23"/>
  <c r="I48" i="23"/>
  <c r="B48" i="23"/>
  <c r="I47" i="23"/>
  <c r="B47" i="23"/>
  <c r="I46" i="23"/>
  <c r="B46" i="23"/>
  <c r="I45" i="23"/>
  <c r="B45" i="23"/>
  <c r="I44" i="23"/>
  <c r="B44" i="23"/>
  <c r="I43" i="23"/>
  <c r="B43" i="23"/>
  <c r="I42" i="23"/>
  <c r="B42" i="23"/>
  <c r="I41" i="23"/>
  <c r="B41" i="23"/>
  <c r="I40" i="23"/>
  <c r="B40" i="23"/>
  <c r="I39" i="23"/>
  <c r="B39" i="23"/>
  <c r="I38" i="23"/>
  <c r="B38" i="23"/>
  <c r="I37" i="23"/>
  <c r="B37" i="23"/>
  <c r="I36" i="23"/>
  <c r="B36" i="23"/>
  <c r="I35" i="23"/>
  <c r="B35" i="23"/>
  <c r="I34" i="23"/>
  <c r="B34" i="23"/>
  <c r="I33" i="23"/>
  <c r="B33" i="23"/>
  <c r="I32" i="23"/>
  <c r="B32" i="23"/>
  <c r="I31" i="23"/>
  <c r="I30" i="23"/>
  <c r="I29" i="23"/>
  <c r="I28" i="23"/>
  <c r="I27" i="23"/>
  <c r="I26" i="23"/>
  <c r="I25" i="23"/>
  <c r="I24" i="23"/>
  <c r="I23" i="23"/>
  <c r="I22" i="23"/>
  <c r="I21" i="23"/>
  <c r="I20" i="23"/>
  <c r="I19" i="23"/>
  <c r="I18" i="23"/>
  <c r="I17" i="23"/>
  <c r="I16" i="23"/>
  <c r="I15" i="23"/>
  <c r="I14" i="23"/>
  <c r="I13" i="23"/>
  <c r="I12" i="23"/>
  <c r="I11" i="23"/>
  <c r="I10" i="23"/>
  <c r="I9" i="23"/>
  <c r="I8" i="23"/>
  <c r="I7" i="23"/>
  <c r="I6" i="23"/>
  <c r="I5" i="23"/>
  <c r="I4" i="23"/>
  <c r="I3" i="23"/>
  <c r="I2" i="23"/>
  <c r="C103" i="22" a="1"/>
  <c r="I101" i="22"/>
  <c r="B101" i="22"/>
  <c r="I100" i="22"/>
  <c r="B100" i="22"/>
  <c r="I99" i="22"/>
  <c r="B99" i="22"/>
  <c r="I98" i="22"/>
  <c r="B98" i="22"/>
  <c r="I97" i="22"/>
  <c r="B97" i="22"/>
  <c r="I96" i="22"/>
  <c r="B96" i="22"/>
  <c r="I95" i="22"/>
  <c r="B95" i="22"/>
  <c r="I94" i="22"/>
  <c r="B94" i="22"/>
  <c r="I93" i="22"/>
  <c r="B93" i="22"/>
  <c r="I92" i="22"/>
  <c r="B92" i="22"/>
  <c r="I91" i="22"/>
  <c r="B91" i="22"/>
  <c r="I90" i="22"/>
  <c r="B90" i="22"/>
  <c r="I89" i="22"/>
  <c r="B89" i="22"/>
  <c r="I88" i="22"/>
  <c r="B88" i="22"/>
  <c r="I87" i="22"/>
  <c r="B87" i="22"/>
  <c r="I86" i="22"/>
  <c r="B86" i="22"/>
  <c r="I85" i="22"/>
  <c r="B85" i="22"/>
  <c r="I84" i="22"/>
  <c r="B84" i="22"/>
  <c r="I83" i="22"/>
  <c r="B83" i="22"/>
  <c r="I82" i="22"/>
  <c r="B82" i="22"/>
  <c r="I81" i="22"/>
  <c r="B81" i="22"/>
  <c r="I80" i="22"/>
  <c r="B80" i="22"/>
  <c r="I79" i="22"/>
  <c r="B79" i="22"/>
  <c r="I78" i="22"/>
  <c r="B78" i="22"/>
  <c r="I77" i="22"/>
  <c r="B77" i="22"/>
  <c r="I76" i="22"/>
  <c r="B76" i="22"/>
  <c r="I75" i="22"/>
  <c r="B75" i="22"/>
  <c r="I74" i="22"/>
  <c r="B74" i="22"/>
  <c r="I73" i="22"/>
  <c r="B73" i="22"/>
  <c r="I72" i="22"/>
  <c r="B72" i="22"/>
  <c r="I71" i="22"/>
  <c r="B71" i="22"/>
  <c r="I70" i="22"/>
  <c r="B70" i="22"/>
  <c r="I69" i="22"/>
  <c r="B69" i="22"/>
  <c r="I68" i="22"/>
  <c r="B68" i="22"/>
  <c r="I67" i="22"/>
  <c r="B67" i="22"/>
  <c r="I66" i="22"/>
  <c r="B66" i="22"/>
  <c r="I65" i="22"/>
  <c r="B65" i="22"/>
  <c r="I64" i="22"/>
  <c r="B64" i="22"/>
  <c r="I63" i="22"/>
  <c r="B63" i="22"/>
  <c r="I62" i="22"/>
  <c r="B62" i="22"/>
  <c r="I61" i="22"/>
  <c r="B61" i="22"/>
  <c r="I60" i="22"/>
  <c r="B60" i="22"/>
  <c r="I59" i="22"/>
  <c r="B59" i="22"/>
  <c r="I58" i="22"/>
  <c r="B58" i="22"/>
  <c r="I57" i="22"/>
  <c r="B57" i="22"/>
  <c r="I56" i="22"/>
  <c r="B56" i="22"/>
  <c r="I55" i="22"/>
  <c r="B55" i="22"/>
  <c r="I54" i="22"/>
  <c r="B54" i="22"/>
  <c r="I53" i="22"/>
  <c r="B53" i="22"/>
  <c r="I52" i="22"/>
  <c r="B52" i="22"/>
  <c r="I51" i="22"/>
  <c r="B51" i="22"/>
  <c r="I50" i="22"/>
  <c r="B50" i="22"/>
  <c r="I49" i="22"/>
  <c r="B49" i="22"/>
  <c r="I48" i="22"/>
  <c r="B48" i="22"/>
  <c r="I47" i="22"/>
  <c r="B47" i="22"/>
  <c r="I46" i="22"/>
  <c r="B46" i="22"/>
  <c r="I45" i="22"/>
  <c r="B45" i="22"/>
  <c r="I44" i="22"/>
  <c r="B44" i="22"/>
  <c r="I43" i="22"/>
  <c r="B43" i="22"/>
  <c r="I42" i="22"/>
  <c r="B42" i="22"/>
  <c r="I41" i="22"/>
  <c r="B41" i="22"/>
  <c r="I40" i="22"/>
  <c r="B40" i="22"/>
  <c r="I39" i="22"/>
  <c r="B39" i="22"/>
  <c r="J38" i="22"/>
  <c r="I38" i="22"/>
  <c r="H38" i="22"/>
  <c r="J37" i="22"/>
  <c r="I37" i="22"/>
  <c r="H37" i="22"/>
  <c r="J36" i="22"/>
  <c r="I36" i="22"/>
  <c r="H36" i="22"/>
  <c r="J35" i="22"/>
  <c r="I35" i="22"/>
  <c r="H35" i="22"/>
  <c r="J34" i="22"/>
  <c r="I34" i="22"/>
  <c r="H34" i="22"/>
  <c r="J33" i="22"/>
  <c r="I33" i="22"/>
  <c r="H33" i="22"/>
  <c r="J32" i="22"/>
  <c r="I32" i="22"/>
  <c r="H32" i="22"/>
  <c r="J31" i="22"/>
  <c r="I31" i="22"/>
  <c r="H31" i="22"/>
  <c r="J30" i="22"/>
  <c r="I30" i="22"/>
  <c r="H30" i="22"/>
  <c r="J29" i="22"/>
  <c r="I29" i="22"/>
  <c r="H29" i="22"/>
  <c r="J28" i="22"/>
  <c r="I28" i="22"/>
  <c r="H28" i="22"/>
  <c r="J27" i="22"/>
  <c r="I27" i="22"/>
  <c r="H27" i="22"/>
  <c r="J26" i="22"/>
  <c r="I26" i="22"/>
  <c r="H26" i="22"/>
  <c r="J25" i="22"/>
  <c r="I25" i="22"/>
  <c r="H25" i="22"/>
  <c r="J24" i="22"/>
  <c r="I24" i="22"/>
  <c r="H24" i="22"/>
  <c r="J23" i="22"/>
  <c r="I23" i="22"/>
  <c r="H23" i="22"/>
  <c r="J22" i="22"/>
  <c r="I22" i="22"/>
  <c r="H22" i="22"/>
  <c r="J21" i="22"/>
  <c r="I21" i="22"/>
  <c r="H21" i="22"/>
  <c r="J20" i="22"/>
  <c r="I20" i="22"/>
  <c r="H20" i="22"/>
  <c r="J19" i="22"/>
  <c r="I19" i="22"/>
  <c r="H19" i="22"/>
  <c r="J18" i="22"/>
  <c r="I18" i="22"/>
  <c r="H18" i="22"/>
  <c r="J17" i="22"/>
  <c r="I17" i="22"/>
  <c r="H17" i="22"/>
  <c r="J16" i="22"/>
  <c r="I16" i="22"/>
  <c r="H16" i="22"/>
  <c r="J15" i="22"/>
  <c r="I15" i="22"/>
  <c r="H15" i="22"/>
  <c r="J14" i="22"/>
  <c r="I14" i="22"/>
  <c r="H14" i="22"/>
  <c r="J13" i="22"/>
  <c r="I13" i="22"/>
  <c r="H13" i="22"/>
  <c r="J12" i="22"/>
  <c r="I12" i="22"/>
  <c r="H12" i="22"/>
  <c r="J11" i="22"/>
  <c r="I11" i="22"/>
  <c r="H11" i="22"/>
  <c r="J10" i="22"/>
  <c r="I10" i="22"/>
  <c r="H10" i="22"/>
  <c r="J9" i="22"/>
  <c r="I9" i="22"/>
  <c r="H9" i="22"/>
  <c r="J8" i="22"/>
  <c r="I8" i="22"/>
  <c r="H8" i="22"/>
  <c r="J7" i="22"/>
  <c r="I7" i="22"/>
  <c r="H7" i="22"/>
  <c r="J6" i="22"/>
  <c r="I6" i="22"/>
  <c r="H6" i="22"/>
  <c r="J5" i="22"/>
  <c r="I5" i="22"/>
  <c r="H5" i="22"/>
  <c r="J4" i="22"/>
  <c r="I4" i="22"/>
  <c r="H4" i="22"/>
  <c r="J3" i="22"/>
  <c r="I3" i="22"/>
  <c r="H3" i="22"/>
  <c r="J2" i="22"/>
  <c r="I2" i="22"/>
  <c r="H2" i="22"/>
  <c r="C103" i="21" a="1"/>
  <c r="I101" i="21"/>
  <c r="B101" i="21"/>
  <c r="I100" i="21"/>
  <c r="B100" i="21"/>
  <c r="I99" i="21"/>
  <c r="B99" i="21"/>
  <c r="I98" i="21"/>
  <c r="B98" i="21"/>
  <c r="I97" i="21"/>
  <c r="B97" i="21"/>
  <c r="I96" i="21"/>
  <c r="B96" i="21"/>
  <c r="I95" i="21"/>
  <c r="B95" i="21"/>
  <c r="I94" i="21"/>
  <c r="B94" i="21"/>
  <c r="I93" i="21"/>
  <c r="B93" i="21"/>
  <c r="I92" i="21"/>
  <c r="B92" i="21"/>
  <c r="I91" i="21"/>
  <c r="B91" i="21"/>
  <c r="I90" i="21"/>
  <c r="B90" i="21"/>
  <c r="I89" i="21"/>
  <c r="B89" i="21"/>
  <c r="I88" i="21"/>
  <c r="B88" i="21"/>
  <c r="I87" i="21"/>
  <c r="B87" i="21"/>
  <c r="I86" i="21"/>
  <c r="B86" i="21"/>
  <c r="I85" i="21"/>
  <c r="B85" i="21"/>
  <c r="I84" i="21"/>
  <c r="B84" i="21"/>
  <c r="I83" i="21"/>
  <c r="B83" i="21"/>
  <c r="I82" i="21"/>
  <c r="B82" i="21"/>
  <c r="I81" i="21"/>
  <c r="B81" i="21"/>
  <c r="I80" i="21"/>
  <c r="B80" i="21"/>
  <c r="I79" i="21"/>
  <c r="B79" i="21"/>
  <c r="I78" i="21"/>
  <c r="B78" i="21"/>
  <c r="I77" i="21"/>
  <c r="B77" i="21"/>
  <c r="I76" i="21"/>
  <c r="B76" i="21"/>
  <c r="I75" i="21"/>
  <c r="B75" i="21"/>
  <c r="I74" i="21"/>
  <c r="B74" i="21"/>
  <c r="I73" i="21"/>
  <c r="B73" i="21"/>
  <c r="I72" i="21"/>
  <c r="B72" i="21"/>
  <c r="I71" i="21"/>
  <c r="B71" i="21"/>
  <c r="I70" i="21"/>
  <c r="B70" i="21"/>
  <c r="I69" i="21"/>
  <c r="B69" i="21"/>
  <c r="I68" i="21"/>
  <c r="B68" i="21"/>
  <c r="I67" i="21"/>
  <c r="B67" i="21"/>
  <c r="I66" i="21"/>
  <c r="B66" i="21"/>
  <c r="I65" i="21"/>
  <c r="B65" i="21"/>
  <c r="I64" i="21"/>
  <c r="B64" i="21"/>
  <c r="I63" i="21"/>
  <c r="B63" i="21"/>
  <c r="I62" i="21"/>
  <c r="B62" i="21"/>
  <c r="I61" i="21"/>
  <c r="B61" i="21"/>
  <c r="I60" i="21"/>
  <c r="B60" i="21"/>
  <c r="I59" i="21"/>
  <c r="B59" i="21"/>
  <c r="I58" i="21"/>
  <c r="B58" i="21"/>
  <c r="I57" i="21"/>
  <c r="B57" i="21"/>
  <c r="I56" i="21"/>
  <c r="B56" i="21"/>
  <c r="I55" i="21"/>
  <c r="B55" i="21"/>
  <c r="I54" i="21"/>
  <c r="B54" i="21"/>
  <c r="I53" i="21"/>
  <c r="B53" i="21"/>
  <c r="I52" i="21"/>
  <c r="B52" i="21"/>
  <c r="I51" i="21"/>
  <c r="B51" i="21"/>
  <c r="I50" i="21"/>
  <c r="B50" i="21"/>
  <c r="I49" i="21"/>
  <c r="B49" i="21"/>
  <c r="I48" i="21"/>
  <c r="B48" i="21"/>
  <c r="I47" i="21"/>
  <c r="B47" i="21"/>
  <c r="I46" i="21"/>
  <c r="B46" i="21"/>
  <c r="I45" i="21"/>
  <c r="B45" i="21"/>
  <c r="I44" i="21"/>
  <c r="B44" i="21"/>
  <c r="I43" i="21"/>
  <c r="B43" i="21"/>
  <c r="I42" i="21"/>
  <c r="B42" i="21"/>
  <c r="I41" i="21"/>
  <c r="B41" i="21"/>
  <c r="I40" i="21"/>
  <c r="B40" i="21"/>
  <c r="I39" i="21"/>
  <c r="B39" i="21"/>
  <c r="I38" i="21"/>
  <c r="B38" i="21"/>
  <c r="I37" i="21"/>
  <c r="B37" i="21"/>
  <c r="J36" i="21"/>
  <c r="I36" i="21"/>
  <c r="H36" i="21"/>
  <c r="J35" i="21"/>
  <c r="I35" i="21"/>
  <c r="H35" i="21"/>
  <c r="J34" i="21"/>
  <c r="I34" i="21"/>
  <c r="H34" i="21"/>
  <c r="J33" i="21"/>
  <c r="I33" i="21"/>
  <c r="H33" i="21"/>
  <c r="I32" i="21"/>
  <c r="J31" i="21"/>
  <c r="I31" i="21"/>
  <c r="H31" i="21"/>
  <c r="J30" i="21"/>
  <c r="I30" i="21"/>
  <c r="H30" i="21"/>
  <c r="J29" i="21"/>
  <c r="I29" i="21"/>
  <c r="H29" i="21"/>
  <c r="J28" i="21"/>
  <c r="I28" i="21"/>
  <c r="H28" i="21"/>
  <c r="J27" i="21"/>
  <c r="I27" i="21"/>
  <c r="H27" i="21"/>
  <c r="J26" i="21"/>
  <c r="I26" i="21"/>
  <c r="H26" i="21"/>
  <c r="J25" i="21"/>
  <c r="I25" i="21"/>
  <c r="H25" i="21"/>
  <c r="J24" i="21"/>
  <c r="I24" i="21"/>
  <c r="H24" i="21"/>
  <c r="J23" i="21"/>
  <c r="I23" i="21"/>
  <c r="H23" i="21"/>
  <c r="J22" i="21"/>
  <c r="I22" i="21"/>
  <c r="H22" i="21"/>
  <c r="J21" i="21"/>
  <c r="I21" i="21"/>
  <c r="H21" i="21"/>
  <c r="J20" i="21"/>
  <c r="I20" i="21"/>
  <c r="H20" i="21"/>
  <c r="J19" i="21"/>
  <c r="I19" i="21"/>
  <c r="H19" i="21"/>
  <c r="J18" i="21"/>
  <c r="I18" i="21"/>
  <c r="H18" i="21"/>
  <c r="J17" i="21"/>
  <c r="I17" i="21"/>
  <c r="H17" i="21"/>
  <c r="J16" i="21"/>
  <c r="I16" i="21"/>
  <c r="H16" i="21"/>
  <c r="J15" i="21"/>
  <c r="I15" i="21"/>
  <c r="H15" i="21"/>
  <c r="J14" i="21"/>
  <c r="I14" i="21"/>
  <c r="H14" i="21"/>
  <c r="J13" i="21"/>
  <c r="I13" i="21"/>
  <c r="H13" i="21"/>
  <c r="J12" i="21"/>
  <c r="I12" i="21"/>
  <c r="H12" i="21"/>
  <c r="J11" i="21"/>
  <c r="I11" i="21"/>
  <c r="H11" i="21"/>
  <c r="J10" i="21"/>
  <c r="I10" i="21"/>
  <c r="H10" i="21"/>
  <c r="J9" i="21"/>
  <c r="I9" i="21"/>
  <c r="H9" i="21"/>
  <c r="J8" i="21"/>
  <c r="I8" i="21"/>
  <c r="H8" i="21"/>
  <c r="J7" i="21"/>
  <c r="I7" i="21"/>
  <c r="H7" i="21"/>
  <c r="J6" i="21"/>
  <c r="I6" i="21"/>
  <c r="H6" i="21"/>
  <c r="J5" i="21"/>
  <c r="I5" i="21"/>
  <c r="H5" i="21"/>
  <c r="J4" i="21"/>
  <c r="I4" i="21"/>
  <c r="H4" i="21"/>
  <c r="J3" i="21"/>
  <c r="I3" i="21"/>
  <c r="H3" i="21"/>
  <c r="J2" i="21"/>
  <c r="I2" i="21"/>
  <c r="H2" i="21"/>
  <c r="C103" i="20" a="1"/>
  <c r="I101" i="20"/>
  <c r="B101" i="20"/>
  <c r="I100" i="20"/>
  <c r="B100" i="20"/>
  <c r="I99" i="20"/>
  <c r="B99" i="20"/>
  <c r="I98" i="20"/>
  <c r="B98" i="20"/>
  <c r="I97" i="20"/>
  <c r="B97" i="20"/>
  <c r="I96" i="20"/>
  <c r="B96" i="20"/>
  <c r="I95" i="20"/>
  <c r="B95" i="20"/>
  <c r="I94" i="20"/>
  <c r="B94" i="20"/>
  <c r="I93" i="20"/>
  <c r="B93" i="20"/>
  <c r="I92" i="20"/>
  <c r="B92" i="20"/>
  <c r="I91" i="20"/>
  <c r="B91" i="20"/>
  <c r="I90" i="20"/>
  <c r="B90" i="20"/>
  <c r="I89" i="20"/>
  <c r="B89" i="20"/>
  <c r="I88" i="20"/>
  <c r="B88" i="20"/>
  <c r="I87" i="20"/>
  <c r="B87" i="20"/>
  <c r="I86" i="20"/>
  <c r="B86" i="20"/>
  <c r="I85" i="20"/>
  <c r="B85" i="20"/>
  <c r="I84" i="20"/>
  <c r="B84" i="20"/>
  <c r="I83" i="20"/>
  <c r="B83" i="20"/>
  <c r="I82" i="20"/>
  <c r="B82" i="20"/>
  <c r="I81" i="20"/>
  <c r="B81" i="20"/>
  <c r="I80" i="20"/>
  <c r="B80" i="20"/>
  <c r="I79" i="20"/>
  <c r="B79" i="20"/>
  <c r="I78" i="20"/>
  <c r="B78" i="20"/>
  <c r="I77" i="20"/>
  <c r="B77" i="20"/>
  <c r="I76" i="20"/>
  <c r="B76" i="20"/>
  <c r="I75" i="20"/>
  <c r="B75" i="20"/>
  <c r="I74" i="20"/>
  <c r="B74" i="20"/>
  <c r="I73" i="20"/>
  <c r="B73" i="20"/>
  <c r="I72" i="20"/>
  <c r="B72" i="20"/>
  <c r="I71" i="20"/>
  <c r="B71" i="20"/>
  <c r="I70" i="20"/>
  <c r="B70" i="20"/>
  <c r="I69" i="20"/>
  <c r="B69" i="20"/>
  <c r="I68" i="20"/>
  <c r="B68" i="20"/>
  <c r="I67" i="20"/>
  <c r="B67" i="20"/>
  <c r="I66" i="20"/>
  <c r="B66" i="20"/>
  <c r="I65" i="20"/>
  <c r="B65" i="20"/>
  <c r="I64" i="20"/>
  <c r="B64" i="20"/>
  <c r="I63" i="20"/>
  <c r="B63" i="20"/>
  <c r="I62" i="20"/>
  <c r="B62" i="20"/>
  <c r="I61" i="20"/>
  <c r="B61" i="20"/>
  <c r="I60" i="20"/>
  <c r="B60" i="20"/>
  <c r="I59" i="20"/>
  <c r="B59" i="20"/>
  <c r="I58" i="20"/>
  <c r="B58" i="20"/>
  <c r="I57" i="20"/>
  <c r="B57" i="20"/>
  <c r="I56" i="20"/>
  <c r="B56" i="20"/>
  <c r="I55" i="20"/>
  <c r="B55" i="20"/>
  <c r="I54" i="20"/>
  <c r="B54" i="20"/>
  <c r="I53" i="20"/>
  <c r="B53" i="20"/>
  <c r="I52" i="20"/>
  <c r="B52" i="20"/>
  <c r="I51" i="20"/>
  <c r="B51" i="20"/>
  <c r="I50" i="20"/>
  <c r="B50" i="20"/>
  <c r="I49" i="20"/>
  <c r="B49" i="20"/>
  <c r="I48" i="20"/>
  <c r="B48" i="20"/>
  <c r="I47" i="20"/>
  <c r="B47" i="20"/>
  <c r="I46" i="20"/>
  <c r="B46" i="20"/>
  <c r="I45" i="20"/>
  <c r="B45" i="20"/>
  <c r="I44" i="20"/>
  <c r="B44" i="20"/>
  <c r="I43" i="20"/>
  <c r="B43" i="20"/>
  <c r="I42" i="20"/>
  <c r="B42" i="20"/>
  <c r="I41" i="20"/>
  <c r="B41" i="20"/>
  <c r="I40" i="20"/>
  <c r="B40" i="20"/>
  <c r="I39" i="20"/>
  <c r="B39" i="20"/>
  <c r="I38" i="20"/>
  <c r="B38" i="20"/>
  <c r="I37" i="20"/>
  <c r="B37" i="20"/>
  <c r="I36" i="20"/>
  <c r="B36" i="20"/>
  <c r="I35" i="20"/>
  <c r="B35" i="20"/>
  <c r="I34" i="20"/>
  <c r="B34" i="20"/>
  <c r="I33" i="20"/>
  <c r="B33" i="20"/>
  <c r="I32" i="20"/>
  <c r="B32" i="20"/>
  <c r="I31" i="20"/>
  <c r="B31" i="20"/>
  <c r="I30" i="20"/>
  <c r="B30" i="20"/>
  <c r="I29" i="20"/>
  <c r="B29" i="20"/>
  <c r="I28" i="20"/>
  <c r="B28" i="20"/>
  <c r="I27" i="20"/>
  <c r="B27" i="20"/>
  <c r="I26" i="20"/>
  <c r="B26" i="20"/>
  <c r="I25" i="20"/>
  <c r="B25" i="20"/>
  <c r="I24" i="20"/>
  <c r="B24" i="20"/>
  <c r="J23" i="20"/>
  <c r="I23" i="20"/>
  <c r="H23" i="20"/>
  <c r="J22" i="20"/>
  <c r="I22" i="20"/>
  <c r="H22" i="20"/>
  <c r="J21" i="20"/>
  <c r="I21" i="20"/>
  <c r="H21" i="20"/>
  <c r="J20" i="20"/>
  <c r="I20" i="20"/>
  <c r="H20" i="20"/>
  <c r="J19" i="20"/>
  <c r="I19" i="20"/>
  <c r="H19" i="20"/>
  <c r="J18" i="20"/>
  <c r="I18" i="20"/>
  <c r="H18" i="20"/>
  <c r="J17" i="20"/>
  <c r="I17" i="20"/>
  <c r="H17" i="20"/>
  <c r="J16" i="20"/>
  <c r="I16" i="20"/>
  <c r="H16" i="20"/>
  <c r="J15" i="20"/>
  <c r="I15" i="20"/>
  <c r="H15" i="20"/>
  <c r="J14" i="20"/>
  <c r="I14" i="20"/>
  <c r="H14" i="20"/>
  <c r="J13" i="20"/>
  <c r="I13" i="20"/>
  <c r="H13" i="20"/>
  <c r="J12" i="20"/>
  <c r="I12" i="20"/>
  <c r="H12" i="20"/>
  <c r="J11" i="20"/>
  <c r="I11" i="20"/>
  <c r="H11" i="20"/>
  <c r="J10" i="20"/>
  <c r="I10" i="20"/>
  <c r="H10" i="20"/>
  <c r="J9" i="20"/>
  <c r="I9" i="20"/>
  <c r="H9" i="20"/>
  <c r="J8" i="20"/>
  <c r="I8" i="20"/>
  <c r="H8" i="20"/>
  <c r="J7" i="20"/>
  <c r="I7" i="20"/>
  <c r="H7" i="20"/>
  <c r="J6" i="20"/>
  <c r="I6" i="20"/>
  <c r="H6" i="20"/>
  <c r="J5" i="20"/>
  <c r="I5" i="20"/>
  <c r="H5" i="20"/>
  <c r="J4" i="20"/>
  <c r="I4" i="20"/>
  <c r="H4" i="20"/>
  <c r="J3" i="20"/>
  <c r="I3" i="20"/>
  <c r="H3" i="20"/>
  <c r="J2" i="20"/>
  <c r="I2" i="20"/>
  <c r="H2" i="20"/>
  <c r="C103" i="19" a="1"/>
  <c r="I101" i="19"/>
  <c r="B101" i="19"/>
  <c r="I100" i="19"/>
  <c r="B100" i="19"/>
  <c r="I99" i="19"/>
  <c r="B99" i="19"/>
  <c r="I98" i="19"/>
  <c r="B98" i="19"/>
  <c r="I97" i="19"/>
  <c r="B97" i="19"/>
  <c r="I96" i="19"/>
  <c r="B96" i="19"/>
  <c r="I95" i="19"/>
  <c r="B95" i="19"/>
  <c r="I94" i="19"/>
  <c r="B94" i="19"/>
  <c r="I93" i="19"/>
  <c r="B93" i="19"/>
  <c r="I92" i="19"/>
  <c r="B92" i="19"/>
  <c r="I91" i="19"/>
  <c r="B91" i="19"/>
  <c r="I90" i="19"/>
  <c r="B90" i="19"/>
  <c r="I89" i="19"/>
  <c r="B89" i="19"/>
  <c r="I88" i="19"/>
  <c r="B88" i="19"/>
  <c r="I87" i="19"/>
  <c r="B87" i="19"/>
  <c r="I86" i="19"/>
  <c r="B86" i="19"/>
  <c r="I85" i="19"/>
  <c r="B85" i="19"/>
  <c r="I84" i="19"/>
  <c r="B84" i="19"/>
  <c r="I83" i="19"/>
  <c r="B83" i="19"/>
  <c r="I82" i="19"/>
  <c r="B82" i="19"/>
  <c r="I81" i="19"/>
  <c r="B81" i="19"/>
  <c r="I80" i="19"/>
  <c r="B80" i="19"/>
  <c r="I79" i="19"/>
  <c r="B79" i="19"/>
  <c r="I78" i="19"/>
  <c r="B78" i="19"/>
  <c r="I77" i="19"/>
  <c r="B77" i="19"/>
  <c r="I76" i="19"/>
  <c r="B76" i="19"/>
  <c r="I75" i="19"/>
  <c r="B75" i="19"/>
  <c r="I74" i="19"/>
  <c r="B74" i="19"/>
  <c r="I73" i="19"/>
  <c r="B73" i="19"/>
  <c r="I72" i="19"/>
  <c r="B72" i="19"/>
  <c r="I71" i="19"/>
  <c r="B71" i="19"/>
  <c r="I70" i="19"/>
  <c r="B70" i="19"/>
  <c r="I69" i="19"/>
  <c r="B69" i="19"/>
  <c r="I68" i="19"/>
  <c r="B68" i="19"/>
  <c r="I67" i="19"/>
  <c r="B67" i="19"/>
  <c r="I66" i="19"/>
  <c r="B66" i="19"/>
  <c r="I65" i="19"/>
  <c r="B65" i="19"/>
  <c r="I64" i="19"/>
  <c r="B64" i="19"/>
  <c r="I63" i="19"/>
  <c r="B63" i="19"/>
  <c r="I62" i="19"/>
  <c r="B62" i="19"/>
  <c r="I61" i="19"/>
  <c r="B61" i="19"/>
  <c r="I60" i="19"/>
  <c r="B60" i="19"/>
  <c r="I59" i="19"/>
  <c r="B59" i="19"/>
  <c r="I58" i="19"/>
  <c r="B58" i="19"/>
  <c r="I57" i="19"/>
  <c r="B57" i="19"/>
  <c r="I56" i="19"/>
  <c r="B56" i="19"/>
  <c r="I55" i="19"/>
  <c r="B55" i="19"/>
  <c r="I54" i="19"/>
  <c r="B54" i="19"/>
  <c r="I53" i="19"/>
  <c r="B53" i="19"/>
  <c r="I52" i="19"/>
  <c r="B52" i="19"/>
  <c r="I51" i="19"/>
  <c r="B51" i="19"/>
  <c r="I50" i="19"/>
  <c r="B50" i="19"/>
  <c r="I49" i="19"/>
  <c r="B49" i="19"/>
  <c r="I48" i="19"/>
  <c r="B48" i="19"/>
  <c r="I47" i="19"/>
  <c r="B47" i="19"/>
  <c r="I46" i="19"/>
  <c r="B46" i="19"/>
  <c r="I45" i="19"/>
  <c r="B45" i="19"/>
  <c r="I44" i="19"/>
  <c r="B44" i="19"/>
  <c r="I43" i="19"/>
  <c r="B43" i="19"/>
  <c r="I42" i="19"/>
  <c r="B42" i="19"/>
  <c r="I41" i="19"/>
  <c r="B41" i="19"/>
  <c r="I40" i="19"/>
  <c r="B40" i="19"/>
  <c r="I39" i="19"/>
  <c r="B39" i="19"/>
  <c r="I38" i="19"/>
  <c r="B38" i="19"/>
  <c r="I37" i="19"/>
  <c r="B37" i="19"/>
  <c r="I36" i="19"/>
  <c r="B36" i="19"/>
  <c r="I35" i="19"/>
  <c r="B35" i="19"/>
  <c r="I34" i="19"/>
  <c r="B34" i="19"/>
  <c r="I33" i="19"/>
  <c r="B33" i="19"/>
  <c r="I32" i="19"/>
  <c r="B32" i="19"/>
  <c r="I31" i="19"/>
  <c r="B31" i="19"/>
  <c r="I30" i="19"/>
  <c r="B30" i="19"/>
  <c r="I29" i="19"/>
  <c r="B29" i="19"/>
  <c r="I28" i="19"/>
  <c r="B28" i="19"/>
  <c r="I27" i="19"/>
  <c r="B27" i="19"/>
  <c r="I26" i="19"/>
  <c r="B26" i="19"/>
  <c r="I25" i="19"/>
  <c r="B25" i="19"/>
  <c r="I24" i="19"/>
  <c r="B24" i="19"/>
  <c r="I23" i="19"/>
  <c r="B23" i="19"/>
  <c r="I22" i="19"/>
  <c r="B22" i="19"/>
  <c r="J21" i="19"/>
  <c r="I21" i="19"/>
  <c r="H21" i="19"/>
  <c r="J20" i="19"/>
  <c r="I20" i="19"/>
  <c r="H20" i="19"/>
  <c r="J19" i="19"/>
  <c r="I19" i="19"/>
  <c r="H19" i="19"/>
  <c r="J18" i="19"/>
  <c r="I18" i="19"/>
  <c r="H18" i="19"/>
  <c r="J17" i="19"/>
  <c r="I17" i="19"/>
  <c r="H17" i="19"/>
  <c r="J16" i="19"/>
  <c r="I16" i="19"/>
  <c r="H16" i="19"/>
  <c r="J15" i="19"/>
  <c r="I15" i="19"/>
  <c r="H15" i="19"/>
  <c r="J14" i="19"/>
  <c r="I14" i="19"/>
  <c r="H14" i="19"/>
  <c r="J13" i="19"/>
  <c r="I13" i="19"/>
  <c r="H13" i="19"/>
  <c r="J12" i="19"/>
  <c r="I12" i="19"/>
  <c r="H12" i="19"/>
  <c r="J11" i="19"/>
  <c r="I11" i="19"/>
  <c r="H11" i="19"/>
  <c r="J10" i="19"/>
  <c r="I10" i="19"/>
  <c r="H10" i="19"/>
  <c r="J9" i="19"/>
  <c r="I9" i="19"/>
  <c r="H9" i="19"/>
  <c r="J8" i="19"/>
  <c r="I8" i="19"/>
  <c r="H8" i="19"/>
  <c r="J7" i="19"/>
  <c r="I7" i="19"/>
  <c r="H7" i="19"/>
  <c r="J6" i="19"/>
  <c r="I6" i="19"/>
  <c r="H6" i="19"/>
  <c r="J5" i="19"/>
  <c r="I5" i="19"/>
  <c r="H5" i="19"/>
  <c r="J4" i="19"/>
  <c r="I4" i="19"/>
  <c r="H4" i="19"/>
  <c r="J3" i="19"/>
  <c r="I3" i="19"/>
  <c r="H3" i="19"/>
  <c r="J2" i="19"/>
  <c r="I2" i="19"/>
  <c r="H2" i="19"/>
  <c r="C5" i="18"/>
  <c r="C9" i="18"/>
  <c r="C89" i="18"/>
  <c r="C49" i="18"/>
  <c r="B4" i="35" s="1"/>
  <c r="C40" i="18"/>
  <c r="C112" i="18"/>
  <c r="B32" i="34" s="1"/>
  <c r="C132" i="18"/>
  <c r="C131" i="18"/>
  <c r="C134" i="18"/>
  <c r="C133" i="18"/>
  <c r="C31" i="18"/>
  <c r="C35" i="18"/>
  <c r="C102" i="18"/>
  <c r="B14" i="44" s="1"/>
  <c r="C116" i="18"/>
  <c r="C115" i="18"/>
  <c r="C34" i="18"/>
  <c r="C99" i="18"/>
  <c r="C124" i="18"/>
  <c r="C120" i="18"/>
  <c r="C117" i="18"/>
  <c r="C113" i="18"/>
  <c r="C111" i="18"/>
  <c r="C110" i="18"/>
  <c r="C109" i="18"/>
  <c r="C105" i="18"/>
  <c r="C104" i="18"/>
  <c r="C103" i="18"/>
  <c r="C100" i="18"/>
  <c r="C98" i="18"/>
  <c r="C96" i="18"/>
  <c r="C95" i="18"/>
  <c r="C94" i="18"/>
  <c r="C93" i="18"/>
  <c r="C92" i="18"/>
  <c r="C91" i="18"/>
  <c r="C90" i="18"/>
  <c r="C88" i="18"/>
  <c r="C86" i="18"/>
  <c r="C82" i="18"/>
  <c r="C81" i="18"/>
  <c r="B18" i="46" s="1"/>
  <c r="J18" i="46" s="1"/>
  <c r="H18" i="46" s="1"/>
  <c r="C79" i="18"/>
  <c r="C78" i="18"/>
  <c r="C75" i="18"/>
  <c r="C72" i="18"/>
  <c r="C71" i="18"/>
  <c r="C70" i="18"/>
  <c r="C66" i="18"/>
  <c r="C65" i="18"/>
  <c r="C130" i="18"/>
  <c r="C62" i="18"/>
  <c r="C60" i="18"/>
  <c r="C59" i="18"/>
  <c r="C58" i="18"/>
  <c r="C52" i="18"/>
  <c r="C51" i="18"/>
  <c r="C48" i="18"/>
  <c r="C46" i="18"/>
  <c r="C44" i="18"/>
  <c r="C43" i="18"/>
  <c r="C39" i="18"/>
  <c r="C33" i="18"/>
  <c r="C27" i="18"/>
  <c r="C25" i="18"/>
  <c r="C24" i="18"/>
  <c r="C23" i="18"/>
  <c r="C22" i="18"/>
  <c r="C19" i="18"/>
  <c r="C18" i="18"/>
  <c r="C17" i="18"/>
  <c r="C14" i="18"/>
  <c r="C13" i="18"/>
  <c r="C6" i="18"/>
  <c r="C3" i="18"/>
  <c r="C2" i="18"/>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402" i="15"/>
  <c r="A401" i="15"/>
  <c r="A400" i="15"/>
  <c r="A399" i="15"/>
  <c r="A398" i="15"/>
  <c r="A397" i="15"/>
  <c r="A396" i="15"/>
  <c r="A395" i="15"/>
  <c r="A394" i="15"/>
  <c r="A393" i="15"/>
  <c r="A392" i="15"/>
  <c r="A391" i="15"/>
  <c r="A390" i="15"/>
  <c r="A389" i="15"/>
  <c r="A388" i="15"/>
  <c r="A387" i="15"/>
  <c r="A386" i="15"/>
  <c r="A385" i="15"/>
  <c r="A384" i="15"/>
  <c r="A383" i="15"/>
  <c r="A382" i="15"/>
  <c r="A381" i="15"/>
  <c r="A380" i="15"/>
  <c r="A379" i="15"/>
  <c r="A378" i="15"/>
  <c r="A377" i="15"/>
  <c r="A376" i="15"/>
  <c r="A375" i="15"/>
  <c r="A374" i="15"/>
  <c r="A373" i="15"/>
  <c r="A372" i="15"/>
  <c r="A371" i="15"/>
  <c r="A370" i="15"/>
  <c r="A369" i="15"/>
  <c r="A368" i="15"/>
  <c r="A367" i="15"/>
  <c r="A366" i="15"/>
  <c r="A365" i="15"/>
  <c r="A364" i="15"/>
  <c r="A363" i="15"/>
  <c r="A362" i="15"/>
  <c r="A361" i="15"/>
  <c r="A360" i="15"/>
  <c r="A359" i="15"/>
  <c r="A358" i="15"/>
  <c r="A357" i="15"/>
  <c r="A356" i="15"/>
  <c r="A355" i="15"/>
  <c r="A354" i="15"/>
  <c r="A353" i="15"/>
  <c r="A352" i="15"/>
  <c r="A351" i="15"/>
  <c r="A350" i="15"/>
  <c r="A349" i="15"/>
  <c r="A348" i="15"/>
  <c r="A347" i="15"/>
  <c r="A346" i="15"/>
  <c r="A345" i="15"/>
  <c r="A344" i="15"/>
  <c r="A343" i="15"/>
  <c r="A342" i="15"/>
  <c r="A341" i="15"/>
  <c r="A340" i="15"/>
  <c r="A339" i="15"/>
  <c r="A338" i="15"/>
  <c r="A337" i="15"/>
  <c r="A336" i="15"/>
  <c r="A335" i="15"/>
  <c r="A334" i="15"/>
  <c r="A333" i="15"/>
  <c r="A332" i="15"/>
  <c r="A331" i="15"/>
  <c r="A330" i="15"/>
  <c r="A329" i="15"/>
  <c r="A328" i="15"/>
  <c r="A327" i="15"/>
  <c r="A326" i="15"/>
  <c r="A325" i="15"/>
  <c r="A324" i="15"/>
  <c r="A323" i="15"/>
  <c r="A322" i="15"/>
  <c r="A321" i="15"/>
  <c r="A320" i="15"/>
  <c r="A319" i="15"/>
  <c r="A318" i="15"/>
  <c r="A317" i="15"/>
  <c r="A316" i="15"/>
  <c r="A315" i="15"/>
  <c r="A314" i="15"/>
  <c r="A313" i="15"/>
  <c r="A312" i="15"/>
  <c r="A311" i="15"/>
  <c r="A310" i="15"/>
  <c r="A309" i="15"/>
  <c r="A308" i="15"/>
  <c r="A307" i="15"/>
  <c r="A306" i="15"/>
  <c r="A305" i="15"/>
  <c r="A304" i="15"/>
  <c r="A303" i="15"/>
  <c r="A302" i="15"/>
  <c r="A301" i="15"/>
  <c r="A300" i="15"/>
  <c r="A299" i="15"/>
  <c r="A298" i="15"/>
  <c r="A297" i="15"/>
  <c r="A296" i="15"/>
  <c r="A295" i="15"/>
  <c r="A294" i="15"/>
  <c r="A293" i="15"/>
  <c r="A292" i="15"/>
  <c r="A291" i="15"/>
  <c r="A290" i="15"/>
  <c r="A289" i="15"/>
  <c r="A288" i="15"/>
  <c r="A287" i="15"/>
  <c r="A286" i="15"/>
  <c r="A285" i="15"/>
  <c r="A284" i="15"/>
  <c r="A283" i="15"/>
  <c r="A282" i="15"/>
  <c r="A281" i="15"/>
  <c r="A280" i="15"/>
  <c r="A279" i="15"/>
  <c r="A278" i="15"/>
  <c r="A277" i="15"/>
  <c r="A276" i="15"/>
  <c r="A275" i="15"/>
  <c r="A274" i="15"/>
  <c r="A273" i="15"/>
  <c r="A272" i="15"/>
  <c r="A271" i="15"/>
  <c r="A270" i="15"/>
  <c r="A269" i="15"/>
  <c r="A268" i="15"/>
  <c r="A267" i="15"/>
  <c r="A266" i="15"/>
  <c r="A265" i="15"/>
  <c r="A264" i="15"/>
  <c r="A263" i="15"/>
  <c r="A262" i="15"/>
  <c r="A261" i="15"/>
  <c r="A260" i="15"/>
  <c r="A259" i="15"/>
  <c r="A258" i="15"/>
  <c r="A257" i="15"/>
  <c r="A256" i="15"/>
  <c r="A255" i="15"/>
  <c r="A254" i="15"/>
  <c r="A253" i="15"/>
  <c r="A252" i="15"/>
  <c r="A251" i="15"/>
  <c r="A250" i="15"/>
  <c r="A249" i="15"/>
  <c r="A248" i="15"/>
  <c r="A247" i="15"/>
  <c r="A246" i="15"/>
  <c r="A245" i="15"/>
  <c r="A244" i="15"/>
  <c r="A243" i="15"/>
  <c r="A242" i="15"/>
  <c r="A241" i="15"/>
  <c r="A240" i="15"/>
  <c r="A239" i="15"/>
  <c r="B239" i="15"/>
  <c r="A238" i="15"/>
  <c r="B238" i="15"/>
  <c r="A237" i="15"/>
  <c r="B237" i="15"/>
  <c r="A236" i="15"/>
  <c r="B236" i="15"/>
  <c r="A235" i="15"/>
  <c r="B235" i="15"/>
  <c r="A234" i="15"/>
  <c r="B234" i="15"/>
  <c r="A233" i="15"/>
  <c r="B233" i="15"/>
  <c r="A232" i="15"/>
  <c r="B232" i="15"/>
  <c r="A231" i="15"/>
  <c r="B231" i="15"/>
  <c r="A230" i="15"/>
  <c r="B230" i="15"/>
  <c r="A229" i="15"/>
  <c r="B229" i="15"/>
  <c r="A228" i="15"/>
  <c r="B228" i="15"/>
  <c r="A227" i="15"/>
  <c r="B227" i="15"/>
  <c r="A226" i="15"/>
  <c r="B226" i="15"/>
  <c r="A225" i="15"/>
  <c r="B225" i="15"/>
  <c r="A224" i="15"/>
  <c r="B224" i="15"/>
  <c r="A223" i="15"/>
  <c r="B223" i="15"/>
  <c r="A222" i="15"/>
  <c r="B222" i="15"/>
  <c r="A221" i="15"/>
  <c r="B221" i="15"/>
  <c r="A220" i="15"/>
  <c r="B220" i="15"/>
  <c r="A219" i="15"/>
  <c r="B219" i="15"/>
  <c r="A218" i="15"/>
  <c r="B218" i="15"/>
  <c r="A217" i="15"/>
  <c r="B217" i="15"/>
  <c r="A216" i="15"/>
  <c r="B216" i="15"/>
  <c r="A215" i="15"/>
  <c r="B215" i="15"/>
  <c r="A214" i="15"/>
  <c r="B214" i="15"/>
  <c r="A213" i="15"/>
  <c r="B213" i="15"/>
  <c r="A212" i="15"/>
  <c r="B212" i="15"/>
  <c r="A211" i="15"/>
  <c r="B211" i="15"/>
  <c r="A210" i="15"/>
  <c r="B210" i="15"/>
  <c r="A209" i="15"/>
  <c r="B209" i="15"/>
  <c r="A208" i="15"/>
  <c r="B208" i="15"/>
  <c r="A207" i="15"/>
  <c r="B207" i="15"/>
  <c r="A206" i="15"/>
  <c r="B206" i="15"/>
  <c r="A205" i="15"/>
  <c r="B205" i="15"/>
  <c r="A204" i="15"/>
  <c r="B204" i="15"/>
  <c r="A203" i="15"/>
  <c r="B203" i="15"/>
  <c r="A202" i="15"/>
  <c r="B202" i="15"/>
  <c r="A201" i="15"/>
  <c r="B201" i="15"/>
  <c r="A200" i="15"/>
  <c r="B200" i="15"/>
  <c r="A199" i="15"/>
  <c r="B199" i="15"/>
  <c r="A198" i="15"/>
  <c r="B198" i="15"/>
  <c r="A197" i="15"/>
  <c r="B197" i="15"/>
  <c r="A196" i="15"/>
  <c r="B196" i="15"/>
  <c r="A195" i="15"/>
  <c r="B195" i="15"/>
  <c r="A194" i="15"/>
  <c r="B194" i="15"/>
  <c r="A193" i="15"/>
  <c r="B193" i="15"/>
  <c r="A192" i="15"/>
  <c r="B192" i="15"/>
  <c r="A191" i="15"/>
  <c r="B191" i="15"/>
  <c r="A190" i="15"/>
  <c r="B190" i="15"/>
  <c r="A189" i="15"/>
  <c r="B189" i="15"/>
  <c r="A188" i="15"/>
  <c r="B188" i="15"/>
  <c r="A187" i="15"/>
  <c r="B187" i="15"/>
  <c r="A186" i="15"/>
  <c r="B186" i="15"/>
  <c r="A185" i="15"/>
  <c r="B185" i="15"/>
  <c r="A184" i="15"/>
  <c r="B184" i="15"/>
  <c r="A183" i="15"/>
  <c r="B183" i="15"/>
  <c r="A182" i="15"/>
  <c r="B182" i="15"/>
  <c r="A181" i="15"/>
  <c r="B181" i="15"/>
  <c r="A180" i="15"/>
  <c r="B180" i="15"/>
  <c r="A179" i="15"/>
  <c r="B179" i="15"/>
  <c r="A178" i="15"/>
  <c r="B178" i="15"/>
  <c r="A177" i="15"/>
  <c r="B177" i="15"/>
  <c r="A176" i="15"/>
  <c r="B176" i="15"/>
  <c r="A175" i="15"/>
  <c r="B175" i="15"/>
  <c r="A174" i="15"/>
  <c r="B174" i="15"/>
  <c r="A173" i="15"/>
  <c r="B173" i="15"/>
  <c r="A172" i="15"/>
  <c r="B172" i="15"/>
  <c r="A171" i="15"/>
  <c r="B171" i="15"/>
  <c r="A170" i="15"/>
  <c r="B170" i="15"/>
  <c r="A169" i="15"/>
  <c r="B169" i="15"/>
  <c r="A168" i="15"/>
  <c r="B168" i="15"/>
  <c r="A167" i="15"/>
  <c r="B167" i="15"/>
  <c r="A166" i="15"/>
  <c r="B166" i="15"/>
  <c r="A165" i="15"/>
  <c r="B165" i="15"/>
  <c r="A164" i="15"/>
  <c r="B164" i="15"/>
  <c r="A163" i="15"/>
  <c r="B163" i="15"/>
  <c r="A162" i="15"/>
  <c r="B162" i="15"/>
  <c r="A161" i="15"/>
  <c r="B161" i="15"/>
  <c r="A160" i="15"/>
  <c r="B160" i="15"/>
  <c r="A159" i="15"/>
  <c r="B159" i="15"/>
  <c r="A158" i="15"/>
  <c r="B158" i="15"/>
  <c r="A157" i="15"/>
  <c r="B157" i="15"/>
  <c r="A156" i="15"/>
  <c r="B156" i="15"/>
  <c r="A155" i="15"/>
  <c r="B155" i="15"/>
  <c r="A154" i="15"/>
  <c r="B154" i="15"/>
  <c r="A153" i="15"/>
  <c r="B153" i="15"/>
  <c r="A152" i="15"/>
  <c r="B152" i="15"/>
  <c r="A151" i="15"/>
  <c r="B151" i="15"/>
  <c r="A150" i="15"/>
  <c r="B150" i="15"/>
  <c r="A149" i="15"/>
  <c r="B149" i="15"/>
  <c r="A148" i="15"/>
  <c r="B148" i="15"/>
  <c r="A147" i="15"/>
  <c r="B147" i="15"/>
  <c r="A146" i="15"/>
  <c r="B146" i="15"/>
  <c r="A145" i="15"/>
  <c r="B145" i="15"/>
  <c r="A144" i="15"/>
  <c r="B144" i="15"/>
  <c r="A143" i="15"/>
  <c r="B143" i="15"/>
  <c r="A142" i="15"/>
  <c r="B142" i="15"/>
  <c r="A141" i="15"/>
  <c r="B141" i="15"/>
  <c r="A140" i="15"/>
  <c r="B140" i="15"/>
  <c r="A139" i="15"/>
  <c r="B139" i="15"/>
  <c r="A138" i="15"/>
  <c r="B138" i="15"/>
  <c r="A137" i="15"/>
  <c r="B137" i="15"/>
  <c r="A136" i="15"/>
  <c r="B136" i="15"/>
  <c r="A135" i="15"/>
  <c r="B135" i="15"/>
  <c r="A134" i="15"/>
  <c r="B134" i="15"/>
  <c r="A133" i="15"/>
  <c r="B133" i="15"/>
  <c r="A132" i="15"/>
  <c r="B132" i="15"/>
  <c r="A131" i="15"/>
  <c r="B131" i="15"/>
  <c r="A130" i="15"/>
  <c r="B130" i="15"/>
  <c r="A129" i="15"/>
  <c r="B129" i="15"/>
  <c r="A128" i="15"/>
  <c r="B128" i="15"/>
  <c r="A127" i="15"/>
  <c r="B127" i="15"/>
  <c r="A126" i="15"/>
  <c r="B126" i="15"/>
  <c r="A125" i="15"/>
  <c r="B125" i="15"/>
  <c r="A124" i="15"/>
  <c r="B124" i="15"/>
  <c r="A123" i="15"/>
  <c r="B123" i="15"/>
  <c r="A122" i="15"/>
  <c r="B122" i="15"/>
  <c r="A121" i="15"/>
  <c r="B121" i="15"/>
  <c r="A120" i="15"/>
  <c r="B120" i="15"/>
  <c r="A119" i="15"/>
  <c r="B119" i="15"/>
  <c r="A118" i="15"/>
  <c r="B118" i="15"/>
  <c r="A117" i="15"/>
  <c r="B117" i="15"/>
  <c r="A116" i="15"/>
  <c r="B116" i="15"/>
  <c r="A115" i="15"/>
  <c r="B115" i="15"/>
  <c r="A114" i="15"/>
  <c r="B114" i="15"/>
  <c r="A113" i="15"/>
  <c r="B113" i="15"/>
  <c r="A112" i="15"/>
  <c r="B112" i="15"/>
  <c r="A111" i="15"/>
  <c r="B111" i="15"/>
  <c r="A110" i="15"/>
  <c r="B110" i="15"/>
  <c r="A109" i="15"/>
  <c r="B109" i="15"/>
  <c r="A108" i="15"/>
  <c r="B108" i="15"/>
  <c r="A107" i="15"/>
  <c r="B107" i="15"/>
  <c r="A106" i="15"/>
  <c r="B106" i="15"/>
  <c r="A105" i="15"/>
  <c r="B105" i="15"/>
  <c r="A104" i="15"/>
  <c r="B104" i="15"/>
  <c r="A103" i="15"/>
  <c r="B103" i="15"/>
  <c r="A102" i="15"/>
  <c r="B102" i="15"/>
  <c r="A101" i="15"/>
  <c r="B101" i="15"/>
  <c r="A100" i="15"/>
  <c r="B100" i="15"/>
  <c r="A99" i="15"/>
  <c r="B99" i="15"/>
  <c r="A98" i="15"/>
  <c r="B98" i="15"/>
  <c r="A97" i="15"/>
  <c r="B97" i="15"/>
  <c r="A96" i="15"/>
  <c r="B96" i="15"/>
  <c r="A95" i="15"/>
  <c r="B95" i="15"/>
  <c r="A94" i="15"/>
  <c r="B94" i="15"/>
  <c r="A93" i="15"/>
  <c r="B93" i="15"/>
  <c r="A92" i="15"/>
  <c r="B92" i="15"/>
  <c r="A91" i="15"/>
  <c r="B91" i="15"/>
  <c r="A90" i="15"/>
  <c r="B90" i="15"/>
  <c r="A89" i="15"/>
  <c r="B89" i="15"/>
  <c r="A88" i="15"/>
  <c r="B88" i="15"/>
  <c r="A87" i="15"/>
  <c r="B87" i="15"/>
  <c r="A86" i="15"/>
  <c r="B86" i="15"/>
  <c r="A85" i="15"/>
  <c r="B85" i="15"/>
  <c r="A84" i="15"/>
  <c r="B84" i="15"/>
  <c r="A83" i="15"/>
  <c r="B83" i="15"/>
  <c r="A82" i="15"/>
  <c r="B82" i="15"/>
  <c r="A81" i="15"/>
  <c r="B81" i="15"/>
  <c r="A80" i="15"/>
  <c r="B80" i="15"/>
  <c r="A79" i="15"/>
  <c r="B79" i="15"/>
  <c r="A78" i="15"/>
  <c r="B78" i="15"/>
  <c r="A77" i="15"/>
  <c r="B77" i="15"/>
  <c r="A76" i="15"/>
  <c r="B76" i="15"/>
  <c r="A75" i="15"/>
  <c r="B75" i="15"/>
  <c r="A74" i="15"/>
  <c r="B74" i="15"/>
  <c r="A73" i="15"/>
  <c r="B73" i="15"/>
  <c r="A72" i="15"/>
  <c r="B72" i="15"/>
  <c r="A71" i="15"/>
  <c r="B71" i="15"/>
  <c r="A70" i="15"/>
  <c r="B70" i="15"/>
  <c r="A69" i="15"/>
  <c r="B69" i="15"/>
  <c r="A68" i="15"/>
  <c r="B68" i="15"/>
  <c r="A67" i="15"/>
  <c r="B67" i="15"/>
  <c r="A66" i="15"/>
  <c r="B66" i="15"/>
  <c r="A65" i="15"/>
  <c r="B65" i="15"/>
  <c r="A64" i="15"/>
  <c r="B64" i="15"/>
  <c r="A63" i="15"/>
  <c r="B63" i="15"/>
  <c r="A62" i="15"/>
  <c r="B62" i="15"/>
  <c r="A61" i="15"/>
  <c r="B61" i="15"/>
  <c r="A60" i="15"/>
  <c r="B60" i="15"/>
  <c r="A59" i="15"/>
  <c r="B59" i="15"/>
  <c r="A58" i="15"/>
  <c r="B58" i="15"/>
  <c r="A57" i="15"/>
  <c r="B57" i="15"/>
  <c r="A56" i="15"/>
  <c r="B56" i="15"/>
  <c r="A55" i="15"/>
  <c r="B55" i="15"/>
  <c r="A54" i="15"/>
  <c r="B54" i="15"/>
  <c r="A53" i="15"/>
  <c r="B53" i="15"/>
  <c r="A52" i="15"/>
  <c r="B52" i="15"/>
  <c r="A51" i="15"/>
  <c r="B51" i="15"/>
  <c r="A50" i="15"/>
  <c r="B50" i="15"/>
  <c r="A49" i="15"/>
  <c r="B49" i="15"/>
  <c r="A48" i="15"/>
  <c r="B48" i="15"/>
  <c r="A47" i="15"/>
  <c r="B47" i="15"/>
  <c r="A46" i="15"/>
  <c r="B46" i="15"/>
  <c r="A45" i="15"/>
  <c r="B45" i="15"/>
  <c r="A44" i="15"/>
  <c r="B44" i="15"/>
  <c r="A43" i="15"/>
  <c r="B43" i="15"/>
  <c r="A42" i="15"/>
  <c r="B42" i="15"/>
  <c r="A41" i="15"/>
  <c r="B41" i="15"/>
  <c r="A40" i="15"/>
  <c r="B40" i="15"/>
  <c r="A39" i="15"/>
  <c r="B39" i="15"/>
  <c r="A38" i="15"/>
  <c r="B38" i="15"/>
  <c r="A37" i="15"/>
  <c r="B37" i="15"/>
  <c r="A36" i="15"/>
  <c r="B36" i="15"/>
  <c r="A35" i="15"/>
  <c r="B35" i="15"/>
  <c r="A34" i="15"/>
  <c r="B34" i="15"/>
  <c r="A33" i="15"/>
  <c r="B33" i="15"/>
  <c r="A32" i="15"/>
  <c r="B32" i="15"/>
  <c r="A31" i="15"/>
  <c r="B31" i="15"/>
  <c r="A30" i="15"/>
  <c r="B30" i="15"/>
  <c r="A29" i="15"/>
  <c r="B29" i="15"/>
  <c r="A28" i="15"/>
  <c r="B28" i="15"/>
  <c r="A27" i="15"/>
  <c r="B27" i="15"/>
  <c r="A26" i="15"/>
  <c r="B26" i="15"/>
  <c r="A25" i="15"/>
  <c r="B25" i="15"/>
  <c r="A24" i="15"/>
  <c r="B24" i="15"/>
  <c r="A23" i="15"/>
  <c r="B23" i="15"/>
  <c r="A22" i="15"/>
  <c r="B22" i="15"/>
  <c r="A21" i="15"/>
  <c r="B21" i="15"/>
  <c r="A20" i="15"/>
  <c r="B20" i="15"/>
  <c r="A19" i="15"/>
  <c r="B19" i="15"/>
  <c r="A18" i="15"/>
  <c r="B18" i="15"/>
  <c r="A17" i="15"/>
  <c r="B17" i="15"/>
  <c r="A16" i="15"/>
  <c r="B16" i="15"/>
  <c r="A15" i="15"/>
  <c r="B15" i="15"/>
  <c r="A14" i="15"/>
  <c r="B14" i="15"/>
  <c r="A13" i="15"/>
  <c r="B13" i="15"/>
  <c r="A12" i="15"/>
  <c r="B12" i="15"/>
  <c r="A11" i="15"/>
  <c r="B11" i="15"/>
  <c r="A10" i="15"/>
  <c r="B10" i="15"/>
  <c r="A9" i="15"/>
  <c r="B9" i="15"/>
  <c r="A8" i="15"/>
  <c r="B8" i="15"/>
  <c r="A7" i="15"/>
  <c r="B7" i="15"/>
  <c r="A6" i="15"/>
  <c r="B6" i="15"/>
  <c r="A5" i="15"/>
  <c r="B5" i="15"/>
  <c r="A4" i="15"/>
  <c r="B4" i="15"/>
  <c r="A3" i="15"/>
  <c r="B3" i="15"/>
  <c r="A2" i="15"/>
  <c r="B2" i="15"/>
  <c r="N28" i="16"/>
  <c r="M28" i="16"/>
  <c r="K28" i="16"/>
  <c r="J28" i="16"/>
  <c r="H28" i="16"/>
  <c r="N27" i="16"/>
  <c r="M27" i="16"/>
  <c r="K27" i="16"/>
  <c r="J27" i="16"/>
  <c r="H27" i="16"/>
  <c r="M26" i="16"/>
  <c r="K26" i="16"/>
  <c r="J26" i="16"/>
  <c r="H26" i="16"/>
  <c r="M24" i="16"/>
  <c r="K24" i="16"/>
  <c r="J24" i="16"/>
  <c r="H24" i="16"/>
  <c r="H23" i="16"/>
  <c r="M22" i="16"/>
  <c r="K22" i="16"/>
  <c r="J22" i="16"/>
  <c r="H22" i="16"/>
  <c r="M21" i="16"/>
  <c r="K21" i="16"/>
  <c r="J21" i="16"/>
  <c r="H21" i="16"/>
  <c r="M20" i="16"/>
  <c r="K20" i="16"/>
  <c r="J20" i="16"/>
  <c r="H20" i="16"/>
  <c r="M19" i="16"/>
  <c r="K19" i="16"/>
  <c r="J19" i="16"/>
  <c r="H19" i="16"/>
  <c r="M18" i="16"/>
  <c r="K18" i="16"/>
  <c r="J18" i="16"/>
  <c r="H18" i="16"/>
  <c r="M17" i="16"/>
  <c r="H17" i="16"/>
  <c r="M16" i="16"/>
  <c r="K16" i="16"/>
  <c r="J16" i="16"/>
  <c r="H16" i="16"/>
  <c r="M15" i="16"/>
  <c r="K15" i="16"/>
  <c r="J15" i="16"/>
  <c r="H15" i="16"/>
  <c r="M14" i="16"/>
  <c r="K14" i="16"/>
  <c r="J14" i="16"/>
  <c r="H14" i="16"/>
  <c r="N13" i="16"/>
  <c r="M13" i="16"/>
  <c r="K13" i="16"/>
  <c r="J13" i="16"/>
  <c r="H13" i="16"/>
  <c r="N12" i="16"/>
  <c r="M12" i="16"/>
  <c r="K12" i="16"/>
  <c r="J12" i="16"/>
  <c r="H12" i="16"/>
  <c r="N11" i="16"/>
  <c r="M11" i="16"/>
  <c r="K11" i="16"/>
  <c r="J11" i="16"/>
  <c r="H11" i="16"/>
  <c r="N10" i="16"/>
  <c r="M10" i="16"/>
  <c r="K10" i="16"/>
  <c r="J10" i="16"/>
  <c r="H10" i="16"/>
  <c r="N9" i="16"/>
  <c r="M9" i="16"/>
  <c r="K9" i="16"/>
  <c r="J9" i="16"/>
  <c r="H9" i="16"/>
  <c r="N8" i="16"/>
  <c r="M8" i="16"/>
  <c r="H8" i="16"/>
  <c r="F8" i="16"/>
  <c r="N7" i="16"/>
  <c r="M7" i="16"/>
  <c r="K7" i="16"/>
  <c r="J7" i="16"/>
  <c r="H7" i="16"/>
  <c r="N6" i="16"/>
  <c r="M6" i="16"/>
  <c r="K6" i="16"/>
  <c r="J6" i="16"/>
  <c r="H6" i="16"/>
  <c r="N5" i="16"/>
  <c r="M5" i="16"/>
  <c r="K5" i="16"/>
  <c r="J5" i="16"/>
  <c r="H5" i="16"/>
  <c r="N4" i="16"/>
  <c r="M4" i="16"/>
  <c r="K4" i="16"/>
  <c r="J4" i="16"/>
  <c r="H4" i="16"/>
  <c r="M3" i="16"/>
  <c r="K3" i="16"/>
  <c r="J3" i="16"/>
  <c r="H3" i="16"/>
  <c r="A3" i="16"/>
  <c r="O2" i="16"/>
  <c r="M2" i="16"/>
  <c r="K2" i="16"/>
  <c r="J2" i="16"/>
  <c r="H2" i="16"/>
  <c r="I13" i="25"/>
  <c r="I16" i="25"/>
  <c r="I3" i="25"/>
  <c r="I29" i="25"/>
  <c r="I11" i="25"/>
  <c r="I28" i="25"/>
  <c r="I10" i="25"/>
  <c r="I15" i="25"/>
  <c r="I2" i="25"/>
  <c r="I30" i="25"/>
  <c r="I12" i="25"/>
  <c r="I22" i="25"/>
  <c r="I20" i="25"/>
  <c r="I17" i="25"/>
  <c r="I27" i="25"/>
  <c r="I6" i="25"/>
  <c r="I18" i="25"/>
  <c r="I21" i="25"/>
  <c r="I14" i="25"/>
  <c r="I35" i="25"/>
  <c r="I34" i="25"/>
  <c r="I33" i="25"/>
  <c r="I31" i="25"/>
  <c r="I9" i="25"/>
  <c r="I24" i="25"/>
  <c r="I5" i="25"/>
  <c r="B364" i="15"/>
  <c r="B363" i="15"/>
  <c r="B362" i="15"/>
  <c r="B361" i="15"/>
  <c r="B360" i="15"/>
  <c r="B359" i="15"/>
  <c r="B358" i="15"/>
  <c r="B357" i="15"/>
  <c r="B356" i="15"/>
  <c r="B355" i="15"/>
  <c r="B354" i="15"/>
  <c r="B350" i="15"/>
  <c r="B348" i="15"/>
  <c r="B347" i="15"/>
  <c r="B345" i="15"/>
  <c r="B344" i="15"/>
  <c r="B343" i="15"/>
  <c r="B341" i="15"/>
  <c r="B339" i="15"/>
  <c r="B337" i="15"/>
  <c r="B336" i="15"/>
  <c r="B332" i="15"/>
  <c r="B330" i="15"/>
  <c r="B328" i="15"/>
  <c r="B326" i="15"/>
  <c r="B324" i="15"/>
  <c r="B322" i="15"/>
  <c r="B319" i="15"/>
  <c r="B317" i="15"/>
  <c r="B315" i="15"/>
  <c r="B313" i="15"/>
  <c r="B311" i="15"/>
  <c r="B309" i="15"/>
  <c r="B308" i="15"/>
  <c r="B306" i="15"/>
  <c r="B304" i="15"/>
  <c r="B303" i="15"/>
  <c r="B302" i="15"/>
  <c r="B301" i="15"/>
  <c r="B300" i="15"/>
  <c r="B299" i="15"/>
  <c r="B296" i="15"/>
  <c r="B294" i="15"/>
  <c r="B292" i="15"/>
  <c r="B290" i="15"/>
  <c r="B288" i="15"/>
  <c r="B286" i="15"/>
  <c r="B284" i="15"/>
  <c r="B282" i="15"/>
  <c r="B280" i="15"/>
  <c r="B278" i="15"/>
  <c r="B276" i="15"/>
  <c r="B274" i="15"/>
  <c r="B271" i="15"/>
  <c r="B270" i="15"/>
  <c r="B268" i="15"/>
  <c r="B266" i="15"/>
  <c r="B264" i="15"/>
  <c r="B262" i="15"/>
  <c r="B260" i="15"/>
  <c r="B258" i="15"/>
  <c r="B256" i="15"/>
  <c r="B255" i="15"/>
  <c r="B253" i="15"/>
  <c r="B251" i="15"/>
  <c r="I26" i="25"/>
  <c r="I8" i="25"/>
  <c r="B402" i="15"/>
  <c r="B401" i="15"/>
  <c r="B400" i="15"/>
  <c r="B399" i="15"/>
  <c r="B398" i="15"/>
  <c r="B397" i="15"/>
  <c r="B396" i="15"/>
  <c r="B395" i="15"/>
  <c r="B394" i="15"/>
  <c r="B393" i="15"/>
  <c r="B392" i="15"/>
  <c r="B391" i="15"/>
  <c r="B390" i="15"/>
  <c r="B389" i="15"/>
  <c r="B388" i="15"/>
  <c r="B387" i="15"/>
  <c r="B386" i="15"/>
  <c r="B385" i="15"/>
  <c r="B384" i="15"/>
  <c r="B383" i="15"/>
  <c r="B382" i="15"/>
  <c r="B381" i="15"/>
  <c r="B380" i="15"/>
  <c r="B379" i="15"/>
  <c r="B378" i="15"/>
  <c r="B377" i="15"/>
  <c r="B376" i="15"/>
  <c r="B375" i="15"/>
  <c r="B374" i="15"/>
  <c r="B373" i="15"/>
  <c r="B372" i="15"/>
  <c r="B371" i="15"/>
  <c r="B370" i="15"/>
  <c r="B369" i="15"/>
  <c r="B368" i="15"/>
  <c r="B367" i="15"/>
  <c r="B366" i="15"/>
  <c r="B365" i="15"/>
  <c r="B353" i="15"/>
  <c r="B352" i="15"/>
  <c r="B351" i="15"/>
  <c r="B349" i="15"/>
  <c r="B346" i="15"/>
  <c r="B342" i="15"/>
  <c r="B340" i="15"/>
  <c r="B338" i="15"/>
  <c r="B335" i="15"/>
  <c r="B334" i="15"/>
  <c r="B333" i="15"/>
  <c r="B331" i="15"/>
  <c r="B329" i="15"/>
  <c r="B327" i="15"/>
  <c r="B325" i="15"/>
  <c r="B323" i="15"/>
  <c r="B321" i="15"/>
  <c r="B320" i="15"/>
  <c r="B318" i="15"/>
  <c r="B316" i="15"/>
  <c r="B314" i="15"/>
  <c r="B312" i="15"/>
  <c r="B310" i="15"/>
  <c r="B307" i="15"/>
  <c r="B305" i="15"/>
  <c r="B298" i="15"/>
  <c r="B297" i="15"/>
  <c r="B295" i="15"/>
  <c r="B293" i="15"/>
  <c r="B291" i="15"/>
  <c r="B289" i="15"/>
  <c r="B287" i="15"/>
  <c r="B285" i="15"/>
  <c r="B283" i="15"/>
  <c r="B281" i="15"/>
  <c r="B279" i="15"/>
  <c r="B277" i="15"/>
  <c r="B275" i="15"/>
  <c r="B273" i="15"/>
  <c r="B272" i="15"/>
  <c r="B269" i="15"/>
  <c r="B267" i="15"/>
  <c r="B265" i="15"/>
  <c r="B263" i="15"/>
  <c r="B261" i="15"/>
  <c r="B259" i="15"/>
  <c r="B257" i="15"/>
  <c r="B254" i="15"/>
  <c r="B252" i="15"/>
  <c r="B250" i="15"/>
  <c r="B249" i="15"/>
  <c r="B248" i="15"/>
  <c r="B247" i="15"/>
  <c r="B246" i="15"/>
  <c r="B245" i="15"/>
  <c r="B244" i="15"/>
  <c r="B243" i="15"/>
  <c r="B242" i="15"/>
  <c r="B241" i="15"/>
  <c r="B240" i="15"/>
  <c r="I23" i="25"/>
  <c r="I4" i="25"/>
  <c r="K8" i="16"/>
  <c r="J8" i="16"/>
  <c r="A4" i="16"/>
  <c r="O3" i="16"/>
  <c r="I25" i="25"/>
  <c r="I7" i="25"/>
  <c r="O4" i="16"/>
  <c r="A5" i="16"/>
  <c r="O5" i="16"/>
  <c r="A6" i="16"/>
  <c r="O6" i="16"/>
  <c r="A7" i="16"/>
  <c r="J68" i="30"/>
  <c r="H68" i="30"/>
  <c r="J67" i="30"/>
  <c r="H67" i="30"/>
  <c r="J66" i="30"/>
  <c r="H66" i="30"/>
  <c r="J65" i="30"/>
  <c r="H65" i="30"/>
  <c r="J64" i="30"/>
  <c r="H64" i="30"/>
  <c r="J63" i="30"/>
  <c r="H63" i="30"/>
  <c r="J62" i="30"/>
  <c r="H62" i="30"/>
  <c r="J61" i="30"/>
  <c r="H61" i="30"/>
  <c r="J60" i="30"/>
  <c r="H60" i="30"/>
  <c r="J59" i="30"/>
  <c r="H59" i="30"/>
  <c r="J58" i="30"/>
  <c r="H58" i="30"/>
  <c r="J57" i="30"/>
  <c r="H57" i="30"/>
  <c r="J56" i="30"/>
  <c r="H56" i="30"/>
  <c r="J55" i="30"/>
  <c r="J37" i="30"/>
  <c r="H37" i="30"/>
  <c r="J36" i="30"/>
  <c r="H36" i="30"/>
  <c r="J35" i="30"/>
  <c r="H35" i="30"/>
  <c r="J34" i="30"/>
  <c r="H34" i="30"/>
  <c r="J33" i="30"/>
  <c r="H33" i="30"/>
  <c r="H101" i="30"/>
  <c r="J100" i="30"/>
  <c r="H100" i="30"/>
  <c r="J99" i="30"/>
  <c r="H99" i="30"/>
  <c r="J98" i="30"/>
  <c r="H98" i="30"/>
  <c r="J97" i="30"/>
  <c r="H97" i="30"/>
  <c r="J96" i="30"/>
  <c r="H96" i="30"/>
  <c r="J95" i="30"/>
  <c r="H95" i="30"/>
  <c r="J94" i="30"/>
  <c r="H94" i="30"/>
  <c r="J93" i="30"/>
  <c r="H93" i="30"/>
  <c r="J92" i="30"/>
  <c r="H92" i="30"/>
  <c r="J91" i="30"/>
  <c r="H91" i="30"/>
  <c r="J90" i="30"/>
  <c r="H90" i="30"/>
  <c r="J89" i="30"/>
  <c r="H89" i="30"/>
  <c r="J88" i="30"/>
  <c r="H88" i="30"/>
  <c r="J87" i="30"/>
  <c r="H87" i="30"/>
  <c r="J86" i="30"/>
  <c r="H86" i="30"/>
  <c r="J85" i="30"/>
  <c r="H85" i="30"/>
  <c r="J84" i="30"/>
  <c r="H84" i="30"/>
  <c r="J83" i="30"/>
  <c r="H83" i="30"/>
  <c r="J82" i="30"/>
  <c r="H82" i="30"/>
  <c r="J81" i="30"/>
  <c r="H81" i="30"/>
  <c r="J80" i="30"/>
  <c r="H80" i="30"/>
  <c r="J79" i="30"/>
  <c r="H79" i="30"/>
  <c r="J78" i="30"/>
  <c r="H78" i="30"/>
  <c r="J77" i="30"/>
  <c r="H77" i="30"/>
  <c r="J76" i="30"/>
  <c r="H76" i="30"/>
  <c r="J75" i="30"/>
  <c r="H75" i="30"/>
  <c r="J74" i="30"/>
  <c r="H74" i="30"/>
  <c r="J73" i="30"/>
  <c r="H73" i="30"/>
  <c r="J72" i="30"/>
  <c r="H72" i="30"/>
  <c r="J101" i="30"/>
  <c r="H55" i="30"/>
  <c r="J54" i="30"/>
  <c r="J53" i="30"/>
  <c r="H53" i="30"/>
  <c r="J52" i="30"/>
  <c r="H52" i="30"/>
  <c r="J51" i="30"/>
  <c r="J50" i="30"/>
  <c r="H50" i="30"/>
  <c r="J49" i="30"/>
  <c r="H49" i="30"/>
  <c r="J48" i="30"/>
  <c r="H48" i="30"/>
  <c r="J47" i="30"/>
  <c r="H47" i="30"/>
  <c r="J46" i="30"/>
  <c r="J45" i="30"/>
  <c r="H45" i="30"/>
  <c r="J44" i="30"/>
  <c r="H44" i="30"/>
  <c r="J43" i="30"/>
  <c r="H43" i="30"/>
  <c r="J42" i="30"/>
  <c r="H42" i="30"/>
  <c r="J41" i="30"/>
  <c r="H41" i="30"/>
  <c r="J40" i="30"/>
  <c r="H40" i="30"/>
  <c r="J39" i="30"/>
  <c r="H39" i="30"/>
  <c r="J38" i="30"/>
  <c r="H38" i="30"/>
  <c r="J71" i="30"/>
  <c r="H71" i="30"/>
  <c r="J70" i="30"/>
  <c r="H70" i="30"/>
  <c r="J69" i="30"/>
  <c r="H69" i="30"/>
  <c r="H54" i="30"/>
  <c r="H46" i="30"/>
  <c r="H51" i="30"/>
  <c r="J23" i="30"/>
  <c r="J25" i="30"/>
  <c r="J26" i="30"/>
  <c r="J14" i="30"/>
  <c r="J8" i="30"/>
  <c r="J9" i="30"/>
  <c r="J7" i="30"/>
  <c r="J16" i="30"/>
  <c r="J17" i="30"/>
  <c r="J18" i="30"/>
  <c r="J5" i="30"/>
  <c r="J29" i="30"/>
  <c r="J30" i="30"/>
  <c r="J31" i="30"/>
  <c r="J4" i="30"/>
  <c r="J27" i="30"/>
  <c r="J28" i="30"/>
  <c r="J32" i="30"/>
  <c r="J15" i="30"/>
  <c r="J19" i="30"/>
  <c r="J20" i="30"/>
  <c r="J10" i="29"/>
  <c r="J12" i="30"/>
  <c r="J2" i="30"/>
  <c r="J21" i="30"/>
  <c r="J22" i="30"/>
  <c r="J38" i="29"/>
  <c r="J24" i="30"/>
  <c r="H24" i="30" s="1"/>
  <c r="J3" i="30"/>
  <c r="H38" i="29"/>
  <c r="H3" i="30"/>
  <c r="J6" i="27"/>
  <c r="J25" i="26"/>
  <c r="J12" i="23"/>
  <c r="J10" i="24"/>
  <c r="J24" i="28"/>
  <c r="J26" i="23"/>
  <c r="J8" i="25"/>
  <c r="J4" i="27"/>
  <c r="H4" i="27"/>
  <c r="J20" i="24"/>
  <c r="J33" i="25"/>
  <c r="J9" i="24"/>
  <c r="J8" i="24"/>
  <c r="J17" i="23"/>
  <c r="J5" i="25"/>
  <c r="J17" i="26"/>
  <c r="J22" i="27"/>
  <c r="J22" i="24"/>
  <c r="J44" i="28"/>
  <c r="J27" i="26"/>
  <c r="J31" i="25"/>
  <c r="J4" i="24"/>
  <c r="J17" i="27"/>
  <c r="J27" i="28"/>
  <c r="J19" i="28"/>
  <c r="J18" i="24"/>
  <c r="J4" i="25"/>
  <c r="J20" i="25"/>
  <c r="J12" i="24"/>
  <c r="J2" i="27"/>
  <c r="J9" i="25"/>
  <c r="J3" i="24"/>
  <c r="J24" i="26"/>
  <c r="J32" i="27"/>
  <c r="J23" i="23"/>
  <c r="J13" i="26"/>
  <c r="J11" i="24"/>
  <c r="J7" i="23"/>
  <c r="J3" i="28"/>
  <c r="H3" i="28"/>
  <c r="J9" i="26"/>
  <c r="J11" i="23"/>
  <c r="J30" i="23"/>
  <c r="J18" i="23"/>
  <c r="J24" i="25"/>
  <c r="J26" i="25"/>
  <c r="J26" i="26"/>
  <c r="J10" i="26"/>
  <c r="H10" i="26"/>
  <c r="J5" i="26"/>
  <c r="H5" i="26"/>
  <c r="J34" i="25"/>
  <c r="J6" i="24"/>
  <c r="J5" i="24"/>
  <c r="J5" i="28"/>
  <c r="H5" i="28"/>
  <c r="J18" i="27"/>
  <c r="J18" i="28"/>
  <c r="J6" i="28"/>
  <c r="J23" i="25"/>
  <c r="J35" i="28"/>
  <c r="J10" i="28"/>
  <c r="J23" i="27"/>
  <c r="H23" i="27"/>
  <c r="J14" i="25"/>
  <c r="J8" i="29"/>
  <c r="J23" i="29"/>
  <c r="J24" i="29"/>
  <c r="J39" i="29"/>
  <c r="J50" i="29"/>
  <c r="J21" i="27"/>
  <c r="J5" i="27"/>
  <c r="H5" i="27"/>
  <c r="J20" i="23"/>
  <c r="H20" i="23"/>
  <c r="J32" i="25"/>
  <c r="J16" i="29"/>
  <c r="J31" i="29"/>
  <c r="J51" i="29"/>
  <c r="J34" i="28"/>
  <c r="H34" i="28"/>
  <c r="J23" i="26"/>
  <c r="J19" i="24"/>
  <c r="J11" i="29"/>
  <c r="J28" i="29"/>
  <c r="J44" i="29"/>
  <c r="J13" i="30"/>
  <c r="J24" i="27"/>
  <c r="J6" i="25"/>
  <c r="H6" i="25"/>
  <c r="J7" i="26"/>
  <c r="J13" i="29"/>
  <c r="J29" i="29"/>
  <c r="J43" i="29"/>
  <c r="J17" i="24"/>
  <c r="H17" i="24"/>
  <c r="J4" i="28"/>
  <c r="H4" i="28"/>
  <c r="J4" i="29"/>
  <c r="J20" i="29"/>
  <c r="J34" i="29"/>
  <c r="J9" i="28"/>
  <c r="J18" i="25"/>
  <c r="J35" i="25"/>
  <c r="J14" i="29"/>
  <c r="J30" i="29"/>
  <c r="J45" i="29"/>
  <c r="J46" i="29"/>
  <c r="H46" i="29" s="1"/>
  <c r="J6" i="26"/>
  <c r="J46" i="28"/>
  <c r="J2" i="29"/>
  <c r="J3" i="29"/>
  <c r="J17" i="29"/>
  <c r="J33" i="29"/>
  <c r="J6" i="30"/>
  <c r="J17" i="25"/>
  <c r="H17" i="25"/>
  <c r="J16" i="27"/>
  <c r="H16" i="27"/>
  <c r="J5" i="29"/>
  <c r="J18" i="29"/>
  <c r="J19" i="29"/>
  <c r="J32" i="29"/>
  <c r="J52" i="29"/>
  <c r="J13" i="23"/>
  <c r="J15" i="24"/>
  <c r="J15" i="29"/>
  <c r="J37" i="29"/>
  <c r="J41" i="29"/>
  <c r="J24" i="24"/>
  <c r="H24" i="24"/>
  <c r="J36" i="28"/>
  <c r="J29" i="26"/>
  <c r="J7" i="29"/>
  <c r="J25" i="29"/>
  <c r="J35" i="29"/>
  <c r="J48" i="29"/>
  <c r="J15" i="23"/>
  <c r="J43" i="28"/>
  <c r="J15" i="27"/>
  <c r="J21" i="25"/>
  <c r="J9" i="29"/>
  <c r="J27" i="29"/>
  <c r="J42" i="29"/>
  <c r="J11" i="30"/>
  <c r="J12" i="28"/>
  <c r="J27" i="25"/>
  <c r="J16" i="23"/>
  <c r="J12" i="29"/>
  <c r="J26" i="29"/>
  <c r="J40" i="29"/>
  <c r="J10" i="30"/>
  <c r="J30" i="28"/>
  <c r="J26" i="28"/>
  <c r="J13" i="28"/>
  <c r="J25" i="27"/>
  <c r="J7" i="27"/>
  <c r="J14" i="26"/>
  <c r="J25" i="25"/>
  <c r="J7" i="25"/>
  <c r="J14" i="24"/>
  <c r="J19" i="23"/>
  <c r="J31" i="28"/>
  <c r="J28" i="28"/>
  <c r="J16" i="28"/>
  <c r="J29" i="27"/>
  <c r="J11" i="27"/>
  <c r="J20" i="26"/>
  <c r="J2" i="26"/>
  <c r="J13" i="25"/>
  <c r="J26" i="24"/>
  <c r="J28" i="23"/>
  <c r="J5" i="23"/>
  <c r="J29" i="28"/>
  <c r="J17" i="28"/>
  <c r="J2" i="28"/>
  <c r="J14" i="27"/>
  <c r="J22" i="26"/>
  <c r="J4" i="26"/>
  <c r="J16" i="25"/>
  <c r="J3" i="25"/>
  <c r="J9" i="23"/>
  <c r="J8" i="23"/>
  <c r="J6" i="23"/>
  <c r="J37" i="28"/>
  <c r="J33" i="28"/>
  <c r="J32" i="28"/>
  <c r="J20" i="28"/>
  <c r="J27" i="27"/>
  <c r="H27" i="27"/>
  <c r="J9" i="27"/>
  <c r="J16" i="26"/>
  <c r="J29" i="25"/>
  <c r="J11" i="25"/>
  <c r="J23" i="24"/>
  <c r="J22" i="23"/>
  <c r="J40" i="28"/>
  <c r="J23" i="28"/>
  <c r="H23" i="28"/>
  <c r="J26" i="27"/>
  <c r="J8" i="27"/>
  <c r="J15" i="26"/>
  <c r="J28" i="25"/>
  <c r="H28" i="25"/>
  <c r="J10" i="25"/>
  <c r="J21" i="24"/>
  <c r="J25" i="23"/>
  <c r="J38" i="28"/>
  <c r="H38" i="28"/>
  <c r="J22" i="28"/>
  <c r="J21" i="28"/>
  <c r="J31" i="27"/>
  <c r="J30" i="27"/>
  <c r="H30" i="27"/>
  <c r="J13" i="27"/>
  <c r="J21" i="26"/>
  <c r="J3" i="26"/>
  <c r="J15" i="25"/>
  <c r="H15" i="25"/>
  <c r="J2" i="25"/>
  <c r="J29" i="23"/>
  <c r="J2" i="23"/>
  <c r="J41" i="28"/>
  <c r="J15" i="28"/>
  <c r="H15" i="28"/>
  <c r="J14" i="28"/>
  <c r="J28" i="27"/>
  <c r="H28" i="27"/>
  <c r="J10" i="27"/>
  <c r="H10" i="27"/>
  <c r="J19" i="26"/>
  <c r="H19" i="26"/>
  <c r="J30" i="25"/>
  <c r="J12" i="25"/>
  <c r="H12" i="25"/>
  <c r="J25" i="24"/>
  <c r="J27" i="23"/>
  <c r="J4" i="23"/>
  <c r="J3" i="23"/>
  <c r="J39" i="28"/>
  <c r="J8" i="28"/>
  <c r="J19" i="27"/>
  <c r="J28" i="26"/>
  <c r="J8" i="26"/>
  <c r="H8" i="26"/>
  <c r="J19" i="25"/>
  <c r="J16" i="24"/>
  <c r="J14" i="23"/>
  <c r="J42" i="28"/>
  <c r="J7" i="28"/>
  <c r="J20" i="27"/>
  <c r="J3" i="27"/>
  <c r="J11" i="26"/>
  <c r="H11" i="26"/>
  <c r="J22" i="25"/>
  <c r="J10" i="23"/>
  <c r="H10" i="23"/>
  <c r="J45" i="28"/>
  <c r="J30" i="26"/>
  <c r="J6" i="29"/>
  <c r="J21" i="29"/>
  <c r="J22" i="29"/>
  <c r="J36" i="29"/>
  <c r="J47" i="29"/>
  <c r="J49" i="29"/>
  <c r="J18" i="26"/>
  <c r="J7" i="24"/>
  <c r="J21" i="23"/>
  <c r="J11" i="28"/>
  <c r="J31" i="26"/>
  <c r="J13" i="24"/>
  <c r="J2" i="24"/>
  <c r="J31" i="23"/>
  <c r="J12" i="26"/>
  <c r="J12" i="27"/>
  <c r="J25" i="28"/>
  <c r="J24" i="23"/>
  <c r="H10" i="29"/>
  <c r="H14" i="30"/>
  <c r="H31" i="30"/>
  <c r="H26" i="30"/>
  <c r="H16" i="30"/>
  <c r="H7" i="30"/>
  <c r="H4" i="30"/>
  <c r="H32" i="30"/>
  <c r="H2" i="30"/>
  <c r="H30" i="30"/>
  <c r="H20" i="30"/>
  <c r="H29" i="30"/>
  <c r="H18" i="30"/>
  <c r="H17" i="30"/>
  <c r="H28" i="30"/>
  <c r="H27" i="30"/>
  <c r="H25" i="30"/>
  <c r="H22" i="30"/>
  <c r="H21" i="30"/>
  <c r="H19" i="30"/>
  <c r="H15" i="30"/>
  <c r="H12" i="30"/>
  <c r="H9" i="30"/>
  <c r="H8" i="30"/>
  <c r="H5" i="30"/>
  <c r="H23" i="30"/>
  <c r="H13" i="23"/>
  <c r="H11" i="23"/>
  <c r="H25" i="24"/>
  <c r="H2" i="25"/>
  <c r="H22" i="25"/>
  <c r="H28" i="26"/>
  <c r="H20" i="27"/>
  <c r="H9" i="28"/>
  <c r="H14" i="28"/>
  <c r="H36" i="29"/>
  <c r="H20" i="25"/>
  <c r="H12" i="24"/>
  <c r="H2" i="27"/>
  <c r="H9" i="25"/>
  <c r="H3" i="24"/>
  <c r="H24" i="26"/>
  <c r="H32" i="27"/>
  <c r="H23" i="23"/>
  <c r="H13" i="26"/>
  <c r="H11" i="24"/>
  <c r="H7" i="23"/>
  <c r="H9" i="26"/>
  <c r="H30" i="23"/>
  <c r="H18" i="23"/>
  <c r="H24" i="25"/>
  <c r="H26" i="25"/>
  <c r="H26" i="26"/>
  <c r="H34" i="25"/>
  <c r="H6" i="24"/>
  <c r="H5" i="24"/>
  <c r="H18" i="27"/>
  <c r="H18" i="28"/>
  <c r="H18" i="25"/>
  <c r="H35" i="25"/>
  <c r="H15" i="24"/>
  <c r="H15" i="29"/>
  <c r="H37" i="29"/>
  <c r="H41" i="29"/>
  <c r="H12" i="28"/>
  <c r="H40" i="29"/>
  <c r="H10" i="30"/>
  <c r="H25" i="27"/>
  <c r="H28" i="28"/>
  <c r="H16" i="28"/>
  <c r="H29" i="27"/>
  <c r="H11" i="27"/>
  <c r="H20" i="26"/>
  <c r="H2" i="26"/>
  <c r="H13" i="25"/>
  <c r="H26" i="24"/>
  <c r="H28" i="23"/>
  <c r="H5" i="23"/>
  <c r="H3" i="25"/>
  <c r="H9" i="23"/>
  <c r="H8" i="23"/>
  <c r="H6" i="23"/>
  <c r="H33" i="28"/>
  <c r="H32" i="28"/>
  <c r="H3" i="23"/>
  <c r="H39" i="28"/>
  <c r="H8" i="28"/>
  <c r="H19" i="27"/>
  <c r="H16" i="24"/>
  <c r="H25" i="28"/>
  <c r="H6" i="27"/>
  <c r="H25" i="26"/>
  <c r="H12" i="23"/>
  <c r="H8" i="24"/>
  <c r="H17" i="26"/>
  <c r="H6" i="28"/>
  <c r="H23" i="25"/>
  <c r="H35" i="28"/>
  <c r="H10" i="28"/>
  <c r="H14" i="25"/>
  <c r="H8" i="29"/>
  <c r="H23" i="29"/>
  <c r="H24" i="29"/>
  <c r="H39" i="29"/>
  <c r="H50" i="29"/>
  <c r="H21" i="27"/>
  <c r="H32" i="25"/>
  <c r="H16" i="29"/>
  <c r="H31" i="29"/>
  <c r="H51" i="29"/>
  <c r="H23" i="26"/>
  <c r="H19" i="24"/>
  <c r="H11" i="29"/>
  <c r="H28" i="29"/>
  <c r="H44" i="29"/>
  <c r="H13" i="30"/>
  <c r="H24" i="27"/>
  <c r="H7" i="26"/>
  <c r="H13" i="29"/>
  <c r="H29" i="29"/>
  <c r="H43" i="29"/>
  <c r="H4" i="29"/>
  <c r="H20" i="29"/>
  <c r="H34" i="29"/>
  <c r="H36" i="28"/>
  <c r="H29" i="26"/>
  <c r="H7" i="29"/>
  <c r="H35" i="29"/>
  <c r="H27" i="25"/>
  <c r="H12" i="29"/>
  <c r="H26" i="29"/>
  <c r="H7" i="27"/>
  <c r="H14" i="26"/>
  <c r="H25" i="25"/>
  <c r="H7" i="25"/>
  <c r="H14" i="24"/>
  <c r="H19" i="23"/>
  <c r="H31" i="28"/>
  <c r="H29" i="28"/>
  <c r="H17" i="28"/>
  <c r="H2" i="28"/>
  <c r="H14" i="27"/>
  <c r="H22" i="26"/>
  <c r="H4" i="26"/>
  <c r="H4" i="23"/>
  <c r="H42" i="28"/>
  <c r="H7" i="28"/>
  <c r="H21" i="29"/>
  <c r="H22" i="29"/>
  <c r="H49" i="29"/>
  <c r="H18" i="26"/>
  <c r="H7" i="24"/>
  <c r="H12" i="26"/>
  <c r="H8" i="25"/>
  <c r="H17" i="23"/>
  <c r="H27" i="28"/>
  <c r="H14" i="29"/>
  <c r="H30" i="29"/>
  <c r="H45" i="29"/>
  <c r="H6" i="26"/>
  <c r="H46" i="28"/>
  <c r="H2" i="29"/>
  <c r="H3" i="29"/>
  <c r="H17" i="29"/>
  <c r="H33" i="29"/>
  <c r="H6" i="30"/>
  <c r="H5" i="29"/>
  <c r="H18" i="29"/>
  <c r="H19" i="29"/>
  <c r="H32" i="29"/>
  <c r="H52" i="29"/>
  <c r="H25" i="29"/>
  <c r="H48" i="29"/>
  <c r="H15" i="23"/>
  <c r="H43" i="28"/>
  <c r="H15" i="27"/>
  <c r="H21" i="25"/>
  <c r="H9" i="29"/>
  <c r="H27" i="29"/>
  <c r="H42" i="29"/>
  <c r="H11" i="30"/>
  <c r="H16" i="23"/>
  <c r="H30" i="28"/>
  <c r="H26" i="28"/>
  <c r="H13" i="28"/>
  <c r="H16" i="25"/>
  <c r="H37" i="28"/>
  <c r="H27" i="23"/>
  <c r="H21" i="23"/>
  <c r="H11" i="28"/>
  <c r="H22" i="27"/>
  <c r="H22" i="24"/>
  <c r="H4" i="24"/>
  <c r="H17" i="27"/>
  <c r="H19" i="28"/>
  <c r="H4" i="25"/>
  <c r="H20" i="28"/>
  <c r="H9" i="27"/>
  <c r="H16" i="26"/>
  <c r="H29" i="25"/>
  <c r="H11" i="25"/>
  <c r="H23" i="24"/>
  <c r="H22" i="23"/>
  <c r="H40" i="28"/>
  <c r="H26" i="27"/>
  <c r="H8" i="27"/>
  <c r="H15" i="26"/>
  <c r="H10" i="25"/>
  <c r="H21" i="24"/>
  <c r="H25" i="23"/>
  <c r="H22" i="28"/>
  <c r="H21" i="28"/>
  <c r="H31" i="27"/>
  <c r="H13" i="27"/>
  <c r="H21" i="26"/>
  <c r="H3" i="26"/>
  <c r="H29" i="23"/>
  <c r="H2" i="23"/>
  <c r="H41" i="28"/>
  <c r="H30" i="25"/>
  <c r="H19" i="25"/>
  <c r="H14" i="23"/>
  <c r="H3" i="27"/>
  <c r="H45" i="28"/>
  <c r="H30" i="26"/>
  <c r="H6" i="29"/>
  <c r="H31" i="26"/>
  <c r="H13" i="24"/>
  <c r="H2" i="24"/>
  <c r="H24" i="28"/>
  <c r="H26" i="23"/>
  <c r="H33" i="25"/>
  <c r="H9" i="24"/>
  <c r="H31" i="25"/>
  <c r="H47" i="29"/>
  <c r="H31" i="23"/>
  <c r="H12" i="27"/>
  <c r="H24" i="23"/>
  <c r="H20" i="24"/>
  <c r="H5" i="25"/>
  <c r="H44" i="28"/>
  <c r="H10" i="24"/>
  <c r="H27" i="26"/>
  <c r="H18" i="24"/>
  <c r="O15" i="16"/>
  <c r="A16" i="16"/>
  <c r="A8" i="16"/>
  <c r="O7" i="16"/>
  <c r="O8" i="16"/>
  <c r="A9" i="16"/>
  <c r="J50" i="32"/>
  <c r="H50" i="32"/>
  <c r="O16" i="16"/>
  <c r="A17" i="16"/>
  <c r="O9" i="16"/>
  <c r="A10" i="16"/>
  <c r="A18" i="16"/>
  <c r="O17" i="16"/>
  <c r="A11" i="16"/>
  <c r="O10" i="16"/>
  <c r="O18" i="16"/>
  <c r="A19" i="16"/>
  <c r="A12" i="16"/>
  <c r="O11" i="16"/>
  <c r="O19" i="16"/>
  <c r="A20" i="16"/>
  <c r="O12" i="16"/>
  <c r="A13" i="16"/>
  <c r="O20" i="16"/>
  <c r="A21" i="16"/>
  <c r="O13" i="16"/>
  <c r="O21" i="16"/>
  <c r="A22" i="16"/>
  <c r="A23" i="16"/>
  <c r="O22" i="16"/>
  <c r="A24" i="16"/>
  <c r="O23" i="16"/>
  <c r="A25" i="16"/>
  <c r="O24" i="16"/>
  <c r="O25" i="16"/>
  <c r="A26" i="16"/>
  <c r="A27" i="16"/>
  <c r="O26" i="16"/>
  <c r="A28" i="16"/>
  <c r="O28" i="16"/>
  <c r="O27" i="16"/>
  <c r="B10" i="35"/>
  <c r="B3" i="33"/>
  <c r="B27" i="36"/>
  <c r="B16" i="33"/>
  <c r="B17" i="36"/>
  <c r="B17" i="38"/>
  <c r="B27" i="37"/>
  <c r="B20" i="36"/>
  <c r="B31" i="36"/>
  <c r="B53" i="36"/>
  <c r="B7" i="38"/>
  <c r="B35" i="36"/>
  <c r="B8" i="46"/>
  <c r="B20" i="35"/>
  <c r="B21" i="33"/>
  <c r="J21" i="33" s="1"/>
  <c r="H21" i="33" s="1"/>
  <c r="B34" i="34"/>
  <c r="B44" i="34"/>
  <c r="B23" i="33"/>
  <c r="B40" i="35"/>
  <c r="B6" i="33"/>
  <c r="B16" i="35"/>
  <c r="B14" i="35"/>
  <c r="B30" i="36"/>
  <c r="B31" i="34"/>
  <c r="B24" i="37"/>
  <c r="B25" i="37"/>
  <c r="B43" i="38"/>
  <c r="B46" i="38"/>
  <c r="B59" i="38"/>
  <c r="B60" i="38"/>
  <c r="B61" i="38"/>
  <c r="B36" i="38"/>
  <c r="B44" i="38"/>
  <c r="B45" i="38"/>
  <c r="B47" i="38"/>
  <c r="B48" i="38"/>
  <c r="B57" i="38"/>
  <c r="B49" i="38"/>
  <c r="B50" i="38"/>
  <c r="B51" i="38"/>
  <c r="B52" i="38"/>
  <c r="B54" i="38"/>
  <c r="B56" i="38"/>
  <c r="B31" i="46"/>
  <c r="B32" i="46"/>
  <c r="J32" i="46" s="1"/>
  <c r="H32" i="46" s="1"/>
  <c r="B33" i="46"/>
  <c r="B58" i="38"/>
  <c r="K58" i="38" s="1"/>
  <c r="I58" i="38" s="1"/>
  <c r="B34" i="46"/>
  <c r="B23" i="37"/>
  <c r="B30" i="46"/>
  <c r="B29" i="46"/>
  <c r="B41" i="46"/>
  <c r="B47" i="32"/>
  <c r="B31" i="33"/>
  <c r="B10" i="33"/>
  <c r="B38" i="32"/>
  <c r="B20" i="33"/>
  <c r="B8" i="35"/>
  <c r="B12" i="35"/>
  <c r="B33" i="35"/>
  <c r="B4" i="33"/>
  <c r="B23" i="32"/>
  <c r="B12" i="33"/>
  <c r="B22" i="33"/>
  <c r="B25" i="33"/>
  <c r="B14" i="33"/>
  <c r="B5" i="33"/>
  <c r="B18" i="33"/>
  <c r="B43" i="32"/>
  <c r="B3" i="32"/>
  <c r="B11" i="33"/>
  <c r="B17" i="32"/>
  <c r="B9" i="33"/>
  <c r="B8" i="33"/>
  <c r="B19" i="32"/>
  <c r="B48" i="32"/>
  <c r="B30" i="33"/>
  <c r="B28" i="33"/>
  <c r="B37" i="32"/>
  <c r="B2" i="32"/>
  <c r="B32" i="33"/>
  <c r="B21" i="32"/>
  <c r="B25" i="32"/>
  <c r="B33" i="33"/>
  <c r="B40" i="32"/>
  <c r="B20" i="32"/>
  <c r="B13" i="33"/>
  <c r="B16" i="36"/>
  <c r="B3" i="36"/>
  <c r="B24" i="36"/>
  <c r="B25" i="36"/>
  <c r="B15" i="36"/>
  <c r="B18" i="36"/>
  <c r="B25" i="35"/>
  <c r="B24" i="35"/>
  <c r="B10" i="36"/>
  <c r="B21" i="36"/>
  <c r="B2" i="36"/>
  <c r="B26" i="35"/>
  <c r="B9" i="36"/>
  <c r="B31" i="35"/>
  <c r="B7" i="35"/>
  <c r="B6" i="35"/>
  <c r="B5" i="35"/>
  <c r="B26" i="36"/>
  <c r="B23" i="36"/>
  <c r="B22" i="36"/>
  <c r="B4" i="36"/>
  <c r="B11" i="36"/>
  <c r="B8" i="36"/>
  <c r="B7" i="36"/>
  <c r="B37" i="35"/>
  <c r="B36" i="35"/>
  <c r="B35" i="35"/>
  <c r="B34" i="35"/>
  <c r="B32" i="35"/>
  <c r="B23" i="35"/>
  <c r="B22" i="35"/>
  <c r="B21" i="35"/>
  <c r="B19" i="35"/>
  <c r="B37" i="34"/>
  <c r="B8" i="34"/>
  <c r="B10" i="34"/>
  <c r="B7" i="34"/>
  <c r="B23" i="34"/>
  <c r="B29" i="34"/>
  <c r="B36" i="34"/>
  <c r="B43" i="34"/>
  <c r="B22" i="34"/>
  <c r="B42" i="34"/>
  <c r="B21" i="34"/>
  <c r="B18" i="34"/>
  <c r="B11" i="34"/>
  <c r="B39" i="34"/>
  <c r="B6" i="34"/>
  <c r="B12" i="34"/>
  <c r="B25" i="34"/>
  <c r="B24" i="34"/>
  <c r="B17" i="34"/>
  <c r="B38" i="34"/>
  <c r="B13" i="34"/>
  <c r="B15" i="34"/>
  <c r="B3" i="34"/>
  <c r="B5" i="34"/>
  <c r="B2" i="34"/>
  <c r="B16" i="34"/>
  <c r="B41" i="34"/>
  <c r="B30" i="34"/>
  <c r="B28" i="34"/>
  <c r="B26" i="34"/>
  <c r="B33" i="34"/>
  <c r="B4" i="34"/>
  <c r="B40" i="34"/>
  <c r="B35" i="34"/>
  <c r="B27" i="34"/>
  <c r="B7" i="33"/>
  <c r="B36" i="32"/>
  <c r="B27" i="33"/>
  <c r="B26" i="33"/>
  <c r="B16" i="32"/>
  <c r="B42" i="32"/>
  <c r="B15" i="33"/>
  <c r="A2" i="17"/>
  <c r="A3" i="17"/>
  <c r="A4" i="17"/>
  <c r="A5" i="17"/>
  <c r="A6" i="17"/>
  <c r="A7" i="17"/>
  <c r="A8" i="17"/>
  <c r="A9" i="17"/>
  <c r="A10" i="17"/>
  <c r="A11" i="17"/>
  <c r="A12" i="17"/>
  <c r="A13" i="17"/>
  <c r="A14" i="17"/>
  <c r="A15" i="17"/>
  <c r="A16" i="17"/>
  <c r="A17" i="17"/>
  <c r="A18" i="17"/>
  <c r="A19" i="17"/>
  <c r="A20" i="17"/>
  <c r="A21" i="17"/>
  <c r="A22" i="17"/>
  <c r="A23" i="17"/>
  <c r="A24" i="17"/>
  <c r="A25" i="17"/>
  <c r="A26" i="17"/>
  <c r="A27" i="17"/>
  <c r="A28" i="17"/>
  <c r="A29" i="17"/>
  <c r="A30" i="17"/>
  <c r="A31" i="17"/>
  <c r="A32" i="17"/>
  <c r="A33" i="17"/>
  <c r="A34" i="17"/>
  <c r="A35" i="17"/>
  <c r="A36" i="17"/>
  <c r="A37" i="17"/>
  <c r="A38" i="17"/>
  <c r="A39" i="17"/>
  <c r="A40" i="17"/>
  <c r="A41" i="17"/>
  <c r="A42" i="17"/>
  <c r="A43" i="17"/>
  <c r="A44" i="17"/>
  <c r="A45" i="17"/>
  <c r="A46" i="17"/>
  <c r="A47" i="17"/>
  <c r="A48" i="17"/>
  <c r="A49" i="17"/>
  <c r="A50" i="17"/>
  <c r="A51" i="17"/>
  <c r="A52" i="17"/>
  <c r="A53" i="17"/>
  <c r="A54" i="17"/>
  <c r="B32" i="21"/>
  <c r="B35" i="32"/>
  <c r="B14" i="32"/>
  <c r="B28" i="32"/>
  <c r="B29" i="32"/>
  <c r="B45" i="32"/>
  <c r="B13" i="32"/>
  <c r="J13" i="32"/>
  <c r="H13" i="32" s="1"/>
  <c r="B12" i="32"/>
  <c r="B15" i="32"/>
  <c r="B41" i="32"/>
  <c r="B9" i="32"/>
  <c r="B7" i="32"/>
  <c r="B22" i="32"/>
  <c r="B33" i="32"/>
  <c r="B26" i="32"/>
  <c r="B30" i="32"/>
  <c r="B46" i="32"/>
  <c r="B11" i="32"/>
  <c r="B10" i="32"/>
  <c r="B5" i="32"/>
  <c r="B4" i="32"/>
  <c r="B44" i="32"/>
  <c r="B24" i="32"/>
  <c r="B39" i="32"/>
  <c r="B31" i="32"/>
  <c r="B8" i="32"/>
  <c r="B18" i="32"/>
  <c r="B27" i="32"/>
  <c r="J27" i="32"/>
  <c r="H27" i="32"/>
  <c r="B9" i="35"/>
  <c r="B19" i="34"/>
  <c r="B19" i="36"/>
  <c r="B28" i="36"/>
  <c r="B42" i="36"/>
  <c r="B12" i="36"/>
  <c r="B45" i="36"/>
  <c r="B43" i="36"/>
  <c r="K43" i="36"/>
  <c r="I43" i="36"/>
  <c r="B48" i="36"/>
  <c r="B49" i="36"/>
  <c r="B44" i="36"/>
  <c r="K44" i="36"/>
  <c r="I44" i="36"/>
  <c r="B39" i="36"/>
  <c r="B46" i="36"/>
  <c r="B51" i="36"/>
  <c r="B50" i="36"/>
  <c r="B40" i="36"/>
  <c r="B32" i="36"/>
  <c r="B33" i="36"/>
  <c r="B34" i="36"/>
  <c r="K34" i="36" s="1"/>
  <c r="I34" i="36" s="1"/>
  <c r="B36" i="36"/>
  <c r="B37" i="36"/>
  <c r="B38" i="36"/>
  <c r="K38" i="36" s="1"/>
  <c r="I38" i="36" s="1"/>
  <c r="B41" i="36"/>
  <c r="B47" i="36"/>
  <c r="B52" i="36"/>
  <c r="B2" i="37"/>
  <c r="B3" i="37"/>
  <c r="B4" i="37"/>
  <c r="B5" i="37"/>
  <c r="B6" i="37"/>
  <c r="B7" i="37"/>
  <c r="B8" i="37"/>
  <c r="B9" i="37"/>
  <c r="B10" i="37"/>
  <c r="J10" i="37" s="1"/>
  <c r="H10" i="37" s="1"/>
  <c r="B11" i="37"/>
  <c r="B12" i="37"/>
  <c r="B13" i="37"/>
  <c r="B14" i="37"/>
  <c r="B15" i="37"/>
  <c r="B16" i="37"/>
  <c r="B17" i="37"/>
  <c r="J17" i="37" s="1"/>
  <c r="H17" i="37" s="1"/>
  <c r="B18" i="37"/>
  <c r="B19" i="37"/>
  <c r="B20" i="37"/>
  <c r="B21" i="37"/>
  <c r="B22" i="37"/>
  <c r="B2" i="38"/>
  <c r="B15" i="38"/>
  <c r="K15" i="38" s="1"/>
  <c r="I15" i="38" s="1"/>
  <c r="B8" i="38"/>
  <c r="B11" i="38"/>
  <c r="B13" i="38"/>
  <c r="B14" i="38"/>
  <c r="B9" i="38"/>
  <c r="B10" i="38"/>
  <c r="B12" i="38"/>
  <c r="B19" i="38"/>
  <c r="B20" i="38"/>
  <c r="B41" i="38"/>
  <c r="B21" i="38"/>
  <c r="B4" i="38"/>
  <c r="B30" i="38"/>
  <c r="B40" i="38"/>
  <c r="K40" i="38"/>
  <c r="I40" i="38"/>
  <c r="B29" i="38"/>
  <c r="B35" i="38"/>
  <c r="B34" i="38"/>
  <c r="B39" i="38"/>
  <c r="B31" i="38"/>
  <c r="B5" i="38"/>
  <c r="B38" i="38"/>
  <c r="B25" i="38"/>
  <c r="B33" i="38"/>
  <c r="B37" i="38"/>
  <c r="B28" i="38"/>
  <c r="B26" i="38"/>
  <c r="K26" i="38"/>
  <c r="I26" i="38"/>
  <c r="B42" i="38"/>
  <c r="B22" i="38"/>
  <c r="B27" i="38"/>
  <c r="B6" i="38"/>
  <c r="B32" i="38"/>
  <c r="B2" i="46"/>
  <c r="B3" i="46"/>
  <c r="B4" i="46"/>
  <c r="B5" i="46"/>
  <c r="B6" i="46"/>
  <c r="B7" i="46"/>
  <c r="B9" i="46"/>
  <c r="B10" i="46"/>
  <c r="B11" i="46"/>
  <c r="B12" i="46"/>
  <c r="B13" i="46"/>
  <c r="B14" i="46"/>
  <c r="B15" i="46"/>
  <c r="B16" i="46"/>
  <c r="B17" i="46"/>
  <c r="B19" i="46"/>
  <c r="J19" i="46" s="1"/>
  <c r="H19" i="46" s="1"/>
  <c r="B20" i="46"/>
  <c r="B21" i="46"/>
  <c r="B22" i="46"/>
  <c r="B23" i="46"/>
  <c r="B24" i="46"/>
  <c r="B25" i="46"/>
  <c r="B26" i="46"/>
  <c r="B27" i="46"/>
  <c r="B39" i="46"/>
  <c r="B40" i="46"/>
  <c r="B3" i="35"/>
  <c r="B16" i="38"/>
  <c r="B28" i="37"/>
  <c r="B28" i="35"/>
  <c r="B42" i="35"/>
  <c r="B30" i="37"/>
  <c r="B41" i="35"/>
  <c r="B18" i="35"/>
  <c r="B17" i="35"/>
  <c r="B55" i="38"/>
  <c r="B53" i="38"/>
  <c r="B24" i="38"/>
  <c r="B23" i="38"/>
  <c r="B18" i="38"/>
  <c r="K18" i="38" s="1"/>
  <c r="I18" i="38" s="1"/>
  <c r="B3" i="38"/>
  <c r="B29" i="37"/>
  <c r="B28" i="46"/>
  <c r="B35" i="46"/>
  <c r="B36" i="46"/>
  <c r="B37" i="46"/>
  <c r="B38" i="46"/>
  <c r="B2" i="33"/>
  <c r="B6" i="36"/>
  <c r="B11" i="35"/>
  <c r="B13" i="36"/>
  <c r="B17" i="33"/>
  <c r="B34" i="32"/>
  <c r="B29" i="36"/>
  <c r="B27" i="35"/>
  <c r="B13" i="35"/>
  <c r="B30" i="35"/>
  <c r="B14" i="34"/>
  <c r="B29" i="33"/>
  <c r="B49" i="32"/>
  <c r="B29" i="35"/>
  <c r="B51" i="32"/>
  <c r="B5" i="36"/>
  <c r="B39" i="35"/>
  <c r="B20" i="34"/>
  <c r="B24" i="33"/>
  <c r="B6" i="32"/>
  <c r="J6" i="32"/>
  <c r="H6" i="32"/>
  <c r="B19" i="33"/>
  <c r="B9" i="34"/>
  <c r="B32" i="32"/>
  <c r="B38" i="35"/>
  <c r="B14" i="36"/>
  <c r="B15" i="35"/>
  <c r="J101" i="46"/>
  <c r="H101" i="46"/>
  <c r="H100" i="46"/>
  <c r="J100" i="46"/>
  <c r="J99" i="46"/>
  <c r="H99" i="46"/>
  <c r="J98" i="46"/>
  <c r="H98" i="46"/>
  <c r="H97" i="46"/>
  <c r="J97" i="46"/>
  <c r="H96" i="46"/>
  <c r="J96" i="46"/>
  <c r="J95" i="46"/>
  <c r="H95" i="46"/>
  <c r="J94" i="46"/>
  <c r="H94" i="46"/>
  <c r="J93" i="46"/>
  <c r="H93" i="46"/>
  <c r="H92" i="46"/>
  <c r="J92" i="46"/>
  <c r="J91" i="46"/>
  <c r="H91" i="46"/>
  <c r="J90" i="46"/>
  <c r="H90" i="46"/>
  <c r="J89" i="46"/>
  <c r="H89" i="46"/>
  <c r="J88" i="46"/>
  <c r="H88" i="46"/>
  <c r="H87" i="46"/>
  <c r="J87" i="46"/>
  <c r="H86" i="46"/>
  <c r="J86" i="46"/>
  <c r="H85" i="46"/>
  <c r="J85" i="46"/>
  <c r="H84" i="46"/>
  <c r="J84" i="46"/>
  <c r="H83" i="46"/>
  <c r="J83" i="46"/>
  <c r="H82" i="46"/>
  <c r="J82" i="46"/>
  <c r="J81" i="46"/>
  <c r="H81" i="46"/>
  <c r="H80" i="46"/>
  <c r="J80" i="46"/>
  <c r="H79" i="46"/>
  <c r="J79" i="46"/>
  <c r="H78" i="46"/>
  <c r="J78" i="46"/>
  <c r="H77" i="46"/>
  <c r="J77" i="46"/>
  <c r="H76" i="46"/>
  <c r="J76" i="46"/>
  <c r="H75" i="46"/>
  <c r="J75" i="46"/>
  <c r="H74" i="46"/>
  <c r="J74" i="46"/>
  <c r="J73" i="46"/>
  <c r="H73" i="46"/>
  <c r="J72" i="46"/>
  <c r="H72" i="46"/>
  <c r="J71" i="46"/>
  <c r="H71" i="46"/>
  <c r="J70" i="46"/>
  <c r="H70" i="46"/>
  <c r="J69" i="46"/>
  <c r="H69" i="46"/>
  <c r="J68" i="46"/>
  <c r="H68" i="46"/>
  <c r="H67" i="46"/>
  <c r="J67" i="46"/>
  <c r="H66" i="46"/>
  <c r="J66" i="46"/>
  <c r="H65" i="46"/>
  <c r="J65" i="46"/>
  <c r="J64" i="46"/>
  <c r="H64" i="46"/>
  <c r="J63" i="46"/>
  <c r="H63" i="46"/>
  <c r="H62" i="46"/>
  <c r="J62" i="46"/>
  <c r="J61" i="46"/>
  <c r="H61" i="46"/>
  <c r="J60" i="46"/>
  <c r="H60" i="46"/>
  <c r="J59" i="46"/>
  <c r="H59" i="46"/>
  <c r="J58" i="46"/>
  <c r="H58" i="46"/>
  <c r="H57" i="46"/>
  <c r="J57" i="46"/>
  <c r="J56" i="46"/>
  <c r="H56" i="46"/>
  <c r="J55" i="46"/>
  <c r="H55" i="46"/>
  <c r="H54" i="46"/>
  <c r="J54" i="46"/>
  <c r="J53" i="46"/>
  <c r="H53" i="46"/>
  <c r="J52" i="46"/>
  <c r="H52" i="46"/>
  <c r="H51" i="46"/>
  <c r="J51" i="46"/>
  <c r="H50" i="46"/>
  <c r="J50" i="46"/>
  <c r="H49" i="46"/>
  <c r="J49" i="46"/>
  <c r="H48" i="46"/>
  <c r="J48" i="46"/>
  <c r="H47" i="46"/>
  <c r="J47" i="46"/>
  <c r="H46" i="46"/>
  <c r="J46" i="46"/>
  <c r="H45" i="46"/>
  <c r="J45" i="46"/>
  <c r="J44" i="46"/>
  <c r="H44" i="46"/>
  <c r="J43" i="46"/>
  <c r="H43" i="46"/>
  <c r="H42" i="46"/>
  <c r="J42" i="46"/>
  <c r="J101" i="45"/>
  <c r="H101" i="45"/>
  <c r="J100" i="45"/>
  <c r="H100" i="45"/>
  <c r="H99" i="45"/>
  <c r="J99" i="45"/>
  <c r="J98" i="45"/>
  <c r="H98" i="45"/>
  <c r="H97" i="45"/>
  <c r="J97" i="45"/>
  <c r="H96" i="45"/>
  <c r="J96" i="45"/>
  <c r="J95" i="45"/>
  <c r="H95" i="45"/>
  <c r="H94" i="45"/>
  <c r="J94" i="45"/>
  <c r="H93" i="45"/>
  <c r="J93" i="45"/>
  <c r="J92" i="45"/>
  <c r="H92" i="45"/>
  <c r="H91" i="45"/>
  <c r="J91" i="45"/>
  <c r="J90" i="45"/>
  <c r="H90" i="45"/>
  <c r="H89" i="45"/>
  <c r="J89" i="45"/>
  <c r="J88" i="45"/>
  <c r="H88" i="45"/>
  <c r="H87" i="45"/>
  <c r="J87" i="45"/>
  <c r="H86" i="45"/>
  <c r="J86" i="45"/>
  <c r="J85" i="45"/>
  <c r="H85" i="45"/>
  <c r="J84" i="45"/>
  <c r="H84" i="45"/>
  <c r="H83" i="45"/>
  <c r="J83" i="45"/>
  <c r="H82" i="45"/>
  <c r="J82" i="45"/>
  <c r="H81" i="45"/>
  <c r="J81" i="45"/>
  <c r="J80" i="45"/>
  <c r="H80" i="45"/>
  <c r="J79" i="45"/>
  <c r="H79" i="45"/>
  <c r="J78" i="45"/>
  <c r="H78" i="45"/>
  <c r="H77" i="45"/>
  <c r="J77" i="45"/>
  <c r="H76" i="45"/>
  <c r="J76" i="45"/>
  <c r="H75" i="45"/>
  <c r="J75" i="45"/>
  <c r="H74" i="45"/>
  <c r="J74" i="45"/>
  <c r="H73" i="45"/>
  <c r="J73" i="45"/>
  <c r="J72" i="45"/>
  <c r="H72" i="45"/>
  <c r="H71" i="45"/>
  <c r="J71" i="45"/>
  <c r="J70" i="45"/>
  <c r="H70" i="45"/>
  <c r="J69" i="45"/>
  <c r="H69" i="45"/>
  <c r="J68" i="45"/>
  <c r="H68" i="45"/>
  <c r="H67" i="45"/>
  <c r="J67" i="45"/>
  <c r="J66" i="45"/>
  <c r="H66" i="45"/>
  <c r="J65" i="45"/>
  <c r="H65" i="45"/>
  <c r="J64" i="45"/>
  <c r="H64" i="45"/>
  <c r="J63" i="45"/>
  <c r="H63" i="45"/>
  <c r="H62" i="45"/>
  <c r="J62" i="45"/>
  <c r="H61" i="45"/>
  <c r="J61" i="45"/>
  <c r="J60" i="45"/>
  <c r="H60" i="45"/>
  <c r="H59" i="45"/>
  <c r="J59" i="45"/>
  <c r="J58" i="45"/>
  <c r="H58" i="45"/>
  <c r="J57" i="45"/>
  <c r="H57" i="45"/>
  <c r="J56" i="45"/>
  <c r="H56" i="45"/>
  <c r="J55" i="45"/>
  <c r="H55" i="45"/>
  <c r="J54" i="45"/>
  <c r="H54" i="45"/>
  <c r="H53" i="45"/>
  <c r="J53" i="45"/>
  <c r="J52" i="45"/>
  <c r="H52" i="45"/>
  <c r="J51" i="45"/>
  <c r="H51" i="45"/>
  <c r="H50" i="45"/>
  <c r="J50" i="45"/>
  <c r="J49" i="45"/>
  <c r="H49" i="45"/>
  <c r="J48" i="45"/>
  <c r="H48" i="45"/>
  <c r="H47" i="45"/>
  <c r="J47" i="45"/>
  <c r="H46" i="45"/>
  <c r="J46" i="45"/>
  <c r="J45" i="45"/>
  <c r="H45" i="45"/>
  <c r="J44" i="45"/>
  <c r="H44" i="45"/>
  <c r="H43" i="45"/>
  <c r="J43" i="45"/>
  <c r="J42" i="45"/>
  <c r="H42" i="45"/>
  <c r="H41" i="45"/>
  <c r="J41" i="45"/>
  <c r="J40" i="45"/>
  <c r="H40" i="45"/>
  <c r="H39" i="45"/>
  <c r="J39" i="45"/>
  <c r="J38" i="45"/>
  <c r="H38" i="45"/>
  <c r="J37" i="45"/>
  <c r="H37" i="45"/>
  <c r="H36" i="45"/>
  <c r="J36" i="45"/>
  <c r="H35" i="45"/>
  <c r="J35" i="45"/>
  <c r="H34" i="45"/>
  <c r="J34" i="45"/>
  <c r="J33" i="45"/>
  <c r="H33" i="45"/>
  <c r="H32" i="45"/>
  <c r="J32" i="45"/>
  <c r="J31" i="45"/>
  <c r="H31" i="45"/>
  <c r="J30" i="45"/>
  <c r="H30" i="45"/>
  <c r="J29" i="45"/>
  <c r="H29" i="45"/>
  <c r="J28" i="45"/>
  <c r="H28" i="45"/>
  <c r="J27" i="45"/>
  <c r="H27" i="45"/>
  <c r="H26" i="45"/>
  <c r="J26" i="45"/>
  <c r="H25" i="45"/>
  <c r="J25" i="45"/>
  <c r="H24" i="45"/>
  <c r="J24" i="45"/>
  <c r="J23" i="45"/>
  <c r="H23" i="45"/>
  <c r="J22" i="45"/>
  <c r="H22" i="45"/>
  <c r="H21" i="45"/>
  <c r="J21" i="45"/>
  <c r="J20" i="45"/>
  <c r="H20" i="45"/>
  <c r="J19" i="45"/>
  <c r="H19" i="45"/>
  <c r="J18" i="45"/>
  <c r="H18" i="45"/>
  <c r="H17" i="45"/>
  <c r="J17" i="45"/>
  <c r="H16" i="45"/>
  <c r="J16" i="45"/>
  <c r="H15" i="45"/>
  <c r="J15" i="45"/>
  <c r="H14" i="45"/>
  <c r="J14" i="45"/>
  <c r="J13" i="45"/>
  <c r="H13" i="45"/>
  <c r="H12" i="45"/>
  <c r="J12" i="45"/>
  <c r="J11" i="45"/>
  <c r="H11" i="45"/>
  <c r="H10" i="45"/>
  <c r="J10" i="45"/>
  <c r="H9" i="45"/>
  <c r="J9" i="45"/>
  <c r="H8" i="45"/>
  <c r="J8" i="45"/>
  <c r="J7" i="45"/>
  <c r="H7" i="45"/>
  <c r="H6" i="45"/>
  <c r="J6" i="45"/>
  <c r="J5" i="45"/>
  <c r="H5" i="45"/>
  <c r="H4" i="45"/>
  <c r="J4" i="45"/>
  <c r="H3" i="45"/>
  <c r="J3" i="45"/>
  <c r="J2" i="45"/>
  <c r="H2" i="45"/>
  <c r="H101" i="44" l="1"/>
  <c r="J101" i="44"/>
  <c r="J100" i="44"/>
  <c r="H100" i="44"/>
  <c r="J99" i="44"/>
  <c r="H99" i="44"/>
  <c r="H98" i="44"/>
  <c r="J98" i="44"/>
  <c r="J97" i="44"/>
  <c r="H97" i="44"/>
  <c r="J96" i="44"/>
  <c r="H96" i="44"/>
  <c r="J95" i="44"/>
  <c r="H95" i="44"/>
  <c r="J94" i="44"/>
  <c r="H94" i="44"/>
  <c r="J93" i="44"/>
  <c r="H93" i="44"/>
  <c r="J92" i="44"/>
  <c r="H92" i="44"/>
  <c r="H91" i="44"/>
  <c r="J91" i="44"/>
  <c r="J90" i="44"/>
  <c r="H90" i="44"/>
  <c r="H89" i="44"/>
  <c r="J89" i="44"/>
  <c r="J88" i="44"/>
  <c r="H88" i="44"/>
  <c r="H87" i="44"/>
  <c r="J87" i="44"/>
  <c r="J86" i="44"/>
  <c r="H86" i="44"/>
  <c r="H85" i="44"/>
  <c r="J85" i="44"/>
  <c r="H84" i="44"/>
  <c r="J84" i="44"/>
  <c r="H83" i="44"/>
  <c r="J83" i="44"/>
  <c r="J82" i="44"/>
  <c r="H82" i="44"/>
  <c r="H81" i="44"/>
  <c r="J81" i="44"/>
  <c r="J80" i="44"/>
  <c r="H80" i="44"/>
  <c r="H79" i="44"/>
  <c r="J79" i="44"/>
  <c r="J19" i="44"/>
  <c r="H19" i="44" s="1"/>
  <c r="K26" i="36"/>
  <c r="I26" i="36"/>
  <c r="J10" i="33"/>
  <c r="H10" i="33"/>
  <c r="J19" i="33"/>
  <c r="H19" i="33"/>
  <c r="B26" i="37"/>
  <c r="J26" i="37" s="1"/>
  <c r="H26" i="37" s="1"/>
  <c r="B2" i="35"/>
  <c r="K2" i="35" s="1"/>
  <c r="I2" i="35" s="1"/>
  <c r="J5" i="37"/>
  <c r="H5" i="37"/>
  <c r="J12" i="37"/>
  <c r="H12" i="37"/>
  <c r="J21" i="37"/>
  <c r="H21" i="37"/>
  <c r="K10" i="36"/>
  <c r="I10" i="36"/>
  <c r="K12" i="35"/>
  <c r="I12" i="35" s="1"/>
  <c r="K40" i="36"/>
  <c r="I40" i="36" s="1"/>
  <c r="J5" i="33"/>
  <c r="H5" i="33" s="1"/>
  <c r="J31" i="33"/>
  <c r="H31" i="33" s="1"/>
  <c r="J28" i="46"/>
  <c r="H28" i="46" s="1"/>
  <c r="J4" i="34"/>
  <c r="H4" i="34" s="1"/>
  <c r="J40" i="34"/>
  <c r="H40" i="34" s="1"/>
  <c r="J35" i="32"/>
  <c r="H35" i="32" s="1"/>
  <c r="J12" i="32"/>
  <c r="H12" i="32" s="1"/>
  <c r="J26" i="32"/>
  <c r="H26" i="32" s="1"/>
  <c r="J30" i="32"/>
  <c r="H30" i="32" s="1"/>
  <c r="J46" i="32"/>
  <c r="H46" i="32" s="1"/>
  <c r="J11" i="32"/>
  <c r="H11" i="32" s="1"/>
  <c r="K19" i="36"/>
  <c r="I19" i="36" s="1"/>
  <c r="K28" i="36"/>
  <c r="I28" i="36" s="1"/>
  <c r="K42" i="36"/>
  <c r="I42" i="36" s="1"/>
  <c r="K12" i="36"/>
  <c r="I12" i="36" s="1"/>
  <c r="K45" i="36"/>
  <c r="I45" i="36" s="1"/>
  <c r="K48" i="36"/>
  <c r="I48" i="36" s="1"/>
  <c r="K49" i="36"/>
  <c r="I49" i="36" s="1"/>
  <c r="K33" i="35"/>
  <c r="I33" i="35" s="1"/>
  <c r="J22" i="46"/>
  <c r="H22" i="46" s="1"/>
  <c r="K38" i="38"/>
  <c r="I38" i="38" s="1"/>
  <c r="K11" i="36"/>
  <c r="I11" i="36" s="1"/>
  <c r="K8" i="36"/>
  <c r="I8" i="36" s="1"/>
  <c r="K39" i="36"/>
  <c r="I39" i="36" s="1"/>
  <c r="K46" i="36"/>
  <c r="I46" i="36" s="1"/>
  <c r="K51" i="36"/>
  <c r="I51" i="36" s="1"/>
  <c r="K50" i="36"/>
  <c r="I50" i="36" s="1"/>
  <c r="K32" i="36"/>
  <c r="I32" i="36" s="1"/>
  <c r="K36" i="36"/>
  <c r="I36" i="36" s="1"/>
  <c r="K37" i="36"/>
  <c r="I37" i="36" s="1"/>
  <c r="J9" i="37"/>
  <c r="H9" i="37" s="1"/>
  <c r="J11" i="37"/>
  <c r="H11" i="37" s="1"/>
  <c r="J13" i="37"/>
  <c r="H13" i="37" s="1"/>
  <c r="J14" i="37"/>
  <c r="H14" i="37" s="1"/>
  <c r="J15" i="37"/>
  <c r="H15" i="37" s="1"/>
  <c r="J16" i="37"/>
  <c r="H16" i="37" s="1"/>
  <c r="J18" i="37"/>
  <c r="H18" i="37" s="1"/>
  <c r="J20" i="37"/>
  <c r="H20" i="37" s="1"/>
  <c r="J22" i="37"/>
  <c r="H22" i="37" s="1"/>
  <c r="K11" i="38"/>
  <c r="I11" i="38" s="1"/>
  <c r="K13" i="38"/>
  <c r="I13" i="38" s="1"/>
  <c r="K12" i="38"/>
  <c r="I12" i="38" s="1"/>
  <c r="K19" i="38"/>
  <c r="I19" i="38" s="1"/>
  <c r="K20" i="38"/>
  <c r="I20" i="38" s="1"/>
  <c r="K41" i="38"/>
  <c r="I41" i="38" s="1"/>
  <c r="K21" i="38"/>
  <c r="I21" i="38" s="1"/>
  <c r="K29" i="38"/>
  <c r="I29" i="38" s="1"/>
  <c r="K35" i="38"/>
  <c r="I35" i="38" s="1"/>
  <c r="K39" i="38"/>
  <c r="I39" i="38" s="1"/>
  <c r="K31" i="38"/>
  <c r="I31" i="38" s="1"/>
  <c r="K5" i="38"/>
  <c r="I5" i="38" s="1"/>
  <c r="K33" i="38"/>
  <c r="I33" i="38" s="1"/>
  <c r="K37" i="38"/>
  <c r="I37" i="38" s="1"/>
  <c r="K42" i="38"/>
  <c r="I42" i="38" s="1"/>
  <c r="K22" i="38"/>
  <c r="I22" i="38" s="1"/>
  <c r="J5" i="46"/>
  <c r="H5" i="46" s="1"/>
  <c r="J7" i="46"/>
  <c r="H7" i="46" s="1"/>
  <c r="J13" i="46"/>
  <c r="H13" i="46" s="1"/>
  <c r="J24" i="46"/>
  <c r="H24" i="46" s="1"/>
  <c r="J25" i="46"/>
  <c r="H25" i="46" s="1"/>
  <c r="J26" i="46"/>
  <c r="H26" i="46" s="1"/>
  <c r="J27" i="46"/>
  <c r="H27" i="46" s="1"/>
  <c r="J39" i="46"/>
  <c r="H39" i="46" s="1"/>
  <c r="J40" i="46"/>
  <c r="H40" i="46" s="1"/>
  <c r="K16" i="38"/>
  <c r="I16" i="38" s="1"/>
  <c r="J28" i="37"/>
  <c r="H28" i="37" s="1"/>
  <c r="K28" i="35"/>
  <c r="I28" i="35" s="1"/>
  <c r="J30" i="37"/>
  <c r="H30" i="37" s="1"/>
  <c r="K18" i="35"/>
  <c r="I18" i="35" s="1"/>
  <c r="J35" i="46"/>
  <c r="H35" i="46" s="1"/>
  <c r="J34" i="32"/>
  <c r="H34" i="32" s="1"/>
  <c r="J7" i="37"/>
  <c r="H7" i="37" s="1"/>
  <c r="J8" i="37"/>
  <c r="H8" i="37" s="1"/>
  <c r="K10" i="38"/>
  <c r="I10" i="38" s="1"/>
  <c r="K24" i="36"/>
  <c r="I24" i="36" s="1"/>
  <c r="K15" i="36"/>
  <c r="I15" i="36" s="1"/>
  <c r="J2" i="34"/>
  <c r="H2" i="34" s="1"/>
  <c r="J15" i="33"/>
  <c r="H15" i="33" s="1"/>
  <c r="J9" i="34"/>
  <c r="H9" i="34" s="1"/>
  <c r="K24" i="38"/>
  <c r="I24" i="38" s="1"/>
  <c r="K23" i="38"/>
  <c r="I23" i="38" s="1"/>
  <c r="K3" i="38"/>
  <c r="I3" i="38" s="1"/>
  <c r="J29" i="37"/>
  <c r="H29" i="37" s="1"/>
  <c r="J101" i="20"/>
  <c r="H101" i="20"/>
  <c r="H100" i="20"/>
  <c r="J100" i="20"/>
  <c r="H99" i="20"/>
  <c r="J99" i="20"/>
  <c r="H98" i="20"/>
  <c r="J98" i="20"/>
  <c r="H97" i="20"/>
  <c r="J97" i="20"/>
  <c r="H96" i="20"/>
  <c r="J96" i="20"/>
  <c r="H95" i="20"/>
  <c r="J95" i="20"/>
  <c r="H94" i="20"/>
  <c r="J94" i="20"/>
  <c r="J93" i="20"/>
  <c r="H93" i="20"/>
  <c r="J92" i="20"/>
  <c r="H92" i="20"/>
  <c r="J91" i="20"/>
  <c r="H91" i="20"/>
  <c r="H90" i="20"/>
  <c r="J90" i="20"/>
  <c r="H89" i="20"/>
  <c r="J89" i="20"/>
  <c r="H88" i="20"/>
  <c r="J88" i="20"/>
  <c r="J87" i="20"/>
  <c r="H87" i="20"/>
  <c r="H86" i="20"/>
  <c r="J86" i="20"/>
  <c r="J85" i="20"/>
  <c r="H85" i="20"/>
  <c r="J84" i="20"/>
  <c r="H84" i="20"/>
  <c r="J83" i="20"/>
  <c r="H83" i="20"/>
  <c r="H82" i="20"/>
  <c r="J82" i="20"/>
  <c r="H81" i="20"/>
  <c r="J81" i="20"/>
  <c r="J80" i="20"/>
  <c r="H80" i="20"/>
  <c r="J79" i="20"/>
  <c r="H79" i="20"/>
  <c r="H78" i="20"/>
  <c r="J78" i="20"/>
  <c r="J77" i="20"/>
  <c r="H77" i="20"/>
  <c r="H76" i="20"/>
  <c r="J76" i="20"/>
  <c r="J75" i="20"/>
  <c r="H75" i="20"/>
  <c r="H74" i="20"/>
  <c r="J74" i="20"/>
  <c r="H73" i="20"/>
  <c r="J73" i="20"/>
  <c r="H72" i="20"/>
  <c r="J72" i="20"/>
  <c r="J71" i="20"/>
  <c r="H71" i="20"/>
  <c r="J70" i="20"/>
  <c r="H70" i="20"/>
  <c r="J69" i="20"/>
  <c r="H69" i="20"/>
  <c r="J68" i="20"/>
  <c r="H68" i="20"/>
  <c r="J67" i="20"/>
  <c r="H67" i="20"/>
  <c r="H66" i="20"/>
  <c r="J66" i="20"/>
  <c r="H65" i="20"/>
  <c r="J65" i="20"/>
  <c r="H64" i="20"/>
  <c r="J64" i="20"/>
  <c r="H63" i="20"/>
  <c r="J63" i="20"/>
  <c r="J62" i="20"/>
  <c r="H62" i="20"/>
  <c r="H61" i="20"/>
  <c r="J61" i="20"/>
  <c r="J60" i="20"/>
  <c r="H60" i="20"/>
  <c r="J59" i="20"/>
  <c r="H59" i="20"/>
  <c r="J58" i="20"/>
  <c r="H58" i="20"/>
  <c r="H57" i="20"/>
  <c r="J57" i="20"/>
  <c r="H56" i="20"/>
  <c r="J56" i="20"/>
  <c r="H55" i="20"/>
  <c r="J55" i="20"/>
  <c r="H54" i="20"/>
  <c r="J54" i="20"/>
  <c r="H53" i="20"/>
  <c r="J53" i="20"/>
  <c r="J52" i="20"/>
  <c r="H52" i="20"/>
  <c r="H51" i="20"/>
  <c r="J51" i="20"/>
  <c r="H50" i="20"/>
  <c r="J50" i="20"/>
  <c r="H49" i="20"/>
  <c r="J49" i="20"/>
  <c r="H48" i="20"/>
  <c r="J48" i="20"/>
  <c r="H47" i="20"/>
  <c r="J47" i="20"/>
  <c r="J46" i="20"/>
  <c r="H46" i="20"/>
  <c r="J45" i="20"/>
  <c r="H45" i="20"/>
  <c r="J44" i="20"/>
  <c r="H44" i="20"/>
  <c r="J43" i="20"/>
  <c r="H43" i="20"/>
  <c r="J42" i="20"/>
  <c r="H42" i="20"/>
  <c r="J41" i="20"/>
  <c r="H41" i="20"/>
  <c r="H40" i="20"/>
  <c r="J40" i="20"/>
  <c r="H39" i="20"/>
  <c r="J39" i="20"/>
  <c r="J38" i="20"/>
  <c r="H38" i="20"/>
  <c r="J37" i="20"/>
  <c r="H37" i="20"/>
  <c r="H36" i="20"/>
  <c r="J36" i="20"/>
  <c r="J35" i="20"/>
  <c r="H35" i="20"/>
  <c r="H34" i="20"/>
  <c r="J34" i="20"/>
  <c r="H33" i="20"/>
  <c r="J33" i="20"/>
  <c r="H32" i="20"/>
  <c r="J32" i="20"/>
  <c r="J31" i="20"/>
  <c r="H31" i="20"/>
  <c r="H30" i="20"/>
  <c r="J30" i="20"/>
  <c r="J29" i="20"/>
  <c r="H29" i="20"/>
  <c r="H28" i="20"/>
  <c r="J28" i="20"/>
  <c r="H27" i="20"/>
  <c r="J27" i="20"/>
  <c r="J26" i="20"/>
  <c r="H26" i="20"/>
  <c r="J25" i="20"/>
  <c r="H25" i="20"/>
  <c r="J24" i="20"/>
  <c r="H24" i="20"/>
  <c r="J101" i="19"/>
  <c r="H101" i="19"/>
  <c r="J100" i="19"/>
  <c r="H100" i="19"/>
  <c r="H99" i="19"/>
  <c r="J99" i="19"/>
  <c r="H98" i="19"/>
  <c r="J98" i="19"/>
  <c r="H97" i="19"/>
  <c r="J97" i="19"/>
  <c r="H96" i="19"/>
  <c r="J96" i="19"/>
  <c r="H95" i="19"/>
  <c r="J95" i="19"/>
  <c r="J94" i="19"/>
  <c r="H94" i="19"/>
  <c r="H93" i="19"/>
  <c r="J93" i="19"/>
  <c r="J92" i="19"/>
  <c r="H92" i="19"/>
  <c r="J91" i="19"/>
  <c r="H91" i="19"/>
  <c r="H90" i="19"/>
  <c r="J90" i="19"/>
  <c r="J89" i="19"/>
  <c r="H89" i="19"/>
  <c r="J88" i="19"/>
  <c r="H88" i="19"/>
  <c r="J87" i="19"/>
  <c r="H87" i="19"/>
  <c r="J86" i="19"/>
  <c r="H86" i="19"/>
  <c r="H85" i="19"/>
  <c r="J85" i="19"/>
  <c r="J84" i="19"/>
  <c r="H84" i="19"/>
  <c r="J83" i="19"/>
  <c r="H83" i="19"/>
  <c r="H82" i="19"/>
  <c r="J82" i="19"/>
  <c r="J81" i="19"/>
  <c r="H81" i="19"/>
  <c r="H80" i="19"/>
  <c r="J80" i="19"/>
  <c r="J79" i="19"/>
  <c r="H79" i="19"/>
  <c r="H78" i="19"/>
  <c r="J78" i="19"/>
  <c r="H77" i="19"/>
  <c r="J77" i="19"/>
  <c r="H76" i="19"/>
  <c r="J76" i="19"/>
  <c r="H75" i="19"/>
  <c r="J75" i="19"/>
  <c r="J74" i="19"/>
  <c r="H74" i="19"/>
  <c r="J73" i="19"/>
  <c r="H73" i="19"/>
  <c r="H72" i="19"/>
  <c r="J72" i="19"/>
  <c r="J71" i="19"/>
  <c r="H71" i="19"/>
  <c r="H70" i="19"/>
  <c r="J70" i="19"/>
  <c r="H69" i="19"/>
  <c r="J69" i="19"/>
  <c r="J68" i="19"/>
  <c r="H68" i="19"/>
  <c r="H67" i="19"/>
  <c r="J67" i="19"/>
  <c r="J66" i="19"/>
  <c r="H66" i="19"/>
  <c r="H65" i="19"/>
  <c r="J65" i="19"/>
  <c r="H64" i="19"/>
  <c r="J64" i="19"/>
  <c r="J63" i="19"/>
  <c r="H63" i="19"/>
  <c r="J62" i="19"/>
  <c r="H62" i="19"/>
  <c r="H61" i="19"/>
  <c r="J61" i="19"/>
  <c r="H60" i="19"/>
  <c r="J60" i="19"/>
  <c r="J59" i="19"/>
  <c r="H59" i="19"/>
  <c r="J58" i="19"/>
  <c r="H58" i="19"/>
  <c r="J57" i="19"/>
  <c r="H57" i="19"/>
  <c r="H56" i="19"/>
  <c r="J56" i="19"/>
  <c r="J55" i="19"/>
  <c r="H55" i="19"/>
  <c r="H54" i="19"/>
  <c r="J54" i="19"/>
  <c r="H53" i="19"/>
  <c r="J53" i="19"/>
  <c r="J52" i="19"/>
  <c r="H52" i="19"/>
  <c r="J51" i="19"/>
  <c r="H51" i="19"/>
  <c r="H50" i="19"/>
  <c r="J50" i="19"/>
  <c r="J49" i="19"/>
  <c r="H49" i="19"/>
  <c r="J48" i="19"/>
  <c r="H48" i="19"/>
  <c r="J47" i="19"/>
  <c r="H47" i="19"/>
  <c r="J46" i="19"/>
  <c r="H46" i="19"/>
  <c r="J45" i="19"/>
  <c r="H45" i="19"/>
  <c r="J44" i="19"/>
  <c r="H44" i="19"/>
  <c r="J43" i="19"/>
  <c r="H43" i="19"/>
  <c r="J42" i="19"/>
  <c r="H42" i="19"/>
  <c r="H41" i="19"/>
  <c r="J41" i="19"/>
  <c r="J40" i="19"/>
  <c r="H40" i="19"/>
  <c r="H39" i="19"/>
  <c r="J39" i="19"/>
  <c r="H38" i="19"/>
  <c r="J38" i="19"/>
  <c r="J37" i="19"/>
  <c r="H37" i="19"/>
  <c r="J33" i="32"/>
  <c r="H33" i="32" s="1"/>
  <c r="K4" i="36"/>
  <c r="I4" i="36" s="1"/>
  <c r="J16" i="32"/>
  <c r="H16" i="32" s="1"/>
  <c r="K29" i="36"/>
  <c r="I29" i="36" s="1"/>
  <c r="K30" i="35"/>
  <c r="I30" i="35" s="1"/>
  <c r="J24" i="33"/>
  <c r="H24" i="33" s="1"/>
  <c r="J14" i="41"/>
  <c r="H14" i="41" s="1"/>
  <c r="J13" i="41"/>
  <c r="H13" i="41" s="1"/>
  <c r="J12" i="41"/>
  <c r="H12" i="41" s="1"/>
  <c r="J11" i="41"/>
  <c r="H11" i="41" s="1"/>
  <c r="J10" i="41"/>
  <c r="H10" i="41" s="1"/>
  <c r="J9" i="41"/>
  <c r="H9" i="41" s="1"/>
  <c r="J8" i="41"/>
  <c r="H8" i="41" s="1"/>
  <c r="J7" i="41"/>
  <c r="H7" i="41" s="1"/>
  <c r="J6" i="41"/>
  <c r="H6" i="41" s="1"/>
  <c r="J5" i="41"/>
  <c r="H5" i="41" s="1"/>
  <c r="J4" i="41"/>
  <c r="H4" i="41" s="1"/>
  <c r="J3" i="41"/>
  <c r="H3" i="41" s="1"/>
  <c r="J2" i="41"/>
  <c r="H2" i="41" s="1"/>
  <c r="H101" i="40"/>
  <c r="J101" i="40"/>
  <c r="J100" i="40"/>
  <c r="H100" i="40"/>
  <c r="H99" i="40"/>
  <c r="J99" i="40"/>
  <c r="H98" i="40"/>
  <c r="J98" i="40"/>
  <c r="J97" i="40"/>
  <c r="H97" i="40"/>
  <c r="H96" i="40"/>
  <c r="J96" i="40"/>
  <c r="J95" i="40"/>
  <c r="H95" i="40"/>
  <c r="H94" i="40"/>
  <c r="J94" i="40"/>
  <c r="H93" i="40"/>
  <c r="J93" i="40"/>
  <c r="J92" i="40"/>
  <c r="H92" i="40"/>
  <c r="J91" i="40"/>
  <c r="H91" i="40"/>
  <c r="J90" i="40"/>
  <c r="H90" i="40"/>
  <c r="H89" i="40"/>
  <c r="J89" i="40"/>
  <c r="H87" i="40"/>
  <c r="J87" i="40"/>
  <c r="J63" i="40"/>
  <c r="H63" i="40"/>
  <c r="J62" i="40"/>
  <c r="H62" i="40"/>
  <c r="K53" i="36"/>
  <c r="I53" i="36" s="1"/>
  <c r="J34" i="34"/>
  <c r="H34" i="34" s="1"/>
  <c r="K23" i="36"/>
  <c r="I23" i="36" s="1"/>
  <c r="J32" i="21"/>
  <c r="H32" i="21" s="1"/>
  <c r="K17" i="35"/>
  <c r="I17" i="35" s="1"/>
  <c r="J36" i="46"/>
  <c r="H36" i="46" s="1"/>
  <c r="J37" i="46"/>
  <c r="H37" i="46" s="1"/>
  <c r="J38" i="46"/>
  <c r="H38" i="46" s="1"/>
  <c r="J2" i="33"/>
  <c r="H2" i="33" s="1"/>
  <c r="K6" i="36"/>
  <c r="I6" i="36" s="1"/>
  <c r="J20" i="32"/>
  <c r="H20" i="32" s="1"/>
  <c r="K16" i="36"/>
  <c r="I16" i="36" s="1"/>
  <c r="K18" i="36"/>
  <c r="I18" i="36" s="1"/>
  <c r="K21" i="36"/>
  <c r="I21" i="36" s="1"/>
  <c r="K2" i="36"/>
  <c r="I2" i="36" s="1"/>
  <c r="K26" i="35"/>
  <c r="I26" i="35" s="1"/>
  <c r="K9" i="36"/>
  <c r="I9" i="36" s="1"/>
  <c r="K31" i="35"/>
  <c r="I31" i="35" s="1"/>
  <c r="K22" i="36"/>
  <c r="I22" i="36" s="1"/>
  <c r="K32" i="35"/>
  <c r="I32" i="35" s="1"/>
  <c r="J7" i="34"/>
  <c r="H7" i="34" s="1"/>
  <c r="J12" i="34"/>
  <c r="H12" i="34" s="1"/>
  <c r="J25" i="34"/>
  <c r="H25" i="34" s="1"/>
  <c r="J24" i="34"/>
  <c r="H24" i="34" s="1"/>
  <c r="J17" i="34"/>
  <c r="H17" i="34" s="1"/>
  <c r="J38" i="34"/>
  <c r="H38" i="34" s="1"/>
  <c r="J13" i="34"/>
  <c r="H13" i="34" s="1"/>
  <c r="J27" i="33"/>
  <c r="H27" i="33" s="1"/>
  <c r="J28" i="32"/>
  <c r="H28" i="32" s="1"/>
  <c r="K5" i="36"/>
  <c r="I5" i="36" s="1"/>
  <c r="J65" i="44"/>
  <c r="H65" i="44"/>
  <c r="J64" i="44"/>
  <c r="H64" i="44"/>
  <c r="J63" i="44"/>
  <c r="H63" i="44"/>
  <c r="J62" i="44"/>
  <c r="H62" i="44"/>
  <c r="J61" i="44"/>
  <c r="H61" i="44"/>
  <c r="J60" i="44"/>
  <c r="H60" i="44"/>
  <c r="J59" i="44"/>
  <c r="H59" i="44"/>
  <c r="J58" i="44"/>
  <c r="H58" i="44"/>
  <c r="H57" i="44"/>
  <c r="J57" i="44"/>
  <c r="H56" i="44"/>
  <c r="J56" i="44"/>
  <c r="H55" i="44"/>
  <c r="J55" i="44"/>
  <c r="J54" i="44"/>
  <c r="H54" i="44"/>
  <c r="H53" i="44"/>
  <c r="J53" i="44"/>
  <c r="H52" i="44"/>
  <c r="J52" i="44"/>
  <c r="H51" i="44"/>
  <c r="J51" i="44"/>
  <c r="H50" i="44"/>
  <c r="J50" i="44"/>
  <c r="H49" i="44"/>
  <c r="J49" i="44"/>
  <c r="H48" i="44"/>
  <c r="J48" i="44"/>
  <c r="H47" i="44"/>
  <c r="J47" i="44"/>
  <c r="J46" i="44"/>
  <c r="H46" i="44"/>
  <c r="J45" i="44"/>
  <c r="H45" i="44" s="1"/>
  <c r="J39" i="44"/>
  <c r="H39" i="44" s="1"/>
  <c r="J23" i="44"/>
  <c r="H23" i="44" s="1"/>
  <c r="J4" i="44"/>
  <c r="H4" i="44" s="1"/>
  <c r="J11" i="44"/>
  <c r="H11" i="44" s="1"/>
  <c r="J6" i="44"/>
  <c r="H6" i="44" s="1"/>
  <c r="J28" i="44"/>
  <c r="H28" i="44" s="1"/>
  <c r="J31" i="44"/>
  <c r="H31" i="44" s="1"/>
  <c r="J30" i="44"/>
  <c r="H30" i="44" s="1"/>
  <c r="J18" i="44"/>
  <c r="H18" i="44" s="1"/>
  <c r="J7" i="44"/>
  <c r="H7" i="44" s="1"/>
  <c r="J8" i="44"/>
  <c r="H8" i="44" s="1"/>
  <c r="J38" i="44"/>
  <c r="H38" i="44" s="1"/>
  <c r="J26" i="44"/>
  <c r="H26" i="44" s="1"/>
  <c r="J36" i="44"/>
  <c r="H36" i="44" s="1"/>
  <c r="J42" i="44"/>
  <c r="H42" i="44" s="1"/>
  <c r="J29" i="44"/>
  <c r="H29" i="44" s="1"/>
  <c r="J3" i="44"/>
  <c r="H3" i="44" s="1"/>
  <c r="J12" i="44"/>
  <c r="H12" i="44" s="1"/>
  <c r="J22" i="44"/>
  <c r="H22" i="44" s="1"/>
  <c r="J25" i="44"/>
  <c r="H25" i="44" s="1"/>
  <c r="J40" i="44"/>
  <c r="H40" i="44" s="1"/>
  <c r="J32" i="44"/>
  <c r="H32" i="44" s="1"/>
  <c r="J13" i="44"/>
  <c r="H13" i="44" s="1"/>
  <c r="J41" i="44"/>
  <c r="H41" i="44" s="1"/>
  <c r="J2" i="44"/>
  <c r="H2" i="44" s="1"/>
  <c r="J21" i="44"/>
  <c r="H21" i="44"/>
  <c r="J20" i="44"/>
  <c r="H20" i="44" s="1"/>
  <c r="J9" i="44"/>
  <c r="H9" i="44" s="1"/>
  <c r="J27" i="44"/>
  <c r="H27" i="44" s="1"/>
  <c r="J37" i="44"/>
  <c r="H37" i="44" s="1"/>
  <c r="J44" i="44"/>
  <c r="H44" i="44" s="1"/>
  <c r="J16" i="44"/>
  <c r="H16" i="44" s="1"/>
  <c r="J15" i="44"/>
  <c r="H15" i="44" s="1"/>
  <c r="J5" i="44"/>
  <c r="H5" i="44" s="1"/>
  <c r="J43" i="44"/>
  <c r="H43" i="44" s="1"/>
  <c r="J35" i="44"/>
  <c r="H35" i="44" s="1"/>
  <c r="J34" i="44"/>
  <c r="H34" i="44" s="1"/>
  <c r="J14" i="44"/>
  <c r="H14" i="44" s="1"/>
  <c r="J24" i="44"/>
  <c r="H24" i="44" s="1"/>
  <c r="J10" i="44"/>
  <c r="H10" i="44" s="1"/>
  <c r="J17" i="44"/>
  <c r="H17" i="44" s="1"/>
  <c r="J33" i="44"/>
  <c r="H33" i="44" s="1"/>
  <c r="J101" i="43"/>
  <c r="H101" i="43"/>
  <c r="J100" i="43"/>
  <c r="H100" i="43"/>
  <c r="H99" i="43"/>
  <c r="J99" i="43"/>
  <c r="H98" i="43"/>
  <c r="J98" i="43"/>
  <c r="H97" i="43"/>
  <c r="J97" i="43"/>
  <c r="J96" i="43"/>
  <c r="H96" i="43"/>
  <c r="J95" i="43"/>
  <c r="H95" i="43"/>
  <c r="H94" i="43"/>
  <c r="J94" i="43"/>
  <c r="H93" i="43"/>
  <c r="J93" i="43"/>
  <c r="J92" i="43"/>
  <c r="H92" i="43"/>
  <c r="H91" i="43"/>
  <c r="J91" i="43"/>
  <c r="H90" i="43"/>
  <c r="J90" i="43"/>
  <c r="J89" i="43"/>
  <c r="H89" i="43"/>
  <c r="J88" i="43"/>
  <c r="H88" i="43"/>
  <c r="J87" i="43"/>
  <c r="H87" i="43"/>
  <c r="J86" i="43"/>
  <c r="H86" i="43"/>
  <c r="J85" i="43"/>
  <c r="H85" i="43"/>
  <c r="J84" i="43"/>
  <c r="H84" i="43"/>
  <c r="H83" i="43"/>
  <c r="J83" i="43"/>
  <c r="J82" i="43"/>
  <c r="H82" i="43"/>
  <c r="H81" i="43"/>
  <c r="J81" i="43"/>
  <c r="J80" i="43"/>
  <c r="H80" i="43"/>
  <c r="H79" i="43"/>
  <c r="J79" i="43"/>
  <c r="H78" i="43"/>
  <c r="J78" i="43"/>
  <c r="J77" i="43"/>
  <c r="H77" i="43"/>
  <c r="H76" i="43"/>
  <c r="J76" i="43"/>
  <c r="H75" i="43"/>
  <c r="J75" i="43"/>
  <c r="J74" i="43"/>
  <c r="H74" i="43"/>
  <c r="H73" i="43"/>
  <c r="J73" i="43"/>
  <c r="J72" i="43"/>
  <c r="H72" i="43"/>
  <c r="J71" i="43"/>
  <c r="H71" i="43"/>
  <c r="H70" i="43"/>
  <c r="J70" i="43"/>
  <c r="J69" i="43"/>
  <c r="H69" i="43"/>
  <c r="J68" i="43"/>
  <c r="H68" i="43"/>
  <c r="H67" i="43"/>
  <c r="J67" i="43"/>
  <c r="J66" i="43"/>
  <c r="H66" i="43"/>
  <c r="H65" i="43"/>
  <c r="J65" i="43"/>
  <c r="H64" i="43"/>
  <c r="J64" i="43"/>
  <c r="J63" i="43"/>
  <c r="H63" i="43"/>
  <c r="H62" i="43"/>
  <c r="J62" i="43"/>
  <c r="H61" i="43"/>
  <c r="J61" i="43"/>
  <c r="H60" i="43"/>
  <c r="J60" i="43"/>
  <c r="J59" i="43"/>
  <c r="H59" i="43"/>
  <c r="H58" i="43"/>
  <c r="J58" i="43"/>
  <c r="J57" i="43"/>
  <c r="H57" i="43"/>
  <c r="H56" i="43"/>
  <c r="J56" i="43"/>
  <c r="H55" i="43"/>
  <c r="J55" i="43"/>
  <c r="H54" i="43"/>
  <c r="J54" i="43"/>
  <c r="J53" i="43"/>
  <c r="H53" i="43"/>
  <c r="H52" i="43"/>
  <c r="J52" i="43"/>
  <c r="H51" i="43"/>
  <c r="J51" i="43"/>
  <c r="H50" i="43"/>
  <c r="J50" i="43"/>
  <c r="H49" i="43"/>
  <c r="J49" i="43"/>
  <c r="J48" i="43"/>
  <c r="H48" i="43"/>
  <c r="J47" i="43"/>
  <c r="H47" i="43"/>
  <c r="J46" i="43"/>
  <c r="H46" i="43"/>
  <c r="J45" i="43"/>
  <c r="H45" i="43"/>
  <c r="J44" i="43"/>
  <c r="H44" i="43"/>
  <c r="H43" i="43"/>
  <c r="J43" i="43"/>
  <c r="H42" i="43"/>
  <c r="J42" i="43"/>
  <c r="H41" i="43"/>
  <c r="J41" i="43"/>
  <c r="J40" i="43"/>
  <c r="H40" i="43"/>
  <c r="H39" i="43"/>
  <c r="J39" i="43"/>
  <c r="J38" i="43"/>
  <c r="H38" i="43"/>
  <c r="J37" i="43"/>
  <c r="H37" i="43"/>
  <c r="H36" i="43"/>
  <c r="J36" i="43"/>
  <c r="H35" i="43"/>
  <c r="J35" i="43"/>
  <c r="J34" i="43"/>
  <c r="H34" i="43"/>
  <c r="J33" i="43"/>
  <c r="H33" i="43"/>
  <c r="H32" i="43"/>
  <c r="J32" i="43"/>
  <c r="H31" i="43"/>
  <c r="J31" i="43"/>
  <c r="J30" i="43"/>
  <c r="H30" i="43"/>
  <c r="J29" i="43"/>
  <c r="H29" i="43"/>
  <c r="J28" i="43"/>
  <c r="H28" i="43"/>
  <c r="H27" i="43"/>
  <c r="J27" i="43"/>
  <c r="J26" i="43"/>
  <c r="H26" i="43"/>
  <c r="J25" i="43"/>
  <c r="H25" i="43"/>
  <c r="H24" i="43"/>
  <c r="J24" i="43"/>
  <c r="J23" i="43"/>
  <c r="H23" i="43"/>
  <c r="J22" i="43"/>
  <c r="H22" i="43"/>
  <c r="H21" i="43"/>
  <c r="J21" i="43"/>
  <c r="H20" i="43"/>
  <c r="J20" i="43"/>
  <c r="J19" i="43"/>
  <c r="H19" i="43" s="1"/>
  <c r="J18" i="43"/>
  <c r="H18" i="43" s="1"/>
  <c r="J17" i="43"/>
  <c r="H17" i="43" s="1"/>
  <c r="I60" i="35"/>
  <c r="K60" i="35"/>
  <c r="I59" i="35"/>
  <c r="K59" i="35"/>
  <c r="K58" i="35"/>
  <c r="I58" i="35"/>
  <c r="I57" i="35"/>
  <c r="K57" i="35"/>
  <c r="K56" i="35"/>
  <c r="I56" i="35"/>
  <c r="K55" i="35"/>
  <c r="I55" i="35"/>
  <c r="K54" i="35"/>
  <c r="I54" i="35"/>
  <c r="K53" i="35"/>
  <c r="I53" i="35"/>
  <c r="I52" i="35"/>
  <c r="K52" i="35"/>
  <c r="I51" i="35"/>
  <c r="K51" i="35"/>
  <c r="I50" i="35"/>
  <c r="K50" i="35"/>
  <c r="I49" i="35"/>
  <c r="K49" i="35"/>
  <c r="K48" i="35"/>
  <c r="I48" i="35"/>
  <c r="I47" i="35"/>
  <c r="K47" i="35"/>
  <c r="I46" i="35"/>
  <c r="K46" i="35"/>
  <c r="I45" i="35"/>
  <c r="K45" i="35"/>
  <c r="I44" i="35"/>
  <c r="K44" i="35"/>
  <c r="I43" i="35"/>
  <c r="K43" i="35"/>
  <c r="J101" i="34"/>
  <c r="H101" i="34"/>
  <c r="H100" i="34"/>
  <c r="J100" i="34"/>
  <c r="H99" i="34"/>
  <c r="J99" i="34"/>
  <c r="J98" i="34"/>
  <c r="H98" i="34"/>
  <c r="J97" i="34"/>
  <c r="H97" i="34"/>
  <c r="H96" i="34"/>
  <c r="J96" i="34"/>
  <c r="H95" i="34"/>
  <c r="J95" i="34"/>
  <c r="H94" i="34"/>
  <c r="J94" i="34"/>
  <c r="H93" i="34"/>
  <c r="J93" i="34"/>
  <c r="J92" i="34"/>
  <c r="H92" i="34"/>
  <c r="J91" i="34"/>
  <c r="H91" i="34"/>
  <c r="J90" i="34"/>
  <c r="H90" i="34"/>
  <c r="J89" i="34"/>
  <c r="H89" i="34"/>
  <c r="J88" i="34"/>
  <c r="H88" i="34"/>
  <c r="J87" i="34"/>
  <c r="H87" i="34"/>
  <c r="J86" i="34"/>
  <c r="H86" i="34"/>
  <c r="J85" i="34"/>
  <c r="H85" i="34"/>
  <c r="J84" i="34"/>
  <c r="H84" i="34"/>
  <c r="J83" i="34"/>
  <c r="H83" i="34"/>
  <c r="J82" i="34"/>
  <c r="H82" i="34"/>
  <c r="H81" i="34"/>
  <c r="J81" i="34"/>
  <c r="H80" i="34"/>
  <c r="J80" i="34"/>
  <c r="H79" i="34"/>
  <c r="J79" i="34"/>
  <c r="J78" i="34"/>
  <c r="H78" i="34"/>
  <c r="H77" i="34"/>
  <c r="J77" i="34"/>
  <c r="H76" i="34"/>
  <c r="J76" i="34"/>
  <c r="H75" i="34"/>
  <c r="J75" i="34"/>
  <c r="H74" i="34"/>
  <c r="J74" i="34"/>
  <c r="J73" i="34"/>
  <c r="H73" i="34"/>
  <c r="J72" i="34"/>
  <c r="H72" i="34"/>
  <c r="J71" i="34"/>
  <c r="H71" i="34"/>
  <c r="J70" i="34"/>
  <c r="H70" i="34"/>
  <c r="H69" i="34"/>
  <c r="J69" i="34"/>
  <c r="J68" i="34"/>
  <c r="H68" i="34"/>
  <c r="J67" i="34"/>
  <c r="H67" i="34"/>
  <c r="J66" i="34"/>
  <c r="H66" i="34"/>
  <c r="H65" i="34"/>
  <c r="J65" i="34"/>
  <c r="J64" i="34"/>
  <c r="H64" i="34"/>
  <c r="H63" i="34"/>
  <c r="J63" i="34"/>
  <c r="J62" i="34"/>
  <c r="H62" i="34"/>
  <c r="H61" i="34"/>
  <c r="J61" i="34"/>
  <c r="J60" i="34"/>
  <c r="H60" i="34"/>
  <c r="J59" i="34"/>
  <c r="H59" i="34"/>
  <c r="H58" i="34"/>
  <c r="J58" i="34"/>
  <c r="H57" i="34"/>
  <c r="J57" i="34"/>
  <c r="J56" i="34"/>
  <c r="H56" i="34"/>
  <c r="J55" i="34"/>
  <c r="H55" i="34"/>
  <c r="J54" i="34"/>
  <c r="H54" i="34"/>
  <c r="H53" i="34"/>
  <c r="J53" i="34"/>
  <c r="J52" i="34"/>
  <c r="H52" i="34"/>
  <c r="H51" i="34"/>
  <c r="J51" i="34"/>
  <c r="J50" i="34"/>
  <c r="H50" i="34"/>
  <c r="J49" i="34"/>
  <c r="H49" i="34"/>
  <c r="H48" i="34"/>
  <c r="J48" i="34"/>
  <c r="H47" i="34"/>
  <c r="J47" i="34"/>
  <c r="J46" i="34"/>
  <c r="H46" i="34"/>
  <c r="H45" i="34"/>
  <c r="J45" i="34"/>
  <c r="H101" i="33"/>
  <c r="J101" i="33"/>
  <c r="J100" i="33"/>
  <c r="H100" i="33"/>
  <c r="J99" i="33"/>
  <c r="H99" i="33"/>
  <c r="J98" i="33"/>
  <c r="H98" i="33"/>
  <c r="J97" i="33"/>
  <c r="H97" i="33"/>
  <c r="J96" i="33"/>
  <c r="H96" i="33"/>
  <c r="H95" i="33"/>
  <c r="J95" i="33"/>
  <c r="J94" i="33"/>
  <c r="H94" i="33"/>
  <c r="J93" i="33"/>
  <c r="H93" i="33"/>
  <c r="J92" i="33"/>
  <c r="H92" i="33"/>
  <c r="H91" i="33"/>
  <c r="J91" i="33"/>
  <c r="H90" i="33"/>
  <c r="J90" i="33"/>
  <c r="J89" i="33"/>
  <c r="H89" i="33"/>
  <c r="H88" i="33"/>
  <c r="J88" i="33"/>
  <c r="H87" i="33"/>
  <c r="J87" i="33"/>
  <c r="J86" i="33"/>
  <c r="H86" i="33"/>
  <c r="H85" i="33"/>
  <c r="J85" i="33"/>
  <c r="H84" i="33"/>
  <c r="J84" i="33"/>
  <c r="H83" i="33"/>
  <c r="J83" i="33"/>
  <c r="H82" i="33"/>
  <c r="J82" i="33"/>
  <c r="H81" i="33"/>
  <c r="J81" i="33"/>
  <c r="H80" i="33"/>
  <c r="J80" i="33"/>
  <c r="J79" i="33"/>
  <c r="H79" i="33"/>
  <c r="J78" i="33"/>
  <c r="H78" i="33"/>
  <c r="J77" i="33"/>
  <c r="H77" i="33"/>
  <c r="H76" i="33"/>
  <c r="J76" i="33"/>
  <c r="J75" i="33"/>
  <c r="H75" i="33"/>
  <c r="H74" i="33"/>
  <c r="J74" i="33"/>
  <c r="J73" i="33"/>
  <c r="H73" i="33"/>
  <c r="J72" i="33"/>
  <c r="H72" i="33"/>
  <c r="J71" i="33"/>
  <c r="H71" i="33"/>
  <c r="J70" i="33"/>
  <c r="H70" i="33"/>
  <c r="J69" i="33"/>
  <c r="H69" i="33"/>
  <c r="J68" i="33"/>
  <c r="H68" i="33"/>
  <c r="H67" i="33"/>
  <c r="J67" i="33"/>
  <c r="J66" i="33"/>
  <c r="H66" i="33"/>
  <c r="H65" i="33"/>
  <c r="J65" i="33"/>
  <c r="J64" i="33"/>
  <c r="H64" i="33"/>
  <c r="H63" i="33"/>
  <c r="J63" i="33"/>
  <c r="H62" i="33"/>
  <c r="J62" i="33"/>
  <c r="H61" i="33"/>
  <c r="J61" i="33"/>
  <c r="H60" i="33"/>
  <c r="J60" i="33"/>
  <c r="J59" i="33"/>
  <c r="H59" i="33"/>
  <c r="J58" i="33"/>
  <c r="H58" i="33"/>
  <c r="H57" i="33"/>
  <c r="J57" i="33"/>
  <c r="H56" i="33"/>
  <c r="J56" i="33"/>
  <c r="J55" i="33"/>
  <c r="H55" i="33"/>
  <c r="J54" i="33"/>
  <c r="H54" i="33"/>
  <c r="H53" i="33"/>
  <c r="J53" i="33"/>
  <c r="H52" i="33"/>
  <c r="J52" i="33"/>
  <c r="H51" i="33"/>
  <c r="J51" i="33"/>
  <c r="J50" i="33"/>
  <c r="H50" i="33"/>
  <c r="J49" i="33"/>
  <c r="H49" i="33"/>
  <c r="J48" i="33"/>
  <c r="H48" i="33"/>
  <c r="H47" i="33"/>
  <c r="J47" i="33"/>
  <c r="H46" i="33"/>
  <c r="J46" i="33"/>
  <c r="J45" i="33"/>
  <c r="H45" i="33"/>
  <c r="J44" i="33"/>
  <c r="H44" i="33"/>
  <c r="J43" i="33"/>
  <c r="H43" i="33"/>
  <c r="H42" i="33"/>
  <c r="J42" i="33"/>
  <c r="H41" i="33"/>
  <c r="J41" i="33"/>
  <c r="H40" i="33"/>
  <c r="J40" i="33"/>
  <c r="J39" i="33"/>
  <c r="H39" i="33"/>
  <c r="H38" i="33"/>
  <c r="J38" i="33"/>
  <c r="H37" i="33"/>
  <c r="J37" i="33"/>
  <c r="J36" i="33"/>
  <c r="H36" i="33"/>
  <c r="J35" i="33"/>
  <c r="H35" i="33"/>
  <c r="J34" i="33"/>
  <c r="H34" i="33"/>
  <c r="H101" i="32"/>
  <c r="J101" i="32"/>
  <c r="J100" i="32"/>
  <c r="H100" i="32"/>
  <c r="H99" i="32"/>
  <c r="J99" i="32"/>
  <c r="H98" i="32"/>
  <c r="J98" i="32"/>
  <c r="H97" i="32"/>
  <c r="J97" i="32"/>
  <c r="J96" i="32"/>
  <c r="H96" i="32"/>
  <c r="H95" i="32"/>
  <c r="J95" i="32"/>
  <c r="H94" i="32"/>
  <c r="J94" i="32"/>
  <c r="J93" i="32"/>
  <c r="H93" i="32"/>
  <c r="J92" i="32"/>
  <c r="H92" i="32"/>
  <c r="J91" i="32"/>
  <c r="H91" i="32"/>
  <c r="J90" i="32"/>
  <c r="H90" i="32"/>
  <c r="H89" i="32"/>
  <c r="J89" i="32"/>
  <c r="J88" i="32"/>
  <c r="H88" i="32"/>
  <c r="H87" i="32"/>
  <c r="J87" i="32"/>
  <c r="H86" i="32"/>
  <c r="J86" i="32"/>
  <c r="J85" i="32"/>
  <c r="H85" i="32"/>
  <c r="J84" i="32"/>
  <c r="H84" i="32"/>
  <c r="H83" i="32"/>
  <c r="J83" i="32"/>
  <c r="J82" i="32"/>
  <c r="H82" i="32"/>
  <c r="H81" i="32"/>
  <c r="J81" i="32"/>
  <c r="J80" i="32"/>
  <c r="H80" i="32"/>
  <c r="H79" i="32"/>
  <c r="J79" i="32"/>
  <c r="J78" i="32"/>
  <c r="H78" i="32"/>
  <c r="H77" i="32"/>
  <c r="J77" i="32"/>
  <c r="J76" i="32"/>
  <c r="H76" i="32"/>
  <c r="J75" i="32"/>
  <c r="H75" i="32"/>
  <c r="H74" i="32"/>
  <c r="J74" i="32"/>
  <c r="J73" i="32"/>
  <c r="H73" i="32"/>
  <c r="H72" i="32"/>
  <c r="J72" i="32"/>
  <c r="H71" i="32"/>
  <c r="J71" i="32"/>
  <c r="J70" i="32"/>
  <c r="H70" i="32"/>
  <c r="J69" i="32"/>
  <c r="H69" i="32"/>
  <c r="H68" i="32"/>
  <c r="J68" i="32"/>
  <c r="J67" i="32"/>
  <c r="H67" i="32"/>
  <c r="H66" i="32"/>
  <c r="J66" i="32"/>
  <c r="H65" i="32"/>
  <c r="J65" i="32"/>
  <c r="H64" i="32"/>
  <c r="J64" i="32"/>
  <c r="J63" i="32"/>
  <c r="H63" i="32"/>
  <c r="H62" i="32"/>
  <c r="J62" i="32"/>
  <c r="J61" i="32"/>
  <c r="H61" i="32"/>
  <c r="H60" i="32"/>
  <c r="J60" i="32"/>
  <c r="H59" i="32"/>
  <c r="J59" i="32"/>
  <c r="H58" i="32"/>
  <c r="J58" i="32"/>
  <c r="H57" i="32"/>
  <c r="J57" i="32"/>
  <c r="H56" i="32"/>
  <c r="J56" i="32"/>
  <c r="J55" i="32"/>
  <c r="H55" i="32"/>
  <c r="H54" i="32"/>
  <c r="J54" i="32"/>
  <c r="H53" i="32"/>
  <c r="J53" i="32"/>
  <c r="H52" i="32"/>
  <c r="J52" i="32"/>
  <c r="J101" i="29"/>
  <c r="H101" i="29"/>
  <c r="H100" i="29"/>
  <c r="J100" i="29"/>
  <c r="J99" i="29"/>
  <c r="H99" i="29"/>
  <c r="J98" i="29"/>
  <c r="H98" i="29"/>
  <c r="H97" i="29"/>
  <c r="J97" i="29"/>
  <c r="J96" i="29"/>
  <c r="H96" i="29"/>
  <c r="H95" i="29"/>
  <c r="J95" i="29"/>
  <c r="H94" i="29"/>
  <c r="J94" i="29"/>
  <c r="H93" i="29"/>
  <c r="J93" i="29"/>
  <c r="H92" i="29"/>
  <c r="J92" i="29"/>
  <c r="J91" i="29"/>
  <c r="H91" i="29"/>
  <c r="J90" i="29"/>
  <c r="H90" i="29"/>
  <c r="H89" i="29"/>
  <c r="J89" i="29"/>
  <c r="J88" i="29"/>
  <c r="H88" i="29"/>
  <c r="J87" i="29"/>
  <c r="H87" i="29"/>
  <c r="H86" i="29"/>
  <c r="J86" i="29"/>
  <c r="J85" i="29"/>
  <c r="H85" i="29"/>
  <c r="J84" i="29"/>
  <c r="H84" i="29"/>
  <c r="H83" i="29"/>
  <c r="J83" i="29"/>
  <c r="H82" i="29"/>
  <c r="J82" i="29"/>
  <c r="H81" i="29"/>
  <c r="J81" i="29"/>
  <c r="J80" i="29"/>
  <c r="H80" i="29"/>
  <c r="H79" i="29"/>
  <c r="J79" i="29"/>
  <c r="H78" i="29"/>
  <c r="J78" i="29"/>
  <c r="J77" i="29"/>
  <c r="H77" i="29"/>
  <c r="H76" i="29"/>
  <c r="J76" i="29"/>
  <c r="J75" i="29"/>
  <c r="H75" i="29"/>
  <c r="H74" i="29"/>
  <c r="J74" i="29"/>
  <c r="H73" i="29"/>
  <c r="J73" i="29"/>
  <c r="J72" i="29"/>
  <c r="H72" i="29"/>
  <c r="J71" i="29"/>
  <c r="H71" i="29"/>
  <c r="J70" i="29"/>
  <c r="H70" i="29"/>
  <c r="J69" i="29"/>
  <c r="H69" i="29"/>
  <c r="J68" i="29"/>
  <c r="H68" i="29"/>
  <c r="J67" i="29"/>
  <c r="H67" i="29"/>
  <c r="J66" i="29"/>
  <c r="H66" i="29"/>
  <c r="J65" i="29"/>
  <c r="H65" i="29"/>
  <c r="J64" i="29"/>
  <c r="H64" i="29"/>
  <c r="J63" i="29"/>
  <c r="H63" i="29"/>
  <c r="H62" i="29"/>
  <c r="J62" i="29"/>
  <c r="J61" i="29"/>
  <c r="H61" i="29"/>
  <c r="H60" i="29"/>
  <c r="J60" i="29"/>
  <c r="J59" i="29"/>
  <c r="H59" i="29"/>
  <c r="H58" i="29"/>
  <c r="J58" i="29"/>
  <c r="J57" i="29"/>
  <c r="H57" i="29"/>
  <c r="H56" i="29"/>
  <c r="J56" i="29"/>
  <c r="H55" i="29"/>
  <c r="J55" i="29"/>
  <c r="J54" i="29"/>
  <c r="H54" i="29"/>
  <c r="J53" i="29"/>
  <c r="H53" i="29"/>
  <c r="H101" i="28"/>
  <c r="J101" i="28"/>
  <c r="J100" i="28"/>
  <c r="H100" i="28"/>
  <c r="H99" i="28"/>
  <c r="J99" i="28"/>
  <c r="J98" i="28"/>
  <c r="H98" i="28"/>
  <c r="J97" i="28"/>
  <c r="H97" i="28"/>
  <c r="J96" i="28"/>
  <c r="H96" i="28"/>
  <c r="H95" i="28"/>
  <c r="J95" i="28"/>
  <c r="H94" i="28"/>
  <c r="J94" i="28"/>
  <c r="H93" i="28"/>
  <c r="J93" i="28"/>
  <c r="J92" i="28"/>
  <c r="H92" i="28"/>
  <c r="J91" i="28"/>
  <c r="H91" i="28"/>
  <c r="J90" i="28"/>
  <c r="H90" i="28"/>
  <c r="H89" i="28"/>
  <c r="J89" i="28"/>
  <c r="J88" i="28"/>
  <c r="H88" i="28"/>
  <c r="J87" i="28"/>
  <c r="H87" i="28"/>
  <c r="J86" i="28"/>
  <c r="H86" i="28"/>
  <c r="J85" i="28"/>
  <c r="H85" i="28"/>
  <c r="H84" i="28"/>
  <c r="J84" i="28"/>
  <c r="H83" i="28"/>
  <c r="J83" i="28"/>
  <c r="J82" i="28"/>
  <c r="H82" i="28"/>
  <c r="J81" i="28"/>
  <c r="H81" i="28"/>
  <c r="J80" i="28"/>
  <c r="H80" i="28"/>
  <c r="H79" i="28"/>
  <c r="J79" i="28"/>
  <c r="H78" i="28"/>
  <c r="J78" i="28"/>
  <c r="H77" i="28"/>
  <c r="J77" i="28"/>
  <c r="J76" i="28"/>
  <c r="H76" i="28"/>
  <c r="J75" i="28"/>
  <c r="H75" i="28"/>
  <c r="H74" i="28"/>
  <c r="J74" i="28"/>
  <c r="J73" i="28"/>
  <c r="H73" i="28"/>
  <c r="J72" i="28"/>
  <c r="H72" i="28"/>
  <c r="H71" i="28"/>
  <c r="J71" i="28"/>
  <c r="H70" i="28"/>
  <c r="J70" i="28"/>
  <c r="H69" i="28"/>
  <c r="J69" i="28"/>
  <c r="J68" i="28"/>
  <c r="H68" i="28"/>
  <c r="J67" i="28"/>
  <c r="H67" i="28"/>
  <c r="H66" i="28"/>
  <c r="J66" i="28"/>
  <c r="H65" i="28"/>
  <c r="J65" i="28"/>
  <c r="J64" i="28"/>
  <c r="H64" i="28"/>
  <c r="H63" i="28"/>
  <c r="J63" i="28"/>
  <c r="J62" i="28"/>
  <c r="H62" i="28"/>
  <c r="J61" i="28"/>
  <c r="H61" i="28"/>
  <c r="J60" i="28"/>
  <c r="H60" i="28"/>
  <c r="J59" i="28"/>
  <c r="H59" i="28"/>
  <c r="H58" i="28"/>
  <c r="J58" i="28"/>
  <c r="J57" i="28"/>
  <c r="H57" i="28"/>
  <c r="J56" i="28"/>
  <c r="H56" i="28"/>
  <c r="J55" i="28"/>
  <c r="H55" i="28"/>
  <c r="J54" i="28"/>
  <c r="H54" i="28"/>
  <c r="H53" i="28"/>
  <c r="J53" i="28"/>
  <c r="J52" i="28"/>
  <c r="H52" i="28"/>
  <c r="H51" i="28"/>
  <c r="J51" i="28"/>
  <c r="H50" i="28"/>
  <c r="J50" i="28"/>
  <c r="J49" i="28"/>
  <c r="H49" i="28"/>
  <c r="J48" i="28"/>
  <c r="H48" i="28"/>
  <c r="J47" i="28"/>
  <c r="H47" i="28"/>
  <c r="H101" i="27"/>
  <c r="J101" i="27"/>
  <c r="J100" i="27"/>
  <c r="H100" i="27"/>
  <c r="H99" i="27"/>
  <c r="J99" i="27"/>
  <c r="H98" i="27"/>
  <c r="J98" i="27"/>
  <c r="H97" i="27"/>
  <c r="J97" i="27"/>
  <c r="J96" i="27"/>
  <c r="H96" i="27"/>
  <c r="J95" i="27"/>
  <c r="H95" i="27"/>
  <c r="H94" i="27"/>
  <c r="J94" i="27"/>
  <c r="H93" i="27"/>
  <c r="J93" i="27"/>
  <c r="H92" i="27"/>
  <c r="J92" i="27"/>
  <c r="J91" i="27"/>
  <c r="H91" i="27"/>
  <c r="H90" i="27"/>
  <c r="J90" i="27"/>
  <c r="J89" i="27"/>
  <c r="H89" i="27"/>
  <c r="H88" i="27"/>
  <c r="J88" i="27"/>
  <c r="J87" i="27"/>
  <c r="H87" i="27"/>
  <c r="H86" i="27"/>
  <c r="J86" i="27"/>
  <c r="J85" i="27"/>
  <c r="H85" i="27"/>
  <c r="H84" i="27"/>
  <c r="J84" i="27"/>
  <c r="H83" i="27"/>
  <c r="J83" i="27"/>
  <c r="J82" i="27"/>
  <c r="H82" i="27"/>
  <c r="H81" i="27"/>
  <c r="J81" i="27"/>
  <c r="H80" i="27"/>
  <c r="J80" i="27"/>
  <c r="J79" i="27"/>
  <c r="H79" i="27"/>
  <c r="H78" i="27"/>
  <c r="J78" i="27"/>
  <c r="H77" i="27"/>
  <c r="J77" i="27"/>
  <c r="J76" i="27"/>
  <c r="H76" i="27"/>
  <c r="H75" i="27"/>
  <c r="J75" i="27"/>
  <c r="H74" i="27"/>
  <c r="J74" i="27"/>
  <c r="J73" i="27"/>
  <c r="H73" i="27"/>
  <c r="J72" i="27"/>
  <c r="H72" i="27"/>
  <c r="J71" i="27"/>
  <c r="H71" i="27"/>
  <c r="H70" i="27"/>
  <c r="J70" i="27"/>
  <c r="H69" i="27"/>
  <c r="J69" i="27"/>
  <c r="H68" i="27"/>
  <c r="J68" i="27"/>
  <c r="H67" i="27"/>
  <c r="J67" i="27"/>
  <c r="H66" i="27"/>
  <c r="J66" i="27"/>
  <c r="J65" i="27"/>
  <c r="H65" i="27"/>
  <c r="H64" i="27"/>
  <c r="J64" i="27"/>
  <c r="H63" i="27"/>
  <c r="J63" i="27"/>
  <c r="H62" i="27"/>
  <c r="J62" i="27"/>
  <c r="H61" i="27"/>
  <c r="J61" i="27"/>
  <c r="J60" i="27"/>
  <c r="H60" i="27"/>
  <c r="J59" i="27"/>
  <c r="H59" i="27"/>
  <c r="H58" i="27"/>
  <c r="J58" i="27"/>
  <c r="J57" i="27"/>
  <c r="H57" i="27"/>
  <c r="J56" i="27"/>
  <c r="H56" i="27"/>
  <c r="J55" i="27"/>
  <c r="H55" i="27"/>
  <c r="J54" i="27"/>
  <c r="H54" i="27"/>
  <c r="H53" i="27"/>
  <c r="J53" i="27"/>
  <c r="H52" i="27"/>
  <c r="J52" i="27"/>
  <c r="J51" i="27"/>
  <c r="H51" i="27"/>
  <c r="H50" i="27"/>
  <c r="J50" i="27"/>
  <c r="H49" i="27"/>
  <c r="J49" i="27"/>
  <c r="H48" i="27"/>
  <c r="J48" i="27"/>
  <c r="H47" i="27"/>
  <c r="J47" i="27"/>
  <c r="H46" i="27"/>
  <c r="J46" i="27"/>
  <c r="J45" i="27"/>
  <c r="H45" i="27"/>
  <c r="H44" i="27"/>
  <c r="J44" i="27"/>
  <c r="J43" i="27"/>
  <c r="H43" i="27"/>
  <c r="J42" i="27"/>
  <c r="H42" i="27"/>
  <c r="J41" i="27"/>
  <c r="H41" i="27"/>
  <c r="H40" i="27"/>
  <c r="J40" i="27"/>
  <c r="H39" i="27"/>
  <c r="J39" i="27"/>
  <c r="J38" i="27"/>
  <c r="H38" i="27"/>
  <c r="J37" i="27"/>
  <c r="H37" i="27"/>
  <c r="H36" i="27"/>
  <c r="J36" i="27"/>
  <c r="J35" i="27"/>
  <c r="H35" i="27"/>
  <c r="J34" i="27"/>
  <c r="H34" i="27"/>
  <c r="H33" i="27"/>
  <c r="J33" i="27"/>
  <c r="J101" i="26"/>
  <c r="H101" i="26"/>
  <c r="J100" i="26"/>
  <c r="H100" i="26"/>
  <c r="J99" i="26"/>
  <c r="H99" i="26"/>
  <c r="J98" i="26"/>
  <c r="H98" i="26"/>
  <c r="H97" i="26"/>
  <c r="J97" i="26"/>
  <c r="H96" i="26"/>
  <c r="J96" i="26"/>
  <c r="J95" i="26"/>
  <c r="H95" i="26"/>
  <c r="J94" i="26"/>
  <c r="H94" i="26"/>
  <c r="H93" i="26"/>
  <c r="J93" i="26"/>
  <c r="H92" i="26"/>
  <c r="J92" i="26"/>
  <c r="H91" i="26"/>
  <c r="J91" i="26"/>
  <c r="H90" i="26"/>
  <c r="J90" i="26"/>
  <c r="H89" i="26"/>
  <c r="J89" i="26"/>
  <c r="J88" i="26"/>
  <c r="H88" i="26"/>
  <c r="H87" i="26"/>
  <c r="J87" i="26"/>
  <c r="H86" i="26"/>
  <c r="J86" i="26"/>
  <c r="J85" i="26"/>
  <c r="H85" i="26"/>
  <c r="J84" i="26"/>
  <c r="H84" i="26"/>
  <c r="J83" i="26"/>
  <c r="H83" i="26"/>
  <c r="J82" i="26"/>
  <c r="H82" i="26"/>
  <c r="J81" i="26"/>
  <c r="H81" i="26"/>
  <c r="H80" i="26"/>
  <c r="J80" i="26"/>
  <c r="H79" i="26"/>
  <c r="J79" i="26"/>
  <c r="J78" i="26"/>
  <c r="H78" i="26"/>
  <c r="H77" i="26"/>
  <c r="J77" i="26"/>
  <c r="J76" i="26"/>
  <c r="H76" i="26"/>
  <c r="J75" i="26"/>
  <c r="H75" i="26"/>
  <c r="H74" i="26"/>
  <c r="J74" i="26"/>
  <c r="H73" i="26"/>
  <c r="J73" i="26"/>
  <c r="H72" i="26"/>
  <c r="J72" i="26"/>
  <c r="J71" i="26"/>
  <c r="H71" i="26"/>
  <c r="H70" i="26"/>
  <c r="J70" i="26"/>
  <c r="J69" i="26"/>
  <c r="H69" i="26"/>
  <c r="H68" i="26"/>
  <c r="J68" i="26"/>
  <c r="J67" i="26"/>
  <c r="H67" i="26"/>
  <c r="J66" i="26"/>
  <c r="H66" i="26"/>
  <c r="H65" i="26"/>
  <c r="J65" i="26"/>
  <c r="H64" i="26"/>
  <c r="J64" i="26"/>
  <c r="J63" i="26"/>
  <c r="H63" i="26"/>
  <c r="J62" i="26"/>
  <c r="H62" i="26"/>
  <c r="H61" i="26"/>
  <c r="J61" i="26"/>
  <c r="H60" i="26"/>
  <c r="J60" i="26"/>
  <c r="H59" i="26"/>
  <c r="J59" i="26"/>
  <c r="H58" i="26"/>
  <c r="J58" i="26"/>
  <c r="H57" i="26"/>
  <c r="J57" i="26"/>
  <c r="J56" i="26"/>
  <c r="H56" i="26"/>
  <c r="H55" i="26"/>
  <c r="J55" i="26"/>
  <c r="J54" i="26"/>
  <c r="H54" i="26"/>
  <c r="J53" i="26"/>
  <c r="H53" i="26"/>
  <c r="H52" i="26"/>
  <c r="J52" i="26"/>
  <c r="H51" i="26"/>
  <c r="J51" i="26"/>
  <c r="J50" i="26"/>
  <c r="H50" i="26"/>
  <c r="J49" i="26"/>
  <c r="H49" i="26"/>
  <c r="J48" i="26"/>
  <c r="H48" i="26"/>
  <c r="H47" i="26"/>
  <c r="J47" i="26"/>
  <c r="H46" i="26"/>
  <c r="J46" i="26"/>
  <c r="H45" i="26"/>
  <c r="J45" i="26"/>
  <c r="J44" i="26"/>
  <c r="H44" i="26"/>
  <c r="H43" i="26"/>
  <c r="J43" i="26"/>
  <c r="H42" i="26"/>
  <c r="J42" i="26"/>
  <c r="J41" i="26"/>
  <c r="H41" i="26"/>
  <c r="J40" i="26"/>
  <c r="H40" i="26"/>
  <c r="J39" i="26"/>
  <c r="H39" i="26"/>
  <c r="J38" i="26"/>
  <c r="H38" i="26"/>
  <c r="J37" i="26"/>
  <c r="H37" i="26"/>
  <c r="J36" i="26"/>
  <c r="H36" i="26"/>
  <c r="J35" i="26"/>
  <c r="H35" i="26"/>
  <c r="J34" i="26"/>
  <c r="H34" i="26"/>
  <c r="J33" i="26"/>
  <c r="H33" i="26"/>
  <c r="H32" i="26"/>
  <c r="J32" i="26"/>
  <c r="J101" i="25"/>
  <c r="H101" i="25"/>
  <c r="J100" i="25"/>
  <c r="H100" i="25"/>
  <c r="J99" i="25"/>
  <c r="H99" i="25"/>
  <c r="J98" i="25"/>
  <c r="H98" i="25"/>
  <c r="H97" i="25"/>
  <c r="J97" i="25"/>
  <c r="J96" i="25"/>
  <c r="H96" i="25"/>
  <c r="J95" i="25"/>
  <c r="H95" i="25"/>
  <c r="H94" i="25"/>
  <c r="J94" i="25"/>
  <c r="J93" i="25"/>
  <c r="H93" i="25"/>
  <c r="H92" i="25"/>
  <c r="J92" i="25"/>
  <c r="J91" i="25"/>
  <c r="H91" i="25"/>
  <c r="H90" i="25"/>
  <c r="J90" i="25"/>
  <c r="J89" i="25"/>
  <c r="H89" i="25"/>
  <c r="H88" i="25"/>
  <c r="J88" i="25"/>
  <c r="J87" i="25"/>
  <c r="H87" i="25"/>
  <c r="J86" i="25"/>
  <c r="H86" i="25"/>
  <c r="J85" i="25"/>
  <c r="H85" i="25"/>
  <c r="H84" i="25"/>
  <c r="J84" i="25"/>
  <c r="H83" i="25"/>
  <c r="J83" i="25"/>
  <c r="H82" i="25"/>
  <c r="J82" i="25"/>
  <c r="J81" i="25"/>
  <c r="H81" i="25"/>
  <c r="H80" i="25"/>
  <c r="J80" i="25"/>
  <c r="J79" i="25"/>
  <c r="H79" i="25"/>
  <c r="H78" i="25"/>
  <c r="J78" i="25"/>
  <c r="H77" i="25"/>
  <c r="J77" i="25"/>
  <c r="H76" i="25"/>
  <c r="J76" i="25"/>
  <c r="J75" i="25"/>
  <c r="H75" i="25"/>
  <c r="H74" i="25"/>
  <c r="J74" i="25"/>
  <c r="H73" i="25"/>
  <c r="J73" i="25"/>
  <c r="J72" i="25"/>
  <c r="H72" i="25"/>
  <c r="H71" i="25"/>
  <c r="J71" i="25"/>
  <c r="J70" i="25"/>
  <c r="H70" i="25"/>
  <c r="J69" i="25"/>
  <c r="H69" i="25"/>
  <c r="H68" i="25"/>
  <c r="J68" i="25"/>
  <c r="H67" i="25"/>
  <c r="J67" i="25"/>
  <c r="J66" i="25"/>
  <c r="H66" i="25"/>
  <c r="J65" i="25"/>
  <c r="H65" i="25"/>
  <c r="H64" i="25"/>
  <c r="J64" i="25"/>
  <c r="H63" i="25"/>
  <c r="J63" i="25"/>
  <c r="J62" i="25"/>
  <c r="H62" i="25"/>
  <c r="J61" i="25"/>
  <c r="H61" i="25"/>
  <c r="H60" i="25"/>
  <c r="J60" i="25"/>
  <c r="H59" i="25"/>
  <c r="J59" i="25"/>
  <c r="J58" i="25"/>
  <c r="H58" i="25"/>
  <c r="H57" i="25"/>
  <c r="J57" i="25"/>
  <c r="H56" i="25"/>
  <c r="J56" i="25"/>
  <c r="J55" i="25"/>
  <c r="H55" i="25"/>
  <c r="H54" i="25"/>
  <c r="J54" i="25"/>
  <c r="H53" i="25"/>
  <c r="J53" i="25"/>
  <c r="J52" i="25"/>
  <c r="H52" i="25"/>
  <c r="H51" i="25"/>
  <c r="J51" i="25"/>
  <c r="J50" i="25"/>
  <c r="H50" i="25"/>
  <c r="J49" i="25"/>
  <c r="H49" i="25"/>
  <c r="J48" i="25"/>
  <c r="H48" i="25"/>
  <c r="J47" i="25"/>
  <c r="H47" i="25"/>
  <c r="H46" i="25"/>
  <c r="J46" i="25"/>
  <c r="H45" i="25"/>
  <c r="J45" i="25"/>
  <c r="H44" i="25"/>
  <c r="J44" i="25"/>
  <c r="H43" i="25"/>
  <c r="J43" i="25"/>
  <c r="J42" i="25"/>
  <c r="H42" i="25"/>
  <c r="H41" i="25"/>
  <c r="J41" i="25"/>
  <c r="H40" i="25"/>
  <c r="J40" i="25"/>
  <c r="J39" i="25"/>
  <c r="H39" i="25"/>
  <c r="J38" i="25"/>
  <c r="H38" i="25"/>
  <c r="J37" i="25"/>
  <c r="H37" i="25"/>
  <c r="J36" i="25"/>
  <c r="H36" i="25"/>
  <c r="H101" i="24"/>
  <c r="J101" i="24"/>
  <c r="H100" i="24"/>
  <c r="J100" i="24"/>
  <c r="H99" i="24"/>
  <c r="J99" i="24"/>
  <c r="H98" i="24"/>
  <c r="J98" i="24"/>
  <c r="J97" i="24"/>
  <c r="H97" i="24"/>
  <c r="J96" i="24"/>
  <c r="H96" i="24"/>
  <c r="J95" i="24"/>
  <c r="H95" i="24"/>
  <c r="J94" i="24"/>
  <c r="H94" i="24"/>
  <c r="J93" i="24"/>
  <c r="H93" i="24"/>
  <c r="J92" i="24"/>
  <c r="H92" i="24"/>
  <c r="H91" i="24"/>
  <c r="J91" i="24"/>
  <c r="J90" i="24"/>
  <c r="H90" i="24"/>
  <c r="J89" i="24"/>
  <c r="H89" i="24"/>
  <c r="J88" i="24"/>
  <c r="H88" i="24"/>
  <c r="J87" i="24"/>
  <c r="H87" i="24"/>
  <c r="H86" i="24"/>
  <c r="J86" i="24"/>
  <c r="J85" i="24"/>
  <c r="H85" i="24"/>
  <c r="J84" i="24"/>
  <c r="H84" i="24"/>
  <c r="J83" i="24"/>
  <c r="H83" i="24"/>
  <c r="J82" i="24"/>
  <c r="H82" i="24"/>
  <c r="H81" i="24"/>
  <c r="J81" i="24"/>
  <c r="H80" i="24"/>
  <c r="J80" i="24"/>
  <c r="H79" i="24"/>
  <c r="J79" i="24"/>
  <c r="H78" i="24"/>
  <c r="J78" i="24"/>
  <c r="H77" i="24"/>
  <c r="J77" i="24"/>
  <c r="J76" i="24"/>
  <c r="H76" i="24"/>
  <c r="J75" i="24"/>
  <c r="H75" i="24"/>
  <c r="J74" i="24"/>
  <c r="H74" i="24"/>
  <c r="H73" i="24"/>
  <c r="J73" i="24"/>
  <c r="J72" i="24"/>
  <c r="H72" i="24"/>
  <c r="J71" i="24"/>
  <c r="H71" i="24"/>
  <c r="H70" i="24"/>
  <c r="J70" i="24"/>
  <c r="J69" i="24"/>
  <c r="H69" i="24"/>
  <c r="J68" i="24"/>
  <c r="H68" i="24"/>
  <c r="J67" i="24"/>
  <c r="H67" i="24"/>
  <c r="H66" i="24"/>
  <c r="J66" i="24"/>
  <c r="H65" i="24"/>
  <c r="J65" i="24"/>
  <c r="J64" i="24"/>
  <c r="H64" i="24"/>
  <c r="J63" i="24"/>
  <c r="H63" i="24"/>
  <c r="H62" i="24"/>
  <c r="J62" i="24"/>
  <c r="H61" i="24"/>
  <c r="J61" i="24"/>
  <c r="J60" i="24"/>
  <c r="H60" i="24"/>
  <c r="H59" i="24"/>
  <c r="J59" i="24"/>
  <c r="J58" i="24"/>
  <c r="H58" i="24"/>
  <c r="H57" i="24"/>
  <c r="J57" i="24"/>
  <c r="H56" i="24"/>
  <c r="J56" i="24"/>
  <c r="J55" i="24"/>
  <c r="H55" i="24"/>
  <c r="H54" i="24"/>
  <c r="J54" i="24"/>
  <c r="J53" i="24"/>
  <c r="H53" i="24"/>
  <c r="H52" i="24"/>
  <c r="J52" i="24"/>
  <c r="J51" i="24"/>
  <c r="H51" i="24"/>
  <c r="J50" i="24"/>
  <c r="H50" i="24"/>
  <c r="H49" i="24"/>
  <c r="J49" i="24"/>
  <c r="J48" i="24"/>
  <c r="H48" i="24"/>
  <c r="H47" i="24"/>
  <c r="J47" i="24"/>
  <c r="H46" i="24"/>
  <c r="J46" i="24"/>
  <c r="H45" i="24"/>
  <c r="J45" i="24"/>
  <c r="H44" i="24"/>
  <c r="J44" i="24"/>
  <c r="H43" i="24"/>
  <c r="J43" i="24"/>
  <c r="J42" i="24"/>
  <c r="H42" i="24"/>
  <c r="J41" i="24"/>
  <c r="H41" i="24"/>
  <c r="J40" i="24"/>
  <c r="H40" i="24"/>
  <c r="J39" i="24"/>
  <c r="H39" i="24"/>
  <c r="H38" i="24"/>
  <c r="J38" i="24"/>
  <c r="H37" i="24"/>
  <c r="J37" i="24"/>
  <c r="J36" i="24"/>
  <c r="H36" i="24"/>
  <c r="J35" i="24"/>
  <c r="H35" i="24"/>
  <c r="H34" i="24"/>
  <c r="J34" i="24"/>
  <c r="J33" i="24"/>
  <c r="H33" i="24"/>
  <c r="H32" i="24"/>
  <c r="J32" i="24"/>
  <c r="H31" i="24"/>
  <c r="J31" i="24"/>
  <c r="J30" i="24"/>
  <c r="H30" i="24"/>
  <c r="J29" i="24"/>
  <c r="H29" i="24"/>
  <c r="J28" i="24"/>
  <c r="H28" i="24"/>
  <c r="H27" i="24"/>
  <c r="J27" i="24"/>
  <c r="H101" i="23"/>
  <c r="J101" i="23"/>
  <c r="H100" i="23"/>
  <c r="J100" i="23"/>
  <c r="J99" i="23"/>
  <c r="H99" i="23"/>
  <c r="J98" i="23"/>
  <c r="H98" i="23"/>
  <c r="H97" i="23"/>
  <c r="J97" i="23"/>
  <c r="H96" i="23"/>
  <c r="J96" i="23"/>
  <c r="H95" i="23"/>
  <c r="J95" i="23"/>
  <c r="J94" i="23"/>
  <c r="H94" i="23"/>
  <c r="J93" i="23"/>
  <c r="H93" i="23"/>
  <c r="J92" i="23"/>
  <c r="H92" i="23"/>
  <c r="H91" i="23"/>
  <c r="J91" i="23"/>
  <c r="H90" i="23"/>
  <c r="J90" i="23"/>
  <c r="J89" i="23"/>
  <c r="H89" i="23"/>
  <c r="J88" i="23"/>
  <c r="H88" i="23"/>
  <c r="H87" i="23"/>
  <c r="J87" i="23"/>
  <c r="H86" i="23"/>
  <c r="J86" i="23"/>
  <c r="J85" i="23"/>
  <c r="H85" i="23"/>
  <c r="H84" i="23"/>
  <c r="J84" i="23"/>
  <c r="J83" i="23"/>
  <c r="H83" i="23"/>
  <c r="H82" i="23"/>
  <c r="J82" i="23"/>
  <c r="H81" i="23"/>
  <c r="J81" i="23"/>
  <c r="H80" i="23"/>
  <c r="J80" i="23"/>
  <c r="H79" i="23"/>
  <c r="J79" i="23"/>
  <c r="J78" i="23"/>
  <c r="H78" i="23"/>
  <c r="H77" i="23"/>
  <c r="J77" i="23"/>
  <c r="J76" i="23"/>
  <c r="H76" i="23"/>
  <c r="H75" i="23"/>
  <c r="J75" i="23"/>
  <c r="J74" i="23"/>
  <c r="H74" i="23"/>
  <c r="H73" i="23"/>
  <c r="J73" i="23"/>
  <c r="H72" i="23"/>
  <c r="J72" i="23"/>
  <c r="J71" i="23"/>
  <c r="H71" i="23"/>
  <c r="H70" i="23"/>
  <c r="J70" i="23"/>
  <c r="H69" i="23"/>
  <c r="J69" i="23"/>
  <c r="J68" i="23"/>
  <c r="H68" i="23"/>
  <c r="J67" i="23"/>
  <c r="H67" i="23"/>
  <c r="J66" i="23"/>
  <c r="H66" i="23"/>
  <c r="J65" i="23"/>
  <c r="H65" i="23"/>
  <c r="H64" i="23"/>
  <c r="J64" i="23"/>
  <c r="J63" i="23"/>
  <c r="H63" i="23"/>
  <c r="J62" i="23"/>
  <c r="H62" i="23"/>
  <c r="H61" i="23"/>
  <c r="J61" i="23"/>
  <c r="H60" i="23"/>
  <c r="J60" i="23"/>
  <c r="J59" i="23"/>
  <c r="H59" i="23"/>
  <c r="H58" i="23"/>
  <c r="J58" i="23"/>
  <c r="J57" i="23"/>
  <c r="H57" i="23"/>
  <c r="H56" i="23"/>
  <c r="J56" i="23"/>
  <c r="H55" i="23"/>
  <c r="J55" i="23"/>
  <c r="J54" i="23"/>
  <c r="H54" i="23"/>
  <c r="H53" i="23"/>
  <c r="J53" i="23"/>
  <c r="H52" i="23"/>
  <c r="J52" i="23"/>
  <c r="H51" i="23"/>
  <c r="J51" i="23"/>
  <c r="J50" i="23"/>
  <c r="H50" i="23"/>
  <c r="H49" i="23"/>
  <c r="J49" i="23"/>
  <c r="J48" i="23"/>
  <c r="H48" i="23"/>
  <c r="J47" i="23"/>
  <c r="H47" i="23"/>
  <c r="J46" i="23"/>
  <c r="H46" i="23"/>
  <c r="J45" i="23"/>
  <c r="H45" i="23"/>
  <c r="J44" i="23"/>
  <c r="H44" i="23"/>
  <c r="H43" i="23"/>
  <c r="J43" i="23"/>
  <c r="H42" i="23"/>
  <c r="J42" i="23"/>
  <c r="H41" i="23"/>
  <c r="J41" i="23"/>
  <c r="H40" i="23"/>
  <c r="J40" i="23"/>
  <c r="J39" i="23"/>
  <c r="H39" i="23"/>
  <c r="H38" i="23"/>
  <c r="J38" i="23"/>
  <c r="J37" i="23"/>
  <c r="H37" i="23"/>
  <c r="H36" i="23"/>
  <c r="J36" i="23"/>
  <c r="J35" i="23"/>
  <c r="H35" i="23"/>
  <c r="J34" i="23"/>
  <c r="H34" i="23"/>
  <c r="J33" i="23"/>
  <c r="H33" i="23"/>
  <c r="H32" i="23"/>
  <c r="J32" i="23"/>
  <c r="J101" i="22"/>
  <c r="H101" i="22"/>
  <c r="H100" i="22"/>
  <c r="J100" i="22"/>
  <c r="H99" i="22"/>
  <c r="J99" i="22"/>
  <c r="H98" i="22"/>
  <c r="J98" i="22"/>
  <c r="H97" i="22"/>
  <c r="J97" i="22"/>
  <c r="J96" i="22"/>
  <c r="H96" i="22"/>
  <c r="H95" i="22"/>
  <c r="J95" i="22"/>
  <c r="J94" i="22"/>
  <c r="H94" i="22"/>
  <c r="H93" i="22"/>
  <c r="J93" i="22"/>
  <c r="J92" i="22"/>
  <c r="H92" i="22"/>
  <c r="J91" i="22"/>
  <c r="H91" i="22"/>
  <c r="J90" i="22"/>
  <c r="H90" i="22"/>
  <c r="H89" i="22"/>
  <c r="J89" i="22"/>
  <c r="J88" i="22"/>
  <c r="H88" i="22"/>
  <c r="H87" i="22"/>
  <c r="J87" i="22"/>
  <c r="H86" i="22"/>
  <c r="J86" i="22"/>
  <c r="H85" i="22"/>
  <c r="J85" i="22"/>
  <c r="J84" i="22"/>
  <c r="H84" i="22"/>
  <c r="J83" i="22"/>
  <c r="H83" i="22"/>
  <c r="H82" i="22"/>
  <c r="J82" i="22"/>
  <c r="J81" i="22"/>
  <c r="H81" i="22"/>
  <c r="H80" i="22"/>
  <c r="J80" i="22"/>
  <c r="J79" i="22"/>
  <c r="H79" i="22"/>
  <c r="H78" i="22"/>
  <c r="J78" i="22"/>
  <c r="H77" i="22"/>
  <c r="J77" i="22"/>
  <c r="J76" i="22"/>
  <c r="H76" i="22"/>
  <c r="J75" i="22"/>
  <c r="H75" i="22"/>
  <c r="H74" i="22"/>
  <c r="J74" i="22"/>
  <c r="H73" i="22"/>
  <c r="J73" i="22"/>
  <c r="J72" i="22"/>
  <c r="H72" i="22"/>
  <c r="J71" i="22"/>
  <c r="H71" i="22"/>
  <c r="H70" i="22"/>
  <c r="J70" i="22"/>
  <c r="H69" i="22"/>
  <c r="J69" i="22"/>
  <c r="H68" i="22"/>
  <c r="J68" i="22"/>
  <c r="H67" i="22"/>
  <c r="J67" i="22"/>
  <c r="H66" i="22"/>
  <c r="J66" i="22"/>
  <c r="J65" i="22"/>
  <c r="H65" i="22"/>
  <c r="H64" i="22"/>
  <c r="J64" i="22"/>
  <c r="H63" i="22"/>
  <c r="J63" i="22"/>
  <c r="H62" i="22"/>
  <c r="J62" i="22"/>
  <c r="H61" i="22"/>
  <c r="J61" i="22"/>
  <c r="H60" i="22"/>
  <c r="J60" i="22"/>
  <c r="H59" i="22"/>
  <c r="J59" i="22"/>
  <c r="H58" i="22"/>
  <c r="J58" i="22"/>
  <c r="J57" i="22"/>
  <c r="H57" i="22"/>
  <c r="H56" i="22"/>
  <c r="J56" i="22"/>
  <c r="H55" i="22"/>
  <c r="J55" i="22"/>
  <c r="J54" i="22"/>
  <c r="H54" i="22"/>
  <c r="H53" i="22"/>
  <c r="J53" i="22"/>
  <c r="H52" i="22"/>
  <c r="J52" i="22"/>
  <c r="H51" i="22"/>
  <c r="J51" i="22"/>
  <c r="J50" i="22"/>
  <c r="H50" i="22"/>
  <c r="H49" i="22"/>
  <c r="J49" i="22"/>
  <c r="J48" i="22"/>
  <c r="H48" i="22"/>
  <c r="J47" i="22"/>
  <c r="H47" i="22"/>
  <c r="H46" i="22"/>
  <c r="J46" i="22"/>
  <c r="H45" i="22"/>
  <c r="J45" i="22"/>
  <c r="J44" i="22"/>
  <c r="H44" i="22"/>
  <c r="H43" i="22"/>
  <c r="J43" i="22"/>
  <c r="H42" i="22"/>
  <c r="J42" i="22"/>
  <c r="J41" i="22"/>
  <c r="H41" i="22"/>
  <c r="H40" i="22"/>
  <c r="J40" i="22"/>
  <c r="J39" i="22"/>
  <c r="H39" i="22"/>
  <c r="J56" i="21"/>
  <c r="H56" i="21"/>
  <c r="H55" i="21"/>
  <c r="J55" i="21"/>
  <c r="H54" i="21"/>
  <c r="J54" i="21"/>
  <c r="H53" i="21"/>
  <c r="J53" i="21"/>
  <c r="H52" i="21"/>
  <c r="J52" i="21"/>
  <c r="J51" i="21"/>
  <c r="H51" i="21"/>
  <c r="H50" i="21"/>
  <c r="J50" i="21"/>
  <c r="H49" i="21"/>
  <c r="J49" i="21"/>
  <c r="H48" i="21"/>
  <c r="J48" i="21"/>
  <c r="J47" i="21"/>
  <c r="H47" i="21"/>
  <c r="J46" i="21"/>
  <c r="H46" i="21"/>
  <c r="H45" i="21"/>
  <c r="J45" i="21"/>
  <c r="J44" i="21"/>
  <c r="H44" i="21"/>
  <c r="H43" i="21"/>
  <c r="J43" i="21"/>
  <c r="H42" i="21"/>
  <c r="J42" i="21"/>
  <c r="H41" i="21"/>
  <c r="J41" i="21"/>
  <c r="J40" i="21"/>
  <c r="H40" i="21"/>
  <c r="J39" i="21"/>
  <c r="H39" i="21"/>
  <c r="J38" i="21"/>
  <c r="H38" i="21"/>
  <c r="H37" i="21"/>
  <c r="J37" i="21"/>
  <c r="J32" i="34"/>
  <c r="H32" i="34" s="1"/>
  <c r="K4" i="35"/>
  <c r="I4" i="35" s="1"/>
  <c r="J19" i="32"/>
  <c r="H19" i="32" s="1"/>
  <c r="J15" i="32"/>
  <c r="H15" i="32" s="1"/>
  <c r="J41" i="32"/>
  <c r="H41" i="32" s="1"/>
  <c r="J9" i="32"/>
  <c r="H9" i="32" s="1"/>
  <c r="J7" i="32"/>
  <c r="H7" i="32" s="1"/>
  <c r="J5" i="32"/>
  <c r="H5" i="32" s="1"/>
  <c r="J44" i="32"/>
  <c r="H44" i="32" s="1"/>
  <c r="J24" i="32"/>
  <c r="H24" i="32" s="1"/>
  <c r="J39" i="32"/>
  <c r="H39" i="32" s="1"/>
  <c r="J31" i="32"/>
  <c r="H31" i="32" s="1"/>
  <c r="J8" i="32"/>
  <c r="H8" i="32" s="1"/>
  <c r="J18" i="32"/>
  <c r="H18" i="32" s="1"/>
  <c r="J78" i="44"/>
  <c r="H78" i="44"/>
  <c r="J77" i="44"/>
  <c r="H77" i="44"/>
  <c r="H76" i="44"/>
  <c r="J76" i="44"/>
  <c r="J75" i="44"/>
  <c r="H75" i="44"/>
  <c r="J74" i="44"/>
  <c r="H74" i="44"/>
  <c r="H73" i="44"/>
  <c r="J73" i="44"/>
  <c r="H72" i="44"/>
  <c r="J72" i="44"/>
  <c r="H71" i="44"/>
  <c r="J71" i="44"/>
  <c r="J70" i="44"/>
  <c r="H70" i="44"/>
  <c r="H69" i="44"/>
  <c r="J69" i="44"/>
  <c r="J68" i="44"/>
  <c r="H68" i="44"/>
  <c r="H67" i="44"/>
  <c r="J67" i="44"/>
  <c r="H66" i="44"/>
  <c r="J66" i="44"/>
  <c r="J16" i="43"/>
  <c r="H16" i="43" s="1"/>
  <c r="J15" i="43"/>
  <c r="H15" i="43" s="1"/>
  <c r="J14" i="43"/>
  <c r="H14" i="43" s="1"/>
  <c r="J13" i="43"/>
  <c r="H13" i="43" s="1"/>
  <c r="J12" i="43"/>
  <c r="H12" i="43" s="1"/>
  <c r="J11" i="43"/>
  <c r="H11" i="43" s="1"/>
  <c r="J10" i="43"/>
  <c r="H10" i="43" s="1"/>
  <c r="J9" i="43"/>
  <c r="H9" i="43" s="1"/>
  <c r="J8" i="43"/>
  <c r="H8" i="43" s="1"/>
  <c r="J7" i="43"/>
  <c r="H7" i="43" s="1"/>
  <c r="J6" i="43"/>
  <c r="H6" i="43" s="1"/>
  <c r="J5" i="43"/>
  <c r="H5" i="43" s="1"/>
  <c r="J4" i="43"/>
  <c r="H4" i="43" s="1"/>
  <c r="J3" i="43"/>
  <c r="H3" i="43" s="1"/>
  <c r="J2" i="43"/>
  <c r="H2" i="43" s="1"/>
  <c r="H101" i="42"/>
  <c r="J101" i="42"/>
  <c r="J100" i="42"/>
  <c r="H100" i="42"/>
  <c r="H99" i="42"/>
  <c r="J99" i="42"/>
  <c r="H98" i="42"/>
  <c r="J98" i="42"/>
  <c r="J97" i="42"/>
  <c r="H97" i="42"/>
  <c r="H96" i="42"/>
  <c r="J96" i="42"/>
  <c r="J95" i="42"/>
  <c r="H95" i="42"/>
  <c r="H94" i="42"/>
  <c r="J94" i="42"/>
  <c r="J93" i="42"/>
  <c r="H93" i="42"/>
  <c r="J92" i="42"/>
  <c r="H92" i="42"/>
  <c r="H91" i="42"/>
  <c r="J91" i="42"/>
  <c r="H90" i="42"/>
  <c r="J90" i="42"/>
  <c r="H89" i="42"/>
  <c r="J89" i="42"/>
  <c r="H88" i="42"/>
  <c r="J88" i="42"/>
  <c r="H87" i="42"/>
  <c r="J87" i="42"/>
  <c r="H86" i="42"/>
  <c r="J86" i="42"/>
  <c r="J85" i="42"/>
  <c r="H85" i="42"/>
  <c r="J84" i="42"/>
  <c r="H84" i="42"/>
  <c r="J83" i="42"/>
  <c r="H83" i="42"/>
  <c r="J82" i="42"/>
  <c r="H82" i="42"/>
  <c r="H81" i="42"/>
  <c r="J81" i="42"/>
  <c r="J80" i="42"/>
  <c r="H80" i="42"/>
  <c r="J79" i="42"/>
  <c r="H79" i="42"/>
  <c r="H78" i="42"/>
  <c r="J78" i="42"/>
  <c r="H77" i="42"/>
  <c r="J77" i="42"/>
  <c r="H76" i="42"/>
  <c r="J76" i="42"/>
  <c r="J75" i="42"/>
  <c r="H75" i="42"/>
  <c r="J74" i="42"/>
  <c r="H74" i="42"/>
  <c r="J73" i="42"/>
  <c r="H73" i="42"/>
  <c r="H72" i="42"/>
  <c r="J72" i="42"/>
  <c r="H71" i="42"/>
  <c r="J71" i="42"/>
  <c r="J70" i="42"/>
  <c r="H70" i="42"/>
  <c r="H69" i="42"/>
  <c r="J69" i="42"/>
  <c r="H68" i="42"/>
  <c r="J68" i="42"/>
  <c r="H67" i="42"/>
  <c r="J67" i="42"/>
  <c r="H66" i="42"/>
  <c r="J66" i="42"/>
  <c r="J65" i="42"/>
  <c r="H65" i="42"/>
  <c r="J64" i="42"/>
  <c r="H64" i="42"/>
  <c r="J63" i="42"/>
  <c r="H63" i="42"/>
  <c r="H62" i="42"/>
  <c r="J62" i="42"/>
  <c r="J61" i="42"/>
  <c r="H61" i="42"/>
  <c r="J60" i="42"/>
  <c r="H60" i="42"/>
  <c r="J59" i="42"/>
  <c r="H59" i="42"/>
  <c r="H58" i="42"/>
  <c r="J58" i="42"/>
  <c r="J57" i="42"/>
  <c r="H57" i="42"/>
  <c r="J56" i="42"/>
  <c r="H56" i="42"/>
  <c r="H55" i="42"/>
  <c r="J55" i="42"/>
  <c r="J54" i="42"/>
  <c r="H54" i="42"/>
  <c r="J53" i="42"/>
  <c r="H53" i="42"/>
  <c r="H52" i="42"/>
  <c r="J52" i="42"/>
  <c r="J51" i="42"/>
  <c r="H51" i="42"/>
  <c r="J50" i="42"/>
  <c r="H50" i="42"/>
  <c r="J49" i="42"/>
  <c r="H49" i="42"/>
  <c r="J48" i="42"/>
  <c r="H48" i="42"/>
  <c r="J47" i="42"/>
  <c r="H47" i="42" s="1"/>
  <c r="J46" i="42"/>
  <c r="H46" i="42" s="1"/>
  <c r="J45" i="42"/>
  <c r="H45" i="42" s="1"/>
  <c r="J44" i="42"/>
  <c r="H44" i="42" s="1"/>
  <c r="J43" i="42"/>
  <c r="H43" i="42" s="1"/>
  <c r="J42" i="42"/>
  <c r="H42" i="42" s="1"/>
  <c r="J41" i="42"/>
  <c r="H41" i="42" s="1"/>
  <c r="J40" i="42"/>
  <c r="H40" i="42" s="1"/>
  <c r="J39" i="42"/>
  <c r="H39" i="42" s="1"/>
  <c r="J38" i="42"/>
  <c r="H38" i="42" s="1"/>
  <c r="J37" i="42"/>
  <c r="H37" i="42" s="1"/>
  <c r="J36" i="42"/>
  <c r="H36" i="42" s="1"/>
  <c r="J35" i="42"/>
  <c r="H35" i="42" s="1"/>
  <c r="J34" i="42"/>
  <c r="H34" i="42" s="1"/>
  <c r="J33" i="42"/>
  <c r="H33" i="42" s="1"/>
  <c r="J32" i="42"/>
  <c r="H32" i="42" s="1"/>
  <c r="J31" i="42"/>
  <c r="H31" i="42" s="1"/>
  <c r="J30" i="42"/>
  <c r="H30" i="42" s="1"/>
  <c r="J29" i="42"/>
  <c r="H29" i="42" s="1"/>
  <c r="J28" i="42"/>
  <c r="H28" i="42" s="1"/>
  <c r="J27" i="42"/>
  <c r="H27" i="42" s="1"/>
  <c r="J26" i="42"/>
  <c r="H26" i="42" s="1"/>
  <c r="J25" i="42"/>
  <c r="H25" i="42" s="1"/>
  <c r="J24" i="42"/>
  <c r="H24" i="42" s="1"/>
  <c r="J23" i="42"/>
  <c r="H23" i="42" s="1"/>
  <c r="J22" i="42"/>
  <c r="H22" i="42" s="1"/>
  <c r="J21" i="42"/>
  <c r="H21" i="42" s="1"/>
  <c r="J20" i="42"/>
  <c r="H20" i="42" s="1"/>
  <c r="J19" i="42"/>
  <c r="H19" i="42" s="1"/>
  <c r="J18" i="42"/>
  <c r="H18" i="42" s="1"/>
  <c r="J17" i="42"/>
  <c r="H17" i="42" s="1"/>
  <c r="J16" i="42"/>
  <c r="H16" i="42" s="1"/>
  <c r="J15" i="42"/>
  <c r="H15" i="42" s="1"/>
  <c r="J14" i="42"/>
  <c r="H14" i="42" s="1"/>
  <c r="J13" i="42"/>
  <c r="H13" i="42" s="1"/>
  <c r="J12" i="42"/>
  <c r="H12" i="42" s="1"/>
  <c r="J11" i="42"/>
  <c r="H11" i="42" s="1"/>
  <c r="J10" i="42"/>
  <c r="H10" i="42" s="1"/>
  <c r="J9" i="42"/>
  <c r="H9" i="42" s="1"/>
  <c r="J8" i="42"/>
  <c r="H8" i="42" s="1"/>
  <c r="J7" i="42"/>
  <c r="H7" i="42" s="1"/>
  <c r="J6" i="42"/>
  <c r="H6" i="42" s="1"/>
  <c r="J5" i="42"/>
  <c r="H5" i="42" s="1"/>
  <c r="J4" i="42"/>
  <c r="H4" i="42" s="1"/>
  <c r="J3" i="42"/>
  <c r="H3" i="42" s="1"/>
  <c r="J2" i="42"/>
  <c r="H2" i="42" s="1"/>
  <c r="J101" i="41"/>
  <c r="H101" i="41"/>
  <c r="H100" i="41"/>
  <c r="J100" i="41"/>
  <c r="H99" i="41"/>
  <c r="J99" i="41"/>
  <c r="H98" i="41"/>
  <c r="J98" i="41"/>
  <c r="J97" i="41"/>
  <c r="H97" i="41"/>
  <c r="J96" i="41"/>
  <c r="H96" i="41"/>
  <c r="H95" i="41"/>
  <c r="J95" i="41"/>
  <c r="H94" i="41"/>
  <c r="J94" i="41"/>
  <c r="J93" i="41"/>
  <c r="H93" i="41"/>
  <c r="H92" i="41"/>
  <c r="J92" i="41"/>
  <c r="J91" i="41"/>
  <c r="H91" i="41"/>
  <c r="H90" i="41"/>
  <c r="J90" i="41"/>
  <c r="H89" i="41"/>
  <c r="J89" i="41"/>
  <c r="J88" i="41"/>
  <c r="H88" i="41"/>
  <c r="J87" i="41"/>
  <c r="H87" i="41"/>
  <c r="H86" i="41"/>
  <c r="J86" i="41"/>
  <c r="J85" i="41"/>
  <c r="H85" i="41"/>
  <c r="H84" i="41"/>
  <c r="J84" i="41"/>
  <c r="H83" i="41"/>
  <c r="J83" i="41"/>
  <c r="H82" i="41"/>
  <c r="J82" i="41"/>
  <c r="J81" i="41"/>
  <c r="H81" i="41"/>
  <c r="H80" i="41"/>
  <c r="J80" i="41"/>
  <c r="J79" i="41"/>
  <c r="H79" i="41"/>
  <c r="H78" i="41"/>
  <c r="J78" i="41"/>
  <c r="J77" i="41"/>
  <c r="H77" i="41"/>
  <c r="H76" i="41"/>
  <c r="J76" i="41"/>
  <c r="H75" i="41"/>
  <c r="J75" i="41"/>
  <c r="H74" i="41"/>
  <c r="J74" i="41"/>
  <c r="J73" i="41"/>
  <c r="H73" i="41"/>
  <c r="J72" i="41"/>
  <c r="H72" i="41"/>
  <c r="H71" i="41"/>
  <c r="J71" i="41"/>
  <c r="J70" i="41"/>
  <c r="H70" i="41"/>
  <c r="H69" i="41"/>
  <c r="J69" i="41"/>
  <c r="H68" i="41"/>
  <c r="J68" i="41"/>
  <c r="J67" i="41"/>
  <c r="H67" i="41"/>
  <c r="H66" i="41"/>
  <c r="J66" i="41"/>
  <c r="H65" i="41"/>
  <c r="J65" i="41"/>
  <c r="H64" i="41"/>
  <c r="J64" i="41"/>
  <c r="H63" i="41"/>
  <c r="J63" i="41"/>
  <c r="J62" i="41"/>
  <c r="H62" i="41"/>
  <c r="J61" i="41"/>
  <c r="H61" i="41"/>
  <c r="H60" i="41"/>
  <c r="J60" i="41"/>
  <c r="J59" i="41"/>
  <c r="H59" i="41"/>
  <c r="J58" i="41"/>
  <c r="H58" i="41"/>
  <c r="H57" i="41"/>
  <c r="J57" i="41"/>
  <c r="J56" i="41"/>
  <c r="H56" i="41"/>
  <c r="J55" i="41"/>
  <c r="H55" i="41"/>
  <c r="J54" i="41"/>
  <c r="H54" i="41"/>
  <c r="H53" i="41"/>
  <c r="J53" i="41"/>
  <c r="H52" i="41"/>
  <c r="J52" i="41"/>
  <c r="J51" i="41"/>
  <c r="H51" i="41"/>
  <c r="J50" i="41"/>
  <c r="H50" i="41"/>
  <c r="H49" i="41"/>
  <c r="J49" i="41"/>
  <c r="H48" i="41"/>
  <c r="J48" i="41"/>
  <c r="J47" i="41"/>
  <c r="H47" i="41"/>
  <c r="H46" i="41"/>
  <c r="J46" i="41"/>
  <c r="J45" i="41"/>
  <c r="H45" i="41"/>
  <c r="J44" i="41"/>
  <c r="H44" i="41"/>
  <c r="J43" i="41"/>
  <c r="H43" i="41"/>
  <c r="J42" i="41"/>
  <c r="H42" i="41"/>
  <c r="J41" i="41"/>
  <c r="H41" i="41"/>
  <c r="H40" i="41"/>
  <c r="J40" i="41"/>
  <c r="J39" i="41"/>
  <c r="H39" i="41"/>
  <c r="J38" i="41"/>
  <c r="H38" i="41"/>
  <c r="J37" i="41"/>
  <c r="H37" i="41"/>
  <c r="J36" i="41"/>
  <c r="H36" i="41"/>
  <c r="H35" i="41"/>
  <c r="J35" i="41"/>
  <c r="J34" i="41"/>
  <c r="H34" i="41" s="1"/>
  <c r="J33" i="41"/>
  <c r="H33" i="41" s="1"/>
  <c r="J32" i="41"/>
  <c r="H32" i="41" s="1"/>
  <c r="J31" i="41"/>
  <c r="H31" i="41" s="1"/>
  <c r="J30" i="41"/>
  <c r="H30" i="41" s="1"/>
  <c r="J29" i="41"/>
  <c r="H29" i="41" s="1"/>
  <c r="J28" i="41"/>
  <c r="H28" i="41" s="1"/>
  <c r="J27" i="41"/>
  <c r="H27" i="41" s="1"/>
  <c r="J26" i="41"/>
  <c r="H26" i="41" s="1"/>
  <c r="J25" i="41"/>
  <c r="H25" i="41" s="1"/>
  <c r="J24" i="41"/>
  <c r="H24" i="41" s="1"/>
  <c r="J23" i="41"/>
  <c r="H23" i="41" s="1"/>
  <c r="J22" i="41"/>
  <c r="H22" i="41" s="1"/>
  <c r="J21" i="41"/>
  <c r="H21" i="41" s="1"/>
  <c r="J20" i="41"/>
  <c r="H20" i="41" s="1"/>
  <c r="J19" i="41"/>
  <c r="H19" i="41" s="1"/>
  <c r="J18" i="41"/>
  <c r="H18" i="41" s="1"/>
  <c r="J17" i="41"/>
  <c r="H17" i="41" s="1"/>
  <c r="J16" i="41"/>
  <c r="H16" i="41" s="1"/>
  <c r="J15" i="41"/>
  <c r="H15" i="41" s="1"/>
  <c r="H88" i="40"/>
  <c r="J88" i="40"/>
  <c r="H86" i="40"/>
  <c r="J86" i="40"/>
  <c r="J85" i="40"/>
  <c r="H85" i="40"/>
  <c r="J84" i="40"/>
  <c r="H84" i="40"/>
  <c r="H83" i="40"/>
  <c r="J83" i="40"/>
  <c r="H82" i="40"/>
  <c r="J82" i="40"/>
  <c r="J81" i="40"/>
  <c r="H81" i="40"/>
  <c r="J80" i="40"/>
  <c r="H80" i="40"/>
  <c r="J79" i="40"/>
  <c r="H79" i="40"/>
  <c r="H78" i="40"/>
  <c r="J78" i="40"/>
  <c r="H77" i="40"/>
  <c r="J77" i="40"/>
  <c r="H76" i="40"/>
  <c r="J76" i="40"/>
  <c r="H75" i="40"/>
  <c r="J75" i="40"/>
  <c r="J74" i="40"/>
  <c r="H74" i="40"/>
  <c r="J73" i="40"/>
  <c r="H73" i="40"/>
  <c r="H72" i="40"/>
  <c r="J72" i="40"/>
  <c r="J71" i="40"/>
  <c r="H71" i="40"/>
  <c r="H70" i="40"/>
  <c r="J70" i="40"/>
  <c r="H69" i="40"/>
  <c r="J69" i="40"/>
  <c r="J68" i="40"/>
  <c r="H68" i="40"/>
  <c r="H67" i="40"/>
  <c r="J67" i="40"/>
  <c r="H66" i="40"/>
  <c r="J66" i="40"/>
  <c r="J65" i="40"/>
  <c r="H65" i="40"/>
  <c r="H64" i="40"/>
  <c r="J64" i="40"/>
  <c r="H61" i="40"/>
  <c r="J61" i="40"/>
  <c r="H60" i="40"/>
  <c r="J60" i="40"/>
  <c r="J59" i="40"/>
  <c r="H59" i="40"/>
  <c r="J58" i="40"/>
  <c r="H58" i="40"/>
  <c r="H57" i="40"/>
  <c r="J57" i="40"/>
  <c r="H56" i="40"/>
  <c r="J56" i="40"/>
  <c r="J55" i="40"/>
  <c r="H55" i="40"/>
  <c r="J54" i="40"/>
  <c r="H54" i="40"/>
  <c r="H53" i="40"/>
  <c r="J53" i="40"/>
  <c r="J52" i="40"/>
  <c r="H52" i="40"/>
  <c r="J51" i="40"/>
  <c r="H51" i="40"/>
  <c r="J50" i="40"/>
  <c r="H50" i="40"/>
  <c r="H49" i="40"/>
  <c r="J49" i="40"/>
  <c r="H48" i="40"/>
  <c r="J48" i="40"/>
  <c r="H47" i="40"/>
  <c r="J47" i="40"/>
  <c r="H46" i="40"/>
  <c r="J46" i="40"/>
  <c r="J45" i="40"/>
  <c r="H45" i="40" s="1"/>
  <c r="J44" i="40"/>
  <c r="H44" i="40" s="1"/>
  <c r="J43" i="40"/>
  <c r="H43" i="40" s="1"/>
  <c r="J42" i="40"/>
  <c r="H42" i="40" s="1"/>
  <c r="J41" i="40"/>
  <c r="H41" i="40" s="1"/>
  <c r="J40" i="40"/>
  <c r="H40" i="40" s="1"/>
  <c r="J39" i="40"/>
  <c r="H39" i="40" s="1"/>
  <c r="J38" i="40"/>
  <c r="H38" i="40" s="1"/>
  <c r="J37" i="40"/>
  <c r="H37" i="40" s="1"/>
  <c r="J36" i="40"/>
  <c r="H36" i="40" s="1"/>
  <c r="J35" i="40"/>
  <c r="H35" i="40" s="1"/>
  <c r="J34" i="40"/>
  <c r="H34" i="40" s="1"/>
  <c r="J33" i="40"/>
  <c r="H33" i="40" s="1"/>
  <c r="J32" i="40"/>
  <c r="H32" i="40" s="1"/>
  <c r="J31" i="40"/>
  <c r="H31" i="40" s="1"/>
  <c r="J30" i="40"/>
  <c r="H30" i="40" s="1"/>
  <c r="J29" i="40"/>
  <c r="H29" i="40" s="1"/>
  <c r="J28" i="40"/>
  <c r="H28" i="40" s="1"/>
  <c r="J27" i="40"/>
  <c r="H27" i="40" s="1"/>
  <c r="J26" i="40"/>
  <c r="H26" i="40" s="1"/>
  <c r="J25" i="40"/>
  <c r="H25" i="40" s="1"/>
  <c r="J24" i="40"/>
  <c r="H24" i="40" s="1"/>
  <c r="J23" i="40"/>
  <c r="H23" i="40" s="1"/>
  <c r="J22" i="40"/>
  <c r="H22" i="40" s="1"/>
  <c r="J21" i="40"/>
  <c r="H21" i="40" s="1"/>
  <c r="J20" i="40"/>
  <c r="H20" i="40" s="1"/>
  <c r="J19" i="40"/>
  <c r="H19" i="40" s="1"/>
  <c r="J18" i="40"/>
  <c r="H18" i="40" s="1"/>
  <c r="J17" i="40"/>
  <c r="H17" i="40" s="1"/>
  <c r="J16" i="40"/>
  <c r="H16" i="40" s="1"/>
  <c r="J15" i="40"/>
  <c r="H15" i="40" s="1"/>
  <c r="J14" i="40"/>
  <c r="H14" i="40" s="1"/>
  <c r="J13" i="40"/>
  <c r="H13" i="40" s="1"/>
  <c r="J12" i="40"/>
  <c r="H12" i="40" s="1"/>
  <c r="J11" i="40"/>
  <c r="H11" i="40" s="1"/>
  <c r="J10" i="40"/>
  <c r="H10" i="40" s="1"/>
  <c r="J9" i="40"/>
  <c r="H9" i="40" s="1"/>
  <c r="J8" i="40"/>
  <c r="H8" i="40" s="1"/>
  <c r="J7" i="40"/>
  <c r="H7" i="40" s="1"/>
  <c r="I72" i="38"/>
  <c r="K72" i="38"/>
  <c r="I71" i="38"/>
  <c r="K71" i="38"/>
  <c r="K70" i="38"/>
  <c r="I70" i="38"/>
  <c r="I69" i="38"/>
  <c r="K69" i="38"/>
  <c r="K68" i="38"/>
  <c r="I68" i="38"/>
  <c r="I67" i="38"/>
  <c r="K67" i="38"/>
  <c r="I66" i="38"/>
  <c r="K66" i="38"/>
  <c r="I65" i="38"/>
  <c r="K65" i="38"/>
  <c r="K64" i="38"/>
  <c r="I64" i="38"/>
  <c r="K63" i="38"/>
  <c r="I63" i="38"/>
  <c r="I62" i="38"/>
  <c r="K62" i="38"/>
  <c r="J101" i="37"/>
  <c r="H101" i="37"/>
  <c r="H100" i="37"/>
  <c r="J100" i="37"/>
  <c r="H99" i="37"/>
  <c r="J99" i="37"/>
  <c r="H98" i="37"/>
  <c r="J98" i="37"/>
  <c r="J97" i="37"/>
  <c r="H97" i="37"/>
  <c r="J96" i="37"/>
  <c r="H96" i="37"/>
  <c r="H95" i="37"/>
  <c r="J95" i="37"/>
  <c r="J94" i="37"/>
  <c r="H94" i="37"/>
  <c r="H93" i="37"/>
  <c r="J93" i="37"/>
  <c r="H92" i="37"/>
  <c r="J92" i="37"/>
  <c r="J91" i="37"/>
  <c r="H91" i="37"/>
  <c r="J90" i="37"/>
  <c r="H90" i="37"/>
  <c r="H89" i="37"/>
  <c r="J89" i="37"/>
  <c r="J88" i="37"/>
  <c r="H88" i="37"/>
  <c r="H87" i="37"/>
  <c r="J87" i="37"/>
  <c r="J86" i="37"/>
  <c r="H86" i="37"/>
  <c r="H85" i="37"/>
  <c r="J85" i="37"/>
  <c r="J84" i="37"/>
  <c r="H84" i="37"/>
  <c r="J83" i="37"/>
  <c r="H83" i="37"/>
  <c r="J82" i="37"/>
  <c r="H82" i="37"/>
  <c r="J81" i="37"/>
  <c r="H81" i="37"/>
  <c r="J80" i="37"/>
  <c r="H80" i="37"/>
  <c r="H79" i="37"/>
  <c r="J79" i="37"/>
  <c r="J78" i="37"/>
  <c r="H78" i="37"/>
  <c r="H77" i="37"/>
  <c r="J77" i="37"/>
  <c r="H76" i="37"/>
  <c r="J76" i="37"/>
  <c r="J75" i="37"/>
  <c r="H75" i="37"/>
  <c r="J74" i="37"/>
  <c r="H74" i="37"/>
  <c r="J73" i="37"/>
  <c r="H73" i="37"/>
  <c r="H72" i="37"/>
  <c r="J72" i="37"/>
  <c r="H71" i="37"/>
  <c r="J71" i="37"/>
  <c r="H70" i="37"/>
  <c r="J70" i="37"/>
  <c r="J69" i="37"/>
  <c r="H69" i="37"/>
  <c r="H68" i="37"/>
  <c r="J68" i="37"/>
  <c r="H67" i="37"/>
  <c r="J67" i="37"/>
  <c r="J66" i="37"/>
  <c r="H66" i="37"/>
  <c r="H65" i="37"/>
  <c r="J65" i="37"/>
  <c r="J64" i="37"/>
  <c r="H64" i="37"/>
  <c r="H63" i="37"/>
  <c r="J63" i="37"/>
  <c r="H62" i="37"/>
  <c r="J62" i="37"/>
  <c r="J61" i="37"/>
  <c r="H61" i="37"/>
  <c r="H60" i="37"/>
  <c r="J60" i="37"/>
  <c r="J59" i="37"/>
  <c r="H59" i="37"/>
  <c r="J58" i="37"/>
  <c r="H58" i="37"/>
  <c r="J57" i="37"/>
  <c r="H57" i="37"/>
  <c r="H56" i="37"/>
  <c r="J56" i="37"/>
  <c r="H55" i="37"/>
  <c r="J55" i="37"/>
  <c r="J54" i="37"/>
  <c r="H54" i="37"/>
  <c r="H53" i="37"/>
  <c r="J53" i="37"/>
  <c r="H52" i="37"/>
  <c r="J52" i="37"/>
  <c r="J51" i="37"/>
  <c r="H51" i="37"/>
  <c r="H50" i="37"/>
  <c r="J50" i="37"/>
  <c r="J49" i="37"/>
  <c r="H49" i="37"/>
  <c r="H48" i="37"/>
  <c r="J48" i="37"/>
  <c r="J47" i="37"/>
  <c r="H47" i="37"/>
  <c r="H46" i="37"/>
  <c r="J46" i="37"/>
  <c r="H45" i="37"/>
  <c r="J45" i="37"/>
  <c r="H44" i="37"/>
  <c r="J44" i="37"/>
  <c r="J43" i="37"/>
  <c r="H43" i="37"/>
  <c r="J42" i="37"/>
  <c r="H42" i="37"/>
  <c r="H41" i="37"/>
  <c r="J41" i="37"/>
  <c r="H40" i="37"/>
  <c r="J40" i="37"/>
  <c r="J39" i="37"/>
  <c r="H39" i="37"/>
  <c r="J38" i="37"/>
  <c r="H38" i="37"/>
  <c r="H37" i="37"/>
  <c r="J37" i="37"/>
  <c r="J36" i="37"/>
  <c r="H36" i="37"/>
  <c r="H35" i="37"/>
  <c r="J35" i="37"/>
  <c r="J34" i="37"/>
  <c r="H34" i="37"/>
  <c r="H33" i="37"/>
  <c r="J33" i="37"/>
  <c r="J32" i="37"/>
  <c r="H32" i="37"/>
  <c r="H31" i="37"/>
  <c r="J31" i="37"/>
  <c r="I101" i="36"/>
  <c r="K101" i="36"/>
  <c r="K100" i="36"/>
  <c r="I100" i="36"/>
  <c r="K99" i="36"/>
  <c r="I99" i="36"/>
  <c r="I98" i="36"/>
  <c r="K98" i="36"/>
  <c r="K97" i="36"/>
  <c r="I97" i="36"/>
  <c r="K96" i="36"/>
  <c r="I96" i="36"/>
  <c r="I95" i="36"/>
  <c r="K95" i="36"/>
  <c r="I94" i="36"/>
  <c r="K94" i="36"/>
  <c r="K93" i="36"/>
  <c r="I93" i="36"/>
  <c r="K92" i="36"/>
  <c r="I92" i="36"/>
  <c r="I91" i="36"/>
  <c r="K91" i="36"/>
  <c r="K90" i="36"/>
  <c r="I90" i="36"/>
  <c r="K89" i="36"/>
  <c r="I89" i="36"/>
  <c r="K88" i="36"/>
  <c r="I88" i="36"/>
  <c r="K87" i="36"/>
  <c r="I87" i="36"/>
  <c r="K86" i="36"/>
  <c r="I86" i="36"/>
  <c r="I85" i="36"/>
  <c r="K85" i="36"/>
  <c r="I84" i="36"/>
  <c r="K84" i="36"/>
  <c r="K83" i="36"/>
  <c r="I83" i="36"/>
  <c r="K82" i="36"/>
  <c r="I82" i="36"/>
  <c r="K81" i="36"/>
  <c r="I81" i="36"/>
  <c r="K80" i="36"/>
  <c r="I80" i="36"/>
  <c r="I79" i="36"/>
  <c r="K79" i="36"/>
  <c r="I78" i="36"/>
  <c r="K78" i="36"/>
  <c r="I77" i="36"/>
  <c r="K77" i="36"/>
  <c r="I76" i="36"/>
  <c r="K76" i="36"/>
  <c r="I75" i="36"/>
  <c r="K75" i="36"/>
  <c r="K74" i="36"/>
  <c r="I74" i="36"/>
  <c r="I73" i="36"/>
  <c r="K73" i="36"/>
  <c r="I72" i="36"/>
  <c r="K72" i="36"/>
  <c r="I71" i="36"/>
  <c r="K71" i="36"/>
  <c r="K70" i="36"/>
  <c r="I70" i="36"/>
  <c r="K69" i="36"/>
  <c r="I69" i="36"/>
  <c r="K68" i="36"/>
  <c r="I68" i="36"/>
  <c r="I67" i="36"/>
  <c r="K67" i="36"/>
  <c r="K66" i="36"/>
  <c r="I66" i="36"/>
  <c r="K65" i="36"/>
  <c r="I65" i="36"/>
  <c r="I64" i="36"/>
  <c r="K64" i="36"/>
  <c r="I63" i="36"/>
  <c r="K63" i="36"/>
  <c r="K62" i="36"/>
  <c r="I62" i="36"/>
  <c r="I61" i="36"/>
  <c r="K61" i="36"/>
  <c r="K60" i="36"/>
  <c r="I60" i="36"/>
  <c r="K59" i="36"/>
  <c r="I59" i="36"/>
  <c r="I58" i="36"/>
  <c r="K58" i="36"/>
  <c r="I57" i="36"/>
  <c r="K57" i="36"/>
  <c r="K56" i="36"/>
  <c r="I56" i="36"/>
  <c r="I55" i="36"/>
  <c r="K55" i="36"/>
  <c r="K54" i="36"/>
  <c r="I54" i="36"/>
  <c r="K101" i="35"/>
  <c r="I101" i="35"/>
  <c r="K100" i="35"/>
  <c r="I100" i="35"/>
  <c r="I99" i="35"/>
  <c r="K99" i="35"/>
  <c r="I98" i="35"/>
  <c r="K98" i="35"/>
  <c r="K97" i="35"/>
  <c r="I97" i="35"/>
  <c r="I96" i="35"/>
  <c r="K96" i="35"/>
  <c r="I95" i="35"/>
  <c r="K95" i="35"/>
  <c r="I94" i="35"/>
  <c r="K94" i="35"/>
  <c r="K93" i="35"/>
  <c r="I93" i="35"/>
  <c r="K92" i="35"/>
  <c r="I92" i="35"/>
  <c r="I91" i="35"/>
  <c r="K91" i="35"/>
  <c r="K90" i="35"/>
  <c r="I90" i="35"/>
  <c r="I89" i="35"/>
  <c r="K89" i="35"/>
  <c r="I88" i="35"/>
  <c r="K88" i="35"/>
  <c r="I87" i="35"/>
  <c r="K87" i="35"/>
  <c r="I86" i="35"/>
  <c r="K86" i="35"/>
  <c r="I85" i="35"/>
  <c r="K85" i="35"/>
  <c r="I84" i="35"/>
  <c r="K84" i="35"/>
  <c r="I83" i="35"/>
  <c r="K83" i="35"/>
  <c r="K82" i="35"/>
  <c r="I82" i="35"/>
  <c r="I81" i="35"/>
  <c r="K81" i="35"/>
  <c r="K80" i="35"/>
  <c r="I80" i="35"/>
  <c r="I79" i="35"/>
  <c r="K79" i="35"/>
  <c r="K78" i="35"/>
  <c r="I78" i="35"/>
  <c r="K77" i="35"/>
  <c r="I77" i="35"/>
  <c r="I76" i="35"/>
  <c r="K76" i="35"/>
  <c r="I75" i="35"/>
  <c r="K75" i="35"/>
  <c r="K74" i="35"/>
  <c r="I74" i="35"/>
  <c r="K73" i="35"/>
  <c r="I73" i="35"/>
  <c r="I72" i="35"/>
  <c r="K72" i="35"/>
  <c r="I71" i="35"/>
  <c r="K71" i="35"/>
  <c r="K70" i="35"/>
  <c r="I70" i="35"/>
  <c r="I69" i="35"/>
  <c r="K69" i="35"/>
  <c r="K68" i="35"/>
  <c r="I68" i="35"/>
  <c r="K67" i="35"/>
  <c r="I67" i="35"/>
  <c r="I66" i="35"/>
  <c r="K66" i="35"/>
  <c r="K65" i="35"/>
  <c r="I65" i="35"/>
  <c r="I64" i="35"/>
  <c r="K64" i="35"/>
  <c r="K63" i="35"/>
  <c r="I63" i="35"/>
  <c r="I62" i="35"/>
  <c r="K62" i="35"/>
  <c r="I61" i="35"/>
  <c r="K61" i="35"/>
  <c r="J101" i="21"/>
  <c r="H101" i="21"/>
  <c r="H100" i="21"/>
  <c r="J100" i="21"/>
  <c r="J99" i="21"/>
  <c r="H99" i="21"/>
  <c r="H98" i="21"/>
  <c r="J98" i="21"/>
  <c r="H97" i="21"/>
  <c r="J97" i="21"/>
  <c r="H96" i="21"/>
  <c r="J96" i="21"/>
  <c r="H95" i="21"/>
  <c r="J95" i="21"/>
  <c r="J94" i="21"/>
  <c r="H94" i="21"/>
  <c r="J93" i="21"/>
  <c r="H93" i="21"/>
  <c r="J92" i="21"/>
  <c r="H92" i="21"/>
  <c r="J91" i="21"/>
  <c r="H91" i="21"/>
  <c r="H90" i="21"/>
  <c r="J90" i="21"/>
  <c r="H89" i="21"/>
  <c r="J89" i="21"/>
  <c r="J88" i="21"/>
  <c r="H88" i="21"/>
  <c r="J87" i="21"/>
  <c r="H87" i="21"/>
  <c r="H86" i="21"/>
  <c r="J86" i="21"/>
  <c r="H85" i="21"/>
  <c r="J85" i="21"/>
  <c r="J84" i="21"/>
  <c r="H84" i="21"/>
  <c r="J83" i="21"/>
  <c r="H83" i="21"/>
  <c r="H82" i="21"/>
  <c r="J82" i="21"/>
  <c r="H81" i="21"/>
  <c r="J81" i="21"/>
  <c r="H80" i="21"/>
  <c r="J80" i="21"/>
  <c r="J79" i="21"/>
  <c r="H79" i="21"/>
  <c r="H78" i="21"/>
  <c r="J78" i="21"/>
  <c r="J77" i="21"/>
  <c r="H77" i="21"/>
  <c r="J76" i="21"/>
  <c r="H76" i="21"/>
  <c r="J75" i="21"/>
  <c r="H75" i="21"/>
  <c r="J74" i="21"/>
  <c r="H74" i="21"/>
  <c r="H73" i="21"/>
  <c r="J73" i="21"/>
  <c r="J72" i="21"/>
  <c r="H72" i="21"/>
  <c r="J71" i="21"/>
  <c r="H71" i="21"/>
  <c r="H70" i="21"/>
  <c r="J70" i="21"/>
  <c r="H69" i="21"/>
  <c r="J69" i="21"/>
  <c r="J68" i="21"/>
  <c r="H68" i="21"/>
  <c r="J67" i="21"/>
  <c r="H67" i="21"/>
  <c r="H66" i="21"/>
  <c r="J66" i="21"/>
  <c r="H65" i="21"/>
  <c r="J65" i="21"/>
  <c r="H64" i="21"/>
  <c r="J64" i="21"/>
  <c r="H63" i="21"/>
  <c r="J63" i="21"/>
  <c r="H62" i="21"/>
  <c r="J62" i="21"/>
  <c r="H61" i="21"/>
  <c r="J61" i="21"/>
  <c r="J60" i="21"/>
  <c r="H60" i="21"/>
  <c r="J59" i="21"/>
  <c r="H59" i="21"/>
  <c r="J58" i="21"/>
  <c r="H58" i="21"/>
  <c r="H57" i="21"/>
  <c r="J57" i="21"/>
  <c r="J36" i="19"/>
  <c r="H36" i="19"/>
  <c r="H35" i="19"/>
  <c r="J35" i="19"/>
  <c r="J34" i="19"/>
  <c r="H34" i="19"/>
  <c r="H33" i="19"/>
  <c r="J33" i="19"/>
  <c r="J32" i="19"/>
  <c r="H32" i="19"/>
  <c r="H31" i="19"/>
  <c r="J31" i="19"/>
  <c r="J30" i="19"/>
  <c r="H30" i="19"/>
  <c r="J29" i="19"/>
  <c r="H29" i="19"/>
  <c r="H28" i="19"/>
  <c r="J28" i="19"/>
  <c r="H27" i="19"/>
  <c r="J27" i="19"/>
  <c r="J26" i="19"/>
  <c r="H26" i="19"/>
  <c r="H25" i="19"/>
  <c r="J25" i="19"/>
  <c r="J24" i="19"/>
  <c r="H24" i="19"/>
  <c r="H23" i="19"/>
  <c r="J23" i="19"/>
  <c r="H22" i="19"/>
  <c r="J22" i="19"/>
  <c r="K10" i="35"/>
  <c r="I10" i="35" s="1"/>
  <c r="K17" i="38"/>
  <c r="I17" i="38" s="1"/>
  <c r="J27" i="37"/>
  <c r="H27" i="37" s="1"/>
  <c r="K40" i="35"/>
  <c r="I40" i="35" s="1"/>
  <c r="J33" i="46"/>
  <c r="H33" i="46" s="1"/>
  <c r="J28" i="34"/>
  <c r="H28" i="34" s="1"/>
  <c r="K41" i="36"/>
  <c r="I41" i="36" s="1"/>
  <c r="K47" i="36"/>
  <c r="I47" i="36" s="1"/>
  <c r="K52" i="36"/>
  <c r="I52" i="36" s="1"/>
  <c r="J2" i="37"/>
  <c r="H2" i="37" s="1"/>
  <c r="J4" i="37"/>
  <c r="H4" i="37" s="1"/>
  <c r="J19" i="37"/>
  <c r="H19" i="37" s="1"/>
  <c r="J101" i="39"/>
  <c r="H101" i="39"/>
  <c r="J100" i="39"/>
  <c r="H100" i="39"/>
  <c r="J99" i="39"/>
  <c r="H99" i="39"/>
  <c r="J98" i="39"/>
  <c r="H98" i="39"/>
  <c r="J97" i="39"/>
  <c r="H97" i="39"/>
  <c r="J96" i="39"/>
  <c r="H96" i="39"/>
  <c r="H95" i="39"/>
  <c r="J95" i="39"/>
  <c r="J94" i="39"/>
  <c r="H94" i="39"/>
  <c r="J93" i="39"/>
  <c r="H93" i="39"/>
  <c r="H92" i="39"/>
  <c r="J92" i="39"/>
  <c r="H91" i="39"/>
  <c r="J91" i="39"/>
  <c r="J90" i="39"/>
  <c r="H90" i="39"/>
  <c r="J89" i="39"/>
  <c r="H89" i="39"/>
  <c r="H88" i="39"/>
  <c r="J88" i="39"/>
  <c r="J87" i="39"/>
  <c r="H87" i="39"/>
  <c r="H86" i="39"/>
  <c r="J86" i="39"/>
  <c r="J85" i="39"/>
  <c r="H85" i="39"/>
  <c r="J84" i="39"/>
  <c r="H84" i="39"/>
  <c r="H83" i="39"/>
  <c r="J83" i="39"/>
  <c r="H82" i="39"/>
  <c r="J82" i="39"/>
  <c r="H81" i="39"/>
  <c r="J81" i="39"/>
  <c r="H80" i="39"/>
  <c r="J80" i="39"/>
  <c r="J79" i="39"/>
  <c r="H79" i="39"/>
  <c r="J78" i="39"/>
  <c r="H78" i="39"/>
  <c r="J77" i="39"/>
  <c r="H77" i="39"/>
  <c r="H76" i="39"/>
  <c r="J76" i="39"/>
  <c r="J75" i="39"/>
  <c r="H75" i="39"/>
  <c r="H74" i="39"/>
  <c r="J74" i="39"/>
  <c r="H73" i="39"/>
  <c r="J73" i="39"/>
  <c r="J72" i="39"/>
  <c r="H72" i="39"/>
  <c r="J71" i="39"/>
  <c r="H71" i="39"/>
  <c r="H70" i="39"/>
  <c r="J70" i="39"/>
  <c r="H69" i="39"/>
  <c r="J69" i="39"/>
  <c r="H68" i="39"/>
  <c r="J68" i="39"/>
  <c r="J67" i="39"/>
  <c r="H67" i="39"/>
  <c r="H66" i="39"/>
  <c r="J66" i="39"/>
  <c r="H65" i="39"/>
  <c r="J65" i="39"/>
  <c r="J64" i="39"/>
  <c r="H64" i="39"/>
  <c r="J63" i="39"/>
  <c r="H63" i="39"/>
  <c r="H62" i="39"/>
  <c r="J62" i="39"/>
  <c r="J61" i="39"/>
  <c r="H61" i="39"/>
  <c r="J60" i="39"/>
  <c r="H60" i="39"/>
  <c r="J59" i="39"/>
  <c r="H59" i="39"/>
  <c r="H58" i="39"/>
  <c r="J58" i="39"/>
  <c r="J57" i="39"/>
  <c r="H57" i="39"/>
  <c r="J56" i="39"/>
  <c r="H56" i="39"/>
  <c r="H55" i="39"/>
  <c r="J55" i="39"/>
  <c r="H54" i="39"/>
  <c r="J54" i="39"/>
  <c r="J53" i="39"/>
  <c r="H53" i="39"/>
  <c r="H52" i="39"/>
  <c r="J52" i="39"/>
  <c r="J51" i="39"/>
  <c r="H51" i="39"/>
  <c r="J50" i="39"/>
  <c r="H50" i="39"/>
  <c r="J49" i="39"/>
  <c r="H49" i="39"/>
  <c r="H48" i="39"/>
  <c r="J48" i="39"/>
  <c r="H47" i="39"/>
  <c r="J47" i="39"/>
  <c r="J46" i="39"/>
  <c r="H46" i="39" s="1"/>
  <c r="J45" i="39"/>
  <c r="H45" i="39" s="1"/>
  <c r="J44" i="39"/>
  <c r="H44" i="39" s="1"/>
  <c r="J43" i="39"/>
  <c r="H43" i="39" s="1"/>
  <c r="J42" i="39"/>
  <c r="H42" i="39" s="1"/>
  <c r="J41" i="39"/>
  <c r="H41" i="39" s="1"/>
  <c r="J40" i="39"/>
  <c r="H40" i="39" s="1"/>
  <c r="J39" i="39"/>
  <c r="H39" i="39" s="1"/>
  <c r="J38" i="39"/>
  <c r="H38" i="39" s="1"/>
  <c r="J37" i="39"/>
  <c r="H37" i="39" s="1"/>
  <c r="J36" i="39"/>
  <c r="H36" i="39" s="1"/>
  <c r="J35" i="39"/>
  <c r="H35" i="39" s="1"/>
  <c r="J34" i="39"/>
  <c r="H34" i="39" s="1"/>
  <c r="J33" i="39"/>
  <c r="H33" i="39" s="1"/>
  <c r="J32" i="39"/>
  <c r="H32" i="39" s="1"/>
  <c r="J31" i="39"/>
  <c r="H31" i="39" s="1"/>
  <c r="J30" i="39"/>
  <c r="H30" i="39" s="1"/>
  <c r="J29" i="39"/>
  <c r="H29" i="39" s="1"/>
  <c r="J28" i="39"/>
  <c r="H28" i="39" s="1"/>
  <c r="J27" i="39"/>
  <c r="H27" i="39" s="1"/>
  <c r="J26" i="39"/>
  <c r="H26" i="39" s="1"/>
  <c r="J25" i="39"/>
  <c r="H25" i="39" s="1"/>
  <c r="J24" i="39"/>
  <c r="H24" i="39" s="1"/>
  <c r="J23" i="39"/>
  <c r="H23" i="39" s="1"/>
  <c r="J22" i="39"/>
  <c r="H22" i="39" s="1"/>
  <c r="J21" i="39"/>
  <c r="H21" i="39" s="1"/>
  <c r="J20" i="39"/>
  <c r="H20" i="39" s="1"/>
  <c r="J19" i="39"/>
  <c r="H19" i="39" s="1"/>
  <c r="J18" i="39"/>
  <c r="H18" i="39" s="1"/>
  <c r="J17" i="39"/>
  <c r="H17" i="39" s="1"/>
  <c r="J16" i="39"/>
  <c r="H16" i="39" s="1"/>
  <c r="J15" i="39"/>
  <c r="H15" i="39" s="1"/>
  <c r="J14" i="39"/>
  <c r="H14" i="39" s="1"/>
  <c r="J13" i="39"/>
  <c r="H13" i="39" s="1"/>
  <c r="J12" i="39"/>
  <c r="H12" i="39" s="1"/>
  <c r="J11" i="39"/>
  <c r="H11" i="39" s="1"/>
  <c r="J10" i="39"/>
  <c r="H10" i="39" s="1"/>
  <c r="J9" i="39"/>
  <c r="H9" i="39" s="1"/>
  <c r="J8" i="39"/>
  <c r="H8" i="39" s="1"/>
  <c r="J7" i="39"/>
  <c r="H7" i="39" s="1"/>
  <c r="J6" i="39"/>
  <c r="H6" i="39" s="1"/>
  <c r="J5" i="39"/>
  <c r="H5" i="39" s="1"/>
  <c r="J4" i="39"/>
  <c r="H4" i="39" s="1"/>
  <c r="J3" i="39"/>
  <c r="H3" i="39" s="1"/>
  <c r="J2" i="39"/>
  <c r="H2" i="39" s="1"/>
  <c r="K101" i="38"/>
  <c r="I101" i="38"/>
  <c r="K100" i="38"/>
  <c r="I100" i="38"/>
  <c r="I99" i="38"/>
  <c r="K99" i="38"/>
  <c r="I98" i="38"/>
  <c r="K98" i="38"/>
  <c r="K97" i="38"/>
  <c r="I97" i="38"/>
  <c r="I96" i="38"/>
  <c r="K96" i="38"/>
  <c r="I95" i="38"/>
  <c r="K95" i="38"/>
  <c r="K94" i="38"/>
  <c r="I94" i="38"/>
  <c r="I93" i="38"/>
  <c r="K93" i="38"/>
  <c r="K92" i="38"/>
  <c r="I92" i="38"/>
  <c r="I91" i="38"/>
  <c r="K91" i="38"/>
  <c r="K90" i="38"/>
  <c r="I90" i="38"/>
  <c r="K89" i="38"/>
  <c r="I89" i="38"/>
  <c r="K88" i="38"/>
  <c r="I88" i="38"/>
  <c r="I87" i="38"/>
  <c r="K87" i="38"/>
  <c r="I86" i="38"/>
  <c r="K86" i="38"/>
  <c r="I85" i="38"/>
  <c r="K85" i="38"/>
  <c r="K84" i="38"/>
  <c r="I84" i="38"/>
  <c r="I83" i="38"/>
  <c r="K83" i="38"/>
  <c r="K82" i="38"/>
  <c r="I82" i="38"/>
  <c r="K81" i="38"/>
  <c r="I81" i="38"/>
  <c r="I80" i="38"/>
  <c r="K80" i="38"/>
  <c r="I79" i="38"/>
  <c r="K79" i="38"/>
  <c r="K78" i="38"/>
  <c r="I78" i="38"/>
  <c r="K77" i="38"/>
  <c r="I77" i="38"/>
  <c r="K76" i="38"/>
  <c r="I76" i="38"/>
  <c r="I75" i="38"/>
  <c r="K75" i="38"/>
  <c r="K74" i="38"/>
  <c r="I74" i="38"/>
  <c r="K73" i="38"/>
  <c r="I73" i="38"/>
  <c r="J3" i="33"/>
  <c r="H3" i="33" s="1"/>
  <c r="K27" i="36"/>
  <c r="I27" i="36" s="1"/>
  <c r="J16" i="33"/>
  <c r="H16" i="33" s="1"/>
  <c r="K17" i="36"/>
  <c r="I17" i="36" s="1"/>
  <c r="K20" i="36"/>
  <c r="I20" i="36" s="1"/>
  <c r="K31" i="36"/>
  <c r="I31" i="36" s="1"/>
  <c r="K7" i="38"/>
  <c r="I7" i="38" s="1"/>
  <c r="K35" i="36"/>
  <c r="I35" i="36" s="1"/>
  <c r="J8" i="46"/>
  <c r="H8" i="46" s="1"/>
  <c r="K20" i="35"/>
  <c r="I20" i="35" s="1"/>
  <c r="J44" i="34"/>
  <c r="H44" i="34" s="1"/>
  <c r="J23" i="33"/>
  <c r="H23" i="33" s="1"/>
  <c r="J6" i="33"/>
  <c r="H6" i="33" s="1"/>
  <c r="K16" i="35"/>
  <c r="I16" i="35" s="1"/>
  <c r="K14" i="35"/>
  <c r="I14" i="35" s="1"/>
  <c r="K30" i="36"/>
  <c r="I30" i="36" s="1"/>
  <c r="J31" i="34"/>
  <c r="H31" i="34" s="1"/>
  <c r="J24" i="37"/>
  <c r="H24" i="37" s="1"/>
  <c r="J25" i="37"/>
  <c r="H25" i="37" s="1"/>
  <c r="K43" i="38"/>
  <c r="I43" i="38" s="1"/>
  <c r="K46" i="38"/>
  <c r="I46" i="38" s="1"/>
  <c r="K59" i="38"/>
  <c r="I59" i="38" s="1"/>
  <c r="K60" i="38"/>
  <c r="I60" i="38" s="1"/>
  <c r="K61" i="38"/>
  <c r="I61" i="38" s="1"/>
  <c r="K36" i="38"/>
  <c r="I36" i="38" s="1"/>
  <c r="K44" i="38"/>
  <c r="I44" i="38" s="1"/>
  <c r="K45" i="38"/>
  <c r="I45" i="38" s="1"/>
  <c r="K47" i="38"/>
  <c r="I47" i="38" s="1"/>
  <c r="K48" i="38"/>
  <c r="I48" i="38" s="1"/>
  <c r="K57" i="38"/>
  <c r="I57" i="38" s="1"/>
  <c r="K49" i="38"/>
  <c r="I49" i="38" s="1"/>
  <c r="K50" i="38"/>
  <c r="I50" i="38" s="1"/>
  <c r="K51" i="38"/>
  <c r="I51" i="38" s="1"/>
  <c r="K52" i="38"/>
  <c r="I52" i="38" s="1"/>
  <c r="K54" i="38"/>
  <c r="I54" i="38" s="1"/>
  <c r="K56" i="38"/>
  <c r="I56" i="38" s="1"/>
  <c r="J31" i="46"/>
  <c r="H31" i="46" s="1"/>
  <c r="J34" i="46"/>
  <c r="H34" i="46" s="1"/>
  <c r="J23" i="37"/>
  <c r="H23" i="37" s="1"/>
  <c r="J30" i="46"/>
  <c r="H30" i="46" s="1"/>
  <c r="J29" i="46"/>
  <c r="H29" i="46" s="1"/>
  <c r="J41" i="46"/>
  <c r="H41" i="46" s="1"/>
  <c r="J47" i="32"/>
  <c r="H47" i="32" s="1"/>
  <c r="J38" i="32"/>
  <c r="H38" i="32" s="1"/>
  <c r="J20" i="33"/>
  <c r="H20" i="33" s="1"/>
  <c r="K8" i="35"/>
  <c r="I8" i="35" s="1"/>
  <c r="J4" i="33"/>
  <c r="H4" i="33" s="1"/>
  <c r="J23" i="32"/>
  <c r="H23" i="32" s="1"/>
  <c r="J12" i="33"/>
  <c r="H12" i="33" s="1"/>
  <c r="J22" i="33"/>
  <c r="H22" i="33" s="1"/>
  <c r="J25" i="33"/>
  <c r="H25" i="33" s="1"/>
  <c r="J14" i="33"/>
  <c r="H14" i="33" s="1"/>
  <c r="J18" i="33"/>
  <c r="H18" i="33" s="1"/>
  <c r="J43" i="32"/>
  <c r="H43" i="32" s="1"/>
  <c r="J3" i="32"/>
  <c r="H3" i="32" s="1"/>
  <c r="J11" i="33"/>
  <c r="H11" i="33" s="1"/>
  <c r="J17" i="32"/>
  <c r="H17" i="32" s="1"/>
  <c r="J9" i="33"/>
  <c r="H9" i="33" s="1"/>
  <c r="J8" i="33"/>
  <c r="H8" i="33" s="1"/>
  <c r="J48" i="32"/>
  <c r="H48" i="32" s="1"/>
  <c r="J30" i="33"/>
  <c r="H30" i="33" s="1"/>
  <c r="J28" i="33"/>
  <c r="H28" i="33" s="1"/>
  <c r="J37" i="32"/>
  <c r="H37" i="32" s="1"/>
  <c r="J2" i="32"/>
  <c r="H2" i="32" s="1"/>
  <c r="J32" i="33"/>
  <c r="H32" i="33" s="1"/>
  <c r="J21" i="32"/>
  <c r="H21" i="32" s="1"/>
  <c r="J25" i="32"/>
  <c r="H25" i="32" s="1"/>
  <c r="J33" i="33"/>
  <c r="H33" i="33" s="1"/>
  <c r="J40" i="32"/>
  <c r="H40" i="32" s="1"/>
  <c r="J13" i="33"/>
  <c r="H13" i="33" s="1"/>
  <c r="K3" i="36"/>
  <c r="I3" i="36" s="1"/>
  <c r="K25" i="36"/>
  <c r="I25" i="36" s="1"/>
  <c r="K25" i="35"/>
  <c r="I25" i="35" s="1"/>
  <c r="K24" i="35"/>
  <c r="I24" i="35" s="1"/>
  <c r="K7" i="35"/>
  <c r="I7" i="35" s="1"/>
  <c r="K6" i="35"/>
  <c r="I6" i="35" s="1"/>
  <c r="K5" i="35"/>
  <c r="I5" i="35" s="1"/>
  <c r="K7" i="36"/>
  <c r="I7" i="36" s="1"/>
  <c r="K37" i="35"/>
  <c r="I37" i="35" s="1"/>
  <c r="K36" i="35"/>
  <c r="I36" i="35" s="1"/>
  <c r="K35" i="35"/>
  <c r="I35" i="35" s="1"/>
  <c r="K34" i="35"/>
  <c r="I34" i="35" s="1"/>
  <c r="K23" i="35"/>
  <c r="I23" i="35" s="1"/>
  <c r="K22" i="35"/>
  <c r="I22" i="35" s="1"/>
  <c r="K21" i="35"/>
  <c r="I21" i="35" s="1"/>
  <c r="K19" i="35"/>
  <c r="I19" i="35" s="1"/>
  <c r="J37" i="34"/>
  <c r="H37" i="34" s="1"/>
  <c r="J8" i="34"/>
  <c r="H8" i="34" s="1"/>
  <c r="J10" i="34"/>
  <c r="H10" i="34" s="1"/>
  <c r="J23" i="34"/>
  <c r="H23" i="34" s="1"/>
  <c r="J29" i="34"/>
  <c r="H29" i="34" s="1"/>
  <c r="J36" i="34"/>
  <c r="H36" i="34" s="1"/>
  <c r="J43" i="34"/>
  <c r="H43" i="34" s="1"/>
  <c r="J22" i="34"/>
  <c r="H22" i="34" s="1"/>
  <c r="J42" i="34"/>
  <c r="H42" i="34" s="1"/>
  <c r="J21" i="34"/>
  <c r="H21" i="34" s="1"/>
  <c r="J18" i="34"/>
  <c r="H18" i="34" s="1"/>
  <c r="J11" i="34"/>
  <c r="H11" i="34" s="1"/>
  <c r="J39" i="34"/>
  <c r="H39" i="34" s="1"/>
  <c r="J6" i="34"/>
  <c r="H6" i="34" s="1"/>
  <c r="J15" i="34"/>
  <c r="H15" i="34" s="1"/>
  <c r="J3" i="34"/>
  <c r="H3" i="34" s="1"/>
  <c r="J5" i="34"/>
  <c r="H5" i="34" s="1"/>
  <c r="J16" i="34"/>
  <c r="H16" i="34" s="1"/>
  <c r="J41" i="34"/>
  <c r="H41" i="34" s="1"/>
  <c r="J30" i="34"/>
  <c r="H30" i="34" s="1"/>
  <c r="J26" i="34"/>
  <c r="H26" i="34" s="1"/>
  <c r="J33" i="34"/>
  <c r="H33" i="34" s="1"/>
  <c r="J35" i="34"/>
  <c r="H35" i="34" s="1"/>
  <c r="J27" i="34"/>
  <c r="H27" i="34" s="1"/>
  <c r="J7" i="33"/>
  <c r="H7" i="33" s="1"/>
  <c r="J36" i="32"/>
  <c r="H36" i="32" s="1"/>
  <c r="J26" i="33"/>
  <c r="H26" i="33" s="1"/>
  <c r="J42" i="32"/>
  <c r="H42" i="32" s="1"/>
  <c r="J14" i="32"/>
  <c r="H14" i="32" s="1"/>
  <c r="J29" i="32"/>
  <c r="H29" i="32" s="1"/>
  <c r="J45" i="32"/>
  <c r="H45" i="32" s="1"/>
  <c r="J22" i="32"/>
  <c r="H22" i="32" s="1"/>
  <c r="J10" i="32"/>
  <c r="H10" i="32" s="1"/>
  <c r="J4" i="32"/>
  <c r="H4" i="32" s="1"/>
  <c r="K9" i="35"/>
  <c r="I9" i="35" s="1"/>
  <c r="J19" i="34"/>
  <c r="H19" i="34" s="1"/>
  <c r="K33" i="36"/>
  <c r="I33" i="36" s="1"/>
  <c r="J3" i="37"/>
  <c r="H3" i="37" s="1"/>
  <c r="J6" i="37"/>
  <c r="H6" i="37" s="1"/>
  <c r="K2" i="38"/>
  <c r="I2" i="38" s="1"/>
  <c r="K8" i="38"/>
  <c r="I8" i="38" s="1"/>
  <c r="K14" i="38"/>
  <c r="I14" i="38" s="1"/>
  <c r="K9" i="38"/>
  <c r="I9" i="38" s="1"/>
  <c r="K4" i="38"/>
  <c r="I4" i="38" s="1"/>
  <c r="K30" i="38"/>
  <c r="I30" i="38" s="1"/>
  <c r="K34" i="38"/>
  <c r="I34" i="38" s="1"/>
  <c r="K25" i="38"/>
  <c r="I25" i="38" s="1"/>
  <c r="K28" i="38"/>
  <c r="I28" i="38" s="1"/>
  <c r="K27" i="38"/>
  <c r="I27" i="38" s="1"/>
  <c r="K6" i="38"/>
  <c r="I6" i="38" s="1"/>
  <c r="K32" i="38"/>
  <c r="I32" i="38" s="1"/>
  <c r="J2" i="46"/>
  <c r="H2" i="46" s="1"/>
  <c r="J3" i="46"/>
  <c r="H3" i="46" s="1"/>
  <c r="J4" i="46"/>
  <c r="H4" i="46" s="1"/>
  <c r="J6" i="46"/>
  <c r="H6" i="46" s="1"/>
  <c r="J9" i="46"/>
  <c r="H9" i="46" s="1"/>
  <c r="J10" i="46"/>
  <c r="H10" i="46" s="1"/>
  <c r="J11" i="46"/>
  <c r="H11" i="46" s="1"/>
  <c r="J12" i="46"/>
  <c r="H12" i="46" s="1"/>
  <c r="J14" i="46"/>
  <c r="H14" i="46" s="1"/>
  <c r="J15" i="46"/>
  <c r="H15" i="46" s="1"/>
  <c r="J16" i="46"/>
  <c r="H16" i="46" s="1"/>
  <c r="J17" i="46"/>
  <c r="H17" i="46" s="1"/>
  <c r="J20" i="46"/>
  <c r="H20" i="46" s="1"/>
  <c r="J21" i="46"/>
  <c r="H21" i="46" s="1"/>
  <c r="J23" i="46"/>
  <c r="H23" i="46" s="1"/>
  <c r="K3" i="35"/>
  <c r="I3" i="35" s="1"/>
  <c r="K42" i="35"/>
  <c r="I42" i="35" s="1"/>
  <c r="K41" i="35"/>
  <c r="I41" i="35" s="1"/>
  <c r="K55" i="38"/>
  <c r="I55" i="38" s="1"/>
  <c r="K53" i="38"/>
  <c r="I53" i="38" s="1"/>
  <c r="K11" i="35"/>
  <c r="I11" i="35" s="1"/>
  <c r="K13" i="36"/>
  <c r="I13" i="36" s="1"/>
  <c r="J17" i="33"/>
  <c r="H17" i="33" s="1"/>
  <c r="K27" i="35"/>
  <c r="I27" i="35" s="1"/>
  <c r="K13" i="35"/>
  <c r="I13" i="35" s="1"/>
  <c r="J14" i="34"/>
  <c r="H14" i="34" s="1"/>
  <c r="J29" i="33"/>
  <c r="H29" i="33" s="1"/>
  <c r="J49" i="32"/>
  <c r="H49" i="32" s="1"/>
  <c r="K29" i="35"/>
  <c r="I29" i="35" s="1"/>
  <c r="J51" i="32"/>
  <c r="H51" i="32" s="1"/>
  <c r="K39" i="35"/>
  <c r="I39" i="35" s="1"/>
  <c r="J20" i="34"/>
  <c r="H20" i="34" s="1"/>
  <c r="J32" i="32"/>
  <c r="H32" i="32" s="1"/>
  <c r="K38" i="35"/>
  <c r="I38" i="35" s="1"/>
  <c r="K14" i="36"/>
  <c r="I14" i="36" s="1"/>
  <c r="K15" i="35"/>
  <c r="I15" i="35" s="1"/>
  <c r="J6" i="40"/>
  <c r="H6" i="40" s="1"/>
  <c r="J5" i="40"/>
  <c r="H5" i="40" s="1"/>
  <c r="J4" i="40"/>
  <c r="H4" i="40" s="1"/>
  <c r="J3" i="40"/>
  <c r="H3" i="40" s="1"/>
  <c r="J2" i="40"/>
  <c r="H2" i="40" s="1"/>
  <c r="C104" i="45" s="1"/>
  <c r="C104" i="44" s="1"/>
  <c r="C104" i="43" s="1"/>
  <c r="C104" i="41" s="1"/>
  <c r="C104" i="40" s="1"/>
  <c r="C104" i="39" s="1"/>
  <c r="D104" i="38" s="1"/>
  <c r="C104" i="46" s="1"/>
  <c r="C104" i="37" s="1"/>
  <c r="D104" i="36" s="1"/>
  <c r="D104" i="35" s="1"/>
  <c r="C104" i="34" s="1"/>
  <c r="C104" i="33" s="1"/>
  <c r="C104" i="32" s="1"/>
  <c r="C104" i="30" s="1"/>
  <c r="C104" i="29" s="1"/>
  <c r="C104" i="28" s="1"/>
  <c r="C104" i="27" s="1"/>
  <c r="C104" i="26" s="1"/>
  <c r="C104" i="25" s="1"/>
  <c r="C104" i="24" s="1"/>
  <c r="C104" i="23" s="1"/>
  <c r="C104" i="22" s="1"/>
  <c r="C104" i="21" s="1"/>
  <c r="C104" i="20" s="1"/>
  <c r="C104" i="19" s="1"/>
  <c r="C104"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tc={C15326C7-232B-48BA-9AB1-3292D079737D}</author>
    <author>tc={56DFDF93-DA45-45CD-911B-038D8A97F460}</author>
    <author>tc={4457D34F-171C-4427-BC97-9E10ED005D72}</author>
  </authors>
  <commentList>
    <comment ref="L1" authorId="0" shapeId="0" xr:uid="{C15326C7-232B-48BA-9AB1-3292D079737D}">
      <text>
        <t xml:space="preserve">[Threaded comment]
Your version of Excel allows you to read this threaded comment; however, any edits to it will get removed if the file is opened in a newer version of Excel. Learn more: https://go.microsoft.com/fwlink/?linkid=870924
Comment:
    Some events may be marked as “Shortened Ten = Y” in the calendar. These are shortened 10‑mile events which still count for Nev Brooks scoring, but do not set or update handicaps. </t>
      </text>
    </comment>
    <comment ref="P1" authorId="1" shapeId="0" xr:uid="{56DFDF93-DA45-45CD-911B-038D8A97F460}">
      <text>
        <t>[Threaded comment]
Your version of Excel allows you to read this threaded comment; however, any edits to it will get removed if the file is opened in a newer version of Excel. Learn more: https://go.microsoft.com/fwlink/?linkid=870924
Comment:
    Cancelled means this event is no longer part of the calendar and should not contribute to the number of events used for scoring. 
n/2 + 1 ignores cancelled events</t>
      </text>
    </comment>
    <comment ref="Q1" authorId="2" shapeId="0" xr:uid="{4457D34F-171C-4427-BC97-9E10ED005D72}">
      <text>
        <t>[Threaded comment]
Your version of Excel allows you to read this threaded comment; however, any edits to it will get removed if the file is opened in a newer version of Excel. Learn more: https://go.microsoft.com/fwlink/?linkid=870924
Comment:
    A postponed event is still part of the calendar - until such time as a replacement event is set up.
n/2 + 1 does include postponed events.
A postponed event should be set to cancelled when a replacement event has been added to the calendar.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tc={52656517-E15B-4072-8994-01351BFE8ABD}</author>
  </authors>
  <commentList>
    <comment ref="A1" authorId="0" shapeId="0" xr:uid="{52656517-E15B-4072-8994-01351BFE8ABD}">
      <text>
        <t>[Threaded comment]
Your version of Excel allows you to read this threaded comment; however, any edits to it will get removed if the file is opened in a newer version of Excel. Learn more: https://go.microsoft.com/fwlink/?linkid=870924
Comment:
    Use names from this column in Col A of an event sheet - including the first claim team suffix if present.
E.g. Evan Collett (G Fox).
!!!!!!!!!!!!!!!!!!!!!!!!!!!!!!!!!
!!WVCC DIFFERENCE!!
!!!!!!!!!!!!!!!!!!!!!!!!!!!!!!!!!
Do enter 2nd claim WVCC Round Robin riders here and use this to show their First Claim team as a suffix in column A.  
*But*, no not use this suffixed name in the event sheet - we want Column B in the event sheet to use the WVCC 2nd claim rider’s Club Number.  So use just their name.
E.g. on this sheet:
Leah Cuthbertson (G Fox)
On the event sheets, column A:
Leah Cuthbertson.
Resulting in Column B showing:
1391</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tc={00CD00A8-00E8-4CA6-87BA-006F00960015}</author>
    <author>tc={00D500E1-00B9-45B4-A69E-0036005700CD}</author>
  </authors>
  <commentList>
    <comment ref="A1" authorId="0" shapeId="0" xr:uid="{00CD00A8-00E8-4CA6-87BA-006F00960015}">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D500E1-00B9-45B4-A69E-0036005700CD}">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tc={00200093-0068-478C-BE2D-00C50082008A}</author>
    <author>tc={001F000C-0049-420A-B235-00D400AB00CA}</author>
  </authors>
  <commentList>
    <comment ref="A1" authorId="0" shapeId="0" xr:uid="{00200093-0068-478C-BE2D-00C50082008A}">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1F000C-0049-420A-B235-00D400AB00CA}">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tc={00300054-00BD-4D63-885D-0015007B00E0}</author>
    <author>tc={00CE009F-00FB-4E43-8C75-0019008A0015}</author>
  </authors>
  <commentList>
    <comment ref="A1" authorId="0" shapeId="0" xr:uid="{00300054-00BD-4D63-885D-0015007B00E0}">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CE009F-00FB-4E43-8C75-0019008A0015}">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tc={0097002A-00EF-49CD-89E5-005C0064007D}</author>
    <author>tc={002800C4-008B-4048-91C8-007E00FE009A}</author>
  </authors>
  <commentList>
    <comment ref="A1" authorId="0" shapeId="0" xr:uid="{0097002A-00EF-49CD-89E5-005C0064007D}">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2800C4-008B-4048-91C8-007E00FE009A}">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tc={00AC009A-0002-4897-9AAF-00AE00D90006}</author>
    <author>tc={002C009E-0014-4DAF-858C-007500B4008C}</author>
  </authors>
  <commentList>
    <comment ref="A1" authorId="0" shapeId="0" xr:uid="{00AC009A-0002-4897-9AAF-00AE00D90006}">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2C009E-0014-4DAF-858C-007500B4008C}">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tc={008300DD-0060-4AE9-80B0-003600FA0079}</author>
    <author>tc={00ED00CF-00EB-49E7-8D61-0027005C005F}</author>
  </authors>
  <commentList>
    <comment ref="A1" authorId="0" shapeId="0" xr:uid="{008300DD-0060-4AE9-80B0-003600FA0079}">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ED00CF-00EB-49E7-8D61-0027005C005F}">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tc={000C0008-00F2-4880-BAC4-0057007D00C5}</author>
    <author>tc={000B0081-007A-4792-B255-00DC007D00A6}</author>
  </authors>
  <commentList>
    <comment ref="A1" authorId="0" shapeId="0" xr:uid="{000C0008-00F2-4880-BAC4-0057007D00C5}">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0B0081-007A-4792-B255-00DC007D00A6}">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tc={007700E0-002E-4418-A057-005100B80074}</author>
    <author>tc={00B8005F-00ED-46F3-B50F-001E0008008A}</author>
  </authors>
  <commentList>
    <comment ref="A1" authorId="0" shapeId="0" xr:uid="{007700E0-002E-4418-A057-005100B80074}">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B8005F-00ED-46F3-B50F-001E0008008A}">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tc={004E00F7-001C-4FA8-A588-001400B6006B}</author>
    <author>tc={00C30037-0025-464E-BDAD-00A300D4009A}</author>
  </authors>
  <commentList>
    <comment ref="A1" authorId="0" shapeId="0" xr:uid="{004E00F7-001C-4FA8-A588-001400B6006B}">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C30037-0025-464E-BDAD-00A300D4009A}">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tc={0041006D-0001-4EB6-8F0E-0020008800DD}</author>
    <author>tc={00E400B5-0011-4D79-9BC8-00B2008B0009}</author>
  </authors>
  <commentList>
    <comment ref="A1" authorId="0" shapeId="0" xr:uid="{0041006D-0001-4EB6-8F0E-0020008800DD}">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E400B5-0011-4D79-9BC8-00B2008B0009}">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tc={008000BF-00C6-46E6-B77C-00CF00C900C8}</author>
    <author>tc={006400AC-00E3-4187-8396-00AC0062009A}</author>
  </authors>
  <commentList>
    <comment ref="A1" authorId="0" shapeId="0" xr:uid="{008000BF-00C6-46E6-B77C-00CF00C900C8}">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6400AC-00E3-4187-8396-00AC0062009A}">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tc={00D60062-00C7-40CD-8DB6-005A00CC006B}</author>
    <author>tc={00EE00AF-0088-4626-AF0F-00D300150052}</author>
  </authors>
  <commentList>
    <comment ref="A1" authorId="0" shapeId="0" xr:uid="{00D60062-00C7-40CD-8DB6-005A00CC006B}">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EE00AF-0088-4626-AF0F-00D300150052}">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tc={00E000E5-0035-498D-8D7A-00D300C60041}</author>
    <author>tc={0091005F-005B-4340-AC67-00AB00B8004A}</author>
  </authors>
  <commentList>
    <comment ref="A1" authorId="0" shapeId="0" xr:uid="{00E000E5-0035-498D-8D7A-00D300C60041}">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91005F-005B-4340-AC67-00AB00B8004A}">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tc={005D00FE-0080-48DC-8B45-00C900BE00D9}</author>
    <author>tc={007C00DC-00D1-4F3B-9FFB-006500C600E4}</author>
  </authors>
  <commentList>
    <comment ref="A1" authorId="0" shapeId="0" xr:uid="{005D00FE-0080-48DC-8B45-00C900BE00D9}">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7C00DC-00D1-4F3B-9FFB-006500C600E4}">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tc={002F0005-006F-4BE4-8A3E-008A00AF0098}</author>
    <author>tc={00E500F9-00FF-4F0C-89A1-00A000B10027}</author>
  </authors>
  <commentList>
    <comment ref="A1" authorId="0" shapeId="0" xr:uid="{002F0005-006F-4BE4-8A3E-008A00AF0098}">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E500F9-00FF-4F0C-89A1-00A000B10027}">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tc={002600F7-0002-4A42-8224-000400C200BE}</author>
    <author>tc={00C6007F-002D-452E-8DC4-0051005C00C8}</author>
  </authors>
  <commentList>
    <comment ref="A1" authorId="0" shapeId="0" xr:uid="{002600F7-0002-4A42-8224-000400C200BE}">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C6007F-002D-452E-8DC4-0051005C00C8}">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tc={00A100EF-00F1-4679-92AB-00EB000A00DC}</author>
    <author>tc={004D0093-0001-478F-A210-0008008F00A2}</author>
  </authors>
  <commentList>
    <comment ref="A1" authorId="0" shapeId="0" xr:uid="{00A100EF-00F1-4679-92AB-00EB000A00DC}">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4D0093-0001-478F-A210-0008008F00A2}">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tc={0062002C-00DF-4E99-B8F0-00E7009700C3}</author>
    <author>tc={0086002F-00E5-42AA-AE27-0065007D003B}</author>
  </authors>
  <commentList>
    <comment ref="A1" authorId="0" shapeId="0" xr:uid="{0062002C-00DF-4E99-B8F0-00E7009700C3}">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86002F-00E5-42AA-AE27-0065007D003B}">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tc={006A0004-00F8-4A7C-A175-0083008F00B2}</author>
    <author>tc={00530015-00A1-4F8F-A274-004D0021004B}</author>
  </authors>
  <commentList>
    <comment ref="A1" authorId="0" shapeId="0" xr:uid="{006A0004-00F8-4A7C-A175-0083008F00B2}">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530015-00A1-4F8F-A274-004D0021004B}">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tc={00AE0009-0036-430C-B4D1-0047001B00EF}</author>
    <author>tc={00D700A2-00EF-4113-8A33-005C001200C6}</author>
  </authors>
  <commentList>
    <comment ref="A1" authorId="0" shapeId="0" xr:uid="{00AE0009-0036-430C-B4D1-0047001B00EF}">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D700A2-00EF-4113-8A33-005C001200C6}">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tc={00A40082-0009-4A68-B971-00DD00890087}</author>
    <author>tc={00BC00B8-003D-46CD-8846-000D00E80087}</author>
  </authors>
  <commentList>
    <comment ref="A1" authorId="0" shapeId="0" xr:uid="{00A40082-0009-4A68-B971-00DD00890087}">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BC00B8-003D-46CD-8846-000D00E80087}">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tc={00FB0012-002E-4535-B884-002400FF0058}</author>
    <author>tc={00E4002A-00F2-425D-9260-0050006E0040}</author>
  </authors>
  <commentList>
    <comment ref="A1" authorId="0" shapeId="0" xr:uid="{00FB0012-002E-4535-B884-002400FF0058}">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E4002A-00F2-425D-9260-0050006E0040}">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tc={00980088-0087-4711-BEE2-00050007007C}</author>
    <author>tc={002B00F8-0081-46D3-BF44-00C90096006F}</author>
  </authors>
  <commentList>
    <comment ref="A1" authorId="0" shapeId="0" xr:uid="{00980088-0087-4711-BEE2-00050007007C}">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2B00F8-0081-46D3-BF44-00C90096006F}">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tc={008B00B1-00A1-414B-840E-008F001D0080}</author>
    <author>tc={00700051-0009-40F4-8175-00DE0002000F}</author>
  </authors>
  <commentList>
    <comment ref="A1" authorId="0" shapeId="0" xr:uid="{008B00B1-00A1-414B-840E-008F001D0080}">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700051-0009-40F4-8175-00DE0002000F}">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tc={004D00B9-00DD-4DDD-B7BB-005500560010}</author>
    <author>tc={00850071-0082-4604-87F4-008900830073}</author>
  </authors>
  <commentList>
    <comment ref="A1" authorId="0" shapeId="0" xr:uid="{004D00B9-00DD-4DDD-B7BB-005500560010}">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850071-0082-4604-87F4-008900830073}">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tc={00B00075-00EC-4CA1-B4A4-003B0000009F}</author>
    <author>tc={006D0053-006E-465C-BE60-001D005300EE}</author>
  </authors>
  <commentList>
    <comment ref="A1" authorId="0" shapeId="0" xr:uid="{00B00075-00EC-4CA1-B4A4-003B0000009F}">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6D0053-006E-465C-BE60-001D005300EE}">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tc={00F900EE-0048-4786-9FD2-008E00A800C4}</author>
    <author>tc={00990054-00B1-43FA-8E4D-0040007800CB}</author>
  </authors>
  <commentList>
    <comment ref="A1" authorId="0" shapeId="0" xr:uid="{00F900EE-0048-4786-9FD2-008E00A800C4}">
      <text>
        <t xml:space="preserve">[Threaded comment]
Your version of Excel allows you to read this threaded comment; however, any edits to it will get removed if the file is opened in a newer version of Excel. Learn more: https://go.microsoft.com/fwlink/?linkid=870924
Comment:
    Enter WVCC club numbers or raw names in this column.
Column B will then be populated with either the WVCC club number, a Round Robin decorated name (which includes the club name in parentheses), or the raw name for any other guest rider.
Best practice: whenever a Guest name appears in column B, copy and paste it as a value. This prevents the name from being automatically converted to a WVCC club number or Round Robin rider later in the season if that person subsequently joins a club.
</t>
      </text>
    </comment>
    <comment ref="B1" authorId="1" shapeId="0" xr:uid="{00990054-00B1-43FA-8E4D-0040007800CB}">
      <text>
        <t xml:space="preserve">[Threaded comment]
Your version of Excel allows you to read this threaded comment; however, any edits to it will get removed if the file is opened in a newer version of Excel. Learn more: https://go.microsoft.com/fwlink/?linkid=870924
Comment:
    This column uses a formula to identify either a RoundRobinRider or a WVCC Competitor based on the Club Number or Raw Name in column A.
Any name that does not match either list is treated as an unrecognised Guest. Guests are not included in WVCC competitions or Round Robin competitions.
Best practice: whenever a Guest name appears in this column, copy and paste it as a value. This prevents the name from being automatically converted to a WVCC club number or Round Robin rider later in the season if that person subsequently joins a club.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<sst xmlns="http://schemas.openxmlformats.org/spreadsheetml/2006/main" count="18358" uniqueCount="823">
  <si>
    <t>Mike Ives</t>
  </si>
  <si>
    <t>Prepared for 2016 season</t>
  </si>
  <si>
    <t>Created this from the old fully-functional "25 club championship.xlsm"</t>
  </si>
  <si>
    <t>Removed league and championship sheets - retained just the event sheets</t>
  </si>
  <si>
    <t>Remove calculated columns from the event sheets</t>
  </si>
  <si>
    <t>Retains calendar sheet, though I expect this will change</t>
  </si>
  <si>
    <t>WVCCData sheet is present but needs to be replace by the data from competitors_2025.csv as generated by the private github pipeline from membership .XLSX</t>
  </si>
  <si>
    <t>Some work on Calendar.  Sheets renamed to Event_nn and Hill Climb (seconds have fractions) moved to be Event_01.  New column in Calendar sheet indicates which Event_nn sheet is applicable.  New isCancelled column added too.</t>
  </si>
  <si>
    <t>Updated with emailed sheet from Jon Durnin ("C:\Users\Mike\Dropbox\WVCC Results\Excel\2026\WVCC TT Events 2026 030126.xlsx").</t>
  </si>
  <si>
    <t>Updated formulas for calculating IsTen or not to look to see if there's a formula used.   Hence =5+5 is seen as a non standard-ten</t>
  </si>
  <si>
    <t>Changed event sheets to use a formula in column A.  Enter the actual name in column J instead and the formula will get the Club Number for members, or add the Club Name for Round Robin Riders</t>
  </si>
  <si>
    <t>=IF(J2="","",XLOOKUP(J2,ClubNames,ClubNumbers,XLOOKUP(J2,RoundRobinRiderNames,RoundRobinRiderDecoratedNames,J2)))</t>
  </si>
  <si>
    <t>If a RR rider from another club enters events *before* they join that other club, then simply overwrite the formula in column A for that rider - use the name string wanted in the results html.</t>
  </si>
  <si>
    <t>ClubNumber</t>
  </si>
  <si>
    <t>Surname</t>
  </si>
  <si>
    <t>GivenName</t>
  </si>
  <si>
    <t>ClaimStatus</t>
  </si>
  <si>
    <t>isFemale</t>
  </si>
  <si>
    <t>AgeGroup</t>
  </si>
  <si>
    <t>VetsBucket</t>
  </si>
  <si>
    <t>ImportDate</t>
  </si>
  <si>
    <t>Abbott</t>
  </si>
  <si>
    <t>James</t>
  </si>
  <si>
    <t>First Claim</t>
  </si>
  <si>
    <t>False</t>
  </si>
  <si>
    <t>Senior</t>
  </si>
  <si>
    <t>John</t>
  </si>
  <si>
    <t>Veteran</t>
  </si>
  <si>
    <t>Akoslovski</t>
  </si>
  <si>
    <t>Kath</t>
  </si>
  <si>
    <t>True</t>
  </si>
  <si>
    <t>Alden</t>
  </si>
  <si>
    <t>Steve</t>
  </si>
  <si>
    <t>Aldridge</t>
  </si>
  <si>
    <t>Ian</t>
  </si>
  <si>
    <t>Juvenile</t>
  </si>
  <si>
    <t>Allen</t>
  </si>
  <si>
    <t>Roland</t>
  </si>
  <si>
    <t>Ashwell</t>
  </si>
  <si>
    <t>Gary</t>
  </si>
  <si>
    <t>Askham</t>
  </si>
  <si>
    <t>Simon</t>
  </si>
  <si>
    <t>Bacon</t>
  </si>
  <si>
    <t>Bailey</t>
  </si>
  <si>
    <t>Shaun</t>
  </si>
  <si>
    <t>Barnett</t>
  </si>
  <si>
    <t>Dean</t>
  </si>
  <si>
    <t>Vic</t>
  </si>
  <si>
    <t>Honorary</t>
  </si>
  <si>
    <t>George</t>
  </si>
  <si>
    <t>Barrett</t>
  </si>
  <si>
    <t>Paul</t>
  </si>
  <si>
    <t>Baxter</t>
  </si>
  <si>
    <t>Lydia</t>
  </si>
  <si>
    <t>Second Claim</t>
  </si>
  <si>
    <t>Sylvia</t>
  </si>
  <si>
    <t>Beach</t>
  </si>
  <si>
    <t>Ronald</t>
  </si>
  <si>
    <t>Bell</t>
  </si>
  <si>
    <t>Peter</t>
  </si>
  <si>
    <t>Bellamy</t>
  </si>
  <si>
    <t>Henry</t>
  </si>
  <si>
    <t>Bennis</t>
  </si>
  <si>
    <t>Laoise</t>
  </si>
  <si>
    <t>Birch</t>
  </si>
  <si>
    <t>Carol</t>
  </si>
  <si>
    <t>Dave</t>
  </si>
  <si>
    <t>Boney</t>
  </si>
  <si>
    <t>Bowie</t>
  </si>
  <si>
    <t>Victor</t>
  </si>
  <si>
    <t>Bramford</t>
  </si>
  <si>
    <t>Bridgstock</t>
  </si>
  <si>
    <t>Anne</t>
  </si>
  <si>
    <t>Brinkman</t>
  </si>
  <si>
    <t>Elise</t>
  </si>
  <si>
    <t>Brown</t>
  </si>
  <si>
    <t>Gill</t>
  </si>
  <si>
    <t>Brundell</t>
  </si>
  <si>
    <t>Burgess</t>
  </si>
  <si>
    <t>Campbell</t>
  </si>
  <si>
    <t>Billy</t>
  </si>
  <si>
    <t>Chapman</t>
  </si>
  <si>
    <t>Alison</t>
  </si>
  <si>
    <t>Mark</t>
  </si>
  <si>
    <t>Clarke</t>
  </si>
  <si>
    <t>Nick</t>
  </si>
  <si>
    <t>Clegg</t>
  </si>
  <si>
    <t>Jennifer</t>
  </si>
  <si>
    <t>Collis</t>
  </si>
  <si>
    <t>Daryl</t>
  </si>
  <si>
    <t>Condon</t>
  </si>
  <si>
    <t>Copson</t>
  </si>
  <si>
    <t>Yvonne</t>
  </si>
  <si>
    <t>Coulam</t>
  </si>
  <si>
    <t>Steven</t>
  </si>
  <si>
    <t>Cox</t>
  </si>
  <si>
    <t>Lawrence</t>
  </si>
  <si>
    <t>Cuthbertson</t>
  </si>
  <si>
    <t>Leah</t>
  </si>
  <si>
    <t>Dainty</t>
  </si>
  <si>
    <t>Chris</t>
  </si>
  <si>
    <t>Dare</t>
  </si>
  <si>
    <t>Martin</t>
  </si>
  <si>
    <t>Dawkins</t>
  </si>
  <si>
    <t>Stuart</t>
  </si>
  <si>
    <t>Dhillon</t>
  </si>
  <si>
    <t>Navpreet</t>
  </si>
  <si>
    <t>Dickens</t>
  </si>
  <si>
    <t>Graham</t>
  </si>
  <si>
    <t>Dixey</t>
  </si>
  <si>
    <t>Isabelle</t>
  </si>
  <si>
    <t>Dobson</t>
  </si>
  <si>
    <t>Colin</t>
  </si>
  <si>
    <t>Durnin</t>
  </si>
  <si>
    <t>Nathan</t>
  </si>
  <si>
    <t>Clare</t>
  </si>
  <si>
    <t>Jonathan</t>
  </si>
  <si>
    <t>Dyson</t>
  </si>
  <si>
    <t>Tyler</t>
  </si>
  <si>
    <t>Theo</t>
  </si>
  <si>
    <t>Easton</t>
  </si>
  <si>
    <t>Ashley</t>
  </si>
  <si>
    <t>Eaton</t>
  </si>
  <si>
    <t>Jo</t>
  </si>
  <si>
    <t>Edmonds</t>
  </si>
  <si>
    <t>Lee</t>
  </si>
  <si>
    <t>Ellis</t>
  </si>
  <si>
    <t>Sally</t>
  </si>
  <si>
    <t>Elmer</t>
  </si>
  <si>
    <t>Aubrey</t>
  </si>
  <si>
    <t>Evans</t>
  </si>
  <si>
    <t>Harriet</t>
  </si>
  <si>
    <t>Jane</t>
  </si>
  <si>
    <t>Ruth</t>
  </si>
  <si>
    <t>Fiddy</t>
  </si>
  <si>
    <t>Fisher</t>
  </si>
  <si>
    <t>Neil</t>
  </si>
  <si>
    <t>Foreman</t>
  </si>
  <si>
    <t>Fraser</t>
  </si>
  <si>
    <t>Lucy</t>
  </si>
  <si>
    <t>Garner</t>
  </si>
  <si>
    <t>Gerald</t>
  </si>
  <si>
    <t>Grandidge</t>
  </si>
  <si>
    <t>Ed</t>
  </si>
  <si>
    <t>Gowers</t>
  </si>
  <si>
    <t>Sophia</t>
  </si>
  <si>
    <t>Halls</t>
  </si>
  <si>
    <t>Hanner</t>
  </si>
  <si>
    <t>Jeffrey</t>
  </si>
  <si>
    <t>Hardwicke</t>
  </si>
  <si>
    <t>Richard</t>
  </si>
  <si>
    <t>Alex</t>
  </si>
  <si>
    <t>Daniel</t>
  </si>
  <si>
    <t>Charlie</t>
  </si>
  <si>
    <t>Harrison</t>
  </si>
  <si>
    <t>Rory</t>
  </si>
  <si>
    <t>Claire</t>
  </si>
  <si>
    <t>Haycox</t>
  </si>
  <si>
    <t>Heald</t>
  </si>
  <si>
    <t>Hernandez</t>
  </si>
  <si>
    <t>Elgar Aguilar</t>
  </si>
  <si>
    <t>Henderson</t>
  </si>
  <si>
    <t>Hannah</t>
  </si>
  <si>
    <t>Helen</t>
  </si>
  <si>
    <t>Marc</t>
  </si>
  <si>
    <t>Herring</t>
  </si>
  <si>
    <t>Alice</t>
  </si>
  <si>
    <t>Hill</t>
  </si>
  <si>
    <t>Joy</t>
  </si>
  <si>
    <t>Hinxman</t>
  </si>
  <si>
    <t>Gavin</t>
  </si>
  <si>
    <t>Holman</t>
  </si>
  <si>
    <t>Holmes</t>
  </si>
  <si>
    <t>Cristian</t>
  </si>
  <si>
    <t>Holton</t>
  </si>
  <si>
    <t>Wayne</t>
  </si>
  <si>
    <t>Hopwood</t>
  </si>
  <si>
    <t>Duncan</t>
  </si>
  <si>
    <t>Hubbard</t>
  </si>
  <si>
    <t>Linda</t>
  </si>
  <si>
    <t>Hulme</t>
  </si>
  <si>
    <t>Human</t>
  </si>
  <si>
    <t>Freya</t>
  </si>
  <si>
    <t>Humphries</t>
  </si>
  <si>
    <t>Eleanor</t>
  </si>
  <si>
    <t>Hyde</t>
  </si>
  <si>
    <t>Isaac</t>
  </si>
  <si>
    <t>Ruby</t>
  </si>
  <si>
    <t>Junior</t>
  </si>
  <si>
    <t>Ives</t>
  </si>
  <si>
    <t>Mike</t>
  </si>
  <si>
    <t>Jackson-Bream</t>
  </si>
  <si>
    <t>Will</t>
  </si>
  <si>
    <t>Mitchell</t>
  </si>
  <si>
    <t>Kendrick</t>
  </si>
  <si>
    <t>Kershaw</t>
  </si>
  <si>
    <t>Nik</t>
  </si>
  <si>
    <t>Jamie</t>
  </si>
  <si>
    <t>Keys</t>
  </si>
  <si>
    <t>Hazel</t>
  </si>
  <si>
    <t>Killworth</t>
  </si>
  <si>
    <t>Adrian</t>
  </si>
  <si>
    <t>King</t>
  </si>
  <si>
    <t>Knight</t>
  </si>
  <si>
    <t>Ros</t>
  </si>
  <si>
    <t>Tim</t>
  </si>
  <si>
    <t>Kockelbergh</t>
  </si>
  <si>
    <t>Roger</t>
  </si>
  <si>
    <t>Krause</t>
  </si>
  <si>
    <t>Latham</t>
  </si>
  <si>
    <t>Michaela</t>
  </si>
  <si>
    <t>Laws</t>
  </si>
  <si>
    <t>Paula</t>
  </si>
  <si>
    <t>Lenehan</t>
  </si>
  <si>
    <t>Toby</t>
  </si>
  <si>
    <t>Millie</t>
  </si>
  <si>
    <t>Leska</t>
  </si>
  <si>
    <t>Kamila</t>
  </si>
  <si>
    <t>Lewington</t>
  </si>
  <si>
    <t>Kim</t>
  </si>
  <si>
    <t>Lynette</t>
  </si>
  <si>
    <t>Liot</t>
  </si>
  <si>
    <t>Anthony</t>
  </si>
  <si>
    <t>Lucas</t>
  </si>
  <si>
    <t>Main</t>
  </si>
  <si>
    <t>Bruce</t>
  </si>
  <si>
    <t>Mansfield</t>
  </si>
  <si>
    <t>Marr</t>
  </si>
  <si>
    <t>Miles</t>
  </si>
  <si>
    <t>Noah</t>
  </si>
  <si>
    <t>Marsh</t>
  </si>
  <si>
    <t>Ethan</t>
  </si>
  <si>
    <t>McDonnell</t>
  </si>
  <si>
    <t>McGraw</t>
  </si>
  <si>
    <t>David</t>
  </si>
  <si>
    <t>McPherson</t>
  </si>
  <si>
    <t>Amanda</t>
  </si>
  <si>
    <t>Jim</t>
  </si>
  <si>
    <t>Melville</t>
  </si>
  <si>
    <t>Rebecca</t>
  </si>
  <si>
    <t>Middleton</t>
  </si>
  <si>
    <t>Julian</t>
  </si>
  <si>
    <t>Millard</t>
  </si>
  <si>
    <t>Kevin</t>
  </si>
  <si>
    <t>Mills</t>
  </si>
  <si>
    <t>Sophie</t>
  </si>
  <si>
    <t>Moore</t>
  </si>
  <si>
    <t>Rob</t>
  </si>
  <si>
    <t>Mea</t>
  </si>
  <si>
    <t>Morgan</t>
  </si>
  <si>
    <t>Murdey</t>
  </si>
  <si>
    <t>Murray</t>
  </si>
  <si>
    <t>Nicholls</t>
  </si>
  <si>
    <t>Nixon</t>
  </si>
  <si>
    <t>Stephen</t>
  </si>
  <si>
    <t>Norris</t>
  </si>
  <si>
    <t>Dale</t>
  </si>
  <si>
    <t>Orfeur</t>
  </si>
  <si>
    <t>Parker</t>
  </si>
  <si>
    <t>Charlotte</t>
  </si>
  <si>
    <t>Mandy</t>
  </si>
  <si>
    <t>Patteri</t>
  </si>
  <si>
    <t>Diego</t>
  </si>
  <si>
    <t>Pinnock</t>
  </si>
  <si>
    <t>Milly</t>
  </si>
  <si>
    <t>Plews</t>
  </si>
  <si>
    <t>Matt</t>
  </si>
  <si>
    <t>Poulton</t>
  </si>
  <si>
    <t>Andy</t>
  </si>
  <si>
    <t>Prangnell</t>
  </si>
  <si>
    <t>Greg</t>
  </si>
  <si>
    <t>Pullen</t>
  </si>
  <si>
    <t>Purdon</t>
  </si>
  <si>
    <t>Catriona</t>
  </si>
  <si>
    <t>Ramsdale</t>
  </si>
  <si>
    <t>Rayner</t>
  </si>
  <si>
    <t>Phil</t>
  </si>
  <si>
    <t>Reay</t>
  </si>
  <si>
    <t>Michael</t>
  </si>
  <si>
    <t>Riley</t>
  </si>
  <si>
    <t>Roberts</t>
  </si>
  <si>
    <t>Leo</t>
  </si>
  <si>
    <t>Jax</t>
  </si>
  <si>
    <t>Anna</t>
  </si>
  <si>
    <t>Robinson</t>
  </si>
  <si>
    <t>Sarah</t>
  </si>
  <si>
    <t>Rout</t>
  </si>
  <si>
    <t>Judith</t>
  </si>
  <si>
    <t>Russell</t>
  </si>
  <si>
    <t>Dawn</t>
  </si>
  <si>
    <t>Scoley</t>
  </si>
  <si>
    <t>Shewring</t>
  </si>
  <si>
    <t>Jack</t>
  </si>
  <si>
    <t>Simpson</t>
  </si>
  <si>
    <t>Shelley</t>
  </si>
  <si>
    <t>Trevor</t>
  </si>
  <si>
    <t>Simpson-Smith</t>
  </si>
  <si>
    <t>Sirett</t>
  </si>
  <si>
    <t>Smith</t>
  </si>
  <si>
    <t>Austin</t>
  </si>
  <si>
    <t>Denis</t>
  </si>
  <si>
    <t>Timothy</t>
  </si>
  <si>
    <t>Stephenson</t>
  </si>
  <si>
    <t>Ryan</t>
  </si>
  <si>
    <t>Suchocki</t>
  </si>
  <si>
    <t>Maciej</t>
  </si>
  <si>
    <t>Summerlin</t>
  </si>
  <si>
    <t>Rowland</t>
  </si>
  <si>
    <t>Tarelli</t>
  </si>
  <si>
    <t>Taylor</t>
  </si>
  <si>
    <t>Ray</t>
  </si>
  <si>
    <t>Thomas</t>
  </si>
  <si>
    <t>Rhys</t>
  </si>
  <si>
    <t>Timmins</t>
  </si>
  <si>
    <t>Tincello</t>
  </si>
  <si>
    <t>Doug</t>
  </si>
  <si>
    <t>Twynham</t>
  </si>
  <si>
    <t>Vaal</t>
  </si>
  <si>
    <t>Michiel</t>
  </si>
  <si>
    <t>Vann-Hopewell</t>
  </si>
  <si>
    <t>Laura</t>
  </si>
  <si>
    <t>van Nierop</t>
  </si>
  <si>
    <t>Josh</t>
  </si>
  <si>
    <t>Hans</t>
  </si>
  <si>
    <t>Voice</t>
  </si>
  <si>
    <t>Oliver</t>
  </si>
  <si>
    <t>Vowles</t>
  </si>
  <si>
    <t>Jasper</t>
  </si>
  <si>
    <t>Ione</t>
  </si>
  <si>
    <t>Waddington</t>
  </si>
  <si>
    <t>Ward</t>
  </si>
  <si>
    <t>Abigail</t>
  </si>
  <si>
    <t>Debbie</t>
  </si>
  <si>
    <t>Weatherby</t>
  </si>
  <si>
    <t>Andrew</t>
  </si>
  <si>
    <t>Webber</t>
  </si>
  <si>
    <t>Welsford</t>
  </si>
  <si>
    <t>Weston</t>
  </si>
  <si>
    <t>Wilks</t>
  </si>
  <si>
    <t>Jules</t>
  </si>
  <si>
    <t>Fie</t>
  </si>
  <si>
    <t>Willett</t>
  </si>
  <si>
    <t>Williams</t>
  </si>
  <si>
    <t>Jason</t>
  </si>
  <si>
    <t>Wilson</t>
  </si>
  <si>
    <t>Michelle</t>
  </si>
  <si>
    <t>Wise</t>
  </si>
  <si>
    <t>Wintersgill</t>
  </si>
  <si>
    <t>Catherine</t>
  </si>
  <si>
    <t>White</t>
  </si>
  <si>
    <t>Woodford</t>
  </si>
  <si>
    <t>Robert</t>
  </si>
  <si>
    <t>Yarnold</t>
  </si>
  <si>
    <t>Marxh</t>
  </si>
  <si>
    <t>Number</t>
  </si>
  <si>
    <t>Full Name</t>
  </si>
  <si>
    <t>Event Number</t>
  </si>
  <si>
    <t>Date</t>
  </si>
  <si>
    <t>Start time</t>
  </si>
  <si>
    <t>Event Name</t>
  </si>
  <si>
    <t>Round Robin Club</t>
  </si>
  <si>
    <t>Location / Course</t>
  </si>
  <si>
    <t>Hill Climb</t>
  </si>
  <si>
    <t xml:space="preserve">	Club Championship</t>
  </si>
  <si>
    <t xml:space="preserve">	Non-Standard 10</t>
  </si>
  <si>
    <t xml:space="preserve">	Evening 10</t>
  </si>
  <si>
    <t xml:space="preserve">	Hard Ride Series</t>
  </si>
  <si>
    <t>Round Robin Event</t>
  </si>
  <si>
    <t>Sheet Name</t>
  </si>
  <si>
    <t>isCancelled</t>
  </si>
  <si>
    <t>Medbourne 9.5mile Hardride TT</t>
  </si>
  <si>
    <t>Medbourne</t>
  </si>
  <si>
    <t>Y</t>
  </si>
  <si>
    <t>Medbourne 20mile Hardride TT</t>
  </si>
  <si>
    <t>Thorpe Langton 10mile TT</t>
  </si>
  <si>
    <t>Thorpe Langton</t>
  </si>
  <si>
    <t>Tour of the Langtons 10mile TT</t>
  </si>
  <si>
    <t>Tour of the Langtons</t>
  </si>
  <si>
    <t>Kibworth 25mile TT</t>
  </si>
  <si>
    <t>Kibworth</t>
  </si>
  <si>
    <t>Tur Langton/ Hallaton mile 5+5</t>
  </si>
  <si>
    <t>Tur Langton/ Hallaton</t>
  </si>
  <si>
    <t>Kibworth 10mile TT</t>
  </si>
  <si>
    <t>Interclub Rockingham FW 25mile TT</t>
  </si>
  <si>
    <t>Caldecott 10mile Round Robin TT</t>
  </si>
  <si>
    <t>RFW</t>
  </si>
  <si>
    <t>Caldecott</t>
  </si>
  <si>
    <t>Lubenham 10mile Round Robin TT</t>
  </si>
  <si>
    <t>WVCC</t>
  </si>
  <si>
    <t>Lubenham</t>
  </si>
  <si>
    <t>Lamport 10mile Round Robin TT</t>
  </si>
  <si>
    <t>KCC</t>
  </si>
  <si>
    <t>Lamport</t>
  </si>
  <si>
    <t xml:space="preserve">Gilmorton 10mile Round Robin TT </t>
  </si>
  <si>
    <t>Ratae</t>
  </si>
  <si>
    <t>Gilmorton</t>
  </si>
  <si>
    <t>Wolvey 10mile Round Robin TT</t>
  </si>
  <si>
    <t>HCRC</t>
  </si>
  <si>
    <t>Wolvey</t>
  </si>
  <si>
    <t>Wymeswold 10mile Round Robin TT</t>
  </si>
  <si>
    <t>LFCC</t>
  </si>
  <si>
    <t>Wymeswold</t>
  </si>
  <si>
    <t>Walcote 25mile TT Hardride</t>
  </si>
  <si>
    <t>Walcote</t>
  </si>
  <si>
    <t>Interclub Hillclimb KCC</t>
  </si>
  <si>
    <t>Boxing Day 10</t>
  </si>
  <si>
    <t>ClubMemberName</t>
  </si>
  <si>
    <t>LeagueDivision</t>
  </si>
  <si>
    <t>Andy Poulton</t>
  </si>
  <si>
    <t>Prem</t>
  </si>
  <si>
    <t>James Moore</t>
  </si>
  <si>
    <t>Hans van Nierop</t>
  </si>
  <si>
    <t>Jamie Kershaw</t>
  </si>
  <si>
    <t>Jason Williams</t>
  </si>
  <si>
    <t>Jonathan Durnin</t>
  </si>
  <si>
    <t>Maciej Suchocki</t>
  </si>
  <si>
    <t>Phil Rayner</t>
  </si>
  <si>
    <t>Ruby Isaac</t>
  </si>
  <si>
    <t>Aubrey Elmer</t>
  </si>
  <si>
    <t>Josh van Nierop</t>
  </si>
  <si>
    <t>Dale Norris</t>
  </si>
  <si>
    <t>Nik Kershaw</t>
  </si>
  <si>
    <t>Colin Dobson</t>
  </si>
  <si>
    <t>Matt Plews</t>
  </si>
  <si>
    <t>Jax Roberts</t>
  </si>
  <si>
    <t>James Brown</t>
  </si>
  <si>
    <t>Austin Smith</t>
  </si>
  <si>
    <t>Julian Twynham</t>
  </si>
  <si>
    <t>John Abbott</t>
  </si>
  <si>
    <t>Milly Pinnock</t>
  </si>
  <si>
    <t>Simon Ward</t>
  </si>
  <si>
    <t>Toby Lenehan</t>
  </si>
  <si>
    <t>Gary Ashwell</t>
  </si>
  <si>
    <t>Stuart Haycox</t>
  </si>
  <si>
    <t>Ethan Marsh</t>
  </si>
  <si>
    <t>Roger Kockelbergh</t>
  </si>
  <si>
    <t>Adrian Killworth</t>
  </si>
  <si>
    <t>Charlie Hardwicke</t>
  </si>
  <si>
    <t>Chris Dainty</t>
  </si>
  <si>
    <t>Chris Hyde</t>
  </si>
  <si>
    <t>David Reay</t>
  </si>
  <si>
    <t>Paul White</t>
  </si>
  <si>
    <t>Ian Murdey</t>
  </si>
  <si>
    <t>Richard Hardwicke</t>
  </si>
  <si>
    <t>Mea Moore</t>
  </si>
  <si>
    <t>Mike Sirett</t>
  </si>
  <si>
    <t>Michaela Latham</t>
  </si>
  <si>
    <t>Alex Hardwicke</t>
  </si>
  <si>
    <t>Jane Moore</t>
  </si>
  <si>
    <t>Jo Eaton</t>
  </si>
  <si>
    <t>Lucy Fraser</t>
  </si>
  <si>
    <t>Steven Latham</t>
  </si>
  <si>
    <t>Millie Lenehan</t>
  </si>
  <si>
    <t>Andrew Weatherby</t>
  </si>
  <si>
    <t>Ray Taylor</t>
  </si>
  <si>
    <t>Stuart Dawkins</t>
  </si>
  <si>
    <t>Daniel McDonnell</t>
  </si>
  <si>
    <t>Linda Hubbard</t>
  </si>
  <si>
    <t>Steven Coulam</t>
  </si>
  <si>
    <t>Claire Moore</t>
  </si>
  <si>
    <t>Vic Barnett</t>
  </si>
  <si>
    <t>Name</t>
  </si>
  <si>
    <t>Club</t>
  </si>
  <si>
    <t>Decorated Name</t>
  </si>
  <si>
    <t>Carl Dyson</t>
  </si>
  <si>
    <t>Aerologic</t>
  </si>
  <si>
    <t>Derek Lawlor</t>
  </si>
  <si>
    <t>Tommy Nolan</t>
  </si>
  <si>
    <t>Ashby ICC</t>
  </si>
  <si>
    <t>Tyler Dyson</t>
  </si>
  <si>
    <t>David Marshall</t>
  </si>
  <si>
    <t>Bluelight CC</t>
  </si>
  <si>
    <t>Robert Mitchell</t>
  </si>
  <si>
    <t>John Capel</t>
  </si>
  <si>
    <t>Coalville Wheelers</t>
  </si>
  <si>
    <t>Pamela Moore</t>
  </si>
  <si>
    <t>Jayne Mumford (W)</t>
  </si>
  <si>
    <t>Cov Tri</t>
  </si>
  <si>
    <t>Simon Clarke</t>
  </si>
  <si>
    <t>Lydia Baxter</t>
  </si>
  <si>
    <t>FTP Fusion</t>
  </si>
  <si>
    <t>Andy Thomas</t>
  </si>
  <si>
    <t>Colin Parkinson (SWRC)</t>
  </si>
  <si>
    <t>Andy King</t>
  </si>
  <si>
    <t>Josh Brown</t>
  </si>
  <si>
    <t>Mat Mabe</t>
  </si>
  <si>
    <t>Matt Finch</t>
  </si>
  <si>
    <t>Morris Mabe</t>
  </si>
  <si>
    <t>Sam Nettel</t>
  </si>
  <si>
    <t>Talles Medevives</t>
  </si>
  <si>
    <t>Dean Tacey</t>
  </si>
  <si>
    <t>LRC</t>
  </si>
  <si>
    <t>Chris Booth</t>
  </si>
  <si>
    <t>MOCC</t>
  </si>
  <si>
    <t>David Cooper</t>
  </si>
  <si>
    <t>Jamie Haines</t>
  </si>
  <si>
    <t>Ed Tarelli</t>
  </si>
  <si>
    <t>Lewis Cooper</t>
  </si>
  <si>
    <t>RAF Tri</t>
  </si>
  <si>
    <t>Alex Whitmore</t>
  </si>
  <si>
    <t>Brian Lincoln</t>
  </si>
  <si>
    <t>Chris Bonsor</t>
  </si>
  <si>
    <t>Chris Spray</t>
  </si>
  <si>
    <t>Debbie Cooper</t>
  </si>
  <si>
    <t>Ed Watson</t>
  </si>
  <si>
    <t>Jonathon Clarke</t>
  </si>
  <si>
    <t>Lesley Allden</t>
  </si>
  <si>
    <t>Lucy Sturgess</t>
  </si>
  <si>
    <t>Mark Marmoy</t>
  </si>
  <si>
    <t>Mark Newton</t>
  </si>
  <si>
    <t>Marshall Briggs</t>
  </si>
  <si>
    <t>Natalie Harris</t>
  </si>
  <si>
    <t>Paul Eden</t>
  </si>
  <si>
    <t>Sadie Murphy</t>
  </si>
  <si>
    <t>Steve Pearce</t>
  </si>
  <si>
    <t>Adam Wells</t>
  </si>
  <si>
    <t>Anne Gilhespy</t>
  </si>
  <si>
    <t>Chris Fowler</t>
  </si>
  <si>
    <t>Dan Hempkin</t>
  </si>
  <si>
    <t>David Hill</t>
  </si>
  <si>
    <t>Giles Cooper</t>
  </si>
  <si>
    <t>Gregg Payne</t>
  </si>
  <si>
    <t>Lynne Scofield</t>
  </si>
  <si>
    <t>Lynne Wilkinson-Scofield</t>
  </si>
  <si>
    <t>Michael Carter</t>
  </si>
  <si>
    <t>Paul Russell</t>
  </si>
  <si>
    <t>Paul Ryan</t>
  </si>
  <si>
    <t>Phil Wilkinson</t>
  </si>
  <si>
    <t>Hudson Hendry</t>
  </si>
  <si>
    <t>Adrian James</t>
  </si>
  <si>
    <t>Rugby RCC</t>
  </si>
  <si>
    <t>Carl Shaw</t>
  </si>
  <si>
    <t>Speedhub</t>
  </si>
  <si>
    <t>Oliver Searle</t>
  </si>
  <si>
    <t>St Ives CC</t>
  </si>
  <si>
    <t>Number/Raw Name</t>
  </si>
  <si>
    <t>Number/Name</t>
  </si>
  <si>
    <t>H</t>
  </si>
  <si>
    <t>M</t>
  </si>
  <si>
    <t>S</t>
  </si>
  <si>
    <t>Roadbike?</t>
  </si>
  <si>
    <t>DNS/DNF/DQ</t>
  </si>
  <si>
    <t>Actual Time</t>
  </si>
  <si>
    <t>Guest or Not Renewed</t>
  </si>
  <si>
    <t>r</t>
  </si>
  <si>
    <t>Miles Marr</t>
  </si>
  <si>
    <t>DNS</t>
  </si>
  <si>
    <t>Richard Krause</t>
  </si>
  <si>
    <t>Jennifer Clegg</t>
  </si>
  <si>
    <t>James Bacon</t>
  </si>
  <si>
    <t>Gareth Winter</t>
  </si>
  <si>
    <t>SheetName:</t>
  </si>
  <si>
    <t>IsHillClimb?</t>
  </si>
  <si>
    <t>dns</t>
  </si>
  <si>
    <t>Chris Bonsor (Ratae)</t>
  </si>
  <si>
    <t>Lynne Scofield (RFW)</t>
  </si>
  <si>
    <t>Jonathan Robinson</t>
  </si>
  <si>
    <t>dnf</t>
  </si>
  <si>
    <t>Phil Wilkinson (RFW)</t>
  </si>
  <si>
    <t>Steve Pearce (Ratae)</t>
  </si>
  <si>
    <t>Chris Spray (Ratae)</t>
  </si>
  <si>
    <t>Mark Newton (Ratae)</t>
  </si>
  <si>
    <t>Carl Dyson (Aerologic)</t>
  </si>
  <si>
    <t>Brian Lincoln (Ratae)</t>
  </si>
  <si>
    <t>Marshall Briggs (Ratae)</t>
  </si>
  <si>
    <t>Lesley Allden (Ratae)</t>
  </si>
  <si>
    <t>Laura Davison</t>
  </si>
  <si>
    <t>Paul Eden (Ratae)</t>
  </si>
  <si>
    <t>DNF</t>
  </si>
  <si>
    <t>Linda Thames</t>
  </si>
  <si>
    <t>Charlie Hoyle</t>
  </si>
  <si>
    <t>Linda Thomas</t>
  </si>
  <si>
    <t>Tom Keane</t>
  </si>
  <si>
    <t>Mark Vowles</t>
  </si>
  <si>
    <t>Laura Vann-Hopewell</t>
  </si>
  <si>
    <t>Sophie Ward</t>
  </si>
  <si>
    <t>Rob Moore</t>
  </si>
  <si>
    <t>Andy Smith</t>
  </si>
  <si>
    <t>Chris DAINTY</t>
  </si>
  <si>
    <t>Ian Aldridge</t>
  </si>
  <si>
    <t>Brian Harman</t>
  </si>
  <si>
    <t>Jonathan Clarke</t>
  </si>
  <si>
    <t>Stuart Simpson-Smith</t>
  </si>
  <si>
    <t>Megan Cherry (CAMS Majaco)</t>
  </si>
  <si>
    <t>Graeme Hall</t>
  </si>
  <si>
    <t>Maria Cayford</t>
  </si>
  <si>
    <t>Steve Coombs</t>
  </si>
  <si>
    <t>Steve Wickham</t>
  </si>
  <si>
    <t>Hudson Hendry (Ride Revolution)</t>
  </si>
  <si>
    <t>Alex Barrowman</t>
  </si>
  <si>
    <t>Laurence Noble</t>
  </si>
  <si>
    <t>Mohammed Nurgat</t>
  </si>
  <si>
    <t>Diego Patteri</t>
  </si>
  <si>
    <t xml:space="preserve"> </t>
  </si>
  <si>
    <t>isPostponed</t>
  </si>
  <si>
    <t>Angela</t>
  </si>
  <si>
    <t>Bewick</t>
  </si>
  <si>
    <t>Andy King (KCC)</t>
  </si>
  <si>
    <t>Michael Carter (RFW)</t>
  </si>
  <si>
    <t>Lynne Wilkinson-Scofield (RFW)</t>
  </si>
  <si>
    <t>Adam Wells (RFW)</t>
  </si>
  <si>
    <t>Steve Wickham (RFW)</t>
  </si>
  <si>
    <t>David Hill (RFW)</t>
  </si>
  <si>
    <t>Steve Coombs (RFW)</t>
  </si>
  <si>
    <t>Maria Cayford (KCC)</t>
  </si>
  <si>
    <t>Paul Ryan (RFW)</t>
  </si>
  <si>
    <t>Laurence Noble (RFW)</t>
  </si>
  <si>
    <t>Graeme Hall (RFW)</t>
  </si>
  <si>
    <t>Alex Barrowman (RFW)</t>
  </si>
  <si>
    <t>Gregg Payne (RFW)</t>
  </si>
  <si>
    <t>David Marshall (Bluelight CC)</t>
  </si>
  <si>
    <t>Natalie Harris (Ratae)</t>
  </si>
  <si>
    <t>Pamela Moore (Coalville Wheelers)</t>
  </si>
  <si>
    <t>John Capel (Coalville Wheelers)</t>
  </si>
  <si>
    <t>Leah Cuthbertson</t>
  </si>
  <si>
    <t>Jen</t>
  </si>
  <si>
    <t>Jen Hulme</t>
  </si>
  <si>
    <t>Michael Wheeler</t>
  </si>
  <si>
    <t>Ian Bird</t>
  </si>
  <si>
    <t>Henry Bellamy</t>
  </si>
  <si>
    <t>Michael Burke</t>
  </si>
  <si>
    <t>Ruby Isaac (CAMS Majaco)</t>
  </si>
  <si>
    <t>Jamie Kershaw (Beeston CC)</t>
  </si>
  <si>
    <t>Ed Tarelli (Race Hub)</t>
  </si>
  <si>
    <t>Jennifer Clegg (Team Bottrill Nopinz)</t>
  </si>
  <si>
    <t>Ethan Mitchell-Clarke (Team Bottrill Nopinz)</t>
  </si>
  <si>
    <t>Pete Bradshaw</t>
  </si>
  <si>
    <t>Lawrence Cox</t>
  </si>
  <si>
    <t>James Aldridge</t>
  </si>
  <si>
    <t>Jeff Jones</t>
  </si>
  <si>
    <t>Joshua Jones</t>
  </si>
  <si>
    <t>Simon Jones</t>
  </si>
  <si>
    <t>Sue Bonsor</t>
  </si>
  <si>
    <t>Shareeq S. Shaikh</t>
  </si>
  <si>
    <t>Marc Fairclough</t>
  </si>
  <si>
    <t>Beeston RC</t>
  </si>
  <si>
    <t>Umair Nurgat</t>
  </si>
  <si>
    <t>Gapped RT</t>
  </si>
  <si>
    <t>James Dexter</t>
  </si>
  <si>
    <t>Muhammad Sheikh</t>
  </si>
  <si>
    <t>Karl Williams</t>
  </si>
  <si>
    <t>#25</t>
  </si>
  <si>
    <t>#26</t>
  </si>
  <si>
    <t>#27</t>
  </si>
  <si>
    <t>#28</t>
  </si>
  <si>
    <t>#29</t>
  </si>
  <si>
    <t>#30</t>
  </si>
  <si>
    <t>#31</t>
  </si>
  <si>
    <t>#32</t>
  </si>
  <si>
    <t>#33</t>
  </si>
  <si>
    <t>#34</t>
  </si>
  <si>
    <t>#35</t>
  </si>
  <si>
    <t>#36</t>
  </si>
  <si>
    <t>Brigitte Gaillard</t>
  </si>
  <si>
    <t>Peter Kott</t>
  </si>
  <si>
    <t>#1</t>
  </si>
  <si>
    <t>#2</t>
  </si>
  <si>
    <t>#3</t>
  </si>
  <si>
    <t>#4</t>
  </si>
  <si>
    <t>#5</t>
  </si>
  <si>
    <t>#6</t>
  </si>
  <si>
    <t>#7</t>
  </si>
  <si>
    <t>#8</t>
  </si>
  <si>
    <t>#9</t>
  </si>
  <si>
    <t>#10</t>
  </si>
  <si>
    <t>#11</t>
  </si>
  <si>
    <t>#12</t>
  </si>
  <si>
    <t>#13</t>
  </si>
  <si>
    <t>#14</t>
  </si>
  <si>
    <t>#15</t>
  </si>
  <si>
    <t>#16</t>
  </si>
  <si>
    <t>#17</t>
  </si>
  <si>
    <t>#18</t>
  </si>
  <si>
    <t>#19</t>
  </si>
  <si>
    <t>#20</t>
  </si>
  <si>
    <t>#21</t>
  </si>
  <si>
    <t>#22</t>
  </si>
  <si>
    <t>#23</t>
  </si>
  <si>
    <t>#24</t>
  </si>
  <si>
    <t>#37</t>
  </si>
  <si>
    <t>#38</t>
  </si>
  <si>
    <t>#39</t>
  </si>
  <si>
    <t>#40</t>
  </si>
  <si>
    <t>#41</t>
  </si>
  <si>
    <t>BOB CC</t>
  </si>
  <si>
    <t>Steve Walsh</t>
  </si>
  <si>
    <t>Tom Swan</t>
  </si>
  <si>
    <t>Tom Scott-Collins</t>
  </si>
  <si>
    <t>Velo Elite</t>
  </si>
  <si>
    <t>Ali Nurgat</t>
  </si>
  <si>
    <t>Laura Ayres</t>
  </si>
  <si>
    <t>Paul Akroyd</t>
  </si>
  <si>
    <t>VTTA E.Mids</t>
  </si>
  <si>
    <t>Zoe Shepherd</t>
  </si>
  <si>
    <t>Joe Murray (M.I. Racing)</t>
  </si>
  <si>
    <t>Mick Wills (M.I. Racing)</t>
  </si>
  <si>
    <t>M.I. Racing</t>
  </si>
  <si>
    <t>Webster</t>
  </si>
  <si>
    <t>Levi</t>
  </si>
  <si>
    <t>Hussey</t>
  </si>
  <si>
    <t>Burke</t>
  </si>
  <si>
    <t>Max</t>
  </si>
  <si>
    <t>Jacob</t>
  </si>
  <si>
    <t>#06</t>
  </si>
  <si>
    <t>#01</t>
  </si>
  <si>
    <t>#03</t>
  </si>
  <si>
    <t>#04</t>
  </si>
  <si>
    <t>#05</t>
  </si>
  <si>
    <t>#07</t>
  </si>
  <si>
    <t>#08</t>
  </si>
  <si>
    <t>#09</t>
  </si>
  <si>
    <t>#02</t>
  </si>
  <si>
    <t>Mark Wise</t>
  </si>
  <si>
    <t>Alex Williamson</t>
  </si>
  <si>
    <t>David Melhuish</t>
  </si>
  <si>
    <t>Josh Jones</t>
  </si>
  <si>
    <t>David Mead</t>
  </si>
  <si>
    <t>#42</t>
  </si>
  <si>
    <t>#43</t>
  </si>
  <si>
    <t>#44</t>
  </si>
  <si>
    <t>#45</t>
  </si>
  <si>
    <t>#46</t>
  </si>
  <si>
    <t>#47</t>
  </si>
  <si>
    <t>#48</t>
  </si>
  <si>
    <t>#49</t>
  </si>
  <si>
    <t>Simon Law</t>
  </si>
  <si>
    <t>#50</t>
  </si>
  <si>
    <t>#51</t>
  </si>
  <si>
    <t>#100</t>
  </si>
  <si>
    <t>Shortened Ten</t>
  </si>
  <si>
    <t>Eric Fullerton</t>
  </si>
  <si>
    <t>Dave Tomlinson</t>
  </si>
  <si>
    <t>Edward Dring</t>
  </si>
  <si>
    <t>Pietro Saman</t>
  </si>
  <si>
    <t>Tayyib Farook</t>
  </si>
  <si>
    <t>Juraj Rys</t>
  </si>
  <si>
    <t>Jim Smith</t>
  </si>
  <si>
    <t>Gary Morris</t>
  </si>
  <si>
    <t>Andrea Winkless</t>
  </si>
  <si>
    <t>Tom Swain</t>
  </si>
  <si>
    <t>Rugby Tri</t>
  </si>
  <si>
    <t>Jules Wilks</t>
  </si>
  <si>
    <t>Angus Gordon</t>
  </si>
  <si>
    <t>David Alexander</t>
  </si>
  <si>
    <t>Esme Shipman</t>
  </si>
  <si>
    <t>Steve Evans</t>
  </si>
  <si>
    <t>Ian Parker</t>
  </si>
  <si>
    <t>Julian Church</t>
  </si>
  <si>
    <t>Worcester St. Johns CC</t>
  </si>
  <si>
    <t>Oliver Church</t>
  </si>
  <si>
    <t>Amy Whitmore</t>
  </si>
  <si>
    <t>Alice Watson</t>
  </si>
  <si>
    <t>Andy Logie</t>
  </si>
  <si>
    <t>SSVC</t>
  </si>
  <si>
    <t>#52</t>
  </si>
  <si>
    <t>#53</t>
  </si>
  <si>
    <t>Simon Thomas</t>
  </si>
  <si>
    <t>#54</t>
  </si>
  <si>
    <t>#55</t>
  </si>
  <si>
    <t>#56</t>
  </si>
  <si>
    <t>#57</t>
  </si>
  <si>
    <t>#58</t>
  </si>
  <si>
    <t>#59</t>
  </si>
  <si>
    <t>#60</t>
  </si>
  <si>
    <t>Penrose</t>
  </si>
  <si>
    <t>Nourish</t>
  </si>
  <si>
    <t>Lippitt</t>
  </si>
  <si>
    <t>Doherty</t>
  </si>
  <si>
    <t>Burbery</t>
  </si>
  <si>
    <t>Nikki Allen</t>
  </si>
  <si>
    <t>Sally Richards</t>
  </si>
  <si>
    <t>Joseph Hyde</t>
  </si>
  <si>
    <t>Numplumz</t>
  </si>
  <si>
    <t>Peter Cowler</t>
  </si>
  <si>
    <t>Wellingborough AC</t>
  </si>
  <si>
    <t>Oliver Voice</t>
  </si>
  <si>
    <t>Antony Brown</t>
  </si>
  <si>
    <t>Nick Gallimore</t>
  </si>
  <si>
    <t>Sarah Hollis</t>
  </si>
  <si>
    <t>Neil McDonald</t>
  </si>
  <si>
    <t>Geoff Stanbridge (Fenland Clarion)</t>
  </si>
  <si>
    <t>Geoff Stanbridge (Fenland Clarion) (Ratae)</t>
  </si>
  <si>
    <t>Liv Bent</t>
  </si>
  <si>
    <t>Matthew McNamee</t>
  </si>
  <si>
    <t>Max Wren</t>
  </si>
  <si>
    <t>Matt Law</t>
  </si>
  <si>
    <t>Daniel Town</t>
  </si>
  <si>
    <t>Harriet Hughes (Beeston CC)</t>
  </si>
  <si>
    <t>Beeston CC</t>
  </si>
  <si>
    <t>Evan Collett (George Fox CS)</t>
  </si>
  <si>
    <t>Mike Deely (George Fox CS)</t>
  </si>
  <si>
    <t>Leah Cuthbertson (George Fox CS)</t>
  </si>
  <si>
    <t>Mike Deely (George Fox CS) (RFW)</t>
  </si>
  <si>
    <t>Giles Brook</t>
  </si>
  <si>
    <t>Simon Addy</t>
  </si>
  <si>
    <t>Michael Weaver</t>
  </si>
  <si>
    <t>Patrick Price (Portsmouth North End CC)`</t>
  </si>
  <si>
    <t>Jake Bird (Beeston CC)</t>
  </si>
  <si>
    <t>Simon Haywood</t>
  </si>
  <si>
    <t>R</t>
  </si>
  <si>
    <t>Nevill Holt - from Drayton</t>
  </si>
  <si>
    <t>Damian Ciesielski</t>
  </si>
  <si>
    <t>Victoria Shipley</t>
  </si>
  <si>
    <t>Nigel Tomlinson</t>
  </si>
  <si>
    <t>James Belton</t>
  </si>
  <si>
    <t>Ruth Dempsey</t>
  </si>
  <si>
    <t>Michael Cowland</t>
  </si>
  <si>
    <t>Peter McDonald</t>
  </si>
  <si>
    <t>Noah Marr</t>
  </si>
  <si>
    <t>Dave Cunningham</t>
  </si>
  <si>
    <t>Josh Cayford</t>
  </si>
  <si>
    <t>Jasper Scarratt (Pedal Power Loughborough)</t>
  </si>
  <si>
    <t>Ondrej Humplik</t>
  </si>
  <si>
    <t>Andrea Woolcott</t>
  </si>
  <si>
    <t>Bert Monteleone</t>
  </si>
  <si>
    <t>Bruce Main</t>
  </si>
  <si>
    <t>Lukas Humplik (Beeston CC)</t>
  </si>
  <si>
    <t>Shay Dempsey</t>
  </si>
  <si>
    <t>Tajvinder Badh</t>
  </si>
  <si>
    <t>Jack Shewring</t>
  </si>
  <si>
    <t>Darren Gillings</t>
  </si>
  <si>
    <t>Andrew Brown</t>
  </si>
  <si>
    <t>Lydia Baxter (FTP)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</si>
</sst>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F400]h:mm\ AM/PM"/>
    <numFmt numFmtId="165" formatCode="00"/>
    <numFmt numFmtId="166" formatCode="hh:mm:ss;@"/>
    <numFmt numFmtId="167" formatCode="00.00"/>
  </numFmts>
  <fonts count="19">
    <font>
      <sz val="10"/>
      <color theme="1"/>
      <name val="Arial"/>
    </font>
    <font>
      <sz val="11"/>
      <color theme="1"/>
      <name val="Calibri"/>
      <family val="2"/>
      <scheme val="minor"/>
    </font>
    <font>
      <sz val="11"/>
      <color theme="1"/>
      <name val="Calibri"/>
      <family val="2"/>
      <scheme val="minor"/>
    </font>
    <font>
      <sz val="11"/>
      <color theme="1"/>
      <name val="Calibri"/>
      <family val="2"/>
      <scheme val="minor"/>
    </font>
    <font>
      <sz val="10"/>
      <name val="Arial"/>
    </font>
    <font>
      <sz val="11"/>
      <color theme="1"/>
      <name val="Calibri"/>
      <scheme val="minor"/>
    </font>
    <font>
      <sz val="11"/>
      <name val="Calibri"/>
      <scheme val="minor"/>
    </font>
    <font>
      <b/>
      <sz val="10"/>
      <name val="Arial"/>
    </font>
    <font>
      <b/>
      <sz val="10"/>
      <color theme="1"/>
      <name val="Arial"/>
    </font>
    <font>
      <b/>
      <sz val="12"/>
      <name val="Arial"/>
    </font>
    <font>
      <b/>
      <sz val="9"/>
      <name val="Arial"/>
    </font>
    <font>
      <sz val="12"/>
      <name val="Arial"/>
    </font>
    <font>
      <sz val="11"/>
      <name val="Liberation Sans"/>
    </font>
    <font>
      <sz val="11"/>
      <name val="Calibri"/>
    </font>
    <font>
      <sz val="12"/>
      <color rgb="FFC00000"/>
      <name val="Arial"/>
    </font>
    <font>
      <sz val="10"/>
      <color theme="1"/>
      <name val="Arial"/>
      <family val="2"/>
    </font>
    <font>
      <sz val="11"/>
      <name val="Calibri"/>
      <family val="2"/>
    </font>
    <font>
      <sz val="12"/>
      <name val="Arial"/>
      <family val="2"/>
    </font>
    <font>
      <sz val="8"/>
      <name val="Arial"/>
    </font>
  </fonts>
  <fills count="8">
    <fill>
      <patternFill patternType="none"/>
    </fill>
    <fill>
      <patternFill patternType="gray125"/>
    </fill>
    <fill>
      <patternFill patternType="solid">
        <fgColor indexed="22"/>
      </patternFill>
    </fill>
    <fill>
      <patternFill patternType="solid">
        <fgColor theme="5" tint="0.59999389629810485"/>
        <bgColor indexed="65"/>
      </patternFill>
    </fill>
    <fill>
      <patternFill patternType="solid">
        <fgColor theme="9" tint="0.59999389629810485"/>
        <bgColor indexed="65"/>
      </patternFill>
    </fill>
    <fill>
      <patternFill patternType="solid">
        <fgColor indexed="43"/>
      </patternFill>
    </fill>
    <fill>
      <patternFill patternType="solid">
        <fgColor rgb="FFC00000"/>
      </patternFill>
    </fill>
    <fill>
      <patternFill patternType="solid">
        <fgColor rgb="FFFFFF0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medium">
        <color auto="1"/>
      </left>
      <right style="thin">
        <color auto="1"/>
      </right>
      <top style="thin">
        <color auto="1"/>
      </top>
      <bottom style="thin">
        <color auto="1"/>
      </bottom>
      <diagonal/>
    </border>
    <border>
      <left style="thin">
        <color auto="1"/>
      </left>
      <right/>
      <top style="thin">
        <color auto="1"/>
      </top>
      <bottom/>
      <diagonal/>
    </border>
  </borders>
  <cellStyleXfs count="18">
    <xf numFmtId="0" fontId="0" fillId="0" borderId="0"/>
    <xf numFmtId="0" fontId="4" fillId="0" borderId="0"/>
    <xf numFmtId="0" fontId="5" fillId="0" borderId="0"/>
    <xf numFmtId="0" fontId="4" fillId="0" borderId="0"/>
    <xf numFmtId="0" fontId="5" fillId="0" borderId="0"/>
    <xf numFmtId="0" fontId="4"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 fillId="0" borderId="0"/>
    <xf numFmtId="0" fontId="2" fillId="0" borderId="0"/>
    <xf numFmtId="0" fontId="1" fillId="0" borderId="0"/>
  </cellStyleXfs>
  <cellXfs count="72">
    <xf numFmtId="0" fontId="0" fillId="0" borderId="0" xfId="0"/>
    <xf numFmtId="14" fontId="0" fillId="0" borderId="0" xfId="0" applyNumberFormat="1"/>
    <xf numFmtId="0" fontId="0" fillId="0" borderId="0" xfId="0" quotePrefix="1"/>
    <xf numFmtId="14" fontId="6" fillId="0" borderId="0" xfId="0" applyNumberFormat="1" applyFont="1"/>
    <xf numFmtId="0" fontId="5" fillId="0" borderId="0" xfId="9"/>
    <xf numFmtId="14" fontId="5" fillId="0" borderId="0" xfId="9" applyNumberFormat="1"/>
    <xf numFmtId="0" fontId="5" fillId="0" borderId="0" xfId="10"/>
    <xf numFmtId="14" fontId="5" fillId="0" borderId="0" xfId="10" applyNumberFormat="1"/>
    <xf numFmtId="0" fontId="5" fillId="0" borderId="0" xfId="11"/>
    <xf numFmtId="14" fontId="5" fillId="0" borderId="0" xfId="11" applyNumberFormat="1"/>
    <xf numFmtId="0" fontId="5" fillId="0" borderId="0" xfId="12"/>
    <xf numFmtId="14" fontId="5" fillId="0" borderId="0" xfId="12" applyNumberFormat="1"/>
    <xf numFmtId="0" fontId="5" fillId="0" borderId="0" xfId="13"/>
    <xf numFmtId="14" fontId="5" fillId="0" borderId="0" xfId="13" applyNumberFormat="1"/>
    <xf numFmtId="0" fontId="5" fillId="0" borderId="0" xfId="14"/>
    <xf numFmtId="14" fontId="5" fillId="0" borderId="0" xfId="14" applyNumberFormat="1"/>
    <xf numFmtId="0" fontId="5" fillId="0" borderId="0" xfId="2"/>
    <xf numFmtId="14" fontId="5" fillId="0" borderId="0" xfId="2" applyNumberFormat="1"/>
    <xf numFmtId="0" fontId="4" fillId="0" borderId="0" xfId="5"/>
    <xf numFmtId="0" fontId="4" fillId="0" borderId="0" xfId="5" applyAlignment="1">
      <alignment horizontal="center"/>
    </xf>
    <xf numFmtId="164" fontId="4" fillId="0" borderId="0" xfId="5" applyNumberFormat="1"/>
    <xf numFmtId="0" fontId="7" fillId="2" borderId="0" xfId="5" applyFont="1" applyFill="1"/>
    <xf numFmtId="16" fontId="7" fillId="2" borderId="0" xfId="5" applyNumberFormat="1" applyFont="1" applyFill="1" applyAlignment="1">
      <alignment horizontal="center"/>
    </xf>
    <xf numFmtId="0" fontId="7" fillId="2" borderId="0" xfId="5" applyFont="1" applyFill="1" applyAlignment="1">
      <alignment horizontal="center"/>
    </xf>
    <xf numFmtId="164" fontId="7" fillId="2" borderId="0" xfId="5" applyNumberFormat="1" applyFont="1" applyFill="1"/>
    <xf numFmtId="0" fontId="7" fillId="2" borderId="0" xfId="6" applyFont="1" applyFill="1" applyAlignment="1">
      <alignment horizontal="center" vertical="center" wrapText="1"/>
    </xf>
    <xf numFmtId="16" fontId="7" fillId="2" borderId="0" xfId="5" applyNumberFormat="1" applyFont="1" applyFill="1"/>
    <xf numFmtId="0" fontId="4" fillId="0" borderId="0" xfId="6" applyAlignment="1">
      <alignment horizontal="center"/>
    </xf>
    <xf numFmtId="14" fontId="4" fillId="0" borderId="0" xfId="0" applyNumberFormat="1" applyFont="1"/>
    <xf numFmtId="20" fontId="0" fillId="0" borderId="0" xfId="0" applyNumberFormat="1"/>
    <xf numFmtId="0" fontId="0" fillId="0" borderId="0" xfId="0" applyAlignment="1">
      <alignment horizontal="center"/>
    </xf>
    <xf numFmtId="0" fontId="0" fillId="0" borderId="0" xfId="0" applyAlignment="1">
      <alignment horizontal="right"/>
    </xf>
    <xf numFmtId="0" fontId="0" fillId="0" borderId="0" xfId="0" applyAlignment="1">
      <alignment horizontal="center" vertical="center"/>
    </xf>
    <xf numFmtId="0" fontId="8" fillId="0" borderId="0" xfId="0" applyFont="1"/>
    <xf numFmtId="0" fontId="8" fillId="0" borderId="0" xfId="0" applyFont="1" applyAlignment="1">
      <alignment horizontal="center" vertical="center"/>
    </xf>
    <xf numFmtId="0" fontId="4" fillId="0" borderId="0" xfId="0" applyFont="1" applyAlignment="1">
      <alignment horizontal="left"/>
    </xf>
    <xf numFmtId="0" fontId="5" fillId="0" borderId="0" xfId="0" applyFont="1"/>
    <xf numFmtId="0" fontId="0" fillId="3" borderId="0" xfId="0" applyFill="1"/>
    <xf numFmtId="0" fontId="0" fillId="0" borderId="0" xfId="0" applyAlignment="1">
      <alignment horizontal="left"/>
    </xf>
    <xf numFmtId="0" fontId="9" fillId="2" borderId="1" xfId="0" applyFont="1" applyFill="1" applyBorder="1"/>
    <xf numFmtId="0" fontId="9" fillId="2" borderId="2" xfId="0" applyFont="1" applyFill="1" applyBorder="1" applyAlignment="1">
      <alignment wrapText="1"/>
    </xf>
    <xf numFmtId="0" fontId="9" fillId="2" borderId="3" xfId="0" applyFont="1" applyFill="1" applyBorder="1" applyAlignment="1">
      <alignment horizontal="center"/>
    </xf>
    <xf numFmtId="0" fontId="9" fillId="2" borderId="4" xfId="0" applyFont="1" applyFill="1" applyBorder="1" applyAlignment="1">
      <alignment horizontal="center"/>
    </xf>
    <xf numFmtId="0" fontId="9" fillId="2" borderId="5" xfId="0" applyFont="1" applyFill="1" applyBorder="1" applyAlignment="1">
      <alignment horizontal="center"/>
    </xf>
    <xf numFmtId="0" fontId="10" fillId="2" borderId="6" xfId="0" applyFont="1" applyFill="1" applyBorder="1" applyAlignment="1">
      <alignment horizontal="center" vertical="center" wrapText="1"/>
    </xf>
    <xf numFmtId="0" fontId="9" fillId="2" borderId="1" xfId="0" applyFont="1" applyFill="1" applyBorder="1" applyAlignment="1">
      <alignment horizontal="left"/>
    </xf>
    <xf numFmtId="0" fontId="0" fillId="4" borderId="0" xfId="0" applyFill="1"/>
    <xf numFmtId="0" fontId="11" fillId="0" borderId="1" xfId="0" applyFont="1" applyBorder="1" applyAlignment="1">
      <alignment horizontal="center"/>
    </xf>
    <xf numFmtId="0" fontId="11" fillId="5" borderId="1" xfId="0" applyFont="1" applyFill="1" applyBorder="1" applyAlignment="1">
      <alignment horizontal="center"/>
    </xf>
    <xf numFmtId="165" fontId="11" fillId="5" borderId="1" xfId="0" applyNumberFormat="1" applyFont="1" applyFill="1" applyBorder="1" applyAlignment="1">
      <alignment horizontal="center"/>
    </xf>
    <xf numFmtId="0" fontId="11" fillId="0" borderId="1" xfId="0" applyFont="1" applyBorder="1"/>
    <xf numFmtId="166" fontId="11" fillId="0" borderId="1" xfId="0" applyNumberFormat="1" applyFont="1" applyBorder="1" applyAlignment="1">
      <alignment horizontal="left"/>
    </xf>
    <xf numFmtId="0" fontId="0" fillId="6" borderId="0" xfId="0" applyFill="1"/>
    <xf numFmtId="0" fontId="0" fillId="6" borderId="0" xfId="0" applyFill="1" applyAlignment="1">
      <alignment horizontal="left"/>
    </xf>
    <xf numFmtId="0" fontId="11" fillId="0" borderId="7" xfId="0" applyFont="1" applyBorder="1" applyAlignment="1">
      <alignment horizontal="center"/>
    </xf>
    <xf numFmtId="0" fontId="11" fillId="0" borderId="1" xfId="0" applyFont="1" applyBorder="1" applyAlignment="1">
      <alignment horizontal="left"/>
    </xf>
    <xf numFmtId="0" fontId="12"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167" fontId="11" fillId="5" borderId="1" xfId="0" applyNumberFormat="1" applyFont="1" applyFill="1" applyBorder="1" applyAlignment="1">
      <alignment horizontal="center"/>
    </xf>
    <xf numFmtId="0" fontId="14" fillId="5" borderId="1" xfId="0" applyFont="1" applyFill="1" applyBorder="1" applyAlignment="1">
      <alignment horizontal="center"/>
    </xf>
    <xf numFmtId="0" fontId="15" fillId="4" borderId="0" xfId="0" applyFont="1" applyFill="1"/>
    <xf numFmtId="0" fontId="16" fillId="4" borderId="1" xfId="0" applyFont="1" applyFill="1" applyBorder="1" applyAlignment="1">
      <alignment horizontal="center" vertical="center" wrapText="1"/>
    </xf>
    <xf numFmtId="0" fontId="15" fillId="0" borderId="0" xfId="0" applyFont="1"/>
    <xf numFmtId="0" fontId="3" fillId="0" borderId="0" xfId="15"/>
    <xf numFmtId="14" fontId="3" fillId="0" borderId="0" xfId="15" applyNumberFormat="1"/>
    <xf numFmtId="165" fontId="17" fillId="5" borderId="1" xfId="0" applyNumberFormat="1" applyFont="1" applyFill="1" applyBorder="1" applyAlignment="1">
      <alignment horizontal="center"/>
    </xf>
    <xf numFmtId="0" fontId="9" fillId="2" borderId="8" xfId="0" applyFont="1" applyFill="1" applyBorder="1" applyAlignment="1">
      <alignment wrapText="1"/>
    </xf>
    <xf numFmtId="0" fontId="2" fillId="0" borderId="0" xfId="16"/>
    <xf numFmtId="14" fontId="2" fillId="0" borderId="0" xfId="16" applyNumberFormat="1"/>
    <xf numFmtId="0" fontId="0" fillId="7" borderId="0" xfId="0" applyFill="1"/>
    <xf numFmtId="0" fontId="1" fillId="0" borderId="0" xfId="17"/>
    <xf numFmtId="14" fontId="1" fillId="0" borderId="0" xfId="17" applyNumberFormat="1"/>
  </cellXfs>
  <cellStyles count="18">
    <cellStyle name="Normal" xfId="0" builtinId="0"/>
    <cellStyle name="Normal 10" xfId="1" xr:uid="{00000000-0005-0000-0000-000001000000}"/>
    <cellStyle name="Normal 11" xfId="2" xr:uid="{00000000-0005-0000-0000-000002000000}"/>
    <cellStyle name="Normal 12" xfId="15" xr:uid="{A09CE20E-19B0-41CA-B4F4-7382D220B9D1}"/>
    <cellStyle name="Normal 13" xfId="16" xr:uid="{94FFF356-8516-4E80-84FD-4738DC6E66FB}"/>
    <cellStyle name="Normal 14" xfId="17" xr:uid="{C9A470C4-8504-4CE5-8839-5CF4C5657B63}"/>
    <cellStyle name="Normal 147" xfId="3" xr:uid="{00000000-0005-0000-0000-000003000000}"/>
    <cellStyle name="Normal 157" xfId="4" xr:uid="{00000000-0005-0000-0000-000004000000}"/>
    <cellStyle name="Normal 2" xfId="5" xr:uid="{00000000-0005-0000-0000-000005000000}"/>
    <cellStyle name="Normal 2 2" xfId="6" xr:uid="{00000000-0005-0000-0000-000006000000}"/>
    <cellStyle name="Normal 2_WVCC - vets standards 2010" xfId="7" xr:uid="{00000000-0005-0000-0000-000007000000}"/>
    <cellStyle name="Normal 3" xfId="8" xr:uid="{00000000-0005-0000-0000-000008000000}"/>
    <cellStyle name="Normal 4" xfId="9" xr:uid="{00000000-0005-0000-0000-000009000000}"/>
    <cellStyle name="Normal 5" xfId="10" xr:uid="{00000000-0005-0000-0000-00000A000000}"/>
    <cellStyle name="Normal 6" xfId="11" xr:uid="{00000000-0005-0000-0000-00000B000000}"/>
    <cellStyle name="Normal 7" xfId="12" xr:uid="{00000000-0005-0000-0000-00000C000000}"/>
    <cellStyle name="Normal 8" xfId="13" xr:uid="{00000000-0005-0000-0000-00000D000000}"/>
    <cellStyle name="Normal 9" xfId="14" xr:uid="{00000000-0005-0000-0000-00000E000000}"/>
  </cellStyles>
  <dxfs count="86">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numFmt numFmtId="168" formatCode="hh:mm:ss.00;@"/>
    </dxf>
    <dxf>
      <fill>
        <patternFill patternType="solid">
          <fgColor rgb="FFB3EBFF"/>
          <bgColor rgb="FFB3EBFF"/>
        </patternFill>
      </fill>
    </dxf>
    <dxf>
      <numFmt numFmtId="2" formatCode="0.00"/>
    </dxf>
    <dxf>
      <font>
        <color rgb="FF9C0006"/>
      </font>
      <fill>
        <patternFill patternType="solid">
          <fgColor rgb="FFFFC7CE"/>
          <bgColor rgb="FFFFC7CE"/>
        </patternFill>
      </fill>
    </dxf>
    <dxf>
      <fill>
        <patternFill>
          <bgColor rgb="FFFFFFCC"/>
        </patternFill>
      </fill>
    </dxf>
    <dxf>
      <fill>
        <patternFill>
          <bgColor rgb="FFFFFF00"/>
        </patternFill>
      </fill>
    </dxf>
    <dxf>
      <font>
        <color theme="2"/>
      </font>
      <fill>
        <patternFill patternType="solid">
          <fgColor indexed="2"/>
          <bgColor indexed="2"/>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ike" id="{EA7A7A22-616D-2634-1206-F54AE3836EBB}" userId="" providerId=""/>
  <person displayName="Mike Ives" id="{9D386C51-73AB-4BCD-8308-F1C3C88C3C60}" userId="35392b5b86749ad1"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Arial"/>
        <a:cs typeface="Arial"/>
      </a:majorFont>
      <a:minorFont>
        <a:latin typeface="Calibri"/>
        <a:ea typeface="Arial"/>
        <a:cs typeface="Arial"/>
      </a:minorFont>
    </a:fontScheme>
    <a:fmtScheme name="Office 2007 - 2010">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 dT="2026-07-18T12:20:42.67" personId="{9D386C51-73AB-4BCD-8308-F1C3C88C3C60}" id="{C15326C7-232B-48BA-9AB1-3292D079737D}">
    <text xml:space="preserve">Some events may be marked as “Shortened Ten = Y” in the calendar. These are shortened 10‑mile events which still count for Nev Brooks scoring, but do not set or update handicaps. </text>
  </threadedComment>
  <threadedComment ref="P1" dT="2026-06-22T13:46:23.24" personId="{9D386C51-73AB-4BCD-8308-F1C3C88C3C60}" id="{56DFDF93-DA45-45CD-911B-038D8A97F460}">
    <text>Cancelled means this event is no longer part of the calendar and should not contribute to the number of events used for scoring. 
n/2 + 1 ignores cancelled events</text>
  </threadedComment>
  <threadedComment ref="Q1" dT="2026-06-22T13:47:44.13" personId="{9D386C51-73AB-4BCD-8308-F1C3C88C3C60}" id="{4457D34F-171C-4427-BC97-9E10ED005D72}">
    <text>A postponed event is still part of the calendar - until such time as a replacement event is set up.
n/2 + 1 does include postponed events.
A postponed event should be set to cancelled when a replacement event has been added to the calendar.</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7-08T11:30:56.88" personId="{9D386C51-73AB-4BCD-8308-F1C3C88C3C60}" id="{52656517-E15B-4072-8994-01351BFE8ABD}">
    <text>Use names from this column in Col A of an event sheet - including the first claim team suffix if present.
E.g. Evan Collett (G Fox).
!!!!!!!!!!!!!!!!!!!!!!!!!!!!!!!!!
!!WVCC DIFFERENCE!!
!!!!!!!!!!!!!!!!!!!!!!!!!!!!!!!!!
Do enter 2nd claim WVCC Round Robin riders here and use this to show their First Claim team as a suffix in column A.  
*But*, no not use this suffixed name in the event sheet - we want Column B in the event sheet to use the WVCC 2nd claim rider’s Club Number.  So use just their name.
E.g. on this sheet:
Leah Cuthbertson (G Fox)
On the event sheets, column A:
Leah Cuthbertson.
Resulting in Column B showing:
1391</text>
  </threadedComment>
</ThreadedComments>
</file>

<file path=xl/threadedComments/threadedComment3.xml><?xml version="1.0" encoding="utf-8"?>
<ThreadedComments xmlns="http://schemas.microsoft.com/office/spreadsheetml/2018/threadedcomments" xmlns:x="http://schemas.openxmlformats.org/spreadsheetml/2006/main">
  <threadedComment ref="A1" personId="{EA7A7A22-616D-2634-1206-F54AE3836EBB}" id="{00CD00A8-00E8-4CA6-87BA-006F00960015}">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D500E1-00B9-45B4-A69E-0036005700CD}">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personId="{EA7A7A22-616D-2634-1206-F54AE3836EBB}" id="{00200093-0068-478C-BE2D-00C50082008A}">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1F000C-0049-420A-B235-00D400AB00CA}">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5.xml><?xml version="1.0" encoding="utf-8"?>
<ThreadedComments xmlns="http://schemas.microsoft.com/office/spreadsheetml/2018/threadedcomments" xmlns:x="http://schemas.openxmlformats.org/spreadsheetml/2006/main">
  <threadedComment ref="A1" personId="{EA7A7A22-616D-2634-1206-F54AE3836EBB}" id="{00300054-00BD-4D63-885D-0015007B00E0}">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CE009F-00FB-4E43-8C75-0019008A0015}">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6.xml><?xml version="1.0" encoding="utf-8"?>
<ThreadedComments xmlns="http://schemas.microsoft.com/office/spreadsheetml/2018/threadedcomments" xmlns:x="http://schemas.openxmlformats.org/spreadsheetml/2006/main">
  <threadedComment ref="A1" personId="{EA7A7A22-616D-2634-1206-F54AE3836EBB}" id="{0097002A-00EF-49CD-89E5-005C0064007D}">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2800C4-008B-4048-91C8-007E00FE009A}">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7.xml><?xml version="1.0" encoding="utf-8"?>
<ThreadedComments xmlns="http://schemas.microsoft.com/office/spreadsheetml/2018/threadedcomments" xmlns:x="http://schemas.openxmlformats.org/spreadsheetml/2006/main">
  <threadedComment ref="A1" personId="{EA7A7A22-616D-2634-1206-F54AE3836EBB}" id="{00AC009A-0002-4897-9AAF-00AE00D90006}">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2C009E-0014-4DAF-858C-007500B4008C}">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8.xml><?xml version="1.0" encoding="utf-8"?>
<ThreadedComments xmlns="http://schemas.microsoft.com/office/spreadsheetml/2018/threadedcomments" xmlns:x="http://schemas.openxmlformats.org/spreadsheetml/2006/main">
  <threadedComment ref="A1" personId="{EA7A7A22-616D-2634-1206-F54AE3836EBB}" id="{008300DD-0060-4AE9-80B0-003600FA0079}">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ED00CF-00EB-49E7-8D61-0027005C005F}">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9.xml><?xml version="1.0" encoding="utf-8"?>
<ThreadedComments xmlns="http://schemas.microsoft.com/office/spreadsheetml/2018/threadedcomments" xmlns:x="http://schemas.openxmlformats.org/spreadsheetml/2006/main">
  <threadedComment ref="A1" personId="{EA7A7A22-616D-2634-1206-F54AE3836EBB}" id="{000C0008-00F2-4880-BAC4-0057007D00C5}">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0B0081-007A-4792-B255-00DC007D00A6}">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0.xml><?xml version="1.0" encoding="utf-8"?>
<ThreadedComments xmlns="http://schemas.microsoft.com/office/spreadsheetml/2018/threadedcomments" xmlns:x="http://schemas.openxmlformats.org/spreadsheetml/2006/main">
  <threadedComment ref="A1" personId="{EA7A7A22-616D-2634-1206-F54AE3836EBB}" id="{007700E0-002E-4418-A057-005100B80074}">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B8005F-00ED-46F3-B50F-001E0008008A}">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1.xml><?xml version="1.0" encoding="utf-8"?>
<ThreadedComments xmlns="http://schemas.microsoft.com/office/spreadsheetml/2018/threadedcomments" xmlns:x="http://schemas.openxmlformats.org/spreadsheetml/2006/main">
  <threadedComment ref="A1" personId="{EA7A7A22-616D-2634-1206-F54AE3836EBB}" id="{004E00F7-001C-4FA8-A588-001400B6006B}">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C30037-0025-464E-BDAD-00A300D4009A}">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2.xml><?xml version="1.0" encoding="utf-8"?>
<ThreadedComments xmlns="http://schemas.microsoft.com/office/spreadsheetml/2018/threadedcomments" xmlns:x="http://schemas.openxmlformats.org/spreadsheetml/2006/main">
  <threadedComment ref="A1" personId="{EA7A7A22-616D-2634-1206-F54AE3836EBB}" id="{0041006D-0001-4EB6-8F0E-0020008800DD}">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E400B5-0011-4D79-9BC8-00B2008B0009}">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3.xml><?xml version="1.0" encoding="utf-8"?>
<ThreadedComments xmlns="http://schemas.microsoft.com/office/spreadsheetml/2018/threadedcomments" xmlns:x="http://schemas.openxmlformats.org/spreadsheetml/2006/main">
  <threadedComment ref="A1" personId="{EA7A7A22-616D-2634-1206-F54AE3836EBB}" id="{008000BF-00C6-46E6-B77C-00CF00C900C8}">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6400AC-00E3-4187-8396-00AC0062009A}">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4.xml><?xml version="1.0" encoding="utf-8"?>
<ThreadedComments xmlns="http://schemas.microsoft.com/office/spreadsheetml/2018/threadedcomments" xmlns:x="http://schemas.openxmlformats.org/spreadsheetml/2006/main">
  <threadedComment ref="A1" personId="{EA7A7A22-616D-2634-1206-F54AE3836EBB}" id="{00D60062-00C7-40CD-8DB6-005A00CC006B}">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EE00AF-0088-4626-AF0F-00D300150052}">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5.xml><?xml version="1.0" encoding="utf-8"?>
<ThreadedComments xmlns="http://schemas.microsoft.com/office/spreadsheetml/2018/threadedcomments" xmlns:x="http://schemas.openxmlformats.org/spreadsheetml/2006/main">
  <threadedComment ref="A1" personId="{EA7A7A22-616D-2634-1206-F54AE3836EBB}" id="{00E000E5-0035-498D-8D7A-00D300C60041}">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91005F-005B-4340-AC67-00AB00B8004A}">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6.xml><?xml version="1.0" encoding="utf-8"?>
<ThreadedComments xmlns="http://schemas.microsoft.com/office/spreadsheetml/2018/threadedcomments" xmlns:x="http://schemas.openxmlformats.org/spreadsheetml/2006/main">
  <threadedComment ref="A1" personId="{EA7A7A22-616D-2634-1206-F54AE3836EBB}" id="{005D00FE-0080-48DC-8B45-00C900BE00D9}">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7C00DC-00D1-4F3B-9FFB-006500C600E4}">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7.xml><?xml version="1.0" encoding="utf-8"?>
<ThreadedComments xmlns="http://schemas.microsoft.com/office/spreadsheetml/2018/threadedcomments" xmlns:x="http://schemas.openxmlformats.org/spreadsheetml/2006/main">
  <threadedComment ref="A1" personId="{EA7A7A22-616D-2634-1206-F54AE3836EBB}" id="{002F0005-006F-4BE4-8A3E-008A00AF0098}">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E500F9-00FF-4F0C-89A1-00A000B10027}">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8.xml><?xml version="1.0" encoding="utf-8"?>
<ThreadedComments xmlns="http://schemas.microsoft.com/office/spreadsheetml/2018/threadedcomments" xmlns:x="http://schemas.openxmlformats.org/spreadsheetml/2006/main">
  <threadedComment ref="A1" personId="{EA7A7A22-616D-2634-1206-F54AE3836EBB}" id="{002600F7-0002-4A42-8224-000400C200BE}">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C6007F-002D-452E-8DC4-0051005C00C8}">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19.xml><?xml version="1.0" encoding="utf-8"?>
<ThreadedComments xmlns="http://schemas.microsoft.com/office/spreadsheetml/2018/threadedcomments" xmlns:x="http://schemas.openxmlformats.org/spreadsheetml/2006/main">
  <threadedComment ref="A1" personId="{EA7A7A22-616D-2634-1206-F54AE3836EBB}" id="{00A100EF-00F1-4679-92AB-00EB000A00DC}">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4D0093-0001-478F-A210-0008008F00A2}">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0.xml><?xml version="1.0" encoding="utf-8"?>
<ThreadedComments xmlns="http://schemas.microsoft.com/office/spreadsheetml/2018/threadedcomments" xmlns:x="http://schemas.openxmlformats.org/spreadsheetml/2006/main">
  <threadedComment ref="A1" personId="{EA7A7A22-616D-2634-1206-F54AE3836EBB}" id="{0062002C-00DF-4E99-B8F0-00E7009700C3}">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86002F-00E5-42AA-AE27-0065007D003B}">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1.xml><?xml version="1.0" encoding="utf-8"?>
<ThreadedComments xmlns="http://schemas.microsoft.com/office/spreadsheetml/2018/threadedcomments" xmlns:x="http://schemas.openxmlformats.org/spreadsheetml/2006/main">
  <threadedComment ref="A1" personId="{EA7A7A22-616D-2634-1206-F54AE3836EBB}" id="{006A0004-00F8-4A7C-A175-0083008F00B2}">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530015-00A1-4F8F-A274-004D0021004B}">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2.xml><?xml version="1.0" encoding="utf-8"?>
<ThreadedComments xmlns="http://schemas.microsoft.com/office/spreadsheetml/2018/threadedcomments" xmlns:x="http://schemas.openxmlformats.org/spreadsheetml/2006/main">
  <threadedComment ref="A1" personId="{EA7A7A22-616D-2634-1206-F54AE3836EBB}" id="{00AE0009-0036-430C-B4D1-0047001B00EF}">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D700A2-00EF-4113-8A33-005C001200C6}">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3.xml><?xml version="1.0" encoding="utf-8"?>
<ThreadedComments xmlns="http://schemas.microsoft.com/office/spreadsheetml/2018/threadedcomments" xmlns:x="http://schemas.openxmlformats.org/spreadsheetml/2006/main">
  <threadedComment ref="A1" personId="{EA7A7A22-616D-2634-1206-F54AE3836EBB}" id="{00A40082-0009-4A68-B971-00DD00890087}">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BC00B8-003D-46CD-8846-000D00E80087}">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4.xml><?xml version="1.0" encoding="utf-8"?>
<ThreadedComments xmlns="http://schemas.microsoft.com/office/spreadsheetml/2018/threadedcomments" xmlns:x="http://schemas.openxmlformats.org/spreadsheetml/2006/main">
  <threadedComment ref="A1" personId="{EA7A7A22-616D-2634-1206-F54AE3836EBB}" id="{00FB0012-002E-4535-B884-002400FF0058}">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E4002A-00F2-425D-9260-0050006E0040}">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5.xml><?xml version="1.0" encoding="utf-8"?>
<ThreadedComments xmlns="http://schemas.microsoft.com/office/spreadsheetml/2018/threadedcomments" xmlns:x="http://schemas.openxmlformats.org/spreadsheetml/2006/main">
  <threadedComment ref="A1" personId="{EA7A7A22-616D-2634-1206-F54AE3836EBB}" id="{00980088-0087-4711-BEE2-00050007007C}">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2B00F8-0081-46D3-BF44-00C90096006F}">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6.xml><?xml version="1.0" encoding="utf-8"?>
<ThreadedComments xmlns="http://schemas.microsoft.com/office/spreadsheetml/2018/threadedcomments" xmlns:x="http://schemas.openxmlformats.org/spreadsheetml/2006/main">
  <threadedComment ref="A1" personId="{EA7A7A22-616D-2634-1206-F54AE3836EBB}" id="{008B00B1-00A1-414B-840E-008F001D0080}">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700051-0009-40F4-8175-00DE0002000F}">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7.xml><?xml version="1.0" encoding="utf-8"?>
<ThreadedComments xmlns="http://schemas.microsoft.com/office/spreadsheetml/2018/threadedcomments" xmlns:x="http://schemas.openxmlformats.org/spreadsheetml/2006/main">
  <threadedComment ref="A1" personId="{EA7A7A22-616D-2634-1206-F54AE3836EBB}" id="{004D00B9-00DD-4DDD-B7BB-005500560010}">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850071-0082-4604-87F4-008900830073}">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8.xml><?xml version="1.0" encoding="utf-8"?>
<ThreadedComments xmlns="http://schemas.microsoft.com/office/spreadsheetml/2018/threadedcomments" xmlns:x="http://schemas.openxmlformats.org/spreadsheetml/2006/main">
  <threadedComment ref="A1" personId="{EA7A7A22-616D-2634-1206-F54AE3836EBB}" id="{00B00075-00EC-4CA1-B4A4-003B0000009F}">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6D0053-006E-465C-BE60-001D005300EE}">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threadedComments/threadedComment29.xml><?xml version="1.0" encoding="utf-8"?>
<ThreadedComments xmlns="http://schemas.microsoft.com/office/spreadsheetml/2018/threadedcomments" xmlns:x="http://schemas.openxmlformats.org/spreadsheetml/2006/main">
  <threadedComment ref="A1" personId="{EA7A7A22-616D-2634-1206-F54AE3836EBB}" id="{00F900EE-0048-4786-9FD2-008E00A800C4}">
    <text xml:space="preserve">Enter WVCC club numbers or raw names in this column._x000D_
_x000D_
Column B will then be populated with either the WVCC club number, a Round Robin decorated name (which includes the club name in parentheses), or the raw name for any other guest rider._x000D_
_x000D_
Best practice: whenever a Guest name appears in column B, copy and paste it as a value. This prevents the name from being automatically converted to a WVCC club number or Round Robin rider later in the season if that person subsequently joins a club.
</text>
  </threadedComment>
  <threadedComment ref="B1" personId="{EA7A7A22-616D-2634-1206-F54AE3836EBB}" id="{00990054-00B1-43FA-8E4D-0040007800CB}">
    <text xml:space="preserve">This column uses a formula to identify either a RoundRobinRider or a WVCC Competitor based on the Club Number or Raw Name in column A._x000D_
_x000D_
Any name that does not match either list is treated as an unrecognised Guest. Guests are not included in WVCC competitions or Round Robin competitions._x000D_
_x000D_
Best practice: whenever a Guest name appears in this column, copy and paste it as a value. This prevents the name from being automatically converted to a WVCC club number or Round Robin rider later in the season if that person subsequently joins a club.
</text>
  </threadedComment>
</ThreadedComment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3.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4.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9.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3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bin"/><Relationship Id="rId4" Type="http://schemas.microsoft.com/office/2017/10/relationships/threadedComment" Target="../threadedComments/threadedComment11.xml"/></Relationships>
</file>

<file path=xl/worksheets/_rels/sheet31.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32.xml.rels><?xml version="1.0" encoding="UTF-8" standalone="yes"?>
<Relationships xmlns="http://schemas.openxmlformats.org/package/2006/relationships"><Relationship Id="rId3" Type="http://schemas.microsoft.com/office/2017/10/relationships/threadedComment" Target="../threadedComments/threadedComment13.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33.xml.rels><?xml version="1.0" encoding="UTF-8" standalone="yes"?>
<Relationships xmlns="http://schemas.openxmlformats.org/package/2006/relationships"><Relationship Id="rId3" Type="http://schemas.microsoft.com/office/2017/10/relationships/threadedComment" Target="../threadedComments/threadedComment14.xml"/><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bin"/><Relationship Id="rId4" Type="http://schemas.microsoft.com/office/2017/10/relationships/threadedComment" Target="../threadedComments/threadedComment15.xml"/></Relationships>
</file>

<file path=xl/worksheets/_rels/sheet35.xml.rels><?xml version="1.0" encoding="UTF-8" standalone="yes"?>
<Relationships xmlns="http://schemas.openxmlformats.org/package/2006/relationships"><Relationship Id="rId3" Type="http://schemas.microsoft.com/office/2017/10/relationships/threadedComment" Target="../threadedComments/threadedComment16.xml"/><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3" Type="http://schemas.microsoft.com/office/2017/10/relationships/threadedComment" Target="../threadedComments/threadedComment17.xml"/><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7.xml.rels><?xml version="1.0" encoding="UTF-8" standalone="yes"?>
<Relationships xmlns="http://schemas.openxmlformats.org/package/2006/relationships"><Relationship Id="rId3" Type="http://schemas.microsoft.com/office/2017/10/relationships/threadedComment" Target="../threadedComments/threadedComment18.xml"/><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8.xml.rels><?xml version="1.0" encoding="UTF-8" standalone="yes"?>
<Relationships xmlns="http://schemas.openxmlformats.org/package/2006/relationships"><Relationship Id="rId3" Type="http://schemas.microsoft.com/office/2017/10/relationships/threadedComment" Target="../threadedComments/threadedComment19.xml"/><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9.xml.rels><?xml version="1.0" encoding="UTF-8" standalone="yes"?>
<Relationships xmlns="http://schemas.openxmlformats.org/package/2006/relationships"><Relationship Id="rId3" Type="http://schemas.microsoft.com/office/2017/10/relationships/threadedComment" Target="../threadedComments/threadedComment20.xml"/><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40.xml.rels><?xml version="1.0" encoding="UTF-8" standalone="yes"?>
<Relationships xmlns="http://schemas.openxmlformats.org/package/2006/relationships"><Relationship Id="rId3" Type="http://schemas.microsoft.com/office/2017/10/relationships/threadedComment" Target="../threadedComments/threadedComment21.xml"/><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1.xml.rels><?xml version="1.0" encoding="UTF-8" standalone="yes"?>
<Relationships xmlns="http://schemas.openxmlformats.org/package/2006/relationships"><Relationship Id="rId3" Type="http://schemas.microsoft.com/office/2017/10/relationships/threadedComment" Target="../threadedComments/threadedComment22.xml"/><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42.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bin"/><Relationship Id="rId4" Type="http://schemas.microsoft.com/office/2017/10/relationships/threadedComment" Target="../threadedComments/threadedComment23.xml"/></Relationships>
</file>

<file path=xl/worksheets/_rels/sheet43.xml.rels><?xml version="1.0" encoding="UTF-8" standalone="yes"?>
<Relationships xmlns="http://schemas.openxmlformats.org/package/2006/relationships"><Relationship Id="rId3" Type="http://schemas.microsoft.com/office/2017/10/relationships/threadedComment" Target="../threadedComments/threadedComment24.xml"/><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44.xml.rels><?xml version="1.0" encoding="UTF-8" standalone="yes"?>
<Relationships xmlns="http://schemas.openxmlformats.org/package/2006/relationships"><Relationship Id="rId3" Type="http://schemas.microsoft.com/office/2017/10/relationships/threadedComment" Target="../threadedComments/threadedComment25.xml"/><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45.xml.rels><?xml version="1.0" encoding="UTF-8" standalone="yes"?>
<Relationships xmlns="http://schemas.openxmlformats.org/package/2006/relationships"><Relationship Id="rId3" Type="http://schemas.microsoft.com/office/2017/10/relationships/threadedComment" Target="../threadedComments/threadedComment26.xml"/><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6.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4.bin"/><Relationship Id="rId4" Type="http://schemas.microsoft.com/office/2017/10/relationships/threadedComment" Target="../threadedComments/threadedComment27.xml"/></Relationships>
</file>

<file path=xl/worksheets/_rels/sheet47.xml.rels><?xml version="1.0" encoding="UTF-8" standalone="yes"?>
<Relationships xmlns="http://schemas.openxmlformats.org/package/2006/relationships"><Relationship Id="rId3" Type="http://schemas.microsoft.com/office/2017/10/relationships/threadedComment" Target="../threadedComments/threadedComment28.xml"/><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48.xml.rels><?xml version="1.0" encoding="UTF-8" standalone="yes"?>
<Relationships xmlns="http://schemas.openxmlformats.org/package/2006/relationships"><Relationship Id="rId3" Type="http://schemas.microsoft.com/office/2017/10/relationships/threadedComment" Target="../threadedComments/threadedComment29.xml"/><Relationship Id="rId2" Type="http://schemas.openxmlformats.org/officeDocument/2006/relationships/comments" Target="../comments29.xml"/><Relationship Id="rId1" Type="http://schemas.openxmlformats.org/officeDocument/2006/relationships/vmlDrawing" Target="../drawings/vmlDrawing2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C12"/>
  <sheetViews>
    <sheetView workbookViewId="0"/>
    <sheetView workbookViewId="1"/>
  </sheetViews>
  <sheetFormatPr defaultRowHeight="12.75"/>
  <cols>
    <col min="1" max="1" width="10.1328125" style="1" bestFit="1" customWidth="1"/>
    <col min="2" max="2" width="12.6640625" style="1" bestFit="1" customWidth="1"/>
    <col min="3" max="3" width="126.796875" bestFit="1" customWidth="1"/>
    <col min="4" max="4" width="45.19921875" customWidth="1"/>
  </cols>
  <sheetData>
    <row r="1" spans="1:3">
      <c r="A1" s="1">
        <v>42404</v>
      </c>
      <c r="B1" s="1" t="s">
        <v>0</v>
      </c>
      <c r="C1" t="s">
        <v>1</v>
      </c>
    </row>
    <row r="2" spans="1:3">
      <c r="A2" s="1">
        <v>45949</v>
      </c>
      <c r="B2" s="1" t="s">
        <v>0</v>
      </c>
      <c r="C2" t="s">
        <v>2</v>
      </c>
    </row>
    <row r="3" spans="1:3">
      <c r="C3" t="s">
        <v>3</v>
      </c>
    </row>
    <row r="4" spans="1:3">
      <c r="C4" t="s">
        <v>4</v>
      </c>
    </row>
    <row r="5" spans="1:3">
      <c r="C5" t="s">
        <v>5</v>
      </c>
    </row>
    <row r="6" spans="1:3">
      <c r="C6" t="s">
        <v>6</v>
      </c>
    </row>
    <row r="7" spans="1:3">
      <c r="A7" s="1">
        <v>45954</v>
      </c>
      <c r="B7" s="1" t="s">
        <v>0</v>
      </c>
      <c r="C7" t="s">
        <v>7</v>
      </c>
    </row>
    <row r="8" spans="1:3">
      <c r="A8" s="1">
        <v>46026</v>
      </c>
      <c r="B8" s="1" t="s">
        <v>0</v>
      </c>
      <c r="C8" t="s">
        <v>8</v>
      </c>
    </row>
    <row r="9" spans="1:3">
      <c r="C9" t="s">
        <v>9</v>
      </c>
    </row>
    <row r="10" spans="1:3">
      <c r="A10" s="1">
        <v>46046</v>
      </c>
      <c r="B10" s="1" t="s">
        <v>0</v>
      </c>
      <c r="C10" t="s">
        <v>10</v>
      </c>
    </row>
    <row r="11" spans="1:3">
      <c r="C11" s="2" t="s">
        <v>11</v>
      </c>
    </row>
    <row r="12" spans="1:3">
      <c r="C12" t="s">
        <v>12</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J249"/>
  <sheetViews>
    <sheetView workbookViewId="0"/>
    <sheetView workbookViewId="1"/>
  </sheetViews>
  <sheetFormatPr defaultRowHeight="12.75"/>
  <cols>
    <col min="1" max="1" width="10.796875" bestFit="1" customWidth="1"/>
    <col min="2" max="2" width="13.33203125" bestFit="1" customWidth="1"/>
    <col min="3" max="3" width="10.1328125" bestFit="1" customWidth="1"/>
    <col min="4" max="4" width="12" bestFit="1" customWidth="1"/>
    <col min="5" max="5" width="8.1328125" bestFit="1" customWidth="1"/>
    <col min="6" max="6" width="8.86328125" bestFit="1" customWidth="1"/>
    <col min="7" max="7" width="10" bestFit="1" customWidth="1"/>
    <col min="8" max="8" width="10.19921875" bestFit="1" customWidth="1"/>
    <col min="10" max="10" width="10" bestFit="1" customWidth="1"/>
  </cols>
  <sheetData>
    <row r="1" spans="1:10" ht="14.25">
      <c r="A1" s="70" t="s">
        <v>13</v>
      </c>
      <c r="B1" s="70" t="s">
        <v>14</v>
      </c>
      <c r="C1" s="70" t="s">
        <v>15</v>
      </c>
      <c r="D1" s="70" t="s">
        <v>16</v>
      </c>
      <c r="E1" s="70" t="s">
        <v>17</v>
      </c>
      <c r="F1" s="70" t="s">
        <v>18</v>
      </c>
      <c r="G1" s="70" t="s">
        <v>19</v>
      </c>
      <c r="H1" s="70" t="s">
        <v>20</v>
      </c>
    </row>
    <row r="2" spans="1:10" ht="14.25">
      <c r="A2" s="70">
        <v>1327</v>
      </c>
      <c r="B2" s="70" t="s">
        <v>21</v>
      </c>
      <c r="C2" s="70" t="s">
        <v>22</v>
      </c>
      <c r="D2" s="70" t="s">
        <v>23</v>
      </c>
      <c r="E2" s="70" t="b">
        <v>0</v>
      </c>
      <c r="F2" s="70" t="s">
        <v>25</v>
      </c>
      <c r="G2" s="70"/>
      <c r="H2" s="71">
        <v>46236</v>
      </c>
      <c r="J2" s="1"/>
    </row>
    <row r="3" spans="1:10" ht="14.25">
      <c r="A3" s="70">
        <v>1237</v>
      </c>
      <c r="B3" s="70" t="s">
        <v>21</v>
      </c>
      <c r="C3" s="70" t="s">
        <v>26</v>
      </c>
      <c r="D3" s="70" t="s">
        <v>23</v>
      </c>
      <c r="E3" s="70" t="b">
        <v>0</v>
      </c>
      <c r="F3" s="70" t="s">
        <v>27</v>
      </c>
      <c r="G3" s="70">
        <v>1</v>
      </c>
      <c r="H3" s="71">
        <v>46236</v>
      </c>
      <c r="J3" s="1"/>
    </row>
    <row r="4" spans="1:10" ht="14.25">
      <c r="A4" s="70">
        <v>819</v>
      </c>
      <c r="B4" s="70" t="s">
        <v>28</v>
      </c>
      <c r="C4" s="70" t="s">
        <v>29</v>
      </c>
      <c r="D4" s="70" t="s">
        <v>23</v>
      </c>
      <c r="E4" s="70" t="b">
        <v>1</v>
      </c>
      <c r="F4" s="70" t="s">
        <v>27</v>
      </c>
      <c r="G4" s="70">
        <v>23</v>
      </c>
      <c r="H4" s="71">
        <v>46236</v>
      </c>
      <c r="J4" s="1"/>
    </row>
    <row r="5" spans="1:10" ht="14.25">
      <c r="A5" s="70">
        <v>2</v>
      </c>
      <c r="B5" s="70" t="s">
        <v>31</v>
      </c>
      <c r="C5" s="70" t="s">
        <v>32</v>
      </c>
      <c r="D5" s="70" t="s">
        <v>23</v>
      </c>
      <c r="E5" s="70" t="b">
        <v>0</v>
      </c>
      <c r="F5" s="70" t="s">
        <v>27</v>
      </c>
      <c r="G5" s="70">
        <v>21</v>
      </c>
      <c r="H5" s="71">
        <v>46236</v>
      </c>
      <c r="J5" s="1"/>
    </row>
    <row r="6" spans="1:10" ht="14.25">
      <c r="A6" s="70">
        <v>1370</v>
      </c>
      <c r="B6" s="70" t="s">
        <v>33</v>
      </c>
      <c r="C6" s="70" t="s">
        <v>34</v>
      </c>
      <c r="D6" s="70" t="s">
        <v>23</v>
      </c>
      <c r="E6" s="70" t="b">
        <v>0</v>
      </c>
      <c r="F6" s="70" t="s">
        <v>27</v>
      </c>
      <c r="G6" s="70">
        <v>4</v>
      </c>
      <c r="H6" s="71">
        <v>46236</v>
      </c>
      <c r="J6" s="1"/>
    </row>
    <row r="7" spans="1:10" ht="14.25">
      <c r="A7" s="70">
        <v>1415</v>
      </c>
      <c r="B7" s="70" t="s">
        <v>33</v>
      </c>
      <c r="C7" s="70" t="s">
        <v>22</v>
      </c>
      <c r="D7" s="70" t="s">
        <v>23</v>
      </c>
      <c r="E7" s="70" t="b">
        <v>0</v>
      </c>
      <c r="F7" s="70" t="s">
        <v>35</v>
      </c>
      <c r="G7" s="70"/>
      <c r="H7" s="71">
        <v>46236</v>
      </c>
      <c r="J7" s="1"/>
    </row>
    <row r="8" spans="1:10" ht="14.25">
      <c r="A8" s="70">
        <v>1286</v>
      </c>
      <c r="B8" s="70" t="s">
        <v>36</v>
      </c>
      <c r="C8" s="70" t="s">
        <v>34</v>
      </c>
      <c r="D8" s="70" t="s">
        <v>23</v>
      </c>
      <c r="E8" s="70" t="b">
        <v>0</v>
      </c>
      <c r="F8" s="70" t="s">
        <v>27</v>
      </c>
      <c r="G8" s="70">
        <v>13</v>
      </c>
      <c r="H8" s="71">
        <v>46236</v>
      </c>
      <c r="J8" s="1"/>
    </row>
    <row r="9" spans="1:10" ht="14.25">
      <c r="A9" s="70">
        <v>1381</v>
      </c>
      <c r="B9" s="70" t="s">
        <v>36</v>
      </c>
      <c r="C9" s="70" t="s">
        <v>37</v>
      </c>
      <c r="D9" s="70" t="s">
        <v>23</v>
      </c>
      <c r="E9" s="70" t="b">
        <v>0</v>
      </c>
      <c r="F9" s="70" t="s">
        <v>25</v>
      </c>
      <c r="G9" s="70"/>
      <c r="H9" s="71">
        <v>46236</v>
      </c>
      <c r="J9" s="1"/>
    </row>
    <row r="10" spans="1:10" ht="14.25">
      <c r="A10" s="70">
        <v>1112</v>
      </c>
      <c r="B10" s="70" t="s">
        <v>38</v>
      </c>
      <c r="C10" s="70" t="s">
        <v>39</v>
      </c>
      <c r="D10" s="70" t="s">
        <v>23</v>
      </c>
      <c r="E10" s="70" t="b">
        <v>0</v>
      </c>
      <c r="F10" s="70" t="s">
        <v>27</v>
      </c>
      <c r="G10" s="70">
        <v>16</v>
      </c>
      <c r="H10" s="71">
        <v>46236</v>
      </c>
      <c r="J10" s="1"/>
    </row>
    <row r="11" spans="1:10" ht="14.25">
      <c r="A11" s="70">
        <v>1135</v>
      </c>
      <c r="B11" s="70" t="s">
        <v>40</v>
      </c>
      <c r="C11" s="70" t="s">
        <v>41</v>
      </c>
      <c r="D11" s="70" t="s">
        <v>23</v>
      </c>
      <c r="E11" s="70" t="b">
        <v>0</v>
      </c>
      <c r="F11" s="70" t="s">
        <v>27</v>
      </c>
      <c r="G11" s="70">
        <v>1</v>
      </c>
      <c r="H11" s="71">
        <v>46236</v>
      </c>
      <c r="J11" s="1"/>
    </row>
    <row r="12" spans="1:10" ht="14.25">
      <c r="A12" s="70">
        <v>1430</v>
      </c>
      <c r="B12" s="70" t="s">
        <v>42</v>
      </c>
      <c r="C12" s="70" t="s">
        <v>39</v>
      </c>
      <c r="D12" s="70" t="s">
        <v>23</v>
      </c>
      <c r="E12" s="70" t="b">
        <v>0</v>
      </c>
      <c r="F12" s="70" t="s">
        <v>27</v>
      </c>
      <c r="G12" s="70">
        <v>4</v>
      </c>
      <c r="H12" s="71">
        <v>46236</v>
      </c>
      <c r="J12" s="1"/>
    </row>
    <row r="13" spans="1:10" ht="14.25">
      <c r="A13" s="70">
        <v>982</v>
      </c>
      <c r="B13" s="70" t="s">
        <v>42</v>
      </c>
      <c r="C13" s="70" t="s">
        <v>32</v>
      </c>
      <c r="D13" s="70" t="s">
        <v>23</v>
      </c>
      <c r="E13" s="70" t="b">
        <v>0</v>
      </c>
      <c r="F13" s="70" t="s">
        <v>27</v>
      </c>
      <c r="G13" s="70">
        <v>22</v>
      </c>
      <c r="H13" s="71">
        <v>46236</v>
      </c>
      <c r="J13" s="1"/>
    </row>
    <row r="14" spans="1:10" ht="14.25">
      <c r="A14" s="70">
        <v>1328</v>
      </c>
      <c r="B14" s="70" t="s">
        <v>43</v>
      </c>
      <c r="C14" s="70" t="s">
        <v>44</v>
      </c>
      <c r="D14" s="70" t="s">
        <v>23</v>
      </c>
      <c r="E14" s="70" t="b">
        <v>0</v>
      </c>
      <c r="F14" s="70" t="s">
        <v>27</v>
      </c>
      <c r="G14" s="70">
        <v>4</v>
      </c>
      <c r="H14" s="71">
        <v>46236</v>
      </c>
      <c r="J14" s="1"/>
    </row>
    <row r="15" spans="1:10" ht="14.25">
      <c r="A15" s="70">
        <v>369</v>
      </c>
      <c r="B15" s="70" t="s">
        <v>45</v>
      </c>
      <c r="C15" s="70" t="s">
        <v>46</v>
      </c>
      <c r="D15" s="70" t="s">
        <v>23</v>
      </c>
      <c r="E15" s="70" t="b">
        <v>0</v>
      </c>
      <c r="F15" s="70" t="s">
        <v>27</v>
      </c>
      <c r="G15" s="70">
        <v>8</v>
      </c>
      <c r="H15" s="71">
        <v>46236</v>
      </c>
      <c r="J15" s="1"/>
    </row>
    <row r="16" spans="1:10" ht="14.25">
      <c r="A16" s="70">
        <v>7</v>
      </c>
      <c r="B16" s="70" t="s">
        <v>45</v>
      </c>
      <c r="C16" s="70" t="s">
        <v>47</v>
      </c>
      <c r="D16" s="70" t="s">
        <v>48</v>
      </c>
      <c r="E16" s="70" t="b">
        <v>0</v>
      </c>
      <c r="F16" s="70" t="s">
        <v>27</v>
      </c>
      <c r="G16" s="70">
        <v>32</v>
      </c>
      <c r="H16" s="71">
        <v>46236</v>
      </c>
      <c r="J16" s="1"/>
    </row>
    <row r="17" spans="1:10" ht="14.25">
      <c r="A17" s="70">
        <v>473</v>
      </c>
      <c r="B17" s="70" t="s">
        <v>45</v>
      </c>
      <c r="C17" s="70" t="s">
        <v>49</v>
      </c>
      <c r="D17" s="70" t="s">
        <v>48</v>
      </c>
      <c r="E17" s="70" t="b">
        <v>0</v>
      </c>
      <c r="F17" s="70" t="s">
        <v>27</v>
      </c>
      <c r="G17" s="70">
        <v>33</v>
      </c>
      <c r="H17" s="71">
        <v>46236</v>
      </c>
      <c r="J17" s="1"/>
    </row>
    <row r="18" spans="1:10" ht="14.25">
      <c r="A18" s="70">
        <v>1384</v>
      </c>
      <c r="B18" s="70" t="s">
        <v>50</v>
      </c>
      <c r="C18" s="70" t="s">
        <v>51</v>
      </c>
      <c r="D18" s="70" t="s">
        <v>23</v>
      </c>
      <c r="E18" s="70" t="b">
        <v>0</v>
      </c>
      <c r="F18" s="70" t="s">
        <v>27</v>
      </c>
      <c r="G18" s="70">
        <v>30</v>
      </c>
      <c r="H18" s="71">
        <v>46236</v>
      </c>
      <c r="J18" s="1"/>
    </row>
    <row r="19" spans="1:10" ht="14.25">
      <c r="A19" s="70">
        <v>1348</v>
      </c>
      <c r="B19" s="70" t="s">
        <v>52</v>
      </c>
      <c r="C19" s="70" t="s">
        <v>53</v>
      </c>
      <c r="D19" s="70" t="s">
        <v>54</v>
      </c>
      <c r="E19" s="70" t="b">
        <v>1</v>
      </c>
      <c r="F19" s="70" t="s">
        <v>25</v>
      </c>
      <c r="G19" s="70"/>
      <c r="H19" s="71">
        <v>46236</v>
      </c>
      <c r="J19" s="1"/>
    </row>
    <row r="20" spans="1:10" ht="14.25">
      <c r="A20" s="70">
        <v>1275</v>
      </c>
      <c r="B20" s="70" t="s">
        <v>52</v>
      </c>
      <c r="C20" s="70" t="s">
        <v>55</v>
      </c>
      <c r="D20" s="70" t="s">
        <v>23</v>
      </c>
      <c r="E20" s="70" t="b">
        <v>1</v>
      </c>
      <c r="F20" s="70" t="s">
        <v>35</v>
      </c>
      <c r="G20" s="70"/>
      <c r="H20" s="71">
        <v>46236</v>
      </c>
      <c r="J20" s="1"/>
    </row>
    <row r="21" spans="1:10" ht="14.25">
      <c r="A21" s="70">
        <v>68</v>
      </c>
      <c r="B21" s="70" t="s">
        <v>56</v>
      </c>
      <c r="C21" s="70" t="s">
        <v>57</v>
      </c>
      <c r="D21" s="70" t="s">
        <v>48</v>
      </c>
      <c r="E21" s="70" t="b">
        <v>0</v>
      </c>
      <c r="F21" s="70" t="s">
        <v>27</v>
      </c>
      <c r="G21" s="70">
        <v>35</v>
      </c>
      <c r="H21" s="71">
        <v>46236</v>
      </c>
      <c r="J21" s="1"/>
    </row>
    <row r="22" spans="1:10" ht="14.25">
      <c r="A22" s="70">
        <v>1035</v>
      </c>
      <c r="B22" s="70" t="s">
        <v>58</v>
      </c>
      <c r="C22" s="70" t="s">
        <v>59</v>
      </c>
      <c r="D22" s="70" t="s">
        <v>23</v>
      </c>
      <c r="E22" s="70" t="b">
        <v>0</v>
      </c>
      <c r="F22" s="70" t="s">
        <v>27</v>
      </c>
      <c r="G22" s="70">
        <v>6</v>
      </c>
      <c r="H22" s="71">
        <v>46236</v>
      </c>
      <c r="J22" s="1"/>
    </row>
    <row r="23" spans="1:10" ht="14.25">
      <c r="A23" s="70">
        <v>1416</v>
      </c>
      <c r="B23" s="70" t="s">
        <v>60</v>
      </c>
      <c r="C23" s="70" t="s">
        <v>61</v>
      </c>
      <c r="D23" s="70" t="s">
        <v>23</v>
      </c>
      <c r="E23" s="70" t="b">
        <v>0</v>
      </c>
      <c r="F23" s="70" t="s">
        <v>25</v>
      </c>
      <c r="G23" s="70"/>
      <c r="H23" s="71">
        <v>46236</v>
      </c>
      <c r="J23" s="1"/>
    </row>
    <row r="24" spans="1:10" ht="14.25">
      <c r="A24" s="70">
        <v>1326</v>
      </c>
      <c r="B24" s="70" t="s">
        <v>62</v>
      </c>
      <c r="C24" s="70" t="s">
        <v>63</v>
      </c>
      <c r="D24" s="70" t="s">
        <v>23</v>
      </c>
      <c r="E24" s="70" t="b">
        <v>1</v>
      </c>
      <c r="F24" s="70" t="s">
        <v>25</v>
      </c>
      <c r="G24" s="70"/>
      <c r="H24" s="71">
        <v>46236</v>
      </c>
      <c r="J24" s="1"/>
    </row>
    <row r="25" spans="1:10" ht="14.25">
      <c r="A25" s="70">
        <v>1431</v>
      </c>
      <c r="B25" s="70" t="s">
        <v>596</v>
      </c>
      <c r="C25" s="70" t="s">
        <v>595</v>
      </c>
      <c r="D25" s="70" t="s">
        <v>23</v>
      </c>
      <c r="E25" s="70" t="b">
        <v>1</v>
      </c>
      <c r="F25" s="70" t="s">
        <v>27</v>
      </c>
      <c r="G25" s="70">
        <v>11</v>
      </c>
      <c r="H25" s="71">
        <v>46236</v>
      </c>
      <c r="J25" s="1"/>
    </row>
    <row r="26" spans="1:10" ht="14.25">
      <c r="A26" s="70">
        <v>477</v>
      </c>
      <c r="B26" s="70" t="s">
        <v>64</v>
      </c>
      <c r="C26" s="70" t="s">
        <v>65</v>
      </c>
      <c r="D26" s="70" t="s">
        <v>23</v>
      </c>
      <c r="E26" s="70" t="b">
        <v>1</v>
      </c>
      <c r="F26" s="70" t="s">
        <v>27</v>
      </c>
      <c r="G26" s="70">
        <v>34</v>
      </c>
      <c r="H26" s="71">
        <v>46236</v>
      </c>
      <c r="J26" s="1"/>
    </row>
    <row r="27" spans="1:10" ht="14.25">
      <c r="A27" s="70">
        <v>10</v>
      </c>
      <c r="B27" s="70" t="s">
        <v>64</v>
      </c>
      <c r="C27" s="70" t="s">
        <v>66</v>
      </c>
      <c r="D27" s="70" t="s">
        <v>48</v>
      </c>
      <c r="E27" s="70" t="b">
        <v>0</v>
      </c>
      <c r="F27" s="70" t="s">
        <v>27</v>
      </c>
      <c r="G27" s="70">
        <v>35</v>
      </c>
      <c r="H27" s="71">
        <v>46236</v>
      </c>
      <c r="J27" s="1"/>
    </row>
    <row r="28" spans="1:10" ht="14.25">
      <c r="A28" s="70">
        <v>1414</v>
      </c>
      <c r="B28" s="70" t="s">
        <v>67</v>
      </c>
      <c r="C28" s="70" t="s">
        <v>36</v>
      </c>
      <c r="D28" s="70" t="s">
        <v>23</v>
      </c>
      <c r="E28" s="70" t="b">
        <v>0</v>
      </c>
      <c r="F28" s="70" t="s">
        <v>27</v>
      </c>
      <c r="G28" s="70">
        <v>13</v>
      </c>
      <c r="H28" s="71">
        <v>46236</v>
      </c>
      <c r="J28" s="1"/>
    </row>
    <row r="29" spans="1:10" ht="14.25">
      <c r="A29" s="70">
        <v>1029</v>
      </c>
      <c r="B29" s="70" t="s">
        <v>68</v>
      </c>
      <c r="C29" s="70" t="s">
        <v>69</v>
      </c>
      <c r="D29" s="70" t="s">
        <v>23</v>
      </c>
      <c r="E29" s="70" t="b">
        <v>0</v>
      </c>
      <c r="F29" s="70" t="s">
        <v>27</v>
      </c>
      <c r="G29" s="70">
        <v>28</v>
      </c>
      <c r="H29" s="71">
        <v>46236</v>
      </c>
      <c r="J29" s="1"/>
    </row>
    <row r="30" spans="1:10" ht="14.25">
      <c r="A30" s="70">
        <v>13</v>
      </c>
      <c r="B30" s="70" t="s">
        <v>70</v>
      </c>
      <c r="C30" s="70" t="s">
        <v>51</v>
      </c>
      <c r="D30" s="70" t="s">
        <v>23</v>
      </c>
      <c r="E30" s="70" t="b">
        <v>0</v>
      </c>
      <c r="F30" s="70" t="s">
        <v>27</v>
      </c>
      <c r="G30" s="70">
        <v>28</v>
      </c>
      <c r="H30" s="71">
        <v>46236</v>
      </c>
      <c r="J30" s="1"/>
    </row>
    <row r="31" spans="1:10" ht="14.25">
      <c r="A31" s="70">
        <v>1255</v>
      </c>
      <c r="B31" s="70" t="s">
        <v>71</v>
      </c>
      <c r="C31" s="70" t="s">
        <v>72</v>
      </c>
      <c r="D31" s="70" t="s">
        <v>23</v>
      </c>
      <c r="E31" s="70" t="b">
        <v>1</v>
      </c>
      <c r="F31" s="70" t="s">
        <v>27</v>
      </c>
      <c r="G31" s="70">
        <v>13</v>
      </c>
      <c r="H31" s="71">
        <v>46236</v>
      </c>
      <c r="J31" s="1"/>
    </row>
    <row r="32" spans="1:10" ht="14.25">
      <c r="A32" s="70">
        <v>1405</v>
      </c>
      <c r="B32" s="70" t="s">
        <v>73</v>
      </c>
      <c r="C32" s="70" t="s">
        <v>74</v>
      </c>
      <c r="D32" s="70" t="s">
        <v>23</v>
      </c>
      <c r="E32" s="70" t="b">
        <v>1</v>
      </c>
      <c r="F32" s="70" t="s">
        <v>35</v>
      </c>
      <c r="G32" s="70"/>
      <c r="H32" s="71">
        <v>46236</v>
      </c>
      <c r="J32" s="1"/>
    </row>
    <row r="33" spans="1:10" ht="14.25">
      <c r="A33" s="70">
        <v>1421</v>
      </c>
      <c r="B33" s="70" t="s">
        <v>75</v>
      </c>
      <c r="C33" s="70" t="s">
        <v>76</v>
      </c>
      <c r="D33" s="70" t="s">
        <v>23</v>
      </c>
      <c r="E33" s="70" t="b">
        <v>1</v>
      </c>
      <c r="F33" s="70" t="s">
        <v>27</v>
      </c>
      <c r="G33" s="70">
        <v>12</v>
      </c>
      <c r="H33" s="71">
        <v>46236</v>
      </c>
      <c r="J33" s="1"/>
    </row>
    <row r="34" spans="1:10" ht="14.25">
      <c r="A34" s="70">
        <v>1418</v>
      </c>
      <c r="B34" s="70" t="s">
        <v>75</v>
      </c>
      <c r="C34" s="70" t="s">
        <v>22</v>
      </c>
      <c r="D34" s="70" t="s">
        <v>23</v>
      </c>
      <c r="E34" s="70" t="b">
        <v>0</v>
      </c>
      <c r="F34" s="70" t="s">
        <v>25</v>
      </c>
      <c r="G34" s="70"/>
      <c r="H34" s="71">
        <v>46236</v>
      </c>
      <c r="J34" s="1"/>
    </row>
    <row r="35" spans="1:10" ht="14.25">
      <c r="A35" s="70">
        <v>919</v>
      </c>
      <c r="B35" s="70" t="s">
        <v>77</v>
      </c>
      <c r="C35" s="70" t="s">
        <v>51</v>
      </c>
      <c r="D35" s="70" t="s">
        <v>23</v>
      </c>
      <c r="E35" s="70" t="b">
        <v>0</v>
      </c>
      <c r="F35" s="70" t="s">
        <v>27</v>
      </c>
      <c r="G35" s="70">
        <v>16</v>
      </c>
      <c r="H35" s="71">
        <v>46236</v>
      </c>
      <c r="J35" s="1"/>
    </row>
    <row r="36" spans="1:10" ht="14.25">
      <c r="A36" s="70">
        <v>1436</v>
      </c>
      <c r="B36" s="70" t="s">
        <v>768</v>
      </c>
      <c r="C36" s="70" t="s">
        <v>44</v>
      </c>
      <c r="D36" s="70" t="s">
        <v>23</v>
      </c>
      <c r="E36" s="70" t="b">
        <v>0</v>
      </c>
      <c r="F36" s="70" t="s">
        <v>27</v>
      </c>
      <c r="G36" s="70">
        <v>14</v>
      </c>
      <c r="H36" s="71">
        <v>46236</v>
      </c>
      <c r="J36" s="1"/>
    </row>
    <row r="37" spans="1:10" ht="14.25">
      <c r="A37" s="70">
        <v>1319</v>
      </c>
      <c r="B37" s="70" t="s">
        <v>78</v>
      </c>
      <c r="C37" s="70" t="s">
        <v>32</v>
      </c>
      <c r="D37" s="70" t="s">
        <v>23</v>
      </c>
      <c r="E37" s="70" t="b">
        <v>0</v>
      </c>
      <c r="F37" s="70" t="s">
        <v>27</v>
      </c>
      <c r="G37" s="70">
        <v>9</v>
      </c>
      <c r="H37" s="71">
        <v>46236</v>
      </c>
      <c r="J37" s="1"/>
    </row>
    <row r="38" spans="1:10" ht="14.25">
      <c r="A38" s="70">
        <v>1190</v>
      </c>
      <c r="B38" s="70" t="s">
        <v>700</v>
      </c>
      <c r="C38" s="70" t="s">
        <v>702</v>
      </c>
      <c r="D38" s="70" t="s">
        <v>23</v>
      </c>
      <c r="E38" s="70" t="b">
        <v>0</v>
      </c>
      <c r="F38" s="70" t="s">
        <v>35</v>
      </c>
      <c r="G38" s="70"/>
      <c r="H38" s="71">
        <v>46236</v>
      </c>
      <c r="J38" s="1"/>
    </row>
    <row r="39" spans="1:10" ht="14.25">
      <c r="A39" s="70">
        <v>1189</v>
      </c>
      <c r="B39" s="70" t="s">
        <v>700</v>
      </c>
      <c r="C39" s="70" t="s">
        <v>701</v>
      </c>
      <c r="D39" s="70" t="s">
        <v>23</v>
      </c>
      <c r="E39" s="70" t="b">
        <v>0</v>
      </c>
      <c r="F39" s="70" t="s">
        <v>35</v>
      </c>
      <c r="G39" s="70"/>
      <c r="H39" s="71">
        <v>46236</v>
      </c>
      <c r="J39" s="1"/>
    </row>
    <row r="40" spans="1:10" ht="14.25">
      <c r="A40" s="70">
        <v>735</v>
      </c>
      <c r="B40" s="70" t="s">
        <v>700</v>
      </c>
      <c r="C40" s="70" t="s">
        <v>278</v>
      </c>
      <c r="D40" s="70" t="s">
        <v>54</v>
      </c>
      <c r="E40" s="70" t="b">
        <v>0</v>
      </c>
      <c r="F40" s="70" t="s">
        <v>25</v>
      </c>
      <c r="G40" s="70"/>
      <c r="H40" s="71">
        <v>46236</v>
      </c>
      <c r="J40" s="1"/>
    </row>
    <row r="41" spans="1:10" ht="14.25">
      <c r="A41" s="70">
        <v>1389</v>
      </c>
      <c r="B41" s="70" t="s">
        <v>79</v>
      </c>
      <c r="C41" s="70" t="s">
        <v>80</v>
      </c>
      <c r="D41" s="70" t="s">
        <v>23</v>
      </c>
      <c r="E41" s="70" t="b">
        <v>0</v>
      </c>
      <c r="F41" s="70" t="s">
        <v>25</v>
      </c>
      <c r="G41" s="70"/>
      <c r="H41" s="71">
        <v>46236</v>
      </c>
      <c r="J41" s="1"/>
    </row>
    <row r="42" spans="1:10" ht="14.25">
      <c r="A42" s="70">
        <v>940</v>
      </c>
      <c r="B42" s="70" t="s">
        <v>81</v>
      </c>
      <c r="C42" s="70" t="s">
        <v>82</v>
      </c>
      <c r="D42" s="70" t="s">
        <v>23</v>
      </c>
      <c r="E42" s="70" t="b">
        <v>1</v>
      </c>
      <c r="F42" s="70" t="s">
        <v>27</v>
      </c>
      <c r="G42" s="70">
        <v>9</v>
      </c>
      <c r="H42" s="71">
        <v>46236</v>
      </c>
      <c r="J42" s="1"/>
    </row>
    <row r="43" spans="1:10" ht="14.25">
      <c r="A43" s="70">
        <v>806</v>
      </c>
      <c r="B43" s="70" t="s">
        <v>81</v>
      </c>
      <c r="C43" s="70" t="s">
        <v>83</v>
      </c>
      <c r="D43" s="70" t="s">
        <v>23</v>
      </c>
      <c r="E43" s="70" t="b">
        <v>0</v>
      </c>
      <c r="F43" s="70" t="s">
        <v>27</v>
      </c>
      <c r="G43" s="70">
        <v>11</v>
      </c>
      <c r="H43" s="71">
        <v>46236</v>
      </c>
      <c r="J43" s="1"/>
    </row>
    <row r="44" spans="1:10" ht="14.25">
      <c r="A44" s="70">
        <v>482</v>
      </c>
      <c r="B44" s="70" t="s">
        <v>84</v>
      </c>
      <c r="C44" s="70" t="s">
        <v>85</v>
      </c>
      <c r="D44" s="70" t="s">
        <v>23</v>
      </c>
      <c r="E44" s="70" t="b">
        <v>0</v>
      </c>
      <c r="F44" s="70" t="s">
        <v>27</v>
      </c>
      <c r="G44" s="70">
        <v>13</v>
      </c>
      <c r="H44" s="71">
        <v>46236</v>
      </c>
      <c r="J44" s="1"/>
    </row>
    <row r="45" spans="1:10" ht="14.25">
      <c r="A45" s="70">
        <v>674</v>
      </c>
      <c r="B45" s="70" t="s">
        <v>86</v>
      </c>
      <c r="C45" s="70" t="s">
        <v>87</v>
      </c>
      <c r="D45" s="70" t="s">
        <v>54</v>
      </c>
      <c r="E45" s="70" t="b">
        <v>1</v>
      </c>
      <c r="F45" s="70" t="s">
        <v>27</v>
      </c>
      <c r="G45" s="70">
        <v>23</v>
      </c>
      <c r="H45" s="71">
        <v>46236</v>
      </c>
      <c r="J45" s="1"/>
    </row>
    <row r="46" spans="1:10" ht="14.25">
      <c r="A46" s="70">
        <v>1061</v>
      </c>
      <c r="B46" s="70" t="s">
        <v>88</v>
      </c>
      <c r="C46" s="70" t="s">
        <v>89</v>
      </c>
      <c r="D46" s="70" t="s">
        <v>23</v>
      </c>
      <c r="E46" s="70" t="b">
        <v>0</v>
      </c>
      <c r="F46" s="70" t="s">
        <v>27</v>
      </c>
      <c r="G46" s="70">
        <v>19</v>
      </c>
      <c r="H46" s="71">
        <v>46236</v>
      </c>
      <c r="J46" s="1"/>
    </row>
    <row r="47" spans="1:10" ht="14.25">
      <c r="A47" s="70">
        <v>763</v>
      </c>
      <c r="B47" s="70" t="s">
        <v>90</v>
      </c>
      <c r="C47" s="70" t="s">
        <v>59</v>
      </c>
      <c r="D47" s="70" t="s">
        <v>23</v>
      </c>
      <c r="E47" s="70" t="b">
        <v>0</v>
      </c>
      <c r="F47" s="70" t="s">
        <v>27</v>
      </c>
      <c r="G47" s="70">
        <v>17</v>
      </c>
      <c r="H47" s="71">
        <v>46236</v>
      </c>
      <c r="J47" s="1"/>
    </row>
    <row r="48" spans="1:10" ht="14.25">
      <c r="A48" s="70">
        <v>1227</v>
      </c>
      <c r="B48" s="70" t="s">
        <v>91</v>
      </c>
      <c r="C48" s="70" t="s">
        <v>92</v>
      </c>
      <c r="D48" s="70" t="s">
        <v>23</v>
      </c>
      <c r="E48" s="70" t="b">
        <v>1</v>
      </c>
      <c r="F48" s="70" t="s">
        <v>27</v>
      </c>
      <c r="G48" s="70">
        <v>8</v>
      </c>
      <c r="H48" s="71">
        <v>46236</v>
      </c>
      <c r="J48" s="1"/>
    </row>
    <row r="49" spans="1:10" ht="14.25">
      <c r="A49" s="70">
        <v>715</v>
      </c>
      <c r="B49" s="70" t="s">
        <v>93</v>
      </c>
      <c r="C49" s="70" t="s">
        <v>94</v>
      </c>
      <c r="D49" s="70" t="s">
        <v>23</v>
      </c>
      <c r="E49" s="70" t="b">
        <v>0</v>
      </c>
      <c r="F49" s="70" t="s">
        <v>27</v>
      </c>
      <c r="G49" s="70">
        <v>5</v>
      </c>
      <c r="H49" s="71">
        <v>46236</v>
      </c>
      <c r="J49" s="1"/>
    </row>
    <row r="50" spans="1:10" ht="14.25">
      <c r="A50" s="70">
        <v>567</v>
      </c>
      <c r="B50" s="70" t="s">
        <v>95</v>
      </c>
      <c r="C50" s="70" t="s">
        <v>96</v>
      </c>
      <c r="D50" s="70" t="s">
        <v>23</v>
      </c>
      <c r="E50" s="70" t="b">
        <v>0</v>
      </c>
      <c r="F50" s="70" t="s">
        <v>27</v>
      </c>
      <c r="G50" s="70">
        <v>7</v>
      </c>
      <c r="H50" s="71">
        <v>46236</v>
      </c>
      <c r="J50" s="1"/>
    </row>
    <row r="51" spans="1:10" ht="14.25">
      <c r="A51" s="70">
        <v>1391</v>
      </c>
      <c r="B51" s="70" t="s">
        <v>97</v>
      </c>
      <c r="C51" s="70" t="s">
        <v>98</v>
      </c>
      <c r="D51" s="70" t="s">
        <v>54</v>
      </c>
      <c r="E51" s="70" t="b">
        <v>1</v>
      </c>
      <c r="F51" s="70" t="s">
        <v>25</v>
      </c>
      <c r="G51" s="70"/>
      <c r="H51" s="71">
        <v>46236</v>
      </c>
      <c r="J51" s="1"/>
    </row>
    <row r="52" spans="1:10" ht="14.25">
      <c r="A52" s="70">
        <v>704</v>
      </c>
      <c r="B52" s="70" t="s">
        <v>99</v>
      </c>
      <c r="C52" s="70" t="s">
        <v>100</v>
      </c>
      <c r="D52" s="70" t="s">
        <v>23</v>
      </c>
      <c r="E52" s="70" t="b">
        <v>0</v>
      </c>
      <c r="F52" s="70" t="s">
        <v>27</v>
      </c>
      <c r="G52" s="70">
        <v>21</v>
      </c>
      <c r="H52" s="71">
        <v>46236</v>
      </c>
      <c r="J52" s="1"/>
    </row>
    <row r="53" spans="1:10" ht="14.25">
      <c r="A53" s="70">
        <v>1283</v>
      </c>
      <c r="B53" s="70" t="s">
        <v>101</v>
      </c>
      <c r="C53" s="70" t="s">
        <v>102</v>
      </c>
      <c r="D53" s="70" t="s">
        <v>23</v>
      </c>
      <c r="E53" s="70" t="b">
        <v>0</v>
      </c>
      <c r="F53" s="70" t="s">
        <v>27</v>
      </c>
      <c r="G53" s="70">
        <v>18</v>
      </c>
      <c r="H53" s="71">
        <v>46236</v>
      </c>
      <c r="J53" s="1"/>
    </row>
    <row r="54" spans="1:10" ht="14.25">
      <c r="A54" s="70">
        <v>295</v>
      </c>
      <c r="B54" s="70" t="s">
        <v>103</v>
      </c>
      <c r="C54" s="70" t="s">
        <v>104</v>
      </c>
      <c r="D54" s="70" t="s">
        <v>23</v>
      </c>
      <c r="E54" s="70" t="b">
        <v>0</v>
      </c>
      <c r="F54" s="70" t="s">
        <v>27</v>
      </c>
      <c r="G54" s="70">
        <v>15</v>
      </c>
      <c r="H54" s="71">
        <v>46236</v>
      </c>
      <c r="J54" s="1"/>
    </row>
    <row r="55" spans="1:10" ht="14.25">
      <c r="A55" s="70">
        <v>1226</v>
      </c>
      <c r="B55" s="70" t="s">
        <v>105</v>
      </c>
      <c r="C55" s="70" t="s">
        <v>106</v>
      </c>
      <c r="D55" s="70" t="s">
        <v>23</v>
      </c>
      <c r="E55" s="70" t="b">
        <v>1</v>
      </c>
      <c r="F55" s="70" t="s">
        <v>25</v>
      </c>
      <c r="G55" s="70"/>
      <c r="H55" s="71">
        <v>46236</v>
      </c>
      <c r="J55" s="1"/>
    </row>
    <row r="56" spans="1:10" ht="14.25">
      <c r="A56" s="70">
        <v>1333</v>
      </c>
      <c r="B56" s="70" t="s">
        <v>107</v>
      </c>
      <c r="C56" s="70" t="s">
        <v>108</v>
      </c>
      <c r="D56" s="70" t="s">
        <v>23</v>
      </c>
      <c r="E56" s="70" t="b">
        <v>0</v>
      </c>
      <c r="F56" s="70" t="s">
        <v>27</v>
      </c>
      <c r="G56" s="70">
        <v>3</v>
      </c>
      <c r="H56" s="71">
        <v>46236</v>
      </c>
      <c r="J56" s="1"/>
    </row>
    <row r="57" spans="1:10" ht="14.25">
      <c r="A57" s="70">
        <v>1185</v>
      </c>
      <c r="B57" s="70" t="s">
        <v>109</v>
      </c>
      <c r="C57" s="70" t="s">
        <v>110</v>
      </c>
      <c r="D57" s="70" t="s">
        <v>23</v>
      </c>
      <c r="E57" s="70" t="b">
        <v>1</v>
      </c>
      <c r="F57" s="70" t="s">
        <v>35</v>
      </c>
      <c r="G57" s="70"/>
      <c r="H57" s="71">
        <v>46236</v>
      </c>
      <c r="J57" s="1"/>
    </row>
    <row r="58" spans="1:10" ht="14.25">
      <c r="A58" s="70">
        <v>1065</v>
      </c>
      <c r="B58" s="70" t="s">
        <v>109</v>
      </c>
      <c r="C58" s="70" t="s">
        <v>41</v>
      </c>
      <c r="D58" s="70" t="s">
        <v>23</v>
      </c>
      <c r="E58" s="70" t="b">
        <v>0</v>
      </c>
      <c r="F58" s="70" t="s">
        <v>27</v>
      </c>
      <c r="G58" s="70">
        <v>1</v>
      </c>
      <c r="H58" s="71">
        <v>46236</v>
      </c>
      <c r="J58" s="1"/>
    </row>
    <row r="59" spans="1:10" ht="14.25">
      <c r="A59" s="70">
        <v>1407</v>
      </c>
      <c r="B59" s="70" t="s">
        <v>111</v>
      </c>
      <c r="C59" s="70" t="s">
        <v>112</v>
      </c>
      <c r="D59" s="70" t="s">
        <v>23</v>
      </c>
      <c r="E59" s="70" t="b">
        <v>0</v>
      </c>
      <c r="F59" s="70" t="s">
        <v>25</v>
      </c>
      <c r="G59" s="70"/>
      <c r="H59" s="71">
        <v>46236</v>
      </c>
      <c r="J59" s="1"/>
    </row>
    <row r="60" spans="1:10" ht="14.25">
      <c r="A60" s="70">
        <v>701</v>
      </c>
      <c r="B60" s="70" t="s">
        <v>767</v>
      </c>
      <c r="C60" s="70" t="s">
        <v>136</v>
      </c>
      <c r="D60" s="70" t="s">
        <v>23</v>
      </c>
      <c r="E60" s="70" t="b">
        <v>0</v>
      </c>
      <c r="F60" s="70" t="s">
        <v>27</v>
      </c>
      <c r="G60" s="70">
        <v>4</v>
      </c>
      <c r="H60" s="71">
        <v>46236</v>
      </c>
      <c r="J60" s="1"/>
    </row>
    <row r="61" spans="1:10" ht="14.25">
      <c r="A61" s="70">
        <v>1096</v>
      </c>
      <c r="B61" s="70" t="s">
        <v>113</v>
      </c>
      <c r="C61" s="70" t="s">
        <v>114</v>
      </c>
      <c r="D61" s="70" t="s">
        <v>23</v>
      </c>
      <c r="E61" s="70" t="b">
        <v>0</v>
      </c>
      <c r="F61" s="70" t="s">
        <v>35</v>
      </c>
      <c r="G61" s="70"/>
      <c r="H61" s="71">
        <v>46236</v>
      </c>
      <c r="J61" s="1"/>
    </row>
    <row r="62" spans="1:10" ht="14.25">
      <c r="A62" s="70">
        <v>1236</v>
      </c>
      <c r="B62" s="70" t="s">
        <v>113</v>
      </c>
      <c r="C62" s="70" t="s">
        <v>115</v>
      </c>
      <c r="D62" s="70" t="s">
        <v>23</v>
      </c>
      <c r="E62" s="70" t="b">
        <v>1</v>
      </c>
      <c r="F62" s="70" t="s">
        <v>27</v>
      </c>
      <c r="G62" s="70">
        <v>5</v>
      </c>
      <c r="H62" s="71">
        <v>46236</v>
      </c>
      <c r="J62" s="1"/>
    </row>
    <row r="63" spans="1:10" ht="14.25">
      <c r="A63" s="70">
        <v>699</v>
      </c>
      <c r="B63" s="70" t="s">
        <v>113</v>
      </c>
      <c r="C63" s="70" t="s">
        <v>116</v>
      </c>
      <c r="D63" s="70" t="s">
        <v>23</v>
      </c>
      <c r="E63" s="70" t="b">
        <v>0</v>
      </c>
      <c r="F63" s="70" t="s">
        <v>27</v>
      </c>
      <c r="G63" s="70">
        <v>5</v>
      </c>
      <c r="H63" s="71">
        <v>46236</v>
      </c>
      <c r="J63" s="1"/>
    </row>
    <row r="64" spans="1:10" ht="14.25">
      <c r="A64" s="70">
        <v>1288</v>
      </c>
      <c r="B64" s="70" t="s">
        <v>117</v>
      </c>
      <c r="C64" s="70" t="s">
        <v>118</v>
      </c>
      <c r="D64" s="70" t="s">
        <v>23</v>
      </c>
      <c r="E64" s="70" t="b">
        <v>0</v>
      </c>
      <c r="F64" s="70" t="s">
        <v>35</v>
      </c>
      <c r="G64" s="70"/>
      <c r="H64" s="71">
        <v>46236</v>
      </c>
      <c r="J64" s="1"/>
    </row>
    <row r="65" spans="1:10" ht="14.25">
      <c r="A65" s="70">
        <v>1429</v>
      </c>
      <c r="B65" s="70" t="s">
        <v>117</v>
      </c>
      <c r="C65" s="70" t="s">
        <v>119</v>
      </c>
      <c r="D65" s="70" t="s">
        <v>23</v>
      </c>
      <c r="E65" s="70" t="b">
        <v>0</v>
      </c>
      <c r="F65" s="70" t="s">
        <v>35</v>
      </c>
      <c r="G65" s="70"/>
      <c r="H65" s="71">
        <v>46236</v>
      </c>
      <c r="J65" s="1"/>
    </row>
    <row r="66" spans="1:10" ht="14.25">
      <c r="A66" s="70">
        <v>1000</v>
      </c>
      <c r="B66" s="70" t="s">
        <v>120</v>
      </c>
      <c r="C66" s="70" t="s">
        <v>121</v>
      </c>
      <c r="D66" s="70" t="s">
        <v>23</v>
      </c>
      <c r="E66" s="70" t="b">
        <v>0</v>
      </c>
      <c r="F66" s="70" t="s">
        <v>25</v>
      </c>
      <c r="G66" s="70"/>
      <c r="H66" s="71">
        <v>46236</v>
      </c>
      <c r="J66" s="1"/>
    </row>
    <row r="67" spans="1:10" ht="14.25">
      <c r="A67" s="70">
        <v>1332</v>
      </c>
      <c r="B67" s="70" t="s">
        <v>122</v>
      </c>
      <c r="C67" s="70" t="s">
        <v>123</v>
      </c>
      <c r="D67" s="70" t="s">
        <v>23</v>
      </c>
      <c r="E67" s="70" t="b">
        <v>1</v>
      </c>
      <c r="F67" s="70" t="s">
        <v>25</v>
      </c>
      <c r="G67" s="70"/>
      <c r="H67" s="71">
        <v>46236</v>
      </c>
      <c r="J67" s="1"/>
    </row>
    <row r="68" spans="1:10" ht="14.25">
      <c r="A68" s="70">
        <v>682</v>
      </c>
      <c r="B68" s="70" t="s">
        <v>124</v>
      </c>
      <c r="C68" s="70" t="s">
        <v>125</v>
      </c>
      <c r="D68" s="70" t="s">
        <v>23</v>
      </c>
      <c r="E68" s="70" t="b">
        <v>0</v>
      </c>
      <c r="F68" s="70" t="s">
        <v>27</v>
      </c>
      <c r="G68" s="70">
        <v>11</v>
      </c>
      <c r="H68" s="71">
        <v>46236</v>
      </c>
      <c r="J68" s="1"/>
    </row>
    <row r="69" spans="1:10" ht="14.25">
      <c r="A69" s="70">
        <v>1393</v>
      </c>
      <c r="B69" s="70" t="s">
        <v>126</v>
      </c>
      <c r="C69" s="70" t="s">
        <v>127</v>
      </c>
      <c r="D69" s="70" t="s">
        <v>23</v>
      </c>
      <c r="E69" s="70" t="b">
        <v>1</v>
      </c>
      <c r="F69" s="70" t="s">
        <v>27</v>
      </c>
      <c r="G69" s="70">
        <v>10</v>
      </c>
      <c r="H69" s="71">
        <v>46236</v>
      </c>
      <c r="J69" s="1"/>
    </row>
    <row r="70" spans="1:10" ht="14.25">
      <c r="A70" s="70">
        <v>1355</v>
      </c>
      <c r="B70" s="70" t="s">
        <v>128</v>
      </c>
      <c r="C70" s="70" t="s">
        <v>129</v>
      </c>
      <c r="D70" s="70" t="s">
        <v>23</v>
      </c>
      <c r="E70" s="70" t="b">
        <v>0</v>
      </c>
      <c r="F70" s="70" t="s">
        <v>35</v>
      </c>
      <c r="G70" s="70"/>
      <c r="H70" s="71">
        <v>46236</v>
      </c>
      <c r="J70" s="1"/>
    </row>
    <row r="71" spans="1:10" ht="14.25">
      <c r="A71" s="70">
        <v>1164</v>
      </c>
      <c r="B71" s="70" t="s">
        <v>130</v>
      </c>
      <c r="C71" s="70" t="s">
        <v>131</v>
      </c>
      <c r="D71" s="70" t="s">
        <v>54</v>
      </c>
      <c r="E71" s="70" t="b">
        <v>1</v>
      </c>
      <c r="F71" s="70" t="s">
        <v>25</v>
      </c>
      <c r="G71" s="70"/>
      <c r="H71" s="71">
        <v>46236</v>
      </c>
      <c r="J71" s="1"/>
    </row>
    <row r="72" spans="1:10" ht="14.25">
      <c r="A72" s="70">
        <v>1062</v>
      </c>
      <c r="B72" s="70" t="s">
        <v>130</v>
      </c>
      <c r="C72" s="70" t="s">
        <v>83</v>
      </c>
      <c r="D72" s="70" t="s">
        <v>23</v>
      </c>
      <c r="E72" s="70" t="b">
        <v>0</v>
      </c>
      <c r="F72" s="70" t="s">
        <v>27</v>
      </c>
      <c r="G72" s="70">
        <v>9</v>
      </c>
      <c r="H72" s="71">
        <v>46236</v>
      </c>
      <c r="J72" s="1"/>
    </row>
    <row r="73" spans="1:10" ht="14.25">
      <c r="A73" s="70">
        <v>938</v>
      </c>
      <c r="B73" s="70" t="s">
        <v>130</v>
      </c>
      <c r="C73" s="70" t="s">
        <v>132</v>
      </c>
      <c r="D73" s="70" t="s">
        <v>23</v>
      </c>
      <c r="E73" s="70" t="b">
        <v>1</v>
      </c>
      <c r="F73" s="70" t="s">
        <v>27</v>
      </c>
      <c r="G73" s="70">
        <v>7</v>
      </c>
      <c r="H73" s="71">
        <v>46236</v>
      </c>
      <c r="J73" s="1"/>
    </row>
    <row r="74" spans="1:10" ht="14.25">
      <c r="A74" s="70">
        <v>1427</v>
      </c>
      <c r="B74" s="70" t="s">
        <v>130</v>
      </c>
      <c r="C74" s="70" t="s">
        <v>133</v>
      </c>
      <c r="D74" s="70" t="s">
        <v>23</v>
      </c>
      <c r="E74" s="70" t="b">
        <v>1</v>
      </c>
      <c r="F74" s="70" t="s">
        <v>27</v>
      </c>
      <c r="G74" s="70">
        <v>16</v>
      </c>
      <c r="H74" s="71">
        <v>46236</v>
      </c>
      <c r="J74" s="1"/>
    </row>
    <row r="75" spans="1:10" ht="14.25">
      <c r="A75" s="70">
        <v>1034</v>
      </c>
      <c r="B75" s="70" t="s">
        <v>134</v>
      </c>
      <c r="C75" s="70" t="s">
        <v>83</v>
      </c>
      <c r="D75" s="70" t="s">
        <v>23</v>
      </c>
      <c r="E75" s="70" t="b">
        <v>0</v>
      </c>
      <c r="F75" s="70" t="s">
        <v>25</v>
      </c>
      <c r="G75" s="70"/>
      <c r="H75" s="71">
        <v>46236</v>
      </c>
      <c r="J75" s="1"/>
    </row>
    <row r="76" spans="1:10" ht="14.25">
      <c r="A76" s="70">
        <v>1402</v>
      </c>
      <c r="B76" s="70" t="s">
        <v>135</v>
      </c>
      <c r="C76" s="70" t="s">
        <v>136</v>
      </c>
      <c r="D76" s="70" t="s">
        <v>23</v>
      </c>
      <c r="E76" s="70" t="b">
        <v>0</v>
      </c>
      <c r="F76" s="70" t="s">
        <v>27</v>
      </c>
      <c r="G76" s="70">
        <v>7</v>
      </c>
      <c r="H76" s="71">
        <v>46236</v>
      </c>
      <c r="J76" s="1"/>
    </row>
    <row r="77" spans="1:10" ht="14.25">
      <c r="A77" s="70">
        <v>939</v>
      </c>
      <c r="B77" s="70" t="s">
        <v>137</v>
      </c>
      <c r="C77" s="70" t="s">
        <v>127</v>
      </c>
      <c r="D77" s="70" t="s">
        <v>23</v>
      </c>
      <c r="E77" s="70" t="b">
        <v>1</v>
      </c>
      <c r="F77" s="70" t="s">
        <v>27</v>
      </c>
      <c r="G77" s="70">
        <v>12</v>
      </c>
      <c r="H77" s="71">
        <v>46236</v>
      </c>
      <c r="J77" s="1"/>
    </row>
    <row r="78" spans="1:10" ht="14.25">
      <c r="A78" s="70">
        <v>1377</v>
      </c>
      <c r="B78" s="70" t="s">
        <v>138</v>
      </c>
      <c r="C78" s="70" t="s">
        <v>139</v>
      </c>
      <c r="D78" s="70" t="s">
        <v>23</v>
      </c>
      <c r="E78" s="70" t="b">
        <v>1</v>
      </c>
      <c r="F78" s="70" t="s">
        <v>27</v>
      </c>
      <c r="G78" s="70">
        <v>12</v>
      </c>
      <c r="H78" s="71">
        <v>46236</v>
      </c>
      <c r="J78" s="1"/>
    </row>
    <row r="79" spans="1:10" ht="14.25">
      <c r="A79" s="70">
        <v>1281</v>
      </c>
      <c r="B79" s="70" t="s">
        <v>140</v>
      </c>
      <c r="C79" s="70" t="s">
        <v>141</v>
      </c>
      <c r="D79" s="70" t="s">
        <v>23</v>
      </c>
      <c r="E79" s="70" t="b">
        <v>0</v>
      </c>
      <c r="F79" s="70" t="s">
        <v>27</v>
      </c>
      <c r="G79" s="70">
        <v>19</v>
      </c>
      <c r="H79" s="71">
        <v>46236</v>
      </c>
      <c r="J79" s="1"/>
    </row>
    <row r="80" spans="1:10" ht="14.25">
      <c r="A80" s="70">
        <v>933</v>
      </c>
      <c r="B80" s="70" t="s">
        <v>142</v>
      </c>
      <c r="C80" s="70" t="s">
        <v>143</v>
      </c>
      <c r="D80" s="70" t="s">
        <v>23</v>
      </c>
      <c r="E80" s="70" t="b">
        <v>0</v>
      </c>
      <c r="F80" s="70" t="s">
        <v>25</v>
      </c>
      <c r="G80" s="70"/>
      <c r="H80" s="71">
        <v>46236</v>
      </c>
      <c r="J80" s="1"/>
    </row>
    <row r="81" spans="1:10" ht="14.25">
      <c r="A81" s="70">
        <v>1274</v>
      </c>
      <c r="B81" s="70" t="s">
        <v>144</v>
      </c>
      <c r="C81" s="70" t="s">
        <v>145</v>
      </c>
      <c r="D81" s="70" t="s">
        <v>23</v>
      </c>
      <c r="E81" s="70" t="b">
        <v>1</v>
      </c>
      <c r="F81" s="70" t="s">
        <v>25</v>
      </c>
      <c r="G81" s="70"/>
      <c r="H81" s="71">
        <v>46236</v>
      </c>
      <c r="J81" s="1"/>
    </row>
    <row r="82" spans="1:10" ht="14.25">
      <c r="A82" s="70">
        <v>493</v>
      </c>
      <c r="B82" s="70" t="s">
        <v>146</v>
      </c>
      <c r="C82" s="70" t="s">
        <v>49</v>
      </c>
      <c r="D82" s="70" t="s">
        <v>48</v>
      </c>
      <c r="E82" s="70" t="b">
        <v>0</v>
      </c>
      <c r="F82" s="70" t="s">
        <v>27</v>
      </c>
      <c r="G82" s="70">
        <v>37</v>
      </c>
      <c r="H82" s="71">
        <v>46236</v>
      </c>
      <c r="J82" s="1"/>
    </row>
    <row r="83" spans="1:10" ht="14.25">
      <c r="A83" s="70">
        <v>1279</v>
      </c>
      <c r="B83" s="70" t="s">
        <v>147</v>
      </c>
      <c r="C83" s="70" t="s">
        <v>148</v>
      </c>
      <c r="D83" s="70" t="s">
        <v>23</v>
      </c>
      <c r="E83" s="70" t="b">
        <v>0</v>
      </c>
      <c r="F83" s="70" t="s">
        <v>27</v>
      </c>
      <c r="G83" s="70">
        <v>4</v>
      </c>
      <c r="H83" s="71">
        <v>46236</v>
      </c>
      <c r="J83" s="1"/>
    </row>
    <row r="84" spans="1:10" ht="14.25">
      <c r="A84" s="70">
        <v>1193</v>
      </c>
      <c r="B84" s="70" t="s">
        <v>149</v>
      </c>
      <c r="C84" s="70" t="s">
        <v>150</v>
      </c>
      <c r="D84" s="70" t="s">
        <v>23</v>
      </c>
      <c r="E84" s="70" t="b">
        <v>0</v>
      </c>
      <c r="F84" s="70" t="s">
        <v>25</v>
      </c>
      <c r="G84" s="70"/>
      <c r="H84" s="71">
        <v>46236</v>
      </c>
      <c r="J84" s="1"/>
    </row>
    <row r="85" spans="1:10" ht="14.25">
      <c r="A85" s="70">
        <v>1194</v>
      </c>
      <c r="B85" s="70" t="s">
        <v>149</v>
      </c>
      <c r="C85" s="70" t="s">
        <v>151</v>
      </c>
      <c r="D85" s="70" t="s">
        <v>23</v>
      </c>
      <c r="E85" s="70" t="b">
        <v>1</v>
      </c>
      <c r="F85" s="70" t="s">
        <v>25</v>
      </c>
      <c r="G85" s="70"/>
      <c r="H85" s="71">
        <v>46236</v>
      </c>
      <c r="J85" s="1"/>
    </row>
    <row r="86" spans="1:10" ht="14.25">
      <c r="A86" s="70">
        <v>1196</v>
      </c>
      <c r="B86" s="70" t="s">
        <v>149</v>
      </c>
      <c r="C86" s="70" t="s">
        <v>152</v>
      </c>
      <c r="D86" s="70" t="s">
        <v>23</v>
      </c>
      <c r="E86" s="70" t="b">
        <v>0</v>
      </c>
      <c r="F86" s="70" t="s">
        <v>35</v>
      </c>
      <c r="G86" s="70"/>
      <c r="H86" s="71">
        <v>46236</v>
      </c>
      <c r="J86" s="1"/>
    </row>
    <row r="87" spans="1:10" ht="14.25">
      <c r="A87" s="70">
        <v>1195</v>
      </c>
      <c r="B87" s="70" t="s">
        <v>149</v>
      </c>
      <c r="C87" s="70" t="s">
        <v>153</v>
      </c>
      <c r="D87" s="70" t="s">
        <v>23</v>
      </c>
      <c r="E87" s="70" t="b">
        <v>0</v>
      </c>
      <c r="F87" s="70" t="s">
        <v>35</v>
      </c>
      <c r="G87" s="70"/>
      <c r="H87" s="71">
        <v>46236</v>
      </c>
      <c r="J87" s="1"/>
    </row>
    <row r="88" spans="1:10" ht="14.25">
      <c r="A88" s="70">
        <v>1176</v>
      </c>
      <c r="B88" s="70" t="s">
        <v>154</v>
      </c>
      <c r="C88" s="70" t="s">
        <v>155</v>
      </c>
      <c r="D88" s="70" t="s">
        <v>23</v>
      </c>
      <c r="E88" s="70" t="b">
        <v>0</v>
      </c>
      <c r="F88" s="70" t="s">
        <v>35</v>
      </c>
      <c r="G88" s="70"/>
      <c r="H88" s="71">
        <v>46236</v>
      </c>
      <c r="J88" s="1"/>
    </row>
    <row r="89" spans="1:10" ht="14.25">
      <c r="A89" s="70">
        <v>1174</v>
      </c>
      <c r="B89" s="70" t="s">
        <v>154</v>
      </c>
      <c r="C89" s="70" t="s">
        <v>156</v>
      </c>
      <c r="D89" s="70" t="s">
        <v>23</v>
      </c>
      <c r="E89" s="70" t="b">
        <v>1</v>
      </c>
      <c r="F89" s="70" t="s">
        <v>27</v>
      </c>
      <c r="G89" s="70">
        <v>6</v>
      </c>
      <c r="H89" s="71">
        <v>46236</v>
      </c>
      <c r="J89" s="1"/>
    </row>
    <row r="90" spans="1:10" ht="14.25">
      <c r="A90" s="70">
        <v>1175</v>
      </c>
      <c r="B90" s="70" t="s">
        <v>154</v>
      </c>
      <c r="C90" s="70" t="s">
        <v>150</v>
      </c>
      <c r="D90" s="70" t="s">
        <v>23</v>
      </c>
      <c r="E90" s="70" t="b">
        <v>0</v>
      </c>
      <c r="F90" s="70" t="s">
        <v>27</v>
      </c>
      <c r="G90" s="70">
        <v>12</v>
      </c>
      <c r="H90" s="71">
        <v>46236</v>
      </c>
      <c r="J90" s="1"/>
    </row>
    <row r="91" spans="1:10" ht="14.25">
      <c r="A91" s="70">
        <v>1109</v>
      </c>
      <c r="B91" s="70" t="s">
        <v>157</v>
      </c>
      <c r="C91" s="70" t="s">
        <v>104</v>
      </c>
      <c r="D91" s="70" t="s">
        <v>23</v>
      </c>
      <c r="E91" s="70" t="b">
        <v>0</v>
      </c>
      <c r="F91" s="70" t="s">
        <v>25</v>
      </c>
      <c r="G91" s="70"/>
      <c r="H91" s="71">
        <v>46236</v>
      </c>
      <c r="J91" s="1"/>
    </row>
    <row r="92" spans="1:10" ht="14.25">
      <c r="A92" s="70">
        <v>1073</v>
      </c>
      <c r="B92" s="70" t="s">
        <v>158</v>
      </c>
      <c r="C92" s="70" t="s">
        <v>150</v>
      </c>
      <c r="D92" s="70" t="s">
        <v>23</v>
      </c>
      <c r="E92" s="70" t="b">
        <v>0</v>
      </c>
      <c r="F92" s="70" t="s">
        <v>27</v>
      </c>
      <c r="G92" s="70">
        <v>3</v>
      </c>
      <c r="H92" s="71">
        <v>46236</v>
      </c>
      <c r="J92" s="1"/>
    </row>
    <row r="93" spans="1:10" ht="14.25">
      <c r="A93" s="70">
        <v>1400</v>
      </c>
      <c r="B93" s="70" t="s">
        <v>159</v>
      </c>
      <c r="C93" s="70" t="s">
        <v>160</v>
      </c>
      <c r="D93" s="70" t="s">
        <v>23</v>
      </c>
      <c r="E93" s="70" t="b">
        <v>0</v>
      </c>
      <c r="F93" s="70" t="s">
        <v>25</v>
      </c>
      <c r="G93" s="70"/>
      <c r="H93" s="71">
        <v>46236</v>
      </c>
      <c r="J93" s="1"/>
    </row>
    <row r="94" spans="1:10" ht="14.25">
      <c r="A94" s="70">
        <v>1367</v>
      </c>
      <c r="B94" s="70" t="s">
        <v>161</v>
      </c>
      <c r="C94" s="70" t="s">
        <v>152</v>
      </c>
      <c r="D94" s="70" t="s">
        <v>23</v>
      </c>
      <c r="E94" s="70" t="b">
        <v>0</v>
      </c>
      <c r="F94" s="70" t="s">
        <v>35</v>
      </c>
      <c r="G94" s="70"/>
      <c r="H94" s="71">
        <v>46236</v>
      </c>
      <c r="J94" s="1"/>
    </row>
    <row r="95" spans="1:10" ht="14.25">
      <c r="A95" s="70">
        <v>1366</v>
      </c>
      <c r="B95" s="70" t="s">
        <v>161</v>
      </c>
      <c r="C95" s="70" t="s">
        <v>162</v>
      </c>
      <c r="D95" s="70" t="s">
        <v>23</v>
      </c>
      <c r="E95" s="70" t="b">
        <v>1</v>
      </c>
      <c r="F95" s="70" t="s">
        <v>25</v>
      </c>
      <c r="G95" s="70"/>
      <c r="H95" s="71">
        <v>46236</v>
      </c>
      <c r="J95" s="1"/>
    </row>
    <row r="96" spans="1:10" ht="14.25">
      <c r="A96" s="70">
        <v>1365</v>
      </c>
      <c r="B96" s="70" t="s">
        <v>161</v>
      </c>
      <c r="C96" s="70" t="s">
        <v>163</v>
      </c>
      <c r="D96" s="70" t="s">
        <v>23</v>
      </c>
      <c r="E96" s="70" t="b">
        <v>1</v>
      </c>
      <c r="F96" s="70" t="s">
        <v>27</v>
      </c>
      <c r="G96" s="70">
        <v>7</v>
      </c>
      <c r="H96" s="71">
        <v>46236</v>
      </c>
      <c r="J96" s="1"/>
    </row>
    <row r="97" spans="1:10" ht="14.25">
      <c r="A97" s="70">
        <v>897</v>
      </c>
      <c r="B97" s="70" t="s">
        <v>161</v>
      </c>
      <c r="C97" s="70" t="s">
        <v>164</v>
      </c>
      <c r="D97" s="70" t="s">
        <v>23</v>
      </c>
      <c r="E97" s="70" t="b">
        <v>0</v>
      </c>
      <c r="F97" s="70" t="s">
        <v>27</v>
      </c>
      <c r="G97" s="70">
        <v>13</v>
      </c>
      <c r="H97" s="71">
        <v>46236</v>
      </c>
      <c r="J97" s="1"/>
    </row>
    <row r="98" spans="1:10" ht="14.25">
      <c r="A98" s="70">
        <v>1308</v>
      </c>
      <c r="B98" s="70" t="s">
        <v>165</v>
      </c>
      <c r="C98" s="70" t="s">
        <v>166</v>
      </c>
      <c r="D98" s="70" t="s">
        <v>23</v>
      </c>
      <c r="E98" s="70" t="b">
        <v>1</v>
      </c>
      <c r="F98" s="70" t="s">
        <v>27</v>
      </c>
      <c r="G98" s="70">
        <v>2</v>
      </c>
      <c r="H98" s="71">
        <v>46236</v>
      </c>
      <c r="J98" s="1"/>
    </row>
    <row r="99" spans="1:10" ht="14.25">
      <c r="A99" s="70">
        <v>1206</v>
      </c>
      <c r="B99" s="70" t="s">
        <v>167</v>
      </c>
      <c r="C99" s="70" t="s">
        <v>168</v>
      </c>
      <c r="D99" s="70" t="s">
        <v>23</v>
      </c>
      <c r="E99" s="70" t="b">
        <v>1</v>
      </c>
      <c r="F99" s="70" t="s">
        <v>27</v>
      </c>
      <c r="G99" s="70">
        <v>8</v>
      </c>
      <c r="H99" s="71">
        <v>46236</v>
      </c>
      <c r="J99" s="1"/>
    </row>
    <row r="100" spans="1:10" ht="14.25">
      <c r="A100" s="70">
        <v>1205</v>
      </c>
      <c r="B100" s="70" t="s">
        <v>167</v>
      </c>
      <c r="C100" s="70" t="s">
        <v>66</v>
      </c>
      <c r="D100" s="70" t="s">
        <v>23</v>
      </c>
      <c r="E100" s="70" t="b">
        <v>0</v>
      </c>
      <c r="F100" s="70" t="s">
        <v>27</v>
      </c>
      <c r="G100" s="70">
        <v>14</v>
      </c>
      <c r="H100" s="71">
        <v>46236</v>
      </c>
      <c r="J100" s="1"/>
    </row>
    <row r="101" spans="1:10" ht="14.25">
      <c r="A101" s="70">
        <v>1406</v>
      </c>
      <c r="B101" s="70" t="s">
        <v>169</v>
      </c>
      <c r="C101" s="70" t="s">
        <v>170</v>
      </c>
      <c r="D101" s="70" t="s">
        <v>23</v>
      </c>
      <c r="E101" s="70" t="b">
        <v>0</v>
      </c>
      <c r="F101" s="70" t="s">
        <v>27</v>
      </c>
      <c r="G101" s="70">
        <v>9</v>
      </c>
      <c r="H101" s="71">
        <v>46236</v>
      </c>
      <c r="J101" s="1"/>
    </row>
    <row r="102" spans="1:10" ht="14.25">
      <c r="A102" s="70">
        <v>1182</v>
      </c>
      <c r="B102" s="70" t="s">
        <v>171</v>
      </c>
      <c r="C102" s="70" t="s">
        <v>136</v>
      </c>
      <c r="D102" s="70" t="s">
        <v>23</v>
      </c>
      <c r="E102" s="70" t="b">
        <v>0</v>
      </c>
      <c r="F102" s="70" t="s">
        <v>27</v>
      </c>
      <c r="G102" s="70">
        <v>8</v>
      </c>
      <c r="H102" s="71">
        <v>46236</v>
      </c>
      <c r="J102" s="1"/>
    </row>
    <row r="103" spans="1:10" ht="14.25">
      <c r="A103" s="70">
        <v>1340</v>
      </c>
      <c r="B103" s="70" t="s">
        <v>172</v>
      </c>
      <c r="C103" s="70" t="s">
        <v>173</v>
      </c>
      <c r="D103" s="70" t="s">
        <v>23</v>
      </c>
      <c r="E103" s="70" t="b">
        <v>0</v>
      </c>
      <c r="F103" s="70" t="s">
        <v>27</v>
      </c>
      <c r="G103" s="70">
        <v>8</v>
      </c>
      <c r="H103" s="71">
        <v>46236</v>
      </c>
      <c r="J103" s="1"/>
    </row>
    <row r="104" spans="1:10" ht="14.25">
      <c r="A104" s="70">
        <v>21</v>
      </c>
      <c r="B104" s="70" t="s">
        <v>174</v>
      </c>
      <c r="C104" s="70" t="s">
        <v>175</v>
      </c>
      <c r="D104" s="70" t="s">
        <v>23</v>
      </c>
      <c r="E104" s="70" t="b">
        <v>0</v>
      </c>
      <c r="F104" s="70" t="s">
        <v>25</v>
      </c>
      <c r="G104" s="70"/>
      <c r="H104" s="71">
        <v>46236</v>
      </c>
      <c r="J104" s="1"/>
    </row>
    <row r="105" spans="1:10" ht="14.25">
      <c r="A105" s="70">
        <v>1049</v>
      </c>
      <c r="B105" s="70" t="s">
        <v>176</v>
      </c>
      <c r="C105" s="70" t="s">
        <v>177</v>
      </c>
      <c r="D105" s="70" t="s">
        <v>23</v>
      </c>
      <c r="E105" s="70" t="b">
        <v>0</v>
      </c>
      <c r="F105" s="70" t="s">
        <v>27</v>
      </c>
      <c r="G105" s="70">
        <v>19</v>
      </c>
      <c r="H105" s="71">
        <v>46236</v>
      </c>
      <c r="J105" s="1"/>
    </row>
    <row r="106" spans="1:10" ht="14.25">
      <c r="A106" s="70">
        <v>120</v>
      </c>
      <c r="B106" s="70" t="s">
        <v>178</v>
      </c>
      <c r="C106" s="70" t="s">
        <v>179</v>
      </c>
      <c r="D106" s="70" t="s">
        <v>23</v>
      </c>
      <c r="E106" s="70" t="b">
        <v>1</v>
      </c>
      <c r="F106" s="70" t="s">
        <v>27</v>
      </c>
      <c r="G106" s="70">
        <v>12</v>
      </c>
      <c r="H106" s="71">
        <v>46236</v>
      </c>
      <c r="J106" s="1"/>
    </row>
    <row r="107" spans="1:10" ht="14.25">
      <c r="A107" s="70">
        <v>990</v>
      </c>
      <c r="B107" s="70" t="s">
        <v>180</v>
      </c>
      <c r="C107" s="70" t="s">
        <v>615</v>
      </c>
      <c r="D107" s="70" t="s">
        <v>23</v>
      </c>
      <c r="E107" s="70" t="b">
        <v>1</v>
      </c>
      <c r="F107" s="70" t="s">
        <v>27</v>
      </c>
      <c r="G107" s="70">
        <v>10</v>
      </c>
      <c r="H107" s="71">
        <v>46236</v>
      </c>
      <c r="J107" s="1"/>
    </row>
    <row r="108" spans="1:10" ht="14.25">
      <c r="A108" s="70">
        <v>1395</v>
      </c>
      <c r="B108" s="70" t="s">
        <v>181</v>
      </c>
      <c r="C108" s="70" t="s">
        <v>182</v>
      </c>
      <c r="D108" s="70" t="s">
        <v>23</v>
      </c>
      <c r="E108" s="70" t="b">
        <v>1</v>
      </c>
      <c r="F108" s="70" t="s">
        <v>35</v>
      </c>
      <c r="G108" s="70"/>
      <c r="H108" s="71">
        <v>46236</v>
      </c>
      <c r="J108" s="1"/>
    </row>
    <row r="109" spans="1:10" ht="14.25">
      <c r="A109" s="70">
        <v>1158</v>
      </c>
      <c r="B109" s="70" t="s">
        <v>183</v>
      </c>
      <c r="C109" s="70" t="s">
        <v>184</v>
      </c>
      <c r="D109" s="70" t="s">
        <v>23</v>
      </c>
      <c r="E109" s="70" t="b">
        <v>1</v>
      </c>
      <c r="F109" s="70" t="s">
        <v>25</v>
      </c>
      <c r="G109" s="70"/>
      <c r="H109" s="71">
        <v>46236</v>
      </c>
      <c r="J109" s="1"/>
    </row>
    <row r="110" spans="1:10" ht="14.25">
      <c r="A110" s="70">
        <v>1432</v>
      </c>
      <c r="B110" s="70" t="s">
        <v>699</v>
      </c>
      <c r="C110" s="70" t="s">
        <v>698</v>
      </c>
      <c r="D110" s="70" t="s">
        <v>23</v>
      </c>
      <c r="E110" s="70" t="b">
        <v>0</v>
      </c>
      <c r="F110" s="70" t="s">
        <v>25</v>
      </c>
      <c r="G110" s="70"/>
      <c r="H110" s="71">
        <v>46236</v>
      </c>
      <c r="J110" s="1"/>
    </row>
    <row r="111" spans="1:10" ht="14.25">
      <c r="A111" s="70">
        <v>23</v>
      </c>
      <c r="B111" s="70" t="s">
        <v>185</v>
      </c>
      <c r="C111" s="70" t="s">
        <v>100</v>
      </c>
      <c r="D111" s="70" t="s">
        <v>23</v>
      </c>
      <c r="E111" s="70" t="b">
        <v>0</v>
      </c>
      <c r="F111" s="70" t="s">
        <v>27</v>
      </c>
      <c r="G111" s="70">
        <v>10</v>
      </c>
      <c r="H111" s="71">
        <v>46236</v>
      </c>
      <c r="J111" s="1"/>
    </row>
    <row r="112" spans="1:10" ht="14.25">
      <c r="A112" s="70">
        <v>1152</v>
      </c>
      <c r="B112" s="70" t="s">
        <v>186</v>
      </c>
      <c r="C112" s="70" t="s">
        <v>187</v>
      </c>
      <c r="D112" s="70" t="s">
        <v>54</v>
      </c>
      <c r="E112" s="70" t="b">
        <v>1</v>
      </c>
      <c r="F112" s="70" t="s">
        <v>188</v>
      </c>
      <c r="G112" s="70"/>
      <c r="H112" s="71">
        <v>46236</v>
      </c>
      <c r="J112" s="1"/>
    </row>
    <row r="113" spans="1:10" ht="14.25">
      <c r="A113" s="70">
        <v>581</v>
      </c>
      <c r="B113" s="70" t="s">
        <v>189</v>
      </c>
      <c r="C113" s="70" t="s">
        <v>190</v>
      </c>
      <c r="D113" s="70" t="s">
        <v>23</v>
      </c>
      <c r="E113" s="70" t="b">
        <v>0</v>
      </c>
      <c r="F113" s="70" t="s">
        <v>27</v>
      </c>
      <c r="G113" s="70">
        <v>13</v>
      </c>
      <c r="H113" s="71">
        <v>46236</v>
      </c>
      <c r="J113" s="1"/>
    </row>
    <row r="114" spans="1:10" ht="14.25">
      <c r="A114" s="70">
        <v>1374</v>
      </c>
      <c r="B114" s="70" t="s">
        <v>191</v>
      </c>
      <c r="C114" s="70" t="s">
        <v>192</v>
      </c>
      <c r="D114" s="70" t="s">
        <v>23</v>
      </c>
      <c r="E114" s="70" t="b">
        <v>0</v>
      </c>
      <c r="F114" s="70" t="s">
        <v>25</v>
      </c>
      <c r="G114" s="70"/>
      <c r="H114" s="71">
        <v>46236</v>
      </c>
      <c r="J114" s="1"/>
    </row>
    <row r="115" spans="1:10" ht="14.25">
      <c r="A115" s="70">
        <v>25</v>
      </c>
      <c r="B115" s="70" t="s">
        <v>22</v>
      </c>
      <c r="C115" s="70" t="s">
        <v>193</v>
      </c>
      <c r="D115" s="70" t="s">
        <v>23</v>
      </c>
      <c r="E115" s="70" t="b">
        <v>0</v>
      </c>
      <c r="F115" s="70" t="s">
        <v>27</v>
      </c>
      <c r="G115" s="70">
        <v>8</v>
      </c>
      <c r="H115" s="71">
        <v>46236</v>
      </c>
      <c r="J115" s="1"/>
    </row>
    <row r="116" spans="1:10" ht="14.25">
      <c r="A116" s="70">
        <v>1257</v>
      </c>
      <c r="B116" s="70" t="s">
        <v>194</v>
      </c>
      <c r="C116" s="70" t="s">
        <v>150</v>
      </c>
      <c r="D116" s="70" t="s">
        <v>54</v>
      </c>
      <c r="E116" s="70" t="b">
        <v>0</v>
      </c>
      <c r="F116" s="70" t="s">
        <v>25</v>
      </c>
      <c r="G116" s="70"/>
      <c r="H116" s="71">
        <v>46236</v>
      </c>
      <c r="J116" s="1"/>
    </row>
    <row r="117" spans="1:10" ht="14.25">
      <c r="A117" s="70">
        <v>415</v>
      </c>
      <c r="B117" s="70" t="s">
        <v>195</v>
      </c>
      <c r="C117" s="70" t="s">
        <v>196</v>
      </c>
      <c r="D117" s="70" t="s">
        <v>23</v>
      </c>
      <c r="E117" s="70" t="b">
        <v>0</v>
      </c>
      <c r="F117" s="70" t="s">
        <v>27</v>
      </c>
      <c r="G117" s="70">
        <v>6</v>
      </c>
      <c r="H117" s="71">
        <v>46236</v>
      </c>
      <c r="J117" s="1"/>
    </row>
    <row r="118" spans="1:10" ht="14.25">
      <c r="A118" s="70">
        <v>1144</v>
      </c>
      <c r="B118" s="70" t="s">
        <v>195</v>
      </c>
      <c r="C118" s="70" t="s">
        <v>197</v>
      </c>
      <c r="D118" s="70" t="s">
        <v>54</v>
      </c>
      <c r="E118" s="70" t="b">
        <v>0</v>
      </c>
      <c r="F118" s="70" t="s">
        <v>188</v>
      </c>
      <c r="G118" s="70"/>
      <c r="H118" s="71">
        <v>46236</v>
      </c>
      <c r="J118" s="1"/>
    </row>
    <row r="119" spans="1:10" ht="14.25">
      <c r="A119" s="70">
        <v>1292</v>
      </c>
      <c r="B119" s="70" t="s">
        <v>198</v>
      </c>
      <c r="C119" s="70" t="s">
        <v>199</v>
      </c>
      <c r="D119" s="70" t="s">
        <v>23</v>
      </c>
      <c r="E119" s="70" t="b">
        <v>1</v>
      </c>
      <c r="F119" s="70" t="s">
        <v>25</v>
      </c>
      <c r="G119" s="70"/>
      <c r="H119" s="71">
        <v>46236</v>
      </c>
      <c r="J119" s="1"/>
    </row>
    <row r="120" spans="1:10" ht="14.25">
      <c r="A120" s="70">
        <v>203</v>
      </c>
      <c r="B120" s="70" t="s">
        <v>200</v>
      </c>
      <c r="C120" s="70" t="s">
        <v>201</v>
      </c>
      <c r="D120" s="70" t="s">
        <v>23</v>
      </c>
      <c r="E120" s="70" t="b">
        <v>0</v>
      </c>
      <c r="F120" s="70" t="s">
        <v>27</v>
      </c>
      <c r="G120" s="70">
        <v>9</v>
      </c>
      <c r="H120" s="71">
        <v>46236</v>
      </c>
      <c r="J120" s="1"/>
    </row>
    <row r="121" spans="1:10" ht="14.25">
      <c r="A121" s="70">
        <v>956</v>
      </c>
      <c r="B121" s="70" t="s">
        <v>202</v>
      </c>
      <c r="C121" s="70" t="s">
        <v>94</v>
      </c>
      <c r="D121" s="70" t="s">
        <v>23</v>
      </c>
      <c r="E121" s="70" t="b">
        <v>0</v>
      </c>
      <c r="F121" s="70" t="s">
        <v>27</v>
      </c>
      <c r="G121" s="70">
        <v>13</v>
      </c>
      <c r="H121" s="71">
        <v>46236</v>
      </c>
      <c r="J121" s="1"/>
    </row>
    <row r="122" spans="1:10" ht="14.25">
      <c r="A122" s="70">
        <v>1273</v>
      </c>
      <c r="B122" s="70" t="s">
        <v>203</v>
      </c>
      <c r="C122" s="70" t="s">
        <v>204</v>
      </c>
      <c r="D122" s="70" t="s">
        <v>23</v>
      </c>
      <c r="E122" s="70" t="b">
        <v>1</v>
      </c>
      <c r="F122" s="70" t="s">
        <v>27</v>
      </c>
      <c r="G122" s="70">
        <v>22</v>
      </c>
      <c r="H122" s="71">
        <v>46236</v>
      </c>
      <c r="J122" s="1"/>
    </row>
    <row r="123" spans="1:10" ht="14.25">
      <c r="A123" s="70">
        <v>1272</v>
      </c>
      <c r="B123" s="70" t="s">
        <v>203</v>
      </c>
      <c r="C123" s="70" t="s">
        <v>205</v>
      </c>
      <c r="D123" s="70" t="s">
        <v>23</v>
      </c>
      <c r="E123" s="70" t="b">
        <v>0</v>
      </c>
      <c r="F123" s="70" t="s">
        <v>27</v>
      </c>
      <c r="G123" s="70">
        <v>24</v>
      </c>
      <c r="H123" s="71">
        <v>46236</v>
      </c>
      <c r="J123" s="1"/>
    </row>
    <row r="124" spans="1:10" ht="14.25">
      <c r="A124" s="70">
        <v>846</v>
      </c>
      <c r="B124" s="70" t="s">
        <v>206</v>
      </c>
      <c r="C124" s="70" t="s">
        <v>207</v>
      </c>
      <c r="D124" s="70" t="s">
        <v>23</v>
      </c>
      <c r="E124" s="70" t="b">
        <v>0</v>
      </c>
      <c r="F124" s="70" t="s">
        <v>27</v>
      </c>
      <c r="G124" s="70">
        <v>17</v>
      </c>
      <c r="H124" s="71">
        <v>46236</v>
      </c>
      <c r="J124" s="1"/>
    </row>
    <row r="125" spans="1:10" ht="14.25">
      <c r="A125" s="70">
        <v>1162</v>
      </c>
      <c r="B125" s="70" t="s">
        <v>208</v>
      </c>
      <c r="C125" s="70" t="s">
        <v>150</v>
      </c>
      <c r="D125" s="70" t="s">
        <v>23</v>
      </c>
      <c r="E125" s="70" t="b">
        <v>0</v>
      </c>
      <c r="F125" s="70" t="s">
        <v>25</v>
      </c>
      <c r="G125" s="70"/>
      <c r="H125" s="71">
        <v>46236</v>
      </c>
      <c r="J125" s="1"/>
    </row>
    <row r="126" spans="1:10" ht="14.25">
      <c r="A126" s="70">
        <v>1244</v>
      </c>
      <c r="B126" s="70" t="s">
        <v>209</v>
      </c>
      <c r="C126" s="70" t="s">
        <v>94</v>
      </c>
      <c r="D126" s="70" t="s">
        <v>23</v>
      </c>
      <c r="E126" s="70" t="b">
        <v>0</v>
      </c>
      <c r="F126" s="70" t="s">
        <v>27</v>
      </c>
      <c r="G126" s="70">
        <v>2</v>
      </c>
      <c r="H126" s="71">
        <v>46236</v>
      </c>
      <c r="J126" s="1"/>
    </row>
    <row r="127" spans="1:10" ht="14.25">
      <c r="A127" s="70">
        <v>1379</v>
      </c>
      <c r="B127" s="70" t="s">
        <v>209</v>
      </c>
      <c r="C127" s="70" t="s">
        <v>210</v>
      </c>
      <c r="D127" s="70" t="s">
        <v>23</v>
      </c>
      <c r="E127" s="70" t="b">
        <v>1</v>
      </c>
      <c r="F127" s="70" t="s">
        <v>25</v>
      </c>
      <c r="G127" s="70"/>
      <c r="H127" s="71">
        <v>46236</v>
      </c>
      <c r="J127" s="1"/>
    </row>
    <row r="128" spans="1:10" ht="14.25">
      <c r="A128" s="70">
        <v>1362</v>
      </c>
      <c r="B128" s="70" t="s">
        <v>211</v>
      </c>
      <c r="C128" s="70" t="s">
        <v>212</v>
      </c>
      <c r="D128" s="70" t="s">
        <v>23</v>
      </c>
      <c r="E128" s="70" t="b">
        <v>1</v>
      </c>
      <c r="F128" s="70" t="s">
        <v>27</v>
      </c>
      <c r="G128" s="70">
        <v>22</v>
      </c>
      <c r="H128" s="71">
        <v>46236</v>
      </c>
      <c r="J128" s="1"/>
    </row>
    <row r="129" spans="1:10" ht="14.25">
      <c r="A129" s="70">
        <v>1403</v>
      </c>
      <c r="B129" s="70" t="s">
        <v>213</v>
      </c>
      <c r="C129" s="70" t="s">
        <v>214</v>
      </c>
      <c r="D129" s="70" t="s">
        <v>23</v>
      </c>
      <c r="E129" s="70" t="b">
        <v>0</v>
      </c>
      <c r="F129" s="70" t="s">
        <v>27</v>
      </c>
      <c r="G129" s="70">
        <v>8</v>
      </c>
      <c r="H129" s="71">
        <v>46236</v>
      </c>
      <c r="J129" s="1"/>
    </row>
    <row r="130" spans="1:10" ht="14.25">
      <c r="A130" s="70">
        <v>1404</v>
      </c>
      <c r="B130" s="70" t="s">
        <v>213</v>
      </c>
      <c r="C130" s="70" t="s">
        <v>215</v>
      </c>
      <c r="D130" s="70" t="s">
        <v>23</v>
      </c>
      <c r="E130" s="70" t="b">
        <v>1</v>
      </c>
      <c r="F130" s="70" t="s">
        <v>25</v>
      </c>
      <c r="G130" s="70"/>
      <c r="H130" s="71">
        <v>46236</v>
      </c>
      <c r="J130" s="1"/>
    </row>
    <row r="131" spans="1:10" ht="14.25">
      <c r="A131" s="70">
        <v>1229</v>
      </c>
      <c r="B131" s="70" t="s">
        <v>216</v>
      </c>
      <c r="C131" s="70" t="s">
        <v>217</v>
      </c>
      <c r="D131" s="70" t="s">
        <v>23</v>
      </c>
      <c r="E131" s="70" t="b">
        <v>1</v>
      </c>
      <c r="F131" s="70" t="s">
        <v>25</v>
      </c>
      <c r="G131" s="70"/>
      <c r="H131" s="71">
        <v>46236</v>
      </c>
      <c r="J131" s="1"/>
    </row>
    <row r="132" spans="1:10" ht="14.25">
      <c r="A132" s="70">
        <v>1408</v>
      </c>
      <c r="B132" s="70" t="s">
        <v>218</v>
      </c>
      <c r="C132" s="70" t="s">
        <v>219</v>
      </c>
      <c r="D132" s="70" t="s">
        <v>23</v>
      </c>
      <c r="E132" s="70" t="b">
        <v>0</v>
      </c>
      <c r="F132" s="70" t="s">
        <v>27</v>
      </c>
      <c r="G132" s="70">
        <v>20</v>
      </c>
      <c r="H132" s="71">
        <v>46236</v>
      </c>
      <c r="J132" s="1"/>
    </row>
    <row r="133" spans="1:10" ht="14.25">
      <c r="A133" s="70">
        <v>1409</v>
      </c>
      <c r="B133" s="70" t="s">
        <v>218</v>
      </c>
      <c r="C133" s="70" t="s">
        <v>220</v>
      </c>
      <c r="D133" s="70" t="s">
        <v>23</v>
      </c>
      <c r="E133" s="70" t="b">
        <v>1</v>
      </c>
      <c r="F133" s="70" t="s">
        <v>27</v>
      </c>
      <c r="G133" s="70">
        <v>15</v>
      </c>
      <c r="H133" s="71">
        <v>46236</v>
      </c>
      <c r="J133" s="1"/>
    </row>
    <row r="134" spans="1:10" ht="14.25">
      <c r="A134" s="70">
        <v>1198</v>
      </c>
      <c r="B134" s="70" t="s">
        <v>221</v>
      </c>
      <c r="C134" s="70" t="s">
        <v>222</v>
      </c>
      <c r="D134" s="70" t="s">
        <v>23</v>
      </c>
      <c r="E134" s="70" t="b">
        <v>0</v>
      </c>
      <c r="F134" s="70" t="s">
        <v>27</v>
      </c>
      <c r="G134" s="70">
        <v>5</v>
      </c>
      <c r="H134" s="71">
        <v>46236</v>
      </c>
      <c r="J134" s="1"/>
    </row>
    <row r="135" spans="1:10" ht="14.25">
      <c r="A135" s="70">
        <v>1435</v>
      </c>
      <c r="B135" s="70" t="s">
        <v>766</v>
      </c>
      <c r="C135" s="70" t="s">
        <v>46</v>
      </c>
      <c r="D135" s="70" t="s">
        <v>23</v>
      </c>
      <c r="E135" s="70" t="b">
        <v>0</v>
      </c>
      <c r="F135" s="70" t="s">
        <v>27</v>
      </c>
      <c r="G135" s="70">
        <v>10</v>
      </c>
      <c r="H135" s="71">
        <v>46236</v>
      </c>
      <c r="J135" s="1"/>
    </row>
    <row r="136" spans="1:10" ht="14.25">
      <c r="A136" s="70">
        <v>1260</v>
      </c>
      <c r="B136" s="70" t="s">
        <v>223</v>
      </c>
      <c r="C136" s="70" t="s">
        <v>82</v>
      </c>
      <c r="D136" s="70" t="s">
        <v>23</v>
      </c>
      <c r="E136" s="70" t="b">
        <v>1</v>
      </c>
      <c r="F136" s="70" t="s">
        <v>27</v>
      </c>
      <c r="G136" s="70">
        <v>15</v>
      </c>
      <c r="H136" s="71">
        <v>46236</v>
      </c>
      <c r="J136" s="1"/>
    </row>
    <row r="137" spans="1:10" ht="14.25">
      <c r="A137" s="70">
        <v>1361</v>
      </c>
      <c r="B137" s="70" t="s">
        <v>224</v>
      </c>
      <c r="C137" s="70" t="s">
        <v>225</v>
      </c>
      <c r="D137" s="70" t="s">
        <v>23</v>
      </c>
      <c r="E137" s="70" t="b">
        <v>0</v>
      </c>
      <c r="F137" s="70" t="s">
        <v>27</v>
      </c>
      <c r="G137" s="70">
        <v>16</v>
      </c>
      <c r="H137" s="71">
        <v>46236</v>
      </c>
      <c r="J137" s="1"/>
    </row>
    <row r="138" spans="1:10" ht="14.25">
      <c r="A138" s="70">
        <v>1100</v>
      </c>
      <c r="B138" s="70" t="s">
        <v>226</v>
      </c>
      <c r="C138" s="70" t="s">
        <v>34</v>
      </c>
      <c r="D138" s="70" t="s">
        <v>23</v>
      </c>
      <c r="E138" s="70" t="b">
        <v>0</v>
      </c>
      <c r="F138" s="70" t="s">
        <v>27</v>
      </c>
      <c r="G138" s="70">
        <v>13</v>
      </c>
      <c r="H138" s="71">
        <v>46236</v>
      </c>
      <c r="J138" s="1"/>
    </row>
    <row r="139" spans="1:10" ht="14.25">
      <c r="A139" s="70">
        <v>1385</v>
      </c>
      <c r="B139" s="70" t="s">
        <v>227</v>
      </c>
      <c r="C139" s="70" t="s">
        <v>228</v>
      </c>
      <c r="D139" s="70" t="s">
        <v>23</v>
      </c>
      <c r="E139" s="70" t="b">
        <v>0</v>
      </c>
      <c r="F139" s="70" t="s">
        <v>25</v>
      </c>
      <c r="G139" s="70"/>
      <c r="H139" s="71">
        <v>46236</v>
      </c>
      <c r="J139" s="1"/>
    </row>
    <row r="140" spans="1:10" ht="14.25">
      <c r="A140" s="70">
        <v>1394</v>
      </c>
      <c r="B140" s="70" t="s">
        <v>227</v>
      </c>
      <c r="C140" s="70" t="s">
        <v>229</v>
      </c>
      <c r="D140" s="70" t="s">
        <v>23</v>
      </c>
      <c r="E140" s="70" t="b">
        <v>0</v>
      </c>
      <c r="F140" s="70" t="s">
        <v>35</v>
      </c>
      <c r="G140" s="70"/>
      <c r="H140" s="71">
        <v>46236</v>
      </c>
      <c r="J140" s="1"/>
    </row>
    <row r="141" spans="1:10" ht="14.25">
      <c r="A141" s="70">
        <v>1419</v>
      </c>
      <c r="B141" s="70" t="s">
        <v>230</v>
      </c>
      <c r="C141" s="70" t="s">
        <v>231</v>
      </c>
      <c r="D141" s="70" t="s">
        <v>23</v>
      </c>
      <c r="E141" s="70" t="b">
        <v>0</v>
      </c>
      <c r="F141" s="70" t="s">
        <v>25</v>
      </c>
      <c r="G141" s="70"/>
      <c r="H141" s="71">
        <v>46236</v>
      </c>
      <c r="J141" s="1"/>
    </row>
    <row r="142" spans="1:10" ht="14.25">
      <c r="A142" s="70">
        <v>967</v>
      </c>
      <c r="B142" s="70" t="s">
        <v>232</v>
      </c>
      <c r="C142" s="70" t="s">
        <v>152</v>
      </c>
      <c r="D142" s="70" t="s">
        <v>23</v>
      </c>
      <c r="E142" s="70" t="b">
        <v>0</v>
      </c>
      <c r="F142" s="70" t="s">
        <v>27</v>
      </c>
      <c r="G142" s="70">
        <v>5</v>
      </c>
      <c r="H142" s="71">
        <v>46236</v>
      </c>
      <c r="J142" s="1"/>
    </row>
    <row r="143" spans="1:10" ht="14.25">
      <c r="A143" s="70">
        <v>1373</v>
      </c>
      <c r="B143" s="70" t="s">
        <v>233</v>
      </c>
      <c r="C143" s="70" t="s">
        <v>234</v>
      </c>
      <c r="D143" s="70" t="s">
        <v>23</v>
      </c>
      <c r="E143" s="70" t="b">
        <v>0</v>
      </c>
      <c r="F143" s="70" t="s">
        <v>27</v>
      </c>
      <c r="G143" s="70">
        <v>10</v>
      </c>
      <c r="H143" s="71">
        <v>46236</v>
      </c>
      <c r="J143" s="1"/>
    </row>
    <row r="144" spans="1:10" ht="14.25">
      <c r="A144" s="70">
        <v>1045</v>
      </c>
      <c r="B144" s="70" t="s">
        <v>235</v>
      </c>
      <c r="C144" s="70" t="s">
        <v>236</v>
      </c>
      <c r="D144" s="70" t="s">
        <v>23</v>
      </c>
      <c r="E144" s="70" t="b">
        <v>1</v>
      </c>
      <c r="F144" s="70" t="s">
        <v>27</v>
      </c>
      <c r="G144" s="70">
        <v>5</v>
      </c>
      <c r="H144" s="71">
        <v>46236</v>
      </c>
      <c r="J144" s="1"/>
    </row>
    <row r="145" spans="1:10" ht="14.25">
      <c r="A145" s="70">
        <v>1046</v>
      </c>
      <c r="B145" s="70" t="s">
        <v>235</v>
      </c>
      <c r="C145" s="70" t="s">
        <v>237</v>
      </c>
      <c r="D145" s="70" t="s">
        <v>23</v>
      </c>
      <c r="E145" s="70" t="b">
        <v>0</v>
      </c>
      <c r="F145" s="70" t="s">
        <v>27</v>
      </c>
      <c r="G145" s="70">
        <v>35</v>
      </c>
      <c r="H145" s="71">
        <v>46236</v>
      </c>
      <c r="J145" s="1"/>
    </row>
    <row r="146" spans="1:10" ht="14.25">
      <c r="A146" s="70">
        <v>1396</v>
      </c>
      <c r="B146" s="70" t="s">
        <v>238</v>
      </c>
      <c r="C146" s="70" t="s">
        <v>59</v>
      </c>
      <c r="D146" s="70" t="s">
        <v>23</v>
      </c>
      <c r="E146" s="70" t="b">
        <v>0</v>
      </c>
      <c r="F146" s="70" t="s">
        <v>25</v>
      </c>
      <c r="G146" s="70"/>
      <c r="H146" s="71">
        <v>46236</v>
      </c>
      <c r="J146" s="1"/>
    </row>
    <row r="147" spans="1:10" ht="14.25">
      <c r="A147" s="70">
        <v>1397</v>
      </c>
      <c r="B147" s="70" t="s">
        <v>238</v>
      </c>
      <c r="C147" s="70" t="s">
        <v>239</v>
      </c>
      <c r="D147" s="70" t="s">
        <v>23</v>
      </c>
      <c r="E147" s="70" t="b">
        <v>1</v>
      </c>
      <c r="F147" s="70" t="s">
        <v>25</v>
      </c>
      <c r="G147" s="70"/>
      <c r="H147" s="71">
        <v>46236</v>
      </c>
      <c r="J147" s="1"/>
    </row>
    <row r="148" spans="1:10" ht="14.25">
      <c r="A148" s="70">
        <v>1398</v>
      </c>
      <c r="B148" s="70" t="s">
        <v>238</v>
      </c>
      <c r="C148" s="70" t="s">
        <v>49</v>
      </c>
      <c r="D148" s="70" t="s">
        <v>23</v>
      </c>
      <c r="E148" s="70" t="b">
        <v>0</v>
      </c>
      <c r="F148" s="70" t="s">
        <v>35</v>
      </c>
      <c r="G148" s="70"/>
      <c r="H148" s="71">
        <v>46236</v>
      </c>
      <c r="J148" s="1"/>
    </row>
    <row r="149" spans="1:10" ht="14.25">
      <c r="A149" s="70">
        <v>1399</v>
      </c>
      <c r="B149" s="70" t="s">
        <v>238</v>
      </c>
      <c r="C149" s="70" t="s">
        <v>131</v>
      </c>
      <c r="D149" s="70" t="s">
        <v>23</v>
      </c>
      <c r="E149" s="70" t="b">
        <v>1</v>
      </c>
      <c r="F149" s="70" t="s">
        <v>35</v>
      </c>
      <c r="G149" s="70"/>
      <c r="H149" s="71">
        <v>46236</v>
      </c>
      <c r="J149" s="1"/>
    </row>
    <row r="150" spans="1:10" ht="14.25">
      <c r="A150" s="70">
        <v>771</v>
      </c>
      <c r="B150" s="70" t="s">
        <v>240</v>
      </c>
      <c r="C150" s="70" t="s">
        <v>241</v>
      </c>
      <c r="D150" s="70" t="s">
        <v>23</v>
      </c>
      <c r="E150" s="70" t="b">
        <v>0</v>
      </c>
      <c r="F150" s="70" t="s">
        <v>27</v>
      </c>
      <c r="G150" s="70">
        <v>14</v>
      </c>
      <c r="H150" s="71">
        <v>46236</v>
      </c>
      <c r="J150" s="1"/>
    </row>
    <row r="151" spans="1:10" ht="14.25">
      <c r="A151" s="70">
        <v>1265</v>
      </c>
      <c r="B151" s="70" t="s">
        <v>242</v>
      </c>
      <c r="C151" s="70" t="s">
        <v>243</v>
      </c>
      <c r="D151" s="70" t="s">
        <v>23</v>
      </c>
      <c r="E151" s="70" t="b">
        <v>0</v>
      </c>
      <c r="F151" s="70" t="s">
        <v>27</v>
      </c>
      <c r="G151" s="70">
        <v>20</v>
      </c>
      <c r="H151" s="71">
        <v>46236</v>
      </c>
      <c r="J151" s="1"/>
    </row>
    <row r="152" spans="1:10" ht="14.25">
      <c r="A152" s="70">
        <v>532</v>
      </c>
      <c r="B152" s="70" t="s">
        <v>244</v>
      </c>
      <c r="C152" s="70" t="s">
        <v>243</v>
      </c>
      <c r="D152" s="70" t="s">
        <v>23</v>
      </c>
      <c r="E152" s="70" t="b">
        <v>0</v>
      </c>
      <c r="F152" s="70" t="s">
        <v>27</v>
      </c>
      <c r="G152" s="70">
        <v>13</v>
      </c>
      <c r="H152" s="71">
        <v>46236</v>
      </c>
      <c r="J152" s="1"/>
    </row>
    <row r="153" spans="1:10" ht="14.25">
      <c r="A153" s="70">
        <v>1388</v>
      </c>
      <c r="B153" s="70" t="s">
        <v>193</v>
      </c>
      <c r="C153" s="70" t="s">
        <v>245</v>
      </c>
      <c r="D153" s="70" t="s">
        <v>23</v>
      </c>
      <c r="E153" s="70" t="b">
        <v>1</v>
      </c>
      <c r="F153" s="70" t="s">
        <v>25</v>
      </c>
      <c r="G153" s="70"/>
      <c r="H153" s="71">
        <v>46236</v>
      </c>
      <c r="J153" s="1"/>
    </row>
    <row r="154" spans="1:10" ht="14.25">
      <c r="A154" s="70">
        <v>742</v>
      </c>
      <c r="B154" s="70" t="s">
        <v>246</v>
      </c>
      <c r="C154" s="70" t="s">
        <v>156</v>
      </c>
      <c r="D154" s="70" t="s">
        <v>23</v>
      </c>
      <c r="E154" s="70" t="b">
        <v>1</v>
      </c>
      <c r="F154" s="70" t="s">
        <v>27</v>
      </c>
      <c r="G154" s="70">
        <v>2</v>
      </c>
      <c r="H154" s="71">
        <v>46236</v>
      </c>
      <c r="J154" s="1"/>
    </row>
    <row r="155" spans="1:10" ht="14.25">
      <c r="A155" s="70">
        <v>741</v>
      </c>
      <c r="B155" s="70" t="s">
        <v>246</v>
      </c>
      <c r="C155" s="70" t="s">
        <v>247</v>
      </c>
      <c r="D155" s="70" t="s">
        <v>23</v>
      </c>
      <c r="E155" s="70" t="b">
        <v>0</v>
      </c>
      <c r="F155" s="70" t="s">
        <v>27</v>
      </c>
      <c r="G155" s="70">
        <v>4</v>
      </c>
      <c r="H155" s="71">
        <v>46236</v>
      </c>
      <c r="J155" s="1"/>
    </row>
    <row r="156" spans="1:10" ht="14.25">
      <c r="A156" s="70">
        <v>1298</v>
      </c>
      <c r="B156" s="70" t="s">
        <v>246</v>
      </c>
      <c r="C156" s="70" t="s">
        <v>132</v>
      </c>
      <c r="D156" s="70" t="s">
        <v>23</v>
      </c>
      <c r="E156" s="70" t="b">
        <v>1</v>
      </c>
      <c r="F156" s="70" t="s">
        <v>27</v>
      </c>
      <c r="G156" s="70">
        <v>13</v>
      </c>
      <c r="H156" s="71">
        <v>46236</v>
      </c>
      <c r="J156" s="1"/>
    </row>
    <row r="157" spans="1:10" ht="14.25">
      <c r="A157" s="70">
        <v>747</v>
      </c>
      <c r="B157" s="70" t="s">
        <v>246</v>
      </c>
      <c r="C157" s="70" t="s">
        <v>22</v>
      </c>
      <c r="D157" s="70" t="s">
        <v>23</v>
      </c>
      <c r="E157" s="70" t="b">
        <v>0</v>
      </c>
      <c r="F157" s="70" t="s">
        <v>27</v>
      </c>
      <c r="G157" s="70">
        <v>1</v>
      </c>
      <c r="H157" s="71">
        <v>46236</v>
      </c>
      <c r="J157" s="1"/>
    </row>
    <row r="158" spans="1:10" ht="14.25">
      <c r="A158" s="70">
        <v>1386</v>
      </c>
      <c r="B158" s="70" t="s">
        <v>246</v>
      </c>
      <c r="C158" s="70" t="s">
        <v>248</v>
      </c>
      <c r="D158" s="70" t="s">
        <v>23</v>
      </c>
      <c r="E158" s="70" t="b">
        <v>1</v>
      </c>
      <c r="F158" s="70" t="s">
        <v>35</v>
      </c>
      <c r="G158" s="70"/>
      <c r="H158" s="71">
        <v>46236</v>
      </c>
      <c r="J158" s="1"/>
    </row>
    <row r="159" spans="1:10" ht="14.25">
      <c r="A159" s="70">
        <v>1221</v>
      </c>
      <c r="B159" s="70" t="s">
        <v>249</v>
      </c>
      <c r="C159" s="70" t="s">
        <v>234</v>
      </c>
      <c r="D159" s="70" t="s">
        <v>23</v>
      </c>
      <c r="E159" s="70" t="b">
        <v>0</v>
      </c>
      <c r="F159" s="70" t="s">
        <v>25</v>
      </c>
      <c r="G159" s="70"/>
      <c r="H159" s="71">
        <v>46236</v>
      </c>
      <c r="J159" s="1"/>
    </row>
    <row r="160" spans="1:10" ht="14.25">
      <c r="A160" s="70">
        <v>564</v>
      </c>
      <c r="B160" s="70" t="s">
        <v>250</v>
      </c>
      <c r="C160" s="70" t="s">
        <v>34</v>
      </c>
      <c r="D160" s="70" t="s">
        <v>23</v>
      </c>
      <c r="E160" s="70" t="b">
        <v>0</v>
      </c>
      <c r="F160" s="70" t="s">
        <v>27</v>
      </c>
      <c r="G160" s="70">
        <v>7</v>
      </c>
      <c r="H160" s="71">
        <v>46236</v>
      </c>
      <c r="J160" s="1"/>
    </row>
    <row r="161" spans="1:10" ht="14.25">
      <c r="A161" s="70">
        <v>1165</v>
      </c>
      <c r="B161" s="70" t="s">
        <v>251</v>
      </c>
      <c r="C161" s="70" t="s">
        <v>177</v>
      </c>
      <c r="D161" s="70" t="s">
        <v>23</v>
      </c>
      <c r="E161" s="70" t="b">
        <v>0</v>
      </c>
      <c r="F161" s="70" t="s">
        <v>27</v>
      </c>
      <c r="G161" s="70">
        <v>10</v>
      </c>
      <c r="H161" s="71">
        <v>46236</v>
      </c>
      <c r="J161" s="1"/>
    </row>
    <row r="162" spans="1:10" ht="14.25">
      <c r="A162" s="70">
        <v>405</v>
      </c>
      <c r="B162" s="70" t="s">
        <v>252</v>
      </c>
      <c r="C162" s="70" t="s">
        <v>243</v>
      </c>
      <c r="D162" s="70" t="s">
        <v>23</v>
      </c>
      <c r="E162" s="70" t="b">
        <v>0</v>
      </c>
      <c r="F162" s="70" t="s">
        <v>27</v>
      </c>
      <c r="G162" s="70">
        <v>18</v>
      </c>
      <c r="H162" s="71">
        <v>46236</v>
      </c>
      <c r="J162" s="1"/>
    </row>
    <row r="163" spans="1:10" ht="14.25">
      <c r="A163" s="70">
        <v>1346</v>
      </c>
      <c r="B163" s="70" t="s">
        <v>253</v>
      </c>
      <c r="C163" s="70" t="s">
        <v>254</v>
      </c>
      <c r="D163" s="70" t="s">
        <v>23</v>
      </c>
      <c r="E163" s="70" t="b">
        <v>0</v>
      </c>
      <c r="F163" s="70" t="s">
        <v>27</v>
      </c>
      <c r="G163" s="70">
        <v>20</v>
      </c>
      <c r="H163" s="71">
        <v>46236</v>
      </c>
      <c r="J163" s="1"/>
    </row>
    <row r="164" spans="1:10" ht="14.25">
      <c r="A164" s="70">
        <v>1192</v>
      </c>
      <c r="B164" s="70" t="s">
        <v>255</v>
      </c>
      <c r="C164" s="70" t="s">
        <v>256</v>
      </c>
      <c r="D164" s="70" t="s">
        <v>23</v>
      </c>
      <c r="E164" s="70" t="b">
        <v>0</v>
      </c>
      <c r="F164" s="70" t="s">
        <v>27</v>
      </c>
      <c r="G164" s="70">
        <v>10</v>
      </c>
      <c r="H164" s="71">
        <v>46236</v>
      </c>
      <c r="J164" s="1"/>
    </row>
    <row r="165" spans="1:10" ht="14.25">
      <c r="A165" s="70">
        <v>1434</v>
      </c>
      <c r="B165" s="70" t="s">
        <v>765</v>
      </c>
      <c r="C165" s="70" t="s">
        <v>104</v>
      </c>
      <c r="D165" s="70" t="s">
        <v>23</v>
      </c>
      <c r="E165" s="70" t="b">
        <v>0</v>
      </c>
      <c r="F165" s="70" t="s">
        <v>27</v>
      </c>
      <c r="G165" s="70">
        <v>13</v>
      </c>
      <c r="H165" s="71">
        <v>46236</v>
      </c>
      <c r="J165" s="1"/>
    </row>
    <row r="166" spans="1:10" ht="14.25">
      <c r="A166" s="70">
        <v>1157</v>
      </c>
      <c r="B166" s="70" t="s">
        <v>257</v>
      </c>
      <c r="C166" s="70" t="s">
        <v>100</v>
      </c>
      <c r="D166" s="70" t="s">
        <v>23</v>
      </c>
      <c r="E166" s="70" t="b">
        <v>0</v>
      </c>
      <c r="F166" s="70" t="s">
        <v>25</v>
      </c>
      <c r="G166" s="70"/>
      <c r="H166" s="71">
        <v>46236</v>
      </c>
      <c r="J166" s="1"/>
    </row>
    <row r="167" spans="1:10" ht="14.25">
      <c r="A167" s="70">
        <v>1359</v>
      </c>
      <c r="B167" s="70" t="s">
        <v>258</v>
      </c>
      <c r="C167" s="70" t="s">
        <v>49</v>
      </c>
      <c r="D167" s="70" t="s">
        <v>23</v>
      </c>
      <c r="E167" s="70" t="b">
        <v>0</v>
      </c>
      <c r="F167" s="70" t="s">
        <v>188</v>
      </c>
      <c r="G167" s="70"/>
      <c r="H167" s="71">
        <v>46236</v>
      </c>
      <c r="J167" s="1"/>
    </row>
    <row r="168" spans="1:10" ht="14.25">
      <c r="A168" s="70">
        <v>1360</v>
      </c>
      <c r="B168" s="70" t="s">
        <v>258</v>
      </c>
      <c r="C168" s="70" t="s">
        <v>259</v>
      </c>
      <c r="D168" s="70" t="s">
        <v>23</v>
      </c>
      <c r="E168" s="70" t="b">
        <v>1</v>
      </c>
      <c r="F168" s="70" t="s">
        <v>35</v>
      </c>
      <c r="G168" s="70"/>
      <c r="H168" s="71">
        <v>46236</v>
      </c>
      <c r="J168" s="1"/>
    </row>
    <row r="169" spans="1:10" ht="14.25">
      <c r="A169" s="70">
        <v>1357</v>
      </c>
      <c r="B169" s="70" t="s">
        <v>258</v>
      </c>
      <c r="C169" s="70" t="s">
        <v>34</v>
      </c>
      <c r="D169" s="70" t="s">
        <v>23</v>
      </c>
      <c r="E169" s="70" t="b">
        <v>0</v>
      </c>
      <c r="F169" s="70" t="s">
        <v>27</v>
      </c>
      <c r="G169" s="70">
        <v>5</v>
      </c>
      <c r="H169" s="71">
        <v>46236</v>
      </c>
      <c r="J169" s="1"/>
    </row>
    <row r="170" spans="1:10" ht="14.25">
      <c r="A170" s="70">
        <v>1358</v>
      </c>
      <c r="B170" s="70" t="s">
        <v>258</v>
      </c>
      <c r="C170" s="70" t="s">
        <v>260</v>
      </c>
      <c r="D170" s="70" t="s">
        <v>23</v>
      </c>
      <c r="E170" s="70" t="b">
        <v>1</v>
      </c>
      <c r="F170" s="70" t="s">
        <v>27</v>
      </c>
      <c r="G170" s="70">
        <v>7</v>
      </c>
      <c r="H170" s="71">
        <v>46236</v>
      </c>
      <c r="J170" s="1"/>
    </row>
    <row r="171" spans="1:10" ht="14.25">
      <c r="A171" s="70">
        <v>1390</v>
      </c>
      <c r="B171" s="70" t="s">
        <v>261</v>
      </c>
      <c r="C171" s="70" t="s">
        <v>262</v>
      </c>
      <c r="D171" s="70" t="s">
        <v>23</v>
      </c>
      <c r="E171" s="70" t="b">
        <v>0</v>
      </c>
      <c r="F171" s="70" t="s">
        <v>25</v>
      </c>
      <c r="G171" s="70"/>
      <c r="H171" s="71">
        <v>46236</v>
      </c>
      <c r="J171" s="1"/>
    </row>
    <row r="172" spans="1:10" ht="14.25">
      <c r="A172" s="70">
        <v>1437</v>
      </c>
      <c r="B172" s="70" t="s">
        <v>764</v>
      </c>
      <c r="C172" s="70" t="s">
        <v>34</v>
      </c>
      <c r="D172" s="70" t="s">
        <v>23</v>
      </c>
      <c r="E172" s="70" t="b">
        <v>0</v>
      </c>
      <c r="F172" s="70" t="s">
        <v>27</v>
      </c>
      <c r="G172" s="70">
        <v>8</v>
      </c>
      <c r="H172" s="71">
        <v>46236</v>
      </c>
      <c r="J172" s="1"/>
    </row>
    <row r="173" spans="1:10" ht="14.25">
      <c r="A173" s="70">
        <v>1433</v>
      </c>
      <c r="B173" s="70" t="s">
        <v>764</v>
      </c>
      <c r="C173" s="70" t="s">
        <v>320</v>
      </c>
      <c r="D173" s="70" t="s">
        <v>23</v>
      </c>
      <c r="E173" s="70" t="b">
        <v>1</v>
      </c>
      <c r="F173" s="70" t="s">
        <v>27</v>
      </c>
      <c r="G173" s="70">
        <v>14</v>
      </c>
      <c r="H173" s="71">
        <v>46236</v>
      </c>
      <c r="J173" s="1"/>
    </row>
    <row r="174" spans="1:10" ht="14.25">
      <c r="A174" s="70">
        <v>1107</v>
      </c>
      <c r="B174" s="70" t="s">
        <v>263</v>
      </c>
      <c r="C174" s="70" t="s">
        <v>264</v>
      </c>
      <c r="D174" s="70" t="s">
        <v>23</v>
      </c>
      <c r="E174" s="70" t="b">
        <v>1</v>
      </c>
      <c r="F174" s="70" t="s">
        <v>25</v>
      </c>
      <c r="G174" s="70"/>
      <c r="H174" s="71">
        <v>46236</v>
      </c>
      <c r="J174" s="1"/>
    </row>
    <row r="175" spans="1:10" ht="14.25">
      <c r="A175" s="70">
        <v>35</v>
      </c>
      <c r="B175" s="70" t="s">
        <v>265</v>
      </c>
      <c r="C175" s="70" t="s">
        <v>266</v>
      </c>
      <c r="D175" s="70" t="s">
        <v>23</v>
      </c>
      <c r="E175" s="70" t="b">
        <v>0</v>
      </c>
      <c r="F175" s="70" t="s">
        <v>27</v>
      </c>
      <c r="G175" s="70">
        <v>3</v>
      </c>
      <c r="H175" s="71">
        <v>46236</v>
      </c>
      <c r="J175" s="1"/>
    </row>
    <row r="176" spans="1:10" ht="14.25">
      <c r="A176" s="70">
        <v>1094</v>
      </c>
      <c r="B176" s="70" t="s">
        <v>267</v>
      </c>
      <c r="C176" s="70" t="s">
        <v>268</v>
      </c>
      <c r="D176" s="70" t="s">
        <v>23</v>
      </c>
      <c r="E176" s="70" t="b">
        <v>0</v>
      </c>
      <c r="F176" s="70" t="s">
        <v>27</v>
      </c>
      <c r="G176" s="70">
        <v>12</v>
      </c>
      <c r="H176" s="71">
        <v>46236</v>
      </c>
      <c r="J176" s="1"/>
    </row>
    <row r="177" spans="1:10" ht="14.25">
      <c r="A177" s="70">
        <v>1325</v>
      </c>
      <c r="B177" s="70" t="s">
        <v>269</v>
      </c>
      <c r="C177" s="70" t="s">
        <v>270</v>
      </c>
      <c r="D177" s="70" t="s">
        <v>23</v>
      </c>
      <c r="E177" s="70" t="b">
        <v>0</v>
      </c>
      <c r="F177" s="70" t="s">
        <v>27</v>
      </c>
      <c r="G177" s="70">
        <v>3</v>
      </c>
      <c r="H177" s="71">
        <v>46236</v>
      </c>
      <c r="J177" s="1"/>
    </row>
    <row r="178" spans="1:10" ht="14.25">
      <c r="A178" s="70">
        <v>1143</v>
      </c>
      <c r="B178" s="70" t="s">
        <v>271</v>
      </c>
      <c r="C178" s="70" t="s">
        <v>247</v>
      </c>
      <c r="D178" s="70" t="s">
        <v>23</v>
      </c>
      <c r="E178" s="70" t="b">
        <v>0</v>
      </c>
      <c r="F178" s="70" t="s">
        <v>27</v>
      </c>
      <c r="G178" s="70">
        <v>3</v>
      </c>
      <c r="H178" s="71">
        <v>46236</v>
      </c>
      <c r="J178" s="1"/>
    </row>
    <row r="179" spans="1:10" ht="14.25">
      <c r="A179" s="70">
        <v>1401</v>
      </c>
      <c r="B179" s="70" t="s">
        <v>272</v>
      </c>
      <c r="C179" s="70" t="s">
        <v>273</v>
      </c>
      <c r="D179" s="70" t="s">
        <v>23</v>
      </c>
      <c r="E179" s="70" t="b">
        <v>1</v>
      </c>
      <c r="F179" s="70" t="s">
        <v>25</v>
      </c>
      <c r="G179" s="70"/>
      <c r="H179" s="71">
        <v>46236</v>
      </c>
      <c r="J179" s="1"/>
    </row>
    <row r="180" spans="1:10" ht="14.25">
      <c r="A180" s="70">
        <v>1285</v>
      </c>
      <c r="B180" s="70" t="s">
        <v>274</v>
      </c>
      <c r="C180" s="70" t="s">
        <v>100</v>
      </c>
      <c r="D180" s="70" t="s">
        <v>23</v>
      </c>
      <c r="E180" s="70" t="b">
        <v>0</v>
      </c>
      <c r="F180" s="70" t="s">
        <v>25</v>
      </c>
      <c r="G180" s="70"/>
      <c r="H180" s="71">
        <v>46236</v>
      </c>
      <c r="J180" s="1"/>
    </row>
    <row r="181" spans="1:10" ht="14.25">
      <c r="A181" s="70">
        <v>38</v>
      </c>
      <c r="B181" s="70" t="s">
        <v>275</v>
      </c>
      <c r="C181" s="70" t="s">
        <v>276</v>
      </c>
      <c r="D181" s="70" t="s">
        <v>23</v>
      </c>
      <c r="E181" s="70" t="b">
        <v>0</v>
      </c>
      <c r="F181" s="70" t="s">
        <v>27</v>
      </c>
      <c r="G181" s="70">
        <v>13</v>
      </c>
      <c r="H181" s="71">
        <v>46236</v>
      </c>
      <c r="J181" s="1"/>
    </row>
    <row r="182" spans="1:10" ht="14.25">
      <c r="A182" s="70">
        <v>245</v>
      </c>
      <c r="B182" s="70" t="s">
        <v>277</v>
      </c>
      <c r="C182" s="70" t="s">
        <v>234</v>
      </c>
      <c r="D182" s="70" t="s">
        <v>23</v>
      </c>
      <c r="E182" s="70" t="b">
        <v>0</v>
      </c>
      <c r="F182" s="70" t="s">
        <v>27</v>
      </c>
      <c r="G182" s="70">
        <v>10</v>
      </c>
      <c r="H182" s="71">
        <v>46236</v>
      </c>
      <c r="J182" s="1"/>
    </row>
    <row r="183" spans="1:10" ht="14.25">
      <c r="A183" s="70">
        <v>39</v>
      </c>
      <c r="B183" s="70" t="s">
        <v>277</v>
      </c>
      <c r="C183" s="70" t="s">
        <v>278</v>
      </c>
      <c r="D183" s="70" t="s">
        <v>23</v>
      </c>
      <c r="E183" s="70" t="b">
        <v>0</v>
      </c>
      <c r="F183" s="70" t="s">
        <v>27</v>
      </c>
      <c r="G183" s="70">
        <v>43</v>
      </c>
      <c r="H183" s="71">
        <v>46236</v>
      </c>
      <c r="J183" s="1"/>
    </row>
    <row r="184" spans="1:10" ht="14.25">
      <c r="A184" s="70">
        <v>508</v>
      </c>
      <c r="B184" s="70" t="s">
        <v>279</v>
      </c>
      <c r="C184" s="70" t="s">
        <v>59</v>
      </c>
      <c r="D184" s="70" t="s">
        <v>23</v>
      </c>
      <c r="E184" s="70" t="b">
        <v>0</v>
      </c>
      <c r="F184" s="70" t="s">
        <v>27</v>
      </c>
      <c r="G184" s="70">
        <v>31</v>
      </c>
      <c r="H184" s="71">
        <v>46236</v>
      </c>
      <c r="J184" s="1"/>
    </row>
    <row r="185" spans="1:10" ht="14.25">
      <c r="A185" s="70">
        <v>1025</v>
      </c>
      <c r="B185" s="70" t="s">
        <v>280</v>
      </c>
      <c r="C185" s="70" t="s">
        <v>281</v>
      </c>
      <c r="D185" s="70" t="s">
        <v>23</v>
      </c>
      <c r="E185" s="70" t="b">
        <v>0</v>
      </c>
      <c r="F185" s="70" t="s">
        <v>35</v>
      </c>
      <c r="G185" s="70"/>
      <c r="H185" s="71">
        <v>46236</v>
      </c>
      <c r="J185" s="1"/>
    </row>
    <row r="186" spans="1:10" ht="14.25">
      <c r="A186" s="70">
        <v>1024</v>
      </c>
      <c r="B186" s="70" t="s">
        <v>280</v>
      </c>
      <c r="C186" s="70" t="s">
        <v>282</v>
      </c>
      <c r="D186" s="70" t="s">
        <v>23</v>
      </c>
      <c r="E186" s="70" t="b">
        <v>0</v>
      </c>
      <c r="F186" s="70" t="s">
        <v>188</v>
      </c>
      <c r="G186" s="70"/>
      <c r="H186" s="71">
        <v>46236</v>
      </c>
      <c r="J186" s="1"/>
    </row>
    <row r="187" spans="1:10" ht="14.25">
      <c r="A187" s="70">
        <v>1023</v>
      </c>
      <c r="B187" s="70" t="s">
        <v>280</v>
      </c>
      <c r="C187" s="70" t="s">
        <v>39</v>
      </c>
      <c r="D187" s="70" t="s">
        <v>23</v>
      </c>
      <c r="E187" s="70" t="b">
        <v>0</v>
      </c>
      <c r="F187" s="70" t="s">
        <v>25</v>
      </c>
      <c r="G187" s="70"/>
      <c r="H187" s="71">
        <v>46236</v>
      </c>
      <c r="J187" s="1"/>
    </row>
    <row r="188" spans="1:10" ht="14.25">
      <c r="A188" s="70">
        <v>1232</v>
      </c>
      <c r="B188" s="70" t="s">
        <v>280</v>
      </c>
      <c r="C188" s="70" t="s">
        <v>283</v>
      </c>
      <c r="D188" s="70" t="s">
        <v>23</v>
      </c>
      <c r="E188" s="70" t="b">
        <v>1</v>
      </c>
      <c r="F188" s="70" t="s">
        <v>27</v>
      </c>
      <c r="G188" s="70">
        <v>4</v>
      </c>
      <c r="H188" s="71">
        <v>46236</v>
      </c>
      <c r="J188" s="1"/>
    </row>
    <row r="189" spans="1:10" ht="14.25">
      <c r="A189" s="70">
        <v>1392</v>
      </c>
      <c r="B189" s="70" t="s">
        <v>284</v>
      </c>
      <c r="C189" s="70" t="s">
        <v>285</v>
      </c>
      <c r="D189" s="70" t="s">
        <v>23</v>
      </c>
      <c r="E189" s="70" t="b">
        <v>1</v>
      </c>
      <c r="F189" s="70" t="s">
        <v>25</v>
      </c>
      <c r="G189" s="70"/>
      <c r="H189" s="71">
        <v>46236</v>
      </c>
      <c r="J189" s="1"/>
    </row>
    <row r="190" spans="1:10" ht="14.25">
      <c r="A190" s="70">
        <v>1141</v>
      </c>
      <c r="B190" s="70" t="s">
        <v>286</v>
      </c>
      <c r="C190" s="70" t="s">
        <v>287</v>
      </c>
      <c r="D190" s="70" t="s">
        <v>23</v>
      </c>
      <c r="E190" s="70" t="b">
        <v>1</v>
      </c>
      <c r="F190" s="70" t="s">
        <v>27</v>
      </c>
      <c r="G190" s="70">
        <v>15</v>
      </c>
      <c r="H190" s="71">
        <v>46236</v>
      </c>
      <c r="J190" s="1"/>
    </row>
    <row r="191" spans="1:10" ht="14.25">
      <c r="A191" s="70">
        <v>891</v>
      </c>
      <c r="B191" s="70" t="s">
        <v>288</v>
      </c>
      <c r="C191" s="70" t="s">
        <v>289</v>
      </c>
      <c r="D191" s="70" t="s">
        <v>23</v>
      </c>
      <c r="E191" s="70" t="b">
        <v>1</v>
      </c>
      <c r="F191" s="70" t="s">
        <v>25</v>
      </c>
      <c r="G191" s="70"/>
      <c r="H191" s="71">
        <v>46236</v>
      </c>
      <c r="J191" s="1"/>
    </row>
    <row r="192" spans="1:10" ht="14.25">
      <c r="A192" s="70">
        <v>1352</v>
      </c>
      <c r="B192" s="70" t="s">
        <v>290</v>
      </c>
      <c r="C192" s="70" t="s">
        <v>34</v>
      </c>
      <c r="D192" s="70" t="s">
        <v>23</v>
      </c>
      <c r="E192" s="70" t="b">
        <v>0</v>
      </c>
      <c r="F192" s="70" t="s">
        <v>27</v>
      </c>
      <c r="G192" s="70">
        <v>11</v>
      </c>
      <c r="H192" s="71">
        <v>46236</v>
      </c>
      <c r="J192" s="1"/>
    </row>
    <row r="193" spans="1:10" ht="14.25">
      <c r="A193" s="70">
        <v>1339</v>
      </c>
      <c r="B193" s="70" t="s">
        <v>291</v>
      </c>
      <c r="C193" s="70" t="s">
        <v>292</v>
      </c>
      <c r="D193" s="70" t="s">
        <v>23</v>
      </c>
      <c r="E193" s="70" t="b">
        <v>0</v>
      </c>
      <c r="F193" s="70" t="s">
        <v>25</v>
      </c>
      <c r="G193" s="70"/>
      <c r="H193" s="71">
        <v>46236</v>
      </c>
      <c r="J193" s="1"/>
    </row>
    <row r="194" spans="1:10" ht="14.25">
      <c r="A194" s="70">
        <v>914</v>
      </c>
      <c r="B194" s="70" t="s">
        <v>293</v>
      </c>
      <c r="C194" s="70" t="s">
        <v>153</v>
      </c>
      <c r="D194" s="70" t="s">
        <v>23</v>
      </c>
      <c r="E194" s="70" t="b">
        <v>0</v>
      </c>
      <c r="F194" s="70" t="s">
        <v>27</v>
      </c>
      <c r="G194" s="70">
        <v>14</v>
      </c>
      <c r="H194" s="71">
        <v>46236</v>
      </c>
      <c r="J194" s="1"/>
    </row>
    <row r="195" spans="1:10" ht="14.25">
      <c r="A195" s="70">
        <v>597</v>
      </c>
      <c r="B195" s="70" t="s">
        <v>294</v>
      </c>
      <c r="C195" s="70" t="s">
        <v>295</v>
      </c>
      <c r="D195" s="70" t="s">
        <v>23</v>
      </c>
      <c r="E195" s="70" t="b">
        <v>0</v>
      </c>
      <c r="F195" s="70" t="s">
        <v>27</v>
      </c>
      <c r="G195" s="70">
        <v>36</v>
      </c>
      <c r="H195" s="71">
        <v>46236</v>
      </c>
      <c r="J195" s="1"/>
    </row>
    <row r="196" spans="1:10" ht="14.25">
      <c r="A196" s="70">
        <v>1038</v>
      </c>
      <c r="B196" s="70" t="s">
        <v>293</v>
      </c>
      <c r="C196" s="70" t="s">
        <v>51</v>
      </c>
      <c r="D196" s="70" t="s">
        <v>23</v>
      </c>
      <c r="E196" s="70" t="b">
        <v>0</v>
      </c>
      <c r="F196" s="70" t="s">
        <v>27</v>
      </c>
      <c r="G196" s="70">
        <v>12</v>
      </c>
      <c r="H196" s="71">
        <v>46236</v>
      </c>
      <c r="J196" s="1"/>
    </row>
    <row r="197" spans="1:10" ht="14.25">
      <c r="A197" s="70">
        <v>1347</v>
      </c>
      <c r="B197" s="70" t="s">
        <v>296</v>
      </c>
      <c r="C197" s="70" t="s">
        <v>104</v>
      </c>
      <c r="D197" s="70" t="s">
        <v>23</v>
      </c>
      <c r="E197" s="70" t="b">
        <v>0</v>
      </c>
      <c r="F197" s="70" t="s">
        <v>25</v>
      </c>
      <c r="G197" s="70"/>
      <c r="H197" s="71">
        <v>46236</v>
      </c>
      <c r="J197" s="1"/>
    </row>
    <row r="198" spans="1:10" ht="14.25">
      <c r="A198" s="70">
        <v>1242</v>
      </c>
      <c r="B198" s="70" t="s">
        <v>297</v>
      </c>
      <c r="C198" s="70" t="s">
        <v>190</v>
      </c>
      <c r="D198" s="70" t="s">
        <v>23</v>
      </c>
      <c r="E198" s="70" t="b">
        <v>0</v>
      </c>
      <c r="F198" s="70" t="s">
        <v>27</v>
      </c>
      <c r="G198" s="70">
        <v>15</v>
      </c>
      <c r="H198" s="71">
        <v>46236</v>
      </c>
      <c r="J198" s="1"/>
    </row>
    <row r="199" spans="1:10" ht="14.25">
      <c r="A199" s="70">
        <v>1048</v>
      </c>
      <c r="B199" s="70" t="s">
        <v>298</v>
      </c>
      <c r="C199" s="70" t="s">
        <v>268</v>
      </c>
      <c r="D199" s="70" t="s">
        <v>23</v>
      </c>
      <c r="E199" s="70" t="b">
        <v>0</v>
      </c>
      <c r="F199" s="70" t="s">
        <v>27</v>
      </c>
      <c r="G199" s="70">
        <v>16</v>
      </c>
      <c r="H199" s="71">
        <v>46236</v>
      </c>
      <c r="J199" s="1"/>
    </row>
    <row r="200" spans="1:10" ht="14.25">
      <c r="A200" s="70">
        <v>1055</v>
      </c>
      <c r="B200" s="70" t="s">
        <v>298</v>
      </c>
      <c r="C200" s="70" t="s">
        <v>299</v>
      </c>
      <c r="D200" s="70" t="s">
        <v>23</v>
      </c>
      <c r="E200" s="70" t="b">
        <v>0</v>
      </c>
      <c r="F200" s="70" t="s">
        <v>27</v>
      </c>
      <c r="G200" s="70">
        <v>1</v>
      </c>
      <c r="H200" s="71">
        <v>46236</v>
      </c>
      <c r="J200" s="1"/>
    </row>
    <row r="201" spans="1:10" ht="14.25">
      <c r="A201" s="70">
        <v>1095</v>
      </c>
      <c r="B201" s="70" t="s">
        <v>298</v>
      </c>
      <c r="C201" s="70" t="s">
        <v>300</v>
      </c>
      <c r="D201" s="70" t="s">
        <v>23</v>
      </c>
      <c r="E201" s="70" t="b">
        <v>0</v>
      </c>
      <c r="F201" s="70" t="s">
        <v>27</v>
      </c>
      <c r="G201" s="70">
        <v>33</v>
      </c>
      <c r="H201" s="71">
        <v>46236</v>
      </c>
      <c r="J201" s="1"/>
    </row>
    <row r="202" spans="1:10" ht="14.25">
      <c r="A202" s="70">
        <v>820</v>
      </c>
      <c r="B202" s="70" t="s">
        <v>298</v>
      </c>
      <c r="C202" s="70" t="s">
        <v>139</v>
      </c>
      <c r="D202" s="70" t="s">
        <v>23</v>
      </c>
      <c r="E202" s="70" t="b">
        <v>1</v>
      </c>
      <c r="F202" s="70" t="s">
        <v>27</v>
      </c>
      <c r="G202" s="70">
        <v>6</v>
      </c>
      <c r="H202" s="71">
        <v>46236</v>
      </c>
      <c r="J202" s="1"/>
    </row>
    <row r="203" spans="1:10" ht="14.25">
      <c r="A203" s="70">
        <v>687</v>
      </c>
      <c r="B203" s="70" t="s">
        <v>298</v>
      </c>
      <c r="C203" s="70" t="s">
        <v>301</v>
      </c>
      <c r="D203" s="70" t="s">
        <v>23</v>
      </c>
      <c r="E203" s="70" t="b">
        <v>0</v>
      </c>
      <c r="F203" s="70" t="s">
        <v>27</v>
      </c>
      <c r="G203" s="70">
        <v>7</v>
      </c>
      <c r="H203" s="71">
        <v>46236</v>
      </c>
      <c r="J203" s="1"/>
    </row>
    <row r="204" spans="1:10" ht="14.25">
      <c r="A204" s="70">
        <v>1420</v>
      </c>
      <c r="B204" s="70" t="s">
        <v>302</v>
      </c>
      <c r="C204" s="70" t="s">
        <v>212</v>
      </c>
      <c r="D204" s="70" t="s">
        <v>23</v>
      </c>
      <c r="E204" s="70" t="b">
        <v>1</v>
      </c>
      <c r="F204" s="70" t="s">
        <v>27</v>
      </c>
      <c r="G204" s="70">
        <v>15</v>
      </c>
      <c r="H204" s="71">
        <v>46236</v>
      </c>
      <c r="J204" s="1"/>
    </row>
    <row r="205" spans="1:10" ht="14.25">
      <c r="A205" s="70">
        <v>1410</v>
      </c>
      <c r="B205" s="70" t="s">
        <v>104</v>
      </c>
      <c r="C205" s="70" t="s">
        <v>303</v>
      </c>
      <c r="D205" s="70" t="s">
        <v>23</v>
      </c>
      <c r="E205" s="70" t="b">
        <v>0</v>
      </c>
      <c r="F205" s="70" t="s">
        <v>25</v>
      </c>
      <c r="G205" s="70"/>
      <c r="H205" s="71">
        <v>46236</v>
      </c>
      <c r="J205" s="1"/>
    </row>
    <row r="206" spans="1:10" ht="14.25">
      <c r="A206" s="70">
        <v>1161</v>
      </c>
      <c r="B206" s="70" t="s">
        <v>304</v>
      </c>
      <c r="C206" s="70" t="s">
        <v>305</v>
      </c>
      <c r="D206" s="70" t="s">
        <v>23</v>
      </c>
      <c r="E206" s="70" t="b">
        <v>0</v>
      </c>
      <c r="F206" s="70" t="s">
        <v>25</v>
      </c>
      <c r="G206" s="70"/>
      <c r="H206" s="71">
        <v>46236</v>
      </c>
      <c r="J206" s="1"/>
    </row>
    <row r="207" spans="1:10" ht="14.25">
      <c r="A207" s="70">
        <v>890</v>
      </c>
      <c r="B207" s="70" t="s">
        <v>306</v>
      </c>
      <c r="C207" s="70" t="s">
        <v>307</v>
      </c>
      <c r="D207" s="70" t="s">
        <v>54</v>
      </c>
      <c r="E207" s="70" t="b">
        <v>0</v>
      </c>
      <c r="F207" s="70" t="s">
        <v>27</v>
      </c>
      <c r="G207" s="70">
        <v>23</v>
      </c>
      <c r="H207" s="71">
        <v>46236</v>
      </c>
      <c r="J207" s="1"/>
    </row>
    <row r="208" spans="1:10" ht="14.25">
      <c r="A208" s="70">
        <v>1166</v>
      </c>
      <c r="B208" s="70" t="s">
        <v>308</v>
      </c>
      <c r="C208" s="70" t="s">
        <v>143</v>
      </c>
      <c r="D208" s="70" t="s">
        <v>54</v>
      </c>
      <c r="E208" s="70" t="b">
        <v>0</v>
      </c>
      <c r="F208" s="70" t="s">
        <v>27</v>
      </c>
      <c r="G208" s="70">
        <v>5</v>
      </c>
      <c r="H208" s="71">
        <v>46236</v>
      </c>
      <c r="J208" s="1"/>
    </row>
    <row r="209" spans="1:10" ht="14.25">
      <c r="A209" s="70">
        <v>45</v>
      </c>
      <c r="B209" s="70" t="s">
        <v>309</v>
      </c>
      <c r="C209" s="70" t="s">
        <v>310</v>
      </c>
      <c r="D209" s="70" t="s">
        <v>23</v>
      </c>
      <c r="E209" s="70" t="b">
        <v>0</v>
      </c>
      <c r="F209" s="70" t="s">
        <v>27</v>
      </c>
      <c r="G209" s="70">
        <v>20</v>
      </c>
      <c r="H209" s="71">
        <v>46236</v>
      </c>
      <c r="J209" s="1"/>
    </row>
    <row r="210" spans="1:10" ht="14.25">
      <c r="A210" s="70">
        <v>1160</v>
      </c>
      <c r="B210" s="70" t="s">
        <v>311</v>
      </c>
      <c r="C210" s="70" t="s">
        <v>312</v>
      </c>
      <c r="D210" s="70" t="s">
        <v>23</v>
      </c>
      <c r="E210" s="70" t="b">
        <v>0</v>
      </c>
      <c r="F210" s="70" t="s">
        <v>25</v>
      </c>
      <c r="G210" s="70"/>
      <c r="H210" s="71">
        <v>46236</v>
      </c>
      <c r="J210" s="1"/>
    </row>
    <row r="211" spans="1:10" ht="14.25">
      <c r="A211" s="70">
        <v>945</v>
      </c>
      <c r="B211" s="70" t="s">
        <v>313</v>
      </c>
      <c r="C211" s="70" t="s">
        <v>49</v>
      </c>
      <c r="D211" s="70" t="s">
        <v>23</v>
      </c>
      <c r="E211" s="70" t="b">
        <v>0</v>
      </c>
      <c r="F211" s="70" t="s">
        <v>25</v>
      </c>
      <c r="G211" s="70"/>
      <c r="H211" s="71">
        <v>46236</v>
      </c>
      <c r="J211" s="1"/>
    </row>
    <row r="212" spans="1:10" ht="14.25">
      <c r="A212" s="70">
        <v>813</v>
      </c>
      <c r="B212" s="70" t="s">
        <v>313</v>
      </c>
      <c r="C212" s="70" t="s">
        <v>289</v>
      </c>
      <c r="D212" s="70" t="s">
        <v>23</v>
      </c>
      <c r="E212" s="70" t="b">
        <v>1</v>
      </c>
      <c r="F212" s="70" t="s">
        <v>27</v>
      </c>
      <c r="G212" s="70">
        <v>7</v>
      </c>
      <c r="H212" s="71">
        <v>46236</v>
      </c>
      <c r="J212" s="1"/>
    </row>
    <row r="213" spans="1:10" ht="14.25">
      <c r="A213" s="70">
        <v>812</v>
      </c>
      <c r="B213" s="70" t="s">
        <v>313</v>
      </c>
      <c r="C213" s="70" t="s">
        <v>170</v>
      </c>
      <c r="D213" s="70" t="s">
        <v>23</v>
      </c>
      <c r="E213" s="70" t="b">
        <v>0</v>
      </c>
      <c r="F213" s="70" t="s">
        <v>27</v>
      </c>
      <c r="G213" s="70">
        <v>9</v>
      </c>
      <c r="H213" s="71">
        <v>46236</v>
      </c>
      <c r="J213" s="1"/>
    </row>
    <row r="214" spans="1:10" ht="14.25">
      <c r="A214" s="70">
        <v>1129</v>
      </c>
      <c r="B214" s="70" t="s">
        <v>314</v>
      </c>
      <c r="C214" s="70" t="s">
        <v>315</v>
      </c>
      <c r="D214" s="70" t="s">
        <v>23</v>
      </c>
      <c r="E214" s="70" t="b">
        <v>0</v>
      </c>
      <c r="F214" s="70" t="s">
        <v>27</v>
      </c>
      <c r="G214" s="70">
        <v>12</v>
      </c>
      <c r="H214" s="71">
        <v>46236</v>
      </c>
      <c r="J214" s="1"/>
    </row>
    <row r="215" spans="1:10" ht="14.25">
      <c r="A215" s="70">
        <v>915</v>
      </c>
      <c r="B215" s="70" t="s">
        <v>316</v>
      </c>
      <c r="C215" s="70" t="s">
        <v>241</v>
      </c>
      <c r="D215" s="70" t="s">
        <v>23</v>
      </c>
      <c r="E215" s="70" t="b">
        <v>0</v>
      </c>
      <c r="F215" s="70" t="s">
        <v>27</v>
      </c>
      <c r="G215" s="70">
        <v>8</v>
      </c>
      <c r="H215" s="71">
        <v>46236</v>
      </c>
      <c r="J215" s="1"/>
    </row>
    <row r="216" spans="1:10" ht="14.25">
      <c r="A216" s="70">
        <v>1356</v>
      </c>
      <c r="B216" s="70" t="s">
        <v>317</v>
      </c>
      <c r="C216" s="70" t="s">
        <v>318</v>
      </c>
      <c r="D216" s="70" t="s">
        <v>54</v>
      </c>
      <c r="E216" s="70" t="b">
        <v>0</v>
      </c>
      <c r="F216" s="70" t="s">
        <v>27</v>
      </c>
      <c r="G216" s="70">
        <v>15</v>
      </c>
      <c r="H216" s="71">
        <v>46236</v>
      </c>
      <c r="J216" s="1"/>
    </row>
    <row r="217" spans="1:10" ht="14.25">
      <c r="A217" s="70">
        <v>1422</v>
      </c>
      <c r="B217" s="70" t="s">
        <v>319</v>
      </c>
      <c r="C217" s="70" t="s">
        <v>320</v>
      </c>
      <c r="D217" s="70" t="s">
        <v>54</v>
      </c>
      <c r="E217" s="70" t="b">
        <v>1</v>
      </c>
      <c r="F217" s="70" t="s">
        <v>25</v>
      </c>
      <c r="G217" s="70"/>
      <c r="H217" s="71">
        <v>46236</v>
      </c>
      <c r="J217" s="1"/>
    </row>
    <row r="218" spans="1:10" ht="14.25">
      <c r="A218" s="70">
        <v>860</v>
      </c>
      <c r="B218" s="70" t="s">
        <v>321</v>
      </c>
      <c r="C218" s="70" t="s">
        <v>215</v>
      </c>
      <c r="D218" s="70" t="s">
        <v>23</v>
      </c>
      <c r="E218" s="70" t="b">
        <v>1</v>
      </c>
      <c r="F218" s="70" t="s">
        <v>25</v>
      </c>
      <c r="G218" s="70"/>
      <c r="H218" s="71">
        <v>46236</v>
      </c>
      <c r="J218" s="1"/>
    </row>
    <row r="219" spans="1:10" ht="14.25">
      <c r="A219" s="70">
        <v>756</v>
      </c>
      <c r="B219" s="70" t="s">
        <v>321</v>
      </c>
      <c r="C219" s="70" t="s">
        <v>322</v>
      </c>
      <c r="D219" s="70" t="s">
        <v>23</v>
      </c>
      <c r="E219" s="70" t="b">
        <v>0</v>
      </c>
      <c r="F219" s="70" t="s">
        <v>25</v>
      </c>
      <c r="G219" s="70"/>
      <c r="H219" s="71">
        <v>46236</v>
      </c>
      <c r="J219" s="1"/>
    </row>
    <row r="220" spans="1:10" ht="14.25">
      <c r="A220" s="70">
        <v>407</v>
      </c>
      <c r="B220" s="70" t="s">
        <v>321</v>
      </c>
      <c r="C220" s="70" t="s">
        <v>323</v>
      </c>
      <c r="D220" s="70" t="s">
        <v>23</v>
      </c>
      <c r="E220" s="70" t="b">
        <v>0</v>
      </c>
      <c r="F220" s="70" t="s">
        <v>27</v>
      </c>
      <c r="G220" s="70">
        <v>5</v>
      </c>
      <c r="H220" s="71">
        <v>46236</v>
      </c>
      <c r="J220" s="1"/>
    </row>
    <row r="221" spans="1:10" ht="14.25">
      <c r="A221" s="70">
        <v>1428</v>
      </c>
      <c r="B221" s="70" t="s">
        <v>324</v>
      </c>
      <c r="C221" s="70" t="s">
        <v>325</v>
      </c>
      <c r="D221" s="70" t="s">
        <v>23</v>
      </c>
      <c r="E221" s="70" t="b">
        <v>0</v>
      </c>
      <c r="F221" s="70" t="s">
        <v>35</v>
      </c>
      <c r="G221" s="70"/>
      <c r="H221" s="71">
        <v>46236</v>
      </c>
      <c r="J221" s="1"/>
    </row>
    <row r="222" spans="1:10" ht="14.25">
      <c r="A222" s="70">
        <v>1423</v>
      </c>
      <c r="B222" s="70" t="s">
        <v>326</v>
      </c>
      <c r="C222" s="70" t="s">
        <v>83</v>
      </c>
      <c r="D222" s="70" t="s">
        <v>23</v>
      </c>
      <c r="E222" s="70" t="b">
        <v>0</v>
      </c>
      <c r="F222" s="70" t="s">
        <v>25</v>
      </c>
      <c r="G222" s="70"/>
      <c r="H222" s="71">
        <v>46236</v>
      </c>
      <c r="J222" s="1"/>
    </row>
    <row r="223" spans="1:10" ht="14.25">
      <c r="A223" s="70">
        <v>1424</v>
      </c>
      <c r="B223" s="70" t="s">
        <v>326</v>
      </c>
      <c r="C223" s="70" t="s">
        <v>259</v>
      </c>
      <c r="D223" s="70" t="s">
        <v>23</v>
      </c>
      <c r="E223" s="70" t="b">
        <v>1</v>
      </c>
      <c r="F223" s="70" t="s">
        <v>25</v>
      </c>
      <c r="G223" s="70"/>
      <c r="H223" s="71">
        <v>46236</v>
      </c>
      <c r="J223" s="1"/>
    </row>
    <row r="224" spans="1:10" ht="14.25">
      <c r="A224" s="70">
        <v>1425</v>
      </c>
      <c r="B224" s="70" t="s">
        <v>326</v>
      </c>
      <c r="C224" s="70" t="s">
        <v>327</v>
      </c>
      <c r="D224" s="70" t="s">
        <v>23</v>
      </c>
      <c r="E224" s="70" t="b">
        <v>0</v>
      </c>
      <c r="F224" s="70" t="s">
        <v>35</v>
      </c>
      <c r="G224" s="70"/>
      <c r="H224" s="71">
        <v>46236</v>
      </c>
      <c r="J224" s="1"/>
    </row>
    <row r="225" spans="1:10" ht="14.25">
      <c r="A225" s="70">
        <v>1426</v>
      </c>
      <c r="B225" s="70" t="s">
        <v>326</v>
      </c>
      <c r="C225" s="70" t="s">
        <v>328</v>
      </c>
      <c r="D225" s="70" t="s">
        <v>23</v>
      </c>
      <c r="E225" s="70" t="b">
        <v>1</v>
      </c>
      <c r="F225" s="70" t="s">
        <v>35</v>
      </c>
      <c r="G225" s="70"/>
      <c r="H225" s="71">
        <v>46236</v>
      </c>
      <c r="J225" s="1"/>
    </row>
    <row r="226" spans="1:10" ht="14.25">
      <c r="A226" s="70">
        <v>1312</v>
      </c>
      <c r="B226" s="70" t="s">
        <v>329</v>
      </c>
      <c r="C226" s="70" t="s">
        <v>287</v>
      </c>
      <c r="D226" s="70" t="s">
        <v>23</v>
      </c>
      <c r="E226" s="70" t="b">
        <v>1</v>
      </c>
      <c r="F226" s="70" t="s">
        <v>27</v>
      </c>
      <c r="G226" s="70">
        <v>35</v>
      </c>
      <c r="H226" s="71">
        <v>46236</v>
      </c>
      <c r="J226" s="1"/>
    </row>
    <row r="227" spans="1:10" ht="14.25">
      <c r="A227" s="70">
        <v>935</v>
      </c>
      <c r="B227" s="70" t="s">
        <v>330</v>
      </c>
      <c r="C227" s="70" t="s">
        <v>245</v>
      </c>
      <c r="D227" s="70" t="s">
        <v>23</v>
      </c>
      <c r="E227" s="70" t="b">
        <v>1</v>
      </c>
      <c r="F227" s="70" t="s">
        <v>25</v>
      </c>
      <c r="G227" s="70"/>
      <c r="H227" s="71">
        <v>46236</v>
      </c>
      <c r="J227" s="1"/>
    </row>
    <row r="228" spans="1:10" ht="14.25">
      <c r="A228" s="70">
        <v>999</v>
      </c>
      <c r="B228" s="70" t="s">
        <v>330</v>
      </c>
      <c r="C228" s="70" t="s">
        <v>331</v>
      </c>
      <c r="D228" s="70" t="s">
        <v>23</v>
      </c>
      <c r="E228" s="70" t="b">
        <v>1</v>
      </c>
      <c r="F228" s="70" t="s">
        <v>25</v>
      </c>
      <c r="G228" s="70"/>
      <c r="H228" s="71">
        <v>46236</v>
      </c>
      <c r="J228" s="1"/>
    </row>
    <row r="229" spans="1:10" ht="14.25">
      <c r="A229" s="70">
        <v>998</v>
      </c>
      <c r="B229" s="70" t="s">
        <v>330</v>
      </c>
      <c r="C229" s="70" t="s">
        <v>332</v>
      </c>
      <c r="D229" s="70" t="s">
        <v>23</v>
      </c>
      <c r="E229" s="70" t="b">
        <v>1</v>
      </c>
      <c r="F229" s="70" t="s">
        <v>27</v>
      </c>
      <c r="G229" s="70">
        <v>5</v>
      </c>
      <c r="H229" s="71">
        <v>46236</v>
      </c>
      <c r="J229" s="1"/>
    </row>
    <row r="230" spans="1:10" ht="14.25">
      <c r="A230" s="70">
        <v>616</v>
      </c>
      <c r="B230" s="70" t="s">
        <v>330</v>
      </c>
      <c r="C230" s="70" t="s">
        <v>41</v>
      </c>
      <c r="D230" s="70" t="s">
        <v>23</v>
      </c>
      <c r="E230" s="70" t="b">
        <v>0</v>
      </c>
      <c r="F230" s="70" t="s">
        <v>27</v>
      </c>
      <c r="G230" s="70">
        <v>7</v>
      </c>
      <c r="H230" s="71">
        <v>46236</v>
      </c>
      <c r="J230" s="1"/>
    </row>
    <row r="231" spans="1:10" ht="14.25">
      <c r="A231" s="70">
        <v>558</v>
      </c>
      <c r="B231" s="70" t="s">
        <v>333</v>
      </c>
      <c r="C231" s="70" t="s">
        <v>334</v>
      </c>
      <c r="D231" s="70" t="s">
        <v>23</v>
      </c>
      <c r="E231" s="70" t="b">
        <v>0</v>
      </c>
      <c r="F231" s="70" t="s">
        <v>27</v>
      </c>
      <c r="G231" s="70">
        <v>15</v>
      </c>
      <c r="H231" s="71">
        <v>46236</v>
      </c>
      <c r="J231" s="1"/>
    </row>
    <row r="232" spans="1:10" ht="14.25">
      <c r="A232" s="70">
        <v>991</v>
      </c>
      <c r="B232" s="70" t="s">
        <v>335</v>
      </c>
      <c r="C232" s="70" t="s">
        <v>184</v>
      </c>
      <c r="D232" s="70" t="s">
        <v>23</v>
      </c>
      <c r="E232" s="70" t="b">
        <v>1</v>
      </c>
      <c r="F232" s="70" t="s">
        <v>35</v>
      </c>
      <c r="G232" s="70"/>
      <c r="H232" s="71">
        <v>46236</v>
      </c>
      <c r="J232" s="1"/>
    </row>
    <row r="233" spans="1:10" ht="14.25">
      <c r="A233" s="70">
        <v>707</v>
      </c>
      <c r="B233" s="70" t="s">
        <v>697</v>
      </c>
      <c r="C233" s="70" t="s">
        <v>102</v>
      </c>
      <c r="D233" s="70" t="s">
        <v>23</v>
      </c>
      <c r="E233" s="70" t="b">
        <v>0</v>
      </c>
      <c r="F233" s="70" t="s">
        <v>27</v>
      </c>
      <c r="G233" s="70">
        <v>13</v>
      </c>
      <c r="H233" s="71">
        <v>46236</v>
      </c>
      <c r="J233" s="1"/>
    </row>
    <row r="234" spans="1:10" ht="14.25">
      <c r="A234" s="70">
        <v>359</v>
      </c>
      <c r="B234" s="70" t="s">
        <v>336</v>
      </c>
      <c r="C234" s="70" t="s">
        <v>26</v>
      </c>
      <c r="D234" s="70" t="s">
        <v>23</v>
      </c>
      <c r="E234" s="70" t="b">
        <v>0</v>
      </c>
      <c r="F234" s="70" t="s">
        <v>27</v>
      </c>
      <c r="G234" s="70">
        <v>24</v>
      </c>
      <c r="H234" s="71">
        <v>46236</v>
      </c>
      <c r="J234" s="1"/>
    </row>
    <row r="235" spans="1:10" ht="14.25">
      <c r="A235" s="70">
        <v>1310</v>
      </c>
      <c r="B235" s="70" t="s">
        <v>337</v>
      </c>
      <c r="C235" s="70" t="s">
        <v>311</v>
      </c>
      <c r="D235" s="70" t="s">
        <v>23</v>
      </c>
      <c r="E235" s="70" t="b">
        <v>0</v>
      </c>
      <c r="F235" s="70" t="s">
        <v>25</v>
      </c>
      <c r="G235" s="70"/>
      <c r="H235" s="71">
        <v>46236</v>
      </c>
      <c r="J235" s="1"/>
    </row>
    <row r="236" spans="1:10" ht="14.25">
      <c r="A236" s="70">
        <v>1200</v>
      </c>
      <c r="B236" s="70" t="s">
        <v>338</v>
      </c>
      <c r="C236" s="70" t="s">
        <v>339</v>
      </c>
      <c r="D236" s="70" t="s">
        <v>23</v>
      </c>
      <c r="E236" s="70" t="b">
        <v>0</v>
      </c>
      <c r="F236" s="70" t="s">
        <v>27</v>
      </c>
      <c r="G236" s="70">
        <v>6</v>
      </c>
      <c r="H236" s="71">
        <v>46236</v>
      </c>
      <c r="J236" s="1"/>
    </row>
    <row r="237" spans="1:10" ht="14.25">
      <c r="A237" s="70">
        <v>1411</v>
      </c>
      <c r="B237" s="70" t="s">
        <v>338</v>
      </c>
      <c r="C237" s="70" t="s">
        <v>72</v>
      </c>
      <c r="D237" s="70" t="s">
        <v>23</v>
      </c>
      <c r="E237" s="70" t="b">
        <v>1</v>
      </c>
      <c r="F237" s="70" t="s">
        <v>27</v>
      </c>
      <c r="G237" s="70">
        <v>3</v>
      </c>
      <c r="H237" s="71">
        <v>46236</v>
      </c>
      <c r="J237" s="1"/>
    </row>
    <row r="238" spans="1:10" ht="14.25">
      <c r="A238" s="70">
        <v>1412</v>
      </c>
      <c r="B238" s="70" t="s">
        <v>338</v>
      </c>
      <c r="C238" s="70" t="s">
        <v>340</v>
      </c>
      <c r="D238" s="70" t="s">
        <v>23</v>
      </c>
      <c r="E238" s="70" t="b">
        <v>1</v>
      </c>
      <c r="F238" s="70" t="s">
        <v>188</v>
      </c>
      <c r="G238" s="70"/>
      <c r="H238" s="71">
        <v>46236</v>
      </c>
      <c r="J238" s="1"/>
    </row>
    <row r="239" spans="1:10" ht="14.25">
      <c r="A239" s="70">
        <v>1413</v>
      </c>
      <c r="B239" s="70" t="s">
        <v>338</v>
      </c>
      <c r="C239" s="70" t="s">
        <v>214</v>
      </c>
      <c r="D239" s="70" t="s">
        <v>23</v>
      </c>
      <c r="E239" s="70" t="b">
        <v>0</v>
      </c>
      <c r="F239" s="70" t="s">
        <v>188</v>
      </c>
      <c r="G239" s="70"/>
      <c r="H239" s="71">
        <v>46236</v>
      </c>
      <c r="J239" s="1"/>
    </row>
    <row r="240" spans="1:10" ht="14.25">
      <c r="A240" s="70">
        <v>1376</v>
      </c>
      <c r="B240" s="70" t="s">
        <v>192</v>
      </c>
      <c r="C240" s="70" t="s">
        <v>127</v>
      </c>
      <c r="D240" s="70" t="s">
        <v>23</v>
      </c>
      <c r="E240" s="70" t="b">
        <v>1</v>
      </c>
      <c r="F240" s="70" t="s">
        <v>25</v>
      </c>
      <c r="G240" s="70"/>
      <c r="H240" s="71">
        <v>46236</v>
      </c>
      <c r="J240" s="1"/>
    </row>
    <row r="241" spans="1:10" ht="14.25">
      <c r="A241" s="70">
        <v>1140</v>
      </c>
      <c r="B241" s="70" t="s">
        <v>341</v>
      </c>
      <c r="C241" s="70" t="s">
        <v>243</v>
      </c>
      <c r="D241" s="70" t="s">
        <v>23</v>
      </c>
      <c r="E241" s="70" t="b">
        <v>0</v>
      </c>
      <c r="F241" s="70" t="s">
        <v>25</v>
      </c>
      <c r="G241" s="70"/>
      <c r="H241" s="71">
        <v>46236</v>
      </c>
      <c r="J241" s="1"/>
    </row>
    <row r="242" spans="1:10" ht="14.25">
      <c r="A242" s="70">
        <v>989</v>
      </c>
      <c r="B242" s="70" t="s">
        <v>342</v>
      </c>
      <c r="C242" s="70" t="s">
        <v>343</v>
      </c>
      <c r="D242" s="70" t="s">
        <v>23</v>
      </c>
      <c r="E242" s="70" t="b">
        <v>0</v>
      </c>
      <c r="F242" s="70" t="s">
        <v>27</v>
      </c>
      <c r="G242" s="70">
        <v>3</v>
      </c>
      <c r="H242" s="71">
        <v>46236</v>
      </c>
      <c r="J242" s="1"/>
    </row>
    <row r="243" spans="1:10" ht="14.25">
      <c r="A243" s="70">
        <v>1417</v>
      </c>
      <c r="B243" s="70" t="s">
        <v>344</v>
      </c>
      <c r="C243" s="70" t="s">
        <v>345</v>
      </c>
      <c r="D243" s="70" t="s">
        <v>23</v>
      </c>
      <c r="E243" s="70" t="b">
        <v>1</v>
      </c>
      <c r="F243" s="70" t="s">
        <v>27</v>
      </c>
      <c r="G243" s="70">
        <v>17</v>
      </c>
      <c r="H243" s="71">
        <v>46236</v>
      </c>
      <c r="J243" s="1"/>
    </row>
    <row r="244" spans="1:10" ht="14.25">
      <c r="A244" s="70">
        <v>52</v>
      </c>
      <c r="B244" s="70" t="s">
        <v>346</v>
      </c>
      <c r="C244" s="70" t="s">
        <v>192</v>
      </c>
      <c r="D244" s="70" t="s">
        <v>23</v>
      </c>
      <c r="E244" s="70" t="b">
        <v>0</v>
      </c>
      <c r="F244" s="70" t="s">
        <v>25</v>
      </c>
      <c r="G244" s="70"/>
      <c r="H244" s="71">
        <v>46236</v>
      </c>
      <c r="J244" s="1"/>
    </row>
    <row r="245" spans="1:10" ht="14.25">
      <c r="A245" s="70">
        <v>62</v>
      </c>
      <c r="B245" s="70" t="s">
        <v>344</v>
      </c>
      <c r="C245" s="70" t="s">
        <v>234</v>
      </c>
      <c r="D245" s="70" t="s">
        <v>23</v>
      </c>
      <c r="E245" s="70" t="b">
        <v>0</v>
      </c>
      <c r="F245" s="70" t="s">
        <v>27</v>
      </c>
      <c r="G245" s="70">
        <v>4</v>
      </c>
      <c r="H245" s="71">
        <v>46236</v>
      </c>
      <c r="J245" s="1"/>
    </row>
    <row r="246" spans="1:10" ht="14.25">
      <c r="A246" s="70">
        <v>930</v>
      </c>
      <c r="B246" s="70" t="s">
        <v>347</v>
      </c>
      <c r="C246" s="70" t="s">
        <v>348</v>
      </c>
      <c r="D246" s="70" t="s">
        <v>23</v>
      </c>
      <c r="E246" s="70" t="b">
        <v>1</v>
      </c>
      <c r="F246" s="70" t="s">
        <v>27</v>
      </c>
      <c r="G246" s="70">
        <v>6</v>
      </c>
      <c r="H246" s="71">
        <v>46236</v>
      </c>
      <c r="J246" s="1"/>
    </row>
    <row r="247" spans="1:10" ht="14.25">
      <c r="A247" s="70">
        <v>1254</v>
      </c>
      <c r="B247" s="70" t="s">
        <v>349</v>
      </c>
      <c r="C247" s="70" t="s">
        <v>51</v>
      </c>
      <c r="D247" s="70" t="s">
        <v>23</v>
      </c>
      <c r="E247" s="70" t="b">
        <v>0</v>
      </c>
      <c r="F247" s="70" t="s">
        <v>27</v>
      </c>
      <c r="G247" s="70">
        <v>21</v>
      </c>
      <c r="H247" s="71">
        <v>46236</v>
      </c>
      <c r="J247" s="1"/>
    </row>
    <row r="248" spans="1:10" ht="14.25">
      <c r="A248" s="70">
        <v>744</v>
      </c>
      <c r="B248" s="70" t="s">
        <v>350</v>
      </c>
      <c r="C248" s="70" t="s">
        <v>351</v>
      </c>
      <c r="D248" s="70" t="s">
        <v>23</v>
      </c>
      <c r="E248" s="70" t="b">
        <v>0</v>
      </c>
      <c r="F248" s="70" t="s">
        <v>27</v>
      </c>
      <c r="G248" s="70">
        <v>28</v>
      </c>
      <c r="H248" s="71">
        <v>46236</v>
      </c>
      <c r="J248" s="1"/>
    </row>
    <row r="249" spans="1:10" ht="14.25">
      <c r="A249" s="70">
        <v>337</v>
      </c>
      <c r="B249" s="70" t="s">
        <v>352</v>
      </c>
      <c r="C249" s="70" t="s">
        <v>179</v>
      </c>
      <c r="D249" s="70" t="s">
        <v>23</v>
      </c>
      <c r="E249" s="70" t="b">
        <v>1</v>
      </c>
      <c r="F249" s="70" t="s">
        <v>27</v>
      </c>
      <c r="G249" s="70">
        <v>21</v>
      </c>
      <c r="H249" s="71">
        <v>46236</v>
      </c>
      <c r="J249" s="1"/>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8"/>
  <sheetViews>
    <sheetView workbookViewId="0"/>
    <sheetView workbookViewId="1"/>
  </sheetViews>
  <sheetFormatPr defaultColWidth="9" defaultRowHeight="14.25"/>
  <cols>
    <col min="1" max="7" width="9" style="4"/>
    <col min="8" max="8" width="10.19921875" style="4" bestFit="1" customWidth="1"/>
    <col min="9" max="16384" width="9" style="4"/>
  </cols>
  <sheetData>
    <row r="1" spans="1:8">
      <c r="A1" s="4" t="s">
        <v>13</v>
      </c>
      <c r="B1" s="4" t="s">
        <v>14</v>
      </c>
      <c r="C1" s="4" t="s">
        <v>15</v>
      </c>
      <c r="D1" s="4" t="s">
        <v>16</v>
      </c>
      <c r="E1" s="4" t="s">
        <v>17</v>
      </c>
      <c r="F1" s="4" t="s">
        <v>18</v>
      </c>
      <c r="G1" s="4" t="s">
        <v>19</v>
      </c>
      <c r="H1" s="4" t="s">
        <v>20</v>
      </c>
    </row>
    <row r="2" spans="1:8">
      <c r="A2" s="4">
        <v>1327</v>
      </c>
      <c r="B2" s="4" t="s">
        <v>21</v>
      </c>
      <c r="C2" s="4" t="s">
        <v>22</v>
      </c>
      <c r="D2" s="4" t="s">
        <v>23</v>
      </c>
      <c r="E2" s="4" t="b">
        <v>0</v>
      </c>
      <c r="F2" s="4" t="s">
        <v>25</v>
      </c>
      <c r="H2" s="5">
        <v>46088</v>
      </c>
    </row>
    <row r="3" spans="1:8">
      <c r="A3" s="4">
        <v>1237</v>
      </c>
      <c r="B3" s="4" t="s">
        <v>21</v>
      </c>
      <c r="C3" s="4" t="s">
        <v>26</v>
      </c>
      <c r="D3" s="4" t="s">
        <v>23</v>
      </c>
      <c r="E3" s="4" t="b">
        <v>0</v>
      </c>
      <c r="F3" s="4" t="s">
        <v>27</v>
      </c>
      <c r="G3" s="4">
        <v>1</v>
      </c>
      <c r="H3" s="5">
        <v>46088</v>
      </c>
    </row>
    <row r="4" spans="1:8">
      <c r="A4" s="4">
        <v>819</v>
      </c>
      <c r="B4" s="4" t="s">
        <v>28</v>
      </c>
      <c r="C4" s="4" t="s">
        <v>29</v>
      </c>
      <c r="D4" s="4" t="s">
        <v>23</v>
      </c>
      <c r="E4" s="4" t="b">
        <v>1</v>
      </c>
      <c r="F4" s="4" t="s">
        <v>27</v>
      </c>
      <c r="G4" s="4">
        <v>23</v>
      </c>
      <c r="H4" s="5">
        <v>46088</v>
      </c>
    </row>
    <row r="5" spans="1:8">
      <c r="A5" s="4">
        <v>2</v>
      </c>
      <c r="B5" s="4" t="s">
        <v>31</v>
      </c>
      <c r="C5" s="4" t="s">
        <v>32</v>
      </c>
      <c r="D5" s="4" t="s">
        <v>23</v>
      </c>
      <c r="E5" s="4" t="b">
        <v>0</v>
      </c>
      <c r="F5" s="4" t="s">
        <v>27</v>
      </c>
      <c r="G5" s="4">
        <v>21</v>
      </c>
      <c r="H5" s="5">
        <v>46088</v>
      </c>
    </row>
    <row r="6" spans="1:8">
      <c r="A6" s="4">
        <v>1370</v>
      </c>
      <c r="B6" s="4" t="s">
        <v>33</v>
      </c>
      <c r="C6" s="4" t="s">
        <v>34</v>
      </c>
      <c r="D6" s="4" t="s">
        <v>23</v>
      </c>
      <c r="E6" s="4" t="b">
        <v>0</v>
      </c>
      <c r="F6" s="4" t="s">
        <v>27</v>
      </c>
      <c r="G6" s="4">
        <v>4</v>
      </c>
      <c r="H6" s="5">
        <v>46088</v>
      </c>
    </row>
    <row r="7" spans="1:8">
      <c r="A7" s="4">
        <v>1415</v>
      </c>
      <c r="B7" s="4" t="s">
        <v>33</v>
      </c>
      <c r="C7" s="4" t="s">
        <v>22</v>
      </c>
      <c r="D7" s="4" t="s">
        <v>23</v>
      </c>
      <c r="E7" s="4" t="b">
        <v>0</v>
      </c>
      <c r="F7" s="4" t="s">
        <v>35</v>
      </c>
      <c r="H7" s="5">
        <v>46088</v>
      </c>
    </row>
    <row r="8" spans="1:8">
      <c r="A8" s="4">
        <v>1286</v>
      </c>
      <c r="B8" s="4" t="s">
        <v>36</v>
      </c>
      <c r="C8" s="4" t="s">
        <v>34</v>
      </c>
      <c r="D8" s="4" t="s">
        <v>23</v>
      </c>
      <c r="E8" s="4" t="b">
        <v>0</v>
      </c>
      <c r="F8" s="4" t="s">
        <v>27</v>
      </c>
      <c r="G8" s="4">
        <v>13</v>
      </c>
      <c r="H8" s="5">
        <v>46088</v>
      </c>
    </row>
    <row r="9" spans="1:8">
      <c r="A9" s="4">
        <v>1381</v>
      </c>
      <c r="B9" s="4" t="s">
        <v>36</v>
      </c>
      <c r="C9" s="4" t="s">
        <v>37</v>
      </c>
      <c r="D9" s="4" t="s">
        <v>23</v>
      </c>
      <c r="E9" s="4" t="b">
        <v>0</v>
      </c>
      <c r="F9" s="4" t="s">
        <v>25</v>
      </c>
      <c r="H9" s="5">
        <v>46088</v>
      </c>
    </row>
    <row r="10" spans="1:8">
      <c r="A10" s="4">
        <v>1135</v>
      </c>
      <c r="B10" s="4" t="s">
        <v>40</v>
      </c>
      <c r="C10" s="4" t="s">
        <v>41</v>
      </c>
      <c r="D10" s="4" t="s">
        <v>23</v>
      </c>
      <c r="E10" s="4" t="b">
        <v>0</v>
      </c>
      <c r="F10" s="4" t="s">
        <v>27</v>
      </c>
      <c r="G10" s="4">
        <v>1</v>
      </c>
      <c r="H10" s="5">
        <v>46088</v>
      </c>
    </row>
    <row r="11" spans="1:8">
      <c r="A11" s="4">
        <v>982</v>
      </c>
      <c r="B11" s="4" t="s">
        <v>42</v>
      </c>
      <c r="C11" s="4" t="s">
        <v>32</v>
      </c>
      <c r="D11" s="4" t="s">
        <v>23</v>
      </c>
      <c r="E11" s="4" t="b">
        <v>0</v>
      </c>
      <c r="F11" s="4" t="s">
        <v>27</v>
      </c>
      <c r="G11" s="4">
        <v>22</v>
      </c>
      <c r="H11" s="5">
        <v>46088</v>
      </c>
    </row>
    <row r="12" spans="1:8">
      <c r="A12" s="4">
        <v>1328</v>
      </c>
      <c r="B12" s="4" t="s">
        <v>43</v>
      </c>
      <c r="C12" s="4" t="s">
        <v>44</v>
      </c>
      <c r="D12" s="4" t="s">
        <v>23</v>
      </c>
      <c r="E12" s="4" t="b">
        <v>0</v>
      </c>
      <c r="F12" s="4" t="s">
        <v>27</v>
      </c>
      <c r="G12" s="4">
        <v>4</v>
      </c>
      <c r="H12" s="5">
        <v>46088</v>
      </c>
    </row>
    <row r="13" spans="1:8">
      <c r="A13" s="4">
        <v>369</v>
      </c>
      <c r="B13" s="4" t="s">
        <v>45</v>
      </c>
      <c r="C13" s="4" t="s">
        <v>46</v>
      </c>
      <c r="D13" s="4" t="s">
        <v>23</v>
      </c>
      <c r="E13" s="4" t="b">
        <v>0</v>
      </c>
      <c r="F13" s="4" t="s">
        <v>27</v>
      </c>
      <c r="G13" s="4">
        <v>8</v>
      </c>
      <c r="H13" s="5">
        <v>46088</v>
      </c>
    </row>
    <row r="14" spans="1:8">
      <c r="A14" s="4">
        <v>7</v>
      </c>
      <c r="B14" s="4" t="s">
        <v>45</v>
      </c>
      <c r="C14" s="4" t="s">
        <v>47</v>
      </c>
      <c r="D14" s="4" t="s">
        <v>48</v>
      </c>
      <c r="E14" s="4" t="b">
        <v>0</v>
      </c>
      <c r="F14" s="4" t="s">
        <v>27</v>
      </c>
      <c r="G14" s="4">
        <v>32</v>
      </c>
      <c r="H14" s="5">
        <v>46088</v>
      </c>
    </row>
    <row r="15" spans="1:8">
      <c r="A15" s="4">
        <v>473</v>
      </c>
      <c r="B15" s="4" t="s">
        <v>45</v>
      </c>
      <c r="C15" s="4" t="s">
        <v>49</v>
      </c>
      <c r="D15" s="4" t="s">
        <v>48</v>
      </c>
      <c r="E15" s="4" t="b">
        <v>0</v>
      </c>
      <c r="F15" s="4" t="s">
        <v>27</v>
      </c>
      <c r="G15" s="4">
        <v>33</v>
      </c>
      <c r="H15" s="5">
        <v>46088</v>
      </c>
    </row>
    <row r="16" spans="1:8">
      <c r="A16" s="4">
        <v>1384</v>
      </c>
      <c r="B16" s="4" t="s">
        <v>50</v>
      </c>
      <c r="C16" s="4" t="s">
        <v>51</v>
      </c>
      <c r="D16" s="4" t="s">
        <v>23</v>
      </c>
      <c r="E16" s="4" t="b">
        <v>0</v>
      </c>
      <c r="F16" s="4" t="s">
        <v>27</v>
      </c>
      <c r="G16" s="4">
        <v>30</v>
      </c>
      <c r="H16" s="5">
        <v>46088</v>
      </c>
    </row>
    <row r="17" spans="1:8">
      <c r="A17" s="4">
        <v>1348</v>
      </c>
      <c r="B17" s="4" t="s">
        <v>52</v>
      </c>
      <c r="C17" s="4" t="s">
        <v>53</v>
      </c>
      <c r="D17" s="4" t="s">
        <v>54</v>
      </c>
      <c r="E17" s="4" t="b">
        <v>1</v>
      </c>
      <c r="F17" s="4" t="s">
        <v>25</v>
      </c>
      <c r="H17" s="5">
        <v>46088</v>
      </c>
    </row>
    <row r="18" spans="1:8">
      <c r="A18" s="4">
        <v>1275</v>
      </c>
      <c r="B18" s="4" t="s">
        <v>52</v>
      </c>
      <c r="C18" s="4" t="s">
        <v>55</v>
      </c>
      <c r="D18" s="4" t="s">
        <v>23</v>
      </c>
      <c r="E18" s="4" t="b">
        <v>1</v>
      </c>
      <c r="F18" s="4" t="s">
        <v>35</v>
      </c>
      <c r="H18" s="5">
        <v>46088</v>
      </c>
    </row>
    <row r="19" spans="1:8">
      <c r="A19" s="4">
        <v>68</v>
      </c>
      <c r="B19" s="4" t="s">
        <v>56</v>
      </c>
      <c r="C19" s="4" t="s">
        <v>57</v>
      </c>
      <c r="D19" s="4" t="s">
        <v>48</v>
      </c>
      <c r="E19" s="4" t="b">
        <v>0</v>
      </c>
      <c r="F19" s="4" t="s">
        <v>27</v>
      </c>
      <c r="G19" s="4">
        <v>35</v>
      </c>
      <c r="H19" s="5">
        <v>46088</v>
      </c>
    </row>
    <row r="20" spans="1:8">
      <c r="A20" s="4">
        <v>1035</v>
      </c>
      <c r="B20" s="4" t="s">
        <v>58</v>
      </c>
      <c r="C20" s="4" t="s">
        <v>59</v>
      </c>
      <c r="D20" s="4" t="s">
        <v>23</v>
      </c>
      <c r="E20" s="4" t="b">
        <v>0</v>
      </c>
      <c r="F20" s="4" t="s">
        <v>27</v>
      </c>
      <c r="G20" s="4">
        <v>6</v>
      </c>
      <c r="H20" s="5">
        <v>46088</v>
      </c>
    </row>
    <row r="21" spans="1:8">
      <c r="A21" s="4">
        <v>1326</v>
      </c>
      <c r="B21" s="4" t="s">
        <v>62</v>
      </c>
      <c r="C21" s="4" t="s">
        <v>63</v>
      </c>
      <c r="D21" s="4" t="s">
        <v>23</v>
      </c>
      <c r="E21" s="4" t="b">
        <v>1</v>
      </c>
      <c r="F21" s="4" t="s">
        <v>25</v>
      </c>
      <c r="H21" s="5">
        <v>46088</v>
      </c>
    </row>
    <row r="22" spans="1:8">
      <c r="A22" s="4">
        <v>477</v>
      </c>
      <c r="B22" s="4" t="s">
        <v>64</v>
      </c>
      <c r="C22" s="4" t="s">
        <v>65</v>
      </c>
      <c r="D22" s="4" t="s">
        <v>23</v>
      </c>
      <c r="E22" s="4" t="b">
        <v>1</v>
      </c>
      <c r="F22" s="4" t="s">
        <v>27</v>
      </c>
      <c r="G22" s="4">
        <v>34</v>
      </c>
      <c r="H22" s="5">
        <v>46088</v>
      </c>
    </row>
    <row r="23" spans="1:8">
      <c r="A23" s="4">
        <v>10</v>
      </c>
      <c r="B23" s="4" t="s">
        <v>64</v>
      </c>
      <c r="C23" s="4" t="s">
        <v>66</v>
      </c>
      <c r="D23" s="4" t="s">
        <v>48</v>
      </c>
      <c r="E23" s="4" t="b">
        <v>0</v>
      </c>
      <c r="F23" s="4" t="s">
        <v>27</v>
      </c>
      <c r="G23" s="4">
        <v>35</v>
      </c>
      <c r="H23" s="5">
        <v>46088</v>
      </c>
    </row>
    <row r="24" spans="1:8">
      <c r="A24" s="4">
        <v>1414</v>
      </c>
      <c r="B24" s="4" t="s">
        <v>67</v>
      </c>
      <c r="C24" s="4" t="s">
        <v>36</v>
      </c>
      <c r="D24" s="4" t="s">
        <v>23</v>
      </c>
      <c r="E24" s="4" t="b">
        <v>0</v>
      </c>
      <c r="F24" s="4" t="s">
        <v>27</v>
      </c>
      <c r="G24" s="4">
        <v>13</v>
      </c>
      <c r="H24" s="5">
        <v>46088</v>
      </c>
    </row>
    <row r="25" spans="1:8">
      <c r="A25" s="4">
        <v>1029</v>
      </c>
      <c r="B25" s="4" t="s">
        <v>68</v>
      </c>
      <c r="C25" s="4" t="s">
        <v>69</v>
      </c>
      <c r="D25" s="4" t="s">
        <v>23</v>
      </c>
      <c r="E25" s="4" t="b">
        <v>0</v>
      </c>
      <c r="F25" s="4" t="s">
        <v>27</v>
      </c>
      <c r="G25" s="4">
        <v>28</v>
      </c>
      <c r="H25" s="5">
        <v>46088</v>
      </c>
    </row>
    <row r="26" spans="1:8">
      <c r="A26" s="4">
        <v>13</v>
      </c>
      <c r="B26" s="4" t="s">
        <v>70</v>
      </c>
      <c r="C26" s="4" t="s">
        <v>51</v>
      </c>
      <c r="D26" s="4" t="s">
        <v>23</v>
      </c>
      <c r="E26" s="4" t="b">
        <v>0</v>
      </c>
      <c r="F26" s="4" t="s">
        <v>27</v>
      </c>
      <c r="G26" s="4">
        <v>28</v>
      </c>
      <c r="H26" s="5">
        <v>46088</v>
      </c>
    </row>
    <row r="27" spans="1:8">
      <c r="A27" s="4">
        <v>1255</v>
      </c>
      <c r="B27" s="4" t="s">
        <v>71</v>
      </c>
      <c r="C27" s="4" t="s">
        <v>72</v>
      </c>
      <c r="D27" s="4" t="s">
        <v>23</v>
      </c>
      <c r="E27" s="4" t="b">
        <v>1</v>
      </c>
      <c r="F27" s="4" t="s">
        <v>27</v>
      </c>
      <c r="G27" s="4">
        <v>13</v>
      </c>
      <c r="H27" s="5">
        <v>46088</v>
      </c>
    </row>
    <row r="28" spans="1:8">
      <c r="A28" s="4">
        <v>1405</v>
      </c>
      <c r="B28" s="4" t="s">
        <v>73</v>
      </c>
      <c r="C28" s="4" t="s">
        <v>74</v>
      </c>
      <c r="D28" s="4" t="s">
        <v>23</v>
      </c>
      <c r="E28" s="4" t="b">
        <v>1</v>
      </c>
      <c r="F28" s="4" t="s">
        <v>35</v>
      </c>
      <c r="H28" s="5">
        <v>46088</v>
      </c>
    </row>
    <row r="29" spans="1:8">
      <c r="A29" s="4">
        <v>919</v>
      </c>
      <c r="B29" s="4" t="s">
        <v>77</v>
      </c>
      <c r="C29" s="4" t="s">
        <v>51</v>
      </c>
      <c r="D29" s="4" t="s">
        <v>23</v>
      </c>
      <c r="E29" s="4" t="b">
        <v>0</v>
      </c>
      <c r="F29" s="4" t="s">
        <v>27</v>
      </c>
      <c r="G29" s="4">
        <v>16</v>
      </c>
      <c r="H29" s="5">
        <v>46088</v>
      </c>
    </row>
    <row r="30" spans="1:8">
      <c r="A30" s="4">
        <v>1319</v>
      </c>
      <c r="B30" s="4" t="s">
        <v>78</v>
      </c>
      <c r="C30" s="4" t="s">
        <v>32</v>
      </c>
      <c r="D30" s="4" t="s">
        <v>23</v>
      </c>
      <c r="E30" s="4" t="b">
        <v>0</v>
      </c>
      <c r="F30" s="4" t="s">
        <v>27</v>
      </c>
      <c r="G30" s="4">
        <v>9</v>
      </c>
      <c r="H30" s="5">
        <v>46088</v>
      </c>
    </row>
    <row r="31" spans="1:8">
      <c r="A31" s="4">
        <v>1389</v>
      </c>
      <c r="B31" s="4" t="s">
        <v>79</v>
      </c>
      <c r="C31" s="4" t="s">
        <v>80</v>
      </c>
      <c r="D31" s="4" t="s">
        <v>23</v>
      </c>
      <c r="E31" s="4" t="b">
        <v>0</v>
      </c>
      <c r="F31" s="4" t="s">
        <v>25</v>
      </c>
      <c r="H31" s="5">
        <v>46088</v>
      </c>
    </row>
    <row r="32" spans="1:8">
      <c r="A32" s="4">
        <v>482</v>
      </c>
      <c r="B32" s="4" t="s">
        <v>84</v>
      </c>
      <c r="C32" s="4" t="s">
        <v>85</v>
      </c>
      <c r="D32" s="4" t="s">
        <v>23</v>
      </c>
      <c r="E32" s="4" t="b">
        <v>0</v>
      </c>
      <c r="F32" s="4" t="s">
        <v>27</v>
      </c>
      <c r="G32" s="4">
        <v>13</v>
      </c>
      <c r="H32" s="5">
        <v>46088</v>
      </c>
    </row>
    <row r="33" spans="1:8">
      <c r="A33" s="4">
        <v>674</v>
      </c>
      <c r="B33" s="4" t="s">
        <v>86</v>
      </c>
      <c r="C33" s="4" t="s">
        <v>87</v>
      </c>
      <c r="D33" s="4" t="s">
        <v>54</v>
      </c>
      <c r="E33" s="4" t="b">
        <v>1</v>
      </c>
      <c r="F33" s="4" t="s">
        <v>27</v>
      </c>
      <c r="G33" s="4">
        <v>23</v>
      </c>
      <c r="H33" s="5">
        <v>46088</v>
      </c>
    </row>
    <row r="34" spans="1:8">
      <c r="A34" s="4">
        <v>1061</v>
      </c>
      <c r="B34" s="4" t="s">
        <v>88</v>
      </c>
      <c r="C34" s="4" t="s">
        <v>89</v>
      </c>
      <c r="D34" s="4" t="s">
        <v>23</v>
      </c>
      <c r="E34" s="4" t="b">
        <v>0</v>
      </c>
      <c r="F34" s="4" t="s">
        <v>27</v>
      </c>
      <c r="G34" s="4">
        <v>19</v>
      </c>
      <c r="H34" s="5">
        <v>46088</v>
      </c>
    </row>
    <row r="35" spans="1:8">
      <c r="A35" s="4">
        <v>763</v>
      </c>
      <c r="B35" s="4" t="s">
        <v>90</v>
      </c>
      <c r="C35" s="4" t="s">
        <v>59</v>
      </c>
      <c r="D35" s="4" t="s">
        <v>23</v>
      </c>
      <c r="E35" s="4" t="b">
        <v>0</v>
      </c>
      <c r="F35" s="4" t="s">
        <v>27</v>
      </c>
      <c r="G35" s="4">
        <v>17</v>
      </c>
      <c r="H35" s="5">
        <v>46088</v>
      </c>
    </row>
    <row r="36" spans="1:8">
      <c r="A36" s="4">
        <v>1227</v>
      </c>
      <c r="B36" s="4" t="s">
        <v>91</v>
      </c>
      <c r="C36" s="4" t="s">
        <v>92</v>
      </c>
      <c r="D36" s="4" t="s">
        <v>23</v>
      </c>
      <c r="E36" s="4" t="b">
        <v>1</v>
      </c>
      <c r="F36" s="4" t="s">
        <v>27</v>
      </c>
      <c r="G36" s="4">
        <v>8</v>
      </c>
      <c r="H36" s="5">
        <v>46088</v>
      </c>
    </row>
    <row r="37" spans="1:8">
      <c r="A37" s="4">
        <v>715</v>
      </c>
      <c r="B37" s="4" t="s">
        <v>93</v>
      </c>
      <c r="C37" s="4" t="s">
        <v>94</v>
      </c>
      <c r="D37" s="4" t="s">
        <v>23</v>
      </c>
      <c r="E37" s="4" t="b">
        <v>0</v>
      </c>
      <c r="F37" s="4" t="s">
        <v>27</v>
      </c>
      <c r="G37" s="4">
        <v>5</v>
      </c>
      <c r="H37" s="5">
        <v>46088</v>
      </c>
    </row>
    <row r="38" spans="1:8">
      <c r="A38" s="4">
        <v>567</v>
      </c>
      <c r="B38" s="4" t="s">
        <v>95</v>
      </c>
      <c r="C38" s="4" t="s">
        <v>96</v>
      </c>
      <c r="D38" s="4" t="s">
        <v>23</v>
      </c>
      <c r="E38" s="4" t="b">
        <v>0</v>
      </c>
      <c r="F38" s="4" t="s">
        <v>27</v>
      </c>
      <c r="G38" s="4">
        <v>7</v>
      </c>
      <c r="H38" s="5">
        <v>46088</v>
      </c>
    </row>
    <row r="39" spans="1:8">
      <c r="A39" s="4">
        <v>1391</v>
      </c>
      <c r="B39" s="4" t="s">
        <v>97</v>
      </c>
      <c r="C39" s="4" t="s">
        <v>98</v>
      </c>
      <c r="D39" s="4" t="s">
        <v>23</v>
      </c>
      <c r="E39" s="4" t="b">
        <v>1</v>
      </c>
      <c r="F39" s="4" t="s">
        <v>25</v>
      </c>
      <c r="H39" s="5">
        <v>46088</v>
      </c>
    </row>
    <row r="40" spans="1:8">
      <c r="A40" s="4">
        <v>704</v>
      </c>
      <c r="B40" s="4" t="s">
        <v>99</v>
      </c>
      <c r="C40" s="4" t="s">
        <v>100</v>
      </c>
      <c r="D40" s="4" t="s">
        <v>23</v>
      </c>
      <c r="E40" s="4" t="b">
        <v>0</v>
      </c>
      <c r="F40" s="4" t="s">
        <v>27</v>
      </c>
      <c r="G40" s="4">
        <v>21</v>
      </c>
      <c r="H40" s="5">
        <v>46088</v>
      </c>
    </row>
    <row r="41" spans="1:8">
      <c r="A41" s="4">
        <v>1283</v>
      </c>
      <c r="B41" s="4" t="s">
        <v>101</v>
      </c>
      <c r="C41" s="4" t="s">
        <v>102</v>
      </c>
      <c r="D41" s="4" t="s">
        <v>23</v>
      </c>
      <c r="E41" s="4" t="b">
        <v>0</v>
      </c>
      <c r="F41" s="4" t="s">
        <v>27</v>
      </c>
      <c r="G41" s="4">
        <v>18</v>
      </c>
      <c r="H41" s="5">
        <v>46088</v>
      </c>
    </row>
    <row r="42" spans="1:8">
      <c r="A42" s="4">
        <v>295</v>
      </c>
      <c r="B42" s="4" t="s">
        <v>103</v>
      </c>
      <c r="C42" s="4" t="s">
        <v>104</v>
      </c>
      <c r="D42" s="4" t="s">
        <v>23</v>
      </c>
      <c r="E42" s="4" t="b">
        <v>0</v>
      </c>
      <c r="F42" s="4" t="s">
        <v>27</v>
      </c>
      <c r="G42" s="4">
        <v>15</v>
      </c>
      <c r="H42" s="5">
        <v>46088</v>
      </c>
    </row>
    <row r="43" spans="1:8">
      <c r="A43" s="4">
        <v>1226</v>
      </c>
      <c r="B43" s="4" t="s">
        <v>105</v>
      </c>
      <c r="C43" s="4" t="s">
        <v>106</v>
      </c>
      <c r="D43" s="4" t="s">
        <v>23</v>
      </c>
      <c r="E43" s="4" t="b">
        <v>1</v>
      </c>
      <c r="F43" s="4" t="s">
        <v>25</v>
      </c>
      <c r="H43" s="5">
        <v>46088</v>
      </c>
    </row>
    <row r="44" spans="1:8">
      <c r="A44" s="4">
        <v>1185</v>
      </c>
      <c r="B44" s="4" t="s">
        <v>109</v>
      </c>
      <c r="C44" s="4" t="s">
        <v>110</v>
      </c>
      <c r="D44" s="4" t="s">
        <v>23</v>
      </c>
      <c r="E44" s="4" t="b">
        <v>1</v>
      </c>
      <c r="F44" s="4" t="s">
        <v>35</v>
      </c>
      <c r="H44" s="5">
        <v>46088</v>
      </c>
    </row>
    <row r="45" spans="1:8">
      <c r="A45" s="4">
        <v>1065</v>
      </c>
      <c r="B45" s="4" t="s">
        <v>109</v>
      </c>
      <c r="C45" s="4" t="s">
        <v>41</v>
      </c>
      <c r="D45" s="4" t="s">
        <v>23</v>
      </c>
      <c r="E45" s="4" t="b">
        <v>0</v>
      </c>
      <c r="F45" s="4" t="s">
        <v>27</v>
      </c>
      <c r="G45" s="4">
        <v>1</v>
      </c>
      <c r="H45" s="5">
        <v>46088</v>
      </c>
    </row>
    <row r="46" spans="1:8">
      <c r="A46" s="4">
        <v>1407</v>
      </c>
      <c r="B46" s="4" t="s">
        <v>111</v>
      </c>
      <c r="C46" s="4" t="s">
        <v>112</v>
      </c>
      <c r="D46" s="4" t="s">
        <v>23</v>
      </c>
      <c r="E46" s="4" t="b">
        <v>0</v>
      </c>
      <c r="F46" s="4" t="s">
        <v>25</v>
      </c>
      <c r="H46" s="5">
        <v>46088</v>
      </c>
    </row>
    <row r="47" spans="1:8">
      <c r="A47" s="4">
        <v>1096</v>
      </c>
      <c r="B47" s="4" t="s">
        <v>113</v>
      </c>
      <c r="C47" s="4" t="s">
        <v>114</v>
      </c>
      <c r="D47" s="4" t="s">
        <v>23</v>
      </c>
      <c r="E47" s="4" t="b">
        <v>0</v>
      </c>
      <c r="F47" s="4" t="s">
        <v>35</v>
      </c>
      <c r="H47" s="5">
        <v>46088</v>
      </c>
    </row>
    <row r="48" spans="1:8">
      <c r="A48" s="4">
        <v>1236</v>
      </c>
      <c r="B48" s="4" t="s">
        <v>113</v>
      </c>
      <c r="C48" s="4" t="s">
        <v>115</v>
      </c>
      <c r="D48" s="4" t="s">
        <v>23</v>
      </c>
      <c r="E48" s="4" t="b">
        <v>1</v>
      </c>
      <c r="F48" s="4" t="s">
        <v>27</v>
      </c>
      <c r="G48" s="4">
        <v>5</v>
      </c>
      <c r="H48" s="5">
        <v>46088</v>
      </c>
    </row>
    <row r="49" spans="1:8">
      <c r="A49" s="4">
        <v>699</v>
      </c>
      <c r="B49" s="4" t="s">
        <v>113</v>
      </c>
      <c r="C49" s="4" t="s">
        <v>116</v>
      </c>
      <c r="D49" s="4" t="s">
        <v>23</v>
      </c>
      <c r="E49" s="4" t="b">
        <v>0</v>
      </c>
      <c r="F49" s="4" t="s">
        <v>27</v>
      </c>
      <c r="G49" s="4">
        <v>5</v>
      </c>
      <c r="H49" s="5">
        <v>46088</v>
      </c>
    </row>
    <row r="50" spans="1:8">
      <c r="A50" s="4">
        <v>1000</v>
      </c>
      <c r="B50" s="4" t="s">
        <v>120</v>
      </c>
      <c r="C50" s="4" t="s">
        <v>121</v>
      </c>
      <c r="D50" s="4" t="s">
        <v>23</v>
      </c>
      <c r="E50" s="4" t="b">
        <v>0</v>
      </c>
      <c r="F50" s="4" t="s">
        <v>25</v>
      </c>
      <c r="H50" s="5">
        <v>46088</v>
      </c>
    </row>
    <row r="51" spans="1:8">
      <c r="A51" s="4">
        <v>1332</v>
      </c>
      <c r="B51" s="4" t="s">
        <v>122</v>
      </c>
      <c r="C51" s="4" t="s">
        <v>123</v>
      </c>
      <c r="D51" s="4" t="s">
        <v>23</v>
      </c>
      <c r="E51" s="4" t="b">
        <v>1</v>
      </c>
      <c r="F51" s="4" t="s">
        <v>25</v>
      </c>
      <c r="H51" s="5">
        <v>46088</v>
      </c>
    </row>
    <row r="52" spans="1:8">
      <c r="A52" s="4">
        <v>682</v>
      </c>
      <c r="B52" s="4" t="s">
        <v>124</v>
      </c>
      <c r="C52" s="4" t="s">
        <v>125</v>
      </c>
      <c r="D52" s="4" t="s">
        <v>23</v>
      </c>
      <c r="E52" s="4" t="b">
        <v>0</v>
      </c>
      <c r="F52" s="4" t="s">
        <v>27</v>
      </c>
      <c r="G52" s="4">
        <v>11</v>
      </c>
      <c r="H52" s="5">
        <v>46088</v>
      </c>
    </row>
    <row r="53" spans="1:8">
      <c r="A53" s="4">
        <v>1393</v>
      </c>
      <c r="B53" s="4" t="s">
        <v>126</v>
      </c>
      <c r="C53" s="4" t="s">
        <v>127</v>
      </c>
      <c r="D53" s="4" t="s">
        <v>23</v>
      </c>
      <c r="E53" s="4" t="b">
        <v>1</v>
      </c>
      <c r="F53" s="4" t="s">
        <v>27</v>
      </c>
      <c r="G53" s="4">
        <v>10</v>
      </c>
      <c r="H53" s="5">
        <v>46088</v>
      </c>
    </row>
    <row r="54" spans="1:8">
      <c r="A54" s="4">
        <v>1355</v>
      </c>
      <c r="B54" s="4" t="s">
        <v>128</v>
      </c>
      <c r="C54" s="4" t="s">
        <v>129</v>
      </c>
      <c r="D54" s="4" t="s">
        <v>23</v>
      </c>
      <c r="E54" s="4" t="b">
        <v>0</v>
      </c>
      <c r="F54" s="4" t="s">
        <v>35</v>
      </c>
      <c r="H54" s="5">
        <v>46088</v>
      </c>
    </row>
    <row r="55" spans="1:8">
      <c r="A55" s="4">
        <v>1164</v>
      </c>
      <c r="B55" s="4" t="s">
        <v>130</v>
      </c>
      <c r="C55" s="4" t="s">
        <v>131</v>
      </c>
      <c r="D55" s="4" t="s">
        <v>54</v>
      </c>
      <c r="E55" s="4" t="b">
        <v>1</v>
      </c>
      <c r="F55" s="4" t="s">
        <v>25</v>
      </c>
      <c r="H55" s="5">
        <v>46088</v>
      </c>
    </row>
    <row r="56" spans="1:8">
      <c r="A56" s="4">
        <v>1062</v>
      </c>
      <c r="B56" s="4" t="s">
        <v>130</v>
      </c>
      <c r="C56" s="4" t="s">
        <v>83</v>
      </c>
      <c r="D56" s="4" t="s">
        <v>23</v>
      </c>
      <c r="E56" s="4" t="b">
        <v>0</v>
      </c>
      <c r="F56" s="4" t="s">
        <v>27</v>
      </c>
      <c r="G56" s="4">
        <v>9</v>
      </c>
      <c r="H56" s="5">
        <v>46088</v>
      </c>
    </row>
    <row r="57" spans="1:8">
      <c r="A57" s="4">
        <v>938</v>
      </c>
      <c r="B57" s="4" t="s">
        <v>130</v>
      </c>
      <c r="C57" s="4" t="s">
        <v>132</v>
      </c>
      <c r="D57" s="4" t="s">
        <v>23</v>
      </c>
      <c r="E57" s="4" t="b">
        <v>1</v>
      </c>
      <c r="F57" s="4" t="s">
        <v>27</v>
      </c>
      <c r="G57" s="4">
        <v>7</v>
      </c>
      <c r="H57" s="5">
        <v>46088</v>
      </c>
    </row>
    <row r="58" spans="1:8">
      <c r="A58" s="4">
        <v>1034</v>
      </c>
      <c r="B58" s="4" t="s">
        <v>134</v>
      </c>
      <c r="C58" s="4" t="s">
        <v>83</v>
      </c>
      <c r="D58" s="4" t="s">
        <v>23</v>
      </c>
      <c r="E58" s="4" t="b">
        <v>0</v>
      </c>
      <c r="F58" s="4" t="s">
        <v>25</v>
      </c>
      <c r="H58" s="5">
        <v>46088</v>
      </c>
    </row>
    <row r="59" spans="1:8">
      <c r="A59" s="4">
        <v>1402</v>
      </c>
      <c r="B59" s="4" t="s">
        <v>135</v>
      </c>
      <c r="C59" s="4" t="s">
        <v>136</v>
      </c>
      <c r="D59" s="4" t="s">
        <v>23</v>
      </c>
      <c r="E59" s="4" t="b">
        <v>0</v>
      </c>
      <c r="F59" s="4" t="s">
        <v>27</v>
      </c>
      <c r="G59" s="4">
        <v>7</v>
      </c>
      <c r="H59" s="5">
        <v>46088</v>
      </c>
    </row>
    <row r="60" spans="1:8">
      <c r="A60" s="4">
        <v>939</v>
      </c>
      <c r="B60" s="4" t="s">
        <v>137</v>
      </c>
      <c r="C60" s="4" t="s">
        <v>127</v>
      </c>
      <c r="D60" s="4" t="s">
        <v>23</v>
      </c>
      <c r="E60" s="4" t="b">
        <v>1</v>
      </c>
      <c r="F60" s="4" t="s">
        <v>27</v>
      </c>
      <c r="G60" s="4">
        <v>12</v>
      </c>
      <c r="H60" s="5">
        <v>46088</v>
      </c>
    </row>
    <row r="61" spans="1:8">
      <c r="A61" s="4">
        <v>1377</v>
      </c>
      <c r="B61" s="4" t="s">
        <v>138</v>
      </c>
      <c r="C61" s="4" t="s">
        <v>139</v>
      </c>
      <c r="D61" s="4" t="s">
        <v>23</v>
      </c>
      <c r="E61" s="4" t="b">
        <v>1</v>
      </c>
      <c r="F61" s="4" t="s">
        <v>27</v>
      </c>
      <c r="G61" s="4">
        <v>12</v>
      </c>
      <c r="H61" s="5">
        <v>46088</v>
      </c>
    </row>
    <row r="62" spans="1:8">
      <c r="A62" s="4">
        <v>1281</v>
      </c>
      <c r="B62" s="4" t="s">
        <v>140</v>
      </c>
      <c r="C62" s="4" t="s">
        <v>141</v>
      </c>
      <c r="D62" s="4" t="s">
        <v>23</v>
      </c>
      <c r="E62" s="4" t="b">
        <v>0</v>
      </c>
      <c r="F62" s="4" t="s">
        <v>27</v>
      </c>
      <c r="G62" s="4">
        <v>19</v>
      </c>
      <c r="H62" s="5">
        <v>46088</v>
      </c>
    </row>
    <row r="63" spans="1:8">
      <c r="A63" s="4">
        <v>933</v>
      </c>
      <c r="B63" s="4" t="s">
        <v>142</v>
      </c>
      <c r="C63" s="4" t="s">
        <v>143</v>
      </c>
      <c r="D63" s="4" t="s">
        <v>23</v>
      </c>
      <c r="E63" s="4" t="b">
        <v>0</v>
      </c>
      <c r="F63" s="4" t="s">
        <v>25</v>
      </c>
      <c r="H63" s="5">
        <v>46088</v>
      </c>
    </row>
    <row r="64" spans="1:8">
      <c r="A64" s="4">
        <v>1274</v>
      </c>
      <c r="B64" s="4" t="s">
        <v>144</v>
      </c>
      <c r="C64" s="4" t="s">
        <v>145</v>
      </c>
      <c r="D64" s="4" t="s">
        <v>23</v>
      </c>
      <c r="E64" s="4" t="b">
        <v>1</v>
      </c>
      <c r="F64" s="4" t="s">
        <v>25</v>
      </c>
      <c r="H64" s="5">
        <v>46088</v>
      </c>
    </row>
    <row r="65" spans="1:8">
      <c r="A65" s="4">
        <v>493</v>
      </c>
      <c r="B65" s="4" t="s">
        <v>146</v>
      </c>
      <c r="C65" s="4" t="s">
        <v>49</v>
      </c>
      <c r="D65" s="4" t="s">
        <v>48</v>
      </c>
      <c r="E65" s="4" t="b">
        <v>0</v>
      </c>
      <c r="F65" s="4" t="s">
        <v>27</v>
      </c>
      <c r="G65" s="4">
        <v>37</v>
      </c>
      <c r="H65" s="5">
        <v>46088</v>
      </c>
    </row>
    <row r="66" spans="1:8">
      <c r="A66" s="4">
        <v>1279</v>
      </c>
      <c r="B66" s="4" t="s">
        <v>147</v>
      </c>
      <c r="C66" s="4" t="s">
        <v>148</v>
      </c>
      <c r="D66" s="4" t="s">
        <v>23</v>
      </c>
      <c r="E66" s="4" t="b">
        <v>0</v>
      </c>
      <c r="F66" s="4" t="s">
        <v>27</v>
      </c>
      <c r="G66" s="4">
        <v>4</v>
      </c>
      <c r="H66" s="5">
        <v>46088</v>
      </c>
    </row>
    <row r="67" spans="1:8">
      <c r="A67" s="4">
        <v>1193</v>
      </c>
      <c r="B67" s="4" t="s">
        <v>149</v>
      </c>
      <c r="C67" s="4" t="s">
        <v>150</v>
      </c>
      <c r="D67" s="4" t="s">
        <v>23</v>
      </c>
      <c r="E67" s="4" t="b">
        <v>0</v>
      </c>
      <c r="F67" s="4" t="s">
        <v>25</v>
      </c>
      <c r="H67" s="5">
        <v>46088</v>
      </c>
    </row>
    <row r="68" spans="1:8">
      <c r="A68" s="4">
        <v>1194</v>
      </c>
      <c r="B68" s="4" t="s">
        <v>149</v>
      </c>
      <c r="C68" s="4" t="s">
        <v>151</v>
      </c>
      <c r="D68" s="4" t="s">
        <v>23</v>
      </c>
      <c r="E68" s="4" t="b">
        <v>1</v>
      </c>
      <c r="F68" s="4" t="s">
        <v>25</v>
      </c>
      <c r="H68" s="5">
        <v>46088</v>
      </c>
    </row>
    <row r="69" spans="1:8">
      <c r="A69" s="4">
        <v>1196</v>
      </c>
      <c r="B69" s="4" t="s">
        <v>149</v>
      </c>
      <c r="C69" s="4" t="s">
        <v>152</v>
      </c>
      <c r="D69" s="4" t="s">
        <v>23</v>
      </c>
      <c r="E69" s="4" t="b">
        <v>0</v>
      </c>
      <c r="F69" s="4" t="s">
        <v>35</v>
      </c>
      <c r="H69" s="5">
        <v>46088</v>
      </c>
    </row>
    <row r="70" spans="1:8">
      <c r="A70" s="4">
        <v>1195</v>
      </c>
      <c r="B70" s="4" t="s">
        <v>149</v>
      </c>
      <c r="C70" s="4" t="s">
        <v>153</v>
      </c>
      <c r="D70" s="4" t="s">
        <v>23</v>
      </c>
      <c r="E70" s="4" t="b">
        <v>0</v>
      </c>
      <c r="F70" s="4" t="s">
        <v>35</v>
      </c>
      <c r="H70" s="5">
        <v>46088</v>
      </c>
    </row>
    <row r="71" spans="1:8">
      <c r="A71" s="4">
        <v>1176</v>
      </c>
      <c r="B71" s="4" t="s">
        <v>154</v>
      </c>
      <c r="C71" s="4" t="s">
        <v>155</v>
      </c>
      <c r="D71" s="4" t="s">
        <v>23</v>
      </c>
      <c r="E71" s="4" t="b">
        <v>0</v>
      </c>
      <c r="F71" s="4" t="s">
        <v>35</v>
      </c>
      <c r="H71" s="5">
        <v>46088</v>
      </c>
    </row>
    <row r="72" spans="1:8">
      <c r="A72" s="4">
        <v>1174</v>
      </c>
      <c r="B72" s="4" t="s">
        <v>154</v>
      </c>
      <c r="C72" s="4" t="s">
        <v>156</v>
      </c>
      <c r="D72" s="4" t="s">
        <v>23</v>
      </c>
      <c r="E72" s="4" t="b">
        <v>1</v>
      </c>
      <c r="F72" s="4" t="s">
        <v>27</v>
      </c>
      <c r="G72" s="4">
        <v>6</v>
      </c>
      <c r="H72" s="5">
        <v>46088</v>
      </c>
    </row>
    <row r="73" spans="1:8">
      <c r="A73" s="4">
        <v>1175</v>
      </c>
      <c r="B73" s="4" t="s">
        <v>154</v>
      </c>
      <c r="C73" s="4" t="s">
        <v>150</v>
      </c>
      <c r="D73" s="4" t="s">
        <v>23</v>
      </c>
      <c r="E73" s="4" t="b">
        <v>0</v>
      </c>
      <c r="F73" s="4" t="s">
        <v>27</v>
      </c>
      <c r="G73" s="4">
        <v>12</v>
      </c>
      <c r="H73" s="5">
        <v>46088</v>
      </c>
    </row>
    <row r="74" spans="1:8">
      <c r="A74" s="4">
        <v>1109</v>
      </c>
      <c r="B74" s="4" t="s">
        <v>157</v>
      </c>
      <c r="C74" s="4" t="s">
        <v>104</v>
      </c>
      <c r="D74" s="4" t="s">
        <v>23</v>
      </c>
      <c r="E74" s="4" t="b">
        <v>0</v>
      </c>
      <c r="F74" s="4" t="s">
        <v>25</v>
      </c>
      <c r="H74" s="5">
        <v>46088</v>
      </c>
    </row>
    <row r="75" spans="1:8">
      <c r="A75" s="4">
        <v>1073</v>
      </c>
      <c r="B75" s="4" t="s">
        <v>158</v>
      </c>
      <c r="C75" s="4" t="s">
        <v>150</v>
      </c>
      <c r="D75" s="4" t="s">
        <v>23</v>
      </c>
      <c r="E75" s="4" t="b">
        <v>0</v>
      </c>
      <c r="F75" s="4" t="s">
        <v>27</v>
      </c>
      <c r="G75" s="4">
        <v>3</v>
      </c>
      <c r="H75" s="5">
        <v>46088</v>
      </c>
    </row>
    <row r="76" spans="1:8">
      <c r="A76" s="4">
        <v>1400</v>
      </c>
      <c r="B76" s="4" t="s">
        <v>159</v>
      </c>
      <c r="C76" s="4" t="s">
        <v>160</v>
      </c>
      <c r="D76" s="4" t="s">
        <v>23</v>
      </c>
      <c r="E76" s="4" t="b">
        <v>0</v>
      </c>
      <c r="F76" s="4" t="s">
        <v>25</v>
      </c>
      <c r="H76" s="5">
        <v>46088</v>
      </c>
    </row>
    <row r="77" spans="1:8">
      <c r="A77" s="4">
        <v>1367</v>
      </c>
      <c r="B77" s="4" t="s">
        <v>161</v>
      </c>
      <c r="C77" s="4" t="s">
        <v>152</v>
      </c>
      <c r="D77" s="4" t="s">
        <v>23</v>
      </c>
      <c r="E77" s="4" t="b">
        <v>0</v>
      </c>
      <c r="F77" s="4" t="s">
        <v>35</v>
      </c>
      <c r="H77" s="5">
        <v>46088</v>
      </c>
    </row>
    <row r="78" spans="1:8">
      <c r="A78" s="4">
        <v>1366</v>
      </c>
      <c r="B78" s="4" t="s">
        <v>161</v>
      </c>
      <c r="C78" s="4" t="s">
        <v>162</v>
      </c>
      <c r="D78" s="4" t="s">
        <v>23</v>
      </c>
      <c r="E78" s="4" t="b">
        <v>1</v>
      </c>
      <c r="F78" s="4" t="s">
        <v>25</v>
      </c>
      <c r="H78" s="5">
        <v>46088</v>
      </c>
    </row>
    <row r="79" spans="1:8">
      <c r="A79" s="4">
        <v>1365</v>
      </c>
      <c r="B79" s="4" t="s">
        <v>161</v>
      </c>
      <c r="C79" s="4" t="s">
        <v>163</v>
      </c>
      <c r="D79" s="4" t="s">
        <v>23</v>
      </c>
      <c r="E79" s="4" t="b">
        <v>1</v>
      </c>
      <c r="F79" s="4" t="s">
        <v>27</v>
      </c>
      <c r="G79" s="4">
        <v>7</v>
      </c>
      <c r="H79" s="5">
        <v>46088</v>
      </c>
    </row>
    <row r="80" spans="1:8">
      <c r="A80" s="4">
        <v>897</v>
      </c>
      <c r="B80" s="4" t="s">
        <v>161</v>
      </c>
      <c r="C80" s="4" t="s">
        <v>164</v>
      </c>
      <c r="D80" s="4" t="s">
        <v>23</v>
      </c>
      <c r="E80" s="4" t="b">
        <v>0</v>
      </c>
      <c r="F80" s="4" t="s">
        <v>27</v>
      </c>
      <c r="G80" s="4">
        <v>13</v>
      </c>
      <c r="H80" s="5">
        <v>46088</v>
      </c>
    </row>
    <row r="81" spans="1:8">
      <c r="A81" s="4">
        <v>1308</v>
      </c>
      <c r="B81" s="4" t="s">
        <v>165</v>
      </c>
      <c r="C81" s="4" t="s">
        <v>166</v>
      </c>
      <c r="D81" s="4" t="s">
        <v>23</v>
      </c>
      <c r="E81" s="4" t="b">
        <v>1</v>
      </c>
      <c r="F81" s="4" t="s">
        <v>27</v>
      </c>
      <c r="G81" s="4">
        <v>2</v>
      </c>
      <c r="H81" s="5">
        <v>46088</v>
      </c>
    </row>
    <row r="82" spans="1:8">
      <c r="A82" s="4">
        <v>1206</v>
      </c>
      <c r="B82" s="4" t="s">
        <v>167</v>
      </c>
      <c r="C82" s="4" t="s">
        <v>168</v>
      </c>
      <c r="D82" s="4" t="s">
        <v>23</v>
      </c>
      <c r="E82" s="4" t="b">
        <v>1</v>
      </c>
      <c r="F82" s="4" t="s">
        <v>27</v>
      </c>
      <c r="G82" s="4">
        <v>8</v>
      </c>
      <c r="H82" s="5">
        <v>46088</v>
      </c>
    </row>
    <row r="83" spans="1:8">
      <c r="A83" s="4">
        <v>1205</v>
      </c>
      <c r="B83" s="4" t="s">
        <v>167</v>
      </c>
      <c r="C83" s="4" t="s">
        <v>66</v>
      </c>
      <c r="D83" s="4" t="s">
        <v>23</v>
      </c>
      <c r="E83" s="4" t="b">
        <v>0</v>
      </c>
      <c r="F83" s="4" t="s">
        <v>27</v>
      </c>
      <c r="G83" s="4">
        <v>14</v>
      </c>
      <c r="H83" s="5">
        <v>46088</v>
      </c>
    </row>
    <row r="84" spans="1:8">
      <c r="A84" s="4">
        <v>1406</v>
      </c>
      <c r="B84" s="4" t="s">
        <v>169</v>
      </c>
      <c r="C84" s="4" t="s">
        <v>170</v>
      </c>
      <c r="D84" s="4" t="s">
        <v>23</v>
      </c>
      <c r="E84" s="4" t="b">
        <v>0</v>
      </c>
      <c r="F84" s="4" t="s">
        <v>27</v>
      </c>
      <c r="G84" s="4">
        <v>9</v>
      </c>
      <c r="H84" s="5">
        <v>46088</v>
      </c>
    </row>
    <row r="85" spans="1:8">
      <c r="A85" s="4">
        <v>1182</v>
      </c>
      <c r="B85" s="4" t="s">
        <v>171</v>
      </c>
      <c r="C85" s="4" t="s">
        <v>136</v>
      </c>
      <c r="D85" s="4" t="s">
        <v>23</v>
      </c>
      <c r="E85" s="4" t="b">
        <v>0</v>
      </c>
      <c r="F85" s="4" t="s">
        <v>27</v>
      </c>
      <c r="G85" s="4">
        <v>8</v>
      </c>
      <c r="H85" s="5">
        <v>46088</v>
      </c>
    </row>
    <row r="86" spans="1:8">
      <c r="A86" s="4">
        <v>1340</v>
      </c>
      <c r="B86" s="4" t="s">
        <v>172</v>
      </c>
      <c r="C86" s="4" t="s">
        <v>173</v>
      </c>
      <c r="D86" s="4" t="s">
        <v>23</v>
      </c>
      <c r="E86" s="4" t="b">
        <v>0</v>
      </c>
      <c r="F86" s="4" t="s">
        <v>27</v>
      </c>
      <c r="G86" s="4">
        <v>8</v>
      </c>
      <c r="H86" s="5">
        <v>46088</v>
      </c>
    </row>
    <row r="87" spans="1:8">
      <c r="A87" s="4">
        <v>21</v>
      </c>
      <c r="B87" s="4" t="s">
        <v>174</v>
      </c>
      <c r="C87" s="4" t="s">
        <v>175</v>
      </c>
      <c r="D87" s="4" t="s">
        <v>23</v>
      </c>
      <c r="E87" s="4" t="b">
        <v>0</v>
      </c>
      <c r="F87" s="4" t="s">
        <v>25</v>
      </c>
      <c r="H87" s="5">
        <v>46088</v>
      </c>
    </row>
    <row r="88" spans="1:8">
      <c r="A88" s="4">
        <v>1049</v>
      </c>
      <c r="B88" s="4" t="s">
        <v>176</v>
      </c>
      <c r="C88" s="4" t="s">
        <v>177</v>
      </c>
      <c r="D88" s="4" t="s">
        <v>23</v>
      </c>
      <c r="E88" s="4" t="b">
        <v>0</v>
      </c>
      <c r="F88" s="4" t="s">
        <v>27</v>
      </c>
      <c r="G88" s="4">
        <v>19</v>
      </c>
      <c r="H88" s="5">
        <v>46088</v>
      </c>
    </row>
    <row r="89" spans="1:8">
      <c r="A89" s="4">
        <v>120</v>
      </c>
      <c r="B89" s="4" t="s">
        <v>178</v>
      </c>
      <c r="C89" s="4" t="s">
        <v>179</v>
      </c>
      <c r="D89" s="4" t="s">
        <v>23</v>
      </c>
      <c r="E89" s="4" t="b">
        <v>1</v>
      </c>
      <c r="F89" s="4" t="s">
        <v>27</v>
      </c>
      <c r="G89" s="4">
        <v>12</v>
      </c>
      <c r="H89" s="5">
        <v>46088</v>
      </c>
    </row>
    <row r="90" spans="1:8">
      <c r="A90" s="4">
        <v>1395</v>
      </c>
      <c r="B90" s="4" t="s">
        <v>181</v>
      </c>
      <c r="C90" s="4" t="s">
        <v>182</v>
      </c>
      <c r="D90" s="4" t="s">
        <v>23</v>
      </c>
      <c r="E90" s="4" t="b">
        <v>1</v>
      </c>
      <c r="F90" s="4" t="s">
        <v>35</v>
      </c>
      <c r="H90" s="5">
        <v>46088</v>
      </c>
    </row>
    <row r="91" spans="1:8">
      <c r="A91" s="4">
        <v>1158</v>
      </c>
      <c r="B91" s="4" t="s">
        <v>183</v>
      </c>
      <c r="C91" s="4" t="s">
        <v>184</v>
      </c>
      <c r="D91" s="4" t="s">
        <v>23</v>
      </c>
      <c r="E91" s="4" t="b">
        <v>1</v>
      </c>
      <c r="F91" s="4" t="s">
        <v>25</v>
      </c>
      <c r="H91" s="5">
        <v>46088</v>
      </c>
    </row>
    <row r="92" spans="1:8">
      <c r="A92" s="4">
        <v>23</v>
      </c>
      <c r="B92" s="4" t="s">
        <v>185</v>
      </c>
      <c r="C92" s="4" t="s">
        <v>100</v>
      </c>
      <c r="D92" s="4" t="s">
        <v>23</v>
      </c>
      <c r="E92" s="4" t="b">
        <v>0</v>
      </c>
      <c r="F92" s="4" t="s">
        <v>27</v>
      </c>
      <c r="G92" s="4">
        <v>10</v>
      </c>
      <c r="H92" s="5">
        <v>46088</v>
      </c>
    </row>
    <row r="93" spans="1:8">
      <c r="A93" s="4">
        <v>1152</v>
      </c>
      <c r="B93" s="4" t="s">
        <v>186</v>
      </c>
      <c r="C93" s="4" t="s">
        <v>187</v>
      </c>
      <c r="D93" s="4" t="s">
        <v>23</v>
      </c>
      <c r="E93" s="4" t="b">
        <v>1</v>
      </c>
      <c r="F93" s="4" t="s">
        <v>188</v>
      </c>
      <c r="H93" s="5">
        <v>46088</v>
      </c>
    </row>
    <row r="94" spans="1:8">
      <c r="A94" s="4">
        <v>581</v>
      </c>
      <c r="B94" s="4" t="s">
        <v>189</v>
      </c>
      <c r="C94" s="4" t="s">
        <v>190</v>
      </c>
      <c r="D94" s="4" t="s">
        <v>23</v>
      </c>
      <c r="E94" s="4" t="b">
        <v>0</v>
      </c>
      <c r="F94" s="4" t="s">
        <v>27</v>
      </c>
      <c r="G94" s="4">
        <v>13</v>
      </c>
      <c r="H94" s="5">
        <v>46088</v>
      </c>
    </row>
    <row r="95" spans="1:8">
      <c r="A95" s="4">
        <v>1374</v>
      </c>
      <c r="B95" s="4" t="s">
        <v>191</v>
      </c>
      <c r="C95" s="4" t="s">
        <v>192</v>
      </c>
      <c r="D95" s="4" t="s">
        <v>23</v>
      </c>
      <c r="E95" s="4" t="b">
        <v>0</v>
      </c>
      <c r="F95" s="4" t="s">
        <v>25</v>
      </c>
      <c r="H95" s="5">
        <v>46088</v>
      </c>
    </row>
    <row r="96" spans="1:8">
      <c r="A96" s="4">
        <v>25</v>
      </c>
      <c r="B96" s="4" t="s">
        <v>22</v>
      </c>
      <c r="C96" s="4" t="s">
        <v>193</v>
      </c>
      <c r="D96" s="4" t="s">
        <v>23</v>
      </c>
      <c r="E96" s="4" t="b">
        <v>0</v>
      </c>
      <c r="F96" s="4" t="s">
        <v>27</v>
      </c>
      <c r="G96" s="4">
        <v>8</v>
      </c>
      <c r="H96" s="5">
        <v>46088</v>
      </c>
    </row>
    <row r="97" spans="1:8">
      <c r="A97" s="4">
        <v>415</v>
      </c>
      <c r="B97" s="4" t="s">
        <v>195</v>
      </c>
      <c r="C97" s="4" t="s">
        <v>196</v>
      </c>
      <c r="D97" s="4" t="s">
        <v>23</v>
      </c>
      <c r="E97" s="4" t="b">
        <v>0</v>
      </c>
      <c r="F97" s="4" t="s">
        <v>27</v>
      </c>
      <c r="G97" s="4">
        <v>6</v>
      </c>
      <c r="H97" s="5">
        <v>46088</v>
      </c>
    </row>
    <row r="98" spans="1:8">
      <c r="A98" s="4">
        <v>1144</v>
      </c>
      <c r="B98" s="4" t="s">
        <v>195</v>
      </c>
      <c r="C98" s="4" t="s">
        <v>197</v>
      </c>
      <c r="D98" s="4" t="s">
        <v>54</v>
      </c>
      <c r="E98" s="4" t="b">
        <v>0</v>
      </c>
      <c r="F98" s="4" t="s">
        <v>188</v>
      </c>
      <c r="H98" s="5">
        <v>46088</v>
      </c>
    </row>
    <row r="99" spans="1:8">
      <c r="A99" s="4">
        <v>203</v>
      </c>
      <c r="B99" s="4" t="s">
        <v>200</v>
      </c>
      <c r="C99" s="4" t="s">
        <v>201</v>
      </c>
      <c r="D99" s="4" t="s">
        <v>23</v>
      </c>
      <c r="E99" s="4" t="b">
        <v>0</v>
      </c>
      <c r="F99" s="4" t="s">
        <v>27</v>
      </c>
      <c r="G99" s="4">
        <v>9</v>
      </c>
      <c r="H99" s="5">
        <v>46088</v>
      </c>
    </row>
    <row r="100" spans="1:8">
      <c r="A100" s="4">
        <v>956</v>
      </c>
      <c r="B100" s="4" t="s">
        <v>202</v>
      </c>
      <c r="C100" s="4" t="s">
        <v>94</v>
      </c>
      <c r="D100" s="4" t="s">
        <v>23</v>
      </c>
      <c r="E100" s="4" t="b">
        <v>0</v>
      </c>
      <c r="F100" s="4" t="s">
        <v>27</v>
      </c>
      <c r="G100" s="4">
        <v>13</v>
      </c>
      <c r="H100" s="5">
        <v>46088</v>
      </c>
    </row>
    <row r="101" spans="1:8">
      <c r="A101" s="4">
        <v>1273</v>
      </c>
      <c r="B101" s="4" t="s">
        <v>203</v>
      </c>
      <c r="C101" s="4" t="s">
        <v>204</v>
      </c>
      <c r="D101" s="4" t="s">
        <v>23</v>
      </c>
      <c r="E101" s="4" t="b">
        <v>1</v>
      </c>
      <c r="F101" s="4" t="s">
        <v>27</v>
      </c>
      <c r="G101" s="4">
        <v>22</v>
      </c>
      <c r="H101" s="5">
        <v>46088</v>
      </c>
    </row>
    <row r="102" spans="1:8">
      <c r="A102" s="4">
        <v>1272</v>
      </c>
      <c r="B102" s="4" t="s">
        <v>203</v>
      </c>
      <c r="C102" s="4" t="s">
        <v>205</v>
      </c>
      <c r="D102" s="4" t="s">
        <v>23</v>
      </c>
      <c r="E102" s="4" t="b">
        <v>0</v>
      </c>
      <c r="F102" s="4" t="s">
        <v>27</v>
      </c>
      <c r="G102" s="4">
        <v>24</v>
      </c>
      <c r="H102" s="5">
        <v>46088</v>
      </c>
    </row>
    <row r="103" spans="1:8">
      <c r="A103" s="4">
        <v>846</v>
      </c>
      <c r="B103" s="4" t="s">
        <v>206</v>
      </c>
      <c r="C103" s="4" t="s">
        <v>207</v>
      </c>
      <c r="D103" s="4" t="s">
        <v>23</v>
      </c>
      <c r="E103" s="4" t="b">
        <v>0</v>
      </c>
      <c r="F103" s="4" t="s">
        <v>27</v>
      </c>
      <c r="G103" s="4">
        <v>17</v>
      </c>
      <c r="H103" s="5">
        <v>46088</v>
      </c>
    </row>
    <row r="104" spans="1:8">
      <c r="A104" s="4">
        <v>1162</v>
      </c>
      <c r="B104" s="4" t="s">
        <v>208</v>
      </c>
      <c r="C104" s="4" t="s">
        <v>150</v>
      </c>
      <c r="D104" s="4" t="s">
        <v>23</v>
      </c>
      <c r="E104" s="4" t="b">
        <v>0</v>
      </c>
      <c r="F104" s="4" t="s">
        <v>25</v>
      </c>
      <c r="H104" s="5">
        <v>46088</v>
      </c>
    </row>
    <row r="105" spans="1:8">
      <c r="A105" s="4">
        <v>1244</v>
      </c>
      <c r="B105" s="4" t="s">
        <v>209</v>
      </c>
      <c r="C105" s="4" t="s">
        <v>94</v>
      </c>
      <c r="D105" s="4" t="s">
        <v>23</v>
      </c>
      <c r="E105" s="4" t="b">
        <v>0</v>
      </c>
      <c r="F105" s="4" t="s">
        <v>27</v>
      </c>
      <c r="G105" s="4">
        <v>2</v>
      </c>
      <c r="H105" s="5">
        <v>46088</v>
      </c>
    </row>
    <row r="106" spans="1:8">
      <c r="A106" s="4">
        <v>1379</v>
      </c>
      <c r="B106" s="4" t="s">
        <v>209</v>
      </c>
      <c r="C106" s="4" t="s">
        <v>210</v>
      </c>
      <c r="D106" s="4" t="s">
        <v>23</v>
      </c>
      <c r="E106" s="4" t="b">
        <v>1</v>
      </c>
      <c r="F106" s="4" t="s">
        <v>25</v>
      </c>
      <c r="H106" s="5">
        <v>46088</v>
      </c>
    </row>
    <row r="107" spans="1:8">
      <c r="A107" s="4">
        <v>1362</v>
      </c>
      <c r="B107" s="4" t="s">
        <v>211</v>
      </c>
      <c r="C107" s="4" t="s">
        <v>212</v>
      </c>
      <c r="D107" s="4" t="s">
        <v>23</v>
      </c>
      <c r="E107" s="4" t="b">
        <v>1</v>
      </c>
      <c r="F107" s="4" t="s">
        <v>27</v>
      </c>
      <c r="G107" s="4">
        <v>22</v>
      </c>
      <c r="H107" s="5">
        <v>46088</v>
      </c>
    </row>
    <row r="108" spans="1:8">
      <c r="A108" s="4">
        <v>1403</v>
      </c>
      <c r="B108" s="4" t="s">
        <v>213</v>
      </c>
      <c r="C108" s="4" t="s">
        <v>214</v>
      </c>
      <c r="D108" s="4" t="s">
        <v>23</v>
      </c>
      <c r="E108" s="4" t="b">
        <v>0</v>
      </c>
      <c r="F108" s="4" t="s">
        <v>27</v>
      </c>
      <c r="G108" s="4">
        <v>8</v>
      </c>
      <c r="H108" s="5">
        <v>46088</v>
      </c>
    </row>
    <row r="109" spans="1:8">
      <c r="A109" s="4">
        <v>1404</v>
      </c>
      <c r="B109" s="4" t="s">
        <v>213</v>
      </c>
      <c r="C109" s="4" t="s">
        <v>215</v>
      </c>
      <c r="D109" s="4" t="s">
        <v>23</v>
      </c>
      <c r="E109" s="4" t="b">
        <v>1</v>
      </c>
      <c r="F109" s="4" t="s">
        <v>25</v>
      </c>
      <c r="H109" s="5">
        <v>46088</v>
      </c>
    </row>
    <row r="110" spans="1:8">
      <c r="A110" s="4">
        <v>1229</v>
      </c>
      <c r="B110" s="4" t="s">
        <v>216</v>
      </c>
      <c r="C110" s="4" t="s">
        <v>217</v>
      </c>
      <c r="D110" s="4" t="s">
        <v>23</v>
      </c>
      <c r="E110" s="4" t="b">
        <v>1</v>
      </c>
      <c r="F110" s="4" t="s">
        <v>25</v>
      </c>
      <c r="H110" s="5">
        <v>46088</v>
      </c>
    </row>
    <row r="111" spans="1:8">
      <c r="A111" s="4">
        <v>1408</v>
      </c>
      <c r="B111" s="4" t="s">
        <v>218</v>
      </c>
      <c r="C111" s="4" t="s">
        <v>219</v>
      </c>
      <c r="D111" s="4" t="s">
        <v>23</v>
      </c>
      <c r="E111" s="4" t="b">
        <v>0</v>
      </c>
      <c r="F111" s="4" t="s">
        <v>27</v>
      </c>
      <c r="G111" s="4">
        <v>20</v>
      </c>
      <c r="H111" s="5">
        <v>46088</v>
      </c>
    </row>
    <row r="112" spans="1:8">
      <c r="A112" s="4">
        <v>1409</v>
      </c>
      <c r="B112" s="4" t="s">
        <v>218</v>
      </c>
      <c r="C112" s="4" t="s">
        <v>220</v>
      </c>
      <c r="D112" s="4" t="s">
        <v>23</v>
      </c>
      <c r="E112" s="4" t="b">
        <v>1</v>
      </c>
      <c r="F112" s="4" t="s">
        <v>27</v>
      </c>
      <c r="G112" s="4">
        <v>15</v>
      </c>
      <c r="H112" s="5">
        <v>46088</v>
      </c>
    </row>
    <row r="113" spans="1:8">
      <c r="A113" s="4">
        <v>1198</v>
      </c>
      <c r="B113" s="4" t="s">
        <v>221</v>
      </c>
      <c r="C113" s="4" t="s">
        <v>222</v>
      </c>
      <c r="D113" s="4" t="s">
        <v>23</v>
      </c>
      <c r="E113" s="4" t="b">
        <v>0</v>
      </c>
      <c r="F113" s="4" t="s">
        <v>27</v>
      </c>
      <c r="G113" s="4">
        <v>5</v>
      </c>
      <c r="H113" s="5">
        <v>46088</v>
      </c>
    </row>
    <row r="114" spans="1:8">
      <c r="A114" s="4">
        <v>1361</v>
      </c>
      <c r="B114" s="4" t="s">
        <v>224</v>
      </c>
      <c r="C114" s="4" t="s">
        <v>225</v>
      </c>
      <c r="D114" s="4" t="s">
        <v>23</v>
      </c>
      <c r="E114" s="4" t="b">
        <v>0</v>
      </c>
      <c r="F114" s="4" t="s">
        <v>27</v>
      </c>
      <c r="G114" s="4">
        <v>16</v>
      </c>
      <c r="H114" s="5">
        <v>46088</v>
      </c>
    </row>
    <row r="115" spans="1:8">
      <c r="A115" s="4">
        <v>1100</v>
      </c>
      <c r="B115" s="4" t="s">
        <v>226</v>
      </c>
      <c r="C115" s="4" t="s">
        <v>34</v>
      </c>
      <c r="D115" s="4" t="s">
        <v>23</v>
      </c>
      <c r="E115" s="4" t="b">
        <v>0</v>
      </c>
      <c r="F115" s="4" t="s">
        <v>27</v>
      </c>
      <c r="G115" s="4">
        <v>13</v>
      </c>
      <c r="H115" s="5">
        <v>46088</v>
      </c>
    </row>
    <row r="116" spans="1:8">
      <c r="A116" s="4">
        <v>1385</v>
      </c>
      <c r="B116" s="4" t="s">
        <v>227</v>
      </c>
      <c r="C116" s="4" t="s">
        <v>228</v>
      </c>
      <c r="D116" s="4" t="s">
        <v>23</v>
      </c>
      <c r="E116" s="4" t="b">
        <v>0</v>
      </c>
      <c r="F116" s="4" t="s">
        <v>25</v>
      </c>
      <c r="H116" s="5">
        <v>46088</v>
      </c>
    </row>
    <row r="117" spans="1:8">
      <c r="A117" s="4">
        <v>1394</v>
      </c>
      <c r="B117" s="4" t="s">
        <v>227</v>
      </c>
      <c r="C117" s="4" t="s">
        <v>229</v>
      </c>
      <c r="D117" s="4" t="s">
        <v>23</v>
      </c>
      <c r="E117" s="4" t="b">
        <v>0</v>
      </c>
      <c r="F117" s="4" t="s">
        <v>35</v>
      </c>
      <c r="H117" s="5">
        <v>46088</v>
      </c>
    </row>
    <row r="118" spans="1:8">
      <c r="A118" s="4">
        <v>967</v>
      </c>
      <c r="B118" s="4" t="s">
        <v>232</v>
      </c>
      <c r="C118" s="4" t="s">
        <v>152</v>
      </c>
      <c r="D118" s="4" t="s">
        <v>23</v>
      </c>
      <c r="E118" s="4" t="b">
        <v>0</v>
      </c>
      <c r="F118" s="4" t="s">
        <v>27</v>
      </c>
      <c r="G118" s="4">
        <v>5</v>
      </c>
      <c r="H118" s="5">
        <v>46088</v>
      </c>
    </row>
    <row r="119" spans="1:8">
      <c r="A119" s="4">
        <v>1045</v>
      </c>
      <c r="B119" s="4" t="s">
        <v>235</v>
      </c>
      <c r="C119" s="4" t="s">
        <v>236</v>
      </c>
      <c r="D119" s="4" t="s">
        <v>23</v>
      </c>
      <c r="E119" s="4" t="b">
        <v>1</v>
      </c>
      <c r="F119" s="4" t="s">
        <v>27</v>
      </c>
      <c r="G119" s="4">
        <v>5</v>
      </c>
      <c r="H119" s="5">
        <v>46088</v>
      </c>
    </row>
    <row r="120" spans="1:8">
      <c r="A120" s="4">
        <v>1046</v>
      </c>
      <c r="B120" s="4" t="s">
        <v>235</v>
      </c>
      <c r="C120" s="4" t="s">
        <v>237</v>
      </c>
      <c r="D120" s="4" t="s">
        <v>23</v>
      </c>
      <c r="E120" s="4" t="b">
        <v>0</v>
      </c>
      <c r="F120" s="4" t="s">
        <v>27</v>
      </c>
      <c r="G120" s="4">
        <v>35</v>
      </c>
      <c r="H120" s="5">
        <v>46088</v>
      </c>
    </row>
    <row r="121" spans="1:8">
      <c r="A121" s="4">
        <v>1396</v>
      </c>
      <c r="B121" s="4" t="s">
        <v>238</v>
      </c>
      <c r="C121" s="4" t="s">
        <v>59</v>
      </c>
      <c r="D121" s="4" t="s">
        <v>23</v>
      </c>
      <c r="E121" s="4" t="b">
        <v>0</v>
      </c>
      <c r="F121" s="4" t="s">
        <v>25</v>
      </c>
      <c r="H121" s="5">
        <v>46088</v>
      </c>
    </row>
    <row r="122" spans="1:8">
      <c r="A122" s="4">
        <v>1397</v>
      </c>
      <c r="B122" s="4" t="s">
        <v>238</v>
      </c>
      <c r="C122" s="4" t="s">
        <v>239</v>
      </c>
      <c r="D122" s="4" t="s">
        <v>23</v>
      </c>
      <c r="E122" s="4" t="b">
        <v>1</v>
      </c>
      <c r="F122" s="4" t="s">
        <v>25</v>
      </c>
      <c r="H122" s="5">
        <v>46088</v>
      </c>
    </row>
    <row r="123" spans="1:8">
      <c r="A123" s="4">
        <v>1398</v>
      </c>
      <c r="B123" s="4" t="s">
        <v>238</v>
      </c>
      <c r="C123" s="4" t="s">
        <v>49</v>
      </c>
      <c r="D123" s="4" t="s">
        <v>23</v>
      </c>
      <c r="E123" s="4" t="b">
        <v>0</v>
      </c>
      <c r="F123" s="4" t="s">
        <v>35</v>
      </c>
      <c r="H123" s="5">
        <v>46088</v>
      </c>
    </row>
    <row r="124" spans="1:8">
      <c r="A124" s="4">
        <v>1399</v>
      </c>
      <c r="B124" s="4" t="s">
        <v>238</v>
      </c>
      <c r="C124" s="4" t="s">
        <v>131</v>
      </c>
      <c r="D124" s="4" t="s">
        <v>23</v>
      </c>
      <c r="E124" s="4" t="b">
        <v>1</v>
      </c>
      <c r="F124" s="4" t="s">
        <v>35</v>
      </c>
      <c r="H124" s="5">
        <v>46088</v>
      </c>
    </row>
    <row r="125" spans="1:8">
      <c r="A125" s="4">
        <v>771</v>
      </c>
      <c r="B125" s="4" t="s">
        <v>240</v>
      </c>
      <c r="C125" s="4" t="s">
        <v>241</v>
      </c>
      <c r="D125" s="4" t="s">
        <v>23</v>
      </c>
      <c r="E125" s="4" t="b">
        <v>0</v>
      </c>
      <c r="F125" s="4" t="s">
        <v>27</v>
      </c>
      <c r="G125" s="4">
        <v>14</v>
      </c>
      <c r="H125" s="5">
        <v>46088</v>
      </c>
    </row>
    <row r="126" spans="1:8">
      <c r="A126" s="4">
        <v>1265</v>
      </c>
      <c r="B126" s="4" t="s">
        <v>242</v>
      </c>
      <c r="C126" s="4" t="s">
        <v>243</v>
      </c>
      <c r="D126" s="4" t="s">
        <v>23</v>
      </c>
      <c r="E126" s="4" t="b">
        <v>0</v>
      </c>
      <c r="F126" s="4" t="s">
        <v>27</v>
      </c>
      <c r="G126" s="4">
        <v>20</v>
      </c>
      <c r="H126" s="5">
        <v>46088</v>
      </c>
    </row>
    <row r="127" spans="1:8">
      <c r="A127" s="4">
        <v>532</v>
      </c>
      <c r="B127" s="4" t="s">
        <v>244</v>
      </c>
      <c r="C127" s="4" t="s">
        <v>243</v>
      </c>
      <c r="D127" s="4" t="s">
        <v>23</v>
      </c>
      <c r="E127" s="4" t="b">
        <v>0</v>
      </c>
      <c r="F127" s="4" t="s">
        <v>27</v>
      </c>
      <c r="G127" s="4">
        <v>13</v>
      </c>
      <c r="H127" s="5">
        <v>46088</v>
      </c>
    </row>
    <row r="128" spans="1:8">
      <c r="A128" s="4">
        <v>742</v>
      </c>
      <c r="B128" s="4" t="s">
        <v>246</v>
      </c>
      <c r="C128" s="4" t="s">
        <v>156</v>
      </c>
      <c r="D128" s="4" t="s">
        <v>23</v>
      </c>
      <c r="E128" s="4" t="b">
        <v>1</v>
      </c>
      <c r="F128" s="4" t="s">
        <v>27</v>
      </c>
      <c r="G128" s="4">
        <v>2</v>
      </c>
      <c r="H128" s="5">
        <v>46088</v>
      </c>
    </row>
    <row r="129" spans="1:8">
      <c r="A129" s="4">
        <v>741</v>
      </c>
      <c r="B129" s="4" t="s">
        <v>246</v>
      </c>
      <c r="C129" s="4" t="s">
        <v>247</v>
      </c>
      <c r="D129" s="4" t="s">
        <v>23</v>
      </c>
      <c r="E129" s="4" t="b">
        <v>0</v>
      </c>
      <c r="F129" s="4" t="s">
        <v>27</v>
      </c>
      <c r="G129" s="4">
        <v>4</v>
      </c>
      <c r="H129" s="5">
        <v>46088</v>
      </c>
    </row>
    <row r="130" spans="1:8">
      <c r="A130" s="4">
        <v>1298</v>
      </c>
      <c r="B130" s="4" t="s">
        <v>246</v>
      </c>
      <c r="C130" s="4" t="s">
        <v>132</v>
      </c>
      <c r="D130" s="4" t="s">
        <v>23</v>
      </c>
      <c r="E130" s="4" t="b">
        <v>1</v>
      </c>
      <c r="F130" s="4" t="s">
        <v>27</v>
      </c>
      <c r="G130" s="4">
        <v>13</v>
      </c>
      <c r="H130" s="5">
        <v>46088</v>
      </c>
    </row>
    <row r="131" spans="1:8">
      <c r="A131" s="4">
        <v>747</v>
      </c>
      <c r="B131" s="4" t="s">
        <v>246</v>
      </c>
      <c r="C131" s="4" t="s">
        <v>22</v>
      </c>
      <c r="D131" s="4" t="s">
        <v>23</v>
      </c>
      <c r="E131" s="4" t="b">
        <v>0</v>
      </c>
      <c r="F131" s="4" t="s">
        <v>27</v>
      </c>
      <c r="G131" s="4">
        <v>1</v>
      </c>
      <c r="H131" s="5">
        <v>46088</v>
      </c>
    </row>
    <row r="132" spans="1:8">
      <c r="A132" s="4">
        <v>1386</v>
      </c>
      <c r="B132" s="4" t="s">
        <v>246</v>
      </c>
      <c r="C132" s="4" t="s">
        <v>248</v>
      </c>
      <c r="D132" s="4" t="s">
        <v>23</v>
      </c>
      <c r="E132" s="4" t="b">
        <v>1</v>
      </c>
      <c r="F132" s="4" t="s">
        <v>35</v>
      </c>
      <c r="H132" s="5">
        <v>46088</v>
      </c>
    </row>
    <row r="133" spans="1:8">
      <c r="A133" s="4">
        <v>564</v>
      </c>
      <c r="B133" s="4" t="s">
        <v>250</v>
      </c>
      <c r="C133" s="4" t="s">
        <v>34</v>
      </c>
      <c r="D133" s="4" t="s">
        <v>23</v>
      </c>
      <c r="E133" s="4" t="b">
        <v>0</v>
      </c>
      <c r="F133" s="4" t="s">
        <v>27</v>
      </c>
      <c r="G133" s="4">
        <v>7</v>
      </c>
      <c r="H133" s="5">
        <v>46088</v>
      </c>
    </row>
    <row r="134" spans="1:8">
      <c r="A134" s="4">
        <v>1165</v>
      </c>
      <c r="B134" s="4" t="s">
        <v>251</v>
      </c>
      <c r="C134" s="4" t="s">
        <v>177</v>
      </c>
      <c r="D134" s="4" t="s">
        <v>23</v>
      </c>
      <c r="E134" s="4" t="b">
        <v>0</v>
      </c>
      <c r="F134" s="4" t="s">
        <v>27</v>
      </c>
      <c r="G134" s="4">
        <v>10</v>
      </c>
      <c r="H134" s="5">
        <v>46088</v>
      </c>
    </row>
    <row r="135" spans="1:8">
      <c r="A135" s="4">
        <v>405</v>
      </c>
      <c r="B135" s="4" t="s">
        <v>252</v>
      </c>
      <c r="C135" s="4" t="s">
        <v>243</v>
      </c>
      <c r="D135" s="4" t="s">
        <v>23</v>
      </c>
      <c r="E135" s="4" t="b">
        <v>0</v>
      </c>
      <c r="F135" s="4" t="s">
        <v>27</v>
      </c>
      <c r="G135" s="4">
        <v>18</v>
      </c>
      <c r="H135" s="5">
        <v>46088</v>
      </c>
    </row>
    <row r="136" spans="1:8">
      <c r="A136" s="4">
        <v>1346</v>
      </c>
      <c r="B136" s="4" t="s">
        <v>253</v>
      </c>
      <c r="C136" s="4" t="s">
        <v>254</v>
      </c>
      <c r="D136" s="4" t="s">
        <v>23</v>
      </c>
      <c r="E136" s="4" t="b">
        <v>0</v>
      </c>
      <c r="F136" s="4" t="s">
        <v>27</v>
      </c>
      <c r="G136" s="4">
        <v>20</v>
      </c>
      <c r="H136" s="5">
        <v>46088</v>
      </c>
    </row>
    <row r="137" spans="1:8">
      <c r="A137" s="4">
        <v>1192</v>
      </c>
      <c r="B137" s="4" t="s">
        <v>255</v>
      </c>
      <c r="C137" s="4" t="s">
        <v>256</v>
      </c>
      <c r="D137" s="4" t="s">
        <v>23</v>
      </c>
      <c r="E137" s="4" t="b">
        <v>0</v>
      </c>
      <c r="F137" s="4" t="s">
        <v>27</v>
      </c>
      <c r="G137" s="4">
        <v>10</v>
      </c>
      <c r="H137" s="5">
        <v>46088</v>
      </c>
    </row>
    <row r="138" spans="1:8">
      <c r="A138" s="4">
        <v>1157</v>
      </c>
      <c r="B138" s="4" t="s">
        <v>257</v>
      </c>
      <c r="C138" s="4" t="s">
        <v>100</v>
      </c>
      <c r="D138" s="4" t="s">
        <v>23</v>
      </c>
      <c r="E138" s="4" t="b">
        <v>0</v>
      </c>
      <c r="F138" s="4" t="s">
        <v>25</v>
      </c>
      <c r="H138" s="5">
        <v>46088</v>
      </c>
    </row>
    <row r="139" spans="1:8">
      <c r="A139" s="4">
        <v>1359</v>
      </c>
      <c r="B139" s="4" t="s">
        <v>258</v>
      </c>
      <c r="C139" s="4" t="s">
        <v>49</v>
      </c>
      <c r="D139" s="4" t="s">
        <v>23</v>
      </c>
      <c r="E139" s="4" t="b">
        <v>0</v>
      </c>
      <c r="F139" s="4" t="s">
        <v>188</v>
      </c>
      <c r="H139" s="5">
        <v>46088</v>
      </c>
    </row>
    <row r="140" spans="1:8">
      <c r="A140" s="4">
        <v>1360</v>
      </c>
      <c r="B140" s="4" t="s">
        <v>258</v>
      </c>
      <c r="C140" s="4" t="s">
        <v>259</v>
      </c>
      <c r="D140" s="4" t="s">
        <v>23</v>
      </c>
      <c r="E140" s="4" t="b">
        <v>1</v>
      </c>
      <c r="F140" s="4" t="s">
        <v>35</v>
      </c>
      <c r="H140" s="5">
        <v>46088</v>
      </c>
    </row>
    <row r="141" spans="1:8">
      <c r="A141" s="4">
        <v>1357</v>
      </c>
      <c r="B141" s="4" t="s">
        <v>258</v>
      </c>
      <c r="C141" s="4" t="s">
        <v>34</v>
      </c>
      <c r="D141" s="4" t="s">
        <v>23</v>
      </c>
      <c r="E141" s="4" t="b">
        <v>0</v>
      </c>
      <c r="F141" s="4" t="s">
        <v>27</v>
      </c>
      <c r="G141" s="4">
        <v>5</v>
      </c>
      <c r="H141" s="5">
        <v>46088</v>
      </c>
    </row>
    <row r="142" spans="1:8">
      <c r="A142" s="4">
        <v>1358</v>
      </c>
      <c r="B142" s="4" t="s">
        <v>258</v>
      </c>
      <c r="C142" s="4" t="s">
        <v>260</v>
      </c>
      <c r="D142" s="4" t="s">
        <v>23</v>
      </c>
      <c r="E142" s="4" t="b">
        <v>1</v>
      </c>
      <c r="F142" s="4" t="s">
        <v>27</v>
      </c>
      <c r="G142" s="4">
        <v>7</v>
      </c>
      <c r="H142" s="5">
        <v>46088</v>
      </c>
    </row>
    <row r="143" spans="1:8">
      <c r="A143" s="4">
        <v>1390</v>
      </c>
      <c r="B143" s="4" t="s">
        <v>261</v>
      </c>
      <c r="C143" s="4" t="s">
        <v>262</v>
      </c>
      <c r="D143" s="4" t="s">
        <v>23</v>
      </c>
      <c r="E143" s="4" t="b">
        <v>0</v>
      </c>
      <c r="F143" s="4" t="s">
        <v>25</v>
      </c>
      <c r="H143" s="5">
        <v>46088</v>
      </c>
    </row>
    <row r="144" spans="1:8">
      <c r="A144" s="4">
        <v>1107</v>
      </c>
      <c r="B144" s="4" t="s">
        <v>263</v>
      </c>
      <c r="C144" s="4" t="s">
        <v>264</v>
      </c>
      <c r="D144" s="4" t="s">
        <v>23</v>
      </c>
      <c r="E144" s="4" t="b">
        <v>1</v>
      </c>
      <c r="F144" s="4" t="s">
        <v>25</v>
      </c>
      <c r="H144" s="5">
        <v>46088</v>
      </c>
    </row>
    <row r="145" spans="1:8">
      <c r="A145" s="4">
        <v>35</v>
      </c>
      <c r="B145" s="4" t="s">
        <v>265</v>
      </c>
      <c r="C145" s="4" t="s">
        <v>266</v>
      </c>
      <c r="D145" s="4" t="s">
        <v>23</v>
      </c>
      <c r="E145" s="4" t="b">
        <v>0</v>
      </c>
      <c r="F145" s="4" t="s">
        <v>27</v>
      </c>
      <c r="G145" s="4">
        <v>3</v>
      </c>
      <c r="H145" s="5">
        <v>46088</v>
      </c>
    </row>
    <row r="146" spans="1:8">
      <c r="A146" s="4">
        <v>1094</v>
      </c>
      <c r="B146" s="4" t="s">
        <v>267</v>
      </c>
      <c r="C146" s="4" t="s">
        <v>268</v>
      </c>
      <c r="D146" s="4" t="s">
        <v>23</v>
      </c>
      <c r="E146" s="4" t="b">
        <v>0</v>
      </c>
      <c r="F146" s="4" t="s">
        <v>27</v>
      </c>
      <c r="G146" s="4">
        <v>12</v>
      </c>
      <c r="H146" s="5">
        <v>46088</v>
      </c>
    </row>
    <row r="147" spans="1:8">
      <c r="A147" s="4">
        <v>1325</v>
      </c>
      <c r="B147" s="4" t="s">
        <v>269</v>
      </c>
      <c r="C147" s="4" t="s">
        <v>270</v>
      </c>
      <c r="D147" s="4" t="s">
        <v>23</v>
      </c>
      <c r="E147" s="4" t="b">
        <v>0</v>
      </c>
      <c r="F147" s="4" t="s">
        <v>27</v>
      </c>
      <c r="G147" s="4">
        <v>3</v>
      </c>
      <c r="H147" s="5">
        <v>46088</v>
      </c>
    </row>
    <row r="148" spans="1:8">
      <c r="A148" s="4">
        <v>1143</v>
      </c>
      <c r="B148" s="4" t="s">
        <v>271</v>
      </c>
      <c r="C148" s="4" t="s">
        <v>247</v>
      </c>
      <c r="D148" s="4" t="s">
        <v>23</v>
      </c>
      <c r="E148" s="4" t="b">
        <v>0</v>
      </c>
      <c r="F148" s="4" t="s">
        <v>27</v>
      </c>
      <c r="G148" s="4">
        <v>3</v>
      </c>
      <c r="H148" s="5">
        <v>46088</v>
      </c>
    </row>
    <row r="149" spans="1:8">
      <c r="A149" s="4">
        <v>1401</v>
      </c>
      <c r="B149" s="4" t="s">
        <v>272</v>
      </c>
      <c r="C149" s="4" t="s">
        <v>273</v>
      </c>
      <c r="D149" s="4" t="s">
        <v>23</v>
      </c>
      <c r="E149" s="4" t="b">
        <v>1</v>
      </c>
      <c r="F149" s="4" t="s">
        <v>25</v>
      </c>
      <c r="H149" s="5">
        <v>46088</v>
      </c>
    </row>
    <row r="150" spans="1:8">
      <c r="A150" s="4">
        <v>1285</v>
      </c>
      <c r="B150" s="4" t="s">
        <v>274</v>
      </c>
      <c r="C150" s="4" t="s">
        <v>100</v>
      </c>
      <c r="D150" s="4" t="s">
        <v>23</v>
      </c>
      <c r="E150" s="4" t="b">
        <v>0</v>
      </c>
      <c r="F150" s="4" t="s">
        <v>25</v>
      </c>
      <c r="H150" s="5">
        <v>46088</v>
      </c>
    </row>
    <row r="151" spans="1:8">
      <c r="A151" s="4">
        <v>38</v>
      </c>
      <c r="B151" s="4" t="s">
        <v>275</v>
      </c>
      <c r="C151" s="4" t="s">
        <v>276</v>
      </c>
      <c r="D151" s="4" t="s">
        <v>23</v>
      </c>
      <c r="E151" s="4" t="b">
        <v>0</v>
      </c>
      <c r="F151" s="4" t="s">
        <v>27</v>
      </c>
      <c r="G151" s="4">
        <v>13</v>
      </c>
      <c r="H151" s="5">
        <v>46088</v>
      </c>
    </row>
    <row r="152" spans="1:8">
      <c r="A152" s="4">
        <v>245</v>
      </c>
      <c r="B152" s="4" t="s">
        <v>277</v>
      </c>
      <c r="C152" s="4" t="s">
        <v>234</v>
      </c>
      <c r="D152" s="4" t="s">
        <v>23</v>
      </c>
      <c r="E152" s="4" t="b">
        <v>0</v>
      </c>
      <c r="F152" s="4" t="s">
        <v>27</v>
      </c>
      <c r="G152" s="4">
        <v>10</v>
      </c>
      <c r="H152" s="5">
        <v>46088</v>
      </c>
    </row>
    <row r="153" spans="1:8">
      <c r="A153" s="4">
        <v>39</v>
      </c>
      <c r="B153" s="4" t="s">
        <v>277</v>
      </c>
      <c r="C153" s="4" t="s">
        <v>278</v>
      </c>
      <c r="D153" s="4" t="s">
        <v>23</v>
      </c>
      <c r="E153" s="4" t="b">
        <v>0</v>
      </c>
      <c r="F153" s="4" t="s">
        <v>27</v>
      </c>
      <c r="G153" s="4">
        <v>43</v>
      </c>
      <c r="H153" s="5">
        <v>46088</v>
      </c>
    </row>
    <row r="154" spans="1:8">
      <c r="A154" s="4">
        <v>508</v>
      </c>
      <c r="B154" s="4" t="s">
        <v>279</v>
      </c>
      <c r="C154" s="4" t="s">
        <v>59</v>
      </c>
      <c r="D154" s="4" t="s">
        <v>23</v>
      </c>
      <c r="E154" s="4" t="b">
        <v>0</v>
      </c>
      <c r="F154" s="4" t="s">
        <v>27</v>
      </c>
      <c r="G154" s="4">
        <v>31</v>
      </c>
      <c r="H154" s="5">
        <v>46088</v>
      </c>
    </row>
    <row r="155" spans="1:8">
      <c r="A155" s="4">
        <v>1392</v>
      </c>
      <c r="B155" s="4" t="s">
        <v>284</v>
      </c>
      <c r="C155" s="4" t="s">
        <v>285</v>
      </c>
      <c r="D155" s="4" t="s">
        <v>23</v>
      </c>
      <c r="E155" s="4" t="b">
        <v>1</v>
      </c>
      <c r="F155" s="4" t="s">
        <v>25</v>
      </c>
      <c r="H155" s="5">
        <v>46088</v>
      </c>
    </row>
    <row r="156" spans="1:8">
      <c r="A156" s="4">
        <v>1141</v>
      </c>
      <c r="B156" s="4" t="s">
        <v>286</v>
      </c>
      <c r="C156" s="4" t="s">
        <v>287</v>
      </c>
      <c r="D156" s="4" t="s">
        <v>23</v>
      </c>
      <c r="E156" s="4" t="b">
        <v>1</v>
      </c>
      <c r="F156" s="4" t="s">
        <v>27</v>
      </c>
      <c r="G156" s="4">
        <v>15</v>
      </c>
      <c r="H156" s="5">
        <v>46088</v>
      </c>
    </row>
    <row r="157" spans="1:8">
      <c r="A157" s="4">
        <v>891</v>
      </c>
      <c r="B157" s="4" t="s">
        <v>288</v>
      </c>
      <c r="C157" s="4" t="s">
        <v>289</v>
      </c>
      <c r="D157" s="4" t="s">
        <v>23</v>
      </c>
      <c r="E157" s="4" t="b">
        <v>1</v>
      </c>
      <c r="F157" s="4" t="s">
        <v>25</v>
      </c>
      <c r="H157" s="5">
        <v>46088</v>
      </c>
    </row>
    <row r="158" spans="1:8">
      <c r="A158" s="4">
        <v>1339</v>
      </c>
      <c r="B158" s="4" t="s">
        <v>291</v>
      </c>
      <c r="C158" s="4" t="s">
        <v>292</v>
      </c>
      <c r="D158" s="4" t="s">
        <v>23</v>
      </c>
      <c r="E158" s="4" t="b">
        <v>0</v>
      </c>
      <c r="F158" s="4" t="s">
        <v>25</v>
      </c>
      <c r="H158" s="5">
        <v>46088</v>
      </c>
    </row>
    <row r="159" spans="1:8">
      <c r="A159" s="4">
        <v>914</v>
      </c>
      <c r="B159" s="4" t="s">
        <v>293</v>
      </c>
      <c r="C159" s="4" t="s">
        <v>153</v>
      </c>
      <c r="D159" s="4" t="s">
        <v>23</v>
      </c>
      <c r="E159" s="4" t="b">
        <v>0</v>
      </c>
      <c r="F159" s="4" t="s">
        <v>27</v>
      </c>
      <c r="G159" s="4">
        <v>14</v>
      </c>
      <c r="H159" s="5">
        <v>46088</v>
      </c>
    </row>
    <row r="160" spans="1:8">
      <c r="A160" s="4">
        <v>597</v>
      </c>
      <c r="B160" s="4" t="s">
        <v>294</v>
      </c>
      <c r="C160" s="4" t="s">
        <v>295</v>
      </c>
      <c r="D160" s="4" t="s">
        <v>23</v>
      </c>
      <c r="E160" s="4" t="b">
        <v>0</v>
      </c>
      <c r="F160" s="4" t="s">
        <v>27</v>
      </c>
      <c r="G160" s="4">
        <v>36</v>
      </c>
      <c r="H160" s="5">
        <v>46088</v>
      </c>
    </row>
    <row r="161" spans="1:8">
      <c r="A161" s="4">
        <v>1038</v>
      </c>
      <c r="B161" s="4" t="s">
        <v>293</v>
      </c>
      <c r="C161" s="4" t="s">
        <v>51</v>
      </c>
      <c r="D161" s="4" t="s">
        <v>23</v>
      </c>
      <c r="E161" s="4" t="b">
        <v>0</v>
      </c>
      <c r="F161" s="4" t="s">
        <v>27</v>
      </c>
      <c r="G161" s="4">
        <v>12</v>
      </c>
      <c r="H161" s="5">
        <v>46088</v>
      </c>
    </row>
    <row r="162" spans="1:8">
      <c r="A162" s="4">
        <v>1242</v>
      </c>
      <c r="B162" s="4" t="s">
        <v>297</v>
      </c>
      <c r="C162" s="4" t="s">
        <v>190</v>
      </c>
      <c r="D162" s="4" t="s">
        <v>23</v>
      </c>
      <c r="E162" s="4" t="b">
        <v>0</v>
      </c>
      <c r="F162" s="4" t="s">
        <v>27</v>
      </c>
      <c r="G162" s="4">
        <v>15</v>
      </c>
      <c r="H162" s="5">
        <v>46088</v>
      </c>
    </row>
    <row r="163" spans="1:8">
      <c r="A163" s="4">
        <v>1048</v>
      </c>
      <c r="B163" s="4" t="s">
        <v>298</v>
      </c>
      <c r="C163" s="4" t="s">
        <v>268</v>
      </c>
      <c r="D163" s="4" t="s">
        <v>23</v>
      </c>
      <c r="E163" s="4" t="b">
        <v>0</v>
      </c>
      <c r="F163" s="4" t="s">
        <v>27</v>
      </c>
      <c r="G163" s="4">
        <v>16</v>
      </c>
      <c r="H163" s="5">
        <v>46088</v>
      </c>
    </row>
    <row r="164" spans="1:8">
      <c r="A164" s="4">
        <v>1055</v>
      </c>
      <c r="B164" s="4" t="s">
        <v>298</v>
      </c>
      <c r="C164" s="4" t="s">
        <v>299</v>
      </c>
      <c r="D164" s="4" t="s">
        <v>23</v>
      </c>
      <c r="E164" s="4" t="b">
        <v>0</v>
      </c>
      <c r="F164" s="4" t="s">
        <v>27</v>
      </c>
      <c r="G164" s="4">
        <v>1</v>
      </c>
      <c r="H164" s="5">
        <v>46088</v>
      </c>
    </row>
    <row r="165" spans="1:8">
      <c r="A165" s="4">
        <v>820</v>
      </c>
      <c r="B165" s="4" t="s">
        <v>298</v>
      </c>
      <c r="C165" s="4" t="s">
        <v>139</v>
      </c>
      <c r="D165" s="4" t="s">
        <v>23</v>
      </c>
      <c r="E165" s="4" t="b">
        <v>1</v>
      </c>
      <c r="F165" s="4" t="s">
        <v>27</v>
      </c>
      <c r="G165" s="4">
        <v>6</v>
      </c>
      <c r="H165" s="5">
        <v>46088</v>
      </c>
    </row>
    <row r="166" spans="1:8">
      <c r="A166" s="4">
        <v>687</v>
      </c>
      <c r="B166" s="4" t="s">
        <v>298</v>
      </c>
      <c r="C166" s="4" t="s">
        <v>301</v>
      </c>
      <c r="D166" s="4" t="s">
        <v>23</v>
      </c>
      <c r="E166" s="4" t="b">
        <v>0</v>
      </c>
      <c r="F166" s="4" t="s">
        <v>27</v>
      </c>
      <c r="G166" s="4">
        <v>7</v>
      </c>
      <c r="H166" s="5">
        <v>46088</v>
      </c>
    </row>
    <row r="167" spans="1:8">
      <c r="A167" s="4">
        <v>1410</v>
      </c>
      <c r="B167" s="4" t="s">
        <v>104</v>
      </c>
      <c r="C167" s="4" t="s">
        <v>303</v>
      </c>
      <c r="D167" s="4" t="s">
        <v>23</v>
      </c>
      <c r="E167" s="4" t="b">
        <v>0</v>
      </c>
      <c r="F167" s="4" t="s">
        <v>25</v>
      </c>
      <c r="H167" s="5">
        <v>46088</v>
      </c>
    </row>
    <row r="168" spans="1:8">
      <c r="A168" s="4">
        <v>1161</v>
      </c>
      <c r="B168" s="4" t="s">
        <v>304</v>
      </c>
      <c r="C168" s="4" t="s">
        <v>305</v>
      </c>
      <c r="D168" s="4" t="s">
        <v>23</v>
      </c>
      <c r="E168" s="4" t="b">
        <v>0</v>
      </c>
      <c r="F168" s="4" t="s">
        <v>25</v>
      </c>
      <c r="H168" s="5">
        <v>46088</v>
      </c>
    </row>
    <row r="169" spans="1:8">
      <c r="A169" s="4">
        <v>890</v>
      </c>
      <c r="B169" s="4" t="s">
        <v>306</v>
      </c>
      <c r="C169" s="4" t="s">
        <v>307</v>
      </c>
      <c r="D169" s="4" t="s">
        <v>54</v>
      </c>
      <c r="E169" s="4" t="b">
        <v>0</v>
      </c>
      <c r="F169" s="4" t="s">
        <v>27</v>
      </c>
      <c r="G169" s="4">
        <v>23</v>
      </c>
      <c r="H169" s="5">
        <v>46088</v>
      </c>
    </row>
    <row r="170" spans="1:8">
      <c r="A170" s="4">
        <v>45</v>
      </c>
      <c r="B170" s="4" t="s">
        <v>309</v>
      </c>
      <c r="C170" s="4" t="s">
        <v>310</v>
      </c>
      <c r="D170" s="4" t="s">
        <v>23</v>
      </c>
      <c r="E170" s="4" t="b">
        <v>0</v>
      </c>
      <c r="F170" s="4" t="s">
        <v>27</v>
      </c>
      <c r="G170" s="4">
        <v>20</v>
      </c>
      <c r="H170" s="5">
        <v>46088</v>
      </c>
    </row>
    <row r="171" spans="1:8">
      <c r="A171" s="4">
        <v>1160</v>
      </c>
      <c r="B171" s="4" t="s">
        <v>311</v>
      </c>
      <c r="C171" s="4" t="s">
        <v>312</v>
      </c>
      <c r="D171" s="4" t="s">
        <v>23</v>
      </c>
      <c r="E171" s="4" t="b">
        <v>0</v>
      </c>
      <c r="F171" s="4" t="s">
        <v>25</v>
      </c>
      <c r="H171" s="5">
        <v>46088</v>
      </c>
    </row>
    <row r="172" spans="1:8">
      <c r="A172" s="4">
        <v>945</v>
      </c>
      <c r="B172" s="4" t="s">
        <v>313</v>
      </c>
      <c r="C172" s="4" t="s">
        <v>49</v>
      </c>
      <c r="D172" s="4" t="s">
        <v>23</v>
      </c>
      <c r="E172" s="4" t="b">
        <v>0</v>
      </c>
      <c r="F172" s="4" t="s">
        <v>25</v>
      </c>
      <c r="H172" s="5">
        <v>46088</v>
      </c>
    </row>
    <row r="173" spans="1:8">
      <c r="A173" s="4">
        <v>813</v>
      </c>
      <c r="B173" s="4" t="s">
        <v>313</v>
      </c>
      <c r="C173" s="4" t="s">
        <v>289</v>
      </c>
      <c r="D173" s="4" t="s">
        <v>23</v>
      </c>
      <c r="E173" s="4" t="b">
        <v>1</v>
      </c>
      <c r="F173" s="4" t="s">
        <v>27</v>
      </c>
      <c r="G173" s="4">
        <v>7</v>
      </c>
      <c r="H173" s="5">
        <v>46088</v>
      </c>
    </row>
    <row r="174" spans="1:8">
      <c r="A174" s="4">
        <v>812</v>
      </c>
      <c r="B174" s="4" t="s">
        <v>313</v>
      </c>
      <c r="C174" s="4" t="s">
        <v>170</v>
      </c>
      <c r="D174" s="4" t="s">
        <v>23</v>
      </c>
      <c r="E174" s="4" t="b">
        <v>0</v>
      </c>
      <c r="F174" s="4" t="s">
        <v>27</v>
      </c>
      <c r="G174" s="4">
        <v>9</v>
      </c>
      <c r="H174" s="5">
        <v>46088</v>
      </c>
    </row>
    <row r="175" spans="1:8">
      <c r="A175" s="4">
        <v>1129</v>
      </c>
      <c r="B175" s="4" t="s">
        <v>314</v>
      </c>
      <c r="C175" s="4" t="s">
        <v>315</v>
      </c>
      <c r="D175" s="4" t="s">
        <v>23</v>
      </c>
      <c r="E175" s="4" t="b">
        <v>0</v>
      </c>
      <c r="F175" s="4" t="s">
        <v>27</v>
      </c>
      <c r="G175" s="4">
        <v>12</v>
      </c>
      <c r="H175" s="5">
        <v>46088</v>
      </c>
    </row>
    <row r="176" spans="1:8">
      <c r="A176" s="4">
        <v>860</v>
      </c>
      <c r="B176" s="4" t="s">
        <v>321</v>
      </c>
      <c r="C176" s="4" t="s">
        <v>215</v>
      </c>
      <c r="D176" s="4" t="s">
        <v>23</v>
      </c>
      <c r="E176" s="4" t="b">
        <v>1</v>
      </c>
      <c r="F176" s="4" t="s">
        <v>25</v>
      </c>
      <c r="H176" s="5">
        <v>46088</v>
      </c>
    </row>
    <row r="177" spans="1:8">
      <c r="A177" s="4">
        <v>756</v>
      </c>
      <c r="B177" s="4" t="s">
        <v>321</v>
      </c>
      <c r="C177" s="4" t="s">
        <v>322</v>
      </c>
      <c r="D177" s="4" t="s">
        <v>23</v>
      </c>
      <c r="E177" s="4" t="b">
        <v>0</v>
      </c>
      <c r="F177" s="4" t="s">
        <v>25</v>
      </c>
      <c r="H177" s="5">
        <v>46088</v>
      </c>
    </row>
    <row r="178" spans="1:8">
      <c r="A178" s="4">
        <v>407</v>
      </c>
      <c r="B178" s="4" t="s">
        <v>321</v>
      </c>
      <c r="C178" s="4" t="s">
        <v>323</v>
      </c>
      <c r="D178" s="4" t="s">
        <v>23</v>
      </c>
      <c r="E178" s="4" t="b">
        <v>0</v>
      </c>
      <c r="F178" s="4" t="s">
        <v>27</v>
      </c>
      <c r="G178" s="4">
        <v>5</v>
      </c>
      <c r="H178" s="5">
        <v>46088</v>
      </c>
    </row>
    <row r="179" spans="1:8">
      <c r="A179" s="4">
        <v>1312</v>
      </c>
      <c r="B179" s="4" t="s">
        <v>329</v>
      </c>
      <c r="C179" s="4" t="s">
        <v>287</v>
      </c>
      <c r="D179" s="4" t="s">
        <v>23</v>
      </c>
      <c r="E179" s="4" t="b">
        <v>1</v>
      </c>
      <c r="F179" s="4" t="s">
        <v>27</v>
      </c>
      <c r="G179" s="4">
        <v>35</v>
      </c>
      <c r="H179" s="5">
        <v>46088</v>
      </c>
    </row>
    <row r="180" spans="1:8">
      <c r="A180" s="4">
        <v>935</v>
      </c>
      <c r="B180" s="4" t="s">
        <v>330</v>
      </c>
      <c r="C180" s="4" t="s">
        <v>245</v>
      </c>
      <c r="D180" s="4" t="s">
        <v>23</v>
      </c>
      <c r="E180" s="4" t="b">
        <v>1</v>
      </c>
      <c r="F180" s="4" t="s">
        <v>25</v>
      </c>
      <c r="H180" s="5">
        <v>46088</v>
      </c>
    </row>
    <row r="181" spans="1:8">
      <c r="A181" s="4">
        <v>999</v>
      </c>
      <c r="B181" s="4" t="s">
        <v>330</v>
      </c>
      <c r="C181" s="4" t="s">
        <v>331</v>
      </c>
      <c r="D181" s="4" t="s">
        <v>23</v>
      </c>
      <c r="E181" s="4" t="b">
        <v>1</v>
      </c>
      <c r="F181" s="4" t="s">
        <v>25</v>
      </c>
      <c r="H181" s="5">
        <v>46088</v>
      </c>
    </row>
    <row r="182" spans="1:8">
      <c r="A182" s="4">
        <v>998</v>
      </c>
      <c r="B182" s="4" t="s">
        <v>330</v>
      </c>
      <c r="C182" s="4" t="s">
        <v>332</v>
      </c>
      <c r="D182" s="4" t="s">
        <v>23</v>
      </c>
      <c r="E182" s="4" t="b">
        <v>1</v>
      </c>
      <c r="F182" s="4" t="s">
        <v>27</v>
      </c>
      <c r="G182" s="4">
        <v>5</v>
      </c>
      <c r="H182" s="5">
        <v>46088</v>
      </c>
    </row>
    <row r="183" spans="1:8">
      <c r="A183" s="4">
        <v>616</v>
      </c>
      <c r="B183" s="4" t="s">
        <v>330</v>
      </c>
      <c r="C183" s="4" t="s">
        <v>41</v>
      </c>
      <c r="D183" s="4" t="s">
        <v>23</v>
      </c>
      <c r="E183" s="4" t="b">
        <v>0</v>
      </c>
      <c r="F183" s="4" t="s">
        <v>27</v>
      </c>
      <c r="G183" s="4">
        <v>7</v>
      </c>
      <c r="H183" s="5">
        <v>46088</v>
      </c>
    </row>
    <row r="184" spans="1:8">
      <c r="A184" s="4">
        <v>558</v>
      </c>
      <c r="B184" s="4" t="s">
        <v>333</v>
      </c>
      <c r="C184" s="4" t="s">
        <v>334</v>
      </c>
      <c r="D184" s="4" t="s">
        <v>23</v>
      </c>
      <c r="E184" s="4" t="b">
        <v>0</v>
      </c>
      <c r="F184" s="4" t="s">
        <v>27</v>
      </c>
      <c r="G184" s="4">
        <v>15</v>
      </c>
      <c r="H184" s="5">
        <v>46088</v>
      </c>
    </row>
    <row r="185" spans="1:8">
      <c r="A185" s="4">
        <v>359</v>
      </c>
      <c r="B185" s="4" t="s">
        <v>336</v>
      </c>
      <c r="C185" s="4" t="s">
        <v>26</v>
      </c>
      <c r="D185" s="4" t="s">
        <v>23</v>
      </c>
      <c r="E185" s="4" t="b">
        <v>0</v>
      </c>
      <c r="F185" s="4" t="s">
        <v>27</v>
      </c>
      <c r="G185" s="4">
        <v>24</v>
      </c>
      <c r="H185" s="5">
        <v>46088</v>
      </c>
    </row>
    <row r="186" spans="1:8">
      <c r="A186" s="4">
        <v>1310</v>
      </c>
      <c r="B186" s="4" t="s">
        <v>337</v>
      </c>
      <c r="C186" s="4" t="s">
        <v>311</v>
      </c>
      <c r="D186" s="4" t="s">
        <v>23</v>
      </c>
      <c r="E186" s="4" t="b">
        <v>0</v>
      </c>
      <c r="F186" s="4" t="s">
        <v>25</v>
      </c>
      <c r="H186" s="5">
        <v>46088</v>
      </c>
    </row>
    <row r="187" spans="1:8">
      <c r="A187" s="4">
        <v>1200</v>
      </c>
      <c r="B187" s="4" t="s">
        <v>338</v>
      </c>
      <c r="C187" s="4" t="s">
        <v>339</v>
      </c>
      <c r="D187" s="4" t="s">
        <v>23</v>
      </c>
      <c r="E187" s="4" t="b">
        <v>0</v>
      </c>
      <c r="F187" s="4" t="s">
        <v>27</v>
      </c>
      <c r="G187" s="4">
        <v>6</v>
      </c>
      <c r="H187" s="5">
        <v>46088</v>
      </c>
    </row>
    <row r="188" spans="1:8">
      <c r="A188" s="4">
        <v>1411</v>
      </c>
      <c r="B188" s="4" t="s">
        <v>338</v>
      </c>
      <c r="C188" s="4" t="s">
        <v>72</v>
      </c>
      <c r="D188" s="4" t="s">
        <v>23</v>
      </c>
      <c r="E188" s="4" t="b">
        <v>1</v>
      </c>
      <c r="F188" s="4" t="s">
        <v>27</v>
      </c>
      <c r="G188" s="4">
        <v>3</v>
      </c>
      <c r="H188" s="5">
        <v>46088</v>
      </c>
    </row>
    <row r="189" spans="1:8">
      <c r="A189" s="4">
        <v>1412</v>
      </c>
      <c r="B189" s="4" t="s">
        <v>338</v>
      </c>
      <c r="C189" s="4" t="s">
        <v>340</v>
      </c>
      <c r="D189" s="4" t="s">
        <v>23</v>
      </c>
      <c r="E189" s="4" t="b">
        <v>1</v>
      </c>
      <c r="F189" s="4" t="s">
        <v>188</v>
      </c>
      <c r="H189" s="5">
        <v>46088</v>
      </c>
    </row>
    <row r="190" spans="1:8">
      <c r="A190" s="4">
        <v>1413</v>
      </c>
      <c r="B190" s="4" t="s">
        <v>338</v>
      </c>
      <c r="C190" s="4" t="s">
        <v>214</v>
      </c>
      <c r="D190" s="4" t="s">
        <v>23</v>
      </c>
      <c r="E190" s="4" t="b">
        <v>0</v>
      </c>
      <c r="F190" s="4" t="s">
        <v>188</v>
      </c>
      <c r="H190" s="5">
        <v>46088</v>
      </c>
    </row>
    <row r="191" spans="1:8">
      <c r="A191" s="4">
        <v>1376</v>
      </c>
      <c r="B191" s="4" t="s">
        <v>192</v>
      </c>
      <c r="C191" s="4" t="s">
        <v>127</v>
      </c>
      <c r="D191" s="4" t="s">
        <v>23</v>
      </c>
      <c r="E191" s="4" t="b">
        <v>1</v>
      </c>
      <c r="F191" s="4" t="s">
        <v>25</v>
      </c>
      <c r="H191" s="5">
        <v>46088</v>
      </c>
    </row>
    <row r="192" spans="1:8">
      <c r="A192" s="4">
        <v>1140</v>
      </c>
      <c r="B192" s="4" t="s">
        <v>341</v>
      </c>
      <c r="C192" s="4" t="s">
        <v>243</v>
      </c>
      <c r="D192" s="4" t="s">
        <v>23</v>
      </c>
      <c r="E192" s="4" t="b">
        <v>0</v>
      </c>
      <c r="F192" s="4" t="s">
        <v>25</v>
      </c>
      <c r="H192" s="5">
        <v>46088</v>
      </c>
    </row>
    <row r="193" spans="1:8">
      <c r="A193" s="4">
        <v>989</v>
      </c>
      <c r="B193" s="4" t="s">
        <v>342</v>
      </c>
      <c r="C193" s="4" t="s">
        <v>343</v>
      </c>
      <c r="D193" s="4" t="s">
        <v>23</v>
      </c>
      <c r="E193" s="4" t="b">
        <v>0</v>
      </c>
      <c r="F193" s="4" t="s">
        <v>27</v>
      </c>
      <c r="G193" s="4">
        <v>3</v>
      </c>
      <c r="H193" s="5">
        <v>46088</v>
      </c>
    </row>
    <row r="194" spans="1:8">
      <c r="A194" s="4">
        <v>52</v>
      </c>
      <c r="B194" s="4" t="s">
        <v>346</v>
      </c>
      <c r="C194" s="4" t="s">
        <v>192</v>
      </c>
      <c r="D194" s="4" t="s">
        <v>23</v>
      </c>
      <c r="E194" s="4" t="b">
        <v>0</v>
      </c>
      <c r="F194" s="4" t="s">
        <v>25</v>
      </c>
      <c r="H194" s="5">
        <v>46088</v>
      </c>
    </row>
    <row r="195" spans="1:8">
      <c r="A195" s="4">
        <v>62</v>
      </c>
      <c r="B195" s="4" t="s">
        <v>344</v>
      </c>
      <c r="C195" s="4" t="s">
        <v>234</v>
      </c>
      <c r="D195" s="4" t="s">
        <v>23</v>
      </c>
      <c r="E195" s="4" t="b">
        <v>0</v>
      </c>
      <c r="F195" s="4" t="s">
        <v>27</v>
      </c>
      <c r="G195" s="4">
        <v>4</v>
      </c>
      <c r="H195" s="5">
        <v>46088</v>
      </c>
    </row>
    <row r="196" spans="1:8">
      <c r="A196" s="4">
        <v>930</v>
      </c>
      <c r="B196" s="4" t="s">
        <v>347</v>
      </c>
      <c r="C196" s="4" t="s">
        <v>348</v>
      </c>
      <c r="D196" s="4" t="s">
        <v>23</v>
      </c>
      <c r="E196" s="4" t="b">
        <v>1</v>
      </c>
      <c r="F196" s="4" t="s">
        <v>27</v>
      </c>
      <c r="G196" s="4">
        <v>6</v>
      </c>
      <c r="H196" s="5">
        <v>46088</v>
      </c>
    </row>
    <row r="197" spans="1:8">
      <c r="A197" s="4">
        <v>744</v>
      </c>
      <c r="B197" s="4" t="s">
        <v>350</v>
      </c>
      <c r="C197" s="4" t="s">
        <v>351</v>
      </c>
      <c r="D197" s="4" t="s">
        <v>23</v>
      </c>
      <c r="E197" s="4" t="b">
        <v>0</v>
      </c>
      <c r="F197" s="4" t="s">
        <v>27</v>
      </c>
      <c r="G197" s="4">
        <v>28</v>
      </c>
      <c r="H197" s="5">
        <v>46088</v>
      </c>
    </row>
    <row r="198" spans="1:8">
      <c r="A198" s="4">
        <v>337</v>
      </c>
      <c r="B198" s="4" t="s">
        <v>352</v>
      </c>
      <c r="C198" s="4" t="s">
        <v>179</v>
      </c>
      <c r="D198" s="4" t="s">
        <v>23</v>
      </c>
      <c r="E198" s="4" t="b">
        <v>1</v>
      </c>
      <c r="F198" s="4" t="s">
        <v>27</v>
      </c>
      <c r="G198" s="4">
        <v>21</v>
      </c>
      <c r="H198" s="5">
        <v>46088</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3"/>
  <sheetViews>
    <sheetView workbookViewId="0"/>
    <sheetView workbookViewId="1"/>
  </sheetViews>
  <sheetFormatPr defaultColWidth="9" defaultRowHeight="14.25"/>
  <cols>
    <col min="1" max="7" width="9" style="6"/>
    <col min="8" max="8" width="10.19921875" style="6" bestFit="1" customWidth="1"/>
    <col min="9" max="16384" width="9" style="6"/>
  </cols>
  <sheetData>
    <row r="1" spans="1:8">
      <c r="A1" s="6" t="s">
        <v>13</v>
      </c>
      <c r="B1" s="6" t="s">
        <v>14</v>
      </c>
      <c r="C1" s="6" t="s">
        <v>15</v>
      </c>
      <c r="D1" s="6" t="s">
        <v>16</v>
      </c>
      <c r="E1" s="6" t="s">
        <v>17</v>
      </c>
      <c r="F1" s="6" t="s">
        <v>18</v>
      </c>
      <c r="G1" s="6" t="s">
        <v>19</v>
      </c>
      <c r="H1" s="6" t="s">
        <v>20</v>
      </c>
    </row>
    <row r="2" spans="1:8">
      <c r="A2" s="6">
        <v>1327</v>
      </c>
      <c r="B2" s="6" t="s">
        <v>21</v>
      </c>
      <c r="C2" s="6" t="s">
        <v>22</v>
      </c>
      <c r="D2" s="6" t="s">
        <v>23</v>
      </c>
      <c r="E2" s="6" t="b">
        <v>0</v>
      </c>
      <c r="F2" s="6" t="s">
        <v>25</v>
      </c>
      <c r="H2" s="7">
        <v>46091</v>
      </c>
    </row>
    <row r="3" spans="1:8">
      <c r="A3" s="6">
        <v>1237</v>
      </c>
      <c r="B3" s="6" t="s">
        <v>21</v>
      </c>
      <c r="C3" s="6" t="s">
        <v>26</v>
      </c>
      <c r="D3" s="6" t="s">
        <v>23</v>
      </c>
      <c r="E3" s="6" t="b">
        <v>0</v>
      </c>
      <c r="F3" s="6" t="s">
        <v>27</v>
      </c>
      <c r="G3" s="6">
        <v>1</v>
      </c>
      <c r="H3" s="7">
        <v>46091</v>
      </c>
    </row>
    <row r="4" spans="1:8">
      <c r="A4" s="6">
        <v>819</v>
      </c>
      <c r="B4" s="6" t="s">
        <v>28</v>
      </c>
      <c r="C4" s="6" t="s">
        <v>29</v>
      </c>
      <c r="D4" s="6" t="s">
        <v>23</v>
      </c>
      <c r="E4" s="6" t="b">
        <v>1</v>
      </c>
      <c r="F4" s="6" t="s">
        <v>27</v>
      </c>
      <c r="G4" s="6">
        <v>23</v>
      </c>
      <c r="H4" s="7">
        <v>46091</v>
      </c>
    </row>
    <row r="5" spans="1:8">
      <c r="A5" s="6">
        <v>2</v>
      </c>
      <c r="B5" s="6" t="s">
        <v>31</v>
      </c>
      <c r="C5" s="6" t="s">
        <v>32</v>
      </c>
      <c r="D5" s="6" t="s">
        <v>23</v>
      </c>
      <c r="E5" s="6" t="b">
        <v>0</v>
      </c>
      <c r="F5" s="6" t="s">
        <v>27</v>
      </c>
      <c r="G5" s="6">
        <v>21</v>
      </c>
      <c r="H5" s="7">
        <v>46091</v>
      </c>
    </row>
    <row r="6" spans="1:8">
      <c r="A6" s="6">
        <v>1370</v>
      </c>
      <c r="B6" s="6" t="s">
        <v>33</v>
      </c>
      <c r="C6" s="6" t="s">
        <v>34</v>
      </c>
      <c r="D6" s="6" t="s">
        <v>23</v>
      </c>
      <c r="E6" s="6" t="b">
        <v>0</v>
      </c>
      <c r="F6" s="6" t="s">
        <v>27</v>
      </c>
      <c r="G6" s="6">
        <v>4</v>
      </c>
      <c r="H6" s="7">
        <v>46091</v>
      </c>
    </row>
    <row r="7" spans="1:8">
      <c r="A7" s="6">
        <v>1415</v>
      </c>
      <c r="B7" s="6" t="s">
        <v>33</v>
      </c>
      <c r="C7" s="6" t="s">
        <v>22</v>
      </c>
      <c r="D7" s="6" t="s">
        <v>23</v>
      </c>
      <c r="E7" s="6" t="b">
        <v>0</v>
      </c>
      <c r="F7" s="6" t="s">
        <v>35</v>
      </c>
      <c r="H7" s="7">
        <v>46091</v>
      </c>
    </row>
    <row r="8" spans="1:8">
      <c r="A8" s="6">
        <v>1286</v>
      </c>
      <c r="B8" s="6" t="s">
        <v>36</v>
      </c>
      <c r="C8" s="6" t="s">
        <v>34</v>
      </c>
      <c r="D8" s="6" t="s">
        <v>23</v>
      </c>
      <c r="E8" s="6" t="b">
        <v>0</v>
      </c>
      <c r="F8" s="6" t="s">
        <v>27</v>
      </c>
      <c r="G8" s="6">
        <v>13</v>
      </c>
      <c r="H8" s="7">
        <v>46091</v>
      </c>
    </row>
    <row r="9" spans="1:8">
      <c r="A9" s="6">
        <v>1381</v>
      </c>
      <c r="B9" s="6" t="s">
        <v>36</v>
      </c>
      <c r="C9" s="6" t="s">
        <v>37</v>
      </c>
      <c r="D9" s="6" t="s">
        <v>23</v>
      </c>
      <c r="E9" s="6" t="b">
        <v>0</v>
      </c>
      <c r="F9" s="6" t="s">
        <v>25</v>
      </c>
      <c r="H9" s="7">
        <v>46091</v>
      </c>
    </row>
    <row r="10" spans="1:8">
      <c r="A10" s="6">
        <v>1112</v>
      </c>
      <c r="B10" s="6" t="s">
        <v>38</v>
      </c>
      <c r="C10" s="6" t="s">
        <v>39</v>
      </c>
      <c r="D10" s="6" t="s">
        <v>23</v>
      </c>
      <c r="E10" s="6" t="b">
        <v>0</v>
      </c>
      <c r="F10" s="6" t="s">
        <v>27</v>
      </c>
      <c r="G10" s="6">
        <v>16</v>
      </c>
      <c r="H10" s="7">
        <v>46091</v>
      </c>
    </row>
    <row r="11" spans="1:8">
      <c r="A11" s="6">
        <v>1135</v>
      </c>
      <c r="B11" s="6" t="s">
        <v>40</v>
      </c>
      <c r="C11" s="6" t="s">
        <v>41</v>
      </c>
      <c r="D11" s="6" t="s">
        <v>23</v>
      </c>
      <c r="E11" s="6" t="b">
        <v>0</v>
      </c>
      <c r="F11" s="6" t="s">
        <v>27</v>
      </c>
      <c r="G11" s="6">
        <v>1</v>
      </c>
      <c r="H11" s="7">
        <v>46091</v>
      </c>
    </row>
    <row r="12" spans="1:8">
      <c r="A12" s="6">
        <v>982</v>
      </c>
      <c r="B12" s="6" t="s">
        <v>42</v>
      </c>
      <c r="C12" s="6" t="s">
        <v>32</v>
      </c>
      <c r="D12" s="6" t="s">
        <v>23</v>
      </c>
      <c r="E12" s="6" t="b">
        <v>0</v>
      </c>
      <c r="F12" s="6" t="s">
        <v>27</v>
      </c>
      <c r="G12" s="6">
        <v>22</v>
      </c>
      <c r="H12" s="7">
        <v>46091</v>
      </c>
    </row>
    <row r="13" spans="1:8">
      <c r="A13" s="6">
        <v>1328</v>
      </c>
      <c r="B13" s="6" t="s">
        <v>43</v>
      </c>
      <c r="C13" s="6" t="s">
        <v>44</v>
      </c>
      <c r="D13" s="6" t="s">
        <v>23</v>
      </c>
      <c r="E13" s="6" t="b">
        <v>0</v>
      </c>
      <c r="F13" s="6" t="s">
        <v>27</v>
      </c>
      <c r="G13" s="6">
        <v>4</v>
      </c>
      <c r="H13" s="7">
        <v>46091</v>
      </c>
    </row>
    <row r="14" spans="1:8">
      <c r="A14" s="6">
        <v>369</v>
      </c>
      <c r="B14" s="6" t="s">
        <v>45</v>
      </c>
      <c r="C14" s="6" t="s">
        <v>46</v>
      </c>
      <c r="D14" s="6" t="s">
        <v>23</v>
      </c>
      <c r="E14" s="6" t="b">
        <v>0</v>
      </c>
      <c r="F14" s="6" t="s">
        <v>27</v>
      </c>
      <c r="G14" s="6">
        <v>8</v>
      </c>
      <c r="H14" s="7">
        <v>46091</v>
      </c>
    </row>
    <row r="15" spans="1:8">
      <c r="A15" s="6">
        <v>7</v>
      </c>
      <c r="B15" s="6" t="s">
        <v>45</v>
      </c>
      <c r="C15" s="6" t="s">
        <v>47</v>
      </c>
      <c r="D15" s="6" t="s">
        <v>48</v>
      </c>
      <c r="E15" s="6" t="b">
        <v>0</v>
      </c>
      <c r="F15" s="6" t="s">
        <v>27</v>
      </c>
      <c r="G15" s="6">
        <v>32</v>
      </c>
      <c r="H15" s="7">
        <v>46091</v>
      </c>
    </row>
    <row r="16" spans="1:8">
      <c r="A16" s="6">
        <v>473</v>
      </c>
      <c r="B16" s="6" t="s">
        <v>45</v>
      </c>
      <c r="C16" s="6" t="s">
        <v>49</v>
      </c>
      <c r="D16" s="6" t="s">
        <v>48</v>
      </c>
      <c r="E16" s="6" t="b">
        <v>0</v>
      </c>
      <c r="F16" s="6" t="s">
        <v>27</v>
      </c>
      <c r="G16" s="6">
        <v>33</v>
      </c>
      <c r="H16" s="7">
        <v>46091</v>
      </c>
    </row>
    <row r="17" spans="1:8">
      <c r="A17" s="6">
        <v>1384</v>
      </c>
      <c r="B17" s="6" t="s">
        <v>50</v>
      </c>
      <c r="C17" s="6" t="s">
        <v>51</v>
      </c>
      <c r="D17" s="6" t="s">
        <v>23</v>
      </c>
      <c r="E17" s="6" t="b">
        <v>0</v>
      </c>
      <c r="F17" s="6" t="s">
        <v>27</v>
      </c>
      <c r="G17" s="6">
        <v>30</v>
      </c>
      <c r="H17" s="7">
        <v>46091</v>
      </c>
    </row>
    <row r="18" spans="1:8">
      <c r="A18" s="6">
        <v>1348</v>
      </c>
      <c r="B18" s="6" t="s">
        <v>52</v>
      </c>
      <c r="C18" s="6" t="s">
        <v>53</v>
      </c>
      <c r="D18" s="6" t="s">
        <v>54</v>
      </c>
      <c r="E18" s="6" t="b">
        <v>1</v>
      </c>
      <c r="F18" s="6" t="s">
        <v>25</v>
      </c>
      <c r="H18" s="7">
        <v>46091</v>
      </c>
    </row>
    <row r="19" spans="1:8">
      <c r="A19" s="6">
        <v>1275</v>
      </c>
      <c r="B19" s="6" t="s">
        <v>52</v>
      </c>
      <c r="C19" s="6" t="s">
        <v>55</v>
      </c>
      <c r="D19" s="6" t="s">
        <v>23</v>
      </c>
      <c r="E19" s="6" t="b">
        <v>1</v>
      </c>
      <c r="F19" s="6" t="s">
        <v>35</v>
      </c>
      <c r="H19" s="7">
        <v>46091</v>
      </c>
    </row>
    <row r="20" spans="1:8">
      <c r="A20" s="6">
        <v>68</v>
      </c>
      <c r="B20" s="6" t="s">
        <v>56</v>
      </c>
      <c r="C20" s="6" t="s">
        <v>57</v>
      </c>
      <c r="D20" s="6" t="s">
        <v>48</v>
      </c>
      <c r="E20" s="6" t="b">
        <v>0</v>
      </c>
      <c r="F20" s="6" t="s">
        <v>27</v>
      </c>
      <c r="G20" s="6">
        <v>35</v>
      </c>
      <c r="H20" s="7">
        <v>46091</v>
      </c>
    </row>
    <row r="21" spans="1:8">
      <c r="A21" s="6">
        <v>1035</v>
      </c>
      <c r="B21" s="6" t="s">
        <v>58</v>
      </c>
      <c r="C21" s="6" t="s">
        <v>59</v>
      </c>
      <c r="D21" s="6" t="s">
        <v>23</v>
      </c>
      <c r="E21" s="6" t="b">
        <v>0</v>
      </c>
      <c r="F21" s="6" t="s">
        <v>27</v>
      </c>
      <c r="G21" s="6">
        <v>6</v>
      </c>
      <c r="H21" s="7">
        <v>46091</v>
      </c>
    </row>
    <row r="22" spans="1:8">
      <c r="A22" s="6">
        <v>1416</v>
      </c>
      <c r="B22" s="6" t="s">
        <v>60</v>
      </c>
      <c r="C22" s="6" t="s">
        <v>61</v>
      </c>
      <c r="D22" s="6" t="s">
        <v>23</v>
      </c>
      <c r="E22" s="6" t="b">
        <v>0</v>
      </c>
      <c r="F22" s="6" t="s">
        <v>25</v>
      </c>
      <c r="H22" s="7">
        <v>46091</v>
      </c>
    </row>
    <row r="23" spans="1:8">
      <c r="A23" s="6">
        <v>1326</v>
      </c>
      <c r="B23" s="6" t="s">
        <v>62</v>
      </c>
      <c r="C23" s="6" t="s">
        <v>63</v>
      </c>
      <c r="D23" s="6" t="s">
        <v>23</v>
      </c>
      <c r="E23" s="6" t="b">
        <v>1</v>
      </c>
      <c r="F23" s="6" t="s">
        <v>25</v>
      </c>
      <c r="H23" s="7">
        <v>46091</v>
      </c>
    </row>
    <row r="24" spans="1:8">
      <c r="A24" s="6">
        <v>477</v>
      </c>
      <c r="B24" s="6" t="s">
        <v>64</v>
      </c>
      <c r="C24" s="6" t="s">
        <v>65</v>
      </c>
      <c r="D24" s="6" t="s">
        <v>23</v>
      </c>
      <c r="E24" s="6" t="b">
        <v>1</v>
      </c>
      <c r="F24" s="6" t="s">
        <v>27</v>
      </c>
      <c r="G24" s="6">
        <v>34</v>
      </c>
      <c r="H24" s="7">
        <v>46091</v>
      </c>
    </row>
    <row r="25" spans="1:8">
      <c r="A25" s="6">
        <v>10</v>
      </c>
      <c r="B25" s="6" t="s">
        <v>64</v>
      </c>
      <c r="C25" s="6" t="s">
        <v>66</v>
      </c>
      <c r="D25" s="6" t="s">
        <v>48</v>
      </c>
      <c r="E25" s="6" t="b">
        <v>0</v>
      </c>
      <c r="F25" s="6" t="s">
        <v>27</v>
      </c>
      <c r="G25" s="6">
        <v>35</v>
      </c>
      <c r="H25" s="7">
        <v>46091</v>
      </c>
    </row>
    <row r="26" spans="1:8">
      <c r="A26" s="6">
        <v>1414</v>
      </c>
      <c r="B26" s="6" t="s">
        <v>67</v>
      </c>
      <c r="C26" s="6" t="s">
        <v>36</v>
      </c>
      <c r="D26" s="6" t="s">
        <v>23</v>
      </c>
      <c r="E26" s="6" t="b">
        <v>0</v>
      </c>
      <c r="F26" s="6" t="s">
        <v>27</v>
      </c>
      <c r="G26" s="6">
        <v>13</v>
      </c>
      <c r="H26" s="7">
        <v>46091</v>
      </c>
    </row>
    <row r="27" spans="1:8">
      <c r="A27" s="6">
        <v>1029</v>
      </c>
      <c r="B27" s="6" t="s">
        <v>68</v>
      </c>
      <c r="C27" s="6" t="s">
        <v>69</v>
      </c>
      <c r="D27" s="6" t="s">
        <v>23</v>
      </c>
      <c r="E27" s="6" t="b">
        <v>0</v>
      </c>
      <c r="F27" s="6" t="s">
        <v>27</v>
      </c>
      <c r="G27" s="6">
        <v>28</v>
      </c>
      <c r="H27" s="7">
        <v>46091</v>
      </c>
    </row>
    <row r="28" spans="1:8">
      <c r="A28" s="6">
        <v>13</v>
      </c>
      <c r="B28" s="6" t="s">
        <v>70</v>
      </c>
      <c r="C28" s="6" t="s">
        <v>51</v>
      </c>
      <c r="D28" s="6" t="s">
        <v>23</v>
      </c>
      <c r="E28" s="6" t="b">
        <v>0</v>
      </c>
      <c r="F28" s="6" t="s">
        <v>27</v>
      </c>
      <c r="G28" s="6">
        <v>28</v>
      </c>
      <c r="H28" s="7">
        <v>46091</v>
      </c>
    </row>
    <row r="29" spans="1:8">
      <c r="A29" s="6">
        <v>1255</v>
      </c>
      <c r="B29" s="6" t="s">
        <v>71</v>
      </c>
      <c r="C29" s="6" t="s">
        <v>72</v>
      </c>
      <c r="D29" s="6" t="s">
        <v>23</v>
      </c>
      <c r="E29" s="6" t="b">
        <v>1</v>
      </c>
      <c r="F29" s="6" t="s">
        <v>27</v>
      </c>
      <c r="G29" s="6">
        <v>13</v>
      </c>
      <c r="H29" s="7">
        <v>46091</v>
      </c>
    </row>
    <row r="30" spans="1:8">
      <c r="A30" s="6">
        <v>1405</v>
      </c>
      <c r="B30" s="6" t="s">
        <v>73</v>
      </c>
      <c r="C30" s="6" t="s">
        <v>74</v>
      </c>
      <c r="D30" s="6" t="s">
        <v>23</v>
      </c>
      <c r="E30" s="6" t="b">
        <v>1</v>
      </c>
      <c r="F30" s="6" t="s">
        <v>35</v>
      </c>
      <c r="H30" s="7">
        <v>46091</v>
      </c>
    </row>
    <row r="31" spans="1:8">
      <c r="A31" s="6">
        <v>919</v>
      </c>
      <c r="B31" s="6" t="s">
        <v>77</v>
      </c>
      <c r="C31" s="6" t="s">
        <v>51</v>
      </c>
      <c r="D31" s="6" t="s">
        <v>23</v>
      </c>
      <c r="E31" s="6" t="b">
        <v>0</v>
      </c>
      <c r="F31" s="6" t="s">
        <v>27</v>
      </c>
      <c r="G31" s="6">
        <v>16</v>
      </c>
      <c r="H31" s="7">
        <v>46091</v>
      </c>
    </row>
    <row r="32" spans="1:8">
      <c r="A32" s="6">
        <v>1319</v>
      </c>
      <c r="B32" s="6" t="s">
        <v>78</v>
      </c>
      <c r="C32" s="6" t="s">
        <v>32</v>
      </c>
      <c r="D32" s="6" t="s">
        <v>23</v>
      </c>
      <c r="E32" s="6" t="b">
        <v>0</v>
      </c>
      <c r="F32" s="6" t="s">
        <v>27</v>
      </c>
      <c r="G32" s="6">
        <v>9</v>
      </c>
      <c r="H32" s="7">
        <v>46091</v>
      </c>
    </row>
    <row r="33" spans="1:8">
      <c r="A33" s="6">
        <v>1389</v>
      </c>
      <c r="B33" s="6" t="s">
        <v>79</v>
      </c>
      <c r="C33" s="6" t="s">
        <v>80</v>
      </c>
      <c r="D33" s="6" t="s">
        <v>23</v>
      </c>
      <c r="E33" s="6" t="b">
        <v>0</v>
      </c>
      <c r="F33" s="6" t="s">
        <v>25</v>
      </c>
      <c r="H33" s="7">
        <v>46091</v>
      </c>
    </row>
    <row r="34" spans="1:8">
      <c r="A34" s="6">
        <v>482</v>
      </c>
      <c r="B34" s="6" t="s">
        <v>84</v>
      </c>
      <c r="C34" s="6" t="s">
        <v>85</v>
      </c>
      <c r="D34" s="6" t="s">
        <v>23</v>
      </c>
      <c r="E34" s="6" t="b">
        <v>0</v>
      </c>
      <c r="F34" s="6" t="s">
        <v>27</v>
      </c>
      <c r="G34" s="6">
        <v>13</v>
      </c>
      <c r="H34" s="7">
        <v>46091</v>
      </c>
    </row>
    <row r="35" spans="1:8">
      <c r="A35" s="6">
        <v>674</v>
      </c>
      <c r="B35" s="6" t="s">
        <v>86</v>
      </c>
      <c r="C35" s="6" t="s">
        <v>87</v>
      </c>
      <c r="D35" s="6" t="s">
        <v>54</v>
      </c>
      <c r="E35" s="6" t="b">
        <v>1</v>
      </c>
      <c r="F35" s="6" t="s">
        <v>27</v>
      </c>
      <c r="G35" s="6">
        <v>23</v>
      </c>
      <c r="H35" s="7">
        <v>46091</v>
      </c>
    </row>
    <row r="36" spans="1:8">
      <c r="A36" s="6">
        <v>1061</v>
      </c>
      <c r="B36" s="6" t="s">
        <v>88</v>
      </c>
      <c r="C36" s="6" t="s">
        <v>89</v>
      </c>
      <c r="D36" s="6" t="s">
        <v>23</v>
      </c>
      <c r="E36" s="6" t="b">
        <v>0</v>
      </c>
      <c r="F36" s="6" t="s">
        <v>27</v>
      </c>
      <c r="G36" s="6">
        <v>19</v>
      </c>
      <c r="H36" s="7">
        <v>46091</v>
      </c>
    </row>
    <row r="37" spans="1:8">
      <c r="A37" s="6">
        <v>763</v>
      </c>
      <c r="B37" s="6" t="s">
        <v>90</v>
      </c>
      <c r="C37" s="6" t="s">
        <v>59</v>
      </c>
      <c r="D37" s="6" t="s">
        <v>23</v>
      </c>
      <c r="E37" s="6" t="b">
        <v>0</v>
      </c>
      <c r="F37" s="6" t="s">
        <v>27</v>
      </c>
      <c r="G37" s="6">
        <v>17</v>
      </c>
      <c r="H37" s="7">
        <v>46091</v>
      </c>
    </row>
    <row r="38" spans="1:8">
      <c r="A38" s="6">
        <v>1227</v>
      </c>
      <c r="B38" s="6" t="s">
        <v>91</v>
      </c>
      <c r="C38" s="6" t="s">
        <v>92</v>
      </c>
      <c r="D38" s="6" t="s">
        <v>23</v>
      </c>
      <c r="E38" s="6" t="b">
        <v>1</v>
      </c>
      <c r="F38" s="6" t="s">
        <v>27</v>
      </c>
      <c r="G38" s="6">
        <v>8</v>
      </c>
      <c r="H38" s="7">
        <v>46091</v>
      </c>
    </row>
    <row r="39" spans="1:8">
      <c r="A39" s="6">
        <v>715</v>
      </c>
      <c r="B39" s="6" t="s">
        <v>93</v>
      </c>
      <c r="C39" s="6" t="s">
        <v>94</v>
      </c>
      <c r="D39" s="6" t="s">
        <v>23</v>
      </c>
      <c r="E39" s="6" t="b">
        <v>0</v>
      </c>
      <c r="F39" s="6" t="s">
        <v>27</v>
      </c>
      <c r="G39" s="6">
        <v>5</v>
      </c>
      <c r="H39" s="7">
        <v>46091</v>
      </c>
    </row>
    <row r="40" spans="1:8">
      <c r="A40" s="6">
        <v>567</v>
      </c>
      <c r="B40" s="6" t="s">
        <v>95</v>
      </c>
      <c r="C40" s="6" t="s">
        <v>96</v>
      </c>
      <c r="D40" s="6" t="s">
        <v>23</v>
      </c>
      <c r="E40" s="6" t="b">
        <v>0</v>
      </c>
      <c r="F40" s="6" t="s">
        <v>27</v>
      </c>
      <c r="G40" s="6">
        <v>7</v>
      </c>
      <c r="H40" s="7">
        <v>46091</v>
      </c>
    </row>
    <row r="41" spans="1:8">
      <c r="A41" s="6">
        <v>1391</v>
      </c>
      <c r="B41" s="6" t="s">
        <v>97</v>
      </c>
      <c r="C41" s="6" t="s">
        <v>98</v>
      </c>
      <c r="D41" s="6" t="s">
        <v>23</v>
      </c>
      <c r="E41" s="6" t="b">
        <v>1</v>
      </c>
      <c r="F41" s="6" t="s">
        <v>25</v>
      </c>
      <c r="H41" s="7">
        <v>46091</v>
      </c>
    </row>
    <row r="42" spans="1:8">
      <c r="A42" s="6">
        <v>704</v>
      </c>
      <c r="B42" s="6" t="s">
        <v>99</v>
      </c>
      <c r="C42" s="6" t="s">
        <v>100</v>
      </c>
      <c r="D42" s="6" t="s">
        <v>23</v>
      </c>
      <c r="E42" s="6" t="b">
        <v>0</v>
      </c>
      <c r="F42" s="6" t="s">
        <v>27</v>
      </c>
      <c r="G42" s="6">
        <v>21</v>
      </c>
      <c r="H42" s="7">
        <v>46091</v>
      </c>
    </row>
    <row r="43" spans="1:8">
      <c r="A43" s="6">
        <v>1283</v>
      </c>
      <c r="B43" s="6" t="s">
        <v>101</v>
      </c>
      <c r="C43" s="6" t="s">
        <v>102</v>
      </c>
      <c r="D43" s="6" t="s">
        <v>23</v>
      </c>
      <c r="E43" s="6" t="b">
        <v>0</v>
      </c>
      <c r="F43" s="6" t="s">
        <v>27</v>
      </c>
      <c r="G43" s="6">
        <v>18</v>
      </c>
      <c r="H43" s="7">
        <v>46091</v>
      </c>
    </row>
    <row r="44" spans="1:8">
      <c r="A44" s="6">
        <v>295</v>
      </c>
      <c r="B44" s="6" t="s">
        <v>103</v>
      </c>
      <c r="C44" s="6" t="s">
        <v>104</v>
      </c>
      <c r="D44" s="6" t="s">
        <v>23</v>
      </c>
      <c r="E44" s="6" t="b">
        <v>0</v>
      </c>
      <c r="F44" s="6" t="s">
        <v>27</v>
      </c>
      <c r="G44" s="6">
        <v>15</v>
      </c>
      <c r="H44" s="7">
        <v>46091</v>
      </c>
    </row>
    <row r="45" spans="1:8">
      <c r="A45" s="6">
        <v>1226</v>
      </c>
      <c r="B45" s="6" t="s">
        <v>105</v>
      </c>
      <c r="C45" s="6" t="s">
        <v>106</v>
      </c>
      <c r="D45" s="6" t="s">
        <v>23</v>
      </c>
      <c r="E45" s="6" t="b">
        <v>1</v>
      </c>
      <c r="F45" s="6" t="s">
        <v>25</v>
      </c>
      <c r="H45" s="7">
        <v>46091</v>
      </c>
    </row>
    <row r="46" spans="1:8">
      <c r="A46" s="6">
        <v>1185</v>
      </c>
      <c r="B46" s="6" t="s">
        <v>109</v>
      </c>
      <c r="C46" s="6" t="s">
        <v>110</v>
      </c>
      <c r="D46" s="6" t="s">
        <v>23</v>
      </c>
      <c r="E46" s="6" t="b">
        <v>1</v>
      </c>
      <c r="F46" s="6" t="s">
        <v>35</v>
      </c>
      <c r="H46" s="7">
        <v>46091</v>
      </c>
    </row>
    <row r="47" spans="1:8">
      <c r="A47" s="6">
        <v>1065</v>
      </c>
      <c r="B47" s="6" t="s">
        <v>109</v>
      </c>
      <c r="C47" s="6" t="s">
        <v>41</v>
      </c>
      <c r="D47" s="6" t="s">
        <v>23</v>
      </c>
      <c r="E47" s="6" t="b">
        <v>0</v>
      </c>
      <c r="F47" s="6" t="s">
        <v>27</v>
      </c>
      <c r="G47" s="6">
        <v>1</v>
      </c>
      <c r="H47" s="7">
        <v>46091</v>
      </c>
    </row>
    <row r="48" spans="1:8">
      <c r="A48" s="6">
        <v>1407</v>
      </c>
      <c r="B48" s="6" t="s">
        <v>111</v>
      </c>
      <c r="C48" s="6" t="s">
        <v>112</v>
      </c>
      <c r="D48" s="6" t="s">
        <v>23</v>
      </c>
      <c r="E48" s="6" t="b">
        <v>0</v>
      </c>
      <c r="F48" s="6" t="s">
        <v>25</v>
      </c>
      <c r="H48" s="7">
        <v>46091</v>
      </c>
    </row>
    <row r="49" spans="1:8">
      <c r="A49" s="6">
        <v>1096</v>
      </c>
      <c r="B49" s="6" t="s">
        <v>113</v>
      </c>
      <c r="C49" s="6" t="s">
        <v>114</v>
      </c>
      <c r="D49" s="6" t="s">
        <v>23</v>
      </c>
      <c r="E49" s="6" t="b">
        <v>0</v>
      </c>
      <c r="F49" s="6" t="s">
        <v>35</v>
      </c>
      <c r="H49" s="7">
        <v>46091</v>
      </c>
    </row>
    <row r="50" spans="1:8">
      <c r="A50" s="6">
        <v>1236</v>
      </c>
      <c r="B50" s="6" t="s">
        <v>113</v>
      </c>
      <c r="C50" s="6" t="s">
        <v>115</v>
      </c>
      <c r="D50" s="6" t="s">
        <v>23</v>
      </c>
      <c r="E50" s="6" t="b">
        <v>1</v>
      </c>
      <c r="F50" s="6" t="s">
        <v>27</v>
      </c>
      <c r="G50" s="6">
        <v>5</v>
      </c>
      <c r="H50" s="7">
        <v>46091</v>
      </c>
    </row>
    <row r="51" spans="1:8">
      <c r="A51" s="6">
        <v>699</v>
      </c>
      <c r="B51" s="6" t="s">
        <v>113</v>
      </c>
      <c r="C51" s="6" t="s">
        <v>116</v>
      </c>
      <c r="D51" s="6" t="s">
        <v>23</v>
      </c>
      <c r="E51" s="6" t="b">
        <v>0</v>
      </c>
      <c r="F51" s="6" t="s">
        <v>27</v>
      </c>
      <c r="G51" s="6">
        <v>5</v>
      </c>
      <c r="H51" s="7">
        <v>46091</v>
      </c>
    </row>
    <row r="52" spans="1:8">
      <c r="A52" s="6">
        <v>1000</v>
      </c>
      <c r="B52" s="6" t="s">
        <v>120</v>
      </c>
      <c r="C52" s="6" t="s">
        <v>121</v>
      </c>
      <c r="D52" s="6" t="s">
        <v>23</v>
      </c>
      <c r="E52" s="6" t="b">
        <v>0</v>
      </c>
      <c r="F52" s="6" t="s">
        <v>25</v>
      </c>
      <c r="H52" s="7">
        <v>46091</v>
      </c>
    </row>
    <row r="53" spans="1:8">
      <c r="A53" s="6">
        <v>1332</v>
      </c>
      <c r="B53" s="6" t="s">
        <v>122</v>
      </c>
      <c r="C53" s="6" t="s">
        <v>123</v>
      </c>
      <c r="D53" s="6" t="s">
        <v>23</v>
      </c>
      <c r="E53" s="6" t="b">
        <v>1</v>
      </c>
      <c r="F53" s="6" t="s">
        <v>25</v>
      </c>
      <c r="H53" s="7">
        <v>46091</v>
      </c>
    </row>
    <row r="54" spans="1:8">
      <c r="A54" s="6">
        <v>682</v>
      </c>
      <c r="B54" s="6" t="s">
        <v>124</v>
      </c>
      <c r="C54" s="6" t="s">
        <v>125</v>
      </c>
      <c r="D54" s="6" t="s">
        <v>23</v>
      </c>
      <c r="E54" s="6" t="b">
        <v>0</v>
      </c>
      <c r="F54" s="6" t="s">
        <v>27</v>
      </c>
      <c r="G54" s="6">
        <v>11</v>
      </c>
      <c r="H54" s="7">
        <v>46091</v>
      </c>
    </row>
    <row r="55" spans="1:8">
      <c r="A55" s="6">
        <v>1393</v>
      </c>
      <c r="B55" s="6" t="s">
        <v>126</v>
      </c>
      <c r="C55" s="6" t="s">
        <v>127</v>
      </c>
      <c r="D55" s="6" t="s">
        <v>23</v>
      </c>
      <c r="E55" s="6" t="b">
        <v>1</v>
      </c>
      <c r="F55" s="6" t="s">
        <v>27</v>
      </c>
      <c r="G55" s="6">
        <v>10</v>
      </c>
      <c r="H55" s="7">
        <v>46091</v>
      </c>
    </row>
    <row r="56" spans="1:8">
      <c r="A56" s="6">
        <v>1355</v>
      </c>
      <c r="B56" s="6" t="s">
        <v>128</v>
      </c>
      <c r="C56" s="6" t="s">
        <v>129</v>
      </c>
      <c r="D56" s="6" t="s">
        <v>23</v>
      </c>
      <c r="E56" s="6" t="b">
        <v>0</v>
      </c>
      <c r="F56" s="6" t="s">
        <v>35</v>
      </c>
      <c r="H56" s="7">
        <v>46091</v>
      </c>
    </row>
    <row r="57" spans="1:8">
      <c r="A57" s="6">
        <v>1164</v>
      </c>
      <c r="B57" s="6" t="s">
        <v>130</v>
      </c>
      <c r="C57" s="6" t="s">
        <v>131</v>
      </c>
      <c r="D57" s="6" t="s">
        <v>54</v>
      </c>
      <c r="E57" s="6" t="b">
        <v>1</v>
      </c>
      <c r="F57" s="6" t="s">
        <v>25</v>
      </c>
      <c r="H57" s="7">
        <v>46091</v>
      </c>
    </row>
    <row r="58" spans="1:8">
      <c r="A58" s="6">
        <v>1062</v>
      </c>
      <c r="B58" s="6" t="s">
        <v>130</v>
      </c>
      <c r="C58" s="6" t="s">
        <v>83</v>
      </c>
      <c r="D58" s="6" t="s">
        <v>23</v>
      </c>
      <c r="E58" s="6" t="b">
        <v>0</v>
      </c>
      <c r="F58" s="6" t="s">
        <v>27</v>
      </c>
      <c r="G58" s="6">
        <v>9</v>
      </c>
      <c r="H58" s="7">
        <v>46091</v>
      </c>
    </row>
    <row r="59" spans="1:8">
      <c r="A59" s="6">
        <v>938</v>
      </c>
      <c r="B59" s="6" t="s">
        <v>130</v>
      </c>
      <c r="C59" s="6" t="s">
        <v>132</v>
      </c>
      <c r="D59" s="6" t="s">
        <v>23</v>
      </c>
      <c r="E59" s="6" t="b">
        <v>1</v>
      </c>
      <c r="F59" s="6" t="s">
        <v>27</v>
      </c>
      <c r="G59" s="6">
        <v>7</v>
      </c>
      <c r="H59" s="7">
        <v>46091</v>
      </c>
    </row>
    <row r="60" spans="1:8">
      <c r="A60" s="6">
        <v>1034</v>
      </c>
      <c r="B60" s="6" t="s">
        <v>134</v>
      </c>
      <c r="C60" s="6" t="s">
        <v>83</v>
      </c>
      <c r="D60" s="6" t="s">
        <v>23</v>
      </c>
      <c r="E60" s="6" t="b">
        <v>0</v>
      </c>
      <c r="F60" s="6" t="s">
        <v>25</v>
      </c>
      <c r="H60" s="7">
        <v>46091</v>
      </c>
    </row>
    <row r="61" spans="1:8">
      <c r="A61" s="6">
        <v>1402</v>
      </c>
      <c r="B61" s="6" t="s">
        <v>135</v>
      </c>
      <c r="C61" s="6" t="s">
        <v>136</v>
      </c>
      <c r="D61" s="6" t="s">
        <v>23</v>
      </c>
      <c r="E61" s="6" t="b">
        <v>0</v>
      </c>
      <c r="F61" s="6" t="s">
        <v>27</v>
      </c>
      <c r="G61" s="6">
        <v>7</v>
      </c>
      <c r="H61" s="7">
        <v>46091</v>
      </c>
    </row>
    <row r="62" spans="1:8">
      <c r="A62" s="6">
        <v>939</v>
      </c>
      <c r="B62" s="6" t="s">
        <v>137</v>
      </c>
      <c r="C62" s="6" t="s">
        <v>127</v>
      </c>
      <c r="D62" s="6" t="s">
        <v>23</v>
      </c>
      <c r="E62" s="6" t="b">
        <v>1</v>
      </c>
      <c r="F62" s="6" t="s">
        <v>27</v>
      </c>
      <c r="G62" s="6">
        <v>12</v>
      </c>
      <c r="H62" s="7">
        <v>46091</v>
      </c>
    </row>
    <row r="63" spans="1:8">
      <c r="A63" s="6">
        <v>1377</v>
      </c>
      <c r="B63" s="6" t="s">
        <v>138</v>
      </c>
      <c r="C63" s="6" t="s">
        <v>139</v>
      </c>
      <c r="D63" s="6" t="s">
        <v>23</v>
      </c>
      <c r="E63" s="6" t="b">
        <v>1</v>
      </c>
      <c r="F63" s="6" t="s">
        <v>27</v>
      </c>
      <c r="G63" s="6">
        <v>12</v>
      </c>
      <c r="H63" s="7">
        <v>46091</v>
      </c>
    </row>
    <row r="64" spans="1:8">
      <c r="A64" s="6">
        <v>1281</v>
      </c>
      <c r="B64" s="6" t="s">
        <v>140</v>
      </c>
      <c r="C64" s="6" t="s">
        <v>141</v>
      </c>
      <c r="D64" s="6" t="s">
        <v>23</v>
      </c>
      <c r="E64" s="6" t="b">
        <v>0</v>
      </c>
      <c r="F64" s="6" t="s">
        <v>27</v>
      </c>
      <c r="G64" s="6">
        <v>19</v>
      </c>
      <c r="H64" s="7">
        <v>46091</v>
      </c>
    </row>
    <row r="65" spans="1:8">
      <c r="A65" s="6">
        <v>933</v>
      </c>
      <c r="B65" s="6" t="s">
        <v>142</v>
      </c>
      <c r="C65" s="6" t="s">
        <v>143</v>
      </c>
      <c r="D65" s="6" t="s">
        <v>23</v>
      </c>
      <c r="E65" s="6" t="b">
        <v>0</v>
      </c>
      <c r="F65" s="6" t="s">
        <v>25</v>
      </c>
      <c r="H65" s="7">
        <v>46091</v>
      </c>
    </row>
    <row r="66" spans="1:8">
      <c r="A66" s="6">
        <v>1274</v>
      </c>
      <c r="B66" s="6" t="s">
        <v>144</v>
      </c>
      <c r="C66" s="6" t="s">
        <v>145</v>
      </c>
      <c r="D66" s="6" t="s">
        <v>23</v>
      </c>
      <c r="E66" s="6" t="b">
        <v>1</v>
      </c>
      <c r="F66" s="6" t="s">
        <v>25</v>
      </c>
      <c r="H66" s="7">
        <v>46091</v>
      </c>
    </row>
    <row r="67" spans="1:8">
      <c r="A67" s="6">
        <v>493</v>
      </c>
      <c r="B67" s="6" t="s">
        <v>146</v>
      </c>
      <c r="C67" s="6" t="s">
        <v>49</v>
      </c>
      <c r="D67" s="6" t="s">
        <v>48</v>
      </c>
      <c r="E67" s="6" t="b">
        <v>0</v>
      </c>
      <c r="F67" s="6" t="s">
        <v>27</v>
      </c>
      <c r="G67" s="6">
        <v>37</v>
      </c>
      <c r="H67" s="7">
        <v>46091</v>
      </c>
    </row>
    <row r="68" spans="1:8">
      <c r="A68" s="6">
        <v>1279</v>
      </c>
      <c r="B68" s="6" t="s">
        <v>147</v>
      </c>
      <c r="C68" s="6" t="s">
        <v>148</v>
      </c>
      <c r="D68" s="6" t="s">
        <v>23</v>
      </c>
      <c r="E68" s="6" t="b">
        <v>0</v>
      </c>
      <c r="F68" s="6" t="s">
        <v>27</v>
      </c>
      <c r="G68" s="6">
        <v>4</v>
      </c>
      <c r="H68" s="7">
        <v>46091</v>
      </c>
    </row>
    <row r="69" spans="1:8">
      <c r="A69" s="6">
        <v>1193</v>
      </c>
      <c r="B69" s="6" t="s">
        <v>149</v>
      </c>
      <c r="C69" s="6" t="s">
        <v>150</v>
      </c>
      <c r="D69" s="6" t="s">
        <v>23</v>
      </c>
      <c r="E69" s="6" t="b">
        <v>0</v>
      </c>
      <c r="F69" s="6" t="s">
        <v>25</v>
      </c>
      <c r="H69" s="7">
        <v>46091</v>
      </c>
    </row>
    <row r="70" spans="1:8">
      <c r="A70" s="6">
        <v>1194</v>
      </c>
      <c r="B70" s="6" t="s">
        <v>149</v>
      </c>
      <c r="C70" s="6" t="s">
        <v>151</v>
      </c>
      <c r="D70" s="6" t="s">
        <v>23</v>
      </c>
      <c r="E70" s="6" t="b">
        <v>1</v>
      </c>
      <c r="F70" s="6" t="s">
        <v>25</v>
      </c>
      <c r="H70" s="7">
        <v>46091</v>
      </c>
    </row>
    <row r="71" spans="1:8">
      <c r="A71" s="6">
        <v>1196</v>
      </c>
      <c r="B71" s="6" t="s">
        <v>149</v>
      </c>
      <c r="C71" s="6" t="s">
        <v>152</v>
      </c>
      <c r="D71" s="6" t="s">
        <v>23</v>
      </c>
      <c r="E71" s="6" t="b">
        <v>0</v>
      </c>
      <c r="F71" s="6" t="s">
        <v>35</v>
      </c>
      <c r="H71" s="7">
        <v>46091</v>
      </c>
    </row>
    <row r="72" spans="1:8">
      <c r="A72" s="6">
        <v>1195</v>
      </c>
      <c r="B72" s="6" t="s">
        <v>149</v>
      </c>
      <c r="C72" s="6" t="s">
        <v>153</v>
      </c>
      <c r="D72" s="6" t="s">
        <v>23</v>
      </c>
      <c r="E72" s="6" t="b">
        <v>0</v>
      </c>
      <c r="F72" s="6" t="s">
        <v>35</v>
      </c>
      <c r="H72" s="7">
        <v>46091</v>
      </c>
    </row>
    <row r="73" spans="1:8">
      <c r="A73" s="6">
        <v>1176</v>
      </c>
      <c r="B73" s="6" t="s">
        <v>154</v>
      </c>
      <c r="C73" s="6" t="s">
        <v>155</v>
      </c>
      <c r="D73" s="6" t="s">
        <v>23</v>
      </c>
      <c r="E73" s="6" t="b">
        <v>0</v>
      </c>
      <c r="F73" s="6" t="s">
        <v>35</v>
      </c>
      <c r="H73" s="7">
        <v>46091</v>
      </c>
    </row>
    <row r="74" spans="1:8">
      <c r="A74" s="6">
        <v>1174</v>
      </c>
      <c r="B74" s="6" t="s">
        <v>154</v>
      </c>
      <c r="C74" s="6" t="s">
        <v>156</v>
      </c>
      <c r="D74" s="6" t="s">
        <v>23</v>
      </c>
      <c r="E74" s="6" t="b">
        <v>1</v>
      </c>
      <c r="F74" s="6" t="s">
        <v>27</v>
      </c>
      <c r="G74" s="6">
        <v>6</v>
      </c>
      <c r="H74" s="7">
        <v>46091</v>
      </c>
    </row>
    <row r="75" spans="1:8">
      <c r="A75" s="6">
        <v>1175</v>
      </c>
      <c r="B75" s="6" t="s">
        <v>154</v>
      </c>
      <c r="C75" s="6" t="s">
        <v>150</v>
      </c>
      <c r="D75" s="6" t="s">
        <v>23</v>
      </c>
      <c r="E75" s="6" t="b">
        <v>0</v>
      </c>
      <c r="F75" s="6" t="s">
        <v>27</v>
      </c>
      <c r="G75" s="6">
        <v>12</v>
      </c>
      <c r="H75" s="7">
        <v>46091</v>
      </c>
    </row>
    <row r="76" spans="1:8">
      <c r="A76" s="6">
        <v>1109</v>
      </c>
      <c r="B76" s="6" t="s">
        <v>157</v>
      </c>
      <c r="C76" s="6" t="s">
        <v>104</v>
      </c>
      <c r="D76" s="6" t="s">
        <v>23</v>
      </c>
      <c r="E76" s="6" t="b">
        <v>0</v>
      </c>
      <c r="F76" s="6" t="s">
        <v>25</v>
      </c>
      <c r="H76" s="7">
        <v>46091</v>
      </c>
    </row>
    <row r="77" spans="1:8">
      <c r="A77" s="6">
        <v>1073</v>
      </c>
      <c r="B77" s="6" t="s">
        <v>158</v>
      </c>
      <c r="C77" s="6" t="s">
        <v>150</v>
      </c>
      <c r="D77" s="6" t="s">
        <v>23</v>
      </c>
      <c r="E77" s="6" t="b">
        <v>0</v>
      </c>
      <c r="F77" s="6" t="s">
        <v>27</v>
      </c>
      <c r="G77" s="6">
        <v>3</v>
      </c>
      <c r="H77" s="7">
        <v>46091</v>
      </c>
    </row>
    <row r="78" spans="1:8">
      <c r="A78" s="6">
        <v>1400</v>
      </c>
      <c r="B78" s="6" t="s">
        <v>159</v>
      </c>
      <c r="C78" s="6" t="s">
        <v>160</v>
      </c>
      <c r="D78" s="6" t="s">
        <v>23</v>
      </c>
      <c r="E78" s="6" t="b">
        <v>0</v>
      </c>
      <c r="F78" s="6" t="s">
        <v>25</v>
      </c>
      <c r="H78" s="7">
        <v>46091</v>
      </c>
    </row>
    <row r="79" spans="1:8">
      <c r="A79" s="6">
        <v>1367</v>
      </c>
      <c r="B79" s="6" t="s">
        <v>161</v>
      </c>
      <c r="C79" s="6" t="s">
        <v>152</v>
      </c>
      <c r="D79" s="6" t="s">
        <v>23</v>
      </c>
      <c r="E79" s="6" t="b">
        <v>0</v>
      </c>
      <c r="F79" s="6" t="s">
        <v>35</v>
      </c>
      <c r="H79" s="7">
        <v>46091</v>
      </c>
    </row>
    <row r="80" spans="1:8">
      <c r="A80" s="6">
        <v>1366</v>
      </c>
      <c r="B80" s="6" t="s">
        <v>161</v>
      </c>
      <c r="C80" s="6" t="s">
        <v>162</v>
      </c>
      <c r="D80" s="6" t="s">
        <v>23</v>
      </c>
      <c r="E80" s="6" t="b">
        <v>1</v>
      </c>
      <c r="F80" s="6" t="s">
        <v>25</v>
      </c>
      <c r="H80" s="7">
        <v>46091</v>
      </c>
    </row>
    <row r="81" spans="1:8">
      <c r="A81" s="6">
        <v>1365</v>
      </c>
      <c r="B81" s="6" t="s">
        <v>161</v>
      </c>
      <c r="C81" s="6" t="s">
        <v>163</v>
      </c>
      <c r="D81" s="6" t="s">
        <v>23</v>
      </c>
      <c r="E81" s="6" t="b">
        <v>1</v>
      </c>
      <c r="F81" s="6" t="s">
        <v>27</v>
      </c>
      <c r="G81" s="6">
        <v>7</v>
      </c>
      <c r="H81" s="7">
        <v>46091</v>
      </c>
    </row>
    <row r="82" spans="1:8">
      <c r="A82" s="6">
        <v>897</v>
      </c>
      <c r="B82" s="6" t="s">
        <v>161</v>
      </c>
      <c r="C82" s="6" t="s">
        <v>164</v>
      </c>
      <c r="D82" s="6" t="s">
        <v>23</v>
      </c>
      <c r="E82" s="6" t="b">
        <v>0</v>
      </c>
      <c r="F82" s="6" t="s">
        <v>27</v>
      </c>
      <c r="G82" s="6">
        <v>13</v>
      </c>
      <c r="H82" s="7">
        <v>46091</v>
      </c>
    </row>
    <row r="83" spans="1:8">
      <c r="A83" s="6">
        <v>1308</v>
      </c>
      <c r="B83" s="6" t="s">
        <v>165</v>
      </c>
      <c r="C83" s="6" t="s">
        <v>166</v>
      </c>
      <c r="D83" s="6" t="s">
        <v>23</v>
      </c>
      <c r="E83" s="6" t="b">
        <v>1</v>
      </c>
      <c r="F83" s="6" t="s">
        <v>27</v>
      </c>
      <c r="G83" s="6">
        <v>2</v>
      </c>
      <c r="H83" s="7">
        <v>46091</v>
      </c>
    </row>
    <row r="84" spans="1:8">
      <c r="A84" s="6">
        <v>1206</v>
      </c>
      <c r="B84" s="6" t="s">
        <v>167</v>
      </c>
      <c r="C84" s="6" t="s">
        <v>168</v>
      </c>
      <c r="D84" s="6" t="s">
        <v>23</v>
      </c>
      <c r="E84" s="6" t="b">
        <v>1</v>
      </c>
      <c r="F84" s="6" t="s">
        <v>27</v>
      </c>
      <c r="G84" s="6">
        <v>8</v>
      </c>
      <c r="H84" s="7">
        <v>46091</v>
      </c>
    </row>
    <row r="85" spans="1:8">
      <c r="A85" s="6">
        <v>1205</v>
      </c>
      <c r="B85" s="6" t="s">
        <v>167</v>
      </c>
      <c r="C85" s="6" t="s">
        <v>66</v>
      </c>
      <c r="D85" s="6" t="s">
        <v>23</v>
      </c>
      <c r="E85" s="6" t="b">
        <v>0</v>
      </c>
      <c r="F85" s="6" t="s">
        <v>27</v>
      </c>
      <c r="G85" s="6">
        <v>14</v>
      </c>
      <c r="H85" s="7">
        <v>46091</v>
      </c>
    </row>
    <row r="86" spans="1:8">
      <c r="A86" s="6">
        <v>1406</v>
      </c>
      <c r="B86" s="6" t="s">
        <v>169</v>
      </c>
      <c r="C86" s="6" t="s">
        <v>170</v>
      </c>
      <c r="D86" s="6" t="s">
        <v>23</v>
      </c>
      <c r="E86" s="6" t="b">
        <v>0</v>
      </c>
      <c r="F86" s="6" t="s">
        <v>27</v>
      </c>
      <c r="G86" s="6">
        <v>9</v>
      </c>
      <c r="H86" s="7">
        <v>46091</v>
      </c>
    </row>
    <row r="87" spans="1:8">
      <c r="A87" s="6">
        <v>1182</v>
      </c>
      <c r="B87" s="6" t="s">
        <v>171</v>
      </c>
      <c r="C87" s="6" t="s">
        <v>136</v>
      </c>
      <c r="D87" s="6" t="s">
        <v>23</v>
      </c>
      <c r="E87" s="6" t="b">
        <v>0</v>
      </c>
      <c r="F87" s="6" t="s">
        <v>27</v>
      </c>
      <c r="G87" s="6">
        <v>8</v>
      </c>
      <c r="H87" s="7">
        <v>46091</v>
      </c>
    </row>
    <row r="88" spans="1:8">
      <c r="A88" s="6">
        <v>1340</v>
      </c>
      <c r="B88" s="6" t="s">
        <v>172</v>
      </c>
      <c r="C88" s="6" t="s">
        <v>173</v>
      </c>
      <c r="D88" s="6" t="s">
        <v>23</v>
      </c>
      <c r="E88" s="6" t="b">
        <v>0</v>
      </c>
      <c r="F88" s="6" t="s">
        <v>27</v>
      </c>
      <c r="G88" s="6">
        <v>8</v>
      </c>
      <c r="H88" s="7">
        <v>46091</v>
      </c>
    </row>
    <row r="89" spans="1:8">
      <c r="A89" s="6">
        <v>21</v>
      </c>
      <c r="B89" s="6" t="s">
        <v>174</v>
      </c>
      <c r="C89" s="6" t="s">
        <v>175</v>
      </c>
      <c r="D89" s="6" t="s">
        <v>23</v>
      </c>
      <c r="E89" s="6" t="b">
        <v>0</v>
      </c>
      <c r="F89" s="6" t="s">
        <v>25</v>
      </c>
      <c r="H89" s="7">
        <v>46091</v>
      </c>
    </row>
    <row r="90" spans="1:8">
      <c r="A90" s="6">
        <v>1049</v>
      </c>
      <c r="B90" s="6" t="s">
        <v>176</v>
      </c>
      <c r="C90" s="6" t="s">
        <v>177</v>
      </c>
      <c r="D90" s="6" t="s">
        <v>23</v>
      </c>
      <c r="E90" s="6" t="b">
        <v>0</v>
      </c>
      <c r="F90" s="6" t="s">
        <v>27</v>
      </c>
      <c r="G90" s="6">
        <v>19</v>
      </c>
      <c r="H90" s="7">
        <v>46091</v>
      </c>
    </row>
    <row r="91" spans="1:8">
      <c r="A91" s="6">
        <v>120</v>
      </c>
      <c r="B91" s="6" t="s">
        <v>178</v>
      </c>
      <c r="C91" s="6" t="s">
        <v>179</v>
      </c>
      <c r="D91" s="6" t="s">
        <v>23</v>
      </c>
      <c r="E91" s="6" t="b">
        <v>1</v>
      </c>
      <c r="F91" s="6" t="s">
        <v>27</v>
      </c>
      <c r="G91" s="6">
        <v>12</v>
      </c>
      <c r="H91" s="7">
        <v>46091</v>
      </c>
    </row>
    <row r="92" spans="1:8">
      <c r="A92" s="6">
        <v>990</v>
      </c>
      <c r="B92" s="6" t="s">
        <v>180</v>
      </c>
      <c r="C92" s="6" t="s">
        <v>87</v>
      </c>
      <c r="D92" s="6" t="s">
        <v>23</v>
      </c>
      <c r="E92" s="6" t="b">
        <v>1</v>
      </c>
      <c r="F92" s="6" t="s">
        <v>27</v>
      </c>
      <c r="G92" s="6">
        <v>10</v>
      </c>
      <c r="H92" s="7">
        <v>46091</v>
      </c>
    </row>
    <row r="93" spans="1:8">
      <c r="A93" s="6">
        <v>1395</v>
      </c>
      <c r="B93" s="6" t="s">
        <v>181</v>
      </c>
      <c r="C93" s="6" t="s">
        <v>182</v>
      </c>
      <c r="D93" s="6" t="s">
        <v>23</v>
      </c>
      <c r="E93" s="6" t="b">
        <v>1</v>
      </c>
      <c r="F93" s="6" t="s">
        <v>35</v>
      </c>
      <c r="H93" s="7">
        <v>46091</v>
      </c>
    </row>
    <row r="94" spans="1:8">
      <c r="A94" s="6">
        <v>1158</v>
      </c>
      <c r="B94" s="6" t="s">
        <v>183</v>
      </c>
      <c r="C94" s="6" t="s">
        <v>184</v>
      </c>
      <c r="D94" s="6" t="s">
        <v>23</v>
      </c>
      <c r="E94" s="6" t="b">
        <v>1</v>
      </c>
      <c r="F94" s="6" t="s">
        <v>25</v>
      </c>
      <c r="H94" s="7">
        <v>46091</v>
      </c>
    </row>
    <row r="95" spans="1:8">
      <c r="A95" s="6">
        <v>23</v>
      </c>
      <c r="B95" s="6" t="s">
        <v>185</v>
      </c>
      <c r="C95" s="6" t="s">
        <v>100</v>
      </c>
      <c r="D95" s="6" t="s">
        <v>23</v>
      </c>
      <c r="E95" s="6" t="b">
        <v>0</v>
      </c>
      <c r="F95" s="6" t="s">
        <v>27</v>
      </c>
      <c r="G95" s="6">
        <v>10</v>
      </c>
      <c r="H95" s="7">
        <v>46091</v>
      </c>
    </row>
    <row r="96" spans="1:8">
      <c r="A96" s="6">
        <v>1152</v>
      </c>
      <c r="B96" s="6" t="s">
        <v>186</v>
      </c>
      <c r="C96" s="6" t="s">
        <v>187</v>
      </c>
      <c r="D96" s="6" t="s">
        <v>23</v>
      </c>
      <c r="E96" s="6" t="b">
        <v>1</v>
      </c>
      <c r="F96" s="6" t="s">
        <v>188</v>
      </c>
      <c r="H96" s="7">
        <v>46091</v>
      </c>
    </row>
    <row r="97" spans="1:8">
      <c r="A97" s="6">
        <v>581</v>
      </c>
      <c r="B97" s="6" t="s">
        <v>189</v>
      </c>
      <c r="C97" s="6" t="s">
        <v>190</v>
      </c>
      <c r="D97" s="6" t="s">
        <v>23</v>
      </c>
      <c r="E97" s="6" t="b">
        <v>0</v>
      </c>
      <c r="F97" s="6" t="s">
        <v>27</v>
      </c>
      <c r="G97" s="6">
        <v>13</v>
      </c>
      <c r="H97" s="7">
        <v>46091</v>
      </c>
    </row>
    <row r="98" spans="1:8">
      <c r="A98" s="6">
        <v>1374</v>
      </c>
      <c r="B98" s="6" t="s">
        <v>191</v>
      </c>
      <c r="C98" s="6" t="s">
        <v>192</v>
      </c>
      <c r="D98" s="6" t="s">
        <v>23</v>
      </c>
      <c r="E98" s="6" t="b">
        <v>0</v>
      </c>
      <c r="F98" s="6" t="s">
        <v>25</v>
      </c>
      <c r="H98" s="7">
        <v>46091</v>
      </c>
    </row>
    <row r="99" spans="1:8">
      <c r="A99" s="6">
        <v>25</v>
      </c>
      <c r="B99" s="6" t="s">
        <v>22</v>
      </c>
      <c r="C99" s="6" t="s">
        <v>193</v>
      </c>
      <c r="D99" s="6" t="s">
        <v>23</v>
      </c>
      <c r="E99" s="6" t="b">
        <v>0</v>
      </c>
      <c r="F99" s="6" t="s">
        <v>27</v>
      </c>
      <c r="G99" s="6">
        <v>8</v>
      </c>
      <c r="H99" s="7">
        <v>46091</v>
      </c>
    </row>
    <row r="100" spans="1:8">
      <c r="A100" s="6">
        <v>415</v>
      </c>
      <c r="B100" s="6" t="s">
        <v>195</v>
      </c>
      <c r="C100" s="6" t="s">
        <v>196</v>
      </c>
      <c r="D100" s="6" t="s">
        <v>23</v>
      </c>
      <c r="E100" s="6" t="b">
        <v>0</v>
      </c>
      <c r="F100" s="6" t="s">
        <v>27</v>
      </c>
      <c r="G100" s="6">
        <v>6</v>
      </c>
      <c r="H100" s="7">
        <v>46091</v>
      </c>
    </row>
    <row r="101" spans="1:8">
      <c r="A101" s="6">
        <v>1144</v>
      </c>
      <c r="B101" s="6" t="s">
        <v>195</v>
      </c>
      <c r="C101" s="6" t="s">
        <v>197</v>
      </c>
      <c r="D101" s="6" t="s">
        <v>54</v>
      </c>
      <c r="E101" s="6" t="b">
        <v>0</v>
      </c>
      <c r="F101" s="6" t="s">
        <v>188</v>
      </c>
      <c r="H101" s="7">
        <v>46091</v>
      </c>
    </row>
    <row r="102" spans="1:8">
      <c r="A102" s="6">
        <v>203</v>
      </c>
      <c r="B102" s="6" t="s">
        <v>200</v>
      </c>
      <c r="C102" s="6" t="s">
        <v>201</v>
      </c>
      <c r="D102" s="6" t="s">
        <v>23</v>
      </c>
      <c r="E102" s="6" t="b">
        <v>0</v>
      </c>
      <c r="F102" s="6" t="s">
        <v>27</v>
      </c>
      <c r="G102" s="6">
        <v>9</v>
      </c>
      <c r="H102" s="7">
        <v>46091</v>
      </c>
    </row>
    <row r="103" spans="1:8">
      <c r="A103" s="6">
        <v>956</v>
      </c>
      <c r="B103" s="6" t="s">
        <v>202</v>
      </c>
      <c r="C103" s="6" t="s">
        <v>94</v>
      </c>
      <c r="D103" s="6" t="s">
        <v>23</v>
      </c>
      <c r="E103" s="6" t="b">
        <v>0</v>
      </c>
      <c r="F103" s="6" t="s">
        <v>27</v>
      </c>
      <c r="G103" s="6">
        <v>13</v>
      </c>
      <c r="H103" s="7">
        <v>46091</v>
      </c>
    </row>
    <row r="104" spans="1:8">
      <c r="A104" s="6">
        <v>1273</v>
      </c>
      <c r="B104" s="6" t="s">
        <v>203</v>
      </c>
      <c r="C104" s="6" t="s">
        <v>204</v>
      </c>
      <c r="D104" s="6" t="s">
        <v>23</v>
      </c>
      <c r="E104" s="6" t="b">
        <v>1</v>
      </c>
      <c r="F104" s="6" t="s">
        <v>27</v>
      </c>
      <c r="G104" s="6">
        <v>22</v>
      </c>
      <c r="H104" s="7">
        <v>46091</v>
      </c>
    </row>
    <row r="105" spans="1:8">
      <c r="A105" s="6">
        <v>1272</v>
      </c>
      <c r="B105" s="6" t="s">
        <v>203</v>
      </c>
      <c r="C105" s="6" t="s">
        <v>205</v>
      </c>
      <c r="D105" s="6" t="s">
        <v>23</v>
      </c>
      <c r="E105" s="6" t="b">
        <v>0</v>
      </c>
      <c r="F105" s="6" t="s">
        <v>27</v>
      </c>
      <c r="G105" s="6">
        <v>24</v>
      </c>
      <c r="H105" s="7">
        <v>46091</v>
      </c>
    </row>
    <row r="106" spans="1:8">
      <c r="A106" s="6">
        <v>846</v>
      </c>
      <c r="B106" s="6" t="s">
        <v>206</v>
      </c>
      <c r="C106" s="6" t="s">
        <v>207</v>
      </c>
      <c r="D106" s="6" t="s">
        <v>23</v>
      </c>
      <c r="E106" s="6" t="b">
        <v>0</v>
      </c>
      <c r="F106" s="6" t="s">
        <v>27</v>
      </c>
      <c r="G106" s="6">
        <v>17</v>
      </c>
      <c r="H106" s="7">
        <v>46091</v>
      </c>
    </row>
    <row r="107" spans="1:8">
      <c r="A107" s="6">
        <v>1162</v>
      </c>
      <c r="B107" s="6" t="s">
        <v>208</v>
      </c>
      <c r="C107" s="6" t="s">
        <v>150</v>
      </c>
      <c r="D107" s="6" t="s">
        <v>23</v>
      </c>
      <c r="E107" s="6" t="b">
        <v>0</v>
      </c>
      <c r="F107" s="6" t="s">
        <v>25</v>
      </c>
      <c r="H107" s="7">
        <v>46091</v>
      </c>
    </row>
    <row r="108" spans="1:8">
      <c r="A108" s="6">
        <v>1244</v>
      </c>
      <c r="B108" s="6" t="s">
        <v>209</v>
      </c>
      <c r="C108" s="6" t="s">
        <v>94</v>
      </c>
      <c r="D108" s="6" t="s">
        <v>23</v>
      </c>
      <c r="E108" s="6" t="b">
        <v>0</v>
      </c>
      <c r="F108" s="6" t="s">
        <v>27</v>
      </c>
      <c r="G108" s="6">
        <v>2</v>
      </c>
      <c r="H108" s="7">
        <v>46091</v>
      </c>
    </row>
    <row r="109" spans="1:8">
      <c r="A109" s="6">
        <v>1379</v>
      </c>
      <c r="B109" s="6" t="s">
        <v>209</v>
      </c>
      <c r="C109" s="6" t="s">
        <v>210</v>
      </c>
      <c r="D109" s="6" t="s">
        <v>23</v>
      </c>
      <c r="E109" s="6" t="b">
        <v>1</v>
      </c>
      <c r="F109" s="6" t="s">
        <v>25</v>
      </c>
      <c r="H109" s="7">
        <v>46091</v>
      </c>
    </row>
    <row r="110" spans="1:8">
      <c r="A110" s="6">
        <v>1362</v>
      </c>
      <c r="B110" s="6" t="s">
        <v>211</v>
      </c>
      <c r="C110" s="6" t="s">
        <v>212</v>
      </c>
      <c r="D110" s="6" t="s">
        <v>23</v>
      </c>
      <c r="E110" s="6" t="b">
        <v>1</v>
      </c>
      <c r="F110" s="6" t="s">
        <v>27</v>
      </c>
      <c r="G110" s="6">
        <v>22</v>
      </c>
      <c r="H110" s="7">
        <v>46091</v>
      </c>
    </row>
    <row r="111" spans="1:8">
      <c r="A111" s="6">
        <v>1403</v>
      </c>
      <c r="B111" s="6" t="s">
        <v>213</v>
      </c>
      <c r="C111" s="6" t="s">
        <v>214</v>
      </c>
      <c r="D111" s="6" t="s">
        <v>23</v>
      </c>
      <c r="E111" s="6" t="b">
        <v>0</v>
      </c>
      <c r="F111" s="6" t="s">
        <v>27</v>
      </c>
      <c r="G111" s="6">
        <v>8</v>
      </c>
      <c r="H111" s="7">
        <v>46091</v>
      </c>
    </row>
    <row r="112" spans="1:8">
      <c r="A112" s="6">
        <v>1404</v>
      </c>
      <c r="B112" s="6" t="s">
        <v>213</v>
      </c>
      <c r="C112" s="6" t="s">
        <v>215</v>
      </c>
      <c r="D112" s="6" t="s">
        <v>23</v>
      </c>
      <c r="E112" s="6" t="b">
        <v>1</v>
      </c>
      <c r="F112" s="6" t="s">
        <v>25</v>
      </c>
      <c r="H112" s="7">
        <v>46091</v>
      </c>
    </row>
    <row r="113" spans="1:8">
      <c r="A113" s="6">
        <v>1229</v>
      </c>
      <c r="B113" s="6" t="s">
        <v>216</v>
      </c>
      <c r="C113" s="6" t="s">
        <v>217</v>
      </c>
      <c r="D113" s="6" t="s">
        <v>23</v>
      </c>
      <c r="E113" s="6" t="b">
        <v>1</v>
      </c>
      <c r="F113" s="6" t="s">
        <v>25</v>
      </c>
      <c r="H113" s="7">
        <v>46091</v>
      </c>
    </row>
    <row r="114" spans="1:8">
      <c r="A114" s="6">
        <v>1408</v>
      </c>
      <c r="B114" s="6" t="s">
        <v>218</v>
      </c>
      <c r="C114" s="6" t="s">
        <v>219</v>
      </c>
      <c r="D114" s="6" t="s">
        <v>23</v>
      </c>
      <c r="E114" s="6" t="b">
        <v>0</v>
      </c>
      <c r="F114" s="6" t="s">
        <v>27</v>
      </c>
      <c r="G114" s="6">
        <v>20</v>
      </c>
      <c r="H114" s="7">
        <v>46091</v>
      </c>
    </row>
    <row r="115" spans="1:8">
      <c r="A115" s="6">
        <v>1409</v>
      </c>
      <c r="B115" s="6" t="s">
        <v>218</v>
      </c>
      <c r="C115" s="6" t="s">
        <v>220</v>
      </c>
      <c r="D115" s="6" t="s">
        <v>23</v>
      </c>
      <c r="E115" s="6" t="b">
        <v>1</v>
      </c>
      <c r="F115" s="6" t="s">
        <v>27</v>
      </c>
      <c r="G115" s="6">
        <v>15</v>
      </c>
      <c r="H115" s="7">
        <v>46091</v>
      </c>
    </row>
    <row r="116" spans="1:8">
      <c r="A116" s="6">
        <v>1198</v>
      </c>
      <c r="B116" s="6" t="s">
        <v>221</v>
      </c>
      <c r="C116" s="6" t="s">
        <v>222</v>
      </c>
      <c r="D116" s="6" t="s">
        <v>23</v>
      </c>
      <c r="E116" s="6" t="b">
        <v>0</v>
      </c>
      <c r="F116" s="6" t="s">
        <v>27</v>
      </c>
      <c r="G116" s="6">
        <v>5</v>
      </c>
      <c r="H116" s="7">
        <v>46091</v>
      </c>
    </row>
    <row r="117" spans="1:8">
      <c r="A117" s="6">
        <v>1361</v>
      </c>
      <c r="B117" s="6" t="s">
        <v>224</v>
      </c>
      <c r="C117" s="6" t="s">
        <v>225</v>
      </c>
      <c r="D117" s="6" t="s">
        <v>23</v>
      </c>
      <c r="E117" s="6" t="b">
        <v>0</v>
      </c>
      <c r="F117" s="6" t="s">
        <v>27</v>
      </c>
      <c r="G117" s="6">
        <v>16</v>
      </c>
      <c r="H117" s="7">
        <v>46091</v>
      </c>
    </row>
    <row r="118" spans="1:8">
      <c r="A118" s="6">
        <v>1100</v>
      </c>
      <c r="B118" s="6" t="s">
        <v>226</v>
      </c>
      <c r="C118" s="6" t="s">
        <v>34</v>
      </c>
      <c r="D118" s="6" t="s">
        <v>23</v>
      </c>
      <c r="E118" s="6" t="b">
        <v>0</v>
      </c>
      <c r="F118" s="6" t="s">
        <v>27</v>
      </c>
      <c r="G118" s="6">
        <v>13</v>
      </c>
      <c r="H118" s="7">
        <v>46091</v>
      </c>
    </row>
    <row r="119" spans="1:8">
      <c r="A119" s="6">
        <v>1385</v>
      </c>
      <c r="B119" s="6" t="s">
        <v>227</v>
      </c>
      <c r="C119" s="6" t="s">
        <v>228</v>
      </c>
      <c r="D119" s="6" t="s">
        <v>23</v>
      </c>
      <c r="E119" s="6" t="b">
        <v>0</v>
      </c>
      <c r="F119" s="6" t="s">
        <v>25</v>
      </c>
      <c r="H119" s="7">
        <v>46091</v>
      </c>
    </row>
    <row r="120" spans="1:8">
      <c r="A120" s="6">
        <v>1394</v>
      </c>
      <c r="B120" s="6" t="s">
        <v>227</v>
      </c>
      <c r="C120" s="6" t="s">
        <v>229</v>
      </c>
      <c r="D120" s="6" t="s">
        <v>23</v>
      </c>
      <c r="E120" s="6" t="b">
        <v>0</v>
      </c>
      <c r="F120" s="6" t="s">
        <v>35</v>
      </c>
      <c r="H120" s="7">
        <v>46091</v>
      </c>
    </row>
    <row r="121" spans="1:8">
      <c r="A121" s="6">
        <v>967</v>
      </c>
      <c r="B121" s="6" t="s">
        <v>232</v>
      </c>
      <c r="C121" s="6" t="s">
        <v>152</v>
      </c>
      <c r="D121" s="6" t="s">
        <v>23</v>
      </c>
      <c r="E121" s="6" t="b">
        <v>0</v>
      </c>
      <c r="F121" s="6" t="s">
        <v>27</v>
      </c>
      <c r="G121" s="6">
        <v>5</v>
      </c>
      <c r="H121" s="7">
        <v>46091</v>
      </c>
    </row>
    <row r="122" spans="1:8">
      <c r="A122" s="6">
        <v>1045</v>
      </c>
      <c r="B122" s="6" t="s">
        <v>235</v>
      </c>
      <c r="C122" s="6" t="s">
        <v>236</v>
      </c>
      <c r="D122" s="6" t="s">
        <v>23</v>
      </c>
      <c r="E122" s="6" t="b">
        <v>1</v>
      </c>
      <c r="F122" s="6" t="s">
        <v>27</v>
      </c>
      <c r="G122" s="6">
        <v>5</v>
      </c>
      <c r="H122" s="7">
        <v>46091</v>
      </c>
    </row>
    <row r="123" spans="1:8">
      <c r="A123" s="6">
        <v>1046</v>
      </c>
      <c r="B123" s="6" t="s">
        <v>235</v>
      </c>
      <c r="C123" s="6" t="s">
        <v>237</v>
      </c>
      <c r="D123" s="6" t="s">
        <v>23</v>
      </c>
      <c r="E123" s="6" t="b">
        <v>0</v>
      </c>
      <c r="F123" s="6" t="s">
        <v>27</v>
      </c>
      <c r="G123" s="6">
        <v>35</v>
      </c>
      <c r="H123" s="7">
        <v>46091</v>
      </c>
    </row>
    <row r="124" spans="1:8">
      <c r="A124" s="6">
        <v>1396</v>
      </c>
      <c r="B124" s="6" t="s">
        <v>238</v>
      </c>
      <c r="C124" s="6" t="s">
        <v>59</v>
      </c>
      <c r="D124" s="6" t="s">
        <v>23</v>
      </c>
      <c r="E124" s="6" t="b">
        <v>0</v>
      </c>
      <c r="F124" s="6" t="s">
        <v>25</v>
      </c>
      <c r="H124" s="7">
        <v>46091</v>
      </c>
    </row>
    <row r="125" spans="1:8">
      <c r="A125" s="6">
        <v>1397</v>
      </c>
      <c r="B125" s="6" t="s">
        <v>238</v>
      </c>
      <c r="C125" s="6" t="s">
        <v>239</v>
      </c>
      <c r="D125" s="6" t="s">
        <v>23</v>
      </c>
      <c r="E125" s="6" t="b">
        <v>1</v>
      </c>
      <c r="F125" s="6" t="s">
        <v>25</v>
      </c>
      <c r="H125" s="7">
        <v>46091</v>
      </c>
    </row>
    <row r="126" spans="1:8">
      <c r="A126" s="6">
        <v>1398</v>
      </c>
      <c r="B126" s="6" t="s">
        <v>238</v>
      </c>
      <c r="C126" s="6" t="s">
        <v>49</v>
      </c>
      <c r="D126" s="6" t="s">
        <v>23</v>
      </c>
      <c r="E126" s="6" t="b">
        <v>0</v>
      </c>
      <c r="F126" s="6" t="s">
        <v>35</v>
      </c>
      <c r="H126" s="7">
        <v>46091</v>
      </c>
    </row>
    <row r="127" spans="1:8">
      <c r="A127" s="6">
        <v>1399</v>
      </c>
      <c r="B127" s="6" t="s">
        <v>238</v>
      </c>
      <c r="C127" s="6" t="s">
        <v>131</v>
      </c>
      <c r="D127" s="6" t="s">
        <v>23</v>
      </c>
      <c r="E127" s="6" t="b">
        <v>1</v>
      </c>
      <c r="F127" s="6" t="s">
        <v>35</v>
      </c>
      <c r="H127" s="7">
        <v>46091</v>
      </c>
    </row>
    <row r="128" spans="1:8">
      <c r="A128" s="6">
        <v>771</v>
      </c>
      <c r="B128" s="6" t="s">
        <v>240</v>
      </c>
      <c r="C128" s="6" t="s">
        <v>241</v>
      </c>
      <c r="D128" s="6" t="s">
        <v>23</v>
      </c>
      <c r="E128" s="6" t="b">
        <v>0</v>
      </c>
      <c r="F128" s="6" t="s">
        <v>27</v>
      </c>
      <c r="G128" s="6">
        <v>14</v>
      </c>
      <c r="H128" s="7">
        <v>46091</v>
      </c>
    </row>
    <row r="129" spans="1:8">
      <c r="A129" s="6">
        <v>1265</v>
      </c>
      <c r="B129" s="6" t="s">
        <v>242</v>
      </c>
      <c r="C129" s="6" t="s">
        <v>243</v>
      </c>
      <c r="D129" s="6" t="s">
        <v>23</v>
      </c>
      <c r="E129" s="6" t="b">
        <v>0</v>
      </c>
      <c r="F129" s="6" t="s">
        <v>27</v>
      </c>
      <c r="G129" s="6">
        <v>20</v>
      </c>
      <c r="H129" s="7">
        <v>46091</v>
      </c>
    </row>
    <row r="130" spans="1:8">
      <c r="A130" s="6">
        <v>532</v>
      </c>
      <c r="B130" s="6" t="s">
        <v>244</v>
      </c>
      <c r="C130" s="6" t="s">
        <v>243</v>
      </c>
      <c r="D130" s="6" t="s">
        <v>23</v>
      </c>
      <c r="E130" s="6" t="b">
        <v>0</v>
      </c>
      <c r="F130" s="6" t="s">
        <v>27</v>
      </c>
      <c r="G130" s="6">
        <v>13</v>
      </c>
      <c r="H130" s="7">
        <v>46091</v>
      </c>
    </row>
    <row r="131" spans="1:8">
      <c r="A131" s="6">
        <v>742</v>
      </c>
      <c r="B131" s="6" t="s">
        <v>246</v>
      </c>
      <c r="C131" s="6" t="s">
        <v>156</v>
      </c>
      <c r="D131" s="6" t="s">
        <v>23</v>
      </c>
      <c r="E131" s="6" t="b">
        <v>1</v>
      </c>
      <c r="F131" s="6" t="s">
        <v>27</v>
      </c>
      <c r="G131" s="6">
        <v>2</v>
      </c>
      <c r="H131" s="7">
        <v>46091</v>
      </c>
    </row>
    <row r="132" spans="1:8">
      <c r="A132" s="6">
        <v>741</v>
      </c>
      <c r="B132" s="6" t="s">
        <v>246</v>
      </c>
      <c r="C132" s="6" t="s">
        <v>247</v>
      </c>
      <c r="D132" s="6" t="s">
        <v>23</v>
      </c>
      <c r="E132" s="6" t="b">
        <v>0</v>
      </c>
      <c r="F132" s="6" t="s">
        <v>27</v>
      </c>
      <c r="G132" s="6">
        <v>4</v>
      </c>
      <c r="H132" s="7">
        <v>46091</v>
      </c>
    </row>
    <row r="133" spans="1:8">
      <c r="A133" s="6">
        <v>1298</v>
      </c>
      <c r="B133" s="6" t="s">
        <v>246</v>
      </c>
      <c r="C133" s="6" t="s">
        <v>132</v>
      </c>
      <c r="D133" s="6" t="s">
        <v>23</v>
      </c>
      <c r="E133" s="6" t="b">
        <v>1</v>
      </c>
      <c r="F133" s="6" t="s">
        <v>27</v>
      </c>
      <c r="G133" s="6">
        <v>13</v>
      </c>
      <c r="H133" s="7">
        <v>46091</v>
      </c>
    </row>
    <row r="134" spans="1:8">
      <c r="A134" s="6">
        <v>747</v>
      </c>
      <c r="B134" s="6" t="s">
        <v>246</v>
      </c>
      <c r="C134" s="6" t="s">
        <v>22</v>
      </c>
      <c r="D134" s="6" t="s">
        <v>23</v>
      </c>
      <c r="E134" s="6" t="b">
        <v>0</v>
      </c>
      <c r="F134" s="6" t="s">
        <v>27</v>
      </c>
      <c r="G134" s="6">
        <v>1</v>
      </c>
      <c r="H134" s="7">
        <v>46091</v>
      </c>
    </row>
    <row r="135" spans="1:8">
      <c r="A135" s="6">
        <v>1386</v>
      </c>
      <c r="B135" s="6" t="s">
        <v>246</v>
      </c>
      <c r="C135" s="6" t="s">
        <v>248</v>
      </c>
      <c r="D135" s="6" t="s">
        <v>23</v>
      </c>
      <c r="E135" s="6" t="b">
        <v>1</v>
      </c>
      <c r="F135" s="6" t="s">
        <v>35</v>
      </c>
      <c r="H135" s="7">
        <v>46091</v>
      </c>
    </row>
    <row r="136" spans="1:8">
      <c r="A136" s="6">
        <v>564</v>
      </c>
      <c r="B136" s="6" t="s">
        <v>250</v>
      </c>
      <c r="C136" s="6" t="s">
        <v>34</v>
      </c>
      <c r="D136" s="6" t="s">
        <v>23</v>
      </c>
      <c r="E136" s="6" t="b">
        <v>0</v>
      </c>
      <c r="F136" s="6" t="s">
        <v>27</v>
      </c>
      <c r="G136" s="6">
        <v>7</v>
      </c>
      <c r="H136" s="7">
        <v>46091</v>
      </c>
    </row>
    <row r="137" spans="1:8">
      <c r="A137" s="6">
        <v>1165</v>
      </c>
      <c r="B137" s="6" t="s">
        <v>251</v>
      </c>
      <c r="C137" s="6" t="s">
        <v>177</v>
      </c>
      <c r="D137" s="6" t="s">
        <v>23</v>
      </c>
      <c r="E137" s="6" t="b">
        <v>0</v>
      </c>
      <c r="F137" s="6" t="s">
        <v>27</v>
      </c>
      <c r="G137" s="6">
        <v>10</v>
      </c>
      <c r="H137" s="7">
        <v>46091</v>
      </c>
    </row>
    <row r="138" spans="1:8">
      <c r="A138" s="6">
        <v>405</v>
      </c>
      <c r="B138" s="6" t="s">
        <v>252</v>
      </c>
      <c r="C138" s="6" t="s">
        <v>243</v>
      </c>
      <c r="D138" s="6" t="s">
        <v>23</v>
      </c>
      <c r="E138" s="6" t="b">
        <v>0</v>
      </c>
      <c r="F138" s="6" t="s">
        <v>27</v>
      </c>
      <c r="G138" s="6">
        <v>18</v>
      </c>
      <c r="H138" s="7">
        <v>46091</v>
      </c>
    </row>
    <row r="139" spans="1:8">
      <c r="A139" s="6">
        <v>1346</v>
      </c>
      <c r="B139" s="6" t="s">
        <v>253</v>
      </c>
      <c r="C139" s="6" t="s">
        <v>254</v>
      </c>
      <c r="D139" s="6" t="s">
        <v>23</v>
      </c>
      <c r="E139" s="6" t="b">
        <v>0</v>
      </c>
      <c r="F139" s="6" t="s">
        <v>27</v>
      </c>
      <c r="G139" s="6">
        <v>20</v>
      </c>
      <c r="H139" s="7">
        <v>46091</v>
      </c>
    </row>
    <row r="140" spans="1:8">
      <c r="A140" s="6">
        <v>1192</v>
      </c>
      <c r="B140" s="6" t="s">
        <v>255</v>
      </c>
      <c r="C140" s="6" t="s">
        <v>256</v>
      </c>
      <c r="D140" s="6" t="s">
        <v>23</v>
      </c>
      <c r="E140" s="6" t="b">
        <v>0</v>
      </c>
      <c r="F140" s="6" t="s">
        <v>27</v>
      </c>
      <c r="G140" s="6">
        <v>10</v>
      </c>
      <c r="H140" s="7">
        <v>46091</v>
      </c>
    </row>
    <row r="141" spans="1:8">
      <c r="A141" s="6">
        <v>1157</v>
      </c>
      <c r="B141" s="6" t="s">
        <v>257</v>
      </c>
      <c r="C141" s="6" t="s">
        <v>100</v>
      </c>
      <c r="D141" s="6" t="s">
        <v>23</v>
      </c>
      <c r="E141" s="6" t="b">
        <v>0</v>
      </c>
      <c r="F141" s="6" t="s">
        <v>25</v>
      </c>
      <c r="H141" s="7">
        <v>46091</v>
      </c>
    </row>
    <row r="142" spans="1:8">
      <c r="A142" s="6">
        <v>1359</v>
      </c>
      <c r="B142" s="6" t="s">
        <v>258</v>
      </c>
      <c r="C142" s="6" t="s">
        <v>49</v>
      </c>
      <c r="D142" s="6" t="s">
        <v>23</v>
      </c>
      <c r="E142" s="6" t="b">
        <v>0</v>
      </c>
      <c r="F142" s="6" t="s">
        <v>188</v>
      </c>
      <c r="H142" s="7">
        <v>46091</v>
      </c>
    </row>
    <row r="143" spans="1:8">
      <c r="A143" s="6">
        <v>1360</v>
      </c>
      <c r="B143" s="6" t="s">
        <v>258</v>
      </c>
      <c r="C143" s="6" t="s">
        <v>259</v>
      </c>
      <c r="D143" s="6" t="s">
        <v>23</v>
      </c>
      <c r="E143" s="6" t="b">
        <v>1</v>
      </c>
      <c r="F143" s="6" t="s">
        <v>35</v>
      </c>
      <c r="H143" s="7">
        <v>46091</v>
      </c>
    </row>
    <row r="144" spans="1:8">
      <c r="A144" s="6">
        <v>1357</v>
      </c>
      <c r="B144" s="6" t="s">
        <v>258</v>
      </c>
      <c r="C144" s="6" t="s">
        <v>34</v>
      </c>
      <c r="D144" s="6" t="s">
        <v>23</v>
      </c>
      <c r="E144" s="6" t="b">
        <v>0</v>
      </c>
      <c r="F144" s="6" t="s">
        <v>27</v>
      </c>
      <c r="G144" s="6">
        <v>5</v>
      </c>
      <c r="H144" s="7">
        <v>46091</v>
      </c>
    </row>
    <row r="145" spans="1:8">
      <c r="A145" s="6">
        <v>1358</v>
      </c>
      <c r="B145" s="6" t="s">
        <v>258</v>
      </c>
      <c r="C145" s="6" t="s">
        <v>260</v>
      </c>
      <c r="D145" s="6" t="s">
        <v>23</v>
      </c>
      <c r="E145" s="6" t="b">
        <v>1</v>
      </c>
      <c r="F145" s="6" t="s">
        <v>27</v>
      </c>
      <c r="G145" s="6">
        <v>7</v>
      </c>
      <c r="H145" s="7">
        <v>46091</v>
      </c>
    </row>
    <row r="146" spans="1:8">
      <c r="A146" s="6">
        <v>1390</v>
      </c>
      <c r="B146" s="6" t="s">
        <v>261</v>
      </c>
      <c r="C146" s="6" t="s">
        <v>262</v>
      </c>
      <c r="D146" s="6" t="s">
        <v>23</v>
      </c>
      <c r="E146" s="6" t="b">
        <v>0</v>
      </c>
      <c r="F146" s="6" t="s">
        <v>25</v>
      </c>
      <c r="H146" s="7">
        <v>46091</v>
      </c>
    </row>
    <row r="147" spans="1:8">
      <c r="A147" s="6">
        <v>1107</v>
      </c>
      <c r="B147" s="6" t="s">
        <v>263</v>
      </c>
      <c r="C147" s="6" t="s">
        <v>264</v>
      </c>
      <c r="D147" s="6" t="s">
        <v>23</v>
      </c>
      <c r="E147" s="6" t="b">
        <v>1</v>
      </c>
      <c r="F147" s="6" t="s">
        <v>25</v>
      </c>
      <c r="H147" s="7">
        <v>46091</v>
      </c>
    </row>
    <row r="148" spans="1:8">
      <c r="A148" s="6">
        <v>35</v>
      </c>
      <c r="B148" s="6" t="s">
        <v>265</v>
      </c>
      <c r="C148" s="6" t="s">
        <v>266</v>
      </c>
      <c r="D148" s="6" t="s">
        <v>23</v>
      </c>
      <c r="E148" s="6" t="b">
        <v>0</v>
      </c>
      <c r="F148" s="6" t="s">
        <v>27</v>
      </c>
      <c r="G148" s="6">
        <v>3</v>
      </c>
      <c r="H148" s="7">
        <v>46091</v>
      </c>
    </row>
    <row r="149" spans="1:8">
      <c r="A149" s="6">
        <v>1094</v>
      </c>
      <c r="B149" s="6" t="s">
        <v>267</v>
      </c>
      <c r="C149" s="6" t="s">
        <v>268</v>
      </c>
      <c r="D149" s="6" t="s">
        <v>23</v>
      </c>
      <c r="E149" s="6" t="b">
        <v>0</v>
      </c>
      <c r="F149" s="6" t="s">
        <v>27</v>
      </c>
      <c r="G149" s="6">
        <v>12</v>
      </c>
      <c r="H149" s="7">
        <v>46091</v>
      </c>
    </row>
    <row r="150" spans="1:8">
      <c r="A150" s="6">
        <v>1325</v>
      </c>
      <c r="B150" s="6" t="s">
        <v>269</v>
      </c>
      <c r="C150" s="6" t="s">
        <v>270</v>
      </c>
      <c r="D150" s="6" t="s">
        <v>23</v>
      </c>
      <c r="E150" s="6" t="b">
        <v>0</v>
      </c>
      <c r="F150" s="6" t="s">
        <v>27</v>
      </c>
      <c r="G150" s="6">
        <v>3</v>
      </c>
      <c r="H150" s="7">
        <v>46091</v>
      </c>
    </row>
    <row r="151" spans="1:8">
      <c r="A151" s="6">
        <v>1143</v>
      </c>
      <c r="B151" s="6" t="s">
        <v>271</v>
      </c>
      <c r="C151" s="6" t="s">
        <v>247</v>
      </c>
      <c r="D151" s="6" t="s">
        <v>23</v>
      </c>
      <c r="E151" s="6" t="b">
        <v>0</v>
      </c>
      <c r="F151" s="6" t="s">
        <v>27</v>
      </c>
      <c r="G151" s="6">
        <v>3</v>
      </c>
      <c r="H151" s="7">
        <v>46091</v>
      </c>
    </row>
    <row r="152" spans="1:8">
      <c r="A152" s="6">
        <v>1401</v>
      </c>
      <c r="B152" s="6" t="s">
        <v>272</v>
      </c>
      <c r="C152" s="6" t="s">
        <v>273</v>
      </c>
      <c r="D152" s="6" t="s">
        <v>23</v>
      </c>
      <c r="E152" s="6" t="b">
        <v>1</v>
      </c>
      <c r="F152" s="6" t="s">
        <v>25</v>
      </c>
      <c r="H152" s="7">
        <v>46091</v>
      </c>
    </row>
    <row r="153" spans="1:8">
      <c r="A153" s="6">
        <v>1285</v>
      </c>
      <c r="B153" s="6" t="s">
        <v>274</v>
      </c>
      <c r="C153" s="6" t="s">
        <v>100</v>
      </c>
      <c r="D153" s="6" t="s">
        <v>23</v>
      </c>
      <c r="E153" s="6" t="b">
        <v>0</v>
      </c>
      <c r="F153" s="6" t="s">
        <v>25</v>
      </c>
      <c r="H153" s="7">
        <v>46091</v>
      </c>
    </row>
    <row r="154" spans="1:8">
      <c r="A154" s="6">
        <v>38</v>
      </c>
      <c r="B154" s="6" t="s">
        <v>275</v>
      </c>
      <c r="C154" s="6" t="s">
        <v>276</v>
      </c>
      <c r="D154" s="6" t="s">
        <v>23</v>
      </c>
      <c r="E154" s="6" t="b">
        <v>0</v>
      </c>
      <c r="F154" s="6" t="s">
        <v>27</v>
      </c>
      <c r="G154" s="6">
        <v>13</v>
      </c>
      <c r="H154" s="7">
        <v>46091</v>
      </c>
    </row>
    <row r="155" spans="1:8">
      <c r="A155" s="6">
        <v>245</v>
      </c>
      <c r="B155" s="6" t="s">
        <v>277</v>
      </c>
      <c r="C155" s="6" t="s">
        <v>234</v>
      </c>
      <c r="D155" s="6" t="s">
        <v>23</v>
      </c>
      <c r="E155" s="6" t="b">
        <v>0</v>
      </c>
      <c r="F155" s="6" t="s">
        <v>27</v>
      </c>
      <c r="G155" s="6">
        <v>10</v>
      </c>
      <c r="H155" s="7">
        <v>46091</v>
      </c>
    </row>
    <row r="156" spans="1:8">
      <c r="A156" s="6">
        <v>39</v>
      </c>
      <c r="B156" s="6" t="s">
        <v>277</v>
      </c>
      <c r="C156" s="6" t="s">
        <v>278</v>
      </c>
      <c r="D156" s="6" t="s">
        <v>23</v>
      </c>
      <c r="E156" s="6" t="b">
        <v>0</v>
      </c>
      <c r="F156" s="6" t="s">
        <v>27</v>
      </c>
      <c r="G156" s="6">
        <v>43</v>
      </c>
      <c r="H156" s="7">
        <v>46091</v>
      </c>
    </row>
    <row r="157" spans="1:8">
      <c r="A157" s="6">
        <v>508</v>
      </c>
      <c r="B157" s="6" t="s">
        <v>279</v>
      </c>
      <c r="C157" s="6" t="s">
        <v>59</v>
      </c>
      <c r="D157" s="6" t="s">
        <v>23</v>
      </c>
      <c r="E157" s="6" t="b">
        <v>0</v>
      </c>
      <c r="F157" s="6" t="s">
        <v>27</v>
      </c>
      <c r="G157" s="6">
        <v>31</v>
      </c>
      <c r="H157" s="7">
        <v>46091</v>
      </c>
    </row>
    <row r="158" spans="1:8">
      <c r="A158" s="6">
        <v>1392</v>
      </c>
      <c r="B158" s="6" t="s">
        <v>284</v>
      </c>
      <c r="C158" s="6" t="s">
        <v>285</v>
      </c>
      <c r="D158" s="6" t="s">
        <v>23</v>
      </c>
      <c r="E158" s="6" t="b">
        <v>1</v>
      </c>
      <c r="F158" s="6" t="s">
        <v>25</v>
      </c>
      <c r="H158" s="7">
        <v>46091</v>
      </c>
    </row>
    <row r="159" spans="1:8">
      <c r="A159" s="6">
        <v>1141</v>
      </c>
      <c r="B159" s="6" t="s">
        <v>286</v>
      </c>
      <c r="C159" s="6" t="s">
        <v>287</v>
      </c>
      <c r="D159" s="6" t="s">
        <v>23</v>
      </c>
      <c r="E159" s="6" t="b">
        <v>1</v>
      </c>
      <c r="F159" s="6" t="s">
        <v>27</v>
      </c>
      <c r="G159" s="6">
        <v>15</v>
      </c>
      <c r="H159" s="7">
        <v>46091</v>
      </c>
    </row>
    <row r="160" spans="1:8">
      <c r="A160" s="6">
        <v>891</v>
      </c>
      <c r="B160" s="6" t="s">
        <v>288</v>
      </c>
      <c r="C160" s="6" t="s">
        <v>289</v>
      </c>
      <c r="D160" s="6" t="s">
        <v>23</v>
      </c>
      <c r="E160" s="6" t="b">
        <v>1</v>
      </c>
      <c r="F160" s="6" t="s">
        <v>25</v>
      </c>
      <c r="H160" s="7">
        <v>46091</v>
      </c>
    </row>
    <row r="161" spans="1:8">
      <c r="A161" s="6">
        <v>1339</v>
      </c>
      <c r="B161" s="6" t="s">
        <v>291</v>
      </c>
      <c r="C161" s="6" t="s">
        <v>292</v>
      </c>
      <c r="D161" s="6" t="s">
        <v>23</v>
      </c>
      <c r="E161" s="6" t="b">
        <v>0</v>
      </c>
      <c r="F161" s="6" t="s">
        <v>25</v>
      </c>
      <c r="H161" s="7">
        <v>46091</v>
      </c>
    </row>
    <row r="162" spans="1:8">
      <c r="A162" s="6">
        <v>914</v>
      </c>
      <c r="B162" s="6" t="s">
        <v>293</v>
      </c>
      <c r="C162" s="6" t="s">
        <v>153</v>
      </c>
      <c r="D162" s="6" t="s">
        <v>23</v>
      </c>
      <c r="E162" s="6" t="b">
        <v>0</v>
      </c>
      <c r="F162" s="6" t="s">
        <v>27</v>
      </c>
      <c r="G162" s="6">
        <v>14</v>
      </c>
      <c r="H162" s="7">
        <v>46091</v>
      </c>
    </row>
    <row r="163" spans="1:8">
      <c r="A163" s="6">
        <v>597</v>
      </c>
      <c r="B163" s="6" t="s">
        <v>294</v>
      </c>
      <c r="C163" s="6" t="s">
        <v>295</v>
      </c>
      <c r="D163" s="6" t="s">
        <v>23</v>
      </c>
      <c r="E163" s="6" t="b">
        <v>0</v>
      </c>
      <c r="F163" s="6" t="s">
        <v>27</v>
      </c>
      <c r="G163" s="6">
        <v>36</v>
      </c>
      <c r="H163" s="7">
        <v>46091</v>
      </c>
    </row>
    <row r="164" spans="1:8">
      <c r="A164" s="6">
        <v>1038</v>
      </c>
      <c r="B164" s="6" t="s">
        <v>293</v>
      </c>
      <c r="C164" s="6" t="s">
        <v>51</v>
      </c>
      <c r="D164" s="6" t="s">
        <v>23</v>
      </c>
      <c r="E164" s="6" t="b">
        <v>0</v>
      </c>
      <c r="F164" s="6" t="s">
        <v>27</v>
      </c>
      <c r="G164" s="6">
        <v>12</v>
      </c>
      <c r="H164" s="7">
        <v>46091</v>
      </c>
    </row>
    <row r="165" spans="1:8">
      <c r="A165" s="6">
        <v>1242</v>
      </c>
      <c r="B165" s="6" t="s">
        <v>297</v>
      </c>
      <c r="C165" s="6" t="s">
        <v>190</v>
      </c>
      <c r="D165" s="6" t="s">
        <v>23</v>
      </c>
      <c r="E165" s="6" t="b">
        <v>0</v>
      </c>
      <c r="F165" s="6" t="s">
        <v>27</v>
      </c>
      <c r="G165" s="6">
        <v>15</v>
      </c>
      <c r="H165" s="7">
        <v>46091</v>
      </c>
    </row>
    <row r="166" spans="1:8">
      <c r="A166" s="6">
        <v>1048</v>
      </c>
      <c r="B166" s="6" t="s">
        <v>298</v>
      </c>
      <c r="C166" s="6" t="s">
        <v>268</v>
      </c>
      <c r="D166" s="6" t="s">
        <v>23</v>
      </c>
      <c r="E166" s="6" t="b">
        <v>0</v>
      </c>
      <c r="F166" s="6" t="s">
        <v>27</v>
      </c>
      <c r="G166" s="6">
        <v>16</v>
      </c>
      <c r="H166" s="7">
        <v>46091</v>
      </c>
    </row>
    <row r="167" spans="1:8">
      <c r="A167" s="6">
        <v>1055</v>
      </c>
      <c r="B167" s="6" t="s">
        <v>298</v>
      </c>
      <c r="C167" s="6" t="s">
        <v>299</v>
      </c>
      <c r="D167" s="6" t="s">
        <v>23</v>
      </c>
      <c r="E167" s="6" t="b">
        <v>0</v>
      </c>
      <c r="F167" s="6" t="s">
        <v>27</v>
      </c>
      <c r="G167" s="6">
        <v>1</v>
      </c>
      <c r="H167" s="7">
        <v>46091</v>
      </c>
    </row>
    <row r="168" spans="1:8">
      <c r="A168" s="6">
        <v>820</v>
      </c>
      <c r="B168" s="6" t="s">
        <v>298</v>
      </c>
      <c r="C168" s="6" t="s">
        <v>139</v>
      </c>
      <c r="D168" s="6" t="s">
        <v>23</v>
      </c>
      <c r="E168" s="6" t="b">
        <v>1</v>
      </c>
      <c r="F168" s="6" t="s">
        <v>27</v>
      </c>
      <c r="G168" s="6">
        <v>6</v>
      </c>
      <c r="H168" s="7">
        <v>46091</v>
      </c>
    </row>
    <row r="169" spans="1:8">
      <c r="A169" s="6">
        <v>687</v>
      </c>
      <c r="B169" s="6" t="s">
        <v>298</v>
      </c>
      <c r="C169" s="6" t="s">
        <v>301</v>
      </c>
      <c r="D169" s="6" t="s">
        <v>23</v>
      </c>
      <c r="E169" s="6" t="b">
        <v>0</v>
      </c>
      <c r="F169" s="6" t="s">
        <v>27</v>
      </c>
      <c r="G169" s="6">
        <v>7</v>
      </c>
      <c r="H169" s="7">
        <v>46091</v>
      </c>
    </row>
    <row r="170" spans="1:8">
      <c r="A170" s="6">
        <v>1410</v>
      </c>
      <c r="B170" s="6" t="s">
        <v>104</v>
      </c>
      <c r="C170" s="6" t="s">
        <v>303</v>
      </c>
      <c r="D170" s="6" t="s">
        <v>23</v>
      </c>
      <c r="E170" s="6" t="b">
        <v>0</v>
      </c>
      <c r="F170" s="6" t="s">
        <v>25</v>
      </c>
      <c r="H170" s="7">
        <v>46091</v>
      </c>
    </row>
    <row r="171" spans="1:8">
      <c r="A171" s="6">
        <v>1161</v>
      </c>
      <c r="B171" s="6" t="s">
        <v>304</v>
      </c>
      <c r="C171" s="6" t="s">
        <v>305</v>
      </c>
      <c r="D171" s="6" t="s">
        <v>23</v>
      </c>
      <c r="E171" s="6" t="b">
        <v>0</v>
      </c>
      <c r="F171" s="6" t="s">
        <v>25</v>
      </c>
      <c r="H171" s="7">
        <v>46091</v>
      </c>
    </row>
    <row r="172" spans="1:8">
      <c r="A172" s="6">
        <v>890</v>
      </c>
      <c r="B172" s="6" t="s">
        <v>306</v>
      </c>
      <c r="C172" s="6" t="s">
        <v>307</v>
      </c>
      <c r="D172" s="6" t="s">
        <v>54</v>
      </c>
      <c r="E172" s="6" t="b">
        <v>0</v>
      </c>
      <c r="F172" s="6" t="s">
        <v>27</v>
      </c>
      <c r="G172" s="6">
        <v>23</v>
      </c>
      <c r="H172" s="7">
        <v>46091</v>
      </c>
    </row>
    <row r="173" spans="1:8">
      <c r="A173" s="6">
        <v>45</v>
      </c>
      <c r="B173" s="6" t="s">
        <v>309</v>
      </c>
      <c r="C173" s="6" t="s">
        <v>310</v>
      </c>
      <c r="D173" s="6" t="s">
        <v>23</v>
      </c>
      <c r="E173" s="6" t="b">
        <v>0</v>
      </c>
      <c r="F173" s="6" t="s">
        <v>27</v>
      </c>
      <c r="G173" s="6">
        <v>20</v>
      </c>
      <c r="H173" s="7">
        <v>46091</v>
      </c>
    </row>
    <row r="174" spans="1:8">
      <c r="A174" s="6">
        <v>1160</v>
      </c>
      <c r="B174" s="6" t="s">
        <v>311</v>
      </c>
      <c r="C174" s="6" t="s">
        <v>312</v>
      </c>
      <c r="D174" s="6" t="s">
        <v>23</v>
      </c>
      <c r="E174" s="6" t="b">
        <v>0</v>
      </c>
      <c r="F174" s="6" t="s">
        <v>25</v>
      </c>
      <c r="H174" s="7">
        <v>46091</v>
      </c>
    </row>
    <row r="175" spans="1:8">
      <c r="A175" s="6">
        <v>945</v>
      </c>
      <c r="B175" s="6" t="s">
        <v>313</v>
      </c>
      <c r="C175" s="6" t="s">
        <v>49</v>
      </c>
      <c r="D175" s="6" t="s">
        <v>23</v>
      </c>
      <c r="E175" s="6" t="b">
        <v>0</v>
      </c>
      <c r="F175" s="6" t="s">
        <v>25</v>
      </c>
      <c r="H175" s="7">
        <v>46091</v>
      </c>
    </row>
    <row r="176" spans="1:8">
      <c r="A176" s="6">
        <v>813</v>
      </c>
      <c r="B176" s="6" t="s">
        <v>313</v>
      </c>
      <c r="C176" s="6" t="s">
        <v>289</v>
      </c>
      <c r="D176" s="6" t="s">
        <v>23</v>
      </c>
      <c r="E176" s="6" t="b">
        <v>1</v>
      </c>
      <c r="F176" s="6" t="s">
        <v>27</v>
      </c>
      <c r="G176" s="6">
        <v>7</v>
      </c>
      <c r="H176" s="7">
        <v>46091</v>
      </c>
    </row>
    <row r="177" spans="1:8">
      <c r="A177" s="6">
        <v>812</v>
      </c>
      <c r="B177" s="6" t="s">
        <v>313</v>
      </c>
      <c r="C177" s="6" t="s">
        <v>170</v>
      </c>
      <c r="D177" s="6" t="s">
        <v>23</v>
      </c>
      <c r="E177" s="6" t="b">
        <v>0</v>
      </c>
      <c r="F177" s="6" t="s">
        <v>27</v>
      </c>
      <c r="G177" s="6">
        <v>9</v>
      </c>
      <c r="H177" s="7">
        <v>46091</v>
      </c>
    </row>
    <row r="178" spans="1:8">
      <c r="A178" s="6">
        <v>1129</v>
      </c>
      <c r="B178" s="6" t="s">
        <v>314</v>
      </c>
      <c r="C178" s="6" t="s">
        <v>315</v>
      </c>
      <c r="D178" s="6" t="s">
        <v>23</v>
      </c>
      <c r="E178" s="6" t="b">
        <v>0</v>
      </c>
      <c r="F178" s="6" t="s">
        <v>27</v>
      </c>
      <c r="G178" s="6">
        <v>12</v>
      </c>
      <c r="H178" s="7">
        <v>46091</v>
      </c>
    </row>
    <row r="179" spans="1:8">
      <c r="A179" s="6">
        <v>860</v>
      </c>
      <c r="B179" s="6" t="s">
        <v>321</v>
      </c>
      <c r="C179" s="6" t="s">
        <v>215</v>
      </c>
      <c r="D179" s="6" t="s">
        <v>23</v>
      </c>
      <c r="E179" s="6" t="b">
        <v>1</v>
      </c>
      <c r="F179" s="6" t="s">
        <v>25</v>
      </c>
      <c r="H179" s="7">
        <v>46091</v>
      </c>
    </row>
    <row r="180" spans="1:8">
      <c r="A180" s="6">
        <v>756</v>
      </c>
      <c r="B180" s="6" t="s">
        <v>321</v>
      </c>
      <c r="C180" s="6" t="s">
        <v>322</v>
      </c>
      <c r="D180" s="6" t="s">
        <v>23</v>
      </c>
      <c r="E180" s="6" t="b">
        <v>0</v>
      </c>
      <c r="F180" s="6" t="s">
        <v>25</v>
      </c>
      <c r="H180" s="7">
        <v>46091</v>
      </c>
    </row>
    <row r="181" spans="1:8">
      <c r="A181" s="6">
        <v>407</v>
      </c>
      <c r="B181" s="6" t="s">
        <v>321</v>
      </c>
      <c r="C181" s="6" t="s">
        <v>323</v>
      </c>
      <c r="D181" s="6" t="s">
        <v>23</v>
      </c>
      <c r="E181" s="6" t="b">
        <v>0</v>
      </c>
      <c r="F181" s="6" t="s">
        <v>27</v>
      </c>
      <c r="G181" s="6">
        <v>5</v>
      </c>
      <c r="H181" s="7">
        <v>46091</v>
      </c>
    </row>
    <row r="182" spans="1:8">
      <c r="A182" s="6">
        <v>1312</v>
      </c>
      <c r="B182" s="6" t="s">
        <v>329</v>
      </c>
      <c r="C182" s="6" t="s">
        <v>287</v>
      </c>
      <c r="D182" s="6" t="s">
        <v>23</v>
      </c>
      <c r="E182" s="6" t="b">
        <v>1</v>
      </c>
      <c r="F182" s="6" t="s">
        <v>27</v>
      </c>
      <c r="G182" s="6">
        <v>35</v>
      </c>
      <c r="H182" s="7">
        <v>46091</v>
      </c>
    </row>
    <row r="183" spans="1:8">
      <c r="A183" s="6">
        <v>935</v>
      </c>
      <c r="B183" s="6" t="s">
        <v>330</v>
      </c>
      <c r="C183" s="6" t="s">
        <v>245</v>
      </c>
      <c r="D183" s="6" t="s">
        <v>23</v>
      </c>
      <c r="E183" s="6" t="b">
        <v>1</v>
      </c>
      <c r="F183" s="6" t="s">
        <v>25</v>
      </c>
      <c r="H183" s="7">
        <v>46091</v>
      </c>
    </row>
    <row r="184" spans="1:8">
      <c r="A184" s="6">
        <v>999</v>
      </c>
      <c r="B184" s="6" t="s">
        <v>330</v>
      </c>
      <c r="C184" s="6" t="s">
        <v>331</v>
      </c>
      <c r="D184" s="6" t="s">
        <v>23</v>
      </c>
      <c r="E184" s="6" t="b">
        <v>1</v>
      </c>
      <c r="F184" s="6" t="s">
        <v>25</v>
      </c>
      <c r="H184" s="7">
        <v>46091</v>
      </c>
    </row>
    <row r="185" spans="1:8">
      <c r="A185" s="6">
        <v>998</v>
      </c>
      <c r="B185" s="6" t="s">
        <v>330</v>
      </c>
      <c r="C185" s="6" t="s">
        <v>332</v>
      </c>
      <c r="D185" s="6" t="s">
        <v>23</v>
      </c>
      <c r="E185" s="6" t="b">
        <v>1</v>
      </c>
      <c r="F185" s="6" t="s">
        <v>27</v>
      </c>
      <c r="G185" s="6">
        <v>5</v>
      </c>
      <c r="H185" s="7">
        <v>46091</v>
      </c>
    </row>
    <row r="186" spans="1:8">
      <c r="A186" s="6">
        <v>616</v>
      </c>
      <c r="B186" s="6" t="s">
        <v>330</v>
      </c>
      <c r="C186" s="6" t="s">
        <v>41</v>
      </c>
      <c r="D186" s="6" t="s">
        <v>23</v>
      </c>
      <c r="E186" s="6" t="b">
        <v>0</v>
      </c>
      <c r="F186" s="6" t="s">
        <v>27</v>
      </c>
      <c r="G186" s="6">
        <v>7</v>
      </c>
      <c r="H186" s="7">
        <v>46091</v>
      </c>
    </row>
    <row r="187" spans="1:8">
      <c r="A187" s="6">
        <v>558</v>
      </c>
      <c r="B187" s="6" t="s">
        <v>333</v>
      </c>
      <c r="C187" s="6" t="s">
        <v>334</v>
      </c>
      <c r="D187" s="6" t="s">
        <v>23</v>
      </c>
      <c r="E187" s="6" t="b">
        <v>0</v>
      </c>
      <c r="F187" s="6" t="s">
        <v>27</v>
      </c>
      <c r="G187" s="6">
        <v>15</v>
      </c>
      <c r="H187" s="7">
        <v>46091</v>
      </c>
    </row>
    <row r="188" spans="1:8">
      <c r="A188" s="6">
        <v>991</v>
      </c>
      <c r="B188" s="6" t="s">
        <v>335</v>
      </c>
      <c r="C188" s="6" t="s">
        <v>184</v>
      </c>
      <c r="D188" s="6" t="s">
        <v>23</v>
      </c>
      <c r="E188" s="6" t="b">
        <v>1</v>
      </c>
      <c r="F188" s="6" t="s">
        <v>35</v>
      </c>
      <c r="H188" s="7">
        <v>46091</v>
      </c>
    </row>
    <row r="189" spans="1:8">
      <c r="A189" s="6">
        <v>359</v>
      </c>
      <c r="B189" s="6" t="s">
        <v>336</v>
      </c>
      <c r="C189" s="6" t="s">
        <v>26</v>
      </c>
      <c r="D189" s="6" t="s">
        <v>23</v>
      </c>
      <c r="E189" s="6" t="b">
        <v>0</v>
      </c>
      <c r="F189" s="6" t="s">
        <v>27</v>
      </c>
      <c r="G189" s="6">
        <v>24</v>
      </c>
      <c r="H189" s="7">
        <v>46091</v>
      </c>
    </row>
    <row r="190" spans="1:8">
      <c r="A190" s="6">
        <v>1310</v>
      </c>
      <c r="B190" s="6" t="s">
        <v>337</v>
      </c>
      <c r="C190" s="6" t="s">
        <v>311</v>
      </c>
      <c r="D190" s="6" t="s">
        <v>23</v>
      </c>
      <c r="E190" s="6" t="b">
        <v>0</v>
      </c>
      <c r="F190" s="6" t="s">
        <v>25</v>
      </c>
      <c r="H190" s="7">
        <v>46091</v>
      </c>
    </row>
    <row r="191" spans="1:8">
      <c r="A191" s="6">
        <v>1200</v>
      </c>
      <c r="B191" s="6" t="s">
        <v>338</v>
      </c>
      <c r="C191" s="6" t="s">
        <v>339</v>
      </c>
      <c r="D191" s="6" t="s">
        <v>23</v>
      </c>
      <c r="E191" s="6" t="b">
        <v>0</v>
      </c>
      <c r="F191" s="6" t="s">
        <v>27</v>
      </c>
      <c r="G191" s="6">
        <v>6</v>
      </c>
      <c r="H191" s="7">
        <v>46091</v>
      </c>
    </row>
    <row r="192" spans="1:8">
      <c r="A192" s="6">
        <v>1411</v>
      </c>
      <c r="B192" s="6" t="s">
        <v>338</v>
      </c>
      <c r="C192" s="6" t="s">
        <v>72</v>
      </c>
      <c r="D192" s="6" t="s">
        <v>23</v>
      </c>
      <c r="E192" s="6" t="b">
        <v>1</v>
      </c>
      <c r="F192" s="6" t="s">
        <v>27</v>
      </c>
      <c r="G192" s="6">
        <v>3</v>
      </c>
      <c r="H192" s="7">
        <v>46091</v>
      </c>
    </row>
    <row r="193" spans="1:8">
      <c r="A193" s="6">
        <v>1412</v>
      </c>
      <c r="B193" s="6" t="s">
        <v>338</v>
      </c>
      <c r="C193" s="6" t="s">
        <v>340</v>
      </c>
      <c r="D193" s="6" t="s">
        <v>23</v>
      </c>
      <c r="E193" s="6" t="b">
        <v>1</v>
      </c>
      <c r="F193" s="6" t="s">
        <v>188</v>
      </c>
      <c r="H193" s="7">
        <v>46091</v>
      </c>
    </row>
    <row r="194" spans="1:8">
      <c r="A194" s="6">
        <v>1413</v>
      </c>
      <c r="B194" s="6" t="s">
        <v>338</v>
      </c>
      <c r="C194" s="6" t="s">
        <v>214</v>
      </c>
      <c r="D194" s="6" t="s">
        <v>23</v>
      </c>
      <c r="E194" s="6" t="b">
        <v>0</v>
      </c>
      <c r="F194" s="6" t="s">
        <v>188</v>
      </c>
      <c r="H194" s="7">
        <v>46091</v>
      </c>
    </row>
    <row r="195" spans="1:8">
      <c r="A195" s="6">
        <v>1376</v>
      </c>
      <c r="B195" s="6" t="s">
        <v>192</v>
      </c>
      <c r="C195" s="6" t="s">
        <v>127</v>
      </c>
      <c r="D195" s="6" t="s">
        <v>23</v>
      </c>
      <c r="E195" s="6" t="b">
        <v>1</v>
      </c>
      <c r="F195" s="6" t="s">
        <v>25</v>
      </c>
      <c r="H195" s="7">
        <v>46091</v>
      </c>
    </row>
    <row r="196" spans="1:8">
      <c r="A196" s="6">
        <v>1140</v>
      </c>
      <c r="B196" s="6" t="s">
        <v>341</v>
      </c>
      <c r="C196" s="6" t="s">
        <v>243</v>
      </c>
      <c r="D196" s="6" t="s">
        <v>23</v>
      </c>
      <c r="E196" s="6" t="b">
        <v>0</v>
      </c>
      <c r="F196" s="6" t="s">
        <v>25</v>
      </c>
      <c r="H196" s="7">
        <v>46091</v>
      </c>
    </row>
    <row r="197" spans="1:8">
      <c r="A197" s="6">
        <v>989</v>
      </c>
      <c r="B197" s="6" t="s">
        <v>342</v>
      </c>
      <c r="C197" s="6" t="s">
        <v>343</v>
      </c>
      <c r="D197" s="6" t="s">
        <v>23</v>
      </c>
      <c r="E197" s="6" t="b">
        <v>0</v>
      </c>
      <c r="F197" s="6" t="s">
        <v>27</v>
      </c>
      <c r="G197" s="6">
        <v>3</v>
      </c>
      <c r="H197" s="7">
        <v>46091</v>
      </c>
    </row>
    <row r="198" spans="1:8">
      <c r="A198" s="6">
        <v>1417</v>
      </c>
      <c r="B198" s="6" t="s">
        <v>344</v>
      </c>
      <c r="C198" s="6" t="s">
        <v>345</v>
      </c>
      <c r="D198" s="6" t="s">
        <v>23</v>
      </c>
      <c r="E198" s="6" t="b">
        <v>1</v>
      </c>
      <c r="F198" s="6" t="s">
        <v>27</v>
      </c>
      <c r="G198" s="6">
        <v>17</v>
      </c>
      <c r="H198" s="7">
        <v>46091</v>
      </c>
    </row>
    <row r="199" spans="1:8">
      <c r="A199" s="6">
        <v>52</v>
      </c>
      <c r="B199" s="6" t="s">
        <v>346</v>
      </c>
      <c r="C199" s="6" t="s">
        <v>192</v>
      </c>
      <c r="D199" s="6" t="s">
        <v>23</v>
      </c>
      <c r="E199" s="6" t="b">
        <v>0</v>
      </c>
      <c r="F199" s="6" t="s">
        <v>25</v>
      </c>
      <c r="H199" s="7">
        <v>46091</v>
      </c>
    </row>
    <row r="200" spans="1:8">
      <c r="A200" s="6">
        <v>62</v>
      </c>
      <c r="B200" s="6" t="s">
        <v>344</v>
      </c>
      <c r="C200" s="6" t="s">
        <v>234</v>
      </c>
      <c r="D200" s="6" t="s">
        <v>23</v>
      </c>
      <c r="E200" s="6" t="b">
        <v>0</v>
      </c>
      <c r="F200" s="6" t="s">
        <v>27</v>
      </c>
      <c r="G200" s="6">
        <v>4</v>
      </c>
      <c r="H200" s="7">
        <v>46091</v>
      </c>
    </row>
    <row r="201" spans="1:8">
      <c r="A201" s="6">
        <v>930</v>
      </c>
      <c r="B201" s="6" t="s">
        <v>347</v>
      </c>
      <c r="C201" s="6" t="s">
        <v>348</v>
      </c>
      <c r="D201" s="6" t="s">
        <v>23</v>
      </c>
      <c r="E201" s="6" t="b">
        <v>1</v>
      </c>
      <c r="F201" s="6" t="s">
        <v>27</v>
      </c>
      <c r="G201" s="6">
        <v>6</v>
      </c>
      <c r="H201" s="7">
        <v>46091</v>
      </c>
    </row>
    <row r="202" spans="1:8">
      <c r="A202" s="6">
        <v>744</v>
      </c>
      <c r="B202" s="6" t="s">
        <v>350</v>
      </c>
      <c r="C202" s="6" t="s">
        <v>351</v>
      </c>
      <c r="D202" s="6" t="s">
        <v>23</v>
      </c>
      <c r="E202" s="6" t="b">
        <v>0</v>
      </c>
      <c r="F202" s="6" t="s">
        <v>27</v>
      </c>
      <c r="G202" s="6">
        <v>28</v>
      </c>
      <c r="H202" s="7">
        <v>46091</v>
      </c>
    </row>
    <row r="203" spans="1:8">
      <c r="A203" s="6">
        <v>337</v>
      </c>
      <c r="B203" s="6" t="s">
        <v>352</v>
      </c>
      <c r="C203" s="6" t="s">
        <v>179</v>
      </c>
      <c r="D203" s="6" t="s">
        <v>23</v>
      </c>
      <c r="E203" s="6" t="b">
        <v>1</v>
      </c>
      <c r="F203" s="6" t="s">
        <v>27</v>
      </c>
      <c r="G203" s="6">
        <v>21</v>
      </c>
      <c r="H203" s="7">
        <v>46091</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08"/>
  <sheetViews>
    <sheetView workbookViewId="0"/>
    <sheetView workbookViewId="1"/>
  </sheetViews>
  <sheetFormatPr defaultColWidth="9" defaultRowHeight="14.25"/>
  <cols>
    <col min="1" max="7" width="9" style="8"/>
    <col min="8" max="8" width="10.19921875" style="8" bestFit="1" customWidth="1"/>
    <col min="9" max="16384" width="9" style="8"/>
  </cols>
  <sheetData>
    <row r="1" spans="1:8">
      <c r="A1" s="8" t="s">
        <v>13</v>
      </c>
      <c r="B1" s="8" t="s">
        <v>14</v>
      </c>
      <c r="C1" s="8" t="s">
        <v>15</v>
      </c>
      <c r="D1" s="8" t="s">
        <v>16</v>
      </c>
      <c r="E1" s="8" t="s">
        <v>17</v>
      </c>
      <c r="F1" s="8" t="s">
        <v>18</v>
      </c>
      <c r="G1" s="8" t="s">
        <v>19</v>
      </c>
      <c r="H1" s="8" t="s">
        <v>20</v>
      </c>
    </row>
    <row r="2" spans="1:8">
      <c r="A2" s="8">
        <v>1327</v>
      </c>
      <c r="B2" s="8" t="s">
        <v>21</v>
      </c>
      <c r="C2" s="8" t="s">
        <v>22</v>
      </c>
      <c r="D2" s="8" t="s">
        <v>23</v>
      </c>
      <c r="E2" s="8" t="b">
        <v>0</v>
      </c>
      <c r="F2" s="8" t="s">
        <v>25</v>
      </c>
      <c r="H2" s="9">
        <v>46102</v>
      </c>
    </row>
    <row r="3" spans="1:8">
      <c r="A3" s="8">
        <v>1237</v>
      </c>
      <c r="B3" s="8" t="s">
        <v>21</v>
      </c>
      <c r="C3" s="8" t="s">
        <v>26</v>
      </c>
      <c r="D3" s="8" t="s">
        <v>23</v>
      </c>
      <c r="E3" s="8" t="b">
        <v>0</v>
      </c>
      <c r="F3" s="8" t="s">
        <v>27</v>
      </c>
      <c r="G3" s="8">
        <v>1</v>
      </c>
      <c r="H3" s="9">
        <v>46102</v>
      </c>
    </row>
    <row r="4" spans="1:8">
      <c r="A4" s="8">
        <v>819</v>
      </c>
      <c r="B4" s="8" t="s">
        <v>28</v>
      </c>
      <c r="C4" s="8" t="s">
        <v>29</v>
      </c>
      <c r="D4" s="8" t="s">
        <v>23</v>
      </c>
      <c r="E4" s="8" t="b">
        <v>1</v>
      </c>
      <c r="F4" s="8" t="s">
        <v>27</v>
      </c>
      <c r="G4" s="8">
        <v>23</v>
      </c>
      <c r="H4" s="9">
        <v>46102</v>
      </c>
    </row>
    <row r="5" spans="1:8">
      <c r="A5" s="8">
        <v>2</v>
      </c>
      <c r="B5" s="8" t="s">
        <v>31</v>
      </c>
      <c r="C5" s="8" t="s">
        <v>32</v>
      </c>
      <c r="D5" s="8" t="s">
        <v>23</v>
      </c>
      <c r="E5" s="8" t="b">
        <v>0</v>
      </c>
      <c r="F5" s="8" t="s">
        <v>27</v>
      </c>
      <c r="G5" s="8">
        <v>21</v>
      </c>
      <c r="H5" s="9">
        <v>46102</v>
      </c>
    </row>
    <row r="6" spans="1:8">
      <c r="A6" s="8">
        <v>1370</v>
      </c>
      <c r="B6" s="8" t="s">
        <v>33</v>
      </c>
      <c r="C6" s="8" t="s">
        <v>34</v>
      </c>
      <c r="D6" s="8" t="s">
        <v>23</v>
      </c>
      <c r="E6" s="8" t="b">
        <v>0</v>
      </c>
      <c r="F6" s="8" t="s">
        <v>27</v>
      </c>
      <c r="G6" s="8">
        <v>4</v>
      </c>
      <c r="H6" s="9">
        <v>46102</v>
      </c>
    </row>
    <row r="7" spans="1:8">
      <c r="A7" s="8">
        <v>1415</v>
      </c>
      <c r="B7" s="8" t="s">
        <v>33</v>
      </c>
      <c r="C7" s="8" t="s">
        <v>22</v>
      </c>
      <c r="D7" s="8" t="s">
        <v>23</v>
      </c>
      <c r="E7" s="8" t="b">
        <v>0</v>
      </c>
      <c r="F7" s="8" t="s">
        <v>35</v>
      </c>
      <c r="H7" s="9">
        <v>46102</v>
      </c>
    </row>
    <row r="8" spans="1:8">
      <c r="A8" s="8">
        <v>1286</v>
      </c>
      <c r="B8" s="8" t="s">
        <v>36</v>
      </c>
      <c r="C8" s="8" t="s">
        <v>34</v>
      </c>
      <c r="D8" s="8" t="s">
        <v>23</v>
      </c>
      <c r="E8" s="8" t="b">
        <v>0</v>
      </c>
      <c r="F8" s="8" t="s">
        <v>27</v>
      </c>
      <c r="G8" s="8">
        <v>13</v>
      </c>
      <c r="H8" s="9">
        <v>46102</v>
      </c>
    </row>
    <row r="9" spans="1:8">
      <c r="A9" s="8">
        <v>1381</v>
      </c>
      <c r="B9" s="8" t="s">
        <v>36</v>
      </c>
      <c r="C9" s="8" t="s">
        <v>37</v>
      </c>
      <c r="D9" s="8" t="s">
        <v>23</v>
      </c>
      <c r="E9" s="8" t="b">
        <v>0</v>
      </c>
      <c r="F9" s="8" t="s">
        <v>25</v>
      </c>
      <c r="H9" s="9">
        <v>46102</v>
      </c>
    </row>
    <row r="10" spans="1:8">
      <c r="A10" s="8">
        <v>1112</v>
      </c>
      <c r="B10" s="8" t="s">
        <v>38</v>
      </c>
      <c r="C10" s="8" t="s">
        <v>39</v>
      </c>
      <c r="D10" s="8" t="s">
        <v>23</v>
      </c>
      <c r="E10" s="8" t="b">
        <v>0</v>
      </c>
      <c r="F10" s="8" t="s">
        <v>27</v>
      </c>
      <c r="G10" s="8">
        <v>16</v>
      </c>
      <c r="H10" s="9">
        <v>46102</v>
      </c>
    </row>
    <row r="11" spans="1:8">
      <c r="A11" s="8">
        <v>1135</v>
      </c>
      <c r="B11" s="8" t="s">
        <v>40</v>
      </c>
      <c r="C11" s="8" t="s">
        <v>41</v>
      </c>
      <c r="D11" s="8" t="s">
        <v>23</v>
      </c>
      <c r="E11" s="8" t="b">
        <v>0</v>
      </c>
      <c r="F11" s="8" t="s">
        <v>27</v>
      </c>
      <c r="G11" s="8">
        <v>1</v>
      </c>
      <c r="H11" s="9">
        <v>46102</v>
      </c>
    </row>
    <row r="12" spans="1:8">
      <c r="A12" s="8">
        <v>982</v>
      </c>
      <c r="B12" s="8" t="s">
        <v>42</v>
      </c>
      <c r="C12" s="8" t="s">
        <v>32</v>
      </c>
      <c r="D12" s="8" t="s">
        <v>23</v>
      </c>
      <c r="E12" s="8" t="b">
        <v>0</v>
      </c>
      <c r="F12" s="8" t="s">
        <v>27</v>
      </c>
      <c r="G12" s="8">
        <v>22</v>
      </c>
      <c r="H12" s="9">
        <v>46102</v>
      </c>
    </row>
    <row r="13" spans="1:8">
      <c r="A13" s="8">
        <v>1328</v>
      </c>
      <c r="B13" s="8" t="s">
        <v>43</v>
      </c>
      <c r="C13" s="8" t="s">
        <v>44</v>
      </c>
      <c r="D13" s="8" t="s">
        <v>23</v>
      </c>
      <c r="E13" s="8" t="b">
        <v>0</v>
      </c>
      <c r="F13" s="8" t="s">
        <v>27</v>
      </c>
      <c r="G13" s="8">
        <v>4</v>
      </c>
      <c r="H13" s="9">
        <v>46102</v>
      </c>
    </row>
    <row r="14" spans="1:8">
      <c r="A14" s="8">
        <v>369</v>
      </c>
      <c r="B14" s="8" t="s">
        <v>45</v>
      </c>
      <c r="C14" s="8" t="s">
        <v>46</v>
      </c>
      <c r="D14" s="8" t="s">
        <v>23</v>
      </c>
      <c r="E14" s="8" t="b">
        <v>0</v>
      </c>
      <c r="F14" s="8" t="s">
        <v>27</v>
      </c>
      <c r="G14" s="8">
        <v>8</v>
      </c>
      <c r="H14" s="9">
        <v>46102</v>
      </c>
    </row>
    <row r="15" spans="1:8">
      <c r="A15" s="8">
        <v>7</v>
      </c>
      <c r="B15" s="8" t="s">
        <v>45</v>
      </c>
      <c r="C15" s="8" t="s">
        <v>47</v>
      </c>
      <c r="D15" s="8" t="s">
        <v>48</v>
      </c>
      <c r="E15" s="8" t="b">
        <v>0</v>
      </c>
      <c r="F15" s="8" t="s">
        <v>27</v>
      </c>
      <c r="G15" s="8">
        <v>32</v>
      </c>
      <c r="H15" s="9">
        <v>46102</v>
      </c>
    </row>
    <row r="16" spans="1:8">
      <c r="A16" s="8">
        <v>473</v>
      </c>
      <c r="B16" s="8" t="s">
        <v>45</v>
      </c>
      <c r="C16" s="8" t="s">
        <v>49</v>
      </c>
      <c r="D16" s="8" t="s">
        <v>48</v>
      </c>
      <c r="E16" s="8" t="b">
        <v>0</v>
      </c>
      <c r="F16" s="8" t="s">
        <v>27</v>
      </c>
      <c r="G16" s="8">
        <v>33</v>
      </c>
      <c r="H16" s="9">
        <v>46102</v>
      </c>
    </row>
    <row r="17" spans="1:8">
      <c r="A17" s="8">
        <v>1384</v>
      </c>
      <c r="B17" s="8" t="s">
        <v>50</v>
      </c>
      <c r="C17" s="8" t="s">
        <v>51</v>
      </c>
      <c r="D17" s="8" t="s">
        <v>23</v>
      </c>
      <c r="E17" s="8" t="b">
        <v>0</v>
      </c>
      <c r="F17" s="8" t="s">
        <v>27</v>
      </c>
      <c r="G17" s="8">
        <v>30</v>
      </c>
      <c r="H17" s="9">
        <v>46102</v>
      </c>
    </row>
    <row r="18" spans="1:8">
      <c r="A18" s="8">
        <v>1348</v>
      </c>
      <c r="B18" s="8" t="s">
        <v>52</v>
      </c>
      <c r="C18" s="8" t="s">
        <v>53</v>
      </c>
      <c r="D18" s="8" t="s">
        <v>54</v>
      </c>
      <c r="E18" s="8" t="b">
        <v>1</v>
      </c>
      <c r="F18" s="8" t="s">
        <v>25</v>
      </c>
      <c r="H18" s="9">
        <v>46102</v>
      </c>
    </row>
    <row r="19" spans="1:8">
      <c r="A19" s="8">
        <v>1275</v>
      </c>
      <c r="B19" s="8" t="s">
        <v>52</v>
      </c>
      <c r="C19" s="8" t="s">
        <v>55</v>
      </c>
      <c r="D19" s="8" t="s">
        <v>23</v>
      </c>
      <c r="E19" s="8" t="b">
        <v>1</v>
      </c>
      <c r="F19" s="8" t="s">
        <v>35</v>
      </c>
      <c r="H19" s="9">
        <v>46102</v>
      </c>
    </row>
    <row r="20" spans="1:8">
      <c r="A20" s="8">
        <v>68</v>
      </c>
      <c r="B20" s="8" t="s">
        <v>56</v>
      </c>
      <c r="C20" s="8" t="s">
        <v>57</v>
      </c>
      <c r="D20" s="8" t="s">
        <v>48</v>
      </c>
      <c r="E20" s="8" t="b">
        <v>0</v>
      </c>
      <c r="F20" s="8" t="s">
        <v>27</v>
      </c>
      <c r="G20" s="8">
        <v>35</v>
      </c>
      <c r="H20" s="9">
        <v>46102</v>
      </c>
    </row>
    <row r="21" spans="1:8">
      <c r="A21" s="8">
        <v>1035</v>
      </c>
      <c r="B21" s="8" t="s">
        <v>58</v>
      </c>
      <c r="C21" s="8" t="s">
        <v>59</v>
      </c>
      <c r="D21" s="8" t="s">
        <v>23</v>
      </c>
      <c r="E21" s="8" t="b">
        <v>0</v>
      </c>
      <c r="F21" s="8" t="s">
        <v>27</v>
      </c>
      <c r="G21" s="8">
        <v>6</v>
      </c>
      <c r="H21" s="9">
        <v>46102</v>
      </c>
    </row>
    <row r="22" spans="1:8">
      <c r="A22" s="8">
        <v>1416</v>
      </c>
      <c r="B22" s="8" t="s">
        <v>60</v>
      </c>
      <c r="C22" s="8" t="s">
        <v>61</v>
      </c>
      <c r="D22" s="8" t="s">
        <v>23</v>
      </c>
      <c r="E22" s="8" t="b">
        <v>0</v>
      </c>
      <c r="F22" s="8" t="s">
        <v>25</v>
      </c>
      <c r="H22" s="9">
        <v>46102</v>
      </c>
    </row>
    <row r="23" spans="1:8">
      <c r="A23" s="8">
        <v>1326</v>
      </c>
      <c r="B23" s="8" t="s">
        <v>62</v>
      </c>
      <c r="C23" s="8" t="s">
        <v>63</v>
      </c>
      <c r="D23" s="8" t="s">
        <v>23</v>
      </c>
      <c r="E23" s="8" t="b">
        <v>1</v>
      </c>
      <c r="F23" s="8" t="s">
        <v>25</v>
      </c>
      <c r="H23" s="9">
        <v>46102</v>
      </c>
    </row>
    <row r="24" spans="1:8">
      <c r="A24" s="8">
        <v>477</v>
      </c>
      <c r="B24" s="8" t="s">
        <v>64</v>
      </c>
      <c r="C24" s="8" t="s">
        <v>65</v>
      </c>
      <c r="D24" s="8" t="s">
        <v>23</v>
      </c>
      <c r="E24" s="8" t="b">
        <v>1</v>
      </c>
      <c r="F24" s="8" t="s">
        <v>27</v>
      </c>
      <c r="G24" s="8">
        <v>34</v>
      </c>
      <c r="H24" s="9">
        <v>46102</v>
      </c>
    </row>
    <row r="25" spans="1:8">
      <c r="A25" s="8">
        <v>10</v>
      </c>
      <c r="B25" s="8" t="s">
        <v>64</v>
      </c>
      <c r="C25" s="8" t="s">
        <v>66</v>
      </c>
      <c r="D25" s="8" t="s">
        <v>48</v>
      </c>
      <c r="E25" s="8" t="b">
        <v>0</v>
      </c>
      <c r="F25" s="8" t="s">
        <v>27</v>
      </c>
      <c r="G25" s="8">
        <v>35</v>
      </c>
      <c r="H25" s="9">
        <v>46102</v>
      </c>
    </row>
    <row r="26" spans="1:8">
      <c r="A26" s="8">
        <v>1414</v>
      </c>
      <c r="B26" s="8" t="s">
        <v>67</v>
      </c>
      <c r="C26" s="8" t="s">
        <v>36</v>
      </c>
      <c r="D26" s="8" t="s">
        <v>23</v>
      </c>
      <c r="E26" s="8" t="b">
        <v>0</v>
      </c>
      <c r="F26" s="8" t="s">
        <v>27</v>
      </c>
      <c r="G26" s="8">
        <v>13</v>
      </c>
      <c r="H26" s="9">
        <v>46102</v>
      </c>
    </row>
    <row r="27" spans="1:8">
      <c r="A27" s="8">
        <v>1029</v>
      </c>
      <c r="B27" s="8" t="s">
        <v>68</v>
      </c>
      <c r="C27" s="8" t="s">
        <v>69</v>
      </c>
      <c r="D27" s="8" t="s">
        <v>23</v>
      </c>
      <c r="E27" s="8" t="b">
        <v>0</v>
      </c>
      <c r="F27" s="8" t="s">
        <v>27</v>
      </c>
      <c r="G27" s="8">
        <v>28</v>
      </c>
      <c r="H27" s="9">
        <v>46102</v>
      </c>
    </row>
    <row r="28" spans="1:8">
      <c r="A28" s="8">
        <v>13</v>
      </c>
      <c r="B28" s="8" t="s">
        <v>70</v>
      </c>
      <c r="C28" s="8" t="s">
        <v>51</v>
      </c>
      <c r="D28" s="8" t="s">
        <v>23</v>
      </c>
      <c r="E28" s="8" t="b">
        <v>0</v>
      </c>
      <c r="F28" s="8" t="s">
        <v>27</v>
      </c>
      <c r="G28" s="8">
        <v>28</v>
      </c>
      <c r="H28" s="9">
        <v>46102</v>
      </c>
    </row>
    <row r="29" spans="1:8">
      <c r="A29" s="8">
        <v>1255</v>
      </c>
      <c r="B29" s="8" t="s">
        <v>71</v>
      </c>
      <c r="C29" s="8" t="s">
        <v>72</v>
      </c>
      <c r="D29" s="8" t="s">
        <v>23</v>
      </c>
      <c r="E29" s="8" t="b">
        <v>1</v>
      </c>
      <c r="F29" s="8" t="s">
        <v>27</v>
      </c>
      <c r="G29" s="8">
        <v>13</v>
      </c>
      <c r="H29" s="9">
        <v>46102</v>
      </c>
    </row>
    <row r="30" spans="1:8">
      <c r="A30" s="8">
        <v>1405</v>
      </c>
      <c r="B30" s="8" t="s">
        <v>73</v>
      </c>
      <c r="C30" s="8" t="s">
        <v>74</v>
      </c>
      <c r="D30" s="8" t="s">
        <v>23</v>
      </c>
      <c r="E30" s="8" t="b">
        <v>1</v>
      </c>
      <c r="F30" s="8" t="s">
        <v>35</v>
      </c>
      <c r="H30" s="9">
        <v>46102</v>
      </c>
    </row>
    <row r="31" spans="1:8">
      <c r="A31" s="8">
        <v>1418</v>
      </c>
      <c r="B31" s="8" t="s">
        <v>75</v>
      </c>
      <c r="C31" s="8" t="s">
        <v>22</v>
      </c>
      <c r="D31" s="8" t="s">
        <v>23</v>
      </c>
      <c r="E31" s="8" t="b">
        <v>0</v>
      </c>
      <c r="F31" s="8" t="s">
        <v>25</v>
      </c>
      <c r="H31" s="9">
        <v>46102</v>
      </c>
    </row>
    <row r="32" spans="1:8">
      <c r="A32" s="8">
        <v>919</v>
      </c>
      <c r="B32" s="8" t="s">
        <v>77</v>
      </c>
      <c r="C32" s="8" t="s">
        <v>51</v>
      </c>
      <c r="D32" s="8" t="s">
        <v>23</v>
      </c>
      <c r="E32" s="8" t="b">
        <v>0</v>
      </c>
      <c r="F32" s="8" t="s">
        <v>27</v>
      </c>
      <c r="G32" s="8">
        <v>16</v>
      </c>
      <c r="H32" s="9">
        <v>46102</v>
      </c>
    </row>
    <row r="33" spans="1:8">
      <c r="A33" s="8">
        <v>1319</v>
      </c>
      <c r="B33" s="8" t="s">
        <v>78</v>
      </c>
      <c r="C33" s="8" t="s">
        <v>32</v>
      </c>
      <c r="D33" s="8" t="s">
        <v>23</v>
      </c>
      <c r="E33" s="8" t="b">
        <v>0</v>
      </c>
      <c r="F33" s="8" t="s">
        <v>27</v>
      </c>
      <c r="G33" s="8">
        <v>9</v>
      </c>
      <c r="H33" s="9">
        <v>46102</v>
      </c>
    </row>
    <row r="34" spans="1:8">
      <c r="A34" s="8">
        <v>1389</v>
      </c>
      <c r="B34" s="8" t="s">
        <v>79</v>
      </c>
      <c r="C34" s="8" t="s">
        <v>80</v>
      </c>
      <c r="D34" s="8" t="s">
        <v>23</v>
      </c>
      <c r="E34" s="8" t="b">
        <v>0</v>
      </c>
      <c r="F34" s="8" t="s">
        <v>25</v>
      </c>
      <c r="H34" s="9">
        <v>46102</v>
      </c>
    </row>
    <row r="35" spans="1:8">
      <c r="A35" s="8">
        <v>940</v>
      </c>
      <c r="B35" s="8" t="s">
        <v>81</v>
      </c>
      <c r="C35" s="8" t="s">
        <v>82</v>
      </c>
      <c r="D35" s="8" t="s">
        <v>23</v>
      </c>
      <c r="E35" s="8" t="b">
        <v>1</v>
      </c>
      <c r="F35" s="8" t="s">
        <v>27</v>
      </c>
      <c r="G35" s="8">
        <v>9</v>
      </c>
      <c r="H35" s="9">
        <v>46102</v>
      </c>
    </row>
    <row r="36" spans="1:8">
      <c r="A36" s="8">
        <v>806</v>
      </c>
      <c r="B36" s="8" t="s">
        <v>81</v>
      </c>
      <c r="C36" s="8" t="s">
        <v>83</v>
      </c>
      <c r="D36" s="8" t="s">
        <v>23</v>
      </c>
      <c r="E36" s="8" t="b">
        <v>0</v>
      </c>
      <c r="F36" s="8" t="s">
        <v>27</v>
      </c>
      <c r="G36" s="8">
        <v>11</v>
      </c>
      <c r="H36" s="9">
        <v>46102</v>
      </c>
    </row>
    <row r="37" spans="1:8">
      <c r="A37" s="8">
        <v>482</v>
      </c>
      <c r="B37" s="8" t="s">
        <v>84</v>
      </c>
      <c r="C37" s="8" t="s">
        <v>85</v>
      </c>
      <c r="D37" s="8" t="s">
        <v>23</v>
      </c>
      <c r="E37" s="8" t="b">
        <v>0</v>
      </c>
      <c r="F37" s="8" t="s">
        <v>27</v>
      </c>
      <c r="G37" s="8">
        <v>13</v>
      </c>
      <c r="H37" s="9">
        <v>46102</v>
      </c>
    </row>
    <row r="38" spans="1:8">
      <c r="A38" s="8">
        <v>674</v>
      </c>
      <c r="B38" s="8" t="s">
        <v>86</v>
      </c>
      <c r="C38" s="8" t="s">
        <v>87</v>
      </c>
      <c r="D38" s="8" t="s">
        <v>54</v>
      </c>
      <c r="E38" s="8" t="b">
        <v>1</v>
      </c>
      <c r="F38" s="8" t="s">
        <v>27</v>
      </c>
      <c r="G38" s="8">
        <v>23</v>
      </c>
      <c r="H38" s="9">
        <v>46102</v>
      </c>
    </row>
    <row r="39" spans="1:8">
      <c r="A39" s="8">
        <v>1061</v>
      </c>
      <c r="B39" s="8" t="s">
        <v>88</v>
      </c>
      <c r="C39" s="8" t="s">
        <v>89</v>
      </c>
      <c r="D39" s="8" t="s">
        <v>23</v>
      </c>
      <c r="E39" s="8" t="b">
        <v>0</v>
      </c>
      <c r="F39" s="8" t="s">
        <v>27</v>
      </c>
      <c r="G39" s="8">
        <v>19</v>
      </c>
      <c r="H39" s="9">
        <v>46102</v>
      </c>
    </row>
    <row r="40" spans="1:8">
      <c r="A40" s="8">
        <v>763</v>
      </c>
      <c r="B40" s="8" t="s">
        <v>90</v>
      </c>
      <c r="C40" s="8" t="s">
        <v>59</v>
      </c>
      <c r="D40" s="8" t="s">
        <v>23</v>
      </c>
      <c r="E40" s="8" t="b">
        <v>0</v>
      </c>
      <c r="F40" s="8" t="s">
        <v>27</v>
      </c>
      <c r="G40" s="8">
        <v>17</v>
      </c>
      <c r="H40" s="9">
        <v>46102</v>
      </c>
    </row>
    <row r="41" spans="1:8">
      <c r="A41" s="8">
        <v>1227</v>
      </c>
      <c r="B41" s="8" t="s">
        <v>91</v>
      </c>
      <c r="C41" s="8" t="s">
        <v>92</v>
      </c>
      <c r="D41" s="8" t="s">
        <v>23</v>
      </c>
      <c r="E41" s="8" t="b">
        <v>1</v>
      </c>
      <c r="F41" s="8" t="s">
        <v>27</v>
      </c>
      <c r="G41" s="8">
        <v>8</v>
      </c>
      <c r="H41" s="9">
        <v>46102</v>
      </c>
    </row>
    <row r="42" spans="1:8">
      <c r="A42" s="8">
        <v>715</v>
      </c>
      <c r="B42" s="8" t="s">
        <v>93</v>
      </c>
      <c r="C42" s="8" t="s">
        <v>94</v>
      </c>
      <c r="D42" s="8" t="s">
        <v>23</v>
      </c>
      <c r="E42" s="8" t="b">
        <v>0</v>
      </c>
      <c r="F42" s="8" t="s">
        <v>27</v>
      </c>
      <c r="G42" s="8">
        <v>5</v>
      </c>
      <c r="H42" s="9">
        <v>46102</v>
      </c>
    </row>
    <row r="43" spans="1:8">
      <c r="A43" s="8">
        <v>567</v>
      </c>
      <c r="B43" s="8" t="s">
        <v>95</v>
      </c>
      <c r="C43" s="8" t="s">
        <v>96</v>
      </c>
      <c r="D43" s="8" t="s">
        <v>23</v>
      </c>
      <c r="E43" s="8" t="b">
        <v>0</v>
      </c>
      <c r="F43" s="8" t="s">
        <v>27</v>
      </c>
      <c r="G43" s="8">
        <v>7</v>
      </c>
      <c r="H43" s="9">
        <v>46102</v>
      </c>
    </row>
    <row r="44" spans="1:8">
      <c r="A44" s="8">
        <v>1391</v>
      </c>
      <c r="B44" s="8" t="s">
        <v>97</v>
      </c>
      <c r="C44" s="8" t="s">
        <v>98</v>
      </c>
      <c r="D44" s="8" t="s">
        <v>23</v>
      </c>
      <c r="E44" s="8" t="b">
        <v>1</v>
      </c>
      <c r="F44" s="8" t="s">
        <v>25</v>
      </c>
      <c r="H44" s="9">
        <v>46102</v>
      </c>
    </row>
    <row r="45" spans="1:8">
      <c r="A45" s="8">
        <v>704</v>
      </c>
      <c r="B45" s="8" t="s">
        <v>99</v>
      </c>
      <c r="C45" s="8" t="s">
        <v>100</v>
      </c>
      <c r="D45" s="8" t="s">
        <v>23</v>
      </c>
      <c r="E45" s="8" t="b">
        <v>0</v>
      </c>
      <c r="F45" s="8" t="s">
        <v>27</v>
      </c>
      <c r="G45" s="8">
        <v>21</v>
      </c>
      <c r="H45" s="9">
        <v>46102</v>
      </c>
    </row>
    <row r="46" spans="1:8">
      <c r="A46" s="8">
        <v>1283</v>
      </c>
      <c r="B46" s="8" t="s">
        <v>101</v>
      </c>
      <c r="C46" s="8" t="s">
        <v>102</v>
      </c>
      <c r="D46" s="8" t="s">
        <v>23</v>
      </c>
      <c r="E46" s="8" t="b">
        <v>0</v>
      </c>
      <c r="F46" s="8" t="s">
        <v>27</v>
      </c>
      <c r="G46" s="8">
        <v>18</v>
      </c>
      <c r="H46" s="9">
        <v>46102</v>
      </c>
    </row>
    <row r="47" spans="1:8">
      <c r="A47" s="8">
        <v>295</v>
      </c>
      <c r="B47" s="8" t="s">
        <v>103</v>
      </c>
      <c r="C47" s="8" t="s">
        <v>104</v>
      </c>
      <c r="D47" s="8" t="s">
        <v>23</v>
      </c>
      <c r="E47" s="8" t="b">
        <v>0</v>
      </c>
      <c r="F47" s="8" t="s">
        <v>27</v>
      </c>
      <c r="G47" s="8">
        <v>15</v>
      </c>
      <c r="H47" s="9">
        <v>46102</v>
      </c>
    </row>
    <row r="48" spans="1:8">
      <c r="A48" s="8">
        <v>1226</v>
      </c>
      <c r="B48" s="8" t="s">
        <v>105</v>
      </c>
      <c r="C48" s="8" t="s">
        <v>106</v>
      </c>
      <c r="D48" s="8" t="s">
        <v>23</v>
      </c>
      <c r="E48" s="8" t="b">
        <v>1</v>
      </c>
      <c r="F48" s="8" t="s">
        <v>25</v>
      </c>
      <c r="H48" s="9">
        <v>46102</v>
      </c>
    </row>
    <row r="49" spans="1:8">
      <c r="A49" s="8">
        <v>1185</v>
      </c>
      <c r="B49" s="8" t="s">
        <v>109</v>
      </c>
      <c r="C49" s="8" t="s">
        <v>110</v>
      </c>
      <c r="D49" s="8" t="s">
        <v>23</v>
      </c>
      <c r="E49" s="8" t="b">
        <v>1</v>
      </c>
      <c r="F49" s="8" t="s">
        <v>35</v>
      </c>
      <c r="H49" s="9">
        <v>46102</v>
      </c>
    </row>
    <row r="50" spans="1:8">
      <c r="A50" s="8">
        <v>1065</v>
      </c>
      <c r="B50" s="8" t="s">
        <v>109</v>
      </c>
      <c r="C50" s="8" t="s">
        <v>41</v>
      </c>
      <c r="D50" s="8" t="s">
        <v>23</v>
      </c>
      <c r="E50" s="8" t="b">
        <v>0</v>
      </c>
      <c r="F50" s="8" t="s">
        <v>27</v>
      </c>
      <c r="G50" s="8">
        <v>1</v>
      </c>
      <c r="H50" s="9">
        <v>46102</v>
      </c>
    </row>
    <row r="51" spans="1:8">
      <c r="A51" s="8">
        <v>1407</v>
      </c>
      <c r="B51" s="8" t="s">
        <v>111</v>
      </c>
      <c r="C51" s="8" t="s">
        <v>112</v>
      </c>
      <c r="D51" s="8" t="s">
        <v>23</v>
      </c>
      <c r="E51" s="8" t="b">
        <v>0</v>
      </c>
      <c r="F51" s="8" t="s">
        <v>25</v>
      </c>
      <c r="H51" s="9">
        <v>46102</v>
      </c>
    </row>
    <row r="52" spans="1:8">
      <c r="A52" s="8">
        <v>1096</v>
      </c>
      <c r="B52" s="8" t="s">
        <v>113</v>
      </c>
      <c r="C52" s="8" t="s">
        <v>114</v>
      </c>
      <c r="D52" s="8" t="s">
        <v>23</v>
      </c>
      <c r="E52" s="8" t="b">
        <v>0</v>
      </c>
      <c r="F52" s="8" t="s">
        <v>35</v>
      </c>
      <c r="H52" s="9">
        <v>46102</v>
      </c>
    </row>
    <row r="53" spans="1:8">
      <c r="A53" s="8">
        <v>1236</v>
      </c>
      <c r="B53" s="8" t="s">
        <v>113</v>
      </c>
      <c r="C53" s="8" t="s">
        <v>115</v>
      </c>
      <c r="D53" s="8" t="s">
        <v>23</v>
      </c>
      <c r="E53" s="8" t="b">
        <v>1</v>
      </c>
      <c r="F53" s="8" t="s">
        <v>27</v>
      </c>
      <c r="G53" s="8">
        <v>5</v>
      </c>
      <c r="H53" s="9">
        <v>46102</v>
      </c>
    </row>
    <row r="54" spans="1:8">
      <c r="A54" s="8">
        <v>699</v>
      </c>
      <c r="B54" s="8" t="s">
        <v>113</v>
      </c>
      <c r="C54" s="8" t="s">
        <v>116</v>
      </c>
      <c r="D54" s="8" t="s">
        <v>23</v>
      </c>
      <c r="E54" s="8" t="b">
        <v>0</v>
      </c>
      <c r="F54" s="8" t="s">
        <v>27</v>
      </c>
      <c r="G54" s="8">
        <v>5</v>
      </c>
      <c r="H54" s="9">
        <v>46102</v>
      </c>
    </row>
    <row r="55" spans="1:8">
      <c r="A55" s="8">
        <v>1000</v>
      </c>
      <c r="B55" s="8" t="s">
        <v>120</v>
      </c>
      <c r="C55" s="8" t="s">
        <v>121</v>
      </c>
      <c r="D55" s="8" t="s">
        <v>23</v>
      </c>
      <c r="E55" s="8" t="b">
        <v>0</v>
      </c>
      <c r="F55" s="8" t="s">
        <v>25</v>
      </c>
      <c r="H55" s="9">
        <v>46102</v>
      </c>
    </row>
    <row r="56" spans="1:8">
      <c r="A56" s="8">
        <v>1332</v>
      </c>
      <c r="B56" s="8" t="s">
        <v>122</v>
      </c>
      <c r="C56" s="8" t="s">
        <v>123</v>
      </c>
      <c r="D56" s="8" t="s">
        <v>23</v>
      </c>
      <c r="E56" s="8" t="b">
        <v>1</v>
      </c>
      <c r="F56" s="8" t="s">
        <v>25</v>
      </c>
      <c r="H56" s="9">
        <v>46102</v>
      </c>
    </row>
    <row r="57" spans="1:8">
      <c r="A57" s="8">
        <v>682</v>
      </c>
      <c r="B57" s="8" t="s">
        <v>124</v>
      </c>
      <c r="C57" s="8" t="s">
        <v>125</v>
      </c>
      <c r="D57" s="8" t="s">
        <v>23</v>
      </c>
      <c r="E57" s="8" t="b">
        <v>0</v>
      </c>
      <c r="F57" s="8" t="s">
        <v>27</v>
      </c>
      <c r="G57" s="8">
        <v>11</v>
      </c>
      <c r="H57" s="9">
        <v>46102</v>
      </c>
    </row>
    <row r="58" spans="1:8">
      <c r="A58" s="8">
        <v>1393</v>
      </c>
      <c r="B58" s="8" t="s">
        <v>126</v>
      </c>
      <c r="C58" s="8" t="s">
        <v>127</v>
      </c>
      <c r="D58" s="8" t="s">
        <v>23</v>
      </c>
      <c r="E58" s="8" t="b">
        <v>1</v>
      </c>
      <c r="F58" s="8" t="s">
        <v>27</v>
      </c>
      <c r="G58" s="8">
        <v>10</v>
      </c>
      <c r="H58" s="9">
        <v>46102</v>
      </c>
    </row>
    <row r="59" spans="1:8">
      <c r="A59" s="8">
        <v>1355</v>
      </c>
      <c r="B59" s="8" t="s">
        <v>128</v>
      </c>
      <c r="C59" s="8" t="s">
        <v>129</v>
      </c>
      <c r="D59" s="8" t="s">
        <v>23</v>
      </c>
      <c r="E59" s="8" t="b">
        <v>0</v>
      </c>
      <c r="F59" s="8" t="s">
        <v>35</v>
      </c>
      <c r="H59" s="9">
        <v>46102</v>
      </c>
    </row>
    <row r="60" spans="1:8">
      <c r="A60" s="8">
        <v>1164</v>
      </c>
      <c r="B60" s="8" t="s">
        <v>130</v>
      </c>
      <c r="C60" s="8" t="s">
        <v>131</v>
      </c>
      <c r="D60" s="8" t="s">
        <v>54</v>
      </c>
      <c r="E60" s="8" t="b">
        <v>1</v>
      </c>
      <c r="F60" s="8" t="s">
        <v>25</v>
      </c>
      <c r="H60" s="9">
        <v>46102</v>
      </c>
    </row>
    <row r="61" spans="1:8">
      <c r="A61" s="8">
        <v>1062</v>
      </c>
      <c r="B61" s="8" t="s">
        <v>130</v>
      </c>
      <c r="C61" s="8" t="s">
        <v>83</v>
      </c>
      <c r="D61" s="8" t="s">
        <v>23</v>
      </c>
      <c r="E61" s="8" t="b">
        <v>0</v>
      </c>
      <c r="F61" s="8" t="s">
        <v>27</v>
      </c>
      <c r="G61" s="8">
        <v>9</v>
      </c>
      <c r="H61" s="9">
        <v>46102</v>
      </c>
    </row>
    <row r="62" spans="1:8">
      <c r="A62" s="8">
        <v>938</v>
      </c>
      <c r="B62" s="8" t="s">
        <v>130</v>
      </c>
      <c r="C62" s="8" t="s">
        <v>132</v>
      </c>
      <c r="D62" s="8" t="s">
        <v>23</v>
      </c>
      <c r="E62" s="8" t="b">
        <v>1</v>
      </c>
      <c r="F62" s="8" t="s">
        <v>27</v>
      </c>
      <c r="G62" s="8">
        <v>7</v>
      </c>
      <c r="H62" s="9">
        <v>46102</v>
      </c>
    </row>
    <row r="63" spans="1:8">
      <c r="A63" s="8">
        <v>1034</v>
      </c>
      <c r="B63" s="8" t="s">
        <v>134</v>
      </c>
      <c r="C63" s="8" t="s">
        <v>83</v>
      </c>
      <c r="D63" s="8" t="s">
        <v>23</v>
      </c>
      <c r="E63" s="8" t="b">
        <v>0</v>
      </c>
      <c r="F63" s="8" t="s">
        <v>25</v>
      </c>
      <c r="H63" s="9">
        <v>46102</v>
      </c>
    </row>
    <row r="64" spans="1:8">
      <c r="A64" s="8">
        <v>1402</v>
      </c>
      <c r="B64" s="8" t="s">
        <v>135</v>
      </c>
      <c r="C64" s="8" t="s">
        <v>136</v>
      </c>
      <c r="D64" s="8" t="s">
        <v>23</v>
      </c>
      <c r="E64" s="8" t="b">
        <v>0</v>
      </c>
      <c r="F64" s="8" t="s">
        <v>27</v>
      </c>
      <c r="G64" s="8">
        <v>7</v>
      </c>
      <c r="H64" s="9">
        <v>46102</v>
      </c>
    </row>
    <row r="65" spans="1:8">
      <c r="A65" s="8">
        <v>939</v>
      </c>
      <c r="B65" s="8" t="s">
        <v>137</v>
      </c>
      <c r="C65" s="8" t="s">
        <v>127</v>
      </c>
      <c r="D65" s="8" t="s">
        <v>23</v>
      </c>
      <c r="E65" s="8" t="b">
        <v>1</v>
      </c>
      <c r="F65" s="8" t="s">
        <v>27</v>
      </c>
      <c r="G65" s="8">
        <v>12</v>
      </c>
      <c r="H65" s="9">
        <v>46102</v>
      </c>
    </row>
    <row r="66" spans="1:8">
      <c r="A66" s="8">
        <v>1377</v>
      </c>
      <c r="B66" s="8" t="s">
        <v>138</v>
      </c>
      <c r="C66" s="8" t="s">
        <v>139</v>
      </c>
      <c r="D66" s="8" t="s">
        <v>23</v>
      </c>
      <c r="E66" s="8" t="b">
        <v>1</v>
      </c>
      <c r="F66" s="8" t="s">
        <v>27</v>
      </c>
      <c r="G66" s="8">
        <v>12</v>
      </c>
      <c r="H66" s="9">
        <v>46102</v>
      </c>
    </row>
    <row r="67" spans="1:8">
      <c r="A67" s="8">
        <v>1281</v>
      </c>
      <c r="B67" s="8" t="s">
        <v>140</v>
      </c>
      <c r="C67" s="8" t="s">
        <v>141</v>
      </c>
      <c r="D67" s="8" t="s">
        <v>23</v>
      </c>
      <c r="E67" s="8" t="b">
        <v>0</v>
      </c>
      <c r="F67" s="8" t="s">
        <v>27</v>
      </c>
      <c r="G67" s="8">
        <v>19</v>
      </c>
      <c r="H67" s="9">
        <v>46102</v>
      </c>
    </row>
    <row r="68" spans="1:8">
      <c r="A68" s="8">
        <v>933</v>
      </c>
      <c r="B68" s="8" t="s">
        <v>142</v>
      </c>
      <c r="C68" s="8" t="s">
        <v>143</v>
      </c>
      <c r="D68" s="8" t="s">
        <v>23</v>
      </c>
      <c r="E68" s="8" t="b">
        <v>0</v>
      </c>
      <c r="F68" s="8" t="s">
        <v>25</v>
      </c>
      <c r="H68" s="9">
        <v>46102</v>
      </c>
    </row>
    <row r="69" spans="1:8">
      <c r="A69" s="8">
        <v>1274</v>
      </c>
      <c r="B69" s="8" t="s">
        <v>144</v>
      </c>
      <c r="C69" s="8" t="s">
        <v>145</v>
      </c>
      <c r="D69" s="8" t="s">
        <v>23</v>
      </c>
      <c r="E69" s="8" t="b">
        <v>1</v>
      </c>
      <c r="F69" s="8" t="s">
        <v>25</v>
      </c>
      <c r="H69" s="9">
        <v>46102</v>
      </c>
    </row>
    <row r="70" spans="1:8">
      <c r="A70" s="8">
        <v>493</v>
      </c>
      <c r="B70" s="8" t="s">
        <v>146</v>
      </c>
      <c r="C70" s="8" t="s">
        <v>49</v>
      </c>
      <c r="D70" s="8" t="s">
        <v>48</v>
      </c>
      <c r="E70" s="8" t="b">
        <v>0</v>
      </c>
      <c r="F70" s="8" t="s">
        <v>27</v>
      </c>
      <c r="G70" s="8">
        <v>37</v>
      </c>
      <c r="H70" s="9">
        <v>46102</v>
      </c>
    </row>
    <row r="71" spans="1:8">
      <c r="A71" s="8">
        <v>1279</v>
      </c>
      <c r="B71" s="8" t="s">
        <v>147</v>
      </c>
      <c r="C71" s="8" t="s">
        <v>148</v>
      </c>
      <c r="D71" s="8" t="s">
        <v>23</v>
      </c>
      <c r="E71" s="8" t="b">
        <v>0</v>
      </c>
      <c r="F71" s="8" t="s">
        <v>27</v>
      </c>
      <c r="G71" s="8">
        <v>4</v>
      </c>
      <c r="H71" s="9">
        <v>46102</v>
      </c>
    </row>
    <row r="72" spans="1:8">
      <c r="A72" s="8">
        <v>1193</v>
      </c>
      <c r="B72" s="8" t="s">
        <v>149</v>
      </c>
      <c r="C72" s="8" t="s">
        <v>150</v>
      </c>
      <c r="D72" s="8" t="s">
        <v>23</v>
      </c>
      <c r="E72" s="8" t="b">
        <v>0</v>
      </c>
      <c r="F72" s="8" t="s">
        <v>25</v>
      </c>
      <c r="H72" s="9">
        <v>46102</v>
      </c>
    </row>
    <row r="73" spans="1:8">
      <c r="A73" s="8">
        <v>1194</v>
      </c>
      <c r="B73" s="8" t="s">
        <v>149</v>
      </c>
      <c r="C73" s="8" t="s">
        <v>151</v>
      </c>
      <c r="D73" s="8" t="s">
        <v>23</v>
      </c>
      <c r="E73" s="8" t="b">
        <v>1</v>
      </c>
      <c r="F73" s="8" t="s">
        <v>25</v>
      </c>
      <c r="H73" s="9">
        <v>46102</v>
      </c>
    </row>
    <row r="74" spans="1:8">
      <c r="A74" s="8">
        <v>1196</v>
      </c>
      <c r="B74" s="8" t="s">
        <v>149</v>
      </c>
      <c r="C74" s="8" t="s">
        <v>152</v>
      </c>
      <c r="D74" s="8" t="s">
        <v>23</v>
      </c>
      <c r="E74" s="8" t="b">
        <v>0</v>
      </c>
      <c r="F74" s="8" t="s">
        <v>35</v>
      </c>
      <c r="H74" s="9">
        <v>46102</v>
      </c>
    </row>
    <row r="75" spans="1:8">
      <c r="A75" s="8">
        <v>1195</v>
      </c>
      <c r="B75" s="8" t="s">
        <v>149</v>
      </c>
      <c r="C75" s="8" t="s">
        <v>153</v>
      </c>
      <c r="D75" s="8" t="s">
        <v>23</v>
      </c>
      <c r="E75" s="8" t="b">
        <v>0</v>
      </c>
      <c r="F75" s="8" t="s">
        <v>35</v>
      </c>
      <c r="H75" s="9">
        <v>46102</v>
      </c>
    </row>
    <row r="76" spans="1:8">
      <c r="A76" s="8">
        <v>1176</v>
      </c>
      <c r="B76" s="8" t="s">
        <v>154</v>
      </c>
      <c r="C76" s="8" t="s">
        <v>155</v>
      </c>
      <c r="D76" s="8" t="s">
        <v>23</v>
      </c>
      <c r="E76" s="8" t="b">
        <v>0</v>
      </c>
      <c r="F76" s="8" t="s">
        <v>35</v>
      </c>
      <c r="H76" s="9">
        <v>46102</v>
      </c>
    </row>
    <row r="77" spans="1:8">
      <c r="A77" s="8">
        <v>1174</v>
      </c>
      <c r="B77" s="8" t="s">
        <v>154</v>
      </c>
      <c r="C77" s="8" t="s">
        <v>156</v>
      </c>
      <c r="D77" s="8" t="s">
        <v>23</v>
      </c>
      <c r="E77" s="8" t="b">
        <v>1</v>
      </c>
      <c r="F77" s="8" t="s">
        <v>27</v>
      </c>
      <c r="G77" s="8">
        <v>6</v>
      </c>
      <c r="H77" s="9">
        <v>46102</v>
      </c>
    </row>
    <row r="78" spans="1:8">
      <c r="A78" s="8">
        <v>1175</v>
      </c>
      <c r="B78" s="8" t="s">
        <v>154</v>
      </c>
      <c r="C78" s="8" t="s">
        <v>150</v>
      </c>
      <c r="D78" s="8" t="s">
        <v>23</v>
      </c>
      <c r="E78" s="8" t="b">
        <v>0</v>
      </c>
      <c r="F78" s="8" t="s">
        <v>27</v>
      </c>
      <c r="G78" s="8">
        <v>12</v>
      </c>
      <c r="H78" s="9">
        <v>46102</v>
      </c>
    </row>
    <row r="79" spans="1:8">
      <c r="A79" s="8">
        <v>1109</v>
      </c>
      <c r="B79" s="8" t="s">
        <v>157</v>
      </c>
      <c r="C79" s="8" t="s">
        <v>104</v>
      </c>
      <c r="D79" s="8" t="s">
        <v>23</v>
      </c>
      <c r="E79" s="8" t="b">
        <v>0</v>
      </c>
      <c r="F79" s="8" t="s">
        <v>25</v>
      </c>
      <c r="H79" s="9">
        <v>46102</v>
      </c>
    </row>
    <row r="80" spans="1:8">
      <c r="A80" s="8">
        <v>1073</v>
      </c>
      <c r="B80" s="8" t="s">
        <v>158</v>
      </c>
      <c r="C80" s="8" t="s">
        <v>150</v>
      </c>
      <c r="D80" s="8" t="s">
        <v>23</v>
      </c>
      <c r="E80" s="8" t="b">
        <v>0</v>
      </c>
      <c r="F80" s="8" t="s">
        <v>27</v>
      </c>
      <c r="G80" s="8">
        <v>3</v>
      </c>
      <c r="H80" s="9">
        <v>46102</v>
      </c>
    </row>
    <row r="81" spans="1:8">
      <c r="A81" s="8">
        <v>1400</v>
      </c>
      <c r="B81" s="8" t="s">
        <v>159</v>
      </c>
      <c r="C81" s="8" t="s">
        <v>160</v>
      </c>
      <c r="D81" s="8" t="s">
        <v>23</v>
      </c>
      <c r="E81" s="8" t="b">
        <v>0</v>
      </c>
      <c r="F81" s="8" t="s">
        <v>25</v>
      </c>
      <c r="H81" s="9">
        <v>46102</v>
      </c>
    </row>
    <row r="82" spans="1:8">
      <c r="A82" s="8">
        <v>1367</v>
      </c>
      <c r="B82" s="8" t="s">
        <v>161</v>
      </c>
      <c r="C82" s="8" t="s">
        <v>152</v>
      </c>
      <c r="D82" s="8" t="s">
        <v>23</v>
      </c>
      <c r="E82" s="8" t="b">
        <v>0</v>
      </c>
      <c r="F82" s="8" t="s">
        <v>35</v>
      </c>
      <c r="H82" s="9">
        <v>46102</v>
      </c>
    </row>
    <row r="83" spans="1:8">
      <c r="A83" s="8">
        <v>1366</v>
      </c>
      <c r="B83" s="8" t="s">
        <v>161</v>
      </c>
      <c r="C83" s="8" t="s">
        <v>162</v>
      </c>
      <c r="D83" s="8" t="s">
        <v>23</v>
      </c>
      <c r="E83" s="8" t="b">
        <v>1</v>
      </c>
      <c r="F83" s="8" t="s">
        <v>25</v>
      </c>
      <c r="H83" s="9">
        <v>46102</v>
      </c>
    </row>
    <row r="84" spans="1:8">
      <c r="A84" s="8">
        <v>1365</v>
      </c>
      <c r="B84" s="8" t="s">
        <v>161</v>
      </c>
      <c r="C84" s="8" t="s">
        <v>163</v>
      </c>
      <c r="D84" s="8" t="s">
        <v>23</v>
      </c>
      <c r="E84" s="8" t="b">
        <v>1</v>
      </c>
      <c r="F84" s="8" t="s">
        <v>27</v>
      </c>
      <c r="G84" s="8">
        <v>7</v>
      </c>
      <c r="H84" s="9">
        <v>46102</v>
      </c>
    </row>
    <row r="85" spans="1:8">
      <c r="A85" s="8">
        <v>897</v>
      </c>
      <c r="B85" s="8" t="s">
        <v>161</v>
      </c>
      <c r="C85" s="8" t="s">
        <v>164</v>
      </c>
      <c r="D85" s="8" t="s">
        <v>23</v>
      </c>
      <c r="E85" s="8" t="b">
        <v>0</v>
      </c>
      <c r="F85" s="8" t="s">
        <v>27</v>
      </c>
      <c r="G85" s="8">
        <v>13</v>
      </c>
      <c r="H85" s="9">
        <v>46102</v>
      </c>
    </row>
    <row r="86" spans="1:8">
      <c r="A86" s="8">
        <v>1308</v>
      </c>
      <c r="B86" s="8" t="s">
        <v>165</v>
      </c>
      <c r="C86" s="8" t="s">
        <v>166</v>
      </c>
      <c r="D86" s="8" t="s">
        <v>23</v>
      </c>
      <c r="E86" s="8" t="b">
        <v>1</v>
      </c>
      <c r="F86" s="8" t="s">
        <v>27</v>
      </c>
      <c r="G86" s="8">
        <v>2</v>
      </c>
      <c r="H86" s="9">
        <v>46102</v>
      </c>
    </row>
    <row r="87" spans="1:8">
      <c r="A87" s="8">
        <v>1206</v>
      </c>
      <c r="B87" s="8" t="s">
        <v>167</v>
      </c>
      <c r="C87" s="8" t="s">
        <v>168</v>
      </c>
      <c r="D87" s="8" t="s">
        <v>23</v>
      </c>
      <c r="E87" s="8" t="b">
        <v>1</v>
      </c>
      <c r="F87" s="8" t="s">
        <v>27</v>
      </c>
      <c r="G87" s="8">
        <v>8</v>
      </c>
      <c r="H87" s="9">
        <v>46102</v>
      </c>
    </row>
    <row r="88" spans="1:8">
      <c r="A88" s="8">
        <v>1205</v>
      </c>
      <c r="B88" s="8" t="s">
        <v>167</v>
      </c>
      <c r="C88" s="8" t="s">
        <v>66</v>
      </c>
      <c r="D88" s="8" t="s">
        <v>23</v>
      </c>
      <c r="E88" s="8" t="b">
        <v>0</v>
      </c>
      <c r="F88" s="8" t="s">
        <v>27</v>
      </c>
      <c r="G88" s="8">
        <v>14</v>
      </c>
      <c r="H88" s="9">
        <v>46102</v>
      </c>
    </row>
    <row r="89" spans="1:8">
      <c r="A89" s="8">
        <v>1406</v>
      </c>
      <c r="B89" s="8" t="s">
        <v>169</v>
      </c>
      <c r="C89" s="8" t="s">
        <v>170</v>
      </c>
      <c r="D89" s="8" t="s">
        <v>23</v>
      </c>
      <c r="E89" s="8" t="b">
        <v>0</v>
      </c>
      <c r="F89" s="8" t="s">
        <v>27</v>
      </c>
      <c r="G89" s="8">
        <v>9</v>
      </c>
      <c r="H89" s="9">
        <v>46102</v>
      </c>
    </row>
    <row r="90" spans="1:8">
      <c r="A90" s="8">
        <v>1182</v>
      </c>
      <c r="B90" s="8" t="s">
        <v>171</v>
      </c>
      <c r="C90" s="8" t="s">
        <v>136</v>
      </c>
      <c r="D90" s="8" t="s">
        <v>23</v>
      </c>
      <c r="E90" s="8" t="b">
        <v>0</v>
      </c>
      <c r="F90" s="8" t="s">
        <v>27</v>
      </c>
      <c r="G90" s="8">
        <v>8</v>
      </c>
      <c r="H90" s="9">
        <v>46102</v>
      </c>
    </row>
    <row r="91" spans="1:8">
      <c r="A91" s="8">
        <v>1340</v>
      </c>
      <c r="B91" s="8" t="s">
        <v>172</v>
      </c>
      <c r="C91" s="8" t="s">
        <v>173</v>
      </c>
      <c r="D91" s="8" t="s">
        <v>23</v>
      </c>
      <c r="E91" s="8" t="b">
        <v>0</v>
      </c>
      <c r="F91" s="8" t="s">
        <v>27</v>
      </c>
      <c r="G91" s="8">
        <v>8</v>
      </c>
      <c r="H91" s="9">
        <v>46102</v>
      </c>
    </row>
    <row r="92" spans="1:8">
      <c r="A92" s="8">
        <v>21</v>
      </c>
      <c r="B92" s="8" t="s">
        <v>174</v>
      </c>
      <c r="C92" s="8" t="s">
        <v>175</v>
      </c>
      <c r="D92" s="8" t="s">
        <v>23</v>
      </c>
      <c r="E92" s="8" t="b">
        <v>0</v>
      </c>
      <c r="F92" s="8" t="s">
        <v>25</v>
      </c>
      <c r="H92" s="9">
        <v>46102</v>
      </c>
    </row>
    <row r="93" spans="1:8">
      <c r="A93" s="8">
        <v>1049</v>
      </c>
      <c r="B93" s="8" t="s">
        <v>176</v>
      </c>
      <c r="C93" s="8" t="s">
        <v>177</v>
      </c>
      <c r="D93" s="8" t="s">
        <v>23</v>
      </c>
      <c r="E93" s="8" t="b">
        <v>0</v>
      </c>
      <c r="F93" s="8" t="s">
        <v>27</v>
      </c>
      <c r="G93" s="8">
        <v>19</v>
      </c>
      <c r="H93" s="9">
        <v>46102</v>
      </c>
    </row>
    <row r="94" spans="1:8">
      <c r="A94" s="8">
        <v>120</v>
      </c>
      <c r="B94" s="8" t="s">
        <v>178</v>
      </c>
      <c r="C94" s="8" t="s">
        <v>179</v>
      </c>
      <c r="D94" s="8" t="s">
        <v>23</v>
      </c>
      <c r="E94" s="8" t="b">
        <v>1</v>
      </c>
      <c r="F94" s="8" t="s">
        <v>27</v>
      </c>
      <c r="G94" s="8">
        <v>12</v>
      </c>
      <c r="H94" s="9">
        <v>46102</v>
      </c>
    </row>
    <row r="95" spans="1:8">
      <c r="A95" s="8">
        <v>990</v>
      </c>
      <c r="B95" s="8" t="s">
        <v>180</v>
      </c>
      <c r="C95" s="8" t="s">
        <v>87</v>
      </c>
      <c r="D95" s="8" t="s">
        <v>23</v>
      </c>
      <c r="E95" s="8" t="b">
        <v>1</v>
      </c>
      <c r="F95" s="8" t="s">
        <v>27</v>
      </c>
      <c r="G95" s="8">
        <v>10</v>
      </c>
      <c r="H95" s="9">
        <v>46102</v>
      </c>
    </row>
    <row r="96" spans="1:8">
      <c r="A96" s="8">
        <v>1395</v>
      </c>
      <c r="B96" s="8" t="s">
        <v>181</v>
      </c>
      <c r="C96" s="8" t="s">
        <v>182</v>
      </c>
      <c r="D96" s="8" t="s">
        <v>23</v>
      </c>
      <c r="E96" s="8" t="b">
        <v>1</v>
      </c>
      <c r="F96" s="8" t="s">
        <v>35</v>
      </c>
      <c r="H96" s="9">
        <v>46102</v>
      </c>
    </row>
    <row r="97" spans="1:8">
      <c r="A97" s="8">
        <v>1158</v>
      </c>
      <c r="B97" s="8" t="s">
        <v>183</v>
      </c>
      <c r="C97" s="8" t="s">
        <v>184</v>
      </c>
      <c r="D97" s="8" t="s">
        <v>23</v>
      </c>
      <c r="E97" s="8" t="b">
        <v>1</v>
      </c>
      <c r="F97" s="8" t="s">
        <v>25</v>
      </c>
      <c r="H97" s="9">
        <v>46102</v>
      </c>
    </row>
    <row r="98" spans="1:8">
      <c r="A98" s="8">
        <v>23</v>
      </c>
      <c r="B98" s="8" t="s">
        <v>185</v>
      </c>
      <c r="C98" s="8" t="s">
        <v>100</v>
      </c>
      <c r="D98" s="8" t="s">
        <v>23</v>
      </c>
      <c r="E98" s="8" t="b">
        <v>0</v>
      </c>
      <c r="F98" s="8" t="s">
        <v>27</v>
      </c>
      <c r="G98" s="8">
        <v>10</v>
      </c>
      <c r="H98" s="9">
        <v>46102</v>
      </c>
    </row>
    <row r="99" spans="1:8">
      <c r="A99" s="8">
        <v>1152</v>
      </c>
      <c r="B99" s="8" t="s">
        <v>186</v>
      </c>
      <c r="C99" s="8" t="s">
        <v>187</v>
      </c>
      <c r="D99" s="8" t="s">
        <v>23</v>
      </c>
      <c r="E99" s="8" t="b">
        <v>1</v>
      </c>
      <c r="F99" s="8" t="s">
        <v>188</v>
      </c>
      <c r="H99" s="9">
        <v>46102</v>
      </c>
    </row>
    <row r="100" spans="1:8">
      <c r="A100" s="8">
        <v>581</v>
      </c>
      <c r="B100" s="8" t="s">
        <v>189</v>
      </c>
      <c r="C100" s="8" t="s">
        <v>190</v>
      </c>
      <c r="D100" s="8" t="s">
        <v>23</v>
      </c>
      <c r="E100" s="8" t="b">
        <v>0</v>
      </c>
      <c r="F100" s="8" t="s">
        <v>27</v>
      </c>
      <c r="G100" s="8">
        <v>13</v>
      </c>
      <c r="H100" s="9">
        <v>46102</v>
      </c>
    </row>
    <row r="101" spans="1:8">
      <c r="A101" s="8">
        <v>1374</v>
      </c>
      <c r="B101" s="8" t="s">
        <v>191</v>
      </c>
      <c r="C101" s="8" t="s">
        <v>192</v>
      </c>
      <c r="D101" s="8" t="s">
        <v>23</v>
      </c>
      <c r="E101" s="8" t="b">
        <v>0</v>
      </c>
      <c r="F101" s="8" t="s">
        <v>25</v>
      </c>
      <c r="H101" s="9">
        <v>46102</v>
      </c>
    </row>
    <row r="102" spans="1:8">
      <c r="A102" s="8">
        <v>25</v>
      </c>
      <c r="B102" s="8" t="s">
        <v>22</v>
      </c>
      <c r="C102" s="8" t="s">
        <v>193</v>
      </c>
      <c r="D102" s="8" t="s">
        <v>23</v>
      </c>
      <c r="E102" s="8" t="b">
        <v>0</v>
      </c>
      <c r="F102" s="8" t="s">
        <v>27</v>
      </c>
      <c r="G102" s="8">
        <v>8</v>
      </c>
      <c r="H102" s="9">
        <v>46102</v>
      </c>
    </row>
    <row r="103" spans="1:8">
      <c r="A103" s="8">
        <v>415</v>
      </c>
      <c r="B103" s="8" t="s">
        <v>195</v>
      </c>
      <c r="C103" s="8" t="s">
        <v>196</v>
      </c>
      <c r="D103" s="8" t="s">
        <v>23</v>
      </c>
      <c r="E103" s="8" t="b">
        <v>0</v>
      </c>
      <c r="F103" s="8" t="s">
        <v>27</v>
      </c>
      <c r="G103" s="8">
        <v>6</v>
      </c>
      <c r="H103" s="9">
        <v>46102</v>
      </c>
    </row>
    <row r="104" spans="1:8">
      <c r="A104" s="8">
        <v>1144</v>
      </c>
      <c r="B104" s="8" t="s">
        <v>195</v>
      </c>
      <c r="C104" s="8" t="s">
        <v>197</v>
      </c>
      <c r="D104" s="8" t="s">
        <v>54</v>
      </c>
      <c r="E104" s="8" t="b">
        <v>0</v>
      </c>
      <c r="F104" s="8" t="s">
        <v>188</v>
      </c>
      <c r="H104" s="9">
        <v>46102</v>
      </c>
    </row>
    <row r="105" spans="1:8">
      <c r="A105" s="8">
        <v>203</v>
      </c>
      <c r="B105" s="8" t="s">
        <v>200</v>
      </c>
      <c r="C105" s="8" t="s">
        <v>201</v>
      </c>
      <c r="D105" s="8" t="s">
        <v>23</v>
      </c>
      <c r="E105" s="8" t="b">
        <v>0</v>
      </c>
      <c r="F105" s="8" t="s">
        <v>27</v>
      </c>
      <c r="G105" s="8">
        <v>9</v>
      </c>
      <c r="H105" s="9">
        <v>46102</v>
      </c>
    </row>
    <row r="106" spans="1:8">
      <c r="A106" s="8">
        <v>956</v>
      </c>
      <c r="B106" s="8" t="s">
        <v>202</v>
      </c>
      <c r="C106" s="8" t="s">
        <v>94</v>
      </c>
      <c r="D106" s="8" t="s">
        <v>23</v>
      </c>
      <c r="E106" s="8" t="b">
        <v>0</v>
      </c>
      <c r="F106" s="8" t="s">
        <v>27</v>
      </c>
      <c r="G106" s="8">
        <v>13</v>
      </c>
      <c r="H106" s="9">
        <v>46102</v>
      </c>
    </row>
    <row r="107" spans="1:8">
      <c r="A107" s="8">
        <v>1273</v>
      </c>
      <c r="B107" s="8" t="s">
        <v>203</v>
      </c>
      <c r="C107" s="8" t="s">
        <v>204</v>
      </c>
      <c r="D107" s="8" t="s">
        <v>23</v>
      </c>
      <c r="E107" s="8" t="b">
        <v>1</v>
      </c>
      <c r="F107" s="8" t="s">
        <v>27</v>
      </c>
      <c r="G107" s="8">
        <v>22</v>
      </c>
      <c r="H107" s="9">
        <v>46102</v>
      </c>
    </row>
    <row r="108" spans="1:8">
      <c r="A108" s="8">
        <v>1272</v>
      </c>
      <c r="B108" s="8" t="s">
        <v>203</v>
      </c>
      <c r="C108" s="8" t="s">
        <v>205</v>
      </c>
      <c r="D108" s="8" t="s">
        <v>23</v>
      </c>
      <c r="E108" s="8" t="b">
        <v>0</v>
      </c>
      <c r="F108" s="8" t="s">
        <v>27</v>
      </c>
      <c r="G108" s="8">
        <v>24</v>
      </c>
      <c r="H108" s="9">
        <v>46102</v>
      </c>
    </row>
    <row r="109" spans="1:8">
      <c r="A109" s="8">
        <v>846</v>
      </c>
      <c r="B109" s="8" t="s">
        <v>206</v>
      </c>
      <c r="C109" s="8" t="s">
        <v>207</v>
      </c>
      <c r="D109" s="8" t="s">
        <v>23</v>
      </c>
      <c r="E109" s="8" t="b">
        <v>0</v>
      </c>
      <c r="F109" s="8" t="s">
        <v>27</v>
      </c>
      <c r="G109" s="8">
        <v>17</v>
      </c>
      <c r="H109" s="9">
        <v>46102</v>
      </c>
    </row>
    <row r="110" spans="1:8">
      <c r="A110" s="8">
        <v>1162</v>
      </c>
      <c r="B110" s="8" t="s">
        <v>208</v>
      </c>
      <c r="C110" s="8" t="s">
        <v>150</v>
      </c>
      <c r="D110" s="8" t="s">
        <v>23</v>
      </c>
      <c r="E110" s="8" t="b">
        <v>0</v>
      </c>
      <c r="F110" s="8" t="s">
        <v>25</v>
      </c>
      <c r="H110" s="9">
        <v>46102</v>
      </c>
    </row>
    <row r="111" spans="1:8">
      <c r="A111" s="8">
        <v>1244</v>
      </c>
      <c r="B111" s="8" t="s">
        <v>209</v>
      </c>
      <c r="C111" s="8" t="s">
        <v>94</v>
      </c>
      <c r="D111" s="8" t="s">
        <v>23</v>
      </c>
      <c r="E111" s="8" t="b">
        <v>0</v>
      </c>
      <c r="F111" s="8" t="s">
        <v>27</v>
      </c>
      <c r="G111" s="8">
        <v>2</v>
      </c>
      <c r="H111" s="9">
        <v>46102</v>
      </c>
    </row>
    <row r="112" spans="1:8">
      <c r="A112" s="8">
        <v>1379</v>
      </c>
      <c r="B112" s="8" t="s">
        <v>209</v>
      </c>
      <c r="C112" s="8" t="s">
        <v>210</v>
      </c>
      <c r="D112" s="8" t="s">
        <v>23</v>
      </c>
      <c r="E112" s="8" t="b">
        <v>1</v>
      </c>
      <c r="F112" s="8" t="s">
        <v>25</v>
      </c>
      <c r="H112" s="9">
        <v>46102</v>
      </c>
    </row>
    <row r="113" spans="1:8">
      <c r="A113" s="8">
        <v>1362</v>
      </c>
      <c r="B113" s="8" t="s">
        <v>211</v>
      </c>
      <c r="C113" s="8" t="s">
        <v>212</v>
      </c>
      <c r="D113" s="8" t="s">
        <v>23</v>
      </c>
      <c r="E113" s="8" t="b">
        <v>1</v>
      </c>
      <c r="F113" s="8" t="s">
        <v>27</v>
      </c>
      <c r="G113" s="8">
        <v>22</v>
      </c>
      <c r="H113" s="9">
        <v>46102</v>
      </c>
    </row>
    <row r="114" spans="1:8">
      <c r="A114" s="8">
        <v>1403</v>
      </c>
      <c r="B114" s="8" t="s">
        <v>213</v>
      </c>
      <c r="C114" s="8" t="s">
        <v>214</v>
      </c>
      <c r="D114" s="8" t="s">
        <v>23</v>
      </c>
      <c r="E114" s="8" t="b">
        <v>0</v>
      </c>
      <c r="F114" s="8" t="s">
        <v>27</v>
      </c>
      <c r="G114" s="8">
        <v>8</v>
      </c>
      <c r="H114" s="9">
        <v>46102</v>
      </c>
    </row>
    <row r="115" spans="1:8">
      <c r="A115" s="8">
        <v>1404</v>
      </c>
      <c r="B115" s="8" t="s">
        <v>213</v>
      </c>
      <c r="C115" s="8" t="s">
        <v>215</v>
      </c>
      <c r="D115" s="8" t="s">
        <v>23</v>
      </c>
      <c r="E115" s="8" t="b">
        <v>1</v>
      </c>
      <c r="F115" s="8" t="s">
        <v>25</v>
      </c>
      <c r="H115" s="9">
        <v>46102</v>
      </c>
    </row>
    <row r="116" spans="1:8">
      <c r="A116" s="8">
        <v>1229</v>
      </c>
      <c r="B116" s="8" t="s">
        <v>216</v>
      </c>
      <c r="C116" s="8" t="s">
        <v>217</v>
      </c>
      <c r="D116" s="8" t="s">
        <v>23</v>
      </c>
      <c r="E116" s="8" t="b">
        <v>1</v>
      </c>
      <c r="F116" s="8" t="s">
        <v>25</v>
      </c>
      <c r="H116" s="9">
        <v>46102</v>
      </c>
    </row>
    <row r="117" spans="1:8">
      <c r="A117" s="8">
        <v>1408</v>
      </c>
      <c r="B117" s="8" t="s">
        <v>218</v>
      </c>
      <c r="C117" s="8" t="s">
        <v>219</v>
      </c>
      <c r="D117" s="8" t="s">
        <v>23</v>
      </c>
      <c r="E117" s="8" t="b">
        <v>0</v>
      </c>
      <c r="F117" s="8" t="s">
        <v>27</v>
      </c>
      <c r="G117" s="8">
        <v>20</v>
      </c>
      <c r="H117" s="9">
        <v>46102</v>
      </c>
    </row>
    <row r="118" spans="1:8">
      <c r="A118" s="8">
        <v>1409</v>
      </c>
      <c r="B118" s="8" t="s">
        <v>218</v>
      </c>
      <c r="C118" s="8" t="s">
        <v>220</v>
      </c>
      <c r="D118" s="8" t="s">
        <v>23</v>
      </c>
      <c r="E118" s="8" t="b">
        <v>1</v>
      </c>
      <c r="F118" s="8" t="s">
        <v>27</v>
      </c>
      <c r="G118" s="8">
        <v>15</v>
      </c>
      <c r="H118" s="9">
        <v>46102</v>
      </c>
    </row>
    <row r="119" spans="1:8">
      <c r="A119" s="8">
        <v>1198</v>
      </c>
      <c r="B119" s="8" t="s">
        <v>221</v>
      </c>
      <c r="C119" s="8" t="s">
        <v>222</v>
      </c>
      <c r="D119" s="8" t="s">
        <v>23</v>
      </c>
      <c r="E119" s="8" t="b">
        <v>0</v>
      </c>
      <c r="F119" s="8" t="s">
        <v>27</v>
      </c>
      <c r="G119" s="8">
        <v>5</v>
      </c>
      <c r="H119" s="9">
        <v>46102</v>
      </c>
    </row>
    <row r="120" spans="1:8">
      <c r="A120" s="8">
        <v>1361</v>
      </c>
      <c r="B120" s="8" t="s">
        <v>224</v>
      </c>
      <c r="C120" s="8" t="s">
        <v>225</v>
      </c>
      <c r="D120" s="8" t="s">
        <v>23</v>
      </c>
      <c r="E120" s="8" t="b">
        <v>0</v>
      </c>
      <c r="F120" s="8" t="s">
        <v>27</v>
      </c>
      <c r="G120" s="8">
        <v>16</v>
      </c>
      <c r="H120" s="9">
        <v>46102</v>
      </c>
    </row>
    <row r="121" spans="1:8">
      <c r="A121" s="8">
        <v>1100</v>
      </c>
      <c r="B121" s="8" t="s">
        <v>226</v>
      </c>
      <c r="C121" s="8" t="s">
        <v>34</v>
      </c>
      <c r="D121" s="8" t="s">
        <v>23</v>
      </c>
      <c r="E121" s="8" t="b">
        <v>0</v>
      </c>
      <c r="F121" s="8" t="s">
        <v>27</v>
      </c>
      <c r="G121" s="8">
        <v>13</v>
      </c>
      <c r="H121" s="9">
        <v>46102</v>
      </c>
    </row>
    <row r="122" spans="1:8">
      <c r="A122" s="8">
        <v>1385</v>
      </c>
      <c r="B122" s="8" t="s">
        <v>227</v>
      </c>
      <c r="C122" s="8" t="s">
        <v>228</v>
      </c>
      <c r="D122" s="8" t="s">
        <v>23</v>
      </c>
      <c r="E122" s="8" t="b">
        <v>0</v>
      </c>
      <c r="F122" s="8" t="s">
        <v>25</v>
      </c>
      <c r="H122" s="9">
        <v>46102</v>
      </c>
    </row>
    <row r="123" spans="1:8">
      <c r="A123" s="8">
        <v>1394</v>
      </c>
      <c r="B123" s="8" t="s">
        <v>227</v>
      </c>
      <c r="C123" s="8" t="s">
        <v>229</v>
      </c>
      <c r="D123" s="8" t="s">
        <v>23</v>
      </c>
      <c r="E123" s="8" t="b">
        <v>0</v>
      </c>
      <c r="F123" s="8" t="s">
        <v>35</v>
      </c>
      <c r="H123" s="9">
        <v>46102</v>
      </c>
    </row>
    <row r="124" spans="1:8">
      <c r="A124" s="8">
        <v>1419</v>
      </c>
      <c r="B124" s="8" t="s">
        <v>353</v>
      </c>
      <c r="C124" s="8" t="s">
        <v>231</v>
      </c>
      <c r="D124" s="8" t="s">
        <v>23</v>
      </c>
      <c r="E124" s="8" t="b">
        <v>0</v>
      </c>
      <c r="F124" s="8" t="s">
        <v>25</v>
      </c>
      <c r="H124" s="9">
        <v>46102</v>
      </c>
    </row>
    <row r="125" spans="1:8">
      <c r="A125" s="8">
        <v>967</v>
      </c>
      <c r="B125" s="8" t="s">
        <v>232</v>
      </c>
      <c r="C125" s="8" t="s">
        <v>152</v>
      </c>
      <c r="D125" s="8" t="s">
        <v>23</v>
      </c>
      <c r="E125" s="8" t="b">
        <v>0</v>
      </c>
      <c r="F125" s="8" t="s">
        <v>27</v>
      </c>
      <c r="G125" s="8">
        <v>5</v>
      </c>
      <c r="H125" s="9">
        <v>46102</v>
      </c>
    </row>
    <row r="126" spans="1:8">
      <c r="A126" s="8">
        <v>1045</v>
      </c>
      <c r="B126" s="8" t="s">
        <v>235</v>
      </c>
      <c r="C126" s="8" t="s">
        <v>236</v>
      </c>
      <c r="D126" s="8" t="s">
        <v>23</v>
      </c>
      <c r="E126" s="8" t="b">
        <v>1</v>
      </c>
      <c r="F126" s="8" t="s">
        <v>27</v>
      </c>
      <c r="G126" s="8">
        <v>5</v>
      </c>
      <c r="H126" s="9">
        <v>46102</v>
      </c>
    </row>
    <row r="127" spans="1:8">
      <c r="A127" s="8">
        <v>1046</v>
      </c>
      <c r="B127" s="8" t="s">
        <v>235</v>
      </c>
      <c r="C127" s="8" t="s">
        <v>237</v>
      </c>
      <c r="D127" s="8" t="s">
        <v>23</v>
      </c>
      <c r="E127" s="8" t="b">
        <v>0</v>
      </c>
      <c r="F127" s="8" t="s">
        <v>27</v>
      </c>
      <c r="G127" s="8">
        <v>35</v>
      </c>
      <c r="H127" s="9">
        <v>46102</v>
      </c>
    </row>
    <row r="128" spans="1:8">
      <c r="A128" s="8">
        <v>1396</v>
      </c>
      <c r="B128" s="8" t="s">
        <v>238</v>
      </c>
      <c r="C128" s="8" t="s">
        <v>59</v>
      </c>
      <c r="D128" s="8" t="s">
        <v>23</v>
      </c>
      <c r="E128" s="8" t="b">
        <v>0</v>
      </c>
      <c r="F128" s="8" t="s">
        <v>25</v>
      </c>
      <c r="H128" s="9">
        <v>46102</v>
      </c>
    </row>
    <row r="129" spans="1:8">
      <c r="A129" s="8">
        <v>1397</v>
      </c>
      <c r="B129" s="8" t="s">
        <v>238</v>
      </c>
      <c r="C129" s="8" t="s">
        <v>239</v>
      </c>
      <c r="D129" s="8" t="s">
        <v>23</v>
      </c>
      <c r="E129" s="8" t="b">
        <v>1</v>
      </c>
      <c r="F129" s="8" t="s">
        <v>25</v>
      </c>
      <c r="H129" s="9">
        <v>46102</v>
      </c>
    </row>
    <row r="130" spans="1:8">
      <c r="A130" s="8">
        <v>1398</v>
      </c>
      <c r="B130" s="8" t="s">
        <v>238</v>
      </c>
      <c r="C130" s="8" t="s">
        <v>49</v>
      </c>
      <c r="D130" s="8" t="s">
        <v>23</v>
      </c>
      <c r="E130" s="8" t="b">
        <v>0</v>
      </c>
      <c r="F130" s="8" t="s">
        <v>35</v>
      </c>
      <c r="H130" s="9">
        <v>46102</v>
      </c>
    </row>
    <row r="131" spans="1:8">
      <c r="A131" s="8">
        <v>1399</v>
      </c>
      <c r="B131" s="8" t="s">
        <v>238</v>
      </c>
      <c r="C131" s="8" t="s">
        <v>131</v>
      </c>
      <c r="D131" s="8" t="s">
        <v>23</v>
      </c>
      <c r="E131" s="8" t="b">
        <v>1</v>
      </c>
      <c r="F131" s="8" t="s">
        <v>35</v>
      </c>
      <c r="H131" s="9">
        <v>46102</v>
      </c>
    </row>
    <row r="132" spans="1:8">
      <c r="A132" s="8">
        <v>771</v>
      </c>
      <c r="B132" s="8" t="s">
        <v>240</v>
      </c>
      <c r="C132" s="8" t="s">
        <v>241</v>
      </c>
      <c r="D132" s="8" t="s">
        <v>23</v>
      </c>
      <c r="E132" s="8" t="b">
        <v>0</v>
      </c>
      <c r="F132" s="8" t="s">
        <v>27</v>
      </c>
      <c r="G132" s="8">
        <v>14</v>
      </c>
      <c r="H132" s="9">
        <v>46102</v>
      </c>
    </row>
    <row r="133" spans="1:8">
      <c r="A133" s="8">
        <v>1265</v>
      </c>
      <c r="B133" s="8" t="s">
        <v>242</v>
      </c>
      <c r="C133" s="8" t="s">
        <v>243</v>
      </c>
      <c r="D133" s="8" t="s">
        <v>23</v>
      </c>
      <c r="E133" s="8" t="b">
        <v>0</v>
      </c>
      <c r="F133" s="8" t="s">
        <v>27</v>
      </c>
      <c r="G133" s="8">
        <v>20</v>
      </c>
      <c r="H133" s="9">
        <v>46102</v>
      </c>
    </row>
    <row r="134" spans="1:8">
      <c r="A134" s="8">
        <v>532</v>
      </c>
      <c r="B134" s="8" t="s">
        <v>244</v>
      </c>
      <c r="C134" s="8" t="s">
        <v>243</v>
      </c>
      <c r="D134" s="8" t="s">
        <v>23</v>
      </c>
      <c r="E134" s="8" t="b">
        <v>0</v>
      </c>
      <c r="F134" s="8" t="s">
        <v>27</v>
      </c>
      <c r="G134" s="8">
        <v>13</v>
      </c>
      <c r="H134" s="9">
        <v>46102</v>
      </c>
    </row>
    <row r="135" spans="1:8">
      <c r="A135" s="8">
        <v>742</v>
      </c>
      <c r="B135" s="8" t="s">
        <v>246</v>
      </c>
      <c r="C135" s="8" t="s">
        <v>156</v>
      </c>
      <c r="D135" s="8" t="s">
        <v>23</v>
      </c>
      <c r="E135" s="8" t="b">
        <v>1</v>
      </c>
      <c r="F135" s="8" t="s">
        <v>27</v>
      </c>
      <c r="G135" s="8">
        <v>2</v>
      </c>
      <c r="H135" s="9">
        <v>46102</v>
      </c>
    </row>
    <row r="136" spans="1:8">
      <c r="A136" s="8">
        <v>741</v>
      </c>
      <c r="B136" s="8" t="s">
        <v>246</v>
      </c>
      <c r="C136" s="8" t="s">
        <v>247</v>
      </c>
      <c r="D136" s="8" t="s">
        <v>23</v>
      </c>
      <c r="E136" s="8" t="b">
        <v>0</v>
      </c>
      <c r="F136" s="8" t="s">
        <v>27</v>
      </c>
      <c r="G136" s="8">
        <v>4</v>
      </c>
      <c r="H136" s="9">
        <v>46102</v>
      </c>
    </row>
    <row r="137" spans="1:8">
      <c r="A137" s="8">
        <v>1298</v>
      </c>
      <c r="B137" s="8" t="s">
        <v>246</v>
      </c>
      <c r="C137" s="8" t="s">
        <v>132</v>
      </c>
      <c r="D137" s="8" t="s">
        <v>23</v>
      </c>
      <c r="E137" s="8" t="b">
        <v>1</v>
      </c>
      <c r="F137" s="8" t="s">
        <v>27</v>
      </c>
      <c r="G137" s="8">
        <v>13</v>
      </c>
      <c r="H137" s="9">
        <v>46102</v>
      </c>
    </row>
    <row r="138" spans="1:8">
      <c r="A138" s="8">
        <v>747</v>
      </c>
      <c r="B138" s="8" t="s">
        <v>246</v>
      </c>
      <c r="C138" s="8" t="s">
        <v>22</v>
      </c>
      <c r="D138" s="8" t="s">
        <v>23</v>
      </c>
      <c r="E138" s="8" t="b">
        <v>0</v>
      </c>
      <c r="F138" s="8" t="s">
        <v>27</v>
      </c>
      <c r="G138" s="8">
        <v>1</v>
      </c>
      <c r="H138" s="9">
        <v>46102</v>
      </c>
    </row>
    <row r="139" spans="1:8">
      <c r="A139" s="8">
        <v>1386</v>
      </c>
      <c r="B139" s="8" t="s">
        <v>246</v>
      </c>
      <c r="C139" s="8" t="s">
        <v>248</v>
      </c>
      <c r="D139" s="8" t="s">
        <v>23</v>
      </c>
      <c r="E139" s="8" t="b">
        <v>1</v>
      </c>
      <c r="F139" s="8" t="s">
        <v>35</v>
      </c>
      <c r="H139" s="9">
        <v>46102</v>
      </c>
    </row>
    <row r="140" spans="1:8">
      <c r="A140" s="8">
        <v>564</v>
      </c>
      <c r="B140" s="8" t="s">
        <v>250</v>
      </c>
      <c r="C140" s="8" t="s">
        <v>34</v>
      </c>
      <c r="D140" s="8" t="s">
        <v>23</v>
      </c>
      <c r="E140" s="8" t="b">
        <v>0</v>
      </c>
      <c r="F140" s="8" t="s">
        <v>27</v>
      </c>
      <c r="G140" s="8">
        <v>7</v>
      </c>
      <c r="H140" s="9">
        <v>46102</v>
      </c>
    </row>
    <row r="141" spans="1:8">
      <c r="A141" s="8">
        <v>1165</v>
      </c>
      <c r="B141" s="8" t="s">
        <v>251</v>
      </c>
      <c r="C141" s="8" t="s">
        <v>177</v>
      </c>
      <c r="D141" s="8" t="s">
        <v>23</v>
      </c>
      <c r="E141" s="8" t="b">
        <v>0</v>
      </c>
      <c r="F141" s="8" t="s">
        <v>27</v>
      </c>
      <c r="G141" s="8">
        <v>10</v>
      </c>
      <c r="H141" s="9">
        <v>46102</v>
      </c>
    </row>
    <row r="142" spans="1:8">
      <c r="A142" s="8">
        <v>405</v>
      </c>
      <c r="B142" s="8" t="s">
        <v>252</v>
      </c>
      <c r="C142" s="8" t="s">
        <v>243</v>
      </c>
      <c r="D142" s="8" t="s">
        <v>23</v>
      </c>
      <c r="E142" s="8" t="b">
        <v>0</v>
      </c>
      <c r="F142" s="8" t="s">
        <v>27</v>
      </c>
      <c r="G142" s="8">
        <v>18</v>
      </c>
      <c r="H142" s="9">
        <v>46102</v>
      </c>
    </row>
    <row r="143" spans="1:8">
      <c r="A143" s="8">
        <v>1346</v>
      </c>
      <c r="B143" s="8" t="s">
        <v>253</v>
      </c>
      <c r="C143" s="8" t="s">
        <v>254</v>
      </c>
      <c r="D143" s="8" t="s">
        <v>23</v>
      </c>
      <c r="E143" s="8" t="b">
        <v>0</v>
      </c>
      <c r="F143" s="8" t="s">
        <v>27</v>
      </c>
      <c r="G143" s="8">
        <v>20</v>
      </c>
      <c r="H143" s="9">
        <v>46102</v>
      </c>
    </row>
    <row r="144" spans="1:8">
      <c r="A144" s="8">
        <v>1192</v>
      </c>
      <c r="B144" s="8" t="s">
        <v>255</v>
      </c>
      <c r="C144" s="8" t="s">
        <v>256</v>
      </c>
      <c r="D144" s="8" t="s">
        <v>23</v>
      </c>
      <c r="E144" s="8" t="b">
        <v>0</v>
      </c>
      <c r="F144" s="8" t="s">
        <v>27</v>
      </c>
      <c r="G144" s="8">
        <v>10</v>
      </c>
      <c r="H144" s="9">
        <v>46102</v>
      </c>
    </row>
    <row r="145" spans="1:8">
      <c r="A145" s="8">
        <v>1157</v>
      </c>
      <c r="B145" s="8" t="s">
        <v>257</v>
      </c>
      <c r="C145" s="8" t="s">
        <v>100</v>
      </c>
      <c r="D145" s="8" t="s">
        <v>23</v>
      </c>
      <c r="E145" s="8" t="b">
        <v>0</v>
      </c>
      <c r="F145" s="8" t="s">
        <v>25</v>
      </c>
      <c r="H145" s="9">
        <v>46102</v>
      </c>
    </row>
    <row r="146" spans="1:8">
      <c r="A146" s="8">
        <v>1359</v>
      </c>
      <c r="B146" s="8" t="s">
        <v>258</v>
      </c>
      <c r="C146" s="8" t="s">
        <v>49</v>
      </c>
      <c r="D146" s="8" t="s">
        <v>23</v>
      </c>
      <c r="E146" s="8" t="b">
        <v>0</v>
      </c>
      <c r="F146" s="8" t="s">
        <v>188</v>
      </c>
      <c r="H146" s="9">
        <v>46102</v>
      </c>
    </row>
    <row r="147" spans="1:8">
      <c r="A147" s="8">
        <v>1360</v>
      </c>
      <c r="B147" s="8" t="s">
        <v>258</v>
      </c>
      <c r="C147" s="8" t="s">
        <v>259</v>
      </c>
      <c r="D147" s="8" t="s">
        <v>23</v>
      </c>
      <c r="E147" s="8" t="b">
        <v>1</v>
      </c>
      <c r="F147" s="8" t="s">
        <v>35</v>
      </c>
      <c r="H147" s="9">
        <v>46102</v>
      </c>
    </row>
    <row r="148" spans="1:8">
      <c r="A148" s="8">
        <v>1357</v>
      </c>
      <c r="B148" s="8" t="s">
        <v>258</v>
      </c>
      <c r="C148" s="8" t="s">
        <v>34</v>
      </c>
      <c r="D148" s="8" t="s">
        <v>23</v>
      </c>
      <c r="E148" s="8" t="b">
        <v>0</v>
      </c>
      <c r="F148" s="8" t="s">
        <v>27</v>
      </c>
      <c r="G148" s="8">
        <v>5</v>
      </c>
      <c r="H148" s="9">
        <v>46102</v>
      </c>
    </row>
    <row r="149" spans="1:8">
      <c r="A149" s="8">
        <v>1358</v>
      </c>
      <c r="B149" s="8" t="s">
        <v>258</v>
      </c>
      <c r="C149" s="8" t="s">
        <v>260</v>
      </c>
      <c r="D149" s="8" t="s">
        <v>23</v>
      </c>
      <c r="E149" s="8" t="b">
        <v>1</v>
      </c>
      <c r="F149" s="8" t="s">
        <v>27</v>
      </c>
      <c r="G149" s="8">
        <v>7</v>
      </c>
      <c r="H149" s="9">
        <v>46102</v>
      </c>
    </row>
    <row r="150" spans="1:8">
      <c r="A150" s="8">
        <v>1390</v>
      </c>
      <c r="B150" s="8" t="s">
        <v>261</v>
      </c>
      <c r="C150" s="8" t="s">
        <v>262</v>
      </c>
      <c r="D150" s="8" t="s">
        <v>23</v>
      </c>
      <c r="E150" s="8" t="b">
        <v>0</v>
      </c>
      <c r="F150" s="8" t="s">
        <v>25</v>
      </c>
      <c r="H150" s="9">
        <v>46102</v>
      </c>
    </row>
    <row r="151" spans="1:8">
      <c r="A151" s="8">
        <v>1107</v>
      </c>
      <c r="B151" s="8" t="s">
        <v>263</v>
      </c>
      <c r="C151" s="8" t="s">
        <v>264</v>
      </c>
      <c r="D151" s="8" t="s">
        <v>23</v>
      </c>
      <c r="E151" s="8" t="b">
        <v>1</v>
      </c>
      <c r="F151" s="8" t="s">
        <v>25</v>
      </c>
      <c r="H151" s="9">
        <v>46102</v>
      </c>
    </row>
    <row r="152" spans="1:8">
      <c r="A152" s="8">
        <v>35</v>
      </c>
      <c r="B152" s="8" t="s">
        <v>265</v>
      </c>
      <c r="C152" s="8" t="s">
        <v>266</v>
      </c>
      <c r="D152" s="8" t="s">
        <v>23</v>
      </c>
      <c r="E152" s="8" t="b">
        <v>0</v>
      </c>
      <c r="F152" s="8" t="s">
        <v>27</v>
      </c>
      <c r="G152" s="8">
        <v>3</v>
      </c>
      <c r="H152" s="9">
        <v>46102</v>
      </c>
    </row>
    <row r="153" spans="1:8">
      <c r="A153" s="8">
        <v>1094</v>
      </c>
      <c r="B153" s="8" t="s">
        <v>267</v>
      </c>
      <c r="C153" s="8" t="s">
        <v>268</v>
      </c>
      <c r="D153" s="8" t="s">
        <v>23</v>
      </c>
      <c r="E153" s="8" t="b">
        <v>0</v>
      </c>
      <c r="F153" s="8" t="s">
        <v>27</v>
      </c>
      <c r="G153" s="8">
        <v>12</v>
      </c>
      <c r="H153" s="9">
        <v>46102</v>
      </c>
    </row>
    <row r="154" spans="1:8">
      <c r="A154" s="8">
        <v>1325</v>
      </c>
      <c r="B154" s="8" t="s">
        <v>269</v>
      </c>
      <c r="C154" s="8" t="s">
        <v>270</v>
      </c>
      <c r="D154" s="8" t="s">
        <v>23</v>
      </c>
      <c r="E154" s="8" t="b">
        <v>0</v>
      </c>
      <c r="F154" s="8" t="s">
        <v>27</v>
      </c>
      <c r="G154" s="8">
        <v>3</v>
      </c>
      <c r="H154" s="9">
        <v>46102</v>
      </c>
    </row>
    <row r="155" spans="1:8">
      <c r="A155" s="8">
        <v>1143</v>
      </c>
      <c r="B155" s="8" t="s">
        <v>271</v>
      </c>
      <c r="C155" s="8" t="s">
        <v>247</v>
      </c>
      <c r="D155" s="8" t="s">
        <v>23</v>
      </c>
      <c r="E155" s="8" t="b">
        <v>0</v>
      </c>
      <c r="F155" s="8" t="s">
        <v>27</v>
      </c>
      <c r="G155" s="8">
        <v>3</v>
      </c>
      <c r="H155" s="9">
        <v>46102</v>
      </c>
    </row>
    <row r="156" spans="1:8">
      <c r="A156" s="8">
        <v>1401</v>
      </c>
      <c r="B156" s="8" t="s">
        <v>272</v>
      </c>
      <c r="C156" s="8" t="s">
        <v>273</v>
      </c>
      <c r="D156" s="8" t="s">
        <v>23</v>
      </c>
      <c r="E156" s="8" t="b">
        <v>1</v>
      </c>
      <c r="F156" s="8" t="s">
        <v>25</v>
      </c>
      <c r="H156" s="9">
        <v>46102</v>
      </c>
    </row>
    <row r="157" spans="1:8">
      <c r="A157" s="8">
        <v>1285</v>
      </c>
      <c r="B157" s="8" t="s">
        <v>274</v>
      </c>
      <c r="C157" s="8" t="s">
        <v>100</v>
      </c>
      <c r="D157" s="8" t="s">
        <v>23</v>
      </c>
      <c r="E157" s="8" t="b">
        <v>0</v>
      </c>
      <c r="F157" s="8" t="s">
        <v>25</v>
      </c>
      <c r="H157" s="9">
        <v>46102</v>
      </c>
    </row>
    <row r="158" spans="1:8">
      <c r="A158" s="8">
        <v>38</v>
      </c>
      <c r="B158" s="8" t="s">
        <v>275</v>
      </c>
      <c r="C158" s="8" t="s">
        <v>276</v>
      </c>
      <c r="D158" s="8" t="s">
        <v>23</v>
      </c>
      <c r="E158" s="8" t="b">
        <v>0</v>
      </c>
      <c r="F158" s="8" t="s">
        <v>27</v>
      </c>
      <c r="G158" s="8">
        <v>13</v>
      </c>
      <c r="H158" s="9">
        <v>46102</v>
      </c>
    </row>
    <row r="159" spans="1:8">
      <c r="A159" s="8">
        <v>245</v>
      </c>
      <c r="B159" s="8" t="s">
        <v>277</v>
      </c>
      <c r="C159" s="8" t="s">
        <v>234</v>
      </c>
      <c r="D159" s="8" t="s">
        <v>23</v>
      </c>
      <c r="E159" s="8" t="b">
        <v>0</v>
      </c>
      <c r="F159" s="8" t="s">
        <v>27</v>
      </c>
      <c r="G159" s="8">
        <v>10</v>
      </c>
      <c r="H159" s="9">
        <v>46102</v>
      </c>
    </row>
    <row r="160" spans="1:8">
      <c r="A160" s="8">
        <v>39</v>
      </c>
      <c r="B160" s="8" t="s">
        <v>277</v>
      </c>
      <c r="C160" s="8" t="s">
        <v>278</v>
      </c>
      <c r="D160" s="8" t="s">
        <v>23</v>
      </c>
      <c r="E160" s="8" t="b">
        <v>0</v>
      </c>
      <c r="F160" s="8" t="s">
        <v>27</v>
      </c>
      <c r="G160" s="8">
        <v>43</v>
      </c>
      <c r="H160" s="9">
        <v>46102</v>
      </c>
    </row>
    <row r="161" spans="1:8">
      <c r="A161" s="8">
        <v>508</v>
      </c>
      <c r="B161" s="8" t="s">
        <v>279</v>
      </c>
      <c r="C161" s="8" t="s">
        <v>59</v>
      </c>
      <c r="D161" s="8" t="s">
        <v>23</v>
      </c>
      <c r="E161" s="8" t="b">
        <v>0</v>
      </c>
      <c r="F161" s="8" t="s">
        <v>27</v>
      </c>
      <c r="G161" s="8">
        <v>31</v>
      </c>
      <c r="H161" s="9">
        <v>46102</v>
      </c>
    </row>
    <row r="162" spans="1:8">
      <c r="A162" s="8">
        <v>1392</v>
      </c>
      <c r="B162" s="8" t="s">
        <v>284</v>
      </c>
      <c r="C162" s="8" t="s">
        <v>285</v>
      </c>
      <c r="D162" s="8" t="s">
        <v>23</v>
      </c>
      <c r="E162" s="8" t="b">
        <v>1</v>
      </c>
      <c r="F162" s="8" t="s">
        <v>25</v>
      </c>
      <c r="H162" s="9">
        <v>46102</v>
      </c>
    </row>
    <row r="163" spans="1:8">
      <c r="A163" s="8">
        <v>1141</v>
      </c>
      <c r="B163" s="8" t="s">
        <v>286</v>
      </c>
      <c r="C163" s="8" t="s">
        <v>287</v>
      </c>
      <c r="D163" s="8" t="s">
        <v>23</v>
      </c>
      <c r="E163" s="8" t="b">
        <v>1</v>
      </c>
      <c r="F163" s="8" t="s">
        <v>27</v>
      </c>
      <c r="G163" s="8">
        <v>15</v>
      </c>
      <c r="H163" s="9">
        <v>46102</v>
      </c>
    </row>
    <row r="164" spans="1:8">
      <c r="A164" s="8">
        <v>891</v>
      </c>
      <c r="B164" s="8" t="s">
        <v>288</v>
      </c>
      <c r="C164" s="8" t="s">
        <v>289</v>
      </c>
      <c r="D164" s="8" t="s">
        <v>23</v>
      </c>
      <c r="E164" s="8" t="b">
        <v>1</v>
      </c>
      <c r="F164" s="8" t="s">
        <v>25</v>
      </c>
      <c r="H164" s="9">
        <v>46102</v>
      </c>
    </row>
    <row r="165" spans="1:8">
      <c r="A165" s="8">
        <v>1352</v>
      </c>
      <c r="B165" s="8" t="s">
        <v>290</v>
      </c>
      <c r="C165" s="8" t="s">
        <v>34</v>
      </c>
      <c r="D165" s="8" t="s">
        <v>23</v>
      </c>
      <c r="E165" s="8" t="b">
        <v>0</v>
      </c>
      <c r="F165" s="8" t="s">
        <v>27</v>
      </c>
      <c r="G165" s="8">
        <v>11</v>
      </c>
      <c r="H165" s="9">
        <v>46102</v>
      </c>
    </row>
    <row r="166" spans="1:8">
      <c r="A166" s="8">
        <v>1339</v>
      </c>
      <c r="B166" s="8" t="s">
        <v>291</v>
      </c>
      <c r="C166" s="8" t="s">
        <v>292</v>
      </c>
      <c r="D166" s="8" t="s">
        <v>23</v>
      </c>
      <c r="E166" s="8" t="b">
        <v>0</v>
      </c>
      <c r="F166" s="8" t="s">
        <v>25</v>
      </c>
      <c r="H166" s="9">
        <v>46102</v>
      </c>
    </row>
    <row r="167" spans="1:8">
      <c r="A167" s="8">
        <v>914</v>
      </c>
      <c r="B167" s="8" t="s">
        <v>293</v>
      </c>
      <c r="C167" s="8" t="s">
        <v>153</v>
      </c>
      <c r="D167" s="8" t="s">
        <v>23</v>
      </c>
      <c r="E167" s="8" t="b">
        <v>0</v>
      </c>
      <c r="F167" s="8" t="s">
        <v>27</v>
      </c>
      <c r="G167" s="8">
        <v>14</v>
      </c>
      <c r="H167" s="9">
        <v>46102</v>
      </c>
    </row>
    <row r="168" spans="1:8">
      <c r="A168" s="8">
        <v>597</v>
      </c>
      <c r="B168" s="8" t="s">
        <v>294</v>
      </c>
      <c r="C168" s="8" t="s">
        <v>295</v>
      </c>
      <c r="D168" s="8" t="s">
        <v>23</v>
      </c>
      <c r="E168" s="8" t="b">
        <v>0</v>
      </c>
      <c r="F168" s="8" t="s">
        <v>27</v>
      </c>
      <c r="G168" s="8">
        <v>36</v>
      </c>
      <c r="H168" s="9">
        <v>46102</v>
      </c>
    </row>
    <row r="169" spans="1:8">
      <c r="A169" s="8">
        <v>1038</v>
      </c>
      <c r="B169" s="8" t="s">
        <v>293</v>
      </c>
      <c r="C169" s="8" t="s">
        <v>51</v>
      </c>
      <c r="D169" s="8" t="s">
        <v>23</v>
      </c>
      <c r="E169" s="8" t="b">
        <v>0</v>
      </c>
      <c r="F169" s="8" t="s">
        <v>27</v>
      </c>
      <c r="G169" s="8">
        <v>12</v>
      </c>
      <c r="H169" s="9">
        <v>46102</v>
      </c>
    </row>
    <row r="170" spans="1:8">
      <c r="A170" s="8">
        <v>1242</v>
      </c>
      <c r="B170" s="8" t="s">
        <v>297</v>
      </c>
      <c r="C170" s="8" t="s">
        <v>190</v>
      </c>
      <c r="D170" s="8" t="s">
        <v>23</v>
      </c>
      <c r="E170" s="8" t="b">
        <v>0</v>
      </c>
      <c r="F170" s="8" t="s">
        <v>27</v>
      </c>
      <c r="G170" s="8">
        <v>15</v>
      </c>
      <c r="H170" s="9">
        <v>46102</v>
      </c>
    </row>
    <row r="171" spans="1:8">
      <c r="A171" s="8">
        <v>1048</v>
      </c>
      <c r="B171" s="8" t="s">
        <v>298</v>
      </c>
      <c r="C171" s="8" t="s">
        <v>268</v>
      </c>
      <c r="D171" s="8" t="s">
        <v>23</v>
      </c>
      <c r="E171" s="8" t="b">
        <v>0</v>
      </c>
      <c r="F171" s="8" t="s">
        <v>27</v>
      </c>
      <c r="G171" s="8">
        <v>16</v>
      </c>
      <c r="H171" s="9">
        <v>46102</v>
      </c>
    </row>
    <row r="172" spans="1:8">
      <c r="A172" s="8">
        <v>1055</v>
      </c>
      <c r="B172" s="8" t="s">
        <v>298</v>
      </c>
      <c r="C172" s="8" t="s">
        <v>299</v>
      </c>
      <c r="D172" s="8" t="s">
        <v>23</v>
      </c>
      <c r="E172" s="8" t="b">
        <v>0</v>
      </c>
      <c r="F172" s="8" t="s">
        <v>27</v>
      </c>
      <c r="G172" s="8">
        <v>1</v>
      </c>
      <c r="H172" s="9">
        <v>46102</v>
      </c>
    </row>
    <row r="173" spans="1:8">
      <c r="A173" s="8">
        <v>820</v>
      </c>
      <c r="B173" s="8" t="s">
        <v>298</v>
      </c>
      <c r="C173" s="8" t="s">
        <v>139</v>
      </c>
      <c r="D173" s="8" t="s">
        <v>23</v>
      </c>
      <c r="E173" s="8" t="b">
        <v>1</v>
      </c>
      <c r="F173" s="8" t="s">
        <v>27</v>
      </c>
      <c r="G173" s="8">
        <v>6</v>
      </c>
      <c r="H173" s="9">
        <v>46102</v>
      </c>
    </row>
    <row r="174" spans="1:8">
      <c r="A174" s="8">
        <v>687</v>
      </c>
      <c r="B174" s="8" t="s">
        <v>298</v>
      </c>
      <c r="C174" s="8" t="s">
        <v>301</v>
      </c>
      <c r="D174" s="8" t="s">
        <v>23</v>
      </c>
      <c r="E174" s="8" t="b">
        <v>0</v>
      </c>
      <c r="F174" s="8" t="s">
        <v>27</v>
      </c>
      <c r="G174" s="8">
        <v>7</v>
      </c>
      <c r="H174" s="9">
        <v>46102</v>
      </c>
    </row>
    <row r="175" spans="1:8">
      <c r="A175" s="8">
        <v>1410</v>
      </c>
      <c r="B175" s="8" t="s">
        <v>104</v>
      </c>
      <c r="C175" s="8" t="s">
        <v>303</v>
      </c>
      <c r="D175" s="8" t="s">
        <v>23</v>
      </c>
      <c r="E175" s="8" t="b">
        <v>0</v>
      </c>
      <c r="F175" s="8" t="s">
        <v>25</v>
      </c>
      <c r="H175" s="9">
        <v>46102</v>
      </c>
    </row>
    <row r="176" spans="1:8">
      <c r="A176" s="8">
        <v>1161</v>
      </c>
      <c r="B176" s="8" t="s">
        <v>304</v>
      </c>
      <c r="C176" s="8" t="s">
        <v>305</v>
      </c>
      <c r="D176" s="8" t="s">
        <v>23</v>
      </c>
      <c r="E176" s="8" t="b">
        <v>0</v>
      </c>
      <c r="F176" s="8" t="s">
        <v>25</v>
      </c>
      <c r="H176" s="9">
        <v>46102</v>
      </c>
    </row>
    <row r="177" spans="1:8">
      <c r="A177" s="8">
        <v>890</v>
      </c>
      <c r="B177" s="8" t="s">
        <v>306</v>
      </c>
      <c r="C177" s="8" t="s">
        <v>307</v>
      </c>
      <c r="D177" s="8" t="s">
        <v>54</v>
      </c>
      <c r="E177" s="8" t="b">
        <v>0</v>
      </c>
      <c r="F177" s="8" t="s">
        <v>27</v>
      </c>
      <c r="G177" s="8">
        <v>23</v>
      </c>
      <c r="H177" s="9">
        <v>46102</v>
      </c>
    </row>
    <row r="178" spans="1:8">
      <c r="A178" s="8">
        <v>45</v>
      </c>
      <c r="B178" s="8" t="s">
        <v>309</v>
      </c>
      <c r="C178" s="8" t="s">
        <v>310</v>
      </c>
      <c r="D178" s="8" t="s">
        <v>23</v>
      </c>
      <c r="E178" s="8" t="b">
        <v>0</v>
      </c>
      <c r="F178" s="8" t="s">
        <v>27</v>
      </c>
      <c r="G178" s="8">
        <v>20</v>
      </c>
      <c r="H178" s="9">
        <v>46102</v>
      </c>
    </row>
    <row r="179" spans="1:8">
      <c r="A179" s="8">
        <v>1160</v>
      </c>
      <c r="B179" s="8" t="s">
        <v>311</v>
      </c>
      <c r="C179" s="8" t="s">
        <v>312</v>
      </c>
      <c r="D179" s="8" t="s">
        <v>23</v>
      </c>
      <c r="E179" s="8" t="b">
        <v>0</v>
      </c>
      <c r="F179" s="8" t="s">
        <v>25</v>
      </c>
      <c r="H179" s="9">
        <v>46102</v>
      </c>
    </row>
    <row r="180" spans="1:8">
      <c r="A180" s="8">
        <v>945</v>
      </c>
      <c r="B180" s="8" t="s">
        <v>313</v>
      </c>
      <c r="C180" s="8" t="s">
        <v>49</v>
      </c>
      <c r="D180" s="8" t="s">
        <v>23</v>
      </c>
      <c r="E180" s="8" t="b">
        <v>0</v>
      </c>
      <c r="F180" s="8" t="s">
        <v>25</v>
      </c>
      <c r="H180" s="9">
        <v>46102</v>
      </c>
    </row>
    <row r="181" spans="1:8">
      <c r="A181" s="8">
        <v>813</v>
      </c>
      <c r="B181" s="8" t="s">
        <v>313</v>
      </c>
      <c r="C181" s="8" t="s">
        <v>289</v>
      </c>
      <c r="D181" s="8" t="s">
        <v>23</v>
      </c>
      <c r="E181" s="8" t="b">
        <v>1</v>
      </c>
      <c r="F181" s="8" t="s">
        <v>27</v>
      </c>
      <c r="G181" s="8">
        <v>7</v>
      </c>
      <c r="H181" s="9">
        <v>46102</v>
      </c>
    </row>
    <row r="182" spans="1:8">
      <c r="A182" s="8">
        <v>812</v>
      </c>
      <c r="B182" s="8" t="s">
        <v>313</v>
      </c>
      <c r="C182" s="8" t="s">
        <v>170</v>
      </c>
      <c r="D182" s="8" t="s">
        <v>23</v>
      </c>
      <c r="E182" s="8" t="b">
        <v>0</v>
      </c>
      <c r="F182" s="8" t="s">
        <v>27</v>
      </c>
      <c r="G182" s="8">
        <v>9</v>
      </c>
      <c r="H182" s="9">
        <v>46102</v>
      </c>
    </row>
    <row r="183" spans="1:8">
      <c r="A183" s="8">
        <v>1129</v>
      </c>
      <c r="B183" s="8" t="s">
        <v>314</v>
      </c>
      <c r="C183" s="8" t="s">
        <v>315</v>
      </c>
      <c r="D183" s="8" t="s">
        <v>23</v>
      </c>
      <c r="E183" s="8" t="b">
        <v>0</v>
      </c>
      <c r="F183" s="8" t="s">
        <v>27</v>
      </c>
      <c r="G183" s="8">
        <v>12</v>
      </c>
      <c r="H183" s="9">
        <v>46102</v>
      </c>
    </row>
    <row r="184" spans="1:8">
      <c r="A184" s="8">
        <v>860</v>
      </c>
      <c r="B184" s="8" t="s">
        <v>321</v>
      </c>
      <c r="C184" s="8" t="s">
        <v>215</v>
      </c>
      <c r="D184" s="8" t="s">
        <v>23</v>
      </c>
      <c r="E184" s="8" t="b">
        <v>1</v>
      </c>
      <c r="F184" s="8" t="s">
        <v>25</v>
      </c>
      <c r="H184" s="9">
        <v>46102</v>
      </c>
    </row>
    <row r="185" spans="1:8">
      <c r="A185" s="8">
        <v>756</v>
      </c>
      <c r="B185" s="8" t="s">
        <v>321</v>
      </c>
      <c r="C185" s="8" t="s">
        <v>322</v>
      </c>
      <c r="D185" s="8" t="s">
        <v>23</v>
      </c>
      <c r="E185" s="8" t="b">
        <v>0</v>
      </c>
      <c r="F185" s="8" t="s">
        <v>25</v>
      </c>
      <c r="H185" s="9">
        <v>46102</v>
      </c>
    </row>
    <row r="186" spans="1:8">
      <c r="A186" s="8">
        <v>407</v>
      </c>
      <c r="B186" s="8" t="s">
        <v>321</v>
      </c>
      <c r="C186" s="8" t="s">
        <v>323</v>
      </c>
      <c r="D186" s="8" t="s">
        <v>23</v>
      </c>
      <c r="E186" s="8" t="b">
        <v>0</v>
      </c>
      <c r="F186" s="8" t="s">
        <v>27</v>
      </c>
      <c r="G186" s="8">
        <v>5</v>
      </c>
      <c r="H186" s="9">
        <v>46102</v>
      </c>
    </row>
    <row r="187" spans="1:8">
      <c r="A187" s="8">
        <v>1312</v>
      </c>
      <c r="B187" s="8" t="s">
        <v>329</v>
      </c>
      <c r="C187" s="8" t="s">
        <v>287</v>
      </c>
      <c r="D187" s="8" t="s">
        <v>23</v>
      </c>
      <c r="E187" s="8" t="b">
        <v>1</v>
      </c>
      <c r="F187" s="8" t="s">
        <v>27</v>
      </c>
      <c r="G187" s="8">
        <v>35</v>
      </c>
      <c r="H187" s="9">
        <v>46102</v>
      </c>
    </row>
    <row r="188" spans="1:8">
      <c r="A188" s="8">
        <v>935</v>
      </c>
      <c r="B188" s="8" t="s">
        <v>330</v>
      </c>
      <c r="C188" s="8" t="s">
        <v>245</v>
      </c>
      <c r="D188" s="8" t="s">
        <v>23</v>
      </c>
      <c r="E188" s="8" t="b">
        <v>1</v>
      </c>
      <c r="F188" s="8" t="s">
        <v>25</v>
      </c>
      <c r="H188" s="9">
        <v>46102</v>
      </c>
    </row>
    <row r="189" spans="1:8">
      <c r="A189" s="8">
        <v>999</v>
      </c>
      <c r="B189" s="8" t="s">
        <v>330</v>
      </c>
      <c r="C189" s="8" t="s">
        <v>331</v>
      </c>
      <c r="D189" s="8" t="s">
        <v>23</v>
      </c>
      <c r="E189" s="8" t="b">
        <v>1</v>
      </c>
      <c r="F189" s="8" t="s">
        <v>25</v>
      </c>
      <c r="H189" s="9">
        <v>46102</v>
      </c>
    </row>
    <row r="190" spans="1:8">
      <c r="A190" s="8">
        <v>998</v>
      </c>
      <c r="B190" s="8" t="s">
        <v>330</v>
      </c>
      <c r="C190" s="8" t="s">
        <v>332</v>
      </c>
      <c r="D190" s="8" t="s">
        <v>23</v>
      </c>
      <c r="E190" s="8" t="b">
        <v>1</v>
      </c>
      <c r="F190" s="8" t="s">
        <v>27</v>
      </c>
      <c r="G190" s="8">
        <v>5</v>
      </c>
      <c r="H190" s="9">
        <v>46102</v>
      </c>
    </row>
    <row r="191" spans="1:8">
      <c r="A191" s="8">
        <v>616</v>
      </c>
      <c r="B191" s="8" t="s">
        <v>330</v>
      </c>
      <c r="C191" s="8" t="s">
        <v>41</v>
      </c>
      <c r="D191" s="8" t="s">
        <v>23</v>
      </c>
      <c r="E191" s="8" t="b">
        <v>0</v>
      </c>
      <c r="F191" s="8" t="s">
        <v>27</v>
      </c>
      <c r="G191" s="8">
        <v>7</v>
      </c>
      <c r="H191" s="9">
        <v>46102</v>
      </c>
    </row>
    <row r="192" spans="1:8">
      <c r="A192" s="8">
        <v>558</v>
      </c>
      <c r="B192" s="8" t="s">
        <v>333</v>
      </c>
      <c r="C192" s="8" t="s">
        <v>334</v>
      </c>
      <c r="D192" s="8" t="s">
        <v>23</v>
      </c>
      <c r="E192" s="8" t="b">
        <v>0</v>
      </c>
      <c r="F192" s="8" t="s">
        <v>27</v>
      </c>
      <c r="G192" s="8">
        <v>15</v>
      </c>
      <c r="H192" s="9">
        <v>46102</v>
      </c>
    </row>
    <row r="193" spans="1:8">
      <c r="A193" s="8">
        <v>991</v>
      </c>
      <c r="B193" s="8" t="s">
        <v>335</v>
      </c>
      <c r="C193" s="8" t="s">
        <v>184</v>
      </c>
      <c r="D193" s="8" t="s">
        <v>23</v>
      </c>
      <c r="E193" s="8" t="b">
        <v>1</v>
      </c>
      <c r="F193" s="8" t="s">
        <v>35</v>
      </c>
      <c r="H193" s="9">
        <v>46102</v>
      </c>
    </row>
    <row r="194" spans="1:8">
      <c r="A194" s="8">
        <v>359</v>
      </c>
      <c r="B194" s="8" t="s">
        <v>336</v>
      </c>
      <c r="C194" s="8" t="s">
        <v>26</v>
      </c>
      <c r="D194" s="8" t="s">
        <v>23</v>
      </c>
      <c r="E194" s="8" t="b">
        <v>0</v>
      </c>
      <c r="F194" s="8" t="s">
        <v>27</v>
      </c>
      <c r="G194" s="8">
        <v>24</v>
      </c>
      <c r="H194" s="9">
        <v>46102</v>
      </c>
    </row>
    <row r="195" spans="1:8">
      <c r="A195" s="8">
        <v>1310</v>
      </c>
      <c r="B195" s="8" t="s">
        <v>337</v>
      </c>
      <c r="C195" s="8" t="s">
        <v>311</v>
      </c>
      <c r="D195" s="8" t="s">
        <v>23</v>
      </c>
      <c r="E195" s="8" t="b">
        <v>0</v>
      </c>
      <c r="F195" s="8" t="s">
        <v>25</v>
      </c>
      <c r="H195" s="9">
        <v>46102</v>
      </c>
    </row>
    <row r="196" spans="1:8">
      <c r="A196" s="8">
        <v>1200</v>
      </c>
      <c r="B196" s="8" t="s">
        <v>338</v>
      </c>
      <c r="C196" s="8" t="s">
        <v>339</v>
      </c>
      <c r="D196" s="8" t="s">
        <v>23</v>
      </c>
      <c r="E196" s="8" t="b">
        <v>0</v>
      </c>
      <c r="F196" s="8" t="s">
        <v>27</v>
      </c>
      <c r="G196" s="8">
        <v>6</v>
      </c>
      <c r="H196" s="9">
        <v>46102</v>
      </c>
    </row>
    <row r="197" spans="1:8">
      <c r="A197" s="8">
        <v>1411</v>
      </c>
      <c r="B197" s="8" t="s">
        <v>338</v>
      </c>
      <c r="C197" s="8" t="s">
        <v>72</v>
      </c>
      <c r="D197" s="8" t="s">
        <v>23</v>
      </c>
      <c r="E197" s="8" t="b">
        <v>1</v>
      </c>
      <c r="F197" s="8" t="s">
        <v>27</v>
      </c>
      <c r="G197" s="8">
        <v>3</v>
      </c>
      <c r="H197" s="9">
        <v>46102</v>
      </c>
    </row>
    <row r="198" spans="1:8">
      <c r="A198" s="8">
        <v>1412</v>
      </c>
      <c r="B198" s="8" t="s">
        <v>338</v>
      </c>
      <c r="C198" s="8" t="s">
        <v>340</v>
      </c>
      <c r="D198" s="8" t="s">
        <v>23</v>
      </c>
      <c r="E198" s="8" t="b">
        <v>1</v>
      </c>
      <c r="F198" s="8" t="s">
        <v>188</v>
      </c>
      <c r="H198" s="9">
        <v>46102</v>
      </c>
    </row>
    <row r="199" spans="1:8">
      <c r="A199" s="8">
        <v>1413</v>
      </c>
      <c r="B199" s="8" t="s">
        <v>338</v>
      </c>
      <c r="C199" s="8" t="s">
        <v>214</v>
      </c>
      <c r="D199" s="8" t="s">
        <v>23</v>
      </c>
      <c r="E199" s="8" t="b">
        <v>0</v>
      </c>
      <c r="F199" s="8" t="s">
        <v>188</v>
      </c>
      <c r="H199" s="9">
        <v>46102</v>
      </c>
    </row>
    <row r="200" spans="1:8">
      <c r="A200" s="8">
        <v>1376</v>
      </c>
      <c r="B200" s="8" t="s">
        <v>192</v>
      </c>
      <c r="C200" s="8" t="s">
        <v>127</v>
      </c>
      <c r="D200" s="8" t="s">
        <v>23</v>
      </c>
      <c r="E200" s="8" t="b">
        <v>1</v>
      </c>
      <c r="F200" s="8" t="s">
        <v>25</v>
      </c>
      <c r="H200" s="9">
        <v>46102</v>
      </c>
    </row>
    <row r="201" spans="1:8">
      <c r="A201" s="8">
        <v>1140</v>
      </c>
      <c r="B201" s="8" t="s">
        <v>341</v>
      </c>
      <c r="C201" s="8" t="s">
        <v>243</v>
      </c>
      <c r="D201" s="8" t="s">
        <v>23</v>
      </c>
      <c r="E201" s="8" t="b">
        <v>0</v>
      </c>
      <c r="F201" s="8" t="s">
        <v>25</v>
      </c>
      <c r="H201" s="9">
        <v>46102</v>
      </c>
    </row>
    <row r="202" spans="1:8">
      <c r="A202" s="8">
        <v>989</v>
      </c>
      <c r="B202" s="8" t="s">
        <v>342</v>
      </c>
      <c r="C202" s="8" t="s">
        <v>343</v>
      </c>
      <c r="D202" s="8" t="s">
        <v>23</v>
      </c>
      <c r="E202" s="8" t="b">
        <v>0</v>
      </c>
      <c r="F202" s="8" t="s">
        <v>27</v>
      </c>
      <c r="G202" s="8">
        <v>3</v>
      </c>
      <c r="H202" s="9">
        <v>46102</v>
      </c>
    </row>
    <row r="203" spans="1:8">
      <c r="A203" s="8">
        <v>1417</v>
      </c>
      <c r="B203" s="8" t="s">
        <v>344</v>
      </c>
      <c r="C203" s="8" t="s">
        <v>345</v>
      </c>
      <c r="D203" s="8" t="s">
        <v>23</v>
      </c>
      <c r="E203" s="8" t="b">
        <v>1</v>
      </c>
      <c r="F203" s="8" t="s">
        <v>27</v>
      </c>
      <c r="G203" s="8">
        <v>17</v>
      </c>
      <c r="H203" s="9">
        <v>46102</v>
      </c>
    </row>
    <row r="204" spans="1:8">
      <c r="A204" s="8">
        <v>52</v>
      </c>
      <c r="B204" s="8" t="s">
        <v>346</v>
      </c>
      <c r="C204" s="8" t="s">
        <v>192</v>
      </c>
      <c r="D204" s="8" t="s">
        <v>23</v>
      </c>
      <c r="E204" s="8" t="b">
        <v>0</v>
      </c>
      <c r="F204" s="8" t="s">
        <v>25</v>
      </c>
      <c r="H204" s="9">
        <v>46102</v>
      </c>
    </row>
    <row r="205" spans="1:8">
      <c r="A205" s="8">
        <v>62</v>
      </c>
      <c r="B205" s="8" t="s">
        <v>344</v>
      </c>
      <c r="C205" s="8" t="s">
        <v>234</v>
      </c>
      <c r="D205" s="8" t="s">
        <v>23</v>
      </c>
      <c r="E205" s="8" t="b">
        <v>0</v>
      </c>
      <c r="F205" s="8" t="s">
        <v>27</v>
      </c>
      <c r="G205" s="8">
        <v>4</v>
      </c>
      <c r="H205" s="9">
        <v>46102</v>
      </c>
    </row>
    <row r="206" spans="1:8">
      <c r="A206" s="8">
        <v>930</v>
      </c>
      <c r="B206" s="8" t="s">
        <v>347</v>
      </c>
      <c r="C206" s="8" t="s">
        <v>348</v>
      </c>
      <c r="D206" s="8" t="s">
        <v>23</v>
      </c>
      <c r="E206" s="8" t="b">
        <v>1</v>
      </c>
      <c r="F206" s="8" t="s">
        <v>27</v>
      </c>
      <c r="G206" s="8">
        <v>6</v>
      </c>
      <c r="H206" s="9">
        <v>46102</v>
      </c>
    </row>
    <row r="207" spans="1:8">
      <c r="A207" s="8">
        <v>744</v>
      </c>
      <c r="B207" s="8" t="s">
        <v>350</v>
      </c>
      <c r="C207" s="8" t="s">
        <v>351</v>
      </c>
      <c r="D207" s="8" t="s">
        <v>23</v>
      </c>
      <c r="E207" s="8" t="b">
        <v>0</v>
      </c>
      <c r="F207" s="8" t="s">
        <v>27</v>
      </c>
      <c r="G207" s="8">
        <v>28</v>
      </c>
      <c r="H207" s="9">
        <v>46102</v>
      </c>
    </row>
    <row r="208" spans="1:8">
      <c r="A208" s="8">
        <v>337</v>
      </c>
      <c r="B208" s="8" t="s">
        <v>352</v>
      </c>
      <c r="C208" s="8" t="s">
        <v>179</v>
      </c>
      <c r="D208" s="8" t="s">
        <v>23</v>
      </c>
      <c r="E208" s="8" t="b">
        <v>1</v>
      </c>
      <c r="F208" s="8" t="s">
        <v>27</v>
      </c>
      <c r="G208" s="8">
        <v>21</v>
      </c>
      <c r="H208" s="9">
        <v>46102</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13"/>
  <sheetViews>
    <sheetView workbookViewId="0"/>
    <sheetView workbookViewId="1"/>
  </sheetViews>
  <sheetFormatPr defaultColWidth="9" defaultRowHeight="14.25"/>
  <cols>
    <col min="1" max="7" width="9" style="10"/>
    <col min="8" max="8" width="10.19921875" style="10" bestFit="1" customWidth="1"/>
    <col min="9" max="16384" width="9" style="10"/>
  </cols>
  <sheetData>
    <row r="1" spans="1:8">
      <c r="A1" s="10" t="s">
        <v>13</v>
      </c>
      <c r="B1" s="10" t="s">
        <v>14</v>
      </c>
      <c r="C1" s="10" t="s">
        <v>15</v>
      </c>
      <c r="D1" s="10" t="s">
        <v>16</v>
      </c>
      <c r="E1" s="10" t="s">
        <v>17</v>
      </c>
      <c r="F1" s="10" t="s">
        <v>18</v>
      </c>
      <c r="G1" s="10" t="s">
        <v>19</v>
      </c>
      <c r="H1" s="10" t="s">
        <v>20</v>
      </c>
    </row>
    <row r="2" spans="1:8">
      <c r="A2" s="10">
        <v>1327</v>
      </c>
      <c r="B2" s="10" t="s">
        <v>21</v>
      </c>
      <c r="C2" s="10" t="s">
        <v>22</v>
      </c>
      <c r="D2" s="10" t="s">
        <v>23</v>
      </c>
      <c r="E2" s="10" t="b">
        <v>0</v>
      </c>
      <c r="F2" s="10" t="s">
        <v>25</v>
      </c>
      <c r="H2" s="11">
        <v>46119</v>
      </c>
    </row>
    <row r="3" spans="1:8">
      <c r="A3" s="10">
        <v>1237</v>
      </c>
      <c r="B3" s="10" t="s">
        <v>21</v>
      </c>
      <c r="C3" s="10" t="s">
        <v>26</v>
      </c>
      <c r="D3" s="10" t="s">
        <v>23</v>
      </c>
      <c r="E3" s="10" t="b">
        <v>0</v>
      </c>
      <c r="F3" s="10" t="s">
        <v>27</v>
      </c>
      <c r="G3" s="10">
        <v>1</v>
      </c>
      <c r="H3" s="11">
        <v>46119</v>
      </c>
    </row>
    <row r="4" spans="1:8">
      <c r="A4" s="10">
        <v>819</v>
      </c>
      <c r="B4" s="10" t="s">
        <v>28</v>
      </c>
      <c r="C4" s="10" t="s">
        <v>29</v>
      </c>
      <c r="D4" s="10" t="s">
        <v>23</v>
      </c>
      <c r="E4" s="10" t="b">
        <v>1</v>
      </c>
      <c r="F4" s="10" t="s">
        <v>27</v>
      </c>
      <c r="G4" s="10">
        <v>23</v>
      </c>
      <c r="H4" s="11">
        <v>46119</v>
      </c>
    </row>
    <row r="5" spans="1:8">
      <c r="A5" s="10">
        <v>2</v>
      </c>
      <c r="B5" s="10" t="s">
        <v>31</v>
      </c>
      <c r="C5" s="10" t="s">
        <v>32</v>
      </c>
      <c r="D5" s="10" t="s">
        <v>23</v>
      </c>
      <c r="E5" s="10" t="b">
        <v>0</v>
      </c>
      <c r="F5" s="10" t="s">
        <v>27</v>
      </c>
      <c r="G5" s="10">
        <v>21</v>
      </c>
      <c r="H5" s="11">
        <v>46119</v>
      </c>
    </row>
    <row r="6" spans="1:8">
      <c r="A6" s="10">
        <v>1370</v>
      </c>
      <c r="B6" s="10" t="s">
        <v>33</v>
      </c>
      <c r="C6" s="10" t="s">
        <v>34</v>
      </c>
      <c r="D6" s="10" t="s">
        <v>23</v>
      </c>
      <c r="E6" s="10" t="b">
        <v>0</v>
      </c>
      <c r="F6" s="10" t="s">
        <v>27</v>
      </c>
      <c r="G6" s="10">
        <v>4</v>
      </c>
      <c r="H6" s="11">
        <v>46119</v>
      </c>
    </row>
    <row r="7" spans="1:8">
      <c r="A7" s="10">
        <v>1415</v>
      </c>
      <c r="B7" s="10" t="s">
        <v>33</v>
      </c>
      <c r="C7" s="10" t="s">
        <v>22</v>
      </c>
      <c r="D7" s="10" t="s">
        <v>23</v>
      </c>
      <c r="E7" s="10" t="b">
        <v>0</v>
      </c>
      <c r="F7" s="10" t="s">
        <v>35</v>
      </c>
      <c r="H7" s="11">
        <v>46119</v>
      </c>
    </row>
    <row r="8" spans="1:8">
      <c r="A8" s="10">
        <v>1286</v>
      </c>
      <c r="B8" s="10" t="s">
        <v>36</v>
      </c>
      <c r="C8" s="10" t="s">
        <v>34</v>
      </c>
      <c r="D8" s="10" t="s">
        <v>23</v>
      </c>
      <c r="E8" s="10" t="b">
        <v>0</v>
      </c>
      <c r="F8" s="10" t="s">
        <v>27</v>
      </c>
      <c r="G8" s="10">
        <v>13</v>
      </c>
      <c r="H8" s="11">
        <v>46119</v>
      </c>
    </row>
    <row r="9" spans="1:8">
      <c r="A9" s="10">
        <v>1381</v>
      </c>
      <c r="B9" s="10" t="s">
        <v>36</v>
      </c>
      <c r="C9" s="10" t="s">
        <v>37</v>
      </c>
      <c r="D9" s="10" t="s">
        <v>23</v>
      </c>
      <c r="E9" s="10" t="b">
        <v>0</v>
      </c>
      <c r="F9" s="10" t="s">
        <v>25</v>
      </c>
      <c r="H9" s="11">
        <v>46119</v>
      </c>
    </row>
    <row r="10" spans="1:8">
      <c r="A10" s="10">
        <v>1112</v>
      </c>
      <c r="B10" s="10" t="s">
        <v>38</v>
      </c>
      <c r="C10" s="10" t="s">
        <v>39</v>
      </c>
      <c r="D10" s="10" t="s">
        <v>23</v>
      </c>
      <c r="E10" s="10" t="b">
        <v>0</v>
      </c>
      <c r="F10" s="10" t="s">
        <v>27</v>
      </c>
      <c r="G10" s="10">
        <v>16</v>
      </c>
      <c r="H10" s="11">
        <v>46119</v>
      </c>
    </row>
    <row r="11" spans="1:8">
      <c r="A11" s="10">
        <v>1135</v>
      </c>
      <c r="B11" s="10" t="s">
        <v>40</v>
      </c>
      <c r="C11" s="10" t="s">
        <v>41</v>
      </c>
      <c r="D11" s="10" t="s">
        <v>23</v>
      </c>
      <c r="E11" s="10" t="b">
        <v>0</v>
      </c>
      <c r="F11" s="10" t="s">
        <v>27</v>
      </c>
      <c r="G11" s="10">
        <v>1</v>
      </c>
      <c r="H11" s="11">
        <v>46119</v>
      </c>
    </row>
    <row r="12" spans="1:8">
      <c r="A12" s="10">
        <v>982</v>
      </c>
      <c r="B12" s="10" t="s">
        <v>42</v>
      </c>
      <c r="C12" s="10" t="s">
        <v>32</v>
      </c>
      <c r="D12" s="10" t="s">
        <v>23</v>
      </c>
      <c r="E12" s="10" t="b">
        <v>0</v>
      </c>
      <c r="F12" s="10" t="s">
        <v>27</v>
      </c>
      <c r="G12" s="10">
        <v>22</v>
      </c>
      <c r="H12" s="11">
        <v>46119</v>
      </c>
    </row>
    <row r="13" spans="1:8">
      <c r="A13" s="10">
        <v>1328</v>
      </c>
      <c r="B13" s="10" t="s">
        <v>43</v>
      </c>
      <c r="C13" s="10" t="s">
        <v>44</v>
      </c>
      <c r="D13" s="10" t="s">
        <v>23</v>
      </c>
      <c r="E13" s="10" t="b">
        <v>0</v>
      </c>
      <c r="F13" s="10" t="s">
        <v>27</v>
      </c>
      <c r="G13" s="10">
        <v>4</v>
      </c>
      <c r="H13" s="11">
        <v>46119</v>
      </c>
    </row>
    <row r="14" spans="1:8">
      <c r="A14" s="10">
        <v>369</v>
      </c>
      <c r="B14" s="10" t="s">
        <v>45</v>
      </c>
      <c r="C14" s="10" t="s">
        <v>46</v>
      </c>
      <c r="D14" s="10" t="s">
        <v>23</v>
      </c>
      <c r="E14" s="10" t="b">
        <v>0</v>
      </c>
      <c r="F14" s="10" t="s">
        <v>27</v>
      </c>
      <c r="G14" s="10">
        <v>8</v>
      </c>
      <c r="H14" s="11">
        <v>46119</v>
      </c>
    </row>
    <row r="15" spans="1:8">
      <c r="A15" s="10">
        <v>7</v>
      </c>
      <c r="B15" s="10" t="s">
        <v>45</v>
      </c>
      <c r="C15" s="10" t="s">
        <v>47</v>
      </c>
      <c r="D15" s="10" t="s">
        <v>48</v>
      </c>
      <c r="E15" s="10" t="b">
        <v>0</v>
      </c>
      <c r="F15" s="10" t="s">
        <v>27</v>
      </c>
      <c r="G15" s="10">
        <v>32</v>
      </c>
      <c r="H15" s="11">
        <v>46119</v>
      </c>
    </row>
    <row r="16" spans="1:8">
      <c r="A16" s="10">
        <v>473</v>
      </c>
      <c r="B16" s="10" t="s">
        <v>45</v>
      </c>
      <c r="C16" s="10" t="s">
        <v>49</v>
      </c>
      <c r="D16" s="10" t="s">
        <v>48</v>
      </c>
      <c r="E16" s="10" t="b">
        <v>0</v>
      </c>
      <c r="F16" s="10" t="s">
        <v>27</v>
      </c>
      <c r="G16" s="10">
        <v>33</v>
      </c>
      <c r="H16" s="11">
        <v>46119</v>
      </c>
    </row>
    <row r="17" spans="1:8">
      <c r="A17" s="10">
        <v>1384</v>
      </c>
      <c r="B17" s="10" t="s">
        <v>50</v>
      </c>
      <c r="C17" s="10" t="s">
        <v>51</v>
      </c>
      <c r="D17" s="10" t="s">
        <v>23</v>
      </c>
      <c r="E17" s="10" t="b">
        <v>0</v>
      </c>
      <c r="F17" s="10" t="s">
        <v>27</v>
      </c>
      <c r="G17" s="10">
        <v>30</v>
      </c>
      <c r="H17" s="11">
        <v>46119</v>
      </c>
    </row>
    <row r="18" spans="1:8">
      <c r="A18" s="10">
        <v>1348</v>
      </c>
      <c r="B18" s="10" t="s">
        <v>52</v>
      </c>
      <c r="C18" s="10" t="s">
        <v>53</v>
      </c>
      <c r="D18" s="10" t="s">
        <v>54</v>
      </c>
      <c r="E18" s="10" t="b">
        <v>1</v>
      </c>
      <c r="F18" s="10" t="s">
        <v>25</v>
      </c>
      <c r="H18" s="11">
        <v>46119</v>
      </c>
    </row>
    <row r="19" spans="1:8">
      <c r="A19" s="10">
        <v>1275</v>
      </c>
      <c r="B19" s="10" t="s">
        <v>52</v>
      </c>
      <c r="C19" s="10" t="s">
        <v>55</v>
      </c>
      <c r="D19" s="10" t="s">
        <v>23</v>
      </c>
      <c r="E19" s="10" t="b">
        <v>1</v>
      </c>
      <c r="F19" s="10" t="s">
        <v>35</v>
      </c>
      <c r="H19" s="11">
        <v>46119</v>
      </c>
    </row>
    <row r="20" spans="1:8">
      <c r="A20" s="10">
        <v>68</v>
      </c>
      <c r="B20" s="10" t="s">
        <v>56</v>
      </c>
      <c r="C20" s="10" t="s">
        <v>57</v>
      </c>
      <c r="D20" s="10" t="s">
        <v>48</v>
      </c>
      <c r="E20" s="10" t="b">
        <v>0</v>
      </c>
      <c r="F20" s="10" t="s">
        <v>27</v>
      </c>
      <c r="G20" s="10">
        <v>35</v>
      </c>
      <c r="H20" s="11">
        <v>46119</v>
      </c>
    </row>
    <row r="21" spans="1:8">
      <c r="A21" s="10">
        <v>1035</v>
      </c>
      <c r="B21" s="10" t="s">
        <v>58</v>
      </c>
      <c r="C21" s="10" t="s">
        <v>59</v>
      </c>
      <c r="D21" s="10" t="s">
        <v>23</v>
      </c>
      <c r="E21" s="10" t="b">
        <v>0</v>
      </c>
      <c r="F21" s="10" t="s">
        <v>27</v>
      </c>
      <c r="G21" s="10">
        <v>6</v>
      </c>
      <c r="H21" s="11">
        <v>46119</v>
      </c>
    </row>
    <row r="22" spans="1:8">
      <c r="A22" s="10">
        <v>1416</v>
      </c>
      <c r="B22" s="10" t="s">
        <v>60</v>
      </c>
      <c r="C22" s="10" t="s">
        <v>61</v>
      </c>
      <c r="D22" s="10" t="s">
        <v>23</v>
      </c>
      <c r="E22" s="10" t="b">
        <v>0</v>
      </c>
      <c r="F22" s="10" t="s">
        <v>25</v>
      </c>
      <c r="H22" s="11">
        <v>46119</v>
      </c>
    </row>
    <row r="23" spans="1:8">
      <c r="A23" s="10">
        <v>1326</v>
      </c>
      <c r="B23" s="10" t="s">
        <v>62</v>
      </c>
      <c r="C23" s="10" t="s">
        <v>63</v>
      </c>
      <c r="D23" s="10" t="s">
        <v>23</v>
      </c>
      <c r="E23" s="10" t="b">
        <v>1</v>
      </c>
      <c r="F23" s="10" t="s">
        <v>25</v>
      </c>
      <c r="H23" s="11">
        <v>46119</v>
      </c>
    </row>
    <row r="24" spans="1:8">
      <c r="A24" s="10">
        <v>477</v>
      </c>
      <c r="B24" s="10" t="s">
        <v>64</v>
      </c>
      <c r="C24" s="10" t="s">
        <v>65</v>
      </c>
      <c r="D24" s="10" t="s">
        <v>23</v>
      </c>
      <c r="E24" s="10" t="b">
        <v>1</v>
      </c>
      <c r="F24" s="10" t="s">
        <v>27</v>
      </c>
      <c r="G24" s="10">
        <v>34</v>
      </c>
      <c r="H24" s="11">
        <v>46119</v>
      </c>
    </row>
    <row r="25" spans="1:8">
      <c r="A25" s="10">
        <v>10</v>
      </c>
      <c r="B25" s="10" t="s">
        <v>64</v>
      </c>
      <c r="C25" s="10" t="s">
        <v>66</v>
      </c>
      <c r="D25" s="10" t="s">
        <v>48</v>
      </c>
      <c r="E25" s="10" t="b">
        <v>0</v>
      </c>
      <c r="F25" s="10" t="s">
        <v>27</v>
      </c>
      <c r="G25" s="10">
        <v>35</v>
      </c>
      <c r="H25" s="11">
        <v>46119</v>
      </c>
    </row>
    <row r="26" spans="1:8">
      <c r="A26" s="10">
        <v>1414</v>
      </c>
      <c r="B26" s="10" t="s">
        <v>67</v>
      </c>
      <c r="C26" s="10" t="s">
        <v>36</v>
      </c>
      <c r="D26" s="10" t="s">
        <v>23</v>
      </c>
      <c r="E26" s="10" t="b">
        <v>0</v>
      </c>
      <c r="F26" s="10" t="s">
        <v>27</v>
      </c>
      <c r="G26" s="10">
        <v>13</v>
      </c>
      <c r="H26" s="11">
        <v>46119</v>
      </c>
    </row>
    <row r="27" spans="1:8">
      <c r="A27" s="10">
        <v>1029</v>
      </c>
      <c r="B27" s="10" t="s">
        <v>68</v>
      </c>
      <c r="C27" s="10" t="s">
        <v>69</v>
      </c>
      <c r="D27" s="10" t="s">
        <v>23</v>
      </c>
      <c r="E27" s="10" t="b">
        <v>0</v>
      </c>
      <c r="F27" s="10" t="s">
        <v>27</v>
      </c>
      <c r="G27" s="10">
        <v>28</v>
      </c>
      <c r="H27" s="11">
        <v>46119</v>
      </c>
    </row>
    <row r="28" spans="1:8">
      <c r="A28" s="10">
        <v>13</v>
      </c>
      <c r="B28" s="10" t="s">
        <v>70</v>
      </c>
      <c r="C28" s="10" t="s">
        <v>51</v>
      </c>
      <c r="D28" s="10" t="s">
        <v>23</v>
      </c>
      <c r="E28" s="10" t="b">
        <v>0</v>
      </c>
      <c r="F28" s="10" t="s">
        <v>27</v>
      </c>
      <c r="G28" s="10">
        <v>28</v>
      </c>
      <c r="H28" s="11">
        <v>46119</v>
      </c>
    </row>
    <row r="29" spans="1:8">
      <c r="A29" s="10">
        <v>1255</v>
      </c>
      <c r="B29" s="10" t="s">
        <v>71</v>
      </c>
      <c r="C29" s="10" t="s">
        <v>72</v>
      </c>
      <c r="D29" s="10" t="s">
        <v>23</v>
      </c>
      <c r="E29" s="10" t="b">
        <v>1</v>
      </c>
      <c r="F29" s="10" t="s">
        <v>27</v>
      </c>
      <c r="G29" s="10">
        <v>13</v>
      </c>
      <c r="H29" s="11">
        <v>46119</v>
      </c>
    </row>
    <row r="30" spans="1:8">
      <c r="A30" s="10">
        <v>1405</v>
      </c>
      <c r="B30" s="10" t="s">
        <v>73</v>
      </c>
      <c r="C30" s="10" t="s">
        <v>74</v>
      </c>
      <c r="D30" s="10" t="s">
        <v>23</v>
      </c>
      <c r="E30" s="10" t="b">
        <v>1</v>
      </c>
      <c r="F30" s="10" t="s">
        <v>35</v>
      </c>
      <c r="H30" s="11">
        <v>46119</v>
      </c>
    </row>
    <row r="31" spans="1:8">
      <c r="A31" s="10">
        <v>1418</v>
      </c>
      <c r="B31" s="10" t="s">
        <v>75</v>
      </c>
      <c r="C31" s="10" t="s">
        <v>22</v>
      </c>
      <c r="D31" s="10" t="s">
        <v>23</v>
      </c>
      <c r="E31" s="10" t="b">
        <v>0</v>
      </c>
      <c r="F31" s="10" t="s">
        <v>25</v>
      </c>
      <c r="H31" s="11">
        <v>46119</v>
      </c>
    </row>
    <row r="32" spans="1:8">
      <c r="A32" s="10">
        <v>919</v>
      </c>
      <c r="B32" s="10" t="s">
        <v>77</v>
      </c>
      <c r="C32" s="10" t="s">
        <v>51</v>
      </c>
      <c r="D32" s="10" t="s">
        <v>23</v>
      </c>
      <c r="E32" s="10" t="b">
        <v>0</v>
      </c>
      <c r="F32" s="10" t="s">
        <v>27</v>
      </c>
      <c r="G32" s="10">
        <v>16</v>
      </c>
      <c r="H32" s="11">
        <v>46119</v>
      </c>
    </row>
    <row r="33" spans="1:8">
      <c r="A33" s="10">
        <v>1319</v>
      </c>
      <c r="B33" s="10" t="s">
        <v>78</v>
      </c>
      <c r="C33" s="10" t="s">
        <v>32</v>
      </c>
      <c r="D33" s="10" t="s">
        <v>23</v>
      </c>
      <c r="E33" s="10" t="b">
        <v>0</v>
      </c>
      <c r="F33" s="10" t="s">
        <v>27</v>
      </c>
      <c r="G33" s="10">
        <v>9</v>
      </c>
      <c r="H33" s="11">
        <v>46119</v>
      </c>
    </row>
    <row r="34" spans="1:8">
      <c r="A34" s="10">
        <v>1389</v>
      </c>
      <c r="B34" s="10" t="s">
        <v>79</v>
      </c>
      <c r="C34" s="10" t="s">
        <v>80</v>
      </c>
      <c r="D34" s="10" t="s">
        <v>23</v>
      </c>
      <c r="E34" s="10" t="b">
        <v>0</v>
      </c>
      <c r="F34" s="10" t="s">
        <v>25</v>
      </c>
      <c r="H34" s="11">
        <v>46119</v>
      </c>
    </row>
    <row r="35" spans="1:8">
      <c r="A35" s="10">
        <v>940</v>
      </c>
      <c r="B35" s="10" t="s">
        <v>81</v>
      </c>
      <c r="C35" s="10" t="s">
        <v>82</v>
      </c>
      <c r="D35" s="10" t="s">
        <v>23</v>
      </c>
      <c r="E35" s="10" t="b">
        <v>1</v>
      </c>
      <c r="F35" s="10" t="s">
        <v>27</v>
      </c>
      <c r="G35" s="10">
        <v>9</v>
      </c>
      <c r="H35" s="11">
        <v>46119</v>
      </c>
    </row>
    <row r="36" spans="1:8">
      <c r="A36" s="10">
        <v>806</v>
      </c>
      <c r="B36" s="10" t="s">
        <v>81</v>
      </c>
      <c r="C36" s="10" t="s">
        <v>83</v>
      </c>
      <c r="D36" s="10" t="s">
        <v>23</v>
      </c>
      <c r="E36" s="10" t="b">
        <v>0</v>
      </c>
      <c r="F36" s="10" t="s">
        <v>27</v>
      </c>
      <c r="G36" s="10">
        <v>11</v>
      </c>
      <c r="H36" s="11">
        <v>46119</v>
      </c>
    </row>
    <row r="37" spans="1:8">
      <c r="A37" s="10">
        <v>482</v>
      </c>
      <c r="B37" s="10" t="s">
        <v>84</v>
      </c>
      <c r="C37" s="10" t="s">
        <v>85</v>
      </c>
      <c r="D37" s="10" t="s">
        <v>23</v>
      </c>
      <c r="E37" s="10" t="b">
        <v>0</v>
      </c>
      <c r="F37" s="10" t="s">
        <v>27</v>
      </c>
      <c r="G37" s="10">
        <v>13</v>
      </c>
      <c r="H37" s="11">
        <v>46119</v>
      </c>
    </row>
    <row r="38" spans="1:8">
      <c r="A38" s="10">
        <v>674</v>
      </c>
      <c r="B38" s="10" t="s">
        <v>86</v>
      </c>
      <c r="C38" s="10" t="s">
        <v>87</v>
      </c>
      <c r="D38" s="10" t="s">
        <v>54</v>
      </c>
      <c r="E38" s="10" t="b">
        <v>1</v>
      </c>
      <c r="F38" s="10" t="s">
        <v>27</v>
      </c>
      <c r="G38" s="10">
        <v>23</v>
      </c>
      <c r="H38" s="11">
        <v>46119</v>
      </c>
    </row>
    <row r="39" spans="1:8">
      <c r="A39" s="10">
        <v>1061</v>
      </c>
      <c r="B39" s="10" t="s">
        <v>88</v>
      </c>
      <c r="C39" s="10" t="s">
        <v>89</v>
      </c>
      <c r="D39" s="10" t="s">
        <v>23</v>
      </c>
      <c r="E39" s="10" t="b">
        <v>0</v>
      </c>
      <c r="F39" s="10" t="s">
        <v>27</v>
      </c>
      <c r="G39" s="10">
        <v>19</v>
      </c>
      <c r="H39" s="11">
        <v>46119</v>
      </c>
    </row>
    <row r="40" spans="1:8">
      <c r="A40" s="10">
        <v>763</v>
      </c>
      <c r="B40" s="10" t="s">
        <v>90</v>
      </c>
      <c r="C40" s="10" t="s">
        <v>59</v>
      </c>
      <c r="D40" s="10" t="s">
        <v>23</v>
      </c>
      <c r="E40" s="10" t="b">
        <v>0</v>
      </c>
      <c r="F40" s="10" t="s">
        <v>27</v>
      </c>
      <c r="G40" s="10">
        <v>17</v>
      </c>
      <c r="H40" s="11">
        <v>46119</v>
      </c>
    </row>
    <row r="41" spans="1:8">
      <c r="A41" s="10">
        <v>1227</v>
      </c>
      <c r="B41" s="10" t="s">
        <v>91</v>
      </c>
      <c r="C41" s="10" t="s">
        <v>92</v>
      </c>
      <c r="D41" s="10" t="s">
        <v>23</v>
      </c>
      <c r="E41" s="10" t="b">
        <v>1</v>
      </c>
      <c r="F41" s="10" t="s">
        <v>27</v>
      </c>
      <c r="G41" s="10">
        <v>8</v>
      </c>
      <c r="H41" s="11">
        <v>46119</v>
      </c>
    </row>
    <row r="42" spans="1:8">
      <c r="A42" s="10">
        <v>715</v>
      </c>
      <c r="B42" s="10" t="s">
        <v>93</v>
      </c>
      <c r="C42" s="10" t="s">
        <v>94</v>
      </c>
      <c r="D42" s="10" t="s">
        <v>23</v>
      </c>
      <c r="E42" s="10" t="b">
        <v>0</v>
      </c>
      <c r="F42" s="10" t="s">
        <v>27</v>
      </c>
      <c r="G42" s="10">
        <v>5</v>
      </c>
      <c r="H42" s="11">
        <v>46119</v>
      </c>
    </row>
    <row r="43" spans="1:8">
      <c r="A43" s="10">
        <v>567</v>
      </c>
      <c r="B43" s="10" t="s">
        <v>95</v>
      </c>
      <c r="C43" s="10" t="s">
        <v>96</v>
      </c>
      <c r="D43" s="10" t="s">
        <v>23</v>
      </c>
      <c r="E43" s="10" t="b">
        <v>0</v>
      </c>
      <c r="F43" s="10" t="s">
        <v>27</v>
      </c>
      <c r="G43" s="10">
        <v>7</v>
      </c>
      <c r="H43" s="11">
        <v>46119</v>
      </c>
    </row>
    <row r="44" spans="1:8">
      <c r="A44" s="10">
        <v>1391</v>
      </c>
      <c r="B44" s="10" t="s">
        <v>97</v>
      </c>
      <c r="C44" s="10" t="s">
        <v>98</v>
      </c>
      <c r="D44" s="10" t="s">
        <v>23</v>
      </c>
      <c r="E44" s="10" t="b">
        <v>1</v>
      </c>
      <c r="F44" s="10" t="s">
        <v>25</v>
      </c>
      <c r="H44" s="11">
        <v>46119</v>
      </c>
    </row>
    <row r="45" spans="1:8">
      <c r="A45" s="10">
        <v>704</v>
      </c>
      <c r="B45" s="10" t="s">
        <v>99</v>
      </c>
      <c r="C45" s="10" t="s">
        <v>100</v>
      </c>
      <c r="D45" s="10" t="s">
        <v>23</v>
      </c>
      <c r="E45" s="10" t="b">
        <v>0</v>
      </c>
      <c r="F45" s="10" t="s">
        <v>27</v>
      </c>
      <c r="G45" s="10">
        <v>21</v>
      </c>
      <c r="H45" s="11">
        <v>46119</v>
      </c>
    </row>
    <row r="46" spans="1:8">
      <c r="A46" s="10">
        <v>1283</v>
      </c>
      <c r="B46" s="10" t="s">
        <v>101</v>
      </c>
      <c r="C46" s="10" t="s">
        <v>102</v>
      </c>
      <c r="D46" s="10" t="s">
        <v>23</v>
      </c>
      <c r="E46" s="10" t="b">
        <v>0</v>
      </c>
      <c r="F46" s="10" t="s">
        <v>27</v>
      </c>
      <c r="G46" s="10">
        <v>18</v>
      </c>
      <c r="H46" s="11">
        <v>46119</v>
      </c>
    </row>
    <row r="47" spans="1:8">
      <c r="A47" s="10">
        <v>295</v>
      </c>
      <c r="B47" s="10" t="s">
        <v>103</v>
      </c>
      <c r="C47" s="10" t="s">
        <v>104</v>
      </c>
      <c r="D47" s="10" t="s">
        <v>23</v>
      </c>
      <c r="E47" s="10" t="b">
        <v>0</v>
      </c>
      <c r="F47" s="10" t="s">
        <v>27</v>
      </c>
      <c r="G47" s="10">
        <v>15</v>
      </c>
      <c r="H47" s="11">
        <v>46119</v>
      </c>
    </row>
    <row r="48" spans="1:8">
      <c r="A48" s="10">
        <v>1226</v>
      </c>
      <c r="B48" s="10" t="s">
        <v>105</v>
      </c>
      <c r="C48" s="10" t="s">
        <v>106</v>
      </c>
      <c r="D48" s="10" t="s">
        <v>23</v>
      </c>
      <c r="E48" s="10" t="b">
        <v>1</v>
      </c>
      <c r="F48" s="10" t="s">
        <v>25</v>
      </c>
      <c r="H48" s="11">
        <v>46119</v>
      </c>
    </row>
    <row r="49" spans="1:8">
      <c r="A49" s="10">
        <v>1185</v>
      </c>
      <c r="B49" s="10" t="s">
        <v>109</v>
      </c>
      <c r="C49" s="10" t="s">
        <v>110</v>
      </c>
      <c r="D49" s="10" t="s">
        <v>23</v>
      </c>
      <c r="E49" s="10" t="b">
        <v>1</v>
      </c>
      <c r="F49" s="10" t="s">
        <v>35</v>
      </c>
      <c r="H49" s="11">
        <v>46119</v>
      </c>
    </row>
    <row r="50" spans="1:8">
      <c r="A50" s="10">
        <v>1065</v>
      </c>
      <c r="B50" s="10" t="s">
        <v>109</v>
      </c>
      <c r="C50" s="10" t="s">
        <v>41</v>
      </c>
      <c r="D50" s="10" t="s">
        <v>23</v>
      </c>
      <c r="E50" s="10" t="b">
        <v>0</v>
      </c>
      <c r="F50" s="10" t="s">
        <v>27</v>
      </c>
      <c r="G50" s="10">
        <v>1</v>
      </c>
      <c r="H50" s="11">
        <v>46119</v>
      </c>
    </row>
    <row r="51" spans="1:8">
      <c r="A51" s="10">
        <v>1407</v>
      </c>
      <c r="B51" s="10" t="s">
        <v>111</v>
      </c>
      <c r="C51" s="10" t="s">
        <v>112</v>
      </c>
      <c r="D51" s="10" t="s">
        <v>23</v>
      </c>
      <c r="E51" s="10" t="b">
        <v>0</v>
      </c>
      <c r="F51" s="10" t="s">
        <v>25</v>
      </c>
      <c r="H51" s="11">
        <v>46119</v>
      </c>
    </row>
    <row r="52" spans="1:8">
      <c r="A52" s="10">
        <v>1096</v>
      </c>
      <c r="B52" s="10" t="s">
        <v>113</v>
      </c>
      <c r="C52" s="10" t="s">
        <v>114</v>
      </c>
      <c r="D52" s="10" t="s">
        <v>23</v>
      </c>
      <c r="E52" s="10" t="b">
        <v>0</v>
      </c>
      <c r="F52" s="10" t="s">
        <v>35</v>
      </c>
      <c r="H52" s="11">
        <v>46119</v>
      </c>
    </row>
    <row r="53" spans="1:8">
      <c r="A53" s="10">
        <v>1236</v>
      </c>
      <c r="B53" s="10" t="s">
        <v>113</v>
      </c>
      <c r="C53" s="10" t="s">
        <v>115</v>
      </c>
      <c r="D53" s="10" t="s">
        <v>23</v>
      </c>
      <c r="E53" s="10" t="b">
        <v>1</v>
      </c>
      <c r="F53" s="10" t="s">
        <v>27</v>
      </c>
      <c r="G53" s="10">
        <v>5</v>
      </c>
      <c r="H53" s="11">
        <v>46119</v>
      </c>
    </row>
    <row r="54" spans="1:8">
      <c r="A54" s="10">
        <v>699</v>
      </c>
      <c r="B54" s="10" t="s">
        <v>113</v>
      </c>
      <c r="C54" s="10" t="s">
        <v>116</v>
      </c>
      <c r="D54" s="10" t="s">
        <v>23</v>
      </c>
      <c r="E54" s="10" t="b">
        <v>0</v>
      </c>
      <c r="F54" s="10" t="s">
        <v>27</v>
      </c>
      <c r="G54" s="10">
        <v>5</v>
      </c>
      <c r="H54" s="11">
        <v>46119</v>
      </c>
    </row>
    <row r="55" spans="1:8">
      <c r="A55" s="10">
        <v>1000</v>
      </c>
      <c r="B55" s="10" t="s">
        <v>120</v>
      </c>
      <c r="C55" s="10" t="s">
        <v>121</v>
      </c>
      <c r="D55" s="10" t="s">
        <v>23</v>
      </c>
      <c r="E55" s="10" t="b">
        <v>0</v>
      </c>
      <c r="F55" s="10" t="s">
        <v>25</v>
      </c>
      <c r="H55" s="11">
        <v>46119</v>
      </c>
    </row>
    <row r="56" spans="1:8">
      <c r="A56" s="10">
        <v>1332</v>
      </c>
      <c r="B56" s="10" t="s">
        <v>122</v>
      </c>
      <c r="C56" s="10" t="s">
        <v>123</v>
      </c>
      <c r="D56" s="10" t="s">
        <v>23</v>
      </c>
      <c r="E56" s="10" t="b">
        <v>1</v>
      </c>
      <c r="F56" s="10" t="s">
        <v>25</v>
      </c>
      <c r="H56" s="11">
        <v>46119</v>
      </c>
    </row>
    <row r="57" spans="1:8">
      <c r="A57" s="10">
        <v>682</v>
      </c>
      <c r="B57" s="10" t="s">
        <v>124</v>
      </c>
      <c r="C57" s="10" t="s">
        <v>125</v>
      </c>
      <c r="D57" s="10" t="s">
        <v>23</v>
      </c>
      <c r="E57" s="10" t="b">
        <v>0</v>
      </c>
      <c r="F57" s="10" t="s">
        <v>27</v>
      </c>
      <c r="G57" s="10">
        <v>11</v>
      </c>
      <c r="H57" s="11">
        <v>46119</v>
      </c>
    </row>
    <row r="58" spans="1:8">
      <c r="A58" s="10">
        <v>1393</v>
      </c>
      <c r="B58" s="10" t="s">
        <v>126</v>
      </c>
      <c r="C58" s="10" t="s">
        <v>127</v>
      </c>
      <c r="D58" s="10" t="s">
        <v>23</v>
      </c>
      <c r="E58" s="10" t="b">
        <v>1</v>
      </c>
      <c r="F58" s="10" t="s">
        <v>27</v>
      </c>
      <c r="G58" s="10">
        <v>10</v>
      </c>
      <c r="H58" s="11">
        <v>46119</v>
      </c>
    </row>
    <row r="59" spans="1:8">
      <c r="A59" s="10">
        <v>1355</v>
      </c>
      <c r="B59" s="10" t="s">
        <v>128</v>
      </c>
      <c r="C59" s="10" t="s">
        <v>129</v>
      </c>
      <c r="D59" s="10" t="s">
        <v>23</v>
      </c>
      <c r="E59" s="10" t="b">
        <v>0</v>
      </c>
      <c r="F59" s="10" t="s">
        <v>35</v>
      </c>
      <c r="H59" s="11">
        <v>46119</v>
      </c>
    </row>
    <row r="60" spans="1:8">
      <c r="A60" s="10">
        <v>1164</v>
      </c>
      <c r="B60" s="10" t="s">
        <v>130</v>
      </c>
      <c r="C60" s="10" t="s">
        <v>131</v>
      </c>
      <c r="D60" s="10" t="s">
        <v>54</v>
      </c>
      <c r="E60" s="10" t="b">
        <v>1</v>
      </c>
      <c r="F60" s="10" t="s">
        <v>25</v>
      </c>
      <c r="H60" s="11">
        <v>46119</v>
      </c>
    </row>
    <row r="61" spans="1:8">
      <c r="A61" s="10">
        <v>1062</v>
      </c>
      <c r="B61" s="10" t="s">
        <v>130</v>
      </c>
      <c r="C61" s="10" t="s">
        <v>83</v>
      </c>
      <c r="D61" s="10" t="s">
        <v>23</v>
      </c>
      <c r="E61" s="10" t="b">
        <v>0</v>
      </c>
      <c r="F61" s="10" t="s">
        <v>27</v>
      </c>
      <c r="G61" s="10">
        <v>9</v>
      </c>
      <c r="H61" s="11">
        <v>46119</v>
      </c>
    </row>
    <row r="62" spans="1:8">
      <c r="A62" s="10">
        <v>938</v>
      </c>
      <c r="B62" s="10" t="s">
        <v>130</v>
      </c>
      <c r="C62" s="10" t="s">
        <v>132</v>
      </c>
      <c r="D62" s="10" t="s">
        <v>23</v>
      </c>
      <c r="E62" s="10" t="b">
        <v>1</v>
      </c>
      <c r="F62" s="10" t="s">
        <v>27</v>
      </c>
      <c r="G62" s="10">
        <v>7</v>
      </c>
      <c r="H62" s="11">
        <v>46119</v>
      </c>
    </row>
    <row r="63" spans="1:8">
      <c r="A63" s="10">
        <v>1034</v>
      </c>
      <c r="B63" s="10" t="s">
        <v>134</v>
      </c>
      <c r="C63" s="10" t="s">
        <v>83</v>
      </c>
      <c r="D63" s="10" t="s">
        <v>23</v>
      </c>
      <c r="E63" s="10" t="b">
        <v>0</v>
      </c>
      <c r="F63" s="10" t="s">
        <v>25</v>
      </c>
      <c r="H63" s="11">
        <v>46119</v>
      </c>
    </row>
    <row r="64" spans="1:8">
      <c r="A64" s="10">
        <v>1402</v>
      </c>
      <c r="B64" s="10" t="s">
        <v>135</v>
      </c>
      <c r="C64" s="10" t="s">
        <v>136</v>
      </c>
      <c r="D64" s="10" t="s">
        <v>23</v>
      </c>
      <c r="E64" s="10" t="b">
        <v>0</v>
      </c>
      <c r="F64" s="10" t="s">
        <v>27</v>
      </c>
      <c r="G64" s="10">
        <v>7</v>
      </c>
      <c r="H64" s="11">
        <v>46119</v>
      </c>
    </row>
    <row r="65" spans="1:8">
      <c r="A65" s="10">
        <v>939</v>
      </c>
      <c r="B65" s="10" t="s">
        <v>137</v>
      </c>
      <c r="C65" s="10" t="s">
        <v>127</v>
      </c>
      <c r="D65" s="10" t="s">
        <v>23</v>
      </c>
      <c r="E65" s="10" t="b">
        <v>1</v>
      </c>
      <c r="F65" s="10" t="s">
        <v>27</v>
      </c>
      <c r="G65" s="10">
        <v>12</v>
      </c>
      <c r="H65" s="11">
        <v>46119</v>
      </c>
    </row>
    <row r="66" spans="1:8">
      <c r="A66" s="10">
        <v>1377</v>
      </c>
      <c r="B66" s="10" t="s">
        <v>138</v>
      </c>
      <c r="C66" s="10" t="s">
        <v>139</v>
      </c>
      <c r="D66" s="10" t="s">
        <v>23</v>
      </c>
      <c r="E66" s="10" t="b">
        <v>1</v>
      </c>
      <c r="F66" s="10" t="s">
        <v>27</v>
      </c>
      <c r="G66" s="10">
        <v>12</v>
      </c>
      <c r="H66" s="11">
        <v>46119</v>
      </c>
    </row>
    <row r="67" spans="1:8">
      <c r="A67" s="10">
        <v>1281</v>
      </c>
      <c r="B67" s="10" t="s">
        <v>140</v>
      </c>
      <c r="C67" s="10" t="s">
        <v>141</v>
      </c>
      <c r="D67" s="10" t="s">
        <v>23</v>
      </c>
      <c r="E67" s="10" t="b">
        <v>0</v>
      </c>
      <c r="F67" s="10" t="s">
        <v>27</v>
      </c>
      <c r="G67" s="10">
        <v>19</v>
      </c>
      <c r="H67" s="11">
        <v>46119</v>
      </c>
    </row>
    <row r="68" spans="1:8">
      <c r="A68" s="10">
        <v>933</v>
      </c>
      <c r="B68" s="10" t="s">
        <v>142</v>
      </c>
      <c r="C68" s="10" t="s">
        <v>143</v>
      </c>
      <c r="D68" s="10" t="s">
        <v>23</v>
      </c>
      <c r="E68" s="10" t="b">
        <v>0</v>
      </c>
      <c r="F68" s="10" t="s">
        <v>25</v>
      </c>
      <c r="H68" s="11">
        <v>46119</v>
      </c>
    </row>
    <row r="69" spans="1:8">
      <c r="A69" s="10">
        <v>1274</v>
      </c>
      <c r="B69" s="10" t="s">
        <v>144</v>
      </c>
      <c r="C69" s="10" t="s">
        <v>145</v>
      </c>
      <c r="D69" s="10" t="s">
        <v>23</v>
      </c>
      <c r="E69" s="10" t="b">
        <v>1</v>
      </c>
      <c r="F69" s="10" t="s">
        <v>25</v>
      </c>
      <c r="H69" s="11">
        <v>46119</v>
      </c>
    </row>
    <row r="70" spans="1:8">
      <c r="A70" s="10">
        <v>493</v>
      </c>
      <c r="B70" s="10" t="s">
        <v>146</v>
      </c>
      <c r="C70" s="10" t="s">
        <v>49</v>
      </c>
      <c r="D70" s="10" t="s">
        <v>48</v>
      </c>
      <c r="E70" s="10" t="b">
        <v>0</v>
      </c>
      <c r="F70" s="10" t="s">
        <v>27</v>
      </c>
      <c r="G70" s="10">
        <v>37</v>
      </c>
      <c r="H70" s="11">
        <v>46119</v>
      </c>
    </row>
    <row r="71" spans="1:8">
      <c r="A71" s="10">
        <v>1279</v>
      </c>
      <c r="B71" s="10" t="s">
        <v>147</v>
      </c>
      <c r="C71" s="10" t="s">
        <v>148</v>
      </c>
      <c r="D71" s="10" t="s">
        <v>23</v>
      </c>
      <c r="E71" s="10" t="b">
        <v>0</v>
      </c>
      <c r="F71" s="10" t="s">
        <v>27</v>
      </c>
      <c r="G71" s="10">
        <v>4</v>
      </c>
      <c r="H71" s="11">
        <v>46119</v>
      </c>
    </row>
    <row r="72" spans="1:8">
      <c r="A72" s="10">
        <v>1193</v>
      </c>
      <c r="B72" s="10" t="s">
        <v>149</v>
      </c>
      <c r="C72" s="10" t="s">
        <v>150</v>
      </c>
      <c r="D72" s="10" t="s">
        <v>23</v>
      </c>
      <c r="E72" s="10" t="b">
        <v>0</v>
      </c>
      <c r="F72" s="10" t="s">
        <v>25</v>
      </c>
      <c r="H72" s="11">
        <v>46119</v>
      </c>
    </row>
    <row r="73" spans="1:8">
      <c r="A73" s="10">
        <v>1194</v>
      </c>
      <c r="B73" s="10" t="s">
        <v>149</v>
      </c>
      <c r="C73" s="10" t="s">
        <v>151</v>
      </c>
      <c r="D73" s="10" t="s">
        <v>23</v>
      </c>
      <c r="E73" s="10" t="b">
        <v>1</v>
      </c>
      <c r="F73" s="10" t="s">
        <v>25</v>
      </c>
      <c r="H73" s="11">
        <v>46119</v>
      </c>
    </row>
    <row r="74" spans="1:8">
      <c r="A74" s="10">
        <v>1196</v>
      </c>
      <c r="B74" s="10" t="s">
        <v>149</v>
      </c>
      <c r="C74" s="10" t="s">
        <v>152</v>
      </c>
      <c r="D74" s="10" t="s">
        <v>23</v>
      </c>
      <c r="E74" s="10" t="b">
        <v>0</v>
      </c>
      <c r="F74" s="10" t="s">
        <v>35</v>
      </c>
      <c r="H74" s="11">
        <v>46119</v>
      </c>
    </row>
    <row r="75" spans="1:8">
      <c r="A75" s="10">
        <v>1195</v>
      </c>
      <c r="B75" s="10" t="s">
        <v>149</v>
      </c>
      <c r="C75" s="10" t="s">
        <v>153</v>
      </c>
      <c r="D75" s="10" t="s">
        <v>23</v>
      </c>
      <c r="E75" s="10" t="b">
        <v>0</v>
      </c>
      <c r="F75" s="10" t="s">
        <v>35</v>
      </c>
      <c r="H75" s="11">
        <v>46119</v>
      </c>
    </row>
    <row r="76" spans="1:8">
      <c r="A76" s="10">
        <v>1176</v>
      </c>
      <c r="B76" s="10" t="s">
        <v>154</v>
      </c>
      <c r="C76" s="10" t="s">
        <v>155</v>
      </c>
      <c r="D76" s="10" t="s">
        <v>23</v>
      </c>
      <c r="E76" s="10" t="b">
        <v>0</v>
      </c>
      <c r="F76" s="10" t="s">
        <v>35</v>
      </c>
      <c r="H76" s="11">
        <v>46119</v>
      </c>
    </row>
    <row r="77" spans="1:8">
      <c r="A77" s="10">
        <v>1174</v>
      </c>
      <c r="B77" s="10" t="s">
        <v>154</v>
      </c>
      <c r="C77" s="10" t="s">
        <v>156</v>
      </c>
      <c r="D77" s="10" t="s">
        <v>23</v>
      </c>
      <c r="E77" s="10" t="b">
        <v>1</v>
      </c>
      <c r="F77" s="10" t="s">
        <v>27</v>
      </c>
      <c r="G77" s="10">
        <v>6</v>
      </c>
      <c r="H77" s="11">
        <v>46119</v>
      </c>
    </row>
    <row r="78" spans="1:8">
      <c r="A78" s="10">
        <v>1175</v>
      </c>
      <c r="B78" s="10" t="s">
        <v>154</v>
      </c>
      <c r="C78" s="10" t="s">
        <v>150</v>
      </c>
      <c r="D78" s="10" t="s">
        <v>23</v>
      </c>
      <c r="E78" s="10" t="b">
        <v>0</v>
      </c>
      <c r="F78" s="10" t="s">
        <v>27</v>
      </c>
      <c r="G78" s="10">
        <v>12</v>
      </c>
      <c r="H78" s="11">
        <v>46119</v>
      </c>
    </row>
    <row r="79" spans="1:8">
      <c r="A79" s="10">
        <v>1109</v>
      </c>
      <c r="B79" s="10" t="s">
        <v>157</v>
      </c>
      <c r="C79" s="10" t="s">
        <v>104</v>
      </c>
      <c r="D79" s="10" t="s">
        <v>23</v>
      </c>
      <c r="E79" s="10" t="b">
        <v>0</v>
      </c>
      <c r="F79" s="10" t="s">
        <v>25</v>
      </c>
      <c r="H79" s="11">
        <v>46119</v>
      </c>
    </row>
    <row r="80" spans="1:8">
      <c r="A80" s="10">
        <v>1073</v>
      </c>
      <c r="B80" s="10" t="s">
        <v>158</v>
      </c>
      <c r="C80" s="10" t="s">
        <v>150</v>
      </c>
      <c r="D80" s="10" t="s">
        <v>23</v>
      </c>
      <c r="E80" s="10" t="b">
        <v>0</v>
      </c>
      <c r="F80" s="10" t="s">
        <v>27</v>
      </c>
      <c r="G80" s="10">
        <v>3</v>
      </c>
      <c r="H80" s="11">
        <v>46119</v>
      </c>
    </row>
    <row r="81" spans="1:8">
      <c r="A81" s="10">
        <v>1400</v>
      </c>
      <c r="B81" s="10" t="s">
        <v>159</v>
      </c>
      <c r="C81" s="10" t="s">
        <v>160</v>
      </c>
      <c r="D81" s="10" t="s">
        <v>23</v>
      </c>
      <c r="E81" s="10" t="b">
        <v>0</v>
      </c>
      <c r="F81" s="10" t="s">
        <v>25</v>
      </c>
      <c r="H81" s="11">
        <v>46119</v>
      </c>
    </row>
    <row r="82" spans="1:8">
      <c r="A82" s="10">
        <v>1367</v>
      </c>
      <c r="B82" s="10" t="s">
        <v>161</v>
      </c>
      <c r="C82" s="10" t="s">
        <v>152</v>
      </c>
      <c r="D82" s="10" t="s">
        <v>23</v>
      </c>
      <c r="E82" s="10" t="b">
        <v>0</v>
      </c>
      <c r="F82" s="10" t="s">
        <v>35</v>
      </c>
      <c r="H82" s="11">
        <v>46119</v>
      </c>
    </row>
    <row r="83" spans="1:8">
      <c r="A83" s="10">
        <v>1366</v>
      </c>
      <c r="B83" s="10" t="s">
        <v>161</v>
      </c>
      <c r="C83" s="10" t="s">
        <v>162</v>
      </c>
      <c r="D83" s="10" t="s">
        <v>23</v>
      </c>
      <c r="E83" s="10" t="b">
        <v>1</v>
      </c>
      <c r="F83" s="10" t="s">
        <v>25</v>
      </c>
      <c r="H83" s="11">
        <v>46119</v>
      </c>
    </row>
    <row r="84" spans="1:8">
      <c r="A84" s="10">
        <v>1365</v>
      </c>
      <c r="B84" s="10" t="s">
        <v>161</v>
      </c>
      <c r="C84" s="10" t="s">
        <v>163</v>
      </c>
      <c r="D84" s="10" t="s">
        <v>23</v>
      </c>
      <c r="E84" s="10" t="b">
        <v>1</v>
      </c>
      <c r="F84" s="10" t="s">
        <v>27</v>
      </c>
      <c r="G84" s="10">
        <v>7</v>
      </c>
      <c r="H84" s="11">
        <v>46119</v>
      </c>
    </row>
    <row r="85" spans="1:8">
      <c r="A85" s="10">
        <v>897</v>
      </c>
      <c r="B85" s="10" t="s">
        <v>161</v>
      </c>
      <c r="C85" s="10" t="s">
        <v>164</v>
      </c>
      <c r="D85" s="10" t="s">
        <v>23</v>
      </c>
      <c r="E85" s="10" t="b">
        <v>0</v>
      </c>
      <c r="F85" s="10" t="s">
        <v>27</v>
      </c>
      <c r="G85" s="10">
        <v>13</v>
      </c>
      <c r="H85" s="11">
        <v>46119</v>
      </c>
    </row>
    <row r="86" spans="1:8">
      <c r="A86" s="10">
        <v>1308</v>
      </c>
      <c r="B86" s="10" t="s">
        <v>165</v>
      </c>
      <c r="C86" s="10" t="s">
        <v>166</v>
      </c>
      <c r="D86" s="10" t="s">
        <v>23</v>
      </c>
      <c r="E86" s="10" t="b">
        <v>1</v>
      </c>
      <c r="F86" s="10" t="s">
        <v>27</v>
      </c>
      <c r="G86" s="10">
        <v>2</v>
      </c>
      <c r="H86" s="11">
        <v>46119</v>
      </c>
    </row>
    <row r="87" spans="1:8">
      <c r="A87" s="10">
        <v>1206</v>
      </c>
      <c r="B87" s="10" t="s">
        <v>167</v>
      </c>
      <c r="C87" s="10" t="s">
        <v>168</v>
      </c>
      <c r="D87" s="10" t="s">
        <v>23</v>
      </c>
      <c r="E87" s="10" t="b">
        <v>1</v>
      </c>
      <c r="F87" s="10" t="s">
        <v>27</v>
      </c>
      <c r="G87" s="10">
        <v>8</v>
      </c>
      <c r="H87" s="11">
        <v>46119</v>
      </c>
    </row>
    <row r="88" spans="1:8">
      <c r="A88" s="10">
        <v>1205</v>
      </c>
      <c r="B88" s="10" t="s">
        <v>167</v>
      </c>
      <c r="C88" s="10" t="s">
        <v>66</v>
      </c>
      <c r="D88" s="10" t="s">
        <v>23</v>
      </c>
      <c r="E88" s="10" t="b">
        <v>0</v>
      </c>
      <c r="F88" s="10" t="s">
        <v>27</v>
      </c>
      <c r="G88" s="10">
        <v>14</v>
      </c>
      <c r="H88" s="11">
        <v>46119</v>
      </c>
    </row>
    <row r="89" spans="1:8">
      <c r="A89" s="10">
        <v>1406</v>
      </c>
      <c r="B89" s="10" t="s">
        <v>169</v>
      </c>
      <c r="C89" s="10" t="s">
        <v>170</v>
      </c>
      <c r="D89" s="10" t="s">
        <v>23</v>
      </c>
      <c r="E89" s="10" t="b">
        <v>0</v>
      </c>
      <c r="F89" s="10" t="s">
        <v>27</v>
      </c>
      <c r="G89" s="10">
        <v>9</v>
      </c>
      <c r="H89" s="11">
        <v>46119</v>
      </c>
    </row>
    <row r="90" spans="1:8">
      <c r="A90" s="10">
        <v>1182</v>
      </c>
      <c r="B90" s="10" t="s">
        <v>171</v>
      </c>
      <c r="C90" s="10" t="s">
        <v>136</v>
      </c>
      <c r="D90" s="10" t="s">
        <v>23</v>
      </c>
      <c r="E90" s="10" t="b">
        <v>0</v>
      </c>
      <c r="F90" s="10" t="s">
        <v>27</v>
      </c>
      <c r="G90" s="10">
        <v>8</v>
      </c>
      <c r="H90" s="11">
        <v>46119</v>
      </c>
    </row>
    <row r="91" spans="1:8">
      <c r="A91" s="10">
        <v>1340</v>
      </c>
      <c r="B91" s="10" t="s">
        <v>172</v>
      </c>
      <c r="C91" s="10" t="s">
        <v>173</v>
      </c>
      <c r="D91" s="10" t="s">
        <v>23</v>
      </c>
      <c r="E91" s="10" t="b">
        <v>0</v>
      </c>
      <c r="F91" s="10" t="s">
        <v>27</v>
      </c>
      <c r="G91" s="10">
        <v>8</v>
      </c>
      <c r="H91" s="11">
        <v>46119</v>
      </c>
    </row>
    <row r="92" spans="1:8">
      <c r="A92" s="10">
        <v>21</v>
      </c>
      <c r="B92" s="10" t="s">
        <v>174</v>
      </c>
      <c r="C92" s="10" t="s">
        <v>175</v>
      </c>
      <c r="D92" s="10" t="s">
        <v>23</v>
      </c>
      <c r="E92" s="10" t="b">
        <v>0</v>
      </c>
      <c r="F92" s="10" t="s">
        <v>25</v>
      </c>
      <c r="H92" s="11">
        <v>46119</v>
      </c>
    </row>
    <row r="93" spans="1:8">
      <c r="A93" s="10">
        <v>1049</v>
      </c>
      <c r="B93" s="10" t="s">
        <v>176</v>
      </c>
      <c r="C93" s="10" t="s">
        <v>177</v>
      </c>
      <c r="D93" s="10" t="s">
        <v>23</v>
      </c>
      <c r="E93" s="10" t="b">
        <v>0</v>
      </c>
      <c r="F93" s="10" t="s">
        <v>27</v>
      </c>
      <c r="G93" s="10">
        <v>19</v>
      </c>
      <c r="H93" s="11">
        <v>46119</v>
      </c>
    </row>
    <row r="94" spans="1:8">
      <c r="A94" s="10">
        <v>120</v>
      </c>
      <c r="B94" s="10" t="s">
        <v>178</v>
      </c>
      <c r="C94" s="10" t="s">
        <v>179</v>
      </c>
      <c r="D94" s="10" t="s">
        <v>23</v>
      </c>
      <c r="E94" s="10" t="b">
        <v>1</v>
      </c>
      <c r="F94" s="10" t="s">
        <v>27</v>
      </c>
      <c r="G94" s="10">
        <v>12</v>
      </c>
      <c r="H94" s="11">
        <v>46119</v>
      </c>
    </row>
    <row r="95" spans="1:8">
      <c r="A95" s="10">
        <v>990</v>
      </c>
      <c r="B95" s="10" t="s">
        <v>180</v>
      </c>
      <c r="C95" s="10" t="s">
        <v>87</v>
      </c>
      <c r="D95" s="10" t="s">
        <v>23</v>
      </c>
      <c r="E95" s="10" t="b">
        <v>1</v>
      </c>
      <c r="F95" s="10" t="s">
        <v>27</v>
      </c>
      <c r="G95" s="10">
        <v>10</v>
      </c>
      <c r="H95" s="11">
        <v>46119</v>
      </c>
    </row>
    <row r="96" spans="1:8">
      <c r="A96" s="10">
        <v>1395</v>
      </c>
      <c r="B96" s="10" t="s">
        <v>181</v>
      </c>
      <c r="C96" s="10" t="s">
        <v>182</v>
      </c>
      <c r="D96" s="10" t="s">
        <v>23</v>
      </c>
      <c r="E96" s="10" t="b">
        <v>1</v>
      </c>
      <c r="F96" s="10" t="s">
        <v>35</v>
      </c>
      <c r="H96" s="11">
        <v>46119</v>
      </c>
    </row>
    <row r="97" spans="1:8">
      <c r="A97" s="10">
        <v>1158</v>
      </c>
      <c r="B97" s="10" t="s">
        <v>183</v>
      </c>
      <c r="C97" s="10" t="s">
        <v>184</v>
      </c>
      <c r="D97" s="10" t="s">
        <v>23</v>
      </c>
      <c r="E97" s="10" t="b">
        <v>1</v>
      </c>
      <c r="F97" s="10" t="s">
        <v>25</v>
      </c>
      <c r="H97" s="11">
        <v>46119</v>
      </c>
    </row>
    <row r="98" spans="1:8">
      <c r="A98" s="10">
        <v>23</v>
      </c>
      <c r="B98" s="10" t="s">
        <v>185</v>
      </c>
      <c r="C98" s="10" t="s">
        <v>100</v>
      </c>
      <c r="D98" s="10" t="s">
        <v>23</v>
      </c>
      <c r="E98" s="10" t="b">
        <v>0</v>
      </c>
      <c r="F98" s="10" t="s">
        <v>27</v>
      </c>
      <c r="G98" s="10">
        <v>10</v>
      </c>
      <c r="H98" s="11">
        <v>46119</v>
      </c>
    </row>
    <row r="99" spans="1:8">
      <c r="A99" s="10">
        <v>1152</v>
      </c>
      <c r="B99" s="10" t="s">
        <v>186</v>
      </c>
      <c r="C99" s="10" t="s">
        <v>187</v>
      </c>
      <c r="D99" s="10" t="s">
        <v>54</v>
      </c>
      <c r="E99" s="10" t="b">
        <v>1</v>
      </c>
      <c r="F99" s="10" t="s">
        <v>188</v>
      </c>
      <c r="H99" s="11">
        <v>46119</v>
      </c>
    </row>
    <row r="100" spans="1:8">
      <c r="A100" s="10">
        <v>581</v>
      </c>
      <c r="B100" s="10" t="s">
        <v>189</v>
      </c>
      <c r="C100" s="10" t="s">
        <v>190</v>
      </c>
      <c r="D100" s="10" t="s">
        <v>23</v>
      </c>
      <c r="E100" s="10" t="b">
        <v>0</v>
      </c>
      <c r="F100" s="10" t="s">
        <v>27</v>
      </c>
      <c r="G100" s="10">
        <v>13</v>
      </c>
      <c r="H100" s="11">
        <v>46119</v>
      </c>
    </row>
    <row r="101" spans="1:8">
      <c r="A101" s="10">
        <v>1374</v>
      </c>
      <c r="B101" s="10" t="s">
        <v>191</v>
      </c>
      <c r="C101" s="10" t="s">
        <v>192</v>
      </c>
      <c r="D101" s="10" t="s">
        <v>23</v>
      </c>
      <c r="E101" s="10" t="b">
        <v>0</v>
      </c>
      <c r="F101" s="10" t="s">
        <v>25</v>
      </c>
      <c r="H101" s="11">
        <v>46119</v>
      </c>
    </row>
    <row r="102" spans="1:8">
      <c r="A102" s="10">
        <v>25</v>
      </c>
      <c r="B102" s="10" t="s">
        <v>22</v>
      </c>
      <c r="C102" s="10" t="s">
        <v>193</v>
      </c>
      <c r="D102" s="10" t="s">
        <v>23</v>
      </c>
      <c r="E102" s="10" t="b">
        <v>0</v>
      </c>
      <c r="F102" s="10" t="s">
        <v>27</v>
      </c>
      <c r="G102" s="10">
        <v>8</v>
      </c>
      <c r="H102" s="11">
        <v>46119</v>
      </c>
    </row>
    <row r="103" spans="1:8">
      <c r="A103" s="10">
        <v>415</v>
      </c>
      <c r="B103" s="10" t="s">
        <v>195</v>
      </c>
      <c r="C103" s="10" t="s">
        <v>196</v>
      </c>
      <c r="D103" s="10" t="s">
        <v>23</v>
      </c>
      <c r="E103" s="10" t="b">
        <v>0</v>
      </c>
      <c r="F103" s="10" t="s">
        <v>27</v>
      </c>
      <c r="G103" s="10">
        <v>6</v>
      </c>
      <c r="H103" s="11">
        <v>46119</v>
      </c>
    </row>
    <row r="104" spans="1:8">
      <c r="A104" s="10">
        <v>1144</v>
      </c>
      <c r="B104" s="10" t="s">
        <v>195</v>
      </c>
      <c r="C104" s="10" t="s">
        <v>197</v>
      </c>
      <c r="D104" s="10" t="s">
        <v>54</v>
      </c>
      <c r="E104" s="10" t="b">
        <v>0</v>
      </c>
      <c r="F104" s="10" t="s">
        <v>188</v>
      </c>
      <c r="H104" s="11">
        <v>46119</v>
      </c>
    </row>
    <row r="105" spans="1:8">
      <c r="A105" s="10">
        <v>203</v>
      </c>
      <c r="B105" s="10" t="s">
        <v>200</v>
      </c>
      <c r="C105" s="10" t="s">
        <v>201</v>
      </c>
      <c r="D105" s="10" t="s">
        <v>23</v>
      </c>
      <c r="E105" s="10" t="b">
        <v>0</v>
      </c>
      <c r="F105" s="10" t="s">
        <v>27</v>
      </c>
      <c r="G105" s="10">
        <v>9</v>
      </c>
      <c r="H105" s="11">
        <v>46119</v>
      </c>
    </row>
    <row r="106" spans="1:8">
      <c r="A106" s="10">
        <v>956</v>
      </c>
      <c r="B106" s="10" t="s">
        <v>202</v>
      </c>
      <c r="C106" s="10" t="s">
        <v>94</v>
      </c>
      <c r="D106" s="10" t="s">
        <v>23</v>
      </c>
      <c r="E106" s="10" t="b">
        <v>0</v>
      </c>
      <c r="F106" s="10" t="s">
        <v>27</v>
      </c>
      <c r="G106" s="10">
        <v>13</v>
      </c>
      <c r="H106" s="11">
        <v>46119</v>
      </c>
    </row>
    <row r="107" spans="1:8">
      <c r="A107" s="10">
        <v>1273</v>
      </c>
      <c r="B107" s="10" t="s">
        <v>203</v>
      </c>
      <c r="C107" s="10" t="s">
        <v>204</v>
      </c>
      <c r="D107" s="10" t="s">
        <v>23</v>
      </c>
      <c r="E107" s="10" t="b">
        <v>1</v>
      </c>
      <c r="F107" s="10" t="s">
        <v>27</v>
      </c>
      <c r="G107" s="10">
        <v>22</v>
      </c>
      <c r="H107" s="11">
        <v>46119</v>
      </c>
    </row>
    <row r="108" spans="1:8">
      <c r="A108" s="10">
        <v>1272</v>
      </c>
      <c r="B108" s="10" t="s">
        <v>203</v>
      </c>
      <c r="C108" s="10" t="s">
        <v>205</v>
      </c>
      <c r="D108" s="10" t="s">
        <v>23</v>
      </c>
      <c r="E108" s="10" t="b">
        <v>0</v>
      </c>
      <c r="F108" s="10" t="s">
        <v>27</v>
      </c>
      <c r="G108" s="10">
        <v>24</v>
      </c>
      <c r="H108" s="11">
        <v>46119</v>
      </c>
    </row>
    <row r="109" spans="1:8">
      <c r="A109" s="10">
        <v>846</v>
      </c>
      <c r="B109" s="10" t="s">
        <v>206</v>
      </c>
      <c r="C109" s="10" t="s">
        <v>207</v>
      </c>
      <c r="D109" s="10" t="s">
        <v>23</v>
      </c>
      <c r="E109" s="10" t="b">
        <v>0</v>
      </c>
      <c r="F109" s="10" t="s">
        <v>27</v>
      </c>
      <c r="G109" s="10">
        <v>17</v>
      </c>
      <c r="H109" s="11">
        <v>46119</v>
      </c>
    </row>
    <row r="110" spans="1:8">
      <c r="A110" s="10">
        <v>1162</v>
      </c>
      <c r="B110" s="10" t="s">
        <v>208</v>
      </c>
      <c r="C110" s="10" t="s">
        <v>150</v>
      </c>
      <c r="D110" s="10" t="s">
        <v>23</v>
      </c>
      <c r="E110" s="10" t="b">
        <v>0</v>
      </c>
      <c r="F110" s="10" t="s">
        <v>25</v>
      </c>
      <c r="H110" s="11">
        <v>46119</v>
      </c>
    </row>
    <row r="111" spans="1:8">
      <c r="A111" s="10">
        <v>1244</v>
      </c>
      <c r="B111" s="10" t="s">
        <v>209</v>
      </c>
      <c r="C111" s="10" t="s">
        <v>94</v>
      </c>
      <c r="D111" s="10" t="s">
        <v>23</v>
      </c>
      <c r="E111" s="10" t="b">
        <v>0</v>
      </c>
      <c r="F111" s="10" t="s">
        <v>27</v>
      </c>
      <c r="G111" s="10">
        <v>2</v>
      </c>
      <c r="H111" s="11">
        <v>46119</v>
      </c>
    </row>
    <row r="112" spans="1:8">
      <c r="A112" s="10">
        <v>1379</v>
      </c>
      <c r="B112" s="10" t="s">
        <v>209</v>
      </c>
      <c r="C112" s="10" t="s">
        <v>210</v>
      </c>
      <c r="D112" s="10" t="s">
        <v>23</v>
      </c>
      <c r="E112" s="10" t="b">
        <v>1</v>
      </c>
      <c r="F112" s="10" t="s">
        <v>25</v>
      </c>
      <c r="H112" s="11">
        <v>46119</v>
      </c>
    </row>
    <row r="113" spans="1:8">
      <c r="A113" s="10">
        <v>1362</v>
      </c>
      <c r="B113" s="10" t="s">
        <v>211</v>
      </c>
      <c r="C113" s="10" t="s">
        <v>212</v>
      </c>
      <c r="D113" s="10" t="s">
        <v>23</v>
      </c>
      <c r="E113" s="10" t="b">
        <v>1</v>
      </c>
      <c r="F113" s="10" t="s">
        <v>27</v>
      </c>
      <c r="G113" s="10">
        <v>22</v>
      </c>
      <c r="H113" s="11">
        <v>46119</v>
      </c>
    </row>
    <row r="114" spans="1:8">
      <c r="A114" s="10">
        <v>1403</v>
      </c>
      <c r="B114" s="10" t="s">
        <v>213</v>
      </c>
      <c r="C114" s="10" t="s">
        <v>214</v>
      </c>
      <c r="D114" s="10" t="s">
        <v>23</v>
      </c>
      <c r="E114" s="10" t="b">
        <v>0</v>
      </c>
      <c r="F114" s="10" t="s">
        <v>27</v>
      </c>
      <c r="G114" s="10">
        <v>8</v>
      </c>
      <c r="H114" s="11">
        <v>46119</v>
      </c>
    </row>
    <row r="115" spans="1:8">
      <c r="A115" s="10">
        <v>1404</v>
      </c>
      <c r="B115" s="10" t="s">
        <v>213</v>
      </c>
      <c r="C115" s="10" t="s">
        <v>215</v>
      </c>
      <c r="D115" s="10" t="s">
        <v>23</v>
      </c>
      <c r="E115" s="10" t="b">
        <v>1</v>
      </c>
      <c r="F115" s="10" t="s">
        <v>25</v>
      </c>
      <c r="H115" s="11">
        <v>46119</v>
      </c>
    </row>
    <row r="116" spans="1:8">
      <c r="A116" s="10">
        <v>1229</v>
      </c>
      <c r="B116" s="10" t="s">
        <v>216</v>
      </c>
      <c r="C116" s="10" t="s">
        <v>217</v>
      </c>
      <c r="D116" s="10" t="s">
        <v>23</v>
      </c>
      <c r="E116" s="10" t="b">
        <v>1</v>
      </c>
      <c r="F116" s="10" t="s">
        <v>25</v>
      </c>
      <c r="H116" s="11">
        <v>46119</v>
      </c>
    </row>
    <row r="117" spans="1:8">
      <c r="A117" s="10">
        <v>1408</v>
      </c>
      <c r="B117" s="10" t="s">
        <v>218</v>
      </c>
      <c r="C117" s="10" t="s">
        <v>219</v>
      </c>
      <c r="D117" s="10" t="s">
        <v>23</v>
      </c>
      <c r="E117" s="10" t="b">
        <v>0</v>
      </c>
      <c r="F117" s="10" t="s">
        <v>27</v>
      </c>
      <c r="G117" s="10">
        <v>20</v>
      </c>
      <c r="H117" s="11">
        <v>46119</v>
      </c>
    </row>
    <row r="118" spans="1:8">
      <c r="A118" s="10">
        <v>1409</v>
      </c>
      <c r="B118" s="10" t="s">
        <v>218</v>
      </c>
      <c r="C118" s="10" t="s">
        <v>220</v>
      </c>
      <c r="D118" s="10" t="s">
        <v>23</v>
      </c>
      <c r="E118" s="10" t="b">
        <v>1</v>
      </c>
      <c r="F118" s="10" t="s">
        <v>27</v>
      </c>
      <c r="G118" s="10">
        <v>15</v>
      </c>
      <c r="H118" s="11">
        <v>46119</v>
      </c>
    </row>
    <row r="119" spans="1:8">
      <c r="A119" s="10">
        <v>1198</v>
      </c>
      <c r="B119" s="10" t="s">
        <v>221</v>
      </c>
      <c r="C119" s="10" t="s">
        <v>222</v>
      </c>
      <c r="D119" s="10" t="s">
        <v>23</v>
      </c>
      <c r="E119" s="10" t="b">
        <v>0</v>
      </c>
      <c r="F119" s="10" t="s">
        <v>27</v>
      </c>
      <c r="G119" s="10">
        <v>5</v>
      </c>
      <c r="H119" s="11">
        <v>46119</v>
      </c>
    </row>
    <row r="120" spans="1:8">
      <c r="A120" s="10">
        <v>1260</v>
      </c>
      <c r="B120" s="10" t="s">
        <v>223</v>
      </c>
      <c r="C120" s="10" t="s">
        <v>82</v>
      </c>
      <c r="D120" s="10" t="s">
        <v>23</v>
      </c>
      <c r="E120" s="10" t="b">
        <v>1</v>
      </c>
      <c r="F120" s="10" t="s">
        <v>27</v>
      </c>
      <c r="G120" s="10">
        <v>15</v>
      </c>
      <c r="H120" s="11">
        <v>46119</v>
      </c>
    </row>
    <row r="121" spans="1:8">
      <c r="A121" s="10">
        <v>1361</v>
      </c>
      <c r="B121" s="10" t="s">
        <v>224</v>
      </c>
      <c r="C121" s="10" t="s">
        <v>225</v>
      </c>
      <c r="D121" s="10" t="s">
        <v>23</v>
      </c>
      <c r="E121" s="10" t="b">
        <v>0</v>
      </c>
      <c r="F121" s="10" t="s">
        <v>27</v>
      </c>
      <c r="G121" s="10">
        <v>16</v>
      </c>
      <c r="H121" s="11">
        <v>46119</v>
      </c>
    </row>
    <row r="122" spans="1:8">
      <c r="A122" s="10">
        <v>1100</v>
      </c>
      <c r="B122" s="10" t="s">
        <v>226</v>
      </c>
      <c r="C122" s="10" t="s">
        <v>34</v>
      </c>
      <c r="D122" s="10" t="s">
        <v>23</v>
      </c>
      <c r="E122" s="10" t="b">
        <v>0</v>
      </c>
      <c r="F122" s="10" t="s">
        <v>27</v>
      </c>
      <c r="G122" s="10">
        <v>13</v>
      </c>
      <c r="H122" s="11">
        <v>46119</v>
      </c>
    </row>
    <row r="123" spans="1:8">
      <c r="A123" s="10">
        <v>1385</v>
      </c>
      <c r="B123" s="10" t="s">
        <v>227</v>
      </c>
      <c r="C123" s="10" t="s">
        <v>228</v>
      </c>
      <c r="D123" s="10" t="s">
        <v>23</v>
      </c>
      <c r="E123" s="10" t="b">
        <v>0</v>
      </c>
      <c r="F123" s="10" t="s">
        <v>25</v>
      </c>
      <c r="H123" s="11">
        <v>46119</v>
      </c>
    </row>
    <row r="124" spans="1:8">
      <c r="A124" s="10">
        <v>1394</v>
      </c>
      <c r="B124" s="10" t="s">
        <v>227</v>
      </c>
      <c r="C124" s="10" t="s">
        <v>229</v>
      </c>
      <c r="D124" s="10" t="s">
        <v>23</v>
      </c>
      <c r="E124" s="10" t="b">
        <v>0</v>
      </c>
      <c r="F124" s="10" t="s">
        <v>35</v>
      </c>
      <c r="H124" s="11">
        <v>46119</v>
      </c>
    </row>
    <row r="125" spans="1:8">
      <c r="A125" s="10">
        <v>1419</v>
      </c>
      <c r="B125" s="10" t="s">
        <v>230</v>
      </c>
      <c r="C125" s="10" t="s">
        <v>231</v>
      </c>
      <c r="D125" s="10" t="s">
        <v>23</v>
      </c>
      <c r="E125" s="10" t="b">
        <v>0</v>
      </c>
      <c r="F125" s="10" t="s">
        <v>25</v>
      </c>
      <c r="H125" s="11">
        <v>46119</v>
      </c>
    </row>
    <row r="126" spans="1:8">
      <c r="A126" s="10">
        <v>967</v>
      </c>
      <c r="B126" s="10" t="s">
        <v>232</v>
      </c>
      <c r="C126" s="10" t="s">
        <v>152</v>
      </c>
      <c r="D126" s="10" t="s">
        <v>23</v>
      </c>
      <c r="E126" s="10" t="b">
        <v>0</v>
      </c>
      <c r="F126" s="10" t="s">
        <v>27</v>
      </c>
      <c r="G126" s="10">
        <v>5</v>
      </c>
      <c r="H126" s="11">
        <v>46119</v>
      </c>
    </row>
    <row r="127" spans="1:8">
      <c r="A127" s="10">
        <v>1373</v>
      </c>
      <c r="B127" s="10" t="s">
        <v>233</v>
      </c>
      <c r="C127" s="10" t="s">
        <v>234</v>
      </c>
      <c r="D127" s="10" t="s">
        <v>23</v>
      </c>
      <c r="E127" s="10" t="b">
        <v>0</v>
      </c>
      <c r="F127" s="10" t="s">
        <v>27</v>
      </c>
      <c r="G127" s="10">
        <v>10</v>
      </c>
      <c r="H127" s="11">
        <v>46119</v>
      </c>
    </row>
    <row r="128" spans="1:8">
      <c r="A128" s="10">
        <v>1045</v>
      </c>
      <c r="B128" s="10" t="s">
        <v>235</v>
      </c>
      <c r="C128" s="10" t="s">
        <v>236</v>
      </c>
      <c r="D128" s="10" t="s">
        <v>23</v>
      </c>
      <c r="E128" s="10" t="b">
        <v>1</v>
      </c>
      <c r="F128" s="10" t="s">
        <v>27</v>
      </c>
      <c r="G128" s="10">
        <v>5</v>
      </c>
      <c r="H128" s="11">
        <v>46119</v>
      </c>
    </row>
    <row r="129" spans="1:8">
      <c r="A129" s="10">
        <v>1046</v>
      </c>
      <c r="B129" s="10" t="s">
        <v>235</v>
      </c>
      <c r="C129" s="10" t="s">
        <v>237</v>
      </c>
      <c r="D129" s="10" t="s">
        <v>23</v>
      </c>
      <c r="E129" s="10" t="b">
        <v>0</v>
      </c>
      <c r="F129" s="10" t="s">
        <v>27</v>
      </c>
      <c r="G129" s="10">
        <v>35</v>
      </c>
      <c r="H129" s="11">
        <v>46119</v>
      </c>
    </row>
    <row r="130" spans="1:8">
      <c r="A130" s="10">
        <v>1396</v>
      </c>
      <c r="B130" s="10" t="s">
        <v>238</v>
      </c>
      <c r="C130" s="10" t="s">
        <v>59</v>
      </c>
      <c r="D130" s="10" t="s">
        <v>23</v>
      </c>
      <c r="E130" s="10" t="b">
        <v>0</v>
      </c>
      <c r="F130" s="10" t="s">
        <v>25</v>
      </c>
      <c r="H130" s="11">
        <v>46119</v>
      </c>
    </row>
    <row r="131" spans="1:8">
      <c r="A131" s="10">
        <v>1397</v>
      </c>
      <c r="B131" s="10" t="s">
        <v>238</v>
      </c>
      <c r="C131" s="10" t="s">
        <v>239</v>
      </c>
      <c r="D131" s="10" t="s">
        <v>23</v>
      </c>
      <c r="E131" s="10" t="b">
        <v>1</v>
      </c>
      <c r="F131" s="10" t="s">
        <v>25</v>
      </c>
      <c r="H131" s="11">
        <v>46119</v>
      </c>
    </row>
    <row r="132" spans="1:8">
      <c r="A132" s="10">
        <v>1398</v>
      </c>
      <c r="B132" s="10" t="s">
        <v>238</v>
      </c>
      <c r="C132" s="10" t="s">
        <v>49</v>
      </c>
      <c r="D132" s="10" t="s">
        <v>23</v>
      </c>
      <c r="E132" s="10" t="b">
        <v>0</v>
      </c>
      <c r="F132" s="10" t="s">
        <v>35</v>
      </c>
      <c r="H132" s="11">
        <v>46119</v>
      </c>
    </row>
    <row r="133" spans="1:8">
      <c r="A133" s="10">
        <v>1399</v>
      </c>
      <c r="B133" s="10" t="s">
        <v>238</v>
      </c>
      <c r="C133" s="10" t="s">
        <v>131</v>
      </c>
      <c r="D133" s="10" t="s">
        <v>23</v>
      </c>
      <c r="E133" s="10" t="b">
        <v>1</v>
      </c>
      <c r="F133" s="10" t="s">
        <v>35</v>
      </c>
      <c r="H133" s="11">
        <v>46119</v>
      </c>
    </row>
    <row r="134" spans="1:8">
      <c r="A134" s="10">
        <v>771</v>
      </c>
      <c r="B134" s="10" t="s">
        <v>240</v>
      </c>
      <c r="C134" s="10" t="s">
        <v>241</v>
      </c>
      <c r="D134" s="10" t="s">
        <v>23</v>
      </c>
      <c r="E134" s="10" t="b">
        <v>0</v>
      </c>
      <c r="F134" s="10" t="s">
        <v>27</v>
      </c>
      <c r="G134" s="10">
        <v>14</v>
      </c>
      <c r="H134" s="11">
        <v>46119</v>
      </c>
    </row>
    <row r="135" spans="1:8">
      <c r="A135" s="10">
        <v>1265</v>
      </c>
      <c r="B135" s="10" t="s">
        <v>242</v>
      </c>
      <c r="C135" s="10" t="s">
        <v>243</v>
      </c>
      <c r="D135" s="10" t="s">
        <v>23</v>
      </c>
      <c r="E135" s="10" t="b">
        <v>0</v>
      </c>
      <c r="F135" s="10" t="s">
        <v>27</v>
      </c>
      <c r="G135" s="10">
        <v>20</v>
      </c>
      <c r="H135" s="11">
        <v>46119</v>
      </c>
    </row>
    <row r="136" spans="1:8">
      <c r="A136" s="10">
        <v>532</v>
      </c>
      <c r="B136" s="10" t="s">
        <v>244</v>
      </c>
      <c r="C136" s="10" t="s">
        <v>243</v>
      </c>
      <c r="D136" s="10" t="s">
        <v>23</v>
      </c>
      <c r="E136" s="10" t="b">
        <v>0</v>
      </c>
      <c r="F136" s="10" t="s">
        <v>27</v>
      </c>
      <c r="G136" s="10">
        <v>13</v>
      </c>
      <c r="H136" s="11">
        <v>46119</v>
      </c>
    </row>
    <row r="137" spans="1:8">
      <c r="A137" s="10">
        <v>742</v>
      </c>
      <c r="B137" s="10" t="s">
        <v>246</v>
      </c>
      <c r="C137" s="10" t="s">
        <v>156</v>
      </c>
      <c r="D137" s="10" t="s">
        <v>23</v>
      </c>
      <c r="E137" s="10" t="b">
        <v>1</v>
      </c>
      <c r="F137" s="10" t="s">
        <v>27</v>
      </c>
      <c r="G137" s="10">
        <v>2</v>
      </c>
      <c r="H137" s="11">
        <v>46119</v>
      </c>
    </row>
    <row r="138" spans="1:8">
      <c r="A138" s="10">
        <v>741</v>
      </c>
      <c r="B138" s="10" t="s">
        <v>246</v>
      </c>
      <c r="C138" s="10" t="s">
        <v>247</v>
      </c>
      <c r="D138" s="10" t="s">
        <v>23</v>
      </c>
      <c r="E138" s="10" t="b">
        <v>0</v>
      </c>
      <c r="F138" s="10" t="s">
        <v>27</v>
      </c>
      <c r="G138" s="10">
        <v>4</v>
      </c>
      <c r="H138" s="11">
        <v>46119</v>
      </c>
    </row>
    <row r="139" spans="1:8">
      <c r="A139" s="10">
        <v>1298</v>
      </c>
      <c r="B139" s="10" t="s">
        <v>246</v>
      </c>
      <c r="C139" s="10" t="s">
        <v>132</v>
      </c>
      <c r="D139" s="10" t="s">
        <v>23</v>
      </c>
      <c r="E139" s="10" t="b">
        <v>1</v>
      </c>
      <c r="F139" s="10" t="s">
        <v>27</v>
      </c>
      <c r="G139" s="10">
        <v>13</v>
      </c>
      <c r="H139" s="11">
        <v>46119</v>
      </c>
    </row>
    <row r="140" spans="1:8">
      <c r="A140" s="10">
        <v>747</v>
      </c>
      <c r="B140" s="10" t="s">
        <v>246</v>
      </c>
      <c r="C140" s="10" t="s">
        <v>22</v>
      </c>
      <c r="D140" s="10" t="s">
        <v>23</v>
      </c>
      <c r="E140" s="10" t="b">
        <v>0</v>
      </c>
      <c r="F140" s="10" t="s">
        <v>27</v>
      </c>
      <c r="G140" s="10">
        <v>1</v>
      </c>
      <c r="H140" s="11">
        <v>46119</v>
      </c>
    </row>
    <row r="141" spans="1:8">
      <c r="A141" s="10">
        <v>1386</v>
      </c>
      <c r="B141" s="10" t="s">
        <v>246</v>
      </c>
      <c r="C141" s="10" t="s">
        <v>248</v>
      </c>
      <c r="D141" s="10" t="s">
        <v>23</v>
      </c>
      <c r="E141" s="10" t="b">
        <v>1</v>
      </c>
      <c r="F141" s="10" t="s">
        <v>35</v>
      </c>
      <c r="H141" s="11">
        <v>46119</v>
      </c>
    </row>
    <row r="142" spans="1:8">
      <c r="A142" s="10">
        <v>564</v>
      </c>
      <c r="B142" s="10" t="s">
        <v>250</v>
      </c>
      <c r="C142" s="10" t="s">
        <v>34</v>
      </c>
      <c r="D142" s="10" t="s">
        <v>23</v>
      </c>
      <c r="E142" s="10" t="b">
        <v>0</v>
      </c>
      <c r="F142" s="10" t="s">
        <v>27</v>
      </c>
      <c r="G142" s="10">
        <v>7</v>
      </c>
      <c r="H142" s="11">
        <v>46119</v>
      </c>
    </row>
    <row r="143" spans="1:8">
      <c r="A143" s="10">
        <v>1165</v>
      </c>
      <c r="B143" s="10" t="s">
        <v>251</v>
      </c>
      <c r="C143" s="10" t="s">
        <v>177</v>
      </c>
      <c r="D143" s="10" t="s">
        <v>23</v>
      </c>
      <c r="E143" s="10" t="b">
        <v>0</v>
      </c>
      <c r="F143" s="10" t="s">
        <v>27</v>
      </c>
      <c r="G143" s="10">
        <v>10</v>
      </c>
      <c r="H143" s="11">
        <v>46119</v>
      </c>
    </row>
    <row r="144" spans="1:8">
      <c r="A144" s="10">
        <v>405</v>
      </c>
      <c r="B144" s="10" t="s">
        <v>252</v>
      </c>
      <c r="C144" s="10" t="s">
        <v>243</v>
      </c>
      <c r="D144" s="10" t="s">
        <v>23</v>
      </c>
      <c r="E144" s="10" t="b">
        <v>0</v>
      </c>
      <c r="F144" s="10" t="s">
        <v>27</v>
      </c>
      <c r="G144" s="10">
        <v>18</v>
      </c>
      <c r="H144" s="11">
        <v>46119</v>
      </c>
    </row>
    <row r="145" spans="1:8">
      <c r="A145" s="10">
        <v>1346</v>
      </c>
      <c r="B145" s="10" t="s">
        <v>253</v>
      </c>
      <c r="C145" s="10" t="s">
        <v>254</v>
      </c>
      <c r="D145" s="10" t="s">
        <v>23</v>
      </c>
      <c r="E145" s="10" t="b">
        <v>0</v>
      </c>
      <c r="F145" s="10" t="s">
        <v>27</v>
      </c>
      <c r="G145" s="10">
        <v>20</v>
      </c>
      <c r="H145" s="11">
        <v>46119</v>
      </c>
    </row>
    <row r="146" spans="1:8">
      <c r="A146" s="10">
        <v>1192</v>
      </c>
      <c r="B146" s="10" t="s">
        <v>255</v>
      </c>
      <c r="C146" s="10" t="s">
        <v>256</v>
      </c>
      <c r="D146" s="10" t="s">
        <v>23</v>
      </c>
      <c r="E146" s="10" t="b">
        <v>0</v>
      </c>
      <c r="F146" s="10" t="s">
        <v>27</v>
      </c>
      <c r="G146" s="10">
        <v>10</v>
      </c>
      <c r="H146" s="11">
        <v>46119</v>
      </c>
    </row>
    <row r="147" spans="1:8">
      <c r="A147" s="10">
        <v>1157</v>
      </c>
      <c r="B147" s="10" t="s">
        <v>257</v>
      </c>
      <c r="C147" s="10" t="s">
        <v>100</v>
      </c>
      <c r="D147" s="10" t="s">
        <v>23</v>
      </c>
      <c r="E147" s="10" t="b">
        <v>0</v>
      </c>
      <c r="F147" s="10" t="s">
        <v>25</v>
      </c>
      <c r="H147" s="11">
        <v>46119</v>
      </c>
    </row>
    <row r="148" spans="1:8">
      <c r="A148" s="10">
        <v>1359</v>
      </c>
      <c r="B148" s="10" t="s">
        <v>258</v>
      </c>
      <c r="C148" s="10" t="s">
        <v>49</v>
      </c>
      <c r="D148" s="10" t="s">
        <v>23</v>
      </c>
      <c r="E148" s="10" t="b">
        <v>0</v>
      </c>
      <c r="F148" s="10" t="s">
        <v>188</v>
      </c>
      <c r="H148" s="11">
        <v>46119</v>
      </c>
    </row>
    <row r="149" spans="1:8">
      <c r="A149" s="10">
        <v>1360</v>
      </c>
      <c r="B149" s="10" t="s">
        <v>258</v>
      </c>
      <c r="C149" s="10" t="s">
        <v>259</v>
      </c>
      <c r="D149" s="10" t="s">
        <v>23</v>
      </c>
      <c r="E149" s="10" t="b">
        <v>1</v>
      </c>
      <c r="F149" s="10" t="s">
        <v>35</v>
      </c>
      <c r="H149" s="11">
        <v>46119</v>
      </c>
    </row>
    <row r="150" spans="1:8">
      <c r="A150" s="10">
        <v>1357</v>
      </c>
      <c r="B150" s="10" t="s">
        <v>258</v>
      </c>
      <c r="C150" s="10" t="s">
        <v>34</v>
      </c>
      <c r="D150" s="10" t="s">
        <v>23</v>
      </c>
      <c r="E150" s="10" t="b">
        <v>0</v>
      </c>
      <c r="F150" s="10" t="s">
        <v>27</v>
      </c>
      <c r="G150" s="10">
        <v>5</v>
      </c>
      <c r="H150" s="11">
        <v>46119</v>
      </c>
    </row>
    <row r="151" spans="1:8">
      <c r="A151" s="10">
        <v>1358</v>
      </c>
      <c r="B151" s="10" t="s">
        <v>258</v>
      </c>
      <c r="C151" s="10" t="s">
        <v>260</v>
      </c>
      <c r="D151" s="10" t="s">
        <v>23</v>
      </c>
      <c r="E151" s="10" t="b">
        <v>1</v>
      </c>
      <c r="F151" s="10" t="s">
        <v>27</v>
      </c>
      <c r="G151" s="10">
        <v>7</v>
      </c>
      <c r="H151" s="11">
        <v>46119</v>
      </c>
    </row>
    <row r="152" spans="1:8">
      <c r="A152" s="10">
        <v>1390</v>
      </c>
      <c r="B152" s="10" t="s">
        <v>261</v>
      </c>
      <c r="C152" s="10" t="s">
        <v>262</v>
      </c>
      <c r="D152" s="10" t="s">
        <v>23</v>
      </c>
      <c r="E152" s="10" t="b">
        <v>0</v>
      </c>
      <c r="F152" s="10" t="s">
        <v>25</v>
      </c>
      <c r="H152" s="11">
        <v>46119</v>
      </c>
    </row>
    <row r="153" spans="1:8">
      <c r="A153" s="10">
        <v>1107</v>
      </c>
      <c r="B153" s="10" t="s">
        <v>263</v>
      </c>
      <c r="C153" s="10" t="s">
        <v>264</v>
      </c>
      <c r="D153" s="10" t="s">
        <v>23</v>
      </c>
      <c r="E153" s="10" t="b">
        <v>1</v>
      </c>
      <c r="F153" s="10" t="s">
        <v>25</v>
      </c>
      <c r="H153" s="11">
        <v>46119</v>
      </c>
    </row>
    <row r="154" spans="1:8">
      <c r="A154" s="10">
        <v>35</v>
      </c>
      <c r="B154" s="10" t="s">
        <v>265</v>
      </c>
      <c r="C154" s="10" t="s">
        <v>266</v>
      </c>
      <c r="D154" s="10" t="s">
        <v>23</v>
      </c>
      <c r="E154" s="10" t="b">
        <v>0</v>
      </c>
      <c r="F154" s="10" t="s">
        <v>27</v>
      </c>
      <c r="G154" s="10">
        <v>3</v>
      </c>
      <c r="H154" s="11">
        <v>46119</v>
      </c>
    </row>
    <row r="155" spans="1:8">
      <c r="A155" s="10">
        <v>1094</v>
      </c>
      <c r="B155" s="10" t="s">
        <v>267</v>
      </c>
      <c r="C155" s="10" t="s">
        <v>268</v>
      </c>
      <c r="D155" s="10" t="s">
        <v>23</v>
      </c>
      <c r="E155" s="10" t="b">
        <v>0</v>
      </c>
      <c r="F155" s="10" t="s">
        <v>27</v>
      </c>
      <c r="G155" s="10">
        <v>12</v>
      </c>
      <c r="H155" s="11">
        <v>46119</v>
      </c>
    </row>
    <row r="156" spans="1:8">
      <c r="A156" s="10">
        <v>1325</v>
      </c>
      <c r="B156" s="10" t="s">
        <v>269</v>
      </c>
      <c r="C156" s="10" t="s">
        <v>270</v>
      </c>
      <c r="D156" s="10" t="s">
        <v>23</v>
      </c>
      <c r="E156" s="10" t="b">
        <v>0</v>
      </c>
      <c r="F156" s="10" t="s">
        <v>27</v>
      </c>
      <c r="G156" s="10">
        <v>3</v>
      </c>
      <c r="H156" s="11">
        <v>46119</v>
      </c>
    </row>
    <row r="157" spans="1:8">
      <c r="A157" s="10">
        <v>1143</v>
      </c>
      <c r="B157" s="10" t="s">
        <v>271</v>
      </c>
      <c r="C157" s="10" t="s">
        <v>247</v>
      </c>
      <c r="D157" s="10" t="s">
        <v>23</v>
      </c>
      <c r="E157" s="10" t="b">
        <v>0</v>
      </c>
      <c r="F157" s="10" t="s">
        <v>27</v>
      </c>
      <c r="G157" s="10">
        <v>3</v>
      </c>
      <c r="H157" s="11">
        <v>46119</v>
      </c>
    </row>
    <row r="158" spans="1:8">
      <c r="A158" s="10">
        <v>1401</v>
      </c>
      <c r="B158" s="10" t="s">
        <v>272</v>
      </c>
      <c r="C158" s="10" t="s">
        <v>273</v>
      </c>
      <c r="D158" s="10" t="s">
        <v>23</v>
      </c>
      <c r="E158" s="10" t="b">
        <v>1</v>
      </c>
      <c r="F158" s="10" t="s">
        <v>25</v>
      </c>
      <c r="H158" s="11">
        <v>46119</v>
      </c>
    </row>
    <row r="159" spans="1:8">
      <c r="A159" s="10">
        <v>1285</v>
      </c>
      <c r="B159" s="10" t="s">
        <v>274</v>
      </c>
      <c r="C159" s="10" t="s">
        <v>100</v>
      </c>
      <c r="D159" s="10" t="s">
        <v>23</v>
      </c>
      <c r="E159" s="10" t="b">
        <v>0</v>
      </c>
      <c r="F159" s="10" t="s">
        <v>25</v>
      </c>
      <c r="H159" s="11">
        <v>46119</v>
      </c>
    </row>
    <row r="160" spans="1:8">
      <c r="A160" s="10">
        <v>38</v>
      </c>
      <c r="B160" s="10" t="s">
        <v>275</v>
      </c>
      <c r="C160" s="10" t="s">
        <v>276</v>
      </c>
      <c r="D160" s="10" t="s">
        <v>23</v>
      </c>
      <c r="E160" s="10" t="b">
        <v>0</v>
      </c>
      <c r="F160" s="10" t="s">
        <v>27</v>
      </c>
      <c r="G160" s="10">
        <v>13</v>
      </c>
      <c r="H160" s="11">
        <v>46119</v>
      </c>
    </row>
    <row r="161" spans="1:8">
      <c r="A161" s="10">
        <v>245</v>
      </c>
      <c r="B161" s="10" t="s">
        <v>277</v>
      </c>
      <c r="C161" s="10" t="s">
        <v>234</v>
      </c>
      <c r="D161" s="10" t="s">
        <v>23</v>
      </c>
      <c r="E161" s="10" t="b">
        <v>0</v>
      </c>
      <c r="F161" s="10" t="s">
        <v>27</v>
      </c>
      <c r="G161" s="10">
        <v>10</v>
      </c>
      <c r="H161" s="11">
        <v>46119</v>
      </c>
    </row>
    <row r="162" spans="1:8">
      <c r="A162" s="10">
        <v>39</v>
      </c>
      <c r="B162" s="10" t="s">
        <v>277</v>
      </c>
      <c r="C162" s="10" t="s">
        <v>278</v>
      </c>
      <c r="D162" s="10" t="s">
        <v>23</v>
      </c>
      <c r="E162" s="10" t="b">
        <v>0</v>
      </c>
      <c r="F162" s="10" t="s">
        <v>27</v>
      </c>
      <c r="G162" s="10">
        <v>43</v>
      </c>
      <c r="H162" s="11">
        <v>46119</v>
      </c>
    </row>
    <row r="163" spans="1:8">
      <c r="A163" s="10">
        <v>508</v>
      </c>
      <c r="B163" s="10" t="s">
        <v>279</v>
      </c>
      <c r="C163" s="10" t="s">
        <v>59</v>
      </c>
      <c r="D163" s="10" t="s">
        <v>23</v>
      </c>
      <c r="E163" s="10" t="b">
        <v>0</v>
      </c>
      <c r="F163" s="10" t="s">
        <v>27</v>
      </c>
      <c r="G163" s="10">
        <v>31</v>
      </c>
      <c r="H163" s="11">
        <v>46119</v>
      </c>
    </row>
    <row r="164" spans="1:8">
      <c r="A164" s="10">
        <v>1392</v>
      </c>
      <c r="B164" s="10" t="s">
        <v>284</v>
      </c>
      <c r="C164" s="10" t="s">
        <v>285</v>
      </c>
      <c r="D164" s="10" t="s">
        <v>23</v>
      </c>
      <c r="E164" s="10" t="b">
        <v>1</v>
      </c>
      <c r="F164" s="10" t="s">
        <v>25</v>
      </c>
      <c r="H164" s="11">
        <v>46119</v>
      </c>
    </row>
    <row r="165" spans="1:8">
      <c r="A165" s="10">
        <v>1141</v>
      </c>
      <c r="B165" s="10" t="s">
        <v>286</v>
      </c>
      <c r="C165" s="10" t="s">
        <v>287</v>
      </c>
      <c r="D165" s="10" t="s">
        <v>23</v>
      </c>
      <c r="E165" s="10" t="b">
        <v>1</v>
      </c>
      <c r="F165" s="10" t="s">
        <v>27</v>
      </c>
      <c r="G165" s="10">
        <v>15</v>
      </c>
      <c r="H165" s="11">
        <v>46119</v>
      </c>
    </row>
    <row r="166" spans="1:8">
      <c r="A166" s="10">
        <v>891</v>
      </c>
      <c r="B166" s="10" t="s">
        <v>288</v>
      </c>
      <c r="C166" s="10" t="s">
        <v>289</v>
      </c>
      <c r="D166" s="10" t="s">
        <v>23</v>
      </c>
      <c r="E166" s="10" t="b">
        <v>1</v>
      </c>
      <c r="F166" s="10" t="s">
        <v>25</v>
      </c>
      <c r="H166" s="11">
        <v>46119</v>
      </c>
    </row>
    <row r="167" spans="1:8">
      <c r="A167" s="10">
        <v>1352</v>
      </c>
      <c r="B167" s="10" t="s">
        <v>290</v>
      </c>
      <c r="C167" s="10" t="s">
        <v>34</v>
      </c>
      <c r="D167" s="10" t="s">
        <v>23</v>
      </c>
      <c r="E167" s="10" t="b">
        <v>0</v>
      </c>
      <c r="F167" s="10" t="s">
        <v>27</v>
      </c>
      <c r="G167" s="10">
        <v>11</v>
      </c>
      <c r="H167" s="11">
        <v>46119</v>
      </c>
    </row>
    <row r="168" spans="1:8">
      <c r="A168" s="10">
        <v>1339</v>
      </c>
      <c r="B168" s="10" t="s">
        <v>291</v>
      </c>
      <c r="C168" s="10" t="s">
        <v>292</v>
      </c>
      <c r="D168" s="10" t="s">
        <v>23</v>
      </c>
      <c r="E168" s="10" t="b">
        <v>0</v>
      </c>
      <c r="F168" s="10" t="s">
        <v>25</v>
      </c>
      <c r="H168" s="11">
        <v>46119</v>
      </c>
    </row>
    <row r="169" spans="1:8">
      <c r="A169" s="10">
        <v>914</v>
      </c>
      <c r="B169" s="10" t="s">
        <v>293</v>
      </c>
      <c r="C169" s="10" t="s">
        <v>153</v>
      </c>
      <c r="D169" s="10" t="s">
        <v>23</v>
      </c>
      <c r="E169" s="10" t="b">
        <v>0</v>
      </c>
      <c r="F169" s="10" t="s">
        <v>27</v>
      </c>
      <c r="G169" s="10">
        <v>14</v>
      </c>
      <c r="H169" s="11">
        <v>46119</v>
      </c>
    </row>
    <row r="170" spans="1:8">
      <c r="A170" s="10">
        <v>597</v>
      </c>
      <c r="B170" s="10" t="s">
        <v>294</v>
      </c>
      <c r="C170" s="10" t="s">
        <v>295</v>
      </c>
      <c r="D170" s="10" t="s">
        <v>23</v>
      </c>
      <c r="E170" s="10" t="b">
        <v>0</v>
      </c>
      <c r="F170" s="10" t="s">
        <v>27</v>
      </c>
      <c r="G170" s="10">
        <v>36</v>
      </c>
      <c r="H170" s="11">
        <v>46119</v>
      </c>
    </row>
    <row r="171" spans="1:8">
      <c r="A171" s="10">
        <v>1038</v>
      </c>
      <c r="B171" s="10" t="s">
        <v>293</v>
      </c>
      <c r="C171" s="10" t="s">
        <v>51</v>
      </c>
      <c r="D171" s="10" t="s">
        <v>23</v>
      </c>
      <c r="E171" s="10" t="b">
        <v>0</v>
      </c>
      <c r="F171" s="10" t="s">
        <v>27</v>
      </c>
      <c r="G171" s="10">
        <v>12</v>
      </c>
      <c r="H171" s="11">
        <v>46119</v>
      </c>
    </row>
    <row r="172" spans="1:8">
      <c r="A172" s="10">
        <v>1242</v>
      </c>
      <c r="B172" s="10" t="s">
        <v>297</v>
      </c>
      <c r="C172" s="10" t="s">
        <v>190</v>
      </c>
      <c r="D172" s="10" t="s">
        <v>23</v>
      </c>
      <c r="E172" s="10" t="b">
        <v>0</v>
      </c>
      <c r="F172" s="10" t="s">
        <v>27</v>
      </c>
      <c r="G172" s="10">
        <v>15</v>
      </c>
      <c r="H172" s="11">
        <v>46119</v>
      </c>
    </row>
    <row r="173" spans="1:8">
      <c r="A173" s="10">
        <v>1048</v>
      </c>
      <c r="B173" s="10" t="s">
        <v>298</v>
      </c>
      <c r="C173" s="10" t="s">
        <v>268</v>
      </c>
      <c r="D173" s="10" t="s">
        <v>23</v>
      </c>
      <c r="E173" s="10" t="b">
        <v>0</v>
      </c>
      <c r="F173" s="10" t="s">
        <v>27</v>
      </c>
      <c r="G173" s="10">
        <v>16</v>
      </c>
      <c r="H173" s="11">
        <v>46119</v>
      </c>
    </row>
    <row r="174" spans="1:8">
      <c r="A174" s="10">
        <v>1055</v>
      </c>
      <c r="B174" s="10" t="s">
        <v>298</v>
      </c>
      <c r="C174" s="10" t="s">
        <v>299</v>
      </c>
      <c r="D174" s="10" t="s">
        <v>23</v>
      </c>
      <c r="E174" s="10" t="b">
        <v>0</v>
      </c>
      <c r="F174" s="10" t="s">
        <v>27</v>
      </c>
      <c r="G174" s="10">
        <v>1</v>
      </c>
      <c r="H174" s="11">
        <v>46119</v>
      </c>
    </row>
    <row r="175" spans="1:8">
      <c r="A175" s="10">
        <v>820</v>
      </c>
      <c r="B175" s="10" t="s">
        <v>298</v>
      </c>
      <c r="C175" s="10" t="s">
        <v>139</v>
      </c>
      <c r="D175" s="10" t="s">
        <v>23</v>
      </c>
      <c r="E175" s="10" t="b">
        <v>1</v>
      </c>
      <c r="F175" s="10" t="s">
        <v>27</v>
      </c>
      <c r="G175" s="10">
        <v>6</v>
      </c>
      <c r="H175" s="11">
        <v>46119</v>
      </c>
    </row>
    <row r="176" spans="1:8">
      <c r="A176" s="10">
        <v>687</v>
      </c>
      <c r="B176" s="10" t="s">
        <v>298</v>
      </c>
      <c r="C176" s="10" t="s">
        <v>301</v>
      </c>
      <c r="D176" s="10" t="s">
        <v>23</v>
      </c>
      <c r="E176" s="10" t="b">
        <v>0</v>
      </c>
      <c r="F176" s="10" t="s">
        <v>27</v>
      </c>
      <c r="G176" s="10">
        <v>7</v>
      </c>
      <c r="H176" s="11">
        <v>46119</v>
      </c>
    </row>
    <row r="177" spans="1:8">
      <c r="A177" s="10">
        <v>1420</v>
      </c>
      <c r="B177" s="10" t="s">
        <v>302</v>
      </c>
      <c r="C177" s="10" t="s">
        <v>212</v>
      </c>
      <c r="D177" s="10" t="s">
        <v>23</v>
      </c>
      <c r="E177" s="10" t="b">
        <v>1</v>
      </c>
      <c r="F177" s="10" t="s">
        <v>27</v>
      </c>
      <c r="G177" s="10">
        <v>15</v>
      </c>
      <c r="H177" s="11">
        <v>46119</v>
      </c>
    </row>
    <row r="178" spans="1:8">
      <c r="A178" s="10">
        <v>1410</v>
      </c>
      <c r="B178" s="10" t="s">
        <v>104</v>
      </c>
      <c r="C178" s="10" t="s">
        <v>303</v>
      </c>
      <c r="D178" s="10" t="s">
        <v>23</v>
      </c>
      <c r="E178" s="10" t="b">
        <v>0</v>
      </c>
      <c r="F178" s="10" t="s">
        <v>25</v>
      </c>
      <c r="H178" s="11">
        <v>46119</v>
      </c>
    </row>
    <row r="179" spans="1:8">
      <c r="A179" s="10">
        <v>1161</v>
      </c>
      <c r="B179" s="10" t="s">
        <v>304</v>
      </c>
      <c r="C179" s="10" t="s">
        <v>305</v>
      </c>
      <c r="D179" s="10" t="s">
        <v>23</v>
      </c>
      <c r="E179" s="10" t="b">
        <v>0</v>
      </c>
      <c r="F179" s="10" t="s">
        <v>25</v>
      </c>
      <c r="H179" s="11">
        <v>46119</v>
      </c>
    </row>
    <row r="180" spans="1:8">
      <c r="A180" s="10">
        <v>890</v>
      </c>
      <c r="B180" s="10" t="s">
        <v>306</v>
      </c>
      <c r="C180" s="10" t="s">
        <v>307</v>
      </c>
      <c r="D180" s="10" t="s">
        <v>54</v>
      </c>
      <c r="E180" s="10" t="b">
        <v>0</v>
      </c>
      <c r="F180" s="10" t="s">
        <v>27</v>
      </c>
      <c r="G180" s="10">
        <v>23</v>
      </c>
      <c r="H180" s="11">
        <v>46119</v>
      </c>
    </row>
    <row r="181" spans="1:8">
      <c r="A181" s="10">
        <v>45</v>
      </c>
      <c r="B181" s="10" t="s">
        <v>309</v>
      </c>
      <c r="C181" s="10" t="s">
        <v>310</v>
      </c>
      <c r="D181" s="10" t="s">
        <v>23</v>
      </c>
      <c r="E181" s="10" t="b">
        <v>0</v>
      </c>
      <c r="F181" s="10" t="s">
        <v>27</v>
      </c>
      <c r="G181" s="10">
        <v>20</v>
      </c>
      <c r="H181" s="11">
        <v>46119</v>
      </c>
    </row>
    <row r="182" spans="1:8">
      <c r="A182" s="10">
        <v>1160</v>
      </c>
      <c r="B182" s="10" t="s">
        <v>311</v>
      </c>
      <c r="C182" s="10" t="s">
        <v>312</v>
      </c>
      <c r="D182" s="10" t="s">
        <v>23</v>
      </c>
      <c r="E182" s="10" t="b">
        <v>0</v>
      </c>
      <c r="F182" s="10" t="s">
        <v>25</v>
      </c>
      <c r="H182" s="11">
        <v>46119</v>
      </c>
    </row>
    <row r="183" spans="1:8">
      <c r="A183" s="10">
        <v>945</v>
      </c>
      <c r="B183" s="10" t="s">
        <v>313</v>
      </c>
      <c r="C183" s="10" t="s">
        <v>49</v>
      </c>
      <c r="D183" s="10" t="s">
        <v>23</v>
      </c>
      <c r="E183" s="10" t="b">
        <v>0</v>
      </c>
      <c r="F183" s="10" t="s">
        <v>25</v>
      </c>
      <c r="H183" s="11">
        <v>46119</v>
      </c>
    </row>
    <row r="184" spans="1:8">
      <c r="A184" s="10">
        <v>813</v>
      </c>
      <c r="B184" s="10" t="s">
        <v>313</v>
      </c>
      <c r="C184" s="10" t="s">
        <v>289</v>
      </c>
      <c r="D184" s="10" t="s">
        <v>23</v>
      </c>
      <c r="E184" s="10" t="b">
        <v>1</v>
      </c>
      <c r="F184" s="10" t="s">
        <v>27</v>
      </c>
      <c r="G184" s="10">
        <v>7</v>
      </c>
      <c r="H184" s="11">
        <v>46119</v>
      </c>
    </row>
    <row r="185" spans="1:8">
      <c r="A185" s="10">
        <v>812</v>
      </c>
      <c r="B185" s="10" t="s">
        <v>313</v>
      </c>
      <c r="C185" s="10" t="s">
        <v>170</v>
      </c>
      <c r="D185" s="10" t="s">
        <v>23</v>
      </c>
      <c r="E185" s="10" t="b">
        <v>0</v>
      </c>
      <c r="F185" s="10" t="s">
        <v>27</v>
      </c>
      <c r="G185" s="10">
        <v>9</v>
      </c>
      <c r="H185" s="11">
        <v>46119</v>
      </c>
    </row>
    <row r="186" spans="1:8">
      <c r="A186" s="10">
        <v>1129</v>
      </c>
      <c r="B186" s="10" t="s">
        <v>314</v>
      </c>
      <c r="C186" s="10" t="s">
        <v>315</v>
      </c>
      <c r="D186" s="10" t="s">
        <v>23</v>
      </c>
      <c r="E186" s="10" t="b">
        <v>0</v>
      </c>
      <c r="F186" s="10" t="s">
        <v>27</v>
      </c>
      <c r="G186" s="10">
        <v>12</v>
      </c>
      <c r="H186" s="11">
        <v>46119</v>
      </c>
    </row>
    <row r="187" spans="1:8">
      <c r="A187" s="10">
        <v>915</v>
      </c>
      <c r="B187" s="10" t="s">
        <v>316</v>
      </c>
      <c r="C187" s="10" t="s">
        <v>241</v>
      </c>
      <c r="D187" s="10" t="s">
        <v>23</v>
      </c>
      <c r="E187" s="10" t="b">
        <v>0</v>
      </c>
      <c r="F187" s="10" t="s">
        <v>27</v>
      </c>
      <c r="G187" s="10">
        <v>8</v>
      </c>
      <c r="H187" s="11">
        <v>46119</v>
      </c>
    </row>
    <row r="188" spans="1:8">
      <c r="A188" s="10">
        <v>860</v>
      </c>
      <c r="B188" s="10" t="s">
        <v>321</v>
      </c>
      <c r="C188" s="10" t="s">
        <v>215</v>
      </c>
      <c r="D188" s="10" t="s">
        <v>23</v>
      </c>
      <c r="E188" s="10" t="b">
        <v>1</v>
      </c>
      <c r="F188" s="10" t="s">
        <v>25</v>
      </c>
      <c r="H188" s="11">
        <v>46119</v>
      </c>
    </row>
    <row r="189" spans="1:8">
      <c r="A189" s="10">
        <v>756</v>
      </c>
      <c r="B189" s="10" t="s">
        <v>321</v>
      </c>
      <c r="C189" s="10" t="s">
        <v>322</v>
      </c>
      <c r="D189" s="10" t="s">
        <v>23</v>
      </c>
      <c r="E189" s="10" t="b">
        <v>0</v>
      </c>
      <c r="F189" s="10" t="s">
        <v>25</v>
      </c>
      <c r="H189" s="11">
        <v>46119</v>
      </c>
    </row>
    <row r="190" spans="1:8">
      <c r="A190" s="10">
        <v>407</v>
      </c>
      <c r="B190" s="10" t="s">
        <v>321</v>
      </c>
      <c r="C190" s="10" t="s">
        <v>323</v>
      </c>
      <c r="D190" s="10" t="s">
        <v>23</v>
      </c>
      <c r="E190" s="10" t="b">
        <v>0</v>
      </c>
      <c r="F190" s="10" t="s">
        <v>27</v>
      </c>
      <c r="G190" s="10">
        <v>5</v>
      </c>
      <c r="H190" s="11">
        <v>46119</v>
      </c>
    </row>
    <row r="191" spans="1:8">
      <c r="A191" s="10">
        <v>1312</v>
      </c>
      <c r="B191" s="10" t="s">
        <v>329</v>
      </c>
      <c r="C191" s="10" t="s">
        <v>287</v>
      </c>
      <c r="D191" s="10" t="s">
        <v>23</v>
      </c>
      <c r="E191" s="10" t="b">
        <v>1</v>
      </c>
      <c r="F191" s="10" t="s">
        <v>27</v>
      </c>
      <c r="G191" s="10">
        <v>35</v>
      </c>
      <c r="H191" s="11">
        <v>46119</v>
      </c>
    </row>
    <row r="192" spans="1:8">
      <c r="A192" s="10">
        <v>935</v>
      </c>
      <c r="B192" s="10" t="s">
        <v>330</v>
      </c>
      <c r="C192" s="10" t="s">
        <v>245</v>
      </c>
      <c r="D192" s="10" t="s">
        <v>23</v>
      </c>
      <c r="E192" s="10" t="b">
        <v>1</v>
      </c>
      <c r="F192" s="10" t="s">
        <v>25</v>
      </c>
      <c r="H192" s="11">
        <v>46119</v>
      </c>
    </row>
    <row r="193" spans="1:8">
      <c r="A193" s="10">
        <v>999</v>
      </c>
      <c r="B193" s="10" t="s">
        <v>330</v>
      </c>
      <c r="C193" s="10" t="s">
        <v>331</v>
      </c>
      <c r="D193" s="10" t="s">
        <v>23</v>
      </c>
      <c r="E193" s="10" t="b">
        <v>1</v>
      </c>
      <c r="F193" s="10" t="s">
        <v>25</v>
      </c>
      <c r="H193" s="11">
        <v>46119</v>
      </c>
    </row>
    <row r="194" spans="1:8">
      <c r="A194" s="10">
        <v>998</v>
      </c>
      <c r="B194" s="10" t="s">
        <v>330</v>
      </c>
      <c r="C194" s="10" t="s">
        <v>332</v>
      </c>
      <c r="D194" s="10" t="s">
        <v>23</v>
      </c>
      <c r="E194" s="10" t="b">
        <v>1</v>
      </c>
      <c r="F194" s="10" t="s">
        <v>27</v>
      </c>
      <c r="G194" s="10">
        <v>5</v>
      </c>
      <c r="H194" s="11">
        <v>46119</v>
      </c>
    </row>
    <row r="195" spans="1:8">
      <c r="A195" s="10">
        <v>616</v>
      </c>
      <c r="B195" s="10" t="s">
        <v>330</v>
      </c>
      <c r="C195" s="10" t="s">
        <v>41</v>
      </c>
      <c r="D195" s="10" t="s">
        <v>23</v>
      </c>
      <c r="E195" s="10" t="b">
        <v>0</v>
      </c>
      <c r="F195" s="10" t="s">
        <v>27</v>
      </c>
      <c r="G195" s="10">
        <v>7</v>
      </c>
      <c r="H195" s="11">
        <v>46119</v>
      </c>
    </row>
    <row r="196" spans="1:8">
      <c r="A196" s="10">
        <v>558</v>
      </c>
      <c r="B196" s="10" t="s">
        <v>333</v>
      </c>
      <c r="C196" s="10" t="s">
        <v>334</v>
      </c>
      <c r="D196" s="10" t="s">
        <v>23</v>
      </c>
      <c r="E196" s="10" t="b">
        <v>0</v>
      </c>
      <c r="F196" s="10" t="s">
        <v>27</v>
      </c>
      <c r="G196" s="10">
        <v>15</v>
      </c>
      <c r="H196" s="11">
        <v>46119</v>
      </c>
    </row>
    <row r="197" spans="1:8">
      <c r="A197" s="10">
        <v>991</v>
      </c>
      <c r="B197" s="10" t="s">
        <v>335</v>
      </c>
      <c r="C197" s="10" t="s">
        <v>184</v>
      </c>
      <c r="D197" s="10" t="s">
        <v>23</v>
      </c>
      <c r="E197" s="10" t="b">
        <v>1</v>
      </c>
      <c r="F197" s="10" t="s">
        <v>35</v>
      </c>
      <c r="H197" s="11">
        <v>46119</v>
      </c>
    </row>
    <row r="198" spans="1:8">
      <c r="A198" s="10">
        <v>359</v>
      </c>
      <c r="B198" s="10" t="s">
        <v>336</v>
      </c>
      <c r="C198" s="10" t="s">
        <v>26</v>
      </c>
      <c r="D198" s="10" t="s">
        <v>23</v>
      </c>
      <c r="E198" s="10" t="b">
        <v>0</v>
      </c>
      <c r="F198" s="10" t="s">
        <v>27</v>
      </c>
      <c r="G198" s="10">
        <v>24</v>
      </c>
      <c r="H198" s="11">
        <v>46119</v>
      </c>
    </row>
    <row r="199" spans="1:8">
      <c r="A199" s="10">
        <v>1310</v>
      </c>
      <c r="B199" s="10" t="s">
        <v>337</v>
      </c>
      <c r="C199" s="10" t="s">
        <v>311</v>
      </c>
      <c r="D199" s="10" t="s">
        <v>23</v>
      </c>
      <c r="E199" s="10" t="b">
        <v>0</v>
      </c>
      <c r="F199" s="10" t="s">
        <v>25</v>
      </c>
      <c r="H199" s="11">
        <v>46119</v>
      </c>
    </row>
    <row r="200" spans="1:8">
      <c r="A200" s="10">
        <v>1254</v>
      </c>
      <c r="B200" s="10" t="s">
        <v>349</v>
      </c>
      <c r="C200" s="10" t="s">
        <v>51</v>
      </c>
      <c r="D200" s="10" t="s">
        <v>23</v>
      </c>
      <c r="E200" s="10" t="b">
        <v>0</v>
      </c>
      <c r="F200" s="10" t="s">
        <v>27</v>
      </c>
      <c r="G200" s="10">
        <v>21</v>
      </c>
      <c r="H200" s="11">
        <v>46119</v>
      </c>
    </row>
    <row r="201" spans="1:8">
      <c r="A201" s="10">
        <v>1200</v>
      </c>
      <c r="B201" s="10" t="s">
        <v>338</v>
      </c>
      <c r="C201" s="10" t="s">
        <v>339</v>
      </c>
      <c r="D201" s="10" t="s">
        <v>23</v>
      </c>
      <c r="E201" s="10" t="b">
        <v>0</v>
      </c>
      <c r="F201" s="10" t="s">
        <v>27</v>
      </c>
      <c r="G201" s="10">
        <v>6</v>
      </c>
      <c r="H201" s="11">
        <v>46119</v>
      </c>
    </row>
    <row r="202" spans="1:8">
      <c r="A202" s="10">
        <v>1411</v>
      </c>
      <c r="B202" s="10" t="s">
        <v>338</v>
      </c>
      <c r="C202" s="10" t="s">
        <v>72</v>
      </c>
      <c r="D202" s="10" t="s">
        <v>23</v>
      </c>
      <c r="E202" s="10" t="b">
        <v>1</v>
      </c>
      <c r="F202" s="10" t="s">
        <v>27</v>
      </c>
      <c r="G202" s="10">
        <v>3</v>
      </c>
      <c r="H202" s="11">
        <v>46119</v>
      </c>
    </row>
    <row r="203" spans="1:8">
      <c r="A203" s="10">
        <v>1412</v>
      </c>
      <c r="B203" s="10" t="s">
        <v>338</v>
      </c>
      <c r="C203" s="10" t="s">
        <v>340</v>
      </c>
      <c r="D203" s="10" t="s">
        <v>23</v>
      </c>
      <c r="E203" s="10" t="b">
        <v>1</v>
      </c>
      <c r="F203" s="10" t="s">
        <v>188</v>
      </c>
      <c r="H203" s="11">
        <v>46119</v>
      </c>
    </row>
    <row r="204" spans="1:8">
      <c r="A204" s="10">
        <v>1413</v>
      </c>
      <c r="B204" s="10" t="s">
        <v>338</v>
      </c>
      <c r="C204" s="10" t="s">
        <v>214</v>
      </c>
      <c r="D204" s="10" t="s">
        <v>23</v>
      </c>
      <c r="E204" s="10" t="b">
        <v>0</v>
      </c>
      <c r="F204" s="10" t="s">
        <v>188</v>
      </c>
      <c r="H204" s="11">
        <v>46119</v>
      </c>
    </row>
    <row r="205" spans="1:8">
      <c r="A205" s="10">
        <v>1376</v>
      </c>
      <c r="B205" s="10" t="s">
        <v>192</v>
      </c>
      <c r="C205" s="10" t="s">
        <v>127</v>
      </c>
      <c r="D205" s="10" t="s">
        <v>23</v>
      </c>
      <c r="E205" s="10" t="b">
        <v>1</v>
      </c>
      <c r="F205" s="10" t="s">
        <v>25</v>
      </c>
      <c r="H205" s="11">
        <v>46119</v>
      </c>
    </row>
    <row r="206" spans="1:8">
      <c r="A206" s="10">
        <v>1140</v>
      </c>
      <c r="B206" s="10" t="s">
        <v>341</v>
      </c>
      <c r="C206" s="10" t="s">
        <v>243</v>
      </c>
      <c r="D206" s="10" t="s">
        <v>23</v>
      </c>
      <c r="E206" s="10" t="b">
        <v>0</v>
      </c>
      <c r="F206" s="10" t="s">
        <v>25</v>
      </c>
      <c r="H206" s="11">
        <v>46119</v>
      </c>
    </row>
    <row r="207" spans="1:8">
      <c r="A207" s="10">
        <v>989</v>
      </c>
      <c r="B207" s="10" t="s">
        <v>342</v>
      </c>
      <c r="C207" s="10" t="s">
        <v>343</v>
      </c>
      <c r="D207" s="10" t="s">
        <v>23</v>
      </c>
      <c r="E207" s="10" t="b">
        <v>0</v>
      </c>
      <c r="F207" s="10" t="s">
        <v>27</v>
      </c>
      <c r="G207" s="10">
        <v>3</v>
      </c>
      <c r="H207" s="11">
        <v>46119</v>
      </c>
    </row>
    <row r="208" spans="1:8">
      <c r="A208" s="10">
        <v>1417</v>
      </c>
      <c r="B208" s="10" t="s">
        <v>344</v>
      </c>
      <c r="C208" s="10" t="s">
        <v>345</v>
      </c>
      <c r="D208" s="10" t="s">
        <v>23</v>
      </c>
      <c r="E208" s="10" t="b">
        <v>1</v>
      </c>
      <c r="F208" s="10" t="s">
        <v>27</v>
      </c>
      <c r="G208" s="10">
        <v>17</v>
      </c>
      <c r="H208" s="11">
        <v>46119</v>
      </c>
    </row>
    <row r="209" spans="1:8">
      <c r="A209" s="10">
        <v>52</v>
      </c>
      <c r="B209" s="10" t="s">
        <v>346</v>
      </c>
      <c r="C209" s="10" t="s">
        <v>192</v>
      </c>
      <c r="D209" s="10" t="s">
        <v>23</v>
      </c>
      <c r="E209" s="10" t="b">
        <v>0</v>
      </c>
      <c r="F209" s="10" t="s">
        <v>25</v>
      </c>
      <c r="H209" s="11">
        <v>46119</v>
      </c>
    </row>
    <row r="210" spans="1:8">
      <c r="A210" s="10">
        <v>62</v>
      </c>
      <c r="B210" s="10" t="s">
        <v>344</v>
      </c>
      <c r="C210" s="10" t="s">
        <v>234</v>
      </c>
      <c r="D210" s="10" t="s">
        <v>23</v>
      </c>
      <c r="E210" s="10" t="b">
        <v>0</v>
      </c>
      <c r="F210" s="10" t="s">
        <v>27</v>
      </c>
      <c r="G210" s="10">
        <v>4</v>
      </c>
      <c r="H210" s="11">
        <v>46119</v>
      </c>
    </row>
    <row r="211" spans="1:8">
      <c r="A211" s="10">
        <v>930</v>
      </c>
      <c r="B211" s="10" t="s">
        <v>347</v>
      </c>
      <c r="C211" s="10" t="s">
        <v>348</v>
      </c>
      <c r="D211" s="10" t="s">
        <v>23</v>
      </c>
      <c r="E211" s="10" t="b">
        <v>1</v>
      </c>
      <c r="F211" s="10" t="s">
        <v>27</v>
      </c>
      <c r="G211" s="10">
        <v>6</v>
      </c>
      <c r="H211" s="11">
        <v>46119</v>
      </c>
    </row>
    <row r="212" spans="1:8">
      <c r="A212" s="10">
        <v>744</v>
      </c>
      <c r="B212" s="10" t="s">
        <v>350</v>
      </c>
      <c r="C212" s="10" t="s">
        <v>351</v>
      </c>
      <c r="D212" s="10" t="s">
        <v>23</v>
      </c>
      <c r="E212" s="10" t="b">
        <v>0</v>
      </c>
      <c r="F212" s="10" t="s">
        <v>27</v>
      </c>
      <c r="G212" s="10">
        <v>28</v>
      </c>
      <c r="H212" s="11">
        <v>46119</v>
      </c>
    </row>
    <row r="213" spans="1:8">
      <c r="A213" s="10">
        <v>337</v>
      </c>
      <c r="B213" s="10" t="s">
        <v>352</v>
      </c>
      <c r="C213" s="10" t="s">
        <v>179</v>
      </c>
      <c r="D213" s="10" t="s">
        <v>23</v>
      </c>
      <c r="E213" s="10" t="b">
        <v>1</v>
      </c>
      <c r="F213" s="10" t="s">
        <v>27</v>
      </c>
      <c r="G213" s="10">
        <v>21</v>
      </c>
      <c r="H213" s="11">
        <v>46119</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4"/>
  <sheetViews>
    <sheetView workbookViewId="0"/>
    <sheetView workbookViewId="1"/>
  </sheetViews>
  <sheetFormatPr defaultColWidth="9" defaultRowHeight="14.25"/>
  <cols>
    <col min="1" max="7" width="9" style="12"/>
    <col min="8" max="8" width="10.19921875" style="12" bestFit="1" customWidth="1"/>
    <col min="9" max="16384" width="9" style="12"/>
  </cols>
  <sheetData>
    <row r="1" spans="1:8">
      <c r="A1" s="12" t="s">
        <v>13</v>
      </c>
      <c r="B1" s="12" t="s">
        <v>14</v>
      </c>
      <c r="C1" s="12" t="s">
        <v>15</v>
      </c>
      <c r="D1" s="12" t="s">
        <v>16</v>
      </c>
      <c r="E1" s="12" t="s">
        <v>17</v>
      </c>
      <c r="F1" s="12" t="s">
        <v>18</v>
      </c>
      <c r="G1" s="12" t="s">
        <v>19</v>
      </c>
      <c r="H1" s="12" t="s">
        <v>20</v>
      </c>
    </row>
    <row r="2" spans="1:8">
      <c r="A2" s="12">
        <v>1327</v>
      </c>
      <c r="B2" s="12" t="s">
        <v>21</v>
      </c>
      <c r="C2" s="12" t="s">
        <v>22</v>
      </c>
      <c r="D2" s="12" t="s">
        <v>23</v>
      </c>
      <c r="E2" s="12" t="b">
        <v>0</v>
      </c>
      <c r="F2" s="12" t="s">
        <v>25</v>
      </c>
      <c r="H2" s="13">
        <v>46119</v>
      </c>
    </row>
    <row r="3" spans="1:8">
      <c r="A3" s="12">
        <v>1237</v>
      </c>
      <c r="B3" s="12" t="s">
        <v>21</v>
      </c>
      <c r="C3" s="12" t="s">
        <v>26</v>
      </c>
      <c r="D3" s="12" t="s">
        <v>23</v>
      </c>
      <c r="E3" s="12" t="b">
        <v>0</v>
      </c>
      <c r="F3" s="12" t="s">
        <v>27</v>
      </c>
      <c r="G3" s="12">
        <v>1</v>
      </c>
      <c r="H3" s="13">
        <v>46119</v>
      </c>
    </row>
    <row r="4" spans="1:8">
      <c r="A4" s="12">
        <v>819</v>
      </c>
      <c r="B4" s="12" t="s">
        <v>28</v>
      </c>
      <c r="C4" s="12" t="s">
        <v>29</v>
      </c>
      <c r="D4" s="12" t="s">
        <v>23</v>
      </c>
      <c r="E4" s="12" t="b">
        <v>1</v>
      </c>
      <c r="F4" s="12" t="s">
        <v>27</v>
      </c>
      <c r="G4" s="12">
        <v>23</v>
      </c>
      <c r="H4" s="13">
        <v>46119</v>
      </c>
    </row>
    <row r="5" spans="1:8">
      <c r="A5" s="12">
        <v>2</v>
      </c>
      <c r="B5" s="12" t="s">
        <v>31</v>
      </c>
      <c r="C5" s="12" t="s">
        <v>32</v>
      </c>
      <c r="D5" s="12" t="s">
        <v>23</v>
      </c>
      <c r="E5" s="12" t="b">
        <v>0</v>
      </c>
      <c r="F5" s="12" t="s">
        <v>27</v>
      </c>
      <c r="G5" s="12">
        <v>21</v>
      </c>
      <c r="H5" s="13">
        <v>46119</v>
      </c>
    </row>
    <row r="6" spans="1:8">
      <c r="A6" s="12">
        <v>1370</v>
      </c>
      <c r="B6" s="12" t="s">
        <v>33</v>
      </c>
      <c r="C6" s="12" t="s">
        <v>34</v>
      </c>
      <c r="D6" s="12" t="s">
        <v>23</v>
      </c>
      <c r="E6" s="12" t="b">
        <v>0</v>
      </c>
      <c r="F6" s="12" t="s">
        <v>27</v>
      </c>
      <c r="G6" s="12">
        <v>4</v>
      </c>
      <c r="H6" s="13">
        <v>46119</v>
      </c>
    </row>
    <row r="7" spans="1:8">
      <c r="A7" s="12">
        <v>1415</v>
      </c>
      <c r="B7" s="12" t="s">
        <v>33</v>
      </c>
      <c r="C7" s="12" t="s">
        <v>22</v>
      </c>
      <c r="D7" s="12" t="s">
        <v>23</v>
      </c>
      <c r="E7" s="12" t="b">
        <v>0</v>
      </c>
      <c r="F7" s="12" t="s">
        <v>35</v>
      </c>
      <c r="H7" s="13">
        <v>46119</v>
      </c>
    </row>
    <row r="8" spans="1:8">
      <c r="A8" s="12">
        <v>1286</v>
      </c>
      <c r="B8" s="12" t="s">
        <v>36</v>
      </c>
      <c r="C8" s="12" t="s">
        <v>34</v>
      </c>
      <c r="D8" s="12" t="s">
        <v>23</v>
      </c>
      <c r="E8" s="12" t="b">
        <v>0</v>
      </c>
      <c r="F8" s="12" t="s">
        <v>27</v>
      </c>
      <c r="G8" s="12">
        <v>13</v>
      </c>
      <c r="H8" s="13">
        <v>46119</v>
      </c>
    </row>
    <row r="9" spans="1:8">
      <c r="A9" s="12">
        <v>1381</v>
      </c>
      <c r="B9" s="12" t="s">
        <v>36</v>
      </c>
      <c r="C9" s="12" t="s">
        <v>37</v>
      </c>
      <c r="D9" s="12" t="s">
        <v>23</v>
      </c>
      <c r="E9" s="12" t="b">
        <v>0</v>
      </c>
      <c r="F9" s="12" t="s">
        <v>25</v>
      </c>
      <c r="H9" s="13">
        <v>46119</v>
      </c>
    </row>
    <row r="10" spans="1:8">
      <c r="A10" s="12">
        <v>1112</v>
      </c>
      <c r="B10" s="12" t="s">
        <v>38</v>
      </c>
      <c r="C10" s="12" t="s">
        <v>39</v>
      </c>
      <c r="D10" s="12" t="s">
        <v>23</v>
      </c>
      <c r="E10" s="12" t="b">
        <v>0</v>
      </c>
      <c r="F10" s="12" t="s">
        <v>27</v>
      </c>
      <c r="G10" s="12">
        <v>16</v>
      </c>
      <c r="H10" s="13">
        <v>46119</v>
      </c>
    </row>
    <row r="11" spans="1:8">
      <c r="A11" s="12">
        <v>1135</v>
      </c>
      <c r="B11" s="12" t="s">
        <v>40</v>
      </c>
      <c r="C11" s="12" t="s">
        <v>41</v>
      </c>
      <c r="D11" s="12" t="s">
        <v>23</v>
      </c>
      <c r="E11" s="12" t="b">
        <v>0</v>
      </c>
      <c r="F11" s="12" t="s">
        <v>27</v>
      </c>
      <c r="G11" s="12">
        <v>1</v>
      </c>
      <c r="H11" s="13">
        <v>46119</v>
      </c>
    </row>
    <row r="12" spans="1:8">
      <c r="A12" s="12">
        <v>982</v>
      </c>
      <c r="B12" s="12" t="s">
        <v>42</v>
      </c>
      <c r="C12" s="12" t="s">
        <v>32</v>
      </c>
      <c r="D12" s="12" t="s">
        <v>23</v>
      </c>
      <c r="E12" s="12" t="b">
        <v>0</v>
      </c>
      <c r="F12" s="12" t="s">
        <v>27</v>
      </c>
      <c r="G12" s="12">
        <v>22</v>
      </c>
      <c r="H12" s="13">
        <v>46119</v>
      </c>
    </row>
    <row r="13" spans="1:8">
      <c r="A13" s="12">
        <v>1328</v>
      </c>
      <c r="B13" s="12" t="s">
        <v>43</v>
      </c>
      <c r="C13" s="12" t="s">
        <v>44</v>
      </c>
      <c r="D13" s="12" t="s">
        <v>23</v>
      </c>
      <c r="E13" s="12" t="b">
        <v>0</v>
      </c>
      <c r="F13" s="12" t="s">
        <v>27</v>
      </c>
      <c r="G13" s="12">
        <v>4</v>
      </c>
      <c r="H13" s="13">
        <v>46119</v>
      </c>
    </row>
    <row r="14" spans="1:8">
      <c r="A14" s="12">
        <v>369</v>
      </c>
      <c r="B14" s="12" t="s">
        <v>45</v>
      </c>
      <c r="C14" s="12" t="s">
        <v>46</v>
      </c>
      <c r="D14" s="12" t="s">
        <v>23</v>
      </c>
      <c r="E14" s="12" t="b">
        <v>0</v>
      </c>
      <c r="F14" s="12" t="s">
        <v>27</v>
      </c>
      <c r="G14" s="12">
        <v>8</v>
      </c>
      <c r="H14" s="13">
        <v>46119</v>
      </c>
    </row>
    <row r="15" spans="1:8">
      <c r="A15" s="12">
        <v>7</v>
      </c>
      <c r="B15" s="12" t="s">
        <v>45</v>
      </c>
      <c r="C15" s="12" t="s">
        <v>47</v>
      </c>
      <c r="D15" s="12" t="s">
        <v>48</v>
      </c>
      <c r="E15" s="12" t="b">
        <v>0</v>
      </c>
      <c r="F15" s="12" t="s">
        <v>27</v>
      </c>
      <c r="G15" s="12">
        <v>32</v>
      </c>
      <c r="H15" s="13">
        <v>46119</v>
      </c>
    </row>
    <row r="16" spans="1:8">
      <c r="A16" s="12">
        <v>473</v>
      </c>
      <c r="B16" s="12" t="s">
        <v>45</v>
      </c>
      <c r="C16" s="12" t="s">
        <v>49</v>
      </c>
      <c r="D16" s="12" t="s">
        <v>48</v>
      </c>
      <c r="E16" s="12" t="b">
        <v>0</v>
      </c>
      <c r="F16" s="12" t="s">
        <v>27</v>
      </c>
      <c r="G16" s="12">
        <v>33</v>
      </c>
      <c r="H16" s="13">
        <v>46119</v>
      </c>
    </row>
    <row r="17" spans="1:8">
      <c r="A17" s="12">
        <v>1384</v>
      </c>
      <c r="B17" s="12" t="s">
        <v>50</v>
      </c>
      <c r="C17" s="12" t="s">
        <v>51</v>
      </c>
      <c r="D17" s="12" t="s">
        <v>23</v>
      </c>
      <c r="E17" s="12" t="b">
        <v>0</v>
      </c>
      <c r="F17" s="12" t="s">
        <v>27</v>
      </c>
      <c r="G17" s="12">
        <v>30</v>
      </c>
      <c r="H17" s="13">
        <v>46119</v>
      </c>
    </row>
    <row r="18" spans="1:8">
      <c r="A18" s="12">
        <v>1348</v>
      </c>
      <c r="B18" s="12" t="s">
        <v>52</v>
      </c>
      <c r="C18" s="12" t="s">
        <v>53</v>
      </c>
      <c r="D18" s="12" t="s">
        <v>54</v>
      </c>
      <c r="E18" s="12" t="b">
        <v>1</v>
      </c>
      <c r="F18" s="12" t="s">
        <v>25</v>
      </c>
      <c r="H18" s="13">
        <v>46119</v>
      </c>
    </row>
    <row r="19" spans="1:8">
      <c r="A19" s="12">
        <v>1275</v>
      </c>
      <c r="B19" s="12" t="s">
        <v>52</v>
      </c>
      <c r="C19" s="12" t="s">
        <v>55</v>
      </c>
      <c r="D19" s="12" t="s">
        <v>23</v>
      </c>
      <c r="E19" s="12" t="b">
        <v>1</v>
      </c>
      <c r="F19" s="12" t="s">
        <v>35</v>
      </c>
      <c r="H19" s="13">
        <v>46119</v>
      </c>
    </row>
    <row r="20" spans="1:8">
      <c r="A20" s="12">
        <v>68</v>
      </c>
      <c r="B20" s="12" t="s">
        <v>56</v>
      </c>
      <c r="C20" s="12" t="s">
        <v>57</v>
      </c>
      <c r="D20" s="12" t="s">
        <v>48</v>
      </c>
      <c r="E20" s="12" t="b">
        <v>0</v>
      </c>
      <c r="F20" s="12" t="s">
        <v>27</v>
      </c>
      <c r="G20" s="12">
        <v>35</v>
      </c>
      <c r="H20" s="13">
        <v>46119</v>
      </c>
    </row>
    <row r="21" spans="1:8">
      <c r="A21" s="12">
        <v>1035</v>
      </c>
      <c r="B21" s="12" t="s">
        <v>58</v>
      </c>
      <c r="C21" s="12" t="s">
        <v>59</v>
      </c>
      <c r="D21" s="12" t="s">
        <v>23</v>
      </c>
      <c r="E21" s="12" t="b">
        <v>0</v>
      </c>
      <c r="F21" s="12" t="s">
        <v>27</v>
      </c>
      <c r="G21" s="12">
        <v>6</v>
      </c>
      <c r="H21" s="13">
        <v>46119</v>
      </c>
    </row>
    <row r="22" spans="1:8">
      <c r="A22" s="12">
        <v>1416</v>
      </c>
      <c r="B22" s="12" t="s">
        <v>60</v>
      </c>
      <c r="C22" s="12" t="s">
        <v>61</v>
      </c>
      <c r="D22" s="12" t="s">
        <v>23</v>
      </c>
      <c r="E22" s="12" t="b">
        <v>0</v>
      </c>
      <c r="F22" s="12" t="s">
        <v>25</v>
      </c>
      <c r="H22" s="13">
        <v>46119</v>
      </c>
    </row>
    <row r="23" spans="1:8">
      <c r="A23" s="12">
        <v>1326</v>
      </c>
      <c r="B23" s="12" t="s">
        <v>62</v>
      </c>
      <c r="C23" s="12" t="s">
        <v>63</v>
      </c>
      <c r="D23" s="12" t="s">
        <v>23</v>
      </c>
      <c r="E23" s="12" t="b">
        <v>1</v>
      </c>
      <c r="F23" s="12" t="s">
        <v>25</v>
      </c>
      <c r="H23" s="13">
        <v>46119</v>
      </c>
    </row>
    <row r="24" spans="1:8">
      <c r="A24" s="12">
        <v>477</v>
      </c>
      <c r="B24" s="12" t="s">
        <v>64</v>
      </c>
      <c r="C24" s="12" t="s">
        <v>65</v>
      </c>
      <c r="D24" s="12" t="s">
        <v>23</v>
      </c>
      <c r="E24" s="12" t="b">
        <v>1</v>
      </c>
      <c r="F24" s="12" t="s">
        <v>27</v>
      </c>
      <c r="G24" s="12">
        <v>34</v>
      </c>
      <c r="H24" s="13">
        <v>46119</v>
      </c>
    </row>
    <row r="25" spans="1:8">
      <c r="A25" s="12">
        <v>10</v>
      </c>
      <c r="B25" s="12" t="s">
        <v>64</v>
      </c>
      <c r="C25" s="12" t="s">
        <v>66</v>
      </c>
      <c r="D25" s="12" t="s">
        <v>48</v>
      </c>
      <c r="E25" s="12" t="b">
        <v>0</v>
      </c>
      <c r="F25" s="12" t="s">
        <v>27</v>
      </c>
      <c r="G25" s="12">
        <v>35</v>
      </c>
      <c r="H25" s="13">
        <v>46119</v>
      </c>
    </row>
    <row r="26" spans="1:8">
      <c r="A26" s="12">
        <v>1414</v>
      </c>
      <c r="B26" s="12" t="s">
        <v>67</v>
      </c>
      <c r="C26" s="12" t="s">
        <v>36</v>
      </c>
      <c r="D26" s="12" t="s">
        <v>23</v>
      </c>
      <c r="E26" s="12" t="b">
        <v>0</v>
      </c>
      <c r="F26" s="12" t="s">
        <v>27</v>
      </c>
      <c r="G26" s="12">
        <v>13</v>
      </c>
      <c r="H26" s="13">
        <v>46119</v>
      </c>
    </row>
    <row r="27" spans="1:8">
      <c r="A27" s="12">
        <v>1029</v>
      </c>
      <c r="B27" s="12" t="s">
        <v>68</v>
      </c>
      <c r="C27" s="12" t="s">
        <v>69</v>
      </c>
      <c r="D27" s="12" t="s">
        <v>23</v>
      </c>
      <c r="E27" s="12" t="b">
        <v>0</v>
      </c>
      <c r="F27" s="12" t="s">
        <v>27</v>
      </c>
      <c r="G27" s="12">
        <v>28</v>
      </c>
      <c r="H27" s="13">
        <v>46119</v>
      </c>
    </row>
    <row r="28" spans="1:8">
      <c r="A28" s="12">
        <v>13</v>
      </c>
      <c r="B28" s="12" t="s">
        <v>70</v>
      </c>
      <c r="C28" s="12" t="s">
        <v>51</v>
      </c>
      <c r="D28" s="12" t="s">
        <v>23</v>
      </c>
      <c r="E28" s="12" t="b">
        <v>0</v>
      </c>
      <c r="F28" s="12" t="s">
        <v>27</v>
      </c>
      <c r="G28" s="12">
        <v>28</v>
      </c>
      <c r="H28" s="13">
        <v>46119</v>
      </c>
    </row>
    <row r="29" spans="1:8">
      <c r="A29" s="12">
        <v>1255</v>
      </c>
      <c r="B29" s="12" t="s">
        <v>71</v>
      </c>
      <c r="C29" s="12" t="s">
        <v>72</v>
      </c>
      <c r="D29" s="12" t="s">
        <v>23</v>
      </c>
      <c r="E29" s="12" t="b">
        <v>1</v>
      </c>
      <c r="F29" s="12" t="s">
        <v>27</v>
      </c>
      <c r="G29" s="12">
        <v>13</v>
      </c>
      <c r="H29" s="13">
        <v>46119</v>
      </c>
    </row>
    <row r="30" spans="1:8">
      <c r="A30" s="12">
        <v>1405</v>
      </c>
      <c r="B30" s="12" t="s">
        <v>73</v>
      </c>
      <c r="C30" s="12" t="s">
        <v>74</v>
      </c>
      <c r="D30" s="12" t="s">
        <v>23</v>
      </c>
      <c r="E30" s="12" t="b">
        <v>1</v>
      </c>
      <c r="F30" s="12" t="s">
        <v>35</v>
      </c>
      <c r="H30" s="13">
        <v>46119</v>
      </c>
    </row>
    <row r="31" spans="1:8">
      <c r="A31" s="12">
        <v>1418</v>
      </c>
      <c r="B31" s="12" t="s">
        <v>75</v>
      </c>
      <c r="C31" s="12" t="s">
        <v>22</v>
      </c>
      <c r="D31" s="12" t="s">
        <v>23</v>
      </c>
      <c r="E31" s="12" t="b">
        <v>0</v>
      </c>
      <c r="F31" s="12" t="s">
        <v>25</v>
      </c>
      <c r="H31" s="13">
        <v>46119</v>
      </c>
    </row>
    <row r="32" spans="1:8">
      <c r="A32" s="12">
        <v>919</v>
      </c>
      <c r="B32" s="12" t="s">
        <v>77</v>
      </c>
      <c r="C32" s="12" t="s">
        <v>51</v>
      </c>
      <c r="D32" s="12" t="s">
        <v>23</v>
      </c>
      <c r="E32" s="12" t="b">
        <v>0</v>
      </c>
      <c r="F32" s="12" t="s">
        <v>27</v>
      </c>
      <c r="G32" s="12">
        <v>16</v>
      </c>
      <c r="H32" s="13">
        <v>46119</v>
      </c>
    </row>
    <row r="33" spans="1:8">
      <c r="A33" s="12">
        <v>1319</v>
      </c>
      <c r="B33" s="12" t="s">
        <v>78</v>
      </c>
      <c r="C33" s="12" t="s">
        <v>32</v>
      </c>
      <c r="D33" s="12" t="s">
        <v>23</v>
      </c>
      <c r="E33" s="12" t="b">
        <v>0</v>
      </c>
      <c r="F33" s="12" t="s">
        <v>27</v>
      </c>
      <c r="G33" s="12">
        <v>9</v>
      </c>
      <c r="H33" s="13">
        <v>46119</v>
      </c>
    </row>
    <row r="34" spans="1:8">
      <c r="A34" s="12">
        <v>1389</v>
      </c>
      <c r="B34" s="12" t="s">
        <v>79</v>
      </c>
      <c r="C34" s="12" t="s">
        <v>80</v>
      </c>
      <c r="D34" s="12" t="s">
        <v>23</v>
      </c>
      <c r="E34" s="12" t="b">
        <v>0</v>
      </c>
      <c r="F34" s="12" t="s">
        <v>25</v>
      </c>
      <c r="H34" s="13">
        <v>46119</v>
      </c>
    </row>
    <row r="35" spans="1:8">
      <c r="A35" s="12">
        <v>940</v>
      </c>
      <c r="B35" s="12" t="s">
        <v>81</v>
      </c>
      <c r="C35" s="12" t="s">
        <v>82</v>
      </c>
      <c r="D35" s="12" t="s">
        <v>23</v>
      </c>
      <c r="E35" s="12" t="b">
        <v>1</v>
      </c>
      <c r="F35" s="12" t="s">
        <v>27</v>
      </c>
      <c r="G35" s="12">
        <v>9</v>
      </c>
      <c r="H35" s="13">
        <v>46119</v>
      </c>
    </row>
    <row r="36" spans="1:8">
      <c r="A36" s="12">
        <v>806</v>
      </c>
      <c r="B36" s="12" t="s">
        <v>81</v>
      </c>
      <c r="C36" s="12" t="s">
        <v>83</v>
      </c>
      <c r="D36" s="12" t="s">
        <v>23</v>
      </c>
      <c r="E36" s="12" t="b">
        <v>0</v>
      </c>
      <c r="F36" s="12" t="s">
        <v>27</v>
      </c>
      <c r="G36" s="12">
        <v>11</v>
      </c>
      <c r="H36" s="13">
        <v>46119</v>
      </c>
    </row>
    <row r="37" spans="1:8">
      <c r="A37" s="12">
        <v>482</v>
      </c>
      <c r="B37" s="12" t="s">
        <v>84</v>
      </c>
      <c r="C37" s="12" t="s">
        <v>85</v>
      </c>
      <c r="D37" s="12" t="s">
        <v>23</v>
      </c>
      <c r="E37" s="12" t="b">
        <v>0</v>
      </c>
      <c r="F37" s="12" t="s">
        <v>27</v>
      </c>
      <c r="G37" s="12">
        <v>13</v>
      </c>
      <c r="H37" s="13">
        <v>46119</v>
      </c>
    </row>
    <row r="38" spans="1:8">
      <c r="A38" s="12">
        <v>674</v>
      </c>
      <c r="B38" s="12" t="s">
        <v>86</v>
      </c>
      <c r="C38" s="12" t="s">
        <v>87</v>
      </c>
      <c r="D38" s="12" t="s">
        <v>54</v>
      </c>
      <c r="E38" s="12" t="b">
        <v>1</v>
      </c>
      <c r="F38" s="12" t="s">
        <v>27</v>
      </c>
      <c r="G38" s="12">
        <v>23</v>
      </c>
      <c r="H38" s="13">
        <v>46119</v>
      </c>
    </row>
    <row r="39" spans="1:8">
      <c r="A39" s="12">
        <v>1061</v>
      </c>
      <c r="B39" s="12" t="s">
        <v>88</v>
      </c>
      <c r="C39" s="12" t="s">
        <v>89</v>
      </c>
      <c r="D39" s="12" t="s">
        <v>23</v>
      </c>
      <c r="E39" s="12" t="b">
        <v>0</v>
      </c>
      <c r="F39" s="12" t="s">
        <v>27</v>
      </c>
      <c r="G39" s="12">
        <v>19</v>
      </c>
      <c r="H39" s="13">
        <v>46119</v>
      </c>
    </row>
    <row r="40" spans="1:8">
      <c r="A40" s="12">
        <v>763</v>
      </c>
      <c r="B40" s="12" t="s">
        <v>90</v>
      </c>
      <c r="C40" s="12" t="s">
        <v>59</v>
      </c>
      <c r="D40" s="12" t="s">
        <v>23</v>
      </c>
      <c r="E40" s="12" t="b">
        <v>0</v>
      </c>
      <c r="F40" s="12" t="s">
        <v>27</v>
      </c>
      <c r="G40" s="12">
        <v>17</v>
      </c>
      <c r="H40" s="13">
        <v>46119</v>
      </c>
    </row>
    <row r="41" spans="1:8">
      <c r="A41" s="12">
        <v>1227</v>
      </c>
      <c r="B41" s="12" t="s">
        <v>91</v>
      </c>
      <c r="C41" s="12" t="s">
        <v>92</v>
      </c>
      <c r="D41" s="12" t="s">
        <v>23</v>
      </c>
      <c r="E41" s="12" t="b">
        <v>1</v>
      </c>
      <c r="F41" s="12" t="s">
        <v>27</v>
      </c>
      <c r="G41" s="12">
        <v>8</v>
      </c>
      <c r="H41" s="13">
        <v>46119</v>
      </c>
    </row>
    <row r="42" spans="1:8">
      <c r="A42" s="12">
        <v>715</v>
      </c>
      <c r="B42" s="12" t="s">
        <v>93</v>
      </c>
      <c r="C42" s="12" t="s">
        <v>94</v>
      </c>
      <c r="D42" s="12" t="s">
        <v>23</v>
      </c>
      <c r="E42" s="12" t="b">
        <v>0</v>
      </c>
      <c r="F42" s="12" t="s">
        <v>27</v>
      </c>
      <c r="G42" s="12">
        <v>5</v>
      </c>
      <c r="H42" s="13">
        <v>46119</v>
      </c>
    </row>
    <row r="43" spans="1:8">
      <c r="A43" s="12">
        <v>567</v>
      </c>
      <c r="B43" s="12" t="s">
        <v>95</v>
      </c>
      <c r="C43" s="12" t="s">
        <v>96</v>
      </c>
      <c r="D43" s="12" t="s">
        <v>23</v>
      </c>
      <c r="E43" s="12" t="b">
        <v>0</v>
      </c>
      <c r="F43" s="12" t="s">
        <v>27</v>
      </c>
      <c r="G43" s="12">
        <v>7</v>
      </c>
      <c r="H43" s="13">
        <v>46119</v>
      </c>
    </row>
    <row r="44" spans="1:8">
      <c r="A44" s="12">
        <v>1391</v>
      </c>
      <c r="B44" s="12" t="s">
        <v>97</v>
      </c>
      <c r="C44" s="12" t="s">
        <v>98</v>
      </c>
      <c r="D44" s="12" t="s">
        <v>23</v>
      </c>
      <c r="E44" s="12" t="b">
        <v>1</v>
      </c>
      <c r="F44" s="12" t="s">
        <v>25</v>
      </c>
      <c r="H44" s="13">
        <v>46119</v>
      </c>
    </row>
    <row r="45" spans="1:8">
      <c r="A45" s="12">
        <v>704</v>
      </c>
      <c r="B45" s="12" t="s">
        <v>99</v>
      </c>
      <c r="C45" s="12" t="s">
        <v>100</v>
      </c>
      <c r="D45" s="12" t="s">
        <v>23</v>
      </c>
      <c r="E45" s="12" t="b">
        <v>0</v>
      </c>
      <c r="F45" s="12" t="s">
        <v>27</v>
      </c>
      <c r="G45" s="12">
        <v>21</v>
      </c>
      <c r="H45" s="13">
        <v>46119</v>
      </c>
    </row>
    <row r="46" spans="1:8">
      <c r="A46" s="12">
        <v>1283</v>
      </c>
      <c r="B46" s="12" t="s">
        <v>101</v>
      </c>
      <c r="C46" s="12" t="s">
        <v>102</v>
      </c>
      <c r="D46" s="12" t="s">
        <v>23</v>
      </c>
      <c r="E46" s="12" t="b">
        <v>0</v>
      </c>
      <c r="F46" s="12" t="s">
        <v>27</v>
      </c>
      <c r="G46" s="12">
        <v>18</v>
      </c>
      <c r="H46" s="13">
        <v>46119</v>
      </c>
    </row>
    <row r="47" spans="1:8">
      <c r="A47" s="12">
        <v>295</v>
      </c>
      <c r="B47" s="12" t="s">
        <v>103</v>
      </c>
      <c r="C47" s="12" t="s">
        <v>104</v>
      </c>
      <c r="D47" s="12" t="s">
        <v>23</v>
      </c>
      <c r="E47" s="12" t="b">
        <v>0</v>
      </c>
      <c r="F47" s="12" t="s">
        <v>27</v>
      </c>
      <c r="G47" s="12">
        <v>15</v>
      </c>
      <c r="H47" s="13">
        <v>46119</v>
      </c>
    </row>
    <row r="48" spans="1:8">
      <c r="A48" s="12">
        <v>1226</v>
      </c>
      <c r="B48" s="12" t="s">
        <v>105</v>
      </c>
      <c r="C48" s="12" t="s">
        <v>106</v>
      </c>
      <c r="D48" s="12" t="s">
        <v>23</v>
      </c>
      <c r="E48" s="12" t="b">
        <v>1</v>
      </c>
      <c r="F48" s="12" t="s">
        <v>25</v>
      </c>
      <c r="H48" s="13">
        <v>46119</v>
      </c>
    </row>
    <row r="49" spans="1:8">
      <c r="A49" s="12">
        <v>1185</v>
      </c>
      <c r="B49" s="12" t="s">
        <v>109</v>
      </c>
      <c r="C49" s="12" t="s">
        <v>110</v>
      </c>
      <c r="D49" s="12" t="s">
        <v>23</v>
      </c>
      <c r="E49" s="12" t="b">
        <v>1</v>
      </c>
      <c r="F49" s="12" t="s">
        <v>35</v>
      </c>
      <c r="H49" s="13">
        <v>46119</v>
      </c>
    </row>
    <row r="50" spans="1:8">
      <c r="A50" s="12">
        <v>1065</v>
      </c>
      <c r="B50" s="12" t="s">
        <v>109</v>
      </c>
      <c r="C50" s="12" t="s">
        <v>41</v>
      </c>
      <c r="D50" s="12" t="s">
        <v>23</v>
      </c>
      <c r="E50" s="12" t="b">
        <v>0</v>
      </c>
      <c r="F50" s="12" t="s">
        <v>27</v>
      </c>
      <c r="G50" s="12">
        <v>1</v>
      </c>
      <c r="H50" s="13">
        <v>46119</v>
      </c>
    </row>
    <row r="51" spans="1:8">
      <c r="A51" s="12">
        <v>1407</v>
      </c>
      <c r="B51" s="12" t="s">
        <v>111</v>
      </c>
      <c r="C51" s="12" t="s">
        <v>112</v>
      </c>
      <c r="D51" s="12" t="s">
        <v>23</v>
      </c>
      <c r="E51" s="12" t="b">
        <v>0</v>
      </c>
      <c r="F51" s="12" t="s">
        <v>25</v>
      </c>
      <c r="H51" s="13">
        <v>46119</v>
      </c>
    </row>
    <row r="52" spans="1:8">
      <c r="A52" s="12">
        <v>1096</v>
      </c>
      <c r="B52" s="12" t="s">
        <v>113</v>
      </c>
      <c r="C52" s="12" t="s">
        <v>114</v>
      </c>
      <c r="D52" s="12" t="s">
        <v>23</v>
      </c>
      <c r="E52" s="12" t="b">
        <v>0</v>
      </c>
      <c r="F52" s="12" t="s">
        <v>35</v>
      </c>
      <c r="H52" s="13">
        <v>46119</v>
      </c>
    </row>
    <row r="53" spans="1:8">
      <c r="A53" s="12">
        <v>1236</v>
      </c>
      <c r="B53" s="12" t="s">
        <v>113</v>
      </c>
      <c r="C53" s="12" t="s">
        <v>115</v>
      </c>
      <c r="D53" s="12" t="s">
        <v>23</v>
      </c>
      <c r="E53" s="12" t="b">
        <v>1</v>
      </c>
      <c r="F53" s="12" t="s">
        <v>27</v>
      </c>
      <c r="G53" s="12">
        <v>5</v>
      </c>
      <c r="H53" s="13">
        <v>46119</v>
      </c>
    </row>
    <row r="54" spans="1:8">
      <c r="A54" s="12">
        <v>699</v>
      </c>
      <c r="B54" s="12" t="s">
        <v>113</v>
      </c>
      <c r="C54" s="12" t="s">
        <v>116</v>
      </c>
      <c r="D54" s="12" t="s">
        <v>23</v>
      </c>
      <c r="E54" s="12" t="b">
        <v>0</v>
      </c>
      <c r="F54" s="12" t="s">
        <v>27</v>
      </c>
      <c r="G54" s="12">
        <v>5</v>
      </c>
      <c r="H54" s="13">
        <v>46119</v>
      </c>
    </row>
    <row r="55" spans="1:8">
      <c r="A55" s="12">
        <v>1000</v>
      </c>
      <c r="B55" s="12" t="s">
        <v>120</v>
      </c>
      <c r="C55" s="12" t="s">
        <v>121</v>
      </c>
      <c r="D55" s="12" t="s">
        <v>23</v>
      </c>
      <c r="E55" s="12" t="b">
        <v>0</v>
      </c>
      <c r="F55" s="12" t="s">
        <v>25</v>
      </c>
      <c r="H55" s="13">
        <v>46119</v>
      </c>
    </row>
    <row r="56" spans="1:8">
      <c r="A56" s="12">
        <v>1332</v>
      </c>
      <c r="B56" s="12" t="s">
        <v>122</v>
      </c>
      <c r="C56" s="12" t="s">
        <v>123</v>
      </c>
      <c r="D56" s="12" t="s">
        <v>23</v>
      </c>
      <c r="E56" s="12" t="b">
        <v>1</v>
      </c>
      <c r="F56" s="12" t="s">
        <v>25</v>
      </c>
      <c r="H56" s="13">
        <v>46119</v>
      </c>
    </row>
    <row r="57" spans="1:8">
      <c r="A57" s="12">
        <v>682</v>
      </c>
      <c r="B57" s="12" t="s">
        <v>124</v>
      </c>
      <c r="C57" s="12" t="s">
        <v>125</v>
      </c>
      <c r="D57" s="12" t="s">
        <v>23</v>
      </c>
      <c r="E57" s="12" t="b">
        <v>0</v>
      </c>
      <c r="F57" s="12" t="s">
        <v>27</v>
      </c>
      <c r="G57" s="12">
        <v>11</v>
      </c>
      <c r="H57" s="13">
        <v>46119</v>
      </c>
    </row>
    <row r="58" spans="1:8">
      <c r="A58" s="12">
        <v>1393</v>
      </c>
      <c r="B58" s="12" t="s">
        <v>126</v>
      </c>
      <c r="C58" s="12" t="s">
        <v>127</v>
      </c>
      <c r="D58" s="12" t="s">
        <v>23</v>
      </c>
      <c r="E58" s="12" t="b">
        <v>1</v>
      </c>
      <c r="F58" s="12" t="s">
        <v>27</v>
      </c>
      <c r="G58" s="12">
        <v>10</v>
      </c>
      <c r="H58" s="13">
        <v>46119</v>
      </c>
    </row>
    <row r="59" spans="1:8">
      <c r="A59" s="12">
        <v>1355</v>
      </c>
      <c r="B59" s="12" t="s">
        <v>128</v>
      </c>
      <c r="C59" s="12" t="s">
        <v>129</v>
      </c>
      <c r="D59" s="12" t="s">
        <v>23</v>
      </c>
      <c r="E59" s="12" t="b">
        <v>0</v>
      </c>
      <c r="F59" s="12" t="s">
        <v>35</v>
      </c>
      <c r="H59" s="13">
        <v>46119</v>
      </c>
    </row>
    <row r="60" spans="1:8">
      <c r="A60" s="12">
        <v>1164</v>
      </c>
      <c r="B60" s="12" t="s">
        <v>130</v>
      </c>
      <c r="C60" s="12" t="s">
        <v>131</v>
      </c>
      <c r="D60" s="12" t="s">
        <v>54</v>
      </c>
      <c r="E60" s="12" t="b">
        <v>1</v>
      </c>
      <c r="F60" s="12" t="s">
        <v>25</v>
      </c>
      <c r="H60" s="13">
        <v>46119</v>
      </c>
    </row>
    <row r="61" spans="1:8">
      <c r="A61" s="12">
        <v>1062</v>
      </c>
      <c r="B61" s="12" t="s">
        <v>130</v>
      </c>
      <c r="C61" s="12" t="s">
        <v>83</v>
      </c>
      <c r="D61" s="12" t="s">
        <v>23</v>
      </c>
      <c r="E61" s="12" t="b">
        <v>0</v>
      </c>
      <c r="F61" s="12" t="s">
        <v>27</v>
      </c>
      <c r="G61" s="12">
        <v>9</v>
      </c>
      <c r="H61" s="13">
        <v>46119</v>
      </c>
    </row>
    <row r="62" spans="1:8">
      <c r="A62" s="12">
        <v>938</v>
      </c>
      <c r="B62" s="12" t="s">
        <v>130</v>
      </c>
      <c r="C62" s="12" t="s">
        <v>132</v>
      </c>
      <c r="D62" s="12" t="s">
        <v>23</v>
      </c>
      <c r="E62" s="12" t="b">
        <v>1</v>
      </c>
      <c r="F62" s="12" t="s">
        <v>27</v>
      </c>
      <c r="G62" s="12">
        <v>7</v>
      </c>
      <c r="H62" s="13">
        <v>46119</v>
      </c>
    </row>
    <row r="63" spans="1:8">
      <c r="A63" s="12">
        <v>1034</v>
      </c>
      <c r="B63" s="12" t="s">
        <v>134</v>
      </c>
      <c r="C63" s="12" t="s">
        <v>83</v>
      </c>
      <c r="D63" s="12" t="s">
        <v>23</v>
      </c>
      <c r="E63" s="12" t="b">
        <v>0</v>
      </c>
      <c r="F63" s="12" t="s">
        <v>25</v>
      </c>
      <c r="H63" s="13">
        <v>46119</v>
      </c>
    </row>
    <row r="64" spans="1:8">
      <c r="A64" s="12">
        <v>1402</v>
      </c>
      <c r="B64" s="12" t="s">
        <v>135</v>
      </c>
      <c r="C64" s="12" t="s">
        <v>136</v>
      </c>
      <c r="D64" s="12" t="s">
        <v>23</v>
      </c>
      <c r="E64" s="12" t="b">
        <v>0</v>
      </c>
      <c r="F64" s="12" t="s">
        <v>27</v>
      </c>
      <c r="G64" s="12">
        <v>7</v>
      </c>
      <c r="H64" s="13">
        <v>46119</v>
      </c>
    </row>
    <row r="65" spans="1:8">
      <c r="A65" s="12">
        <v>939</v>
      </c>
      <c r="B65" s="12" t="s">
        <v>137</v>
      </c>
      <c r="C65" s="12" t="s">
        <v>127</v>
      </c>
      <c r="D65" s="12" t="s">
        <v>23</v>
      </c>
      <c r="E65" s="12" t="b">
        <v>1</v>
      </c>
      <c r="F65" s="12" t="s">
        <v>27</v>
      </c>
      <c r="G65" s="12">
        <v>12</v>
      </c>
      <c r="H65" s="13">
        <v>46119</v>
      </c>
    </row>
    <row r="66" spans="1:8">
      <c r="A66" s="12">
        <v>1377</v>
      </c>
      <c r="B66" s="12" t="s">
        <v>138</v>
      </c>
      <c r="C66" s="12" t="s">
        <v>139</v>
      </c>
      <c r="D66" s="12" t="s">
        <v>23</v>
      </c>
      <c r="E66" s="12" t="b">
        <v>1</v>
      </c>
      <c r="F66" s="12" t="s">
        <v>27</v>
      </c>
      <c r="G66" s="12">
        <v>12</v>
      </c>
      <c r="H66" s="13">
        <v>46119</v>
      </c>
    </row>
    <row r="67" spans="1:8">
      <c r="A67" s="12">
        <v>1281</v>
      </c>
      <c r="B67" s="12" t="s">
        <v>140</v>
      </c>
      <c r="C67" s="12" t="s">
        <v>141</v>
      </c>
      <c r="D67" s="12" t="s">
        <v>23</v>
      </c>
      <c r="E67" s="12" t="b">
        <v>0</v>
      </c>
      <c r="F67" s="12" t="s">
        <v>27</v>
      </c>
      <c r="G67" s="12">
        <v>19</v>
      </c>
      <c r="H67" s="13">
        <v>46119</v>
      </c>
    </row>
    <row r="68" spans="1:8">
      <c r="A68" s="12">
        <v>933</v>
      </c>
      <c r="B68" s="12" t="s">
        <v>142</v>
      </c>
      <c r="C68" s="12" t="s">
        <v>143</v>
      </c>
      <c r="D68" s="12" t="s">
        <v>23</v>
      </c>
      <c r="E68" s="12" t="b">
        <v>0</v>
      </c>
      <c r="F68" s="12" t="s">
        <v>25</v>
      </c>
      <c r="H68" s="13">
        <v>46119</v>
      </c>
    </row>
    <row r="69" spans="1:8">
      <c r="A69" s="12">
        <v>1274</v>
      </c>
      <c r="B69" s="12" t="s">
        <v>144</v>
      </c>
      <c r="C69" s="12" t="s">
        <v>145</v>
      </c>
      <c r="D69" s="12" t="s">
        <v>23</v>
      </c>
      <c r="E69" s="12" t="b">
        <v>1</v>
      </c>
      <c r="F69" s="12" t="s">
        <v>25</v>
      </c>
      <c r="H69" s="13">
        <v>46119</v>
      </c>
    </row>
    <row r="70" spans="1:8">
      <c r="A70" s="12">
        <v>493</v>
      </c>
      <c r="B70" s="12" t="s">
        <v>146</v>
      </c>
      <c r="C70" s="12" t="s">
        <v>49</v>
      </c>
      <c r="D70" s="12" t="s">
        <v>48</v>
      </c>
      <c r="E70" s="12" t="b">
        <v>0</v>
      </c>
      <c r="F70" s="12" t="s">
        <v>27</v>
      </c>
      <c r="G70" s="12">
        <v>37</v>
      </c>
      <c r="H70" s="13">
        <v>46119</v>
      </c>
    </row>
    <row r="71" spans="1:8">
      <c r="A71" s="12">
        <v>1279</v>
      </c>
      <c r="B71" s="12" t="s">
        <v>147</v>
      </c>
      <c r="C71" s="12" t="s">
        <v>148</v>
      </c>
      <c r="D71" s="12" t="s">
        <v>23</v>
      </c>
      <c r="E71" s="12" t="b">
        <v>0</v>
      </c>
      <c r="F71" s="12" t="s">
        <v>27</v>
      </c>
      <c r="G71" s="12">
        <v>4</v>
      </c>
      <c r="H71" s="13">
        <v>46119</v>
      </c>
    </row>
    <row r="72" spans="1:8">
      <c r="A72" s="12">
        <v>1193</v>
      </c>
      <c r="B72" s="12" t="s">
        <v>149</v>
      </c>
      <c r="C72" s="12" t="s">
        <v>150</v>
      </c>
      <c r="D72" s="12" t="s">
        <v>23</v>
      </c>
      <c r="E72" s="12" t="b">
        <v>0</v>
      </c>
      <c r="F72" s="12" t="s">
        <v>25</v>
      </c>
      <c r="H72" s="13">
        <v>46119</v>
      </c>
    </row>
    <row r="73" spans="1:8">
      <c r="A73" s="12">
        <v>1194</v>
      </c>
      <c r="B73" s="12" t="s">
        <v>149</v>
      </c>
      <c r="C73" s="12" t="s">
        <v>151</v>
      </c>
      <c r="D73" s="12" t="s">
        <v>23</v>
      </c>
      <c r="E73" s="12" t="b">
        <v>1</v>
      </c>
      <c r="F73" s="12" t="s">
        <v>25</v>
      </c>
      <c r="H73" s="13">
        <v>46119</v>
      </c>
    </row>
    <row r="74" spans="1:8">
      <c r="A74" s="12">
        <v>1196</v>
      </c>
      <c r="B74" s="12" t="s">
        <v>149</v>
      </c>
      <c r="C74" s="12" t="s">
        <v>152</v>
      </c>
      <c r="D74" s="12" t="s">
        <v>23</v>
      </c>
      <c r="E74" s="12" t="b">
        <v>0</v>
      </c>
      <c r="F74" s="12" t="s">
        <v>35</v>
      </c>
      <c r="H74" s="13">
        <v>46119</v>
      </c>
    </row>
    <row r="75" spans="1:8">
      <c r="A75" s="12">
        <v>1195</v>
      </c>
      <c r="B75" s="12" t="s">
        <v>149</v>
      </c>
      <c r="C75" s="12" t="s">
        <v>153</v>
      </c>
      <c r="D75" s="12" t="s">
        <v>23</v>
      </c>
      <c r="E75" s="12" t="b">
        <v>0</v>
      </c>
      <c r="F75" s="12" t="s">
        <v>35</v>
      </c>
      <c r="H75" s="13">
        <v>46119</v>
      </c>
    </row>
    <row r="76" spans="1:8">
      <c r="A76" s="12">
        <v>1176</v>
      </c>
      <c r="B76" s="12" t="s">
        <v>154</v>
      </c>
      <c r="C76" s="12" t="s">
        <v>155</v>
      </c>
      <c r="D76" s="12" t="s">
        <v>23</v>
      </c>
      <c r="E76" s="12" t="b">
        <v>0</v>
      </c>
      <c r="F76" s="12" t="s">
        <v>35</v>
      </c>
      <c r="H76" s="13">
        <v>46119</v>
      </c>
    </row>
    <row r="77" spans="1:8">
      <c r="A77" s="12">
        <v>1174</v>
      </c>
      <c r="B77" s="12" t="s">
        <v>154</v>
      </c>
      <c r="C77" s="12" t="s">
        <v>156</v>
      </c>
      <c r="D77" s="12" t="s">
        <v>23</v>
      </c>
      <c r="E77" s="12" t="b">
        <v>1</v>
      </c>
      <c r="F77" s="12" t="s">
        <v>27</v>
      </c>
      <c r="G77" s="12">
        <v>6</v>
      </c>
      <c r="H77" s="13">
        <v>46119</v>
      </c>
    </row>
    <row r="78" spans="1:8">
      <c r="A78" s="12">
        <v>1175</v>
      </c>
      <c r="B78" s="12" t="s">
        <v>154</v>
      </c>
      <c r="C78" s="12" t="s">
        <v>150</v>
      </c>
      <c r="D78" s="12" t="s">
        <v>23</v>
      </c>
      <c r="E78" s="12" t="b">
        <v>0</v>
      </c>
      <c r="F78" s="12" t="s">
        <v>27</v>
      </c>
      <c r="G78" s="12">
        <v>12</v>
      </c>
      <c r="H78" s="13">
        <v>46119</v>
      </c>
    </row>
    <row r="79" spans="1:8">
      <c r="A79" s="12">
        <v>1109</v>
      </c>
      <c r="B79" s="12" t="s">
        <v>157</v>
      </c>
      <c r="C79" s="12" t="s">
        <v>104</v>
      </c>
      <c r="D79" s="12" t="s">
        <v>23</v>
      </c>
      <c r="E79" s="12" t="b">
        <v>0</v>
      </c>
      <c r="F79" s="12" t="s">
        <v>25</v>
      </c>
      <c r="H79" s="13">
        <v>46119</v>
      </c>
    </row>
    <row r="80" spans="1:8">
      <c r="A80" s="12">
        <v>1073</v>
      </c>
      <c r="B80" s="12" t="s">
        <v>158</v>
      </c>
      <c r="C80" s="12" t="s">
        <v>150</v>
      </c>
      <c r="D80" s="12" t="s">
        <v>23</v>
      </c>
      <c r="E80" s="12" t="b">
        <v>0</v>
      </c>
      <c r="F80" s="12" t="s">
        <v>27</v>
      </c>
      <c r="G80" s="12">
        <v>3</v>
      </c>
      <c r="H80" s="13">
        <v>46119</v>
      </c>
    </row>
    <row r="81" spans="1:8">
      <c r="A81" s="12">
        <v>1400</v>
      </c>
      <c r="B81" s="12" t="s">
        <v>159</v>
      </c>
      <c r="C81" s="12" t="s">
        <v>160</v>
      </c>
      <c r="D81" s="12" t="s">
        <v>23</v>
      </c>
      <c r="E81" s="12" t="b">
        <v>0</v>
      </c>
      <c r="F81" s="12" t="s">
        <v>25</v>
      </c>
      <c r="H81" s="13">
        <v>46119</v>
      </c>
    </row>
    <row r="82" spans="1:8">
      <c r="A82" s="12">
        <v>1367</v>
      </c>
      <c r="B82" s="12" t="s">
        <v>161</v>
      </c>
      <c r="C82" s="12" t="s">
        <v>152</v>
      </c>
      <c r="D82" s="12" t="s">
        <v>23</v>
      </c>
      <c r="E82" s="12" t="b">
        <v>0</v>
      </c>
      <c r="F82" s="12" t="s">
        <v>35</v>
      </c>
      <c r="H82" s="13">
        <v>46119</v>
      </c>
    </row>
    <row r="83" spans="1:8">
      <c r="A83" s="12">
        <v>1366</v>
      </c>
      <c r="B83" s="12" t="s">
        <v>161</v>
      </c>
      <c r="C83" s="12" t="s">
        <v>162</v>
      </c>
      <c r="D83" s="12" t="s">
        <v>23</v>
      </c>
      <c r="E83" s="12" t="b">
        <v>1</v>
      </c>
      <c r="F83" s="12" t="s">
        <v>25</v>
      </c>
      <c r="H83" s="13">
        <v>46119</v>
      </c>
    </row>
    <row r="84" spans="1:8">
      <c r="A84" s="12">
        <v>1365</v>
      </c>
      <c r="B84" s="12" t="s">
        <v>161</v>
      </c>
      <c r="C84" s="12" t="s">
        <v>163</v>
      </c>
      <c r="D84" s="12" t="s">
        <v>23</v>
      </c>
      <c r="E84" s="12" t="b">
        <v>1</v>
      </c>
      <c r="F84" s="12" t="s">
        <v>27</v>
      </c>
      <c r="G84" s="12">
        <v>7</v>
      </c>
      <c r="H84" s="13">
        <v>46119</v>
      </c>
    </row>
    <row r="85" spans="1:8">
      <c r="A85" s="12">
        <v>897</v>
      </c>
      <c r="B85" s="12" t="s">
        <v>161</v>
      </c>
      <c r="C85" s="12" t="s">
        <v>164</v>
      </c>
      <c r="D85" s="12" t="s">
        <v>23</v>
      </c>
      <c r="E85" s="12" t="b">
        <v>0</v>
      </c>
      <c r="F85" s="12" t="s">
        <v>27</v>
      </c>
      <c r="G85" s="12">
        <v>13</v>
      </c>
      <c r="H85" s="13">
        <v>46119</v>
      </c>
    </row>
    <row r="86" spans="1:8">
      <c r="A86" s="12">
        <v>1308</v>
      </c>
      <c r="B86" s="12" t="s">
        <v>165</v>
      </c>
      <c r="C86" s="12" t="s">
        <v>166</v>
      </c>
      <c r="D86" s="12" t="s">
        <v>23</v>
      </c>
      <c r="E86" s="12" t="b">
        <v>1</v>
      </c>
      <c r="F86" s="12" t="s">
        <v>27</v>
      </c>
      <c r="G86" s="12">
        <v>2</v>
      </c>
      <c r="H86" s="13">
        <v>46119</v>
      </c>
    </row>
    <row r="87" spans="1:8">
      <c r="A87" s="12">
        <v>1206</v>
      </c>
      <c r="B87" s="12" t="s">
        <v>167</v>
      </c>
      <c r="C87" s="12" t="s">
        <v>168</v>
      </c>
      <c r="D87" s="12" t="s">
        <v>23</v>
      </c>
      <c r="E87" s="12" t="b">
        <v>1</v>
      </c>
      <c r="F87" s="12" t="s">
        <v>27</v>
      </c>
      <c r="G87" s="12">
        <v>8</v>
      </c>
      <c r="H87" s="13">
        <v>46119</v>
      </c>
    </row>
    <row r="88" spans="1:8">
      <c r="A88" s="12">
        <v>1205</v>
      </c>
      <c r="B88" s="12" t="s">
        <v>167</v>
      </c>
      <c r="C88" s="12" t="s">
        <v>66</v>
      </c>
      <c r="D88" s="12" t="s">
        <v>23</v>
      </c>
      <c r="E88" s="12" t="b">
        <v>0</v>
      </c>
      <c r="F88" s="12" t="s">
        <v>27</v>
      </c>
      <c r="G88" s="12">
        <v>14</v>
      </c>
      <c r="H88" s="13">
        <v>46119</v>
      </c>
    </row>
    <row r="89" spans="1:8">
      <c r="A89" s="12">
        <v>1406</v>
      </c>
      <c r="B89" s="12" t="s">
        <v>169</v>
      </c>
      <c r="C89" s="12" t="s">
        <v>170</v>
      </c>
      <c r="D89" s="12" t="s">
        <v>23</v>
      </c>
      <c r="E89" s="12" t="b">
        <v>0</v>
      </c>
      <c r="F89" s="12" t="s">
        <v>27</v>
      </c>
      <c r="G89" s="12">
        <v>9</v>
      </c>
      <c r="H89" s="13">
        <v>46119</v>
      </c>
    </row>
    <row r="90" spans="1:8">
      <c r="A90" s="12">
        <v>1182</v>
      </c>
      <c r="B90" s="12" t="s">
        <v>171</v>
      </c>
      <c r="C90" s="12" t="s">
        <v>136</v>
      </c>
      <c r="D90" s="12" t="s">
        <v>23</v>
      </c>
      <c r="E90" s="12" t="b">
        <v>0</v>
      </c>
      <c r="F90" s="12" t="s">
        <v>27</v>
      </c>
      <c r="G90" s="12">
        <v>8</v>
      </c>
      <c r="H90" s="13">
        <v>46119</v>
      </c>
    </row>
    <row r="91" spans="1:8">
      <c r="A91" s="12">
        <v>1340</v>
      </c>
      <c r="B91" s="12" t="s">
        <v>172</v>
      </c>
      <c r="C91" s="12" t="s">
        <v>173</v>
      </c>
      <c r="D91" s="12" t="s">
        <v>23</v>
      </c>
      <c r="E91" s="12" t="b">
        <v>0</v>
      </c>
      <c r="F91" s="12" t="s">
        <v>27</v>
      </c>
      <c r="G91" s="12">
        <v>8</v>
      </c>
      <c r="H91" s="13">
        <v>46119</v>
      </c>
    </row>
    <row r="92" spans="1:8">
      <c r="A92" s="12">
        <v>21</v>
      </c>
      <c r="B92" s="12" t="s">
        <v>174</v>
      </c>
      <c r="C92" s="12" t="s">
        <v>175</v>
      </c>
      <c r="D92" s="12" t="s">
        <v>23</v>
      </c>
      <c r="E92" s="12" t="b">
        <v>0</v>
      </c>
      <c r="F92" s="12" t="s">
        <v>25</v>
      </c>
      <c r="H92" s="13">
        <v>46119</v>
      </c>
    </row>
    <row r="93" spans="1:8">
      <c r="A93" s="12">
        <v>1049</v>
      </c>
      <c r="B93" s="12" t="s">
        <v>176</v>
      </c>
      <c r="C93" s="12" t="s">
        <v>177</v>
      </c>
      <c r="D93" s="12" t="s">
        <v>23</v>
      </c>
      <c r="E93" s="12" t="b">
        <v>0</v>
      </c>
      <c r="F93" s="12" t="s">
        <v>27</v>
      </c>
      <c r="G93" s="12">
        <v>19</v>
      </c>
      <c r="H93" s="13">
        <v>46119</v>
      </c>
    </row>
    <row r="94" spans="1:8">
      <c r="A94" s="12">
        <v>120</v>
      </c>
      <c r="B94" s="12" t="s">
        <v>178</v>
      </c>
      <c r="C94" s="12" t="s">
        <v>179</v>
      </c>
      <c r="D94" s="12" t="s">
        <v>23</v>
      </c>
      <c r="E94" s="12" t="b">
        <v>1</v>
      </c>
      <c r="F94" s="12" t="s">
        <v>27</v>
      </c>
      <c r="G94" s="12">
        <v>12</v>
      </c>
      <c r="H94" s="13">
        <v>46119</v>
      </c>
    </row>
    <row r="95" spans="1:8">
      <c r="A95" s="12">
        <v>990</v>
      </c>
      <c r="B95" s="12" t="s">
        <v>180</v>
      </c>
      <c r="C95" s="12" t="s">
        <v>87</v>
      </c>
      <c r="D95" s="12" t="s">
        <v>23</v>
      </c>
      <c r="E95" s="12" t="b">
        <v>1</v>
      </c>
      <c r="F95" s="12" t="s">
        <v>27</v>
      </c>
      <c r="G95" s="12">
        <v>10</v>
      </c>
      <c r="H95" s="13">
        <v>46119</v>
      </c>
    </row>
    <row r="96" spans="1:8">
      <c r="A96" s="12">
        <v>1395</v>
      </c>
      <c r="B96" s="12" t="s">
        <v>181</v>
      </c>
      <c r="C96" s="12" t="s">
        <v>182</v>
      </c>
      <c r="D96" s="12" t="s">
        <v>23</v>
      </c>
      <c r="E96" s="12" t="b">
        <v>1</v>
      </c>
      <c r="F96" s="12" t="s">
        <v>35</v>
      </c>
      <c r="H96" s="13">
        <v>46119</v>
      </c>
    </row>
    <row r="97" spans="1:8">
      <c r="A97" s="12">
        <v>1158</v>
      </c>
      <c r="B97" s="12" t="s">
        <v>183</v>
      </c>
      <c r="C97" s="12" t="s">
        <v>184</v>
      </c>
      <c r="D97" s="12" t="s">
        <v>23</v>
      </c>
      <c r="E97" s="12" t="b">
        <v>1</v>
      </c>
      <c r="F97" s="12" t="s">
        <v>25</v>
      </c>
      <c r="H97" s="13">
        <v>46119</v>
      </c>
    </row>
    <row r="98" spans="1:8">
      <c r="A98" s="12">
        <v>23</v>
      </c>
      <c r="B98" s="12" t="s">
        <v>185</v>
      </c>
      <c r="C98" s="12" t="s">
        <v>100</v>
      </c>
      <c r="D98" s="12" t="s">
        <v>23</v>
      </c>
      <c r="E98" s="12" t="b">
        <v>0</v>
      </c>
      <c r="F98" s="12" t="s">
        <v>27</v>
      </c>
      <c r="G98" s="12">
        <v>10</v>
      </c>
      <c r="H98" s="13">
        <v>46119</v>
      </c>
    </row>
    <row r="99" spans="1:8">
      <c r="A99" s="12">
        <v>1152</v>
      </c>
      <c r="B99" s="12" t="s">
        <v>186</v>
      </c>
      <c r="C99" s="12" t="s">
        <v>187</v>
      </c>
      <c r="D99" s="12" t="s">
        <v>54</v>
      </c>
      <c r="E99" s="12" t="b">
        <v>1</v>
      </c>
      <c r="F99" s="12" t="s">
        <v>188</v>
      </c>
      <c r="H99" s="13">
        <v>46119</v>
      </c>
    </row>
    <row r="100" spans="1:8">
      <c r="A100" s="12">
        <v>581</v>
      </c>
      <c r="B100" s="12" t="s">
        <v>189</v>
      </c>
      <c r="C100" s="12" t="s">
        <v>190</v>
      </c>
      <c r="D100" s="12" t="s">
        <v>23</v>
      </c>
      <c r="E100" s="12" t="b">
        <v>0</v>
      </c>
      <c r="F100" s="12" t="s">
        <v>27</v>
      </c>
      <c r="G100" s="12">
        <v>13</v>
      </c>
      <c r="H100" s="13">
        <v>46119</v>
      </c>
    </row>
    <row r="101" spans="1:8">
      <c r="A101" s="12">
        <v>1374</v>
      </c>
      <c r="B101" s="12" t="s">
        <v>191</v>
      </c>
      <c r="C101" s="12" t="s">
        <v>192</v>
      </c>
      <c r="D101" s="12" t="s">
        <v>23</v>
      </c>
      <c r="E101" s="12" t="b">
        <v>0</v>
      </c>
      <c r="F101" s="12" t="s">
        <v>25</v>
      </c>
      <c r="H101" s="13">
        <v>46119</v>
      </c>
    </row>
    <row r="102" spans="1:8">
      <c r="A102" s="12">
        <v>25</v>
      </c>
      <c r="B102" s="12" t="s">
        <v>22</v>
      </c>
      <c r="C102" s="12" t="s">
        <v>193</v>
      </c>
      <c r="D102" s="12" t="s">
        <v>23</v>
      </c>
      <c r="E102" s="12" t="b">
        <v>0</v>
      </c>
      <c r="F102" s="12" t="s">
        <v>27</v>
      </c>
      <c r="G102" s="12">
        <v>8</v>
      </c>
      <c r="H102" s="13">
        <v>46119</v>
      </c>
    </row>
    <row r="103" spans="1:8">
      <c r="A103" s="12">
        <v>415</v>
      </c>
      <c r="B103" s="12" t="s">
        <v>195</v>
      </c>
      <c r="C103" s="12" t="s">
        <v>196</v>
      </c>
      <c r="D103" s="12" t="s">
        <v>23</v>
      </c>
      <c r="E103" s="12" t="b">
        <v>0</v>
      </c>
      <c r="F103" s="12" t="s">
        <v>27</v>
      </c>
      <c r="G103" s="12">
        <v>6</v>
      </c>
      <c r="H103" s="13">
        <v>46119</v>
      </c>
    </row>
    <row r="104" spans="1:8">
      <c r="A104" s="12">
        <v>1144</v>
      </c>
      <c r="B104" s="12" t="s">
        <v>195</v>
      </c>
      <c r="C104" s="12" t="s">
        <v>197</v>
      </c>
      <c r="D104" s="12" t="s">
        <v>54</v>
      </c>
      <c r="E104" s="12" t="b">
        <v>0</v>
      </c>
      <c r="F104" s="12" t="s">
        <v>188</v>
      </c>
      <c r="H104" s="13">
        <v>46119</v>
      </c>
    </row>
    <row r="105" spans="1:8">
      <c r="A105" s="12">
        <v>203</v>
      </c>
      <c r="B105" s="12" t="s">
        <v>200</v>
      </c>
      <c r="C105" s="12" t="s">
        <v>201</v>
      </c>
      <c r="D105" s="12" t="s">
        <v>23</v>
      </c>
      <c r="E105" s="12" t="b">
        <v>0</v>
      </c>
      <c r="F105" s="12" t="s">
        <v>27</v>
      </c>
      <c r="G105" s="12">
        <v>9</v>
      </c>
      <c r="H105" s="13">
        <v>46119</v>
      </c>
    </row>
    <row r="106" spans="1:8">
      <c r="A106" s="12">
        <v>956</v>
      </c>
      <c r="B106" s="12" t="s">
        <v>202</v>
      </c>
      <c r="C106" s="12" t="s">
        <v>94</v>
      </c>
      <c r="D106" s="12" t="s">
        <v>23</v>
      </c>
      <c r="E106" s="12" t="b">
        <v>0</v>
      </c>
      <c r="F106" s="12" t="s">
        <v>27</v>
      </c>
      <c r="G106" s="12">
        <v>13</v>
      </c>
      <c r="H106" s="13">
        <v>46119</v>
      </c>
    </row>
    <row r="107" spans="1:8">
      <c r="A107" s="12">
        <v>1273</v>
      </c>
      <c r="B107" s="12" t="s">
        <v>203</v>
      </c>
      <c r="C107" s="12" t="s">
        <v>204</v>
      </c>
      <c r="D107" s="12" t="s">
        <v>23</v>
      </c>
      <c r="E107" s="12" t="b">
        <v>1</v>
      </c>
      <c r="F107" s="12" t="s">
        <v>27</v>
      </c>
      <c r="G107" s="12">
        <v>22</v>
      </c>
      <c r="H107" s="13">
        <v>46119</v>
      </c>
    </row>
    <row r="108" spans="1:8">
      <c r="A108" s="12">
        <v>1272</v>
      </c>
      <c r="B108" s="12" t="s">
        <v>203</v>
      </c>
      <c r="C108" s="12" t="s">
        <v>205</v>
      </c>
      <c r="D108" s="12" t="s">
        <v>23</v>
      </c>
      <c r="E108" s="12" t="b">
        <v>0</v>
      </c>
      <c r="F108" s="12" t="s">
        <v>27</v>
      </c>
      <c r="G108" s="12">
        <v>24</v>
      </c>
      <c r="H108" s="13">
        <v>46119</v>
      </c>
    </row>
    <row r="109" spans="1:8">
      <c r="A109" s="12">
        <v>846</v>
      </c>
      <c r="B109" s="12" t="s">
        <v>206</v>
      </c>
      <c r="C109" s="12" t="s">
        <v>207</v>
      </c>
      <c r="D109" s="12" t="s">
        <v>23</v>
      </c>
      <c r="E109" s="12" t="b">
        <v>0</v>
      </c>
      <c r="F109" s="12" t="s">
        <v>27</v>
      </c>
      <c r="G109" s="12">
        <v>17</v>
      </c>
      <c r="H109" s="13">
        <v>46119</v>
      </c>
    </row>
    <row r="110" spans="1:8">
      <c r="A110" s="12">
        <v>1162</v>
      </c>
      <c r="B110" s="12" t="s">
        <v>208</v>
      </c>
      <c r="C110" s="12" t="s">
        <v>150</v>
      </c>
      <c r="D110" s="12" t="s">
        <v>23</v>
      </c>
      <c r="E110" s="12" t="b">
        <v>0</v>
      </c>
      <c r="F110" s="12" t="s">
        <v>25</v>
      </c>
      <c r="H110" s="13">
        <v>46119</v>
      </c>
    </row>
    <row r="111" spans="1:8">
      <c r="A111" s="12">
        <v>1244</v>
      </c>
      <c r="B111" s="12" t="s">
        <v>209</v>
      </c>
      <c r="C111" s="12" t="s">
        <v>94</v>
      </c>
      <c r="D111" s="12" t="s">
        <v>23</v>
      </c>
      <c r="E111" s="12" t="b">
        <v>0</v>
      </c>
      <c r="F111" s="12" t="s">
        <v>27</v>
      </c>
      <c r="G111" s="12">
        <v>2</v>
      </c>
      <c r="H111" s="13">
        <v>46119</v>
      </c>
    </row>
    <row r="112" spans="1:8">
      <c r="A112" s="12">
        <v>1379</v>
      </c>
      <c r="B112" s="12" t="s">
        <v>209</v>
      </c>
      <c r="C112" s="12" t="s">
        <v>210</v>
      </c>
      <c r="D112" s="12" t="s">
        <v>23</v>
      </c>
      <c r="E112" s="12" t="b">
        <v>1</v>
      </c>
      <c r="F112" s="12" t="s">
        <v>25</v>
      </c>
      <c r="H112" s="13">
        <v>46119</v>
      </c>
    </row>
    <row r="113" spans="1:8">
      <c r="A113" s="12">
        <v>1362</v>
      </c>
      <c r="B113" s="12" t="s">
        <v>211</v>
      </c>
      <c r="C113" s="12" t="s">
        <v>212</v>
      </c>
      <c r="D113" s="12" t="s">
        <v>23</v>
      </c>
      <c r="E113" s="12" t="b">
        <v>1</v>
      </c>
      <c r="F113" s="12" t="s">
        <v>27</v>
      </c>
      <c r="G113" s="12">
        <v>22</v>
      </c>
      <c r="H113" s="13">
        <v>46119</v>
      </c>
    </row>
    <row r="114" spans="1:8">
      <c r="A114" s="12">
        <v>1403</v>
      </c>
      <c r="B114" s="12" t="s">
        <v>213</v>
      </c>
      <c r="C114" s="12" t="s">
        <v>214</v>
      </c>
      <c r="D114" s="12" t="s">
        <v>23</v>
      </c>
      <c r="E114" s="12" t="b">
        <v>0</v>
      </c>
      <c r="F114" s="12" t="s">
        <v>27</v>
      </c>
      <c r="G114" s="12">
        <v>8</v>
      </c>
      <c r="H114" s="13">
        <v>46119</v>
      </c>
    </row>
    <row r="115" spans="1:8">
      <c r="A115" s="12">
        <v>1404</v>
      </c>
      <c r="B115" s="12" t="s">
        <v>213</v>
      </c>
      <c r="C115" s="12" t="s">
        <v>215</v>
      </c>
      <c r="D115" s="12" t="s">
        <v>23</v>
      </c>
      <c r="E115" s="12" t="b">
        <v>1</v>
      </c>
      <c r="F115" s="12" t="s">
        <v>25</v>
      </c>
      <c r="H115" s="13">
        <v>46119</v>
      </c>
    </row>
    <row r="116" spans="1:8">
      <c r="A116" s="12">
        <v>1229</v>
      </c>
      <c r="B116" s="12" t="s">
        <v>216</v>
      </c>
      <c r="C116" s="12" t="s">
        <v>217</v>
      </c>
      <c r="D116" s="12" t="s">
        <v>23</v>
      </c>
      <c r="E116" s="12" t="b">
        <v>1</v>
      </c>
      <c r="F116" s="12" t="s">
        <v>25</v>
      </c>
      <c r="H116" s="13">
        <v>46119</v>
      </c>
    </row>
    <row r="117" spans="1:8">
      <c r="A117" s="12">
        <v>1408</v>
      </c>
      <c r="B117" s="12" t="s">
        <v>218</v>
      </c>
      <c r="C117" s="12" t="s">
        <v>219</v>
      </c>
      <c r="D117" s="12" t="s">
        <v>23</v>
      </c>
      <c r="E117" s="12" t="b">
        <v>0</v>
      </c>
      <c r="F117" s="12" t="s">
        <v>27</v>
      </c>
      <c r="G117" s="12">
        <v>20</v>
      </c>
      <c r="H117" s="13">
        <v>46119</v>
      </c>
    </row>
    <row r="118" spans="1:8">
      <c r="A118" s="12">
        <v>1409</v>
      </c>
      <c r="B118" s="12" t="s">
        <v>218</v>
      </c>
      <c r="C118" s="12" t="s">
        <v>220</v>
      </c>
      <c r="D118" s="12" t="s">
        <v>23</v>
      </c>
      <c r="E118" s="12" t="b">
        <v>1</v>
      </c>
      <c r="F118" s="12" t="s">
        <v>27</v>
      </c>
      <c r="G118" s="12">
        <v>15</v>
      </c>
      <c r="H118" s="13">
        <v>46119</v>
      </c>
    </row>
    <row r="119" spans="1:8">
      <c r="A119" s="12">
        <v>1198</v>
      </c>
      <c r="B119" s="12" t="s">
        <v>221</v>
      </c>
      <c r="C119" s="12" t="s">
        <v>222</v>
      </c>
      <c r="D119" s="12" t="s">
        <v>23</v>
      </c>
      <c r="E119" s="12" t="b">
        <v>0</v>
      </c>
      <c r="F119" s="12" t="s">
        <v>27</v>
      </c>
      <c r="G119" s="12">
        <v>5</v>
      </c>
      <c r="H119" s="13">
        <v>46119</v>
      </c>
    </row>
    <row r="120" spans="1:8">
      <c r="A120" s="12">
        <v>1260</v>
      </c>
      <c r="B120" s="12" t="s">
        <v>223</v>
      </c>
      <c r="C120" s="12" t="s">
        <v>82</v>
      </c>
      <c r="D120" s="12" t="s">
        <v>23</v>
      </c>
      <c r="E120" s="12" t="b">
        <v>1</v>
      </c>
      <c r="F120" s="12" t="s">
        <v>27</v>
      </c>
      <c r="G120" s="12">
        <v>15</v>
      </c>
      <c r="H120" s="13">
        <v>46119</v>
      </c>
    </row>
    <row r="121" spans="1:8">
      <c r="A121" s="12">
        <v>1361</v>
      </c>
      <c r="B121" s="12" t="s">
        <v>224</v>
      </c>
      <c r="C121" s="12" t="s">
        <v>225</v>
      </c>
      <c r="D121" s="12" t="s">
        <v>23</v>
      </c>
      <c r="E121" s="12" t="b">
        <v>0</v>
      </c>
      <c r="F121" s="12" t="s">
        <v>27</v>
      </c>
      <c r="G121" s="12">
        <v>16</v>
      </c>
      <c r="H121" s="13">
        <v>46119</v>
      </c>
    </row>
    <row r="122" spans="1:8">
      <c r="A122" s="12">
        <v>1100</v>
      </c>
      <c r="B122" s="12" t="s">
        <v>226</v>
      </c>
      <c r="C122" s="12" t="s">
        <v>34</v>
      </c>
      <c r="D122" s="12" t="s">
        <v>23</v>
      </c>
      <c r="E122" s="12" t="b">
        <v>0</v>
      </c>
      <c r="F122" s="12" t="s">
        <v>27</v>
      </c>
      <c r="G122" s="12">
        <v>13</v>
      </c>
      <c r="H122" s="13">
        <v>46119</v>
      </c>
    </row>
    <row r="123" spans="1:8">
      <c r="A123" s="12">
        <v>1385</v>
      </c>
      <c r="B123" s="12" t="s">
        <v>227</v>
      </c>
      <c r="C123" s="12" t="s">
        <v>228</v>
      </c>
      <c r="D123" s="12" t="s">
        <v>23</v>
      </c>
      <c r="E123" s="12" t="b">
        <v>0</v>
      </c>
      <c r="F123" s="12" t="s">
        <v>25</v>
      </c>
      <c r="H123" s="13">
        <v>46119</v>
      </c>
    </row>
    <row r="124" spans="1:8">
      <c r="A124" s="12">
        <v>1394</v>
      </c>
      <c r="B124" s="12" t="s">
        <v>227</v>
      </c>
      <c r="C124" s="12" t="s">
        <v>229</v>
      </c>
      <c r="D124" s="12" t="s">
        <v>23</v>
      </c>
      <c r="E124" s="12" t="b">
        <v>0</v>
      </c>
      <c r="F124" s="12" t="s">
        <v>35</v>
      </c>
      <c r="H124" s="13">
        <v>46119</v>
      </c>
    </row>
    <row r="125" spans="1:8">
      <c r="A125" s="12">
        <v>1419</v>
      </c>
      <c r="B125" s="12" t="s">
        <v>230</v>
      </c>
      <c r="C125" s="12" t="s">
        <v>231</v>
      </c>
      <c r="D125" s="12" t="s">
        <v>23</v>
      </c>
      <c r="E125" s="12" t="b">
        <v>0</v>
      </c>
      <c r="F125" s="12" t="s">
        <v>25</v>
      </c>
      <c r="H125" s="13">
        <v>46119</v>
      </c>
    </row>
    <row r="126" spans="1:8">
      <c r="A126" s="12">
        <v>967</v>
      </c>
      <c r="B126" s="12" t="s">
        <v>232</v>
      </c>
      <c r="C126" s="12" t="s">
        <v>152</v>
      </c>
      <c r="D126" s="12" t="s">
        <v>23</v>
      </c>
      <c r="E126" s="12" t="b">
        <v>0</v>
      </c>
      <c r="F126" s="12" t="s">
        <v>27</v>
      </c>
      <c r="G126" s="12">
        <v>5</v>
      </c>
      <c r="H126" s="13">
        <v>46119</v>
      </c>
    </row>
    <row r="127" spans="1:8">
      <c r="A127" s="12">
        <v>1373</v>
      </c>
      <c r="B127" s="12" t="s">
        <v>233</v>
      </c>
      <c r="C127" s="12" t="s">
        <v>234</v>
      </c>
      <c r="D127" s="12" t="s">
        <v>23</v>
      </c>
      <c r="E127" s="12" t="b">
        <v>0</v>
      </c>
      <c r="F127" s="12" t="s">
        <v>27</v>
      </c>
      <c r="G127" s="12">
        <v>10</v>
      </c>
      <c r="H127" s="13">
        <v>46119</v>
      </c>
    </row>
    <row r="128" spans="1:8">
      <c r="A128" s="12">
        <v>1045</v>
      </c>
      <c r="B128" s="12" t="s">
        <v>235</v>
      </c>
      <c r="C128" s="12" t="s">
        <v>236</v>
      </c>
      <c r="D128" s="12" t="s">
        <v>23</v>
      </c>
      <c r="E128" s="12" t="b">
        <v>1</v>
      </c>
      <c r="F128" s="12" t="s">
        <v>27</v>
      </c>
      <c r="G128" s="12">
        <v>5</v>
      </c>
      <c r="H128" s="13">
        <v>46119</v>
      </c>
    </row>
    <row r="129" spans="1:8">
      <c r="A129" s="12">
        <v>1046</v>
      </c>
      <c r="B129" s="12" t="s">
        <v>235</v>
      </c>
      <c r="C129" s="12" t="s">
        <v>237</v>
      </c>
      <c r="D129" s="12" t="s">
        <v>23</v>
      </c>
      <c r="E129" s="12" t="b">
        <v>0</v>
      </c>
      <c r="F129" s="12" t="s">
        <v>27</v>
      </c>
      <c r="G129" s="12">
        <v>35</v>
      </c>
      <c r="H129" s="13">
        <v>46119</v>
      </c>
    </row>
    <row r="130" spans="1:8">
      <c r="A130" s="12">
        <v>1396</v>
      </c>
      <c r="B130" s="12" t="s">
        <v>238</v>
      </c>
      <c r="C130" s="12" t="s">
        <v>59</v>
      </c>
      <c r="D130" s="12" t="s">
        <v>23</v>
      </c>
      <c r="E130" s="12" t="b">
        <v>0</v>
      </c>
      <c r="F130" s="12" t="s">
        <v>25</v>
      </c>
      <c r="H130" s="13">
        <v>46119</v>
      </c>
    </row>
    <row r="131" spans="1:8">
      <c r="A131" s="12">
        <v>1397</v>
      </c>
      <c r="B131" s="12" t="s">
        <v>238</v>
      </c>
      <c r="C131" s="12" t="s">
        <v>239</v>
      </c>
      <c r="D131" s="12" t="s">
        <v>23</v>
      </c>
      <c r="E131" s="12" t="b">
        <v>1</v>
      </c>
      <c r="F131" s="12" t="s">
        <v>25</v>
      </c>
      <c r="H131" s="13">
        <v>46119</v>
      </c>
    </row>
    <row r="132" spans="1:8">
      <c r="A132" s="12">
        <v>1398</v>
      </c>
      <c r="B132" s="12" t="s">
        <v>238</v>
      </c>
      <c r="C132" s="12" t="s">
        <v>49</v>
      </c>
      <c r="D132" s="12" t="s">
        <v>23</v>
      </c>
      <c r="E132" s="12" t="b">
        <v>0</v>
      </c>
      <c r="F132" s="12" t="s">
        <v>35</v>
      </c>
      <c r="H132" s="13">
        <v>46119</v>
      </c>
    </row>
    <row r="133" spans="1:8">
      <c r="A133" s="12">
        <v>1399</v>
      </c>
      <c r="B133" s="12" t="s">
        <v>238</v>
      </c>
      <c r="C133" s="12" t="s">
        <v>131</v>
      </c>
      <c r="D133" s="12" t="s">
        <v>23</v>
      </c>
      <c r="E133" s="12" t="b">
        <v>1</v>
      </c>
      <c r="F133" s="12" t="s">
        <v>35</v>
      </c>
      <c r="H133" s="13">
        <v>46119</v>
      </c>
    </row>
    <row r="134" spans="1:8">
      <c r="A134" s="12">
        <v>771</v>
      </c>
      <c r="B134" s="12" t="s">
        <v>240</v>
      </c>
      <c r="C134" s="12" t="s">
        <v>241</v>
      </c>
      <c r="D134" s="12" t="s">
        <v>23</v>
      </c>
      <c r="E134" s="12" t="b">
        <v>0</v>
      </c>
      <c r="F134" s="12" t="s">
        <v>27</v>
      </c>
      <c r="G134" s="12">
        <v>14</v>
      </c>
      <c r="H134" s="13">
        <v>46119</v>
      </c>
    </row>
    <row r="135" spans="1:8">
      <c r="A135" s="12">
        <v>1265</v>
      </c>
      <c r="B135" s="12" t="s">
        <v>242</v>
      </c>
      <c r="C135" s="12" t="s">
        <v>243</v>
      </c>
      <c r="D135" s="12" t="s">
        <v>23</v>
      </c>
      <c r="E135" s="12" t="b">
        <v>0</v>
      </c>
      <c r="F135" s="12" t="s">
        <v>27</v>
      </c>
      <c r="G135" s="12">
        <v>20</v>
      </c>
      <c r="H135" s="13">
        <v>46119</v>
      </c>
    </row>
    <row r="136" spans="1:8">
      <c r="A136" s="12">
        <v>532</v>
      </c>
      <c r="B136" s="12" t="s">
        <v>244</v>
      </c>
      <c r="C136" s="12" t="s">
        <v>243</v>
      </c>
      <c r="D136" s="12" t="s">
        <v>23</v>
      </c>
      <c r="E136" s="12" t="b">
        <v>0</v>
      </c>
      <c r="F136" s="12" t="s">
        <v>27</v>
      </c>
      <c r="G136" s="12">
        <v>13</v>
      </c>
      <c r="H136" s="13">
        <v>46119</v>
      </c>
    </row>
    <row r="137" spans="1:8">
      <c r="A137" s="12">
        <v>742</v>
      </c>
      <c r="B137" s="12" t="s">
        <v>246</v>
      </c>
      <c r="C137" s="12" t="s">
        <v>156</v>
      </c>
      <c r="D137" s="12" t="s">
        <v>23</v>
      </c>
      <c r="E137" s="12" t="b">
        <v>1</v>
      </c>
      <c r="F137" s="12" t="s">
        <v>27</v>
      </c>
      <c r="G137" s="12">
        <v>2</v>
      </c>
      <c r="H137" s="13">
        <v>46119</v>
      </c>
    </row>
    <row r="138" spans="1:8">
      <c r="A138" s="12">
        <v>741</v>
      </c>
      <c r="B138" s="12" t="s">
        <v>246</v>
      </c>
      <c r="C138" s="12" t="s">
        <v>247</v>
      </c>
      <c r="D138" s="12" t="s">
        <v>23</v>
      </c>
      <c r="E138" s="12" t="b">
        <v>0</v>
      </c>
      <c r="F138" s="12" t="s">
        <v>27</v>
      </c>
      <c r="G138" s="12">
        <v>4</v>
      </c>
      <c r="H138" s="13">
        <v>46119</v>
      </c>
    </row>
    <row r="139" spans="1:8">
      <c r="A139" s="12">
        <v>1298</v>
      </c>
      <c r="B139" s="12" t="s">
        <v>246</v>
      </c>
      <c r="C139" s="12" t="s">
        <v>132</v>
      </c>
      <c r="D139" s="12" t="s">
        <v>23</v>
      </c>
      <c r="E139" s="12" t="b">
        <v>1</v>
      </c>
      <c r="F139" s="12" t="s">
        <v>27</v>
      </c>
      <c r="G139" s="12">
        <v>13</v>
      </c>
      <c r="H139" s="13">
        <v>46119</v>
      </c>
    </row>
    <row r="140" spans="1:8">
      <c r="A140" s="12">
        <v>747</v>
      </c>
      <c r="B140" s="12" t="s">
        <v>246</v>
      </c>
      <c r="C140" s="12" t="s">
        <v>22</v>
      </c>
      <c r="D140" s="12" t="s">
        <v>23</v>
      </c>
      <c r="E140" s="12" t="b">
        <v>0</v>
      </c>
      <c r="F140" s="12" t="s">
        <v>27</v>
      </c>
      <c r="G140" s="12">
        <v>1</v>
      </c>
      <c r="H140" s="13">
        <v>46119</v>
      </c>
    </row>
    <row r="141" spans="1:8">
      <c r="A141" s="12">
        <v>1386</v>
      </c>
      <c r="B141" s="12" t="s">
        <v>246</v>
      </c>
      <c r="C141" s="12" t="s">
        <v>248</v>
      </c>
      <c r="D141" s="12" t="s">
        <v>23</v>
      </c>
      <c r="E141" s="12" t="b">
        <v>1</v>
      </c>
      <c r="F141" s="12" t="s">
        <v>35</v>
      </c>
      <c r="H141" s="13">
        <v>46119</v>
      </c>
    </row>
    <row r="142" spans="1:8">
      <c r="A142" s="12">
        <v>564</v>
      </c>
      <c r="B142" s="12" t="s">
        <v>250</v>
      </c>
      <c r="C142" s="12" t="s">
        <v>34</v>
      </c>
      <c r="D142" s="12" t="s">
        <v>23</v>
      </c>
      <c r="E142" s="12" t="b">
        <v>0</v>
      </c>
      <c r="F142" s="12" t="s">
        <v>27</v>
      </c>
      <c r="G142" s="12">
        <v>7</v>
      </c>
      <c r="H142" s="13">
        <v>46119</v>
      </c>
    </row>
    <row r="143" spans="1:8">
      <c r="A143" s="12">
        <v>1165</v>
      </c>
      <c r="B143" s="12" t="s">
        <v>251</v>
      </c>
      <c r="C143" s="12" t="s">
        <v>177</v>
      </c>
      <c r="D143" s="12" t="s">
        <v>23</v>
      </c>
      <c r="E143" s="12" t="b">
        <v>0</v>
      </c>
      <c r="F143" s="12" t="s">
        <v>27</v>
      </c>
      <c r="G143" s="12">
        <v>10</v>
      </c>
      <c r="H143" s="13">
        <v>46119</v>
      </c>
    </row>
    <row r="144" spans="1:8">
      <c r="A144" s="12">
        <v>405</v>
      </c>
      <c r="B144" s="12" t="s">
        <v>252</v>
      </c>
      <c r="C144" s="12" t="s">
        <v>243</v>
      </c>
      <c r="D144" s="12" t="s">
        <v>23</v>
      </c>
      <c r="E144" s="12" t="b">
        <v>0</v>
      </c>
      <c r="F144" s="12" t="s">
        <v>27</v>
      </c>
      <c r="G144" s="12">
        <v>18</v>
      </c>
      <c r="H144" s="13">
        <v>46119</v>
      </c>
    </row>
    <row r="145" spans="1:8">
      <c r="A145" s="12">
        <v>1346</v>
      </c>
      <c r="B145" s="12" t="s">
        <v>253</v>
      </c>
      <c r="C145" s="12" t="s">
        <v>254</v>
      </c>
      <c r="D145" s="12" t="s">
        <v>23</v>
      </c>
      <c r="E145" s="12" t="b">
        <v>0</v>
      </c>
      <c r="F145" s="12" t="s">
        <v>27</v>
      </c>
      <c r="G145" s="12">
        <v>20</v>
      </c>
      <c r="H145" s="13">
        <v>46119</v>
      </c>
    </row>
    <row r="146" spans="1:8">
      <c r="A146" s="12">
        <v>1192</v>
      </c>
      <c r="B146" s="12" t="s">
        <v>255</v>
      </c>
      <c r="C146" s="12" t="s">
        <v>256</v>
      </c>
      <c r="D146" s="12" t="s">
        <v>23</v>
      </c>
      <c r="E146" s="12" t="b">
        <v>0</v>
      </c>
      <c r="F146" s="12" t="s">
        <v>27</v>
      </c>
      <c r="G146" s="12">
        <v>10</v>
      </c>
      <c r="H146" s="13">
        <v>46119</v>
      </c>
    </row>
    <row r="147" spans="1:8">
      <c r="A147" s="12">
        <v>1157</v>
      </c>
      <c r="B147" s="12" t="s">
        <v>257</v>
      </c>
      <c r="C147" s="12" t="s">
        <v>100</v>
      </c>
      <c r="D147" s="12" t="s">
        <v>23</v>
      </c>
      <c r="E147" s="12" t="b">
        <v>0</v>
      </c>
      <c r="F147" s="12" t="s">
        <v>25</v>
      </c>
      <c r="H147" s="13">
        <v>46119</v>
      </c>
    </row>
    <row r="148" spans="1:8">
      <c r="A148" s="12">
        <v>1359</v>
      </c>
      <c r="B148" s="12" t="s">
        <v>258</v>
      </c>
      <c r="C148" s="12" t="s">
        <v>49</v>
      </c>
      <c r="D148" s="12" t="s">
        <v>23</v>
      </c>
      <c r="E148" s="12" t="b">
        <v>0</v>
      </c>
      <c r="F148" s="12" t="s">
        <v>188</v>
      </c>
      <c r="H148" s="13">
        <v>46119</v>
      </c>
    </row>
    <row r="149" spans="1:8">
      <c r="A149" s="12">
        <v>1360</v>
      </c>
      <c r="B149" s="12" t="s">
        <v>258</v>
      </c>
      <c r="C149" s="12" t="s">
        <v>259</v>
      </c>
      <c r="D149" s="12" t="s">
        <v>23</v>
      </c>
      <c r="E149" s="12" t="b">
        <v>1</v>
      </c>
      <c r="F149" s="12" t="s">
        <v>35</v>
      </c>
      <c r="H149" s="13">
        <v>46119</v>
      </c>
    </row>
    <row r="150" spans="1:8">
      <c r="A150" s="12">
        <v>1357</v>
      </c>
      <c r="B150" s="12" t="s">
        <v>258</v>
      </c>
      <c r="C150" s="12" t="s">
        <v>34</v>
      </c>
      <c r="D150" s="12" t="s">
        <v>23</v>
      </c>
      <c r="E150" s="12" t="b">
        <v>0</v>
      </c>
      <c r="F150" s="12" t="s">
        <v>27</v>
      </c>
      <c r="G150" s="12">
        <v>5</v>
      </c>
      <c r="H150" s="13">
        <v>46119</v>
      </c>
    </row>
    <row r="151" spans="1:8">
      <c r="A151" s="12">
        <v>1358</v>
      </c>
      <c r="B151" s="12" t="s">
        <v>258</v>
      </c>
      <c r="C151" s="12" t="s">
        <v>260</v>
      </c>
      <c r="D151" s="12" t="s">
        <v>23</v>
      </c>
      <c r="E151" s="12" t="b">
        <v>1</v>
      </c>
      <c r="F151" s="12" t="s">
        <v>27</v>
      </c>
      <c r="G151" s="12">
        <v>7</v>
      </c>
      <c r="H151" s="13">
        <v>46119</v>
      </c>
    </row>
    <row r="152" spans="1:8">
      <c r="A152" s="12">
        <v>1390</v>
      </c>
      <c r="B152" s="12" t="s">
        <v>261</v>
      </c>
      <c r="C152" s="12" t="s">
        <v>262</v>
      </c>
      <c r="D152" s="12" t="s">
        <v>23</v>
      </c>
      <c r="E152" s="12" t="b">
        <v>0</v>
      </c>
      <c r="F152" s="12" t="s">
        <v>25</v>
      </c>
      <c r="H152" s="13">
        <v>46119</v>
      </c>
    </row>
    <row r="153" spans="1:8">
      <c r="A153" s="12">
        <v>1107</v>
      </c>
      <c r="B153" s="12" t="s">
        <v>263</v>
      </c>
      <c r="C153" s="12" t="s">
        <v>264</v>
      </c>
      <c r="D153" s="12" t="s">
        <v>23</v>
      </c>
      <c r="E153" s="12" t="b">
        <v>1</v>
      </c>
      <c r="F153" s="12" t="s">
        <v>25</v>
      </c>
      <c r="H153" s="13">
        <v>46119</v>
      </c>
    </row>
    <row r="154" spans="1:8">
      <c r="A154" s="12">
        <v>35</v>
      </c>
      <c r="B154" s="12" t="s">
        <v>265</v>
      </c>
      <c r="C154" s="12" t="s">
        <v>266</v>
      </c>
      <c r="D154" s="12" t="s">
        <v>23</v>
      </c>
      <c r="E154" s="12" t="b">
        <v>0</v>
      </c>
      <c r="F154" s="12" t="s">
        <v>27</v>
      </c>
      <c r="G154" s="12">
        <v>3</v>
      </c>
      <c r="H154" s="13">
        <v>46119</v>
      </c>
    </row>
    <row r="155" spans="1:8">
      <c r="A155" s="12">
        <v>1094</v>
      </c>
      <c r="B155" s="12" t="s">
        <v>267</v>
      </c>
      <c r="C155" s="12" t="s">
        <v>268</v>
      </c>
      <c r="D155" s="12" t="s">
        <v>23</v>
      </c>
      <c r="E155" s="12" t="b">
        <v>0</v>
      </c>
      <c r="F155" s="12" t="s">
        <v>27</v>
      </c>
      <c r="G155" s="12">
        <v>12</v>
      </c>
      <c r="H155" s="13">
        <v>46119</v>
      </c>
    </row>
    <row r="156" spans="1:8">
      <c r="A156" s="12">
        <v>1325</v>
      </c>
      <c r="B156" s="12" t="s">
        <v>269</v>
      </c>
      <c r="C156" s="12" t="s">
        <v>270</v>
      </c>
      <c r="D156" s="12" t="s">
        <v>23</v>
      </c>
      <c r="E156" s="12" t="b">
        <v>0</v>
      </c>
      <c r="F156" s="12" t="s">
        <v>27</v>
      </c>
      <c r="G156" s="12">
        <v>3</v>
      </c>
      <c r="H156" s="13">
        <v>46119</v>
      </c>
    </row>
    <row r="157" spans="1:8">
      <c r="A157" s="12">
        <v>1143</v>
      </c>
      <c r="B157" s="12" t="s">
        <v>271</v>
      </c>
      <c r="C157" s="12" t="s">
        <v>247</v>
      </c>
      <c r="D157" s="12" t="s">
        <v>23</v>
      </c>
      <c r="E157" s="12" t="b">
        <v>0</v>
      </c>
      <c r="F157" s="12" t="s">
        <v>27</v>
      </c>
      <c r="G157" s="12">
        <v>3</v>
      </c>
      <c r="H157" s="13">
        <v>46119</v>
      </c>
    </row>
    <row r="158" spans="1:8">
      <c r="A158" s="12">
        <v>1401</v>
      </c>
      <c r="B158" s="12" t="s">
        <v>272</v>
      </c>
      <c r="C158" s="12" t="s">
        <v>273</v>
      </c>
      <c r="D158" s="12" t="s">
        <v>23</v>
      </c>
      <c r="E158" s="12" t="b">
        <v>1</v>
      </c>
      <c r="F158" s="12" t="s">
        <v>25</v>
      </c>
      <c r="H158" s="13">
        <v>46119</v>
      </c>
    </row>
    <row r="159" spans="1:8">
      <c r="A159" s="12">
        <v>1285</v>
      </c>
      <c r="B159" s="12" t="s">
        <v>274</v>
      </c>
      <c r="C159" s="12" t="s">
        <v>100</v>
      </c>
      <c r="D159" s="12" t="s">
        <v>23</v>
      </c>
      <c r="E159" s="12" t="b">
        <v>0</v>
      </c>
      <c r="F159" s="12" t="s">
        <v>25</v>
      </c>
      <c r="H159" s="13">
        <v>46119</v>
      </c>
    </row>
    <row r="160" spans="1:8">
      <c r="A160" s="12">
        <v>38</v>
      </c>
      <c r="B160" s="12" t="s">
        <v>275</v>
      </c>
      <c r="C160" s="12" t="s">
        <v>276</v>
      </c>
      <c r="D160" s="12" t="s">
        <v>23</v>
      </c>
      <c r="E160" s="12" t="b">
        <v>0</v>
      </c>
      <c r="F160" s="12" t="s">
        <v>27</v>
      </c>
      <c r="G160" s="12">
        <v>13</v>
      </c>
      <c r="H160" s="13">
        <v>46119</v>
      </c>
    </row>
    <row r="161" spans="1:8">
      <c r="A161" s="12">
        <v>245</v>
      </c>
      <c r="B161" s="12" t="s">
        <v>277</v>
      </c>
      <c r="C161" s="12" t="s">
        <v>234</v>
      </c>
      <c r="D161" s="12" t="s">
        <v>23</v>
      </c>
      <c r="E161" s="12" t="b">
        <v>0</v>
      </c>
      <c r="F161" s="12" t="s">
        <v>27</v>
      </c>
      <c r="G161" s="12">
        <v>10</v>
      </c>
      <c r="H161" s="13">
        <v>46119</v>
      </c>
    </row>
    <row r="162" spans="1:8">
      <c r="A162" s="12">
        <v>39</v>
      </c>
      <c r="B162" s="12" t="s">
        <v>277</v>
      </c>
      <c r="C162" s="12" t="s">
        <v>278</v>
      </c>
      <c r="D162" s="12" t="s">
        <v>23</v>
      </c>
      <c r="E162" s="12" t="b">
        <v>0</v>
      </c>
      <c r="F162" s="12" t="s">
        <v>27</v>
      </c>
      <c r="G162" s="12">
        <v>43</v>
      </c>
      <c r="H162" s="13">
        <v>46119</v>
      </c>
    </row>
    <row r="163" spans="1:8">
      <c r="A163" s="12">
        <v>508</v>
      </c>
      <c r="B163" s="12" t="s">
        <v>279</v>
      </c>
      <c r="C163" s="12" t="s">
        <v>59</v>
      </c>
      <c r="D163" s="12" t="s">
        <v>23</v>
      </c>
      <c r="E163" s="12" t="b">
        <v>0</v>
      </c>
      <c r="F163" s="12" t="s">
        <v>27</v>
      </c>
      <c r="G163" s="12">
        <v>31</v>
      </c>
      <c r="H163" s="13">
        <v>46119</v>
      </c>
    </row>
    <row r="164" spans="1:8">
      <c r="A164" s="12">
        <v>1392</v>
      </c>
      <c r="B164" s="12" t="s">
        <v>284</v>
      </c>
      <c r="C164" s="12" t="s">
        <v>285</v>
      </c>
      <c r="D164" s="12" t="s">
        <v>23</v>
      </c>
      <c r="E164" s="12" t="b">
        <v>1</v>
      </c>
      <c r="F164" s="12" t="s">
        <v>25</v>
      </c>
      <c r="H164" s="13">
        <v>46119</v>
      </c>
    </row>
    <row r="165" spans="1:8">
      <c r="A165" s="12">
        <v>1141</v>
      </c>
      <c r="B165" s="12" t="s">
        <v>286</v>
      </c>
      <c r="C165" s="12" t="s">
        <v>287</v>
      </c>
      <c r="D165" s="12" t="s">
        <v>23</v>
      </c>
      <c r="E165" s="12" t="b">
        <v>1</v>
      </c>
      <c r="F165" s="12" t="s">
        <v>27</v>
      </c>
      <c r="G165" s="12">
        <v>15</v>
      </c>
      <c r="H165" s="13">
        <v>46119</v>
      </c>
    </row>
    <row r="166" spans="1:8">
      <c r="A166" s="12">
        <v>891</v>
      </c>
      <c r="B166" s="12" t="s">
        <v>288</v>
      </c>
      <c r="C166" s="12" t="s">
        <v>289</v>
      </c>
      <c r="D166" s="12" t="s">
        <v>23</v>
      </c>
      <c r="E166" s="12" t="b">
        <v>1</v>
      </c>
      <c r="F166" s="12" t="s">
        <v>25</v>
      </c>
      <c r="H166" s="13">
        <v>46119</v>
      </c>
    </row>
    <row r="167" spans="1:8">
      <c r="A167" s="12">
        <v>1352</v>
      </c>
      <c r="B167" s="12" t="s">
        <v>290</v>
      </c>
      <c r="C167" s="12" t="s">
        <v>34</v>
      </c>
      <c r="D167" s="12" t="s">
        <v>23</v>
      </c>
      <c r="E167" s="12" t="b">
        <v>0</v>
      </c>
      <c r="F167" s="12" t="s">
        <v>27</v>
      </c>
      <c r="G167" s="12">
        <v>11</v>
      </c>
      <c r="H167" s="13">
        <v>46119</v>
      </c>
    </row>
    <row r="168" spans="1:8">
      <c r="A168" s="12">
        <v>1339</v>
      </c>
      <c r="B168" s="12" t="s">
        <v>291</v>
      </c>
      <c r="C168" s="12" t="s">
        <v>292</v>
      </c>
      <c r="D168" s="12" t="s">
        <v>23</v>
      </c>
      <c r="E168" s="12" t="b">
        <v>0</v>
      </c>
      <c r="F168" s="12" t="s">
        <v>25</v>
      </c>
      <c r="H168" s="13">
        <v>46119</v>
      </c>
    </row>
    <row r="169" spans="1:8">
      <c r="A169" s="12">
        <v>914</v>
      </c>
      <c r="B169" s="12" t="s">
        <v>293</v>
      </c>
      <c r="C169" s="12" t="s">
        <v>153</v>
      </c>
      <c r="D169" s="12" t="s">
        <v>23</v>
      </c>
      <c r="E169" s="12" t="b">
        <v>0</v>
      </c>
      <c r="F169" s="12" t="s">
        <v>27</v>
      </c>
      <c r="G169" s="12">
        <v>14</v>
      </c>
      <c r="H169" s="13">
        <v>46119</v>
      </c>
    </row>
    <row r="170" spans="1:8">
      <c r="A170" s="12">
        <v>597</v>
      </c>
      <c r="B170" s="12" t="s">
        <v>294</v>
      </c>
      <c r="C170" s="12" t="s">
        <v>295</v>
      </c>
      <c r="D170" s="12" t="s">
        <v>23</v>
      </c>
      <c r="E170" s="12" t="b">
        <v>0</v>
      </c>
      <c r="F170" s="12" t="s">
        <v>27</v>
      </c>
      <c r="G170" s="12">
        <v>36</v>
      </c>
      <c r="H170" s="13">
        <v>46119</v>
      </c>
    </row>
    <row r="171" spans="1:8">
      <c r="A171" s="12">
        <v>1038</v>
      </c>
      <c r="B171" s="12" t="s">
        <v>293</v>
      </c>
      <c r="C171" s="12" t="s">
        <v>51</v>
      </c>
      <c r="D171" s="12" t="s">
        <v>23</v>
      </c>
      <c r="E171" s="12" t="b">
        <v>0</v>
      </c>
      <c r="F171" s="12" t="s">
        <v>27</v>
      </c>
      <c r="G171" s="12">
        <v>12</v>
      </c>
      <c r="H171" s="13">
        <v>46119</v>
      </c>
    </row>
    <row r="172" spans="1:8">
      <c r="A172" s="12">
        <v>1242</v>
      </c>
      <c r="B172" s="12" t="s">
        <v>297</v>
      </c>
      <c r="C172" s="12" t="s">
        <v>190</v>
      </c>
      <c r="D172" s="12" t="s">
        <v>23</v>
      </c>
      <c r="E172" s="12" t="b">
        <v>0</v>
      </c>
      <c r="F172" s="12" t="s">
        <v>27</v>
      </c>
      <c r="G172" s="12">
        <v>15</v>
      </c>
      <c r="H172" s="13">
        <v>46119</v>
      </c>
    </row>
    <row r="173" spans="1:8">
      <c r="A173" s="12">
        <v>1048</v>
      </c>
      <c r="B173" s="12" t="s">
        <v>298</v>
      </c>
      <c r="C173" s="12" t="s">
        <v>268</v>
      </c>
      <c r="D173" s="12" t="s">
        <v>23</v>
      </c>
      <c r="E173" s="12" t="b">
        <v>0</v>
      </c>
      <c r="F173" s="12" t="s">
        <v>27</v>
      </c>
      <c r="G173" s="12">
        <v>16</v>
      </c>
      <c r="H173" s="13">
        <v>46119</v>
      </c>
    </row>
    <row r="174" spans="1:8">
      <c r="A174" s="12">
        <v>1055</v>
      </c>
      <c r="B174" s="12" t="s">
        <v>298</v>
      </c>
      <c r="C174" s="12" t="s">
        <v>299</v>
      </c>
      <c r="D174" s="12" t="s">
        <v>23</v>
      </c>
      <c r="E174" s="12" t="b">
        <v>0</v>
      </c>
      <c r="F174" s="12" t="s">
        <v>27</v>
      </c>
      <c r="G174" s="12">
        <v>1</v>
      </c>
      <c r="H174" s="13">
        <v>46119</v>
      </c>
    </row>
    <row r="175" spans="1:8">
      <c r="A175" s="12">
        <v>820</v>
      </c>
      <c r="B175" s="12" t="s">
        <v>298</v>
      </c>
      <c r="C175" s="12" t="s">
        <v>139</v>
      </c>
      <c r="D175" s="12" t="s">
        <v>23</v>
      </c>
      <c r="E175" s="12" t="b">
        <v>1</v>
      </c>
      <c r="F175" s="12" t="s">
        <v>27</v>
      </c>
      <c r="G175" s="12">
        <v>6</v>
      </c>
      <c r="H175" s="13">
        <v>46119</v>
      </c>
    </row>
    <row r="176" spans="1:8">
      <c r="A176" s="12">
        <v>687</v>
      </c>
      <c r="B176" s="12" t="s">
        <v>298</v>
      </c>
      <c r="C176" s="12" t="s">
        <v>301</v>
      </c>
      <c r="D176" s="12" t="s">
        <v>23</v>
      </c>
      <c r="E176" s="12" t="b">
        <v>0</v>
      </c>
      <c r="F176" s="12" t="s">
        <v>27</v>
      </c>
      <c r="G176" s="12">
        <v>7</v>
      </c>
      <c r="H176" s="13">
        <v>46119</v>
      </c>
    </row>
    <row r="177" spans="1:8">
      <c r="A177" s="12">
        <v>1420</v>
      </c>
      <c r="B177" s="12" t="s">
        <v>302</v>
      </c>
      <c r="C177" s="12" t="s">
        <v>212</v>
      </c>
      <c r="D177" s="12" t="s">
        <v>23</v>
      </c>
      <c r="E177" s="12" t="b">
        <v>1</v>
      </c>
      <c r="F177" s="12" t="s">
        <v>27</v>
      </c>
      <c r="G177" s="12">
        <v>15</v>
      </c>
      <c r="H177" s="13">
        <v>46119</v>
      </c>
    </row>
    <row r="178" spans="1:8">
      <c r="A178" s="12">
        <v>1410</v>
      </c>
      <c r="B178" s="12" t="s">
        <v>104</v>
      </c>
      <c r="C178" s="12" t="s">
        <v>303</v>
      </c>
      <c r="D178" s="12" t="s">
        <v>23</v>
      </c>
      <c r="E178" s="12" t="b">
        <v>0</v>
      </c>
      <c r="F178" s="12" t="s">
        <v>25</v>
      </c>
      <c r="H178" s="13">
        <v>46119</v>
      </c>
    </row>
    <row r="179" spans="1:8">
      <c r="A179" s="12">
        <v>1161</v>
      </c>
      <c r="B179" s="12" t="s">
        <v>304</v>
      </c>
      <c r="C179" s="12" t="s">
        <v>305</v>
      </c>
      <c r="D179" s="12" t="s">
        <v>23</v>
      </c>
      <c r="E179" s="12" t="b">
        <v>0</v>
      </c>
      <c r="F179" s="12" t="s">
        <v>25</v>
      </c>
      <c r="H179" s="13">
        <v>46119</v>
      </c>
    </row>
    <row r="180" spans="1:8">
      <c r="A180" s="12">
        <v>890</v>
      </c>
      <c r="B180" s="12" t="s">
        <v>306</v>
      </c>
      <c r="C180" s="12" t="s">
        <v>307</v>
      </c>
      <c r="D180" s="12" t="s">
        <v>54</v>
      </c>
      <c r="E180" s="12" t="b">
        <v>0</v>
      </c>
      <c r="F180" s="12" t="s">
        <v>27</v>
      </c>
      <c r="G180" s="12">
        <v>23</v>
      </c>
      <c r="H180" s="13">
        <v>46119</v>
      </c>
    </row>
    <row r="181" spans="1:8">
      <c r="A181" s="12">
        <v>1166</v>
      </c>
      <c r="B181" s="12" t="s">
        <v>308</v>
      </c>
      <c r="C181" s="12" t="s">
        <v>143</v>
      </c>
      <c r="D181" s="12" t="s">
        <v>54</v>
      </c>
      <c r="E181" s="12" t="b">
        <v>0</v>
      </c>
      <c r="F181" s="12" t="s">
        <v>27</v>
      </c>
      <c r="G181" s="12">
        <v>5</v>
      </c>
      <c r="H181" s="13">
        <v>46119</v>
      </c>
    </row>
    <row r="182" spans="1:8">
      <c r="A182" s="12">
        <v>45</v>
      </c>
      <c r="B182" s="12" t="s">
        <v>309</v>
      </c>
      <c r="C182" s="12" t="s">
        <v>310</v>
      </c>
      <c r="D182" s="12" t="s">
        <v>23</v>
      </c>
      <c r="E182" s="12" t="b">
        <v>0</v>
      </c>
      <c r="F182" s="12" t="s">
        <v>27</v>
      </c>
      <c r="G182" s="12">
        <v>20</v>
      </c>
      <c r="H182" s="13">
        <v>46119</v>
      </c>
    </row>
    <row r="183" spans="1:8">
      <c r="A183" s="12">
        <v>1160</v>
      </c>
      <c r="B183" s="12" t="s">
        <v>311</v>
      </c>
      <c r="C183" s="12" t="s">
        <v>312</v>
      </c>
      <c r="D183" s="12" t="s">
        <v>23</v>
      </c>
      <c r="E183" s="12" t="b">
        <v>0</v>
      </c>
      <c r="F183" s="12" t="s">
        <v>25</v>
      </c>
      <c r="H183" s="13">
        <v>46119</v>
      </c>
    </row>
    <row r="184" spans="1:8">
      <c r="A184" s="12">
        <v>945</v>
      </c>
      <c r="B184" s="12" t="s">
        <v>313</v>
      </c>
      <c r="C184" s="12" t="s">
        <v>49</v>
      </c>
      <c r="D184" s="12" t="s">
        <v>23</v>
      </c>
      <c r="E184" s="12" t="b">
        <v>0</v>
      </c>
      <c r="F184" s="12" t="s">
        <v>25</v>
      </c>
      <c r="H184" s="13">
        <v>46119</v>
      </c>
    </row>
    <row r="185" spans="1:8">
      <c r="A185" s="12">
        <v>813</v>
      </c>
      <c r="B185" s="12" t="s">
        <v>313</v>
      </c>
      <c r="C185" s="12" t="s">
        <v>289</v>
      </c>
      <c r="D185" s="12" t="s">
        <v>23</v>
      </c>
      <c r="E185" s="12" t="b">
        <v>1</v>
      </c>
      <c r="F185" s="12" t="s">
        <v>27</v>
      </c>
      <c r="G185" s="12">
        <v>7</v>
      </c>
      <c r="H185" s="13">
        <v>46119</v>
      </c>
    </row>
    <row r="186" spans="1:8">
      <c r="A186" s="12">
        <v>812</v>
      </c>
      <c r="B186" s="12" t="s">
        <v>313</v>
      </c>
      <c r="C186" s="12" t="s">
        <v>170</v>
      </c>
      <c r="D186" s="12" t="s">
        <v>23</v>
      </c>
      <c r="E186" s="12" t="b">
        <v>0</v>
      </c>
      <c r="F186" s="12" t="s">
        <v>27</v>
      </c>
      <c r="G186" s="12">
        <v>9</v>
      </c>
      <c r="H186" s="13">
        <v>46119</v>
      </c>
    </row>
    <row r="187" spans="1:8">
      <c r="A187" s="12">
        <v>1129</v>
      </c>
      <c r="B187" s="12" t="s">
        <v>314</v>
      </c>
      <c r="C187" s="12" t="s">
        <v>315</v>
      </c>
      <c r="D187" s="12" t="s">
        <v>23</v>
      </c>
      <c r="E187" s="12" t="b">
        <v>0</v>
      </c>
      <c r="F187" s="12" t="s">
        <v>27</v>
      </c>
      <c r="G187" s="12">
        <v>12</v>
      </c>
      <c r="H187" s="13">
        <v>46119</v>
      </c>
    </row>
    <row r="188" spans="1:8">
      <c r="A188" s="12">
        <v>915</v>
      </c>
      <c r="B188" s="12" t="s">
        <v>316</v>
      </c>
      <c r="C188" s="12" t="s">
        <v>241</v>
      </c>
      <c r="D188" s="12" t="s">
        <v>23</v>
      </c>
      <c r="E188" s="12" t="b">
        <v>0</v>
      </c>
      <c r="F188" s="12" t="s">
        <v>27</v>
      </c>
      <c r="G188" s="12">
        <v>8</v>
      </c>
      <c r="H188" s="13">
        <v>46119</v>
      </c>
    </row>
    <row r="189" spans="1:8">
      <c r="A189" s="12">
        <v>860</v>
      </c>
      <c r="B189" s="12" t="s">
        <v>321</v>
      </c>
      <c r="C189" s="12" t="s">
        <v>215</v>
      </c>
      <c r="D189" s="12" t="s">
        <v>23</v>
      </c>
      <c r="E189" s="12" t="b">
        <v>1</v>
      </c>
      <c r="F189" s="12" t="s">
        <v>25</v>
      </c>
      <c r="H189" s="13">
        <v>46119</v>
      </c>
    </row>
    <row r="190" spans="1:8">
      <c r="A190" s="12">
        <v>756</v>
      </c>
      <c r="B190" s="12" t="s">
        <v>321</v>
      </c>
      <c r="C190" s="12" t="s">
        <v>322</v>
      </c>
      <c r="D190" s="12" t="s">
        <v>23</v>
      </c>
      <c r="E190" s="12" t="b">
        <v>0</v>
      </c>
      <c r="F190" s="12" t="s">
        <v>25</v>
      </c>
      <c r="H190" s="13">
        <v>46119</v>
      </c>
    </row>
    <row r="191" spans="1:8">
      <c r="A191" s="12">
        <v>407</v>
      </c>
      <c r="B191" s="12" t="s">
        <v>321</v>
      </c>
      <c r="C191" s="12" t="s">
        <v>323</v>
      </c>
      <c r="D191" s="12" t="s">
        <v>23</v>
      </c>
      <c r="E191" s="12" t="b">
        <v>0</v>
      </c>
      <c r="F191" s="12" t="s">
        <v>27</v>
      </c>
      <c r="G191" s="12">
        <v>5</v>
      </c>
      <c r="H191" s="13">
        <v>46119</v>
      </c>
    </row>
    <row r="192" spans="1:8">
      <c r="A192" s="12">
        <v>1312</v>
      </c>
      <c r="B192" s="12" t="s">
        <v>329</v>
      </c>
      <c r="C192" s="12" t="s">
        <v>287</v>
      </c>
      <c r="D192" s="12" t="s">
        <v>23</v>
      </c>
      <c r="E192" s="12" t="b">
        <v>1</v>
      </c>
      <c r="F192" s="12" t="s">
        <v>27</v>
      </c>
      <c r="G192" s="12">
        <v>35</v>
      </c>
      <c r="H192" s="13">
        <v>46119</v>
      </c>
    </row>
    <row r="193" spans="1:8">
      <c r="A193" s="12">
        <v>935</v>
      </c>
      <c r="B193" s="12" t="s">
        <v>330</v>
      </c>
      <c r="C193" s="12" t="s">
        <v>245</v>
      </c>
      <c r="D193" s="12" t="s">
        <v>23</v>
      </c>
      <c r="E193" s="12" t="b">
        <v>1</v>
      </c>
      <c r="F193" s="12" t="s">
        <v>25</v>
      </c>
      <c r="H193" s="13">
        <v>46119</v>
      </c>
    </row>
    <row r="194" spans="1:8">
      <c r="A194" s="12">
        <v>999</v>
      </c>
      <c r="B194" s="12" t="s">
        <v>330</v>
      </c>
      <c r="C194" s="12" t="s">
        <v>331</v>
      </c>
      <c r="D194" s="12" t="s">
        <v>23</v>
      </c>
      <c r="E194" s="12" t="b">
        <v>1</v>
      </c>
      <c r="F194" s="12" t="s">
        <v>25</v>
      </c>
      <c r="H194" s="13">
        <v>46119</v>
      </c>
    </row>
    <row r="195" spans="1:8">
      <c r="A195" s="12">
        <v>998</v>
      </c>
      <c r="B195" s="12" t="s">
        <v>330</v>
      </c>
      <c r="C195" s="12" t="s">
        <v>332</v>
      </c>
      <c r="D195" s="12" t="s">
        <v>23</v>
      </c>
      <c r="E195" s="12" t="b">
        <v>1</v>
      </c>
      <c r="F195" s="12" t="s">
        <v>27</v>
      </c>
      <c r="G195" s="12">
        <v>5</v>
      </c>
      <c r="H195" s="13">
        <v>46119</v>
      </c>
    </row>
    <row r="196" spans="1:8">
      <c r="A196" s="12">
        <v>616</v>
      </c>
      <c r="B196" s="12" t="s">
        <v>330</v>
      </c>
      <c r="C196" s="12" t="s">
        <v>41</v>
      </c>
      <c r="D196" s="12" t="s">
        <v>23</v>
      </c>
      <c r="E196" s="12" t="b">
        <v>0</v>
      </c>
      <c r="F196" s="12" t="s">
        <v>27</v>
      </c>
      <c r="G196" s="12">
        <v>7</v>
      </c>
      <c r="H196" s="13">
        <v>46119</v>
      </c>
    </row>
    <row r="197" spans="1:8">
      <c r="A197" s="12">
        <v>558</v>
      </c>
      <c r="B197" s="12" t="s">
        <v>333</v>
      </c>
      <c r="C197" s="12" t="s">
        <v>334</v>
      </c>
      <c r="D197" s="12" t="s">
        <v>23</v>
      </c>
      <c r="E197" s="12" t="b">
        <v>0</v>
      </c>
      <c r="F197" s="12" t="s">
        <v>27</v>
      </c>
      <c r="G197" s="12">
        <v>15</v>
      </c>
      <c r="H197" s="13">
        <v>46119</v>
      </c>
    </row>
    <row r="198" spans="1:8">
      <c r="A198" s="12">
        <v>991</v>
      </c>
      <c r="B198" s="12" t="s">
        <v>335</v>
      </c>
      <c r="C198" s="12" t="s">
        <v>184</v>
      </c>
      <c r="D198" s="12" t="s">
        <v>23</v>
      </c>
      <c r="E198" s="12" t="b">
        <v>1</v>
      </c>
      <c r="F198" s="12" t="s">
        <v>35</v>
      </c>
      <c r="H198" s="13">
        <v>46119</v>
      </c>
    </row>
    <row r="199" spans="1:8">
      <c r="A199" s="12">
        <v>359</v>
      </c>
      <c r="B199" s="12" t="s">
        <v>336</v>
      </c>
      <c r="C199" s="12" t="s">
        <v>26</v>
      </c>
      <c r="D199" s="12" t="s">
        <v>23</v>
      </c>
      <c r="E199" s="12" t="b">
        <v>0</v>
      </c>
      <c r="F199" s="12" t="s">
        <v>27</v>
      </c>
      <c r="G199" s="12">
        <v>24</v>
      </c>
      <c r="H199" s="13">
        <v>46119</v>
      </c>
    </row>
    <row r="200" spans="1:8">
      <c r="A200" s="12">
        <v>1310</v>
      </c>
      <c r="B200" s="12" t="s">
        <v>337</v>
      </c>
      <c r="C200" s="12" t="s">
        <v>311</v>
      </c>
      <c r="D200" s="12" t="s">
        <v>23</v>
      </c>
      <c r="E200" s="12" t="b">
        <v>0</v>
      </c>
      <c r="F200" s="12" t="s">
        <v>25</v>
      </c>
      <c r="H200" s="13">
        <v>46119</v>
      </c>
    </row>
    <row r="201" spans="1:8">
      <c r="A201" s="12">
        <v>1200</v>
      </c>
      <c r="B201" s="12" t="s">
        <v>338</v>
      </c>
      <c r="C201" s="12" t="s">
        <v>339</v>
      </c>
      <c r="D201" s="12" t="s">
        <v>23</v>
      </c>
      <c r="E201" s="12" t="b">
        <v>0</v>
      </c>
      <c r="F201" s="12" t="s">
        <v>27</v>
      </c>
      <c r="G201" s="12">
        <v>6</v>
      </c>
      <c r="H201" s="13">
        <v>46119</v>
      </c>
    </row>
    <row r="202" spans="1:8">
      <c r="A202" s="12">
        <v>1411</v>
      </c>
      <c r="B202" s="12" t="s">
        <v>338</v>
      </c>
      <c r="C202" s="12" t="s">
        <v>72</v>
      </c>
      <c r="D202" s="12" t="s">
        <v>23</v>
      </c>
      <c r="E202" s="12" t="b">
        <v>1</v>
      </c>
      <c r="F202" s="12" t="s">
        <v>27</v>
      </c>
      <c r="G202" s="12">
        <v>3</v>
      </c>
      <c r="H202" s="13">
        <v>46119</v>
      </c>
    </row>
    <row r="203" spans="1:8">
      <c r="A203" s="12">
        <v>1412</v>
      </c>
      <c r="B203" s="12" t="s">
        <v>338</v>
      </c>
      <c r="C203" s="12" t="s">
        <v>340</v>
      </c>
      <c r="D203" s="12" t="s">
        <v>23</v>
      </c>
      <c r="E203" s="12" t="b">
        <v>1</v>
      </c>
      <c r="F203" s="12" t="s">
        <v>188</v>
      </c>
      <c r="H203" s="13">
        <v>46119</v>
      </c>
    </row>
    <row r="204" spans="1:8">
      <c r="A204" s="12">
        <v>1413</v>
      </c>
      <c r="B204" s="12" t="s">
        <v>338</v>
      </c>
      <c r="C204" s="12" t="s">
        <v>214</v>
      </c>
      <c r="D204" s="12" t="s">
        <v>23</v>
      </c>
      <c r="E204" s="12" t="b">
        <v>0</v>
      </c>
      <c r="F204" s="12" t="s">
        <v>188</v>
      </c>
      <c r="H204" s="13">
        <v>46119</v>
      </c>
    </row>
    <row r="205" spans="1:8">
      <c r="A205" s="12">
        <v>1376</v>
      </c>
      <c r="B205" s="12" t="s">
        <v>192</v>
      </c>
      <c r="C205" s="12" t="s">
        <v>127</v>
      </c>
      <c r="D205" s="12" t="s">
        <v>23</v>
      </c>
      <c r="E205" s="12" t="b">
        <v>1</v>
      </c>
      <c r="F205" s="12" t="s">
        <v>25</v>
      </c>
      <c r="H205" s="13">
        <v>46119</v>
      </c>
    </row>
    <row r="206" spans="1:8">
      <c r="A206" s="12">
        <v>1140</v>
      </c>
      <c r="B206" s="12" t="s">
        <v>341</v>
      </c>
      <c r="C206" s="12" t="s">
        <v>243</v>
      </c>
      <c r="D206" s="12" t="s">
        <v>23</v>
      </c>
      <c r="E206" s="12" t="b">
        <v>0</v>
      </c>
      <c r="F206" s="12" t="s">
        <v>25</v>
      </c>
      <c r="H206" s="13">
        <v>46119</v>
      </c>
    </row>
    <row r="207" spans="1:8">
      <c r="A207" s="12">
        <v>989</v>
      </c>
      <c r="B207" s="12" t="s">
        <v>342</v>
      </c>
      <c r="C207" s="12" t="s">
        <v>343</v>
      </c>
      <c r="D207" s="12" t="s">
        <v>23</v>
      </c>
      <c r="E207" s="12" t="b">
        <v>0</v>
      </c>
      <c r="F207" s="12" t="s">
        <v>27</v>
      </c>
      <c r="G207" s="12">
        <v>3</v>
      </c>
      <c r="H207" s="13">
        <v>46119</v>
      </c>
    </row>
    <row r="208" spans="1:8">
      <c r="A208" s="12">
        <v>1417</v>
      </c>
      <c r="B208" s="12" t="s">
        <v>344</v>
      </c>
      <c r="C208" s="12" t="s">
        <v>345</v>
      </c>
      <c r="D208" s="12" t="s">
        <v>23</v>
      </c>
      <c r="E208" s="12" t="b">
        <v>1</v>
      </c>
      <c r="F208" s="12" t="s">
        <v>27</v>
      </c>
      <c r="G208" s="12">
        <v>17</v>
      </c>
      <c r="H208" s="13">
        <v>46119</v>
      </c>
    </row>
    <row r="209" spans="1:8">
      <c r="A209" s="12">
        <v>52</v>
      </c>
      <c r="B209" s="12" t="s">
        <v>346</v>
      </c>
      <c r="C209" s="12" t="s">
        <v>192</v>
      </c>
      <c r="D209" s="12" t="s">
        <v>23</v>
      </c>
      <c r="E209" s="12" t="b">
        <v>0</v>
      </c>
      <c r="F209" s="12" t="s">
        <v>25</v>
      </c>
      <c r="H209" s="13">
        <v>46119</v>
      </c>
    </row>
    <row r="210" spans="1:8">
      <c r="A210" s="12">
        <v>62</v>
      </c>
      <c r="B210" s="12" t="s">
        <v>344</v>
      </c>
      <c r="C210" s="12" t="s">
        <v>234</v>
      </c>
      <c r="D210" s="12" t="s">
        <v>23</v>
      </c>
      <c r="E210" s="12" t="b">
        <v>0</v>
      </c>
      <c r="F210" s="12" t="s">
        <v>27</v>
      </c>
      <c r="G210" s="12">
        <v>4</v>
      </c>
      <c r="H210" s="13">
        <v>46119</v>
      </c>
    </row>
    <row r="211" spans="1:8">
      <c r="A211" s="12">
        <v>930</v>
      </c>
      <c r="B211" s="12" t="s">
        <v>347</v>
      </c>
      <c r="C211" s="12" t="s">
        <v>348</v>
      </c>
      <c r="D211" s="12" t="s">
        <v>23</v>
      </c>
      <c r="E211" s="12" t="b">
        <v>1</v>
      </c>
      <c r="F211" s="12" t="s">
        <v>27</v>
      </c>
      <c r="G211" s="12">
        <v>6</v>
      </c>
      <c r="H211" s="13">
        <v>46119</v>
      </c>
    </row>
    <row r="212" spans="1:8">
      <c r="A212" s="12">
        <v>1254</v>
      </c>
      <c r="B212" s="12" t="s">
        <v>349</v>
      </c>
      <c r="C212" s="12" t="s">
        <v>51</v>
      </c>
      <c r="D212" s="12" t="s">
        <v>23</v>
      </c>
      <c r="E212" s="12" t="b">
        <v>0</v>
      </c>
      <c r="F212" s="12" t="s">
        <v>27</v>
      </c>
      <c r="G212" s="12">
        <v>21</v>
      </c>
      <c r="H212" s="13">
        <v>46119</v>
      </c>
    </row>
    <row r="213" spans="1:8">
      <c r="A213" s="12">
        <v>744</v>
      </c>
      <c r="B213" s="12" t="s">
        <v>350</v>
      </c>
      <c r="C213" s="12" t="s">
        <v>351</v>
      </c>
      <c r="D213" s="12" t="s">
        <v>23</v>
      </c>
      <c r="E213" s="12" t="b">
        <v>0</v>
      </c>
      <c r="F213" s="12" t="s">
        <v>27</v>
      </c>
      <c r="G213" s="12">
        <v>28</v>
      </c>
      <c r="H213" s="13">
        <v>46119</v>
      </c>
    </row>
    <row r="214" spans="1:8">
      <c r="A214" s="12">
        <v>337</v>
      </c>
      <c r="B214" s="12" t="s">
        <v>352</v>
      </c>
      <c r="C214" s="12" t="s">
        <v>179</v>
      </c>
      <c r="D214" s="12" t="s">
        <v>23</v>
      </c>
      <c r="E214" s="12" t="b">
        <v>1</v>
      </c>
      <c r="F214" s="12" t="s">
        <v>27</v>
      </c>
      <c r="G214" s="12">
        <v>21</v>
      </c>
      <c r="H214" s="13">
        <v>46119</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17"/>
  <sheetViews>
    <sheetView workbookViewId="0"/>
    <sheetView workbookViewId="1"/>
  </sheetViews>
  <sheetFormatPr defaultColWidth="9" defaultRowHeight="14.25"/>
  <cols>
    <col min="1" max="7" width="9" style="14"/>
    <col min="8" max="8" width="10.19921875" style="14" bestFit="1" customWidth="1"/>
    <col min="9" max="16384" width="9" style="14"/>
  </cols>
  <sheetData>
    <row r="1" spans="1:8">
      <c r="A1" s="14" t="s">
        <v>13</v>
      </c>
      <c r="B1" s="14" t="s">
        <v>14</v>
      </c>
      <c r="C1" s="14" t="s">
        <v>15</v>
      </c>
      <c r="D1" s="14" t="s">
        <v>16</v>
      </c>
      <c r="E1" s="14" t="s">
        <v>17</v>
      </c>
      <c r="F1" s="14" t="s">
        <v>18</v>
      </c>
      <c r="G1" s="14" t="s">
        <v>19</v>
      </c>
      <c r="H1" s="14" t="s">
        <v>20</v>
      </c>
    </row>
    <row r="2" spans="1:8">
      <c r="A2" s="14">
        <v>1327</v>
      </c>
      <c r="B2" s="14" t="s">
        <v>21</v>
      </c>
      <c r="C2" s="14" t="s">
        <v>22</v>
      </c>
      <c r="D2" s="14" t="s">
        <v>23</v>
      </c>
      <c r="E2" s="14" t="b">
        <v>0</v>
      </c>
      <c r="F2" s="14" t="s">
        <v>25</v>
      </c>
      <c r="H2" s="15">
        <v>46121</v>
      </c>
    </row>
    <row r="3" spans="1:8">
      <c r="A3" s="14">
        <v>1237</v>
      </c>
      <c r="B3" s="14" t="s">
        <v>21</v>
      </c>
      <c r="C3" s="14" t="s">
        <v>26</v>
      </c>
      <c r="D3" s="14" t="s">
        <v>23</v>
      </c>
      <c r="E3" s="14" t="b">
        <v>0</v>
      </c>
      <c r="F3" s="14" t="s">
        <v>27</v>
      </c>
      <c r="G3" s="14">
        <v>1</v>
      </c>
      <c r="H3" s="15">
        <v>46121</v>
      </c>
    </row>
    <row r="4" spans="1:8">
      <c r="A4" s="14">
        <v>819</v>
      </c>
      <c r="B4" s="14" t="s">
        <v>28</v>
      </c>
      <c r="C4" s="14" t="s">
        <v>29</v>
      </c>
      <c r="D4" s="14" t="s">
        <v>23</v>
      </c>
      <c r="E4" s="14" t="b">
        <v>1</v>
      </c>
      <c r="F4" s="14" t="s">
        <v>27</v>
      </c>
      <c r="G4" s="14">
        <v>23</v>
      </c>
      <c r="H4" s="15">
        <v>46121</v>
      </c>
    </row>
    <row r="5" spans="1:8">
      <c r="A5" s="14">
        <v>2</v>
      </c>
      <c r="B5" s="14" t="s">
        <v>31</v>
      </c>
      <c r="C5" s="14" t="s">
        <v>32</v>
      </c>
      <c r="D5" s="14" t="s">
        <v>23</v>
      </c>
      <c r="E5" s="14" t="b">
        <v>0</v>
      </c>
      <c r="F5" s="14" t="s">
        <v>27</v>
      </c>
      <c r="G5" s="14">
        <v>21</v>
      </c>
      <c r="H5" s="15">
        <v>46121</v>
      </c>
    </row>
    <row r="6" spans="1:8">
      <c r="A6" s="14">
        <v>1370</v>
      </c>
      <c r="B6" s="14" t="s">
        <v>33</v>
      </c>
      <c r="C6" s="14" t="s">
        <v>34</v>
      </c>
      <c r="D6" s="14" t="s">
        <v>23</v>
      </c>
      <c r="E6" s="14" t="b">
        <v>0</v>
      </c>
      <c r="F6" s="14" t="s">
        <v>27</v>
      </c>
      <c r="G6" s="14">
        <v>4</v>
      </c>
      <c r="H6" s="15">
        <v>46121</v>
      </c>
    </row>
    <row r="7" spans="1:8">
      <c r="A7" s="14">
        <v>1415</v>
      </c>
      <c r="B7" s="14" t="s">
        <v>33</v>
      </c>
      <c r="C7" s="14" t="s">
        <v>22</v>
      </c>
      <c r="D7" s="14" t="s">
        <v>23</v>
      </c>
      <c r="E7" s="14" t="b">
        <v>0</v>
      </c>
      <c r="F7" s="14" t="s">
        <v>35</v>
      </c>
      <c r="H7" s="15">
        <v>46121</v>
      </c>
    </row>
    <row r="8" spans="1:8">
      <c r="A8" s="14">
        <v>1286</v>
      </c>
      <c r="B8" s="14" t="s">
        <v>36</v>
      </c>
      <c r="C8" s="14" t="s">
        <v>34</v>
      </c>
      <c r="D8" s="14" t="s">
        <v>23</v>
      </c>
      <c r="E8" s="14" t="b">
        <v>0</v>
      </c>
      <c r="F8" s="14" t="s">
        <v>27</v>
      </c>
      <c r="G8" s="14">
        <v>13</v>
      </c>
      <c r="H8" s="15">
        <v>46121</v>
      </c>
    </row>
    <row r="9" spans="1:8">
      <c r="A9" s="14">
        <v>1381</v>
      </c>
      <c r="B9" s="14" t="s">
        <v>36</v>
      </c>
      <c r="C9" s="14" t="s">
        <v>37</v>
      </c>
      <c r="D9" s="14" t="s">
        <v>23</v>
      </c>
      <c r="E9" s="14" t="b">
        <v>0</v>
      </c>
      <c r="F9" s="14" t="s">
        <v>25</v>
      </c>
      <c r="H9" s="15">
        <v>46121</v>
      </c>
    </row>
    <row r="10" spans="1:8">
      <c r="A10" s="14">
        <v>1112</v>
      </c>
      <c r="B10" s="14" t="s">
        <v>38</v>
      </c>
      <c r="C10" s="14" t="s">
        <v>39</v>
      </c>
      <c r="D10" s="14" t="s">
        <v>23</v>
      </c>
      <c r="E10" s="14" t="b">
        <v>0</v>
      </c>
      <c r="F10" s="14" t="s">
        <v>27</v>
      </c>
      <c r="G10" s="14">
        <v>16</v>
      </c>
      <c r="H10" s="15">
        <v>46121</v>
      </c>
    </row>
    <row r="11" spans="1:8">
      <c r="A11" s="14">
        <v>1135</v>
      </c>
      <c r="B11" s="14" t="s">
        <v>40</v>
      </c>
      <c r="C11" s="14" t="s">
        <v>41</v>
      </c>
      <c r="D11" s="14" t="s">
        <v>23</v>
      </c>
      <c r="E11" s="14" t="b">
        <v>0</v>
      </c>
      <c r="F11" s="14" t="s">
        <v>27</v>
      </c>
      <c r="G11" s="14">
        <v>1</v>
      </c>
      <c r="H11" s="15">
        <v>46121</v>
      </c>
    </row>
    <row r="12" spans="1:8">
      <c r="A12" s="14">
        <v>982</v>
      </c>
      <c r="B12" s="14" t="s">
        <v>42</v>
      </c>
      <c r="C12" s="14" t="s">
        <v>32</v>
      </c>
      <c r="D12" s="14" t="s">
        <v>23</v>
      </c>
      <c r="E12" s="14" t="b">
        <v>0</v>
      </c>
      <c r="F12" s="14" t="s">
        <v>27</v>
      </c>
      <c r="G12" s="14">
        <v>22</v>
      </c>
      <c r="H12" s="15">
        <v>46121</v>
      </c>
    </row>
    <row r="13" spans="1:8">
      <c r="A13" s="14">
        <v>1328</v>
      </c>
      <c r="B13" s="14" t="s">
        <v>43</v>
      </c>
      <c r="C13" s="14" t="s">
        <v>44</v>
      </c>
      <c r="D13" s="14" t="s">
        <v>23</v>
      </c>
      <c r="E13" s="14" t="b">
        <v>0</v>
      </c>
      <c r="F13" s="14" t="s">
        <v>27</v>
      </c>
      <c r="G13" s="14">
        <v>4</v>
      </c>
      <c r="H13" s="15">
        <v>46121</v>
      </c>
    </row>
    <row r="14" spans="1:8">
      <c r="A14" s="14">
        <v>369</v>
      </c>
      <c r="B14" s="14" t="s">
        <v>45</v>
      </c>
      <c r="C14" s="14" t="s">
        <v>46</v>
      </c>
      <c r="D14" s="14" t="s">
        <v>23</v>
      </c>
      <c r="E14" s="14" t="b">
        <v>0</v>
      </c>
      <c r="F14" s="14" t="s">
        <v>27</v>
      </c>
      <c r="G14" s="14">
        <v>8</v>
      </c>
      <c r="H14" s="15">
        <v>46121</v>
      </c>
    </row>
    <row r="15" spans="1:8">
      <c r="A15" s="14">
        <v>7</v>
      </c>
      <c r="B15" s="14" t="s">
        <v>45</v>
      </c>
      <c r="C15" s="14" t="s">
        <v>47</v>
      </c>
      <c r="D15" s="14" t="s">
        <v>48</v>
      </c>
      <c r="E15" s="14" t="b">
        <v>0</v>
      </c>
      <c r="F15" s="14" t="s">
        <v>27</v>
      </c>
      <c r="G15" s="14">
        <v>32</v>
      </c>
      <c r="H15" s="15">
        <v>46121</v>
      </c>
    </row>
    <row r="16" spans="1:8">
      <c r="A16" s="14">
        <v>473</v>
      </c>
      <c r="B16" s="14" t="s">
        <v>45</v>
      </c>
      <c r="C16" s="14" t="s">
        <v>49</v>
      </c>
      <c r="D16" s="14" t="s">
        <v>48</v>
      </c>
      <c r="E16" s="14" t="b">
        <v>0</v>
      </c>
      <c r="F16" s="14" t="s">
        <v>27</v>
      </c>
      <c r="G16" s="14">
        <v>33</v>
      </c>
      <c r="H16" s="15">
        <v>46121</v>
      </c>
    </row>
    <row r="17" spans="1:8">
      <c r="A17" s="14">
        <v>1384</v>
      </c>
      <c r="B17" s="14" t="s">
        <v>50</v>
      </c>
      <c r="C17" s="14" t="s">
        <v>51</v>
      </c>
      <c r="D17" s="14" t="s">
        <v>23</v>
      </c>
      <c r="E17" s="14" t="b">
        <v>0</v>
      </c>
      <c r="F17" s="14" t="s">
        <v>27</v>
      </c>
      <c r="G17" s="14">
        <v>30</v>
      </c>
      <c r="H17" s="15">
        <v>46121</v>
      </c>
    </row>
    <row r="18" spans="1:8">
      <c r="A18" s="14">
        <v>1348</v>
      </c>
      <c r="B18" s="14" t="s">
        <v>52</v>
      </c>
      <c r="C18" s="14" t="s">
        <v>53</v>
      </c>
      <c r="D18" s="14" t="s">
        <v>54</v>
      </c>
      <c r="E18" s="14" t="b">
        <v>1</v>
      </c>
      <c r="F18" s="14" t="s">
        <v>25</v>
      </c>
      <c r="H18" s="15">
        <v>46121</v>
      </c>
    </row>
    <row r="19" spans="1:8">
      <c r="A19" s="14">
        <v>1275</v>
      </c>
      <c r="B19" s="14" t="s">
        <v>52</v>
      </c>
      <c r="C19" s="14" t="s">
        <v>55</v>
      </c>
      <c r="D19" s="14" t="s">
        <v>23</v>
      </c>
      <c r="E19" s="14" t="b">
        <v>1</v>
      </c>
      <c r="F19" s="14" t="s">
        <v>35</v>
      </c>
      <c r="H19" s="15">
        <v>46121</v>
      </c>
    </row>
    <row r="20" spans="1:8">
      <c r="A20" s="14">
        <v>68</v>
      </c>
      <c r="B20" s="14" t="s">
        <v>56</v>
      </c>
      <c r="C20" s="14" t="s">
        <v>57</v>
      </c>
      <c r="D20" s="14" t="s">
        <v>48</v>
      </c>
      <c r="E20" s="14" t="b">
        <v>0</v>
      </c>
      <c r="F20" s="14" t="s">
        <v>27</v>
      </c>
      <c r="G20" s="14">
        <v>35</v>
      </c>
      <c r="H20" s="15">
        <v>46121</v>
      </c>
    </row>
    <row r="21" spans="1:8">
      <c r="A21" s="14">
        <v>1035</v>
      </c>
      <c r="B21" s="14" t="s">
        <v>58</v>
      </c>
      <c r="C21" s="14" t="s">
        <v>59</v>
      </c>
      <c r="D21" s="14" t="s">
        <v>23</v>
      </c>
      <c r="E21" s="14" t="b">
        <v>0</v>
      </c>
      <c r="F21" s="14" t="s">
        <v>27</v>
      </c>
      <c r="G21" s="14">
        <v>6</v>
      </c>
      <c r="H21" s="15">
        <v>46121</v>
      </c>
    </row>
    <row r="22" spans="1:8">
      <c r="A22" s="14">
        <v>1416</v>
      </c>
      <c r="B22" s="14" t="s">
        <v>60</v>
      </c>
      <c r="C22" s="14" t="s">
        <v>61</v>
      </c>
      <c r="D22" s="14" t="s">
        <v>23</v>
      </c>
      <c r="E22" s="14" t="b">
        <v>0</v>
      </c>
      <c r="F22" s="14" t="s">
        <v>25</v>
      </c>
      <c r="H22" s="15">
        <v>46121</v>
      </c>
    </row>
    <row r="23" spans="1:8">
      <c r="A23" s="14">
        <v>1326</v>
      </c>
      <c r="B23" s="14" t="s">
        <v>62</v>
      </c>
      <c r="C23" s="14" t="s">
        <v>63</v>
      </c>
      <c r="D23" s="14" t="s">
        <v>23</v>
      </c>
      <c r="E23" s="14" t="b">
        <v>1</v>
      </c>
      <c r="F23" s="14" t="s">
        <v>25</v>
      </c>
      <c r="H23" s="15">
        <v>46121</v>
      </c>
    </row>
    <row r="24" spans="1:8">
      <c r="A24" s="14">
        <v>477</v>
      </c>
      <c r="B24" s="14" t="s">
        <v>64</v>
      </c>
      <c r="C24" s="14" t="s">
        <v>65</v>
      </c>
      <c r="D24" s="14" t="s">
        <v>23</v>
      </c>
      <c r="E24" s="14" t="b">
        <v>1</v>
      </c>
      <c r="F24" s="14" t="s">
        <v>27</v>
      </c>
      <c r="G24" s="14">
        <v>34</v>
      </c>
      <c r="H24" s="15">
        <v>46121</v>
      </c>
    </row>
    <row r="25" spans="1:8">
      <c r="A25" s="14">
        <v>10</v>
      </c>
      <c r="B25" s="14" t="s">
        <v>64</v>
      </c>
      <c r="C25" s="14" t="s">
        <v>66</v>
      </c>
      <c r="D25" s="14" t="s">
        <v>48</v>
      </c>
      <c r="E25" s="14" t="b">
        <v>0</v>
      </c>
      <c r="F25" s="14" t="s">
        <v>27</v>
      </c>
      <c r="G25" s="14">
        <v>35</v>
      </c>
      <c r="H25" s="15">
        <v>46121</v>
      </c>
    </row>
    <row r="26" spans="1:8">
      <c r="A26" s="14">
        <v>1414</v>
      </c>
      <c r="B26" s="14" t="s">
        <v>67</v>
      </c>
      <c r="C26" s="14" t="s">
        <v>36</v>
      </c>
      <c r="D26" s="14" t="s">
        <v>23</v>
      </c>
      <c r="E26" s="14" t="b">
        <v>0</v>
      </c>
      <c r="F26" s="14" t="s">
        <v>27</v>
      </c>
      <c r="G26" s="14">
        <v>13</v>
      </c>
      <c r="H26" s="15">
        <v>46121</v>
      </c>
    </row>
    <row r="27" spans="1:8">
      <c r="A27" s="14">
        <v>1029</v>
      </c>
      <c r="B27" s="14" t="s">
        <v>68</v>
      </c>
      <c r="C27" s="14" t="s">
        <v>69</v>
      </c>
      <c r="D27" s="14" t="s">
        <v>23</v>
      </c>
      <c r="E27" s="14" t="b">
        <v>0</v>
      </c>
      <c r="F27" s="14" t="s">
        <v>27</v>
      </c>
      <c r="G27" s="14">
        <v>28</v>
      </c>
      <c r="H27" s="15">
        <v>46121</v>
      </c>
    </row>
    <row r="28" spans="1:8">
      <c r="A28" s="14">
        <v>13</v>
      </c>
      <c r="B28" s="14" t="s">
        <v>70</v>
      </c>
      <c r="C28" s="14" t="s">
        <v>51</v>
      </c>
      <c r="D28" s="14" t="s">
        <v>23</v>
      </c>
      <c r="E28" s="14" t="b">
        <v>0</v>
      </c>
      <c r="F28" s="14" t="s">
        <v>27</v>
      </c>
      <c r="G28" s="14">
        <v>28</v>
      </c>
      <c r="H28" s="15">
        <v>46121</v>
      </c>
    </row>
    <row r="29" spans="1:8">
      <c r="A29" s="14">
        <v>1255</v>
      </c>
      <c r="B29" s="14" t="s">
        <v>71</v>
      </c>
      <c r="C29" s="14" t="s">
        <v>72</v>
      </c>
      <c r="D29" s="14" t="s">
        <v>23</v>
      </c>
      <c r="E29" s="14" t="b">
        <v>1</v>
      </c>
      <c r="F29" s="14" t="s">
        <v>27</v>
      </c>
      <c r="G29" s="14">
        <v>13</v>
      </c>
      <c r="H29" s="15">
        <v>46121</v>
      </c>
    </row>
    <row r="30" spans="1:8">
      <c r="A30" s="14">
        <v>1405</v>
      </c>
      <c r="B30" s="14" t="s">
        <v>73</v>
      </c>
      <c r="C30" s="14" t="s">
        <v>74</v>
      </c>
      <c r="D30" s="14" t="s">
        <v>23</v>
      </c>
      <c r="E30" s="14" t="b">
        <v>1</v>
      </c>
      <c r="F30" s="14" t="s">
        <v>35</v>
      </c>
      <c r="H30" s="15">
        <v>46121</v>
      </c>
    </row>
    <row r="31" spans="1:8">
      <c r="A31" s="14">
        <v>1421</v>
      </c>
      <c r="B31" s="14" t="s">
        <v>75</v>
      </c>
      <c r="C31" s="14" t="s">
        <v>76</v>
      </c>
      <c r="D31" s="14" t="s">
        <v>23</v>
      </c>
      <c r="E31" s="14" t="b">
        <v>1</v>
      </c>
      <c r="F31" s="14" t="s">
        <v>27</v>
      </c>
      <c r="G31" s="14">
        <v>12</v>
      </c>
      <c r="H31" s="15">
        <v>46121</v>
      </c>
    </row>
    <row r="32" spans="1:8">
      <c r="A32" s="14">
        <v>1418</v>
      </c>
      <c r="B32" s="14" t="s">
        <v>75</v>
      </c>
      <c r="C32" s="14" t="s">
        <v>22</v>
      </c>
      <c r="D32" s="14" t="s">
        <v>23</v>
      </c>
      <c r="E32" s="14" t="b">
        <v>0</v>
      </c>
      <c r="F32" s="14" t="s">
        <v>25</v>
      </c>
      <c r="H32" s="15">
        <v>46121</v>
      </c>
    </row>
    <row r="33" spans="1:8">
      <c r="A33" s="14">
        <v>919</v>
      </c>
      <c r="B33" s="14" t="s">
        <v>77</v>
      </c>
      <c r="C33" s="14" t="s">
        <v>51</v>
      </c>
      <c r="D33" s="14" t="s">
        <v>23</v>
      </c>
      <c r="E33" s="14" t="b">
        <v>0</v>
      </c>
      <c r="F33" s="14" t="s">
        <v>27</v>
      </c>
      <c r="G33" s="14">
        <v>16</v>
      </c>
      <c r="H33" s="15">
        <v>46121</v>
      </c>
    </row>
    <row r="34" spans="1:8">
      <c r="A34" s="14">
        <v>1319</v>
      </c>
      <c r="B34" s="14" t="s">
        <v>78</v>
      </c>
      <c r="C34" s="14" t="s">
        <v>32</v>
      </c>
      <c r="D34" s="14" t="s">
        <v>23</v>
      </c>
      <c r="E34" s="14" t="b">
        <v>0</v>
      </c>
      <c r="F34" s="14" t="s">
        <v>27</v>
      </c>
      <c r="G34" s="14">
        <v>9</v>
      </c>
      <c r="H34" s="15">
        <v>46121</v>
      </c>
    </row>
    <row r="35" spans="1:8">
      <c r="A35" s="14">
        <v>1389</v>
      </c>
      <c r="B35" s="14" t="s">
        <v>79</v>
      </c>
      <c r="C35" s="14" t="s">
        <v>80</v>
      </c>
      <c r="D35" s="14" t="s">
        <v>23</v>
      </c>
      <c r="E35" s="14" t="b">
        <v>0</v>
      </c>
      <c r="F35" s="14" t="s">
        <v>25</v>
      </c>
      <c r="H35" s="15">
        <v>46121</v>
      </c>
    </row>
    <row r="36" spans="1:8">
      <c r="A36" s="14">
        <v>940</v>
      </c>
      <c r="B36" s="14" t="s">
        <v>81</v>
      </c>
      <c r="C36" s="14" t="s">
        <v>82</v>
      </c>
      <c r="D36" s="14" t="s">
        <v>23</v>
      </c>
      <c r="E36" s="14" t="b">
        <v>1</v>
      </c>
      <c r="F36" s="14" t="s">
        <v>27</v>
      </c>
      <c r="G36" s="14">
        <v>9</v>
      </c>
      <c r="H36" s="15">
        <v>46121</v>
      </c>
    </row>
    <row r="37" spans="1:8">
      <c r="A37" s="14">
        <v>806</v>
      </c>
      <c r="B37" s="14" t="s">
        <v>81</v>
      </c>
      <c r="C37" s="14" t="s">
        <v>83</v>
      </c>
      <c r="D37" s="14" t="s">
        <v>23</v>
      </c>
      <c r="E37" s="14" t="b">
        <v>0</v>
      </c>
      <c r="F37" s="14" t="s">
        <v>27</v>
      </c>
      <c r="G37" s="14">
        <v>11</v>
      </c>
      <c r="H37" s="15">
        <v>46121</v>
      </c>
    </row>
    <row r="38" spans="1:8">
      <c r="A38" s="14">
        <v>482</v>
      </c>
      <c r="B38" s="14" t="s">
        <v>84</v>
      </c>
      <c r="C38" s="14" t="s">
        <v>85</v>
      </c>
      <c r="D38" s="14" t="s">
        <v>23</v>
      </c>
      <c r="E38" s="14" t="b">
        <v>0</v>
      </c>
      <c r="F38" s="14" t="s">
        <v>27</v>
      </c>
      <c r="G38" s="14">
        <v>13</v>
      </c>
      <c r="H38" s="15">
        <v>46121</v>
      </c>
    </row>
    <row r="39" spans="1:8">
      <c r="A39" s="14">
        <v>674</v>
      </c>
      <c r="B39" s="14" t="s">
        <v>86</v>
      </c>
      <c r="C39" s="14" t="s">
        <v>87</v>
      </c>
      <c r="D39" s="14" t="s">
        <v>54</v>
      </c>
      <c r="E39" s="14" t="b">
        <v>1</v>
      </c>
      <c r="F39" s="14" t="s">
        <v>27</v>
      </c>
      <c r="G39" s="14">
        <v>23</v>
      </c>
      <c r="H39" s="15">
        <v>46121</v>
      </c>
    </row>
    <row r="40" spans="1:8">
      <c r="A40" s="14">
        <v>1061</v>
      </c>
      <c r="B40" s="14" t="s">
        <v>88</v>
      </c>
      <c r="C40" s="14" t="s">
        <v>89</v>
      </c>
      <c r="D40" s="14" t="s">
        <v>23</v>
      </c>
      <c r="E40" s="14" t="b">
        <v>0</v>
      </c>
      <c r="F40" s="14" t="s">
        <v>27</v>
      </c>
      <c r="G40" s="14">
        <v>19</v>
      </c>
      <c r="H40" s="15">
        <v>46121</v>
      </c>
    </row>
    <row r="41" spans="1:8">
      <c r="A41" s="14">
        <v>763</v>
      </c>
      <c r="B41" s="14" t="s">
        <v>90</v>
      </c>
      <c r="C41" s="14" t="s">
        <v>59</v>
      </c>
      <c r="D41" s="14" t="s">
        <v>23</v>
      </c>
      <c r="E41" s="14" t="b">
        <v>0</v>
      </c>
      <c r="F41" s="14" t="s">
        <v>27</v>
      </c>
      <c r="G41" s="14">
        <v>17</v>
      </c>
      <c r="H41" s="15">
        <v>46121</v>
      </c>
    </row>
    <row r="42" spans="1:8">
      <c r="A42" s="14">
        <v>1227</v>
      </c>
      <c r="B42" s="14" t="s">
        <v>91</v>
      </c>
      <c r="C42" s="14" t="s">
        <v>92</v>
      </c>
      <c r="D42" s="14" t="s">
        <v>23</v>
      </c>
      <c r="E42" s="14" t="b">
        <v>1</v>
      </c>
      <c r="F42" s="14" t="s">
        <v>27</v>
      </c>
      <c r="G42" s="14">
        <v>8</v>
      </c>
      <c r="H42" s="15">
        <v>46121</v>
      </c>
    </row>
    <row r="43" spans="1:8">
      <c r="A43" s="14">
        <v>715</v>
      </c>
      <c r="B43" s="14" t="s">
        <v>93</v>
      </c>
      <c r="C43" s="14" t="s">
        <v>94</v>
      </c>
      <c r="D43" s="14" t="s">
        <v>23</v>
      </c>
      <c r="E43" s="14" t="b">
        <v>0</v>
      </c>
      <c r="F43" s="14" t="s">
        <v>27</v>
      </c>
      <c r="G43" s="14">
        <v>5</v>
      </c>
      <c r="H43" s="15">
        <v>46121</v>
      </c>
    </row>
    <row r="44" spans="1:8">
      <c r="A44" s="14">
        <v>567</v>
      </c>
      <c r="B44" s="14" t="s">
        <v>95</v>
      </c>
      <c r="C44" s="14" t="s">
        <v>96</v>
      </c>
      <c r="D44" s="14" t="s">
        <v>23</v>
      </c>
      <c r="E44" s="14" t="b">
        <v>0</v>
      </c>
      <c r="F44" s="14" t="s">
        <v>27</v>
      </c>
      <c r="G44" s="14">
        <v>7</v>
      </c>
      <c r="H44" s="15">
        <v>46121</v>
      </c>
    </row>
    <row r="45" spans="1:8">
      <c r="A45" s="14">
        <v>1391</v>
      </c>
      <c r="B45" s="14" t="s">
        <v>97</v>
      </c>
      <c r="C45" s="14" t="s">
        <v>98</v>
      </c>
      <c r="D45" s="14" t="s">
        <v>23</v>
      </c>
      <c r="E45" s="14" t="b">
        <v>1</v>
      </c>
      <c r="F45" s="14" t="s">
        <v>25</v>
      </c>
      <c r="H45" s="15">
        <v>46121</v>
      </c>
    </row>
    <row r="46" spans="1:8">
      <c r="A46" s="14">
        <v>704</v>
      </c>
      <c r="B46" s="14" t="s">
        <v>99</v>
      </c>
      <c r="C46" s="14" t="s">
        <v>100</v>
      </c>
      <c r="D46" s="14" t="s">
        <v>23</v>
      </c>
      <c r="E46" s="14" t="b">
        <v>0</v>
      </c>
      <c r="F46" s="14" t="s">
        <v>27</v>
      </c>
      <c r="G46" s="14">
        <v>21</v>
      </c>
      <c r="H46" s="15">
        <v>46121</v>
      </c>
    </row>
    <row r="47" spans="1:8">
      <c r="A47" s="14">
        <v>1283</v>
      </c>
      <c r="B47" s="14" t="s">
        <v>101</v>
      </c>
      <c r="C47" s="14" t="s">
        <v>102</v>
      </c>
      <c r="D47" s="14" t="s">
        <v>23</v>
      </c>
      <c r="E47" s="14" t="b">
        <v>0</v>
      </c>
      <c r="F47" s="14" t="s">
        <v>27</v>
      </c>
      <c r="G47" s="14">
        <v>18</v>
      </c>
      <c r="H47" s="15">
        <v>46121</v>
      </c>
    </row>
    <row r="48" spans="1:8">
      <c r="A48" s="14">
        <v>295</v>
      </c>
      <c r="B48" s="14" t="s">
        <v>103</v>
      </c>
      <c r="C48" s="14" t="s">
        <v>104</v>
      </c>
      <c r="D48" s="14" t="s">
        <v>23</v>
      </c>
      <c r="E48" s="14" t="b">
        <v>0</v>
      </c>
      <c r="F48" s="14" t="s">
        <v>27</v>
      </c>
      <c r="G48" s="14">
        <v>15</v>
      </c>
      <c r="H48" s="15">
        <v>46121</v>
      </c>
    </row>
    <row r="49" spans="1:8">
      <c r="A49" s="14">
        <v>1226</v>
      </c>
      <c r="B49" s="14" t="s">
        <v>105</v>
      </c>
      <c r="C49" s="14" t="s">
        <v>106</v>
      </c>
      <c r="D49" s="14" t="s">
        <v>23</v>
      </c>
      <c r="E49" s="14" t="b">
        <v>1</v>
      </c>
      <c r="F49" s="14" t="s">
        <v>25</v>
      </c>
      <c r="H49" s="15">
        <v>46121</v>
      </c>
    </row>
    <row r="50" spans="1:8">
      <c r="A50" s="14">
        <v>1333</v>
      </c>
      <c r="B50" s="14" t="s">
        <v>107</v>
      </c>
      <c r="C50" s="14" t="s">
        <v>108</v>
      </c>
      <c r="D50" s="14" t="s">
        <v>23</v>
      </c>
      <c r="E50" s="14" t="b">
        <v>0</v>
      </c>
      <c r="F50" s="14" t="s">
        <v>27</v>
      </c>
      <c r="G50" s="14">
        <v>3</v>
      </c>
      <c r="H50" s="15">
        <v>46121</v>
      </c>
    </row>
    <row r="51" spans="1:8">
      <c r="A51" s="14">
        <v>1185</v>
      </c>
      <c r="B51" s="14" t="s">
        <v>109</v>
      </c>
      <c r="C51" s="14" t="s">
        <v>110</v>
      </c>
      <c r="D51" s="14" t="s">
        <v>23</v>
      </c>
      <c r="E51" s="14" t="b">
        <v>1</v>
      </c>
      <c r="F51" s="14" t="s">
        <v>35</v>
      </c>
      <c r="H51" s="15">
        <v>46121</v>
      </c>
    </row>
    <row r="52" spans="1:8">
      <c r="A52" s="14">
        <v>1065</v>
      </c>
      <c r="B52" s="14" t="s">
        <v>109</v>
      </c>
      <c r="C52" s="14" t="s">
        <v>41</v>
      </c>
      <c r="D52" s="14" t="s">
        <v>23</v>
      </c>
      <c r="E52" s="14" t="b">
        <v>0</v>
      </c>
      <c r="F52" s="14" t="s">
        <v>27</v>
      </c>
      <c r="G52" s="14">
        <v>1</v>
      </c>
      <c r="H52" s="15">
        <v>46121</v>
      </c>
    </row>
    <row r="53" spans="1:8">
      <c r="A53" s="14">
        <v>1407</v>
      </c>
      <c r="B53" s="14" t="s">
        <v>111</v>
      </c>
      <c r="C53" s="14" t="s">
        <v>112</v>
      </c>
      <c r="D53" s="14" t="s">
        <v>23</v>
      </c>
      <c r="E53" s="14" t="b">
        <v>0</v>
      </c>
      <c r="F53" s="14" t="s">
        <v>25</v>
      </c>
      <c r="H53" s="15">
        <v>46121</v>
      </c>
    </row>
    <row r="54" spans="1:8">
      <c r="A54" s="14">
        <v>1096</v>
      </c>
      <c r="B54" s="14" t="s">
        <v>113</v>
      </c>
      <c r="C54" s="14" t="s">
        <v>114</v>
      </c>
      <c r="D54" s="14" t="s">
        <v>23</v>
      </c>
      <c r="E54" s="14" t="b">
        <v>0</v>
      </c>
      <c r="F54" s="14" t="s">
        <v>35</v>
      </c>
      <c r="H54" s="15">
        <v>46121</v>
      </c>
    </row>
    <row r="55" spans="1:8">
      <c r="A55" s="14">
        <v>1236</v>
      </c>
      <c r="B55" s="14" t="s">
        <v>113</v>
      </c>
      <c r="C55" s="14" t="s">
        <v>115</v>
      </c>
      <c r="D55" s="14" t="s">
        <v>23</v>
      </c>
      <c r="E55" s="14" t="b">
        <v>1</v>
      </c>
      <c r="F55" s="14" t="s">
        <v>27</v>
      </c>
      <c r="G55" s="14">
        <v>5</v>
      </c>
      <c r="H55" s="15">
        <v>46121</v>
      </c>
    </row>
    <row r="56" spans="1:8">
      <c r="A56" s="14">
        <v>699</v>
      </c>
      <c r="B56" s="14" t="s">
        <v>113</v>
      </c>
      <c r="C56" s="14" t="s">
        <v>116</v>
      </c>
      <c r="D56" s="14" t="s">
        <v>23</v>
      </c>
      <c r="E56" s="14" t="b">
        <v>0</v>
      </c>
      <c r="F56" s="14" t="s">
        <v>27</v>
      </c>
      <c r="G56" s="14">
        <v>5</v>
      </c>
      <c r="H56" s="15">
        <v>46121</v>
      </c>
    </row>
    <row r="57" spans="1:8">
      <c r="A57" s="14">
        <v>1000</v>
      </c>
      <c r="B57" s="14" t="s">
        <v>120</v>
      </c>
      <c r="C57" s="14" t="s">
        <v>121</v>
      </c>
      <c r="D57" s="14" t="s">
        <v>23</v>
      </c>
      <c r="E57" s="14" t="b">
        <v>0</v>
      </c>
      <c r="F57" s="14" t="s">
        <v>25</v>
      </c>
      <c r="H57" s="15">
        <v>46121</v>
      </c>
    </row>
    <row r="58" spans="1:8">
      <c r="A58" s="14">
        <v>1332</v>
      </c>
      <c r="B58" s="14" t="s">
        <v>122</v>
      </c>
      <c r="C58" s="14" t="s">
        <v>123</v>
      </c>
      <c r="D58" s="14" t="s">
        <v>23</v>
      </c>
      <c r="E58" s="14" t="b">
        <v>1</v>
      </c>
      <c r="F58" s="14" t="s">
        <v>25</v>
      </c>
      <c r="H58" s="15">
        <v>46121</v>
      </c>
    </row>
    <row r="59" spans="1:8">
      <c r="A59" s="14">
        <v>682</v>
      </c>
      <c r="B59" s="14" t="s">
        <v>124</v>
      </c>
      <c r="C59" s="14" t="s">
        <v>125</v>
      </c>
      <c r="D59" s="14" t="s">
        <v>23</v>
      </c>
      <c r="E59" s="14" t="b">
        <v>0</v>
      </c>
      <c r="F59" s="14" t="s">
        <v>27</v>
      </c>
      <c r="G59" s="14">
        <v>11</v>
      </c>
      <c r="H59" s="15">
        <v>46121</v>
      </c>
    </row>
    <row r="60" spans="1:8">
      <c r="A60" s="14">
        <v>1393</v>
      </c>
      <c r="B60" s="14" t="s">
        <v>126</v>
      </c>
      <c r="C60" s="14" t="s">
        <v>127</v>
      </c>
      <c r="D60" s="14" t="s">
        <v>23</v>
      </c>
      <c r="E60" s="14" t="b">
        <v>1</v>
      </c>
      <c r="F60" s="14" t="s">
        <v>27</v>
      </c>
      <c r="G60" s="14">
        <v>10</v>
      </c>
      <c r="H60" s="15">
        <v>46121</v>
      </c>
    </row>
    <row r="61" spans="1:8">
      <c r="A61" s="14">
        <v>1355</v>
      </c>
      <c r="B61" s="14" t="s">
        <v>128</v>
      </c>
      <c r="C61" s="14" t="s">
        <v>129</v>
      </c>
      <c r="D61" s="14" t="s">
        <v>23</v>
      </c>
      <c r="E61" s="14" t="b">
        <v>0</v>
      </c>
      <c r="F61" s="14" t="s">
        <v>35</v>
      </c>
      <c r="H61" s="15">
        <v>46121</v>
      </c>
    </row>
    <row r="62" spans="1:8">
      <c r="A62" s="14">
        <v>1164</v>
      </c>
      <c r="B62" s="14" t="s">
        <v>130</v>
      </c>
      <c r="C62" s="14" t="s">
        <v>131</v>
      </c>
      <c r="D62" s="14" t="s">
        <v>54</v>
      </c>
      <c r="E62" s="14" t="b">
        <v>1</v>
      </c>
      <c r="F62" s="14" t="s">
        <v>25</v>
      </c>
      <c r="H62" s="15">
        <v>46121</v>
      </c>
    </row>
    <row r="63" spans="1:8">
      <c r="A63" s="14">
        <v>1062</v>
      </c>
      <c r="B63" s="14" t="s">
        <v>130</v>
      </c>
      <c r="C63" s="14" t="s">
        <v>83</v>
      </c>
      <c r="D63" s="14" t="s">
        <v>23</v>
      </c>
      <c r="E63" s="14" t="b">
        <v>0</v>
      </c>
      <c r="F63" s="14" t="s">
        <v>27</v>
      </c>
      <c r="G63" s="14">
        <v>9</v>
      </c>
      <c r="H63" s="15">
        <v>46121</v>
      </c>
    </row>
    <row r="64" spans="1:8">
      <c r="A64" s="14">
        <v>938</v>
      </c>
      <c r="B64" s="14" t="s">
        <v>130</v>
      </c>
      <c r="C64" s="14" t="s">
        <v>132</v>
      </c>
      <c r="D64" s="14" t="s">
        <v>23</v>
      </c>
      <c r="E64" s="14" t="b">
        <v>1</v>
      </c>
      <c r="F64" s="14" t="s">
        <v>27</v>
      </c>
      <c r="G64" s="14">
        <v>7</v>
      </c>
      <c r="H64" s="15">
        <v>46121</v>
      </c>
    </row>
    <row r="65" spans="1:8">
      <c r="A65" s="14">
        <v>1034</v>
      </c>
      <c r="B65" s="14" t="s">
        <v>134</v>
      </c>
      <c r="C65" s="14" t="s">
        <v>83</v>
      </c>
      <c r="D65" s="14" t="s">
        <v>23</v>
      </c>
      <c r="E65" s="14" t="b">
        <v>0</v>
      </c>
      <c r="F65" s="14" t="s">
        <v>25</v>
      </c>
      <c r="H65" s="15">
        <v>46121</v>
      </c>
    </row>
    <row r="66" spans="1:8">
      <c r="A66" s="14">
        <v>1402</v>
      </c>
      <c r="B66" s="14" t="s">
        <v>135</v>
      </c>
      <c r="C66" s="14" t="s">
        <v>136</v>
      </c>
      <c r="D66" s="14" t="s">
        <v>23</v>
      </c>
      <c r="E66" s="14" t="b">
        <v>0</v>
      </c>
      <c r="F66" s="14" t="s">
        <v>27</v>
      </c>
      <c r="G66" s="14">
        <v>7</v>
      </c>
      <c r="H66" s="15">
        <v>46121</v>
      </c>
    </row>
    <row r="67" spans="1:8">
      <c r="A67" s="14">
        <v>939</v>
      </c>
      <c r="B67" s="14" t="s">
        <v>137</v>
      </c>
      <c r="C67" s="14" t="s">
        <v>127</v>
      </c>
      <c r="D67" s="14" t="s">
        <v>23</v>
      </c>
      <c r="E67" s="14" t="b">
        <v>1</v>
      </c>
      <c r="F67" s="14" t="s">
        <v>27</v>
      </c>
      <c r="G67" s="14">
        <v>12</v>
      </c>
      <c r="H67" s="15">
        <v>46121</v>
      </c>
    </row>
    <row r="68" spans="1:8">
      <c r="A68" s="14">
        <v>1377</v>
      </c>
      <c r="B68" s="14" t="s">
        <v>138</v>
      </c>
      <c r="C68" s="14" t="s">
        <v>139</v>
      </c>
      <c r="D68" s="14" t="s">
        <v>23</v>
      </c>
      <c r="E68" s="14" t="b">
        <v>1</v>
      </c>
      <c r="F68" s="14" t="s">
        <v>27</v>
      </c>
      <c r="G68" s="14">
        <v>12</v>
      </c>
      <c r="H68" s="15">
        <v>46121</v>
      </c>
    </row>
    <row r="69" spans="1:8">
      <c r="A69" s="14">
        <v>1281</v>
      </c>
      <c r="B69" s="14" t="s">
        <v>140</v>
      </c>
      <c r="C69" s="14" t="s">
        <v>141</v>
      </c>
      <c r="D69" s="14" t="s">
        <v>23</v>
      </c>
      <c r="E69" s="14" t="b">
        <v>0</v>
      </c>
      <c r="F69" s="14" t="s">
        <v>27</v>
      </c>
      <c r="G69" s="14">
        <v>19</v>
      </c>
      <c r="H69" s="15">
        <v>46121</v>
      </c>
    </row>
    <row r="70" spans="1:8">
      <c r="A70" s="14">
        <v>933</v>
      </c>
      <c r="B70" s="14" t="s">
        <v>142</v>
      </c>
      <c r="C70" s="14" t="s">
        <v>143</v>
      </c>
      <c r="D70" s="14" t="s">
        <v>23</v>
      </c>
      <c r="E70" s="14" t="b">
        <v>0</v>
      </c>
      <c r="F70" s="14" t="s">
        <v>25</v>
      </c>
      <c r="H70" s="15">
        <v>46121</v>
      </c>
    </row>
    <row r="71" spans="1:8">
      <c r="A71" s="14">
        <v>1274</v>
      </c>
      <c r="B71" s="14" t="s">
        <v>144</v>
      </c>
      <c r="C71" s="14" t="s">
        <v>145</v>
      </c>
      <c r="D71" s="14" t="s">
        <v>23</v>
      </c>
      <c r="E71" s="14" t="b">
        <v>1</v>
      </c>
      <c r="F71" s="14" t="s">
        <v>25</v>
      </c>
      <c r="H71" s="15">
        <v>46121</v>
      </c>
    </row>
    <row r="72" spans="1:8">
      <c r="A72" s="14">
        <v>493</v>
      </c>
      <c r="B72" s="14" t="s">
        <v>146</v>
      </c>
      <c r="C72" s="14" t="s">
        <v>49</v>
      </c>
      <c r="D72" s="14" t="s">
        <v>48</v>
      </c>
      <c r="E72" s="14" t="b">
        <v>0</v>
      </c>
      <c r="F72" s="14" t="s">
        <v>27</v>
      </c>
      <c r="G72" s="14">
        <v>37</v>
      </c>
      <c r="H72" s="15">
        <v>46121</v>
      </c>
    </row>
    <row r="73" spans="1:8">
      <c r="A73" s="14">
        <v>1279</v>
      </c>
      <c r="B73" s="14" t="s">
        <v>147</v>
      </c>
      <c r="C73" s="14" t="s">
        <v>148</v>
      </c>
      <c r="D73" s="14" t="s">
        <v>23</v>
      </c>
      <c r="E73" s="14" t="b">
        <v>0</v>
      </c>
      <c r="F73" s="14" t="s">
        <v>27</v>
      </c>
      <c r="G73" s="14">
        <v>4</v>
      </c>
      <c r="H73" s="15">
        <v>46121</v>
      </c>
    </row>
    <row r="74" spans="1:8">
      <c r="A74" s="14">
        <v>1193</v>
      </c>
      <c r="B74" s="14" t="s">
        <v>149</v>
      </c>
      <c r="C74" s="14" t="s">
        <v>150</v>
      </c>
      <c r="D74" s="14" t="s">
        <v>23</v>
      </c>
      <c r="E74" s="14" t="b">
        <v>0</v>
      </c>
      <c r="F74" s="14" t="s">
        <v>25</v>
      </c>
      <c r="H74" s="15">
        <v>46121</v>
      </c>
    </row>
    <row r="75" spans="1:8">
      <c r="A75" s="14">
        <v>1194</v>
      </c>
      <c r="B75" s="14" t="s">
        <v>149</v>
      </c>
      <c r="C75" s="14" t="s">
        <v>151</v>
      </c>
      <c r="D75" s="14" t="s">
        <v>23</v>
      </c>
      <c r="E75" s="14" t="b">
        <v>1</v>
      </c>
      <c r="F75" s="14" t="s">
        <v>25</v>
      </c>
      <c r="H75" s="15">
        <v>46121</v>
      </c>
    </row>
    <row r="76" spans="1:8">
      <c r="A76" s="14">
        <v>1196</v>
      </c>
      <c r="B76" s="14" t="s">
        <v>149</v>
      </c>
      <c r="C76" s="14" t="s">
        <v>152</v>
      </c>
      <c r="D76" s="14" t="s">
        <v>23</v>
      </c>
      <c r="E76" s="14" t="b">
        <v>0</v>
      </c>
      <c r="F76" s="14" t="s">
        <v>35</v>
      </c>
      <c r="H76" s="15">
        <v>46121</v>
      </c>
    </row>
    <row r="77" spans="1:8">
      <c r="A77" s="14">
        <v>1195</v>
      </c>
      <c r="B77" s="14" t="s">
        <v>149</v>
      </c>
      <c r="C77" s="14" t="s">
        <v>153</v>
      </c>
      <c r="D77" s="14" t="s">
        <v>23</v>
      </c>
      <c r="E77" s="14" t="b">
        <v>0</v>
      </c>
      <c r="F77" s="14" t="s">
        <v>35</v>
      </c>
      <c r="H77" s="15">
        <v>46121</v>
      </c>
    </row>
    <row r="78" spans="1:8">
      <c r="A78" s="14">
        <v>1176</v>
      </c>
      <c r="B78" s="14" t="s">
        <v>154</v>
      </c>
      <c r="C78" s="14" t="s">
        <v>155</v>
      </c>
      <c r="D78" s="14" t="s">
        <v>23</v>
      </c>
      <c r="E78" s="14" t="b">
        <v>0</v>
      </c>
      <c r="F78" s="14" t="s">
        <v>35</v>
      </c>
      <c r="H78" s="15">
        <v>46121</v>
      </c>
    </row>
    <row r="79" spans="1:8">
      <c r="A79" s="14">
        <v>1174</v>
      </c>
      <c r="B79" s="14" t="s">
        <v>154</v>
      </c>
      <c r="C79" s="14" t="s">
        <v>156</v>
      </c>
      <c r="D79" s="14" t="s">
        <v>23</v>
      </c>
      <c r="E79" s="14" t="b">
        <v>1</v>
      </c>
      <c r="F79" s="14" t="s">
        <v>27</v>
      </c>
      <c r="G79" s="14">
        <v>6</v>
      </c>
      <c r="H79" s="15">
        <v>46121</v>
      </c>
    </row>
    <row r="80" spans="1:8">
      <c r="A80" s="14">
        <v>1175</v>
      </c>
      <c r="B80" s="14" t="s">
        <v>154</v>
      </c>
      <c r="C80" s="14" t="s">
        <v>150</v>
      </c>
      <c r="D80" s="14" t="s">
        <v>23</v>
      </c>
      <c r="E80" s="14" t="b">
        <v>0</v>
      </c>
      <c r="F80" s="14" t="s">
        <v>27</v>
      </c>
      <c r="G80" s="14">
        <v>12</v>
      </c>
      <c r="H80" s="15">
        <v>46121</v>
      </c>
    </row>
    <row r="81" spans="1:8">
      <c r="A81" s="14">
        <v>1109</v>
      </c>
      <c r="B81" s="14" t="s">
        <v>157</v>
      </c>
      <c r="C81" s="14" t="s">
        <v>104</v>
      </c>
      <c r="D81" s="14" t="s">
        <v>23</v>
      </c>
      <c r="E81" s="14" t="b">
        <v>0</v>
      </c>
      <c r="F81" s="14" t="s">
        <v>25</v>
      </c>
      <c r="H81" s="15">
        <v>46121</v>
      </c>
    </row>
    <row r="82" spans="1:8">
      <c r="A82" s="14">
        <v>1073</v>
      </c>
      <c r="B82" s="14" t="s">
        <v>158</v>
      </c>
      <c r="C82" s="14" t="s">
        <v>150</v>
      </c>
      <c r="D82" s="14" t="s">
        <v>23</v>
      </c>
      <c r="E82" s="14" t="b">
        <v>0</v>
      </c>
      <c r="F82" s="14" t="s">
        <v>27</v>
      </c>
      <c r="G82" s="14">
        <v>3</v>
      </c>
      <c r="H82" s="15">
        <v>46121</v>
      </c>
    </row>
    <row r="83" spans="1:8">
      <c r="A83" s="14">
        <v>1400</v>
      </c>
      <c r="B83" s="14" t="s">
        <v>159</v>
      </c>
      <c r="C83" s="14" t="s">
        <v>160</v>
      </c>
      <c r="D83" s="14" t="s">
        <v>23</v>
      </c>
      <c r="E83" s="14" t="b">
        <v>0</v>
      </c>
      <c r="F83" s="14" t="s">
        <v>25</v>
      </c>
      <c r="H83" s="15">
        <v>46121</v>
      </c>
    </row>
    <row r="84" spans="1:8">
      <c r="A84" s="14">
        <v>1367</v>
      </c>
      <c r="B84" s="14" t="s">
        <v>161</v>
      </c>
      <c r="C84" s="14" t="s">
        <v>152</v>
      </c>
      <c r="D84" s="14" t="s">
        <v>23</v>
      </c>
      <c r="E84" s="14" t="b">
        <v>0</v>
      </c>
      <c r="F84" s="14" t="s">
        <v>35</v>
      </c>
      <c r="H84" s="15">
        <v>46121</v>
      </c>
    </row>
    <row r="85" spans="1:8">
      <c r="A85" s="14">
        <v>1366</v>
      </c>
      <c r="B85" s="14" t="s">
        <v>161</v>
      </c>
      <c r="C85" s="14" t="s">
        <v>162</v>
      </c>
      <c r="D85" s="14" t="s">
        <v>23</v>
      </c>
      <c r="E85" s="14" t="b">
        <v>1</v>
      </c>
      <c r="F85" s="14" t="s">
        <v>25</v>
      </c>
      <c r="H85" s="15">
        <v>46121</v>
      </c>
    </row>
    <row r="86" spans="1:8">
      <c r="A86" s="14">
        <v>1365</v>
      </c>
      <c r="B86" s="14" t="s">
        <v>161</v>
      </c>
      <c r="C86" s="14" t="s">
        <v>163</v>
      </c>
      <c r="D86" s="14" t="s">
        <v>23</v>
      </c>
      <c r="E86" s="14" t="b">
        <v>1</v>
      </c>
      <c r="F86" s="14" t="s">
        <v>27</v>
      </c>
      <c r="G86" s="14">
        <v>7</v>
      </c>
      <c r="H86" s="15">
        <v>46121</v>
      </c>
    </row>
    <row r="87" spans="1:8">
      <c r="A87" s="14">
        <v>897</v>
      </c>
      <c r="B87" s="14" t="s">
        <v>161</v>
      </c>
      <c r="C87" s="14" t="s">
        <v>164</v>
      </c>
      <c r="D87" s="14" t="s">
        <v>23</v>
      </c>
      <c r="E87" s="14" t="b">
        <v>0</v>
      </c>
      <c r="F87" s="14" t="s">
        <v>27</v>
      </c>
      <c r="G87" s="14">
        <v>13</v>
      </c>
      <c r="H87" s="15">
        <v>46121</v>
      </c>
    </row>
    <row r="88" spans="1:8">
      <c r="A88" s="14">
        <v>1308</v>
      </c>
      <c r="B88" s="14" t="s">
        <v>165</v>
      </c>
      <c r="C88" s="14" t="s">
        <v>166</v>
      </c>
      <c r="D88" s="14" t="s">
        <v>23</v>
      </c>
      <c r="E88" s="14" t="b">
        <v>1</v>
      </c>
      <c r="F88" s="14" t="s">
        <v>27</v>
      </c>
      <c r="G88" s="14">
        <v>2</v>
      </c>
      <c r="H88" s="15">
        <v>46121</v>
      </c>
    </row>
    <row r="89" spans="1:8">
      <c r="A89" s="14">
        <v>1206</v>
      </c>
      <c r="B89" s="14" t="s">
        <v>167</v>
      </c>
      <c r="C89" s="14" t="s">
        <v>168</v>
      </c>
      <c r="D89" s="14" t="s">
        <v>23</v>
      </c>
      <c r="E89" s="14" t="b">
        <v>1</v>
      </c>
      <c r="F89" s="14" t="s">
        <v>27</v>
      </c>
      <c r="G89" s="14">
        <v>8</v>
      </c>
      <c r="H89" s="15">
        <v>46121</v>
      </c>
    </row>
    <row r="90" spans="1:8">
      <c r="A90" s="14">
        <v>1205</v>
      </c>
      <c r="B90" s="14" t="s">
        <v>167</v>
      </c>
      <c r="C90" s="14" t="s">
        <v>66</v>
      </c>
      <c r="D90" s="14" t="s">
        <v>23</v>
      </c>
      <c r="E90" s="14" t="b">
        <v>0</v>
      </c>
      <c r="F90" s="14" t="s">
        <v>27</v>
      </c>
      <c r="G90" s="14">
        <v>14</v>
      </c>
      <c r="H90" s="15">
        <v>46121</v>
      </c>
    </row>
    <row r="91" spans="1:8">
      <c r="A91" s="14">
        <v>1406</v>
      </c>
      <c r="B91" s="14" t="s">
        <v>169</v>
      </c>
      <c r="C91" s="14" t="s">
        <v>170</v>
      </c>
      <c r="D91" s="14" t="s">
        <v>23</v>
      </c>
      <c r="E91" s="14" t="b">
        <v>0</v>
      </c>
      <c r="F91" s="14" t="s">
        <v>27</v>
      </c>
      <c r="G91" s="14">
        <v>9</v>
      </c>
      <c r="H91" s="15">
        <v>46121</v>
      </c>
    </row>
    <row r="92" spans="1:8">
      <c r="A92" s="14">
        <v>1182</v>
      </c>
      <c r="B92" s="14" t="s">
        <v>171</v>
      </c>
      <c r="C92" s="14" t="s">
        <v>136</v>
      </c>
      <c r="D92" s="14" t="s">
        <v>23</v>
      </c>
      <c r="E92" s="14" t="b">
        <v>0</v>
      </c>
      <c r="F92" s="14" t="s">
        <v>27</v>
      </c>
      <c r="G92" s="14">
        <v>8</v>
      </c>
      <c r="H92" s="15">
        <v>46121</v>
      </c>
    </row>
    <row r="93" spans="1:8">
      <c r="A93" s="14">
        <v>1340</v>
      </c>
      <c r="B93" s="14" t="s">
        <v>172</v>
      </c>
      <c r="C93" s="14" t="s">
        <v>173</v>
      </c>
      <c r="D93" s="14" t="s">
        <v>23</v>
      </c>
      <c r="E93" s="14" t="b">
        <v>0</v>
      </c>
      <c r="F93" s="14" t="s">
        <v>27</v>
      </c>
      <c r="G93" s="14">
        <v>8</v>
      </c>
      <c r="H93" s="15">
        <v>46121</v>
      </c>
    </row>
    <row r="94" spans="1:8">
      <c r="A94" s="14">
        <v>21</v>
      </c>
      <c r="B94" s="14" t="s">
        <v>174</v>
      </c>
      <c r="C94" s="14" t="s">
        <v>175</v>
      </c>
      <c r="D94" s="14" t="s">
        <v>23</v>
      </c>
      <c r="E94" s="14" t="b">
        <v>0</v>
      </c>
      <c r="F94" s="14" t="s">
        <v>25</v>
      </c>
      <c r="H94" s="15">
        <v>46121</v>
      </c>
    </row>
    <row r="95" spans="1:8">
      <c r="A95" s="14">
        <v>1049</v>
      </c>
      <c r="B95" s="14" t="s">
        <v>176</v>
      </c>
      <c r="C95" s="14" t="s">
        <v>177</v>
      </c>
      <c r="D95" s="14" t="s">
        <v>23</v>
      </c>
      <c r="E95" s="14" t="b">
        <v>0</v>
      </c>
      <c r="F95" s="14" t="s">
        <v>27</v>
      </c>
      <c r="G95" s="14">
        <v>19</v>
      </c>
      <c r="H95" s="15">
        <v>46121</v>
      </c>
    </row>
    <row r="96" spans="1:8">
      <c r="A96" s="14">
        <v>120</v>
      </c>
      <c r="B96" s="14" t="s">
        <v>178</v>
      </c>
      <c r="C96" s="14" t="s">
        <v>179</v>
      </c>
      <c r="D96" s="14" t="s">
        <v>23</v>
      </c>
      <c r="E96" s="14" t="b">
        <v>1</v>
      </c>
      <c r="F96" s="14" t="s">
        <v>27</v>
      </c>
      <c r="G96" s="14">
        <v>12</v>
      </c>
      <c r="H96" s="15">
        <v>46121</v>
      </c>
    </row>
    <row r="97" spans="1:8">
      <c r="A97" s="14">
        <v>990</v>
      </c>
      <c r="B97" s="14" t="s">
        <v>180</v>
      </c>
      <c r="C97" s="14" t="s">
        <v>87</v>
      </c>
      <c r="D97" s="14" t="s">
        <v>23</v>
      </c>
      <c r="E97" s="14" t="b">
        <v>1</v>
      </c>
      <c r="F97" s="14" t="s">
        <v>27</v>
      </c>
      <c r="G97" s="14">
        <v>10</v>
      </c>
      <c r="H97" s="15">
        <v>46121</v>
      </c>
    </row>
    <row r="98" spans="1:8">
      <c r="A98" s="14">
        <v>1395</v>
      </c>
      <c r="B98" s="14" t="s">
        <v>181</v>
      </c>
      <c r="C98" s="14" t="s">
        <v>182</v>
      </c>
      <c r="D98" s="14" t="s">
        <v>23</v>
      </c>
      <c r="E98" s="14" t="b">
        <v>1</v>
      </c>
      <c r="F98" s="14" t="s">
        <v>35</v>
      </c>
      <c r="H98" s="15">
        <v>46121</v>
      </c>
    </row>
    <row r="99" spans="1:8">
      <c r="A99" s="14">
        <v>1158</v>
      </c>
      <c r="B99" s="14" t="s">
        <v>183</v>
      </c>
      <c r="C99" s="14" t="s">
        <v>184</v>
      </c>
      <c r="D99" s="14" t="s">
        <v>23</v>
      </c>
      <c r="E99" s="14" t="b">
        <v>1</v>
      </c>
      <c r="F99" s="14" t="s">
        <v>25</v>
      </c>
      <c r="H99" s="15">
        <v>46121</v>
      </c>
    </row>
    <row r="100" spans="1:8">
      <c r="A100" s="14">
        <v>23</v>
      </c>
      <c r="B100" s="14" t="s">
        <v>185</v>
      </c>
      <c r="C100" s="14" t="s">
        <v>100</v>
      </c>
      <c r="D100" s="14" t="s">
        <v>23</v>
      </c>
      <c r="E100" s="14" t="b">
        <v>0</v>
      </c>
      <c r="F100" s="14" t="s">
        <v>27</v>
      </c>
      <c r="G100" s="14">
        <v>10</v>
      </c>
      <c r="H100" s="15">
        <v>46121</v>
      </c>
    </row>
    <row r="101" spans="1:8">
      <c r="A101" s="14">
        <v>1152</v>
      </c>
      <c r="B101" s="14" t="s">
        <v>186</v>
      </c>
      <c r="C101" s="14" t="s">
        <v>187</v>
      </c>
      <c r="D101" s="14" t="s">
        <v>54</v>
      </c>
      <c r="E101" s="14" t="b">
        <v>1</v>
      </c>
      <c r="F101" s="14" t="s">
        <v>188</v>
      </c>
      <c r="H101" s="15">
        <v>46121</v>
      </c>
    </row>
    <row r="102" spans="1:8">
      <c r="A102" s="14">
        <v>581</v>
      </c>
      <c r="B102" s="14" t="s">
        <v>189</v>
      </c>
      <c r="C102" s="14" t="s">
        <v>190</v>
      </c>
      <c r="D102" s="14" t="s">
        <v>23</v>
      </c>
      <c r="E102" s="14" t="b">
        <v>0</v>
      </c>
      <c r="F102" s="14" t="s">
        <v>27</v>
      </c>
      <c r="G102" s="14">
        <v>13</v>
      </c>
      <c r="H102" s="15">
        <v>46121</v>
      </c>
    </row>
    <row r="103" spans="1:8">
      <c r="A103" s="14">
        <v>1374</v>
      </c>
      <c r="B103" s="14" t="s">
        <v>191</v>
      </c>
      <c r="C103" s="14" t="s">
        <v>192</v>
      </c>
      <c r="D103" s="14" t="s">
        <v>23</v>
      </c>
      <c r="E103" s="14" t="b">
        <v>0</v>
      </c>
      <c r="F103" s="14" t="s">
        <v>25</v>
      </c>
      <c r="H103" s="15">
        <v>46121</v>
      </c>
    </row>
    <row r="104" spans="1:8">
      <c r="A104" s="14">
        <v>25</v>
      </c>
      <c r="B104" s="14" t="s">
        <v>22</v>
      </c>
      <c r="C104" s="14" t="s">
        <v>193</v>
      </c>
      <c r="D104" s="14" t="s">
        <v>23</v>
      </c>
      <c r="E104" s="14" t="b">
        <v>0</v>
      </c>
      <c r="F104" s="14" t="s">
        <v>27</v>
      </c>
      <c r="G104" s="14">
        <v>8</v>
      </c>
      <c r="H104" s="15">
        <v>46121</v>
      </c>
    </row>
    <row r="105" spans="1:8">
      <c r="A105" s="14">
        <v>415</v>
      </c>
      <c r="B105" s="14" t="s">
        <v>195</v>
      </c>
      <c r="C105" s="14" t="s">
        <v>196</v>
      </c>
      <c r="D105" s="14" t="s">
        <v>23</v>
      </c>
      <c r="E105" s="14" t="b">
        <v>0</v>
      </c>
      <c r="F105" s="14" t="s">
        <v>27</v>
      </c>
      <c r="G105" s="14">
        <v>6</v>
      </c>
      <c r="H105" s="15">
        <v>46121</v>
      </c>
    </row>
    <row r="106" spans="1:8">
      <c r="A106" s="14">
        <v>1144</v>
      </c>
      <c r="B106" s="14" t="s">
        <v>195</v>
      </c>
      <c r="C106" s="14" t="s">
        <v>197</v>
      </c>
      <c r="D106" s="14" t="s">
        <v>54</v>
      </c>
      <c r="E106" s="14" t="b">
        <v>0</v>
      </c>
      <c r="F106" s="14" t="s">
        <v>188</v>
      </c>
      <c r="H106" s="15">
        <v>46121</v>
      </c>
    </row>
    <row r="107" spans="1:8">
      <c r="A107" s="14">
        <v>203</v>
      </c>
      <c r="B107" s="14" t="s">
        <v>200</v>
      </c>
      <c r="C107" s="14" t="s">
        <v>201</v>
      </c>
      <c r="D107" s="14" t="s">
        <v>23</v>
      </c>
      <c r="E107" s="14" t="b">
        <v>0</v>
      </c>
      <c r="F107" s="14" t="s">
        <v>27</v>
      </c>
      <c r="G107" s="14">
        <v>9</v>
      </c>
      <c r="H107" s="15">
        <v>46121</v>
      </c>
    </row>
    <row r="108" spans="1:8">
      <c r="A108" s="14">
        <v>956</v>
      </c>
      <c r="B108" s="14" t="s">
        <v>202</v>
      </c>
      <c r="C108" s="14" t="s">
        <v>94</v>
      </c>
      <c r="D108" s="14" t="s">
        <v>23</v>
      </c>
      <c r="E108" s="14" t="b">
        <v>0</v>
      </c>
      <c r="F108" s="14" t="s">
        <v>27</v>
      </c>
      <c r="G108" s="14">
        <v>13</v>
      </c>
      <c r="H108" s="15">
        <v>46121</v>
      </c>
    </row>
    <row r="109" spans="1:8">
      <c r="A109" s="14">
        <v>1273</v>
      </c>
      <c r="B109" s="14" t="s">
        <v>203</v>
      </c>
      <c r="C109" s="14" t="s">
        <v>204</v>
      </c>
      <c r="D109" s="14" t="s">
        <v>23</v>
      </c>
      <c r="E109" s="14" t="b">
        <v>1</v>
      </c>
      <c r="F109" s="14" t="s">
        <v>27</v>
      </c>
      <c r="G109" s="14">
        <v>22</v>
      </c>
      <c r="H109" s="15">
        <v>46121</v>
      </c>
    </row>
    <row r="110" spans="1:8">
      <c r="A110" s="14">
        <v>1272</v>
      </c>
      <c r="B110" s="14" t="s">
        <v>203</v>
      </c>
      <c r="C110" s="14" t="s">
        <v>205</v>
      </c>
      <c r="D110" s="14" t="s">
        <v>23</v>
      </c>
      <c r="E110" s="14" t="b">
        <v>0</v>
      </c>
      <c r="F110" s="14" t="s">
        <v>27</v>
      </c>
      <c r="G110" s="14">
        <v>24</v>
      </c>
      <c r="H110" s="15">
        <v>46121</v>
      </c>
    </row>
    <row r="111" spans="1:8">
      <c r="A111" s="14">
        <v>846</v>
      </c>
      <c r="B111" s="14" t="s">
        <v>206</v>
      </c>
      <c r="C111" s="14" t="s">
        <v>207</v>
      </c>
      <c r="D111" s="14" t="s">
        <v>23</v>
      </c>
      <c r="E111" s="14" t="b">
        <v>0</v>
      </c>
      <c r="F111" s="14" t="s">
        <v>27</v>
      </c>
      <c r="G111" s="14">
        <v>17</v>
      </c>
      <c r="H111" s="15">
        <v>46121</v>
      </c>
    </row>
    <row r="112" spans="1:8">
      <c r="A112" s="14">
        <v>1162</v>
      </c>
      <c r="B112" s="14" t="s">
        <v>208</v>
      </c>
      <c r="C112" s="14" t="s">
        <v>150</v>
      </c>
      <c r="D112" s="14" t="s">
        <v>23</v>
      </c>
      <c r="E112" s="14" t="b">
        <v>0</v>
      </c>
      <c r="F112" s="14" t="s">
        <v>25</v>
      </c>
      <c r="H112" s="15">
        <v>46121</v>
      </c>
    </row>
    <row r="113" spans="1:8">
      <c r="A113" s="14">
        <v>1244</v>
      </c>
      <c r="B113" s="14" t="s">
        <v>209</v>
      </c>
      <c r="C113" s="14" t="s">
        <v>94</v>
      </c>
      <c r="D113" s="14" t="s">
        <v>23</v>
      </c>
      <c r="E113" s="14" t="b">
        <v>0</v>
      </c>
      <c r="F113" s="14" t="s">
        <v>27</v>
      </c>
      <c r="G113" s="14">
        <v>2</v>
      </c>
      <c r="H113" s="15">
        <v>46121</v>
      </c>
    </row>
    <row r="114" spans="1:8">
      <c r="A114" s="14">
        <v>1379</v>
      </c>
      <c r="B114" s="14" t="s">
        <v>209</v>
      </c>
      <c r="C114" s="14" t="s">
        <v>210</v>
      </c>
      <c r="D114" s="14" t="s">
        <v>23</v>
      </c>
      <c r="E114" s="14" t="b">
        <v>1</v>
      </c>
      <c r="F114" s="14" t="s">
        <v>25</v>
      </c>
      <c r="H114" s="15">
        <v>46121</v>
      </c>
    </row>
    <row r="115" spans="1:8">
      <c r="A115" s="14">
        <v>1362</v>
      </c>
      <c r="B115" s="14" t="s">
        <v>211</v>
      </c>
      <c r="C115" s="14" t="s">
        <v>212</v>
      </c>
      <c r="D115" s="14" t="s">
        <v>23</v>
      </c>
      <c r="E115" s="14" t="b">
        <v>1</v>
      </c>
      <c r="F115" s="14" t="s">
        <v>27</v>
      </c>
      <c r="G115" s="14">
        <v>22</v>
      </c>
      <c r="H115" s="15">
        <v>46121</v>
      </c>
    </row>
    <row r="116" spans="1:8">
      <c r="A116" s="14">
        <v>1403</v>
      </c>
      <c r="B116" s="14" t="s">
        <v>213</v>
      </c>
      <c r="C116" s="14" t="s">
        <v>214</v>
      </c>
      <c r="D116" s="14" t="s">
        <v>23</v>
      </c>
      <c r="E116" s="14" t="b">
        <v>0</v>
      </c>
      <c r="F116" s="14" t="s">
        <v>27</v>
      </c>
      <c r="G116" s="14">
        <v>8</v>
      </c>
      <c r="H116" s="15">
        <v>46121</v>
      </c>
    </row>
    <row r="117" spans="1:8">
      <c r="A117" s="14">
        <v>1404</v>
      </c>
      <c r="B117" s="14" t="s">
        <v>213</v>
      </c>
      <c r="C117" s="14" t="s">
        <v>215</v>
      </c>
      <c r="D117" s="14" t="s">
        <v>23</v>
      </c>
      <c r="E117" s="14" t="b">
        <v>1</v>
      </c>
      <c r="F117" s="14" t="s">
        <v>25</v>
      </c>
      <c r="H117" s="15">
        <v>46121</v>
      </c>
    </row>
    <row r="118" spans="1:8">
      <c r="A118" s="14">
        <v>1229</v>
      </c>
      <c r="B118" s="14" t="s">
        <v>216</v>
      </c>
      <c r="C118" s="14" t="s">
        <v>217</v>
      </c>
      <c r="D118" s="14" t="s">
        <v>23</v>
      </c>
      <c r="E118" s="14" t="b">
        <v>1</v>
      </c>
      <c r="F118" s="14" t="s">
        <v>25</v>
      </c>
      <c r="H118" s="15">
        <v>46121</v>
      </c>
    </row>
    <row r="119" spans="1:8">
      <c r="A119" s="14">
        <v>1408</v>
      </c>
      <c r="B119" s="14" t="s">
        <v>218</v>
      </c>
      <c r="C119" s="14" t="s">
        <v>219</v>
      </c>
      <c r="D119" s="14" t="s">
        <v>23</v>
      </c>
      <c r="E119" s="14" t="b">
        <v>0</v>
      </c>
      <c r="F119" s="14" t="s">
        <v>27</v>
      </c>
      <c r="G119" s="14">
        <v>20</v>
      </c>
      <c r="H119" s="15">
        <v>46121</v>
      </c>
    </row>
    <row r="120" spans="1:8">
      <c r="A120" s="14">
        <v>1409</v>
      </c>
      <c r="B120" s="14" t="s">
        <v>218</v>
      </c>
      <c r="C120" s="14" t="s">
        <v>220</v>
      </c>
      <c r="D120" s="14" t="s">
        <v>23</v>
      </c>
      <c r="E120" s="14" t="b">
        <v>1</v>
      </c>
      <c r="F120" s="14" t="s">
        <v>27</v>
      </c>
      <c r="G120" s="14">
        <v>15</v>
      </c>
      <c r="H120" s="15">
        <v>46121</v>
      </c>
    </row>
    <row r="121" spans="1:8">
      <c r="A121" s="14">
        <v>1198</v>
      </c>
      <c r="B121" s="14" t="s">
        <v>221</v>
      </c>
      <c r="C121" s="14" t="s">
        <v>222</v>
      </c>
      <c r="D121" s="14" t="s">
        <v>23</v>
      </c>
      <c r="E121" s="14" t="b">
        <v>0</v>
      </c>
      <c r="F121" s="14" t="s">
        <v>27</v>
      </c>
      <c r="G121" s="14">
        <v>5</v>
      </c>
      <c r="H121" s="15">
        <v>46121</v>
      </c>
    </row>
    <row r="122" spans="1:8">
      <c r="A122" s="14">
        <v>1260</v>
      </c>
      <c r="B122" s="14" t="s">
        <v>223</v>
      </c>
      <c r="C122" s="14" t="s">
        <v>82</v>
      </c>
      <c r="D122" s="14" t="s">
        <v>23</v>
      </c>
      <c r="E122" s="14" t="b">
        <v>1</v>
      </c>
      <c r="F122" s="14" t="s">
        <v>27</v>
      </c>
      <c r="G122" s="14">
        <v>15</v>
      </c>
      <c r="H122" s="15">
        <v>46121</v>
      </c>
    </row>
    <row r="123" spans="1:8">
      <c r="A123" s="14">
        <v>1361</v>
      </c>
      <c r="B123" s="14" t="s">
        <v>224</v>
      </c>
      <c r="C123" s="14" t="s">
        <v>225</v>
      </c>
      <c r="D123" s="14" t="s">
        <v>23</v>
      </c>
      <c r="E123" s="14" t="b">
        <v>0</v>
      </c>
      <c r="F123" s="14" t="s">
        <v>27</v>
      </c>
      <c r="G123" s="14">
        <v>16</v>
      </c>
      <c r="H123" s="15">
        <v>46121</v>
      </c>
    </row>
    <row r="124" spans="1:8">
      <c r="A124" s="14">
        <v>1100</v>
      </c>
      <c r="B124" s="14" t="s">
        <v>226</v>
      </c>
      <c r="C124" s="14" t="s">
        <v>34</v>
      </c>
      <c r="D124" s="14" t="s">
        <v>23</v>
      </c>
      <c r="E124" s="14" t="b">
        <v>0</v>
      </c>
      <c r="F124" s="14" t="s">
        <v>27</v>
      </c>
      <c r="G124" s="14">
        <v>13</v>
      </c>
      <c r="H124" s="15">
        <v>46121</v>
      </c>
    </row>
    <row r="125" spans="1:8">
      <c r="A125" s="14">
        <v>1385</v>
      </c>
      <c r="B125" s="14" t="s">
        <v>227</v>
      </c>
      <c r="C125" s="14" t="s">
        <v>228</v>
      </c>
      <c r="D125" s="14" t="s">
        <v>23</v>
      </c>
      <c r="E125" s="14" t="b">
        <v>0</v>
      </c>
      <c r="F125" s="14" t="s">
        <v>25</v>
      </c>
      <c r="H125" s="15">
        <v>46121</v>
      </c>
    </row>
    <row r="126" spans="1:8">
      <c r="A126" s="14">
        <v>1394</v>
      </c>
      <c r="B126" s="14" t="s">
        <v>227</v>
      </c>
      <c r="C126" s="14" t="s">
        <v>229</v>
      </c>
      <c r="D126" s="14" t="s">
        <v>23</v>
      </c>
      <c r="E126" s="14" t="b">
        <v>0</v>
      </c>
      <c r="F126" s="14" t="s">
        <v>35</v>
      </c>
      <c r="H126" s="15">
        <v>46121</v>
      </c>
    </row>
    <row r="127" spans="1:8">
      <c r="A127" s="14">
        <v>1419</v>
      </c>
      <c r="B127" s="14" t="s">
        <v>230</v>
      </c>
      <c r="C127" s="14" t="s">
        <v>231</v>
      </c>
      <c r="D127" s="14" t="s">
        <v>23</v>
      </c>
      <c r="E127" s="14" t="b">
        <v>0</v>
      </c>
      <c r="F127" s="14" t="s">
        <v>25</v>
      </c>
      <c r="H127" s="15">
        <v>46121</v>
      </c>
    </row>
    <row r="128" spans="1:8">
      <c r="A128" s="14">
        <v>967</v>
      </c>
      <c r="B128" s="14" t="s">
        <v>232</v>
      </c>
      <c r="C128" s="14" t="s">
        <v>152</v>
      </c>
      <c r="D128" s="14" t="s">
        <v>23</v>
      </c>
      <c r="E128" s="14" t="b">
        <v>0</v>
      </c>
      <c r="F128" s="14" t="s">
        <v>27</v>
      </c>
      <c r="G128" s="14">
        <v>5</v>
      </c>
      <c r="H128" s="15">
        <v>46121</v>
      </c>
    </row>
    <row r="129" spans="1:8">
      <c r="A129" s="14">
        <v>1373</v>
      </c>
      <c r="B129" s="14" t="s">
        <v>233</v>
      </c>
      <c r="C129" s="14" t="s">
        <v>234</v>
      </c>
      <c r="D129" s="14" t="s">
        <v>23</v>
      </c>
      <c r="E129" s="14" t="b">
        <v>0</v>
      </c>
      <c r="F129" s="14" t="s">
        <v>27</v>
      </c>
      <c r="G129" s="14">
        <v>10</v>
      </c>
      <c r="H129" s="15">
        <v>46121</v>
      </c>
    </row>
    <row r="130" spans="1:8">
      <c r="A130" s="14">
        <v>1045</v>
      </c>
      <c r="B130" s="14" t="s">
        <v>235</v>
      </c>
      <c r="C130" s="14" t="s">
        <v>236</v>
      </c>
      <c r="D130" s="14" t="s">
        <v>23</v>
      </c>
      <c r="E130" s="14" t="b">
        <v>1</v>
      </c>
      <c r="F130" s="14" t="s">
        <v>27</v>
      </c>
      <c r="G130" s="14">
        <v>5</v>
      </c>
      <c r="H130" s="15">
        <v>46121</v>
      </c>
    </row>
    <row r="131" spans="1:8">
      <c r="A131" s="14">
        <v>1046</v>
      </c>
      <c r="B131" s="14" t="s">
        <v>235</v>
      </c>
      <c r="C131" s="14" t="s">
        <v>237</v>
      </c>
      <c r="D131" s="14" t="s">
        <v>23</v>
      </c>
      <c r="E131" s="14" t="b">
        <v>0</v>
      </c>
      <c r="F131" s="14" t="s">
        <v>27</v>
      </c>
      <c r="G131" s="14">
        <v>35</v>
      </c>
      <c r="H131" s="15">
        <v>46121</v>
      </c>
    </row>
    <row r="132" spans="1:8">
      <c r="A132" s="14">
        <v>1396</v>
      </c>
      <c r="B132" s="14" t="s">
        <v>238</v>
      </c>
      <c r="C132" s="14" t="s">
        <v>59</v>
      </c>
      <c r="D132" s="14" t="s">
        <v>23</v>
      </c>
      <c r="E132" s="14" t="b">
        <v>0</v>
      </c>
      <c r="F132" s="14" t="s">
        <v>25</v>
      </c>
      <c r="H132" s="15">
        <v>46121</v>
      </c>
    </row>
    <row r="133" spans="1:8">
      <c r="A133" s="14">
        <v>1397</v>
      </c>
      <c r="B133" s="14" t="s">
        <v>238</v>
      </c>
      <c r="C133" s="14" t="s">
        <v>239</v>
      </c>
      <c r="D133" s="14" t="s">
        <v>23</v>
      </c>
      <c r="E133" s="14" t="b">
        <v>1</v>
      </c>
      <c r="F133" s="14" t="s">
        <v>25</v>
      </c>
      <c r="H133" s="15">
        <v>46121</v>
      </c>
    </row>
    <row r="134" spans="1:8">
      <c r="A134" s="14">
        <v>1398</v>
      </c>
      <c r="B134" s="14" t="s">
        <v>238</v>
      </c>
      <c r="C134" s="14" t="s">
        <v>49</v>
      </c>
      <c r="D134" s="14" t="s">
        <v>23</v>
      </c>
      <c r="E134" s="14" t="b">
        <v>0</v>
      </c>
      <c r="F134" s="14" t="s">
        <v>35</v>
      </c>
      <c r="H134" s="15">
        <v>46121</v>
      </c>
    </row>
    <row r="135" spans="1:8">
      <c r="A135" s="14">
        <v>1399</v>
      </c>
      <c r="B135" s="14" t="s">
        <v>238</v>
      </c>
      <c r="C135" s="14" t="s">
        <v>131</v>
      </c>
      <c r="D135" s="14" t="s">
        <v>23</v>
      </c>
      <c r="E135" s="14" t="b">
        <v>1</v>
      </c>
      <c r="F135" s="14" t="s">
        <v>35</v>
      </c>
      <c r="H135" s="15">
        <v>46121</v>
      </c>
    </row>
    <row r="136" spans="1:8">
      <c r="A136" s="14">
        <v>771</v>
      </c>
      <c r="B136" s="14" t="s">
        <v>240</v>
      </c>
      <c r="C136" s="14" t="s">
        <v>241</v>
      </c>
      <c r="D136" s="14" t="s">
        <v>23</v>
      </c>
      <c r="E136" s="14" t="b">
        <v>0</v>
      </c>
      <c r="F136" s="14" t="s">
        <v>27</v>
      </c>
      <c r="G136" s="14">
        <v>14</v>
      </c>
      <c r="H136" s="15">
        <v>46121</v>
      </c>
    </row>
    <row r="137" spans="1:8">
      <c r="A137" s="14">
        <v>1265</v>
      </c>
      <c r="B137" s="14" t="s">
        <v>242</v>
      </c>
      <c r="C137" s="14" t="s">
        <v>243</v>
      </c>
      <c r="D137" s="14" t="s">
        <v>23</v>
      </c>
      <c r="E137" s="14" t="b">
        <v>0</v>
      </c>
      <c r="F137" s="14" t="s">
        <v>27</v>
      </c>
      <c r="G137" s="14">
        <v>20</v>
      </c>
      <c r="H137" s="15">
        <v>46121</v>
      </c>
    </row>
    <row r="138" spans="1:8">
      <c r="A138" s="14">
        <v>532</v>
      </c>
      <c r="B138" s="14" t="s">
        <v>244</v>
      </c>
      <c r="C138" s="14" t="s">
        <v>243</v>
      </c>
      <c r="D138" s="14" t="s">
        <v>23</v>
      </c>
      <c r="E138" s="14" t="b">
        <v>0</v>
      </c>
      <c r="F138" s="14" t="s">
        <v>27</v>
      </c>
      <c r="G138" s="14">
        <v>13</v>
      </c>
      <c r="H138" s="15">
        <v>46121</v>
      </c>
    </row>
    <row r="139" spans="1:8">
      <c r="A139" s="14">
        <v>742</v>
      </c>
      <c r="B139" s="14" t="s">
        <v>246</v>
      </c>
      <c r="C139" s="14" t="s">
        <v>156</v>
      </c>
      <c r="D139" s="14" t="s">
        <v>23</v>
      </c>
      <c r="E139" s="14" t="b">
        <v>1</v>
      </c>
      <c r="F139" s="14" t="s">
        <v>27</v>
      </c>
      <c r="G139" s="14">
        <v>2</v>
      </c>
      <c r="H139" s="15">
        <v>46121</v>
      </c>
    </row>
    <row r="140" spans="1:8">
      <c r="A140" s="14">
        <v>741</v>
      </c>
      <c r="B140" s="14" t="s">
        <v>246</v>
      </c>
      <c r="C140" s="14" t="s">
        <v>247</v>
      </c>
      <c r="D140" s="14" t="s">
        <v>23</v>
      </c>
      <c r="E140" s="14" t="b">
        <v>0</v>
      </c>
      <c r="F140" s="14" t="s">
        <v>27</v>
      </c>
      <c r="G140" s="14">
        <v>4</v>
      </c>
      <c r="H140" s="15">
        <v>46121</v>
      </c>
    </row>
    <row r="141" spans="1:8">
      <c r="A141" s="14">
        <v>1298</v>
      </c>
      <c r="B141" s="14" t="s">
        <v>246</v>
      </c>
      <c r="C141" s="14" t="s">
        <v>132</v>
      </c>
      <c r="D141" s="14" t="s">
        <v>23</v>
      </c>
      <c r="E141" s="14" t="b">
        <v>1</v>
      </c>
      <c r="F141" s="14" t="s">
        <v>27</v>
      </c>
      <c r="G141" s="14">
        <v>13</v>
      </c>
      <c r="H141" s="15">
        <v>46121</v>
      </c>
    </row>
    <row r="142" spans="1:8">
      <c r="A142" s="14">
        <v>747</v>
      </c>
      <c r="B142" s="14" t="s">
        <v>246</v>
      </c>
      <c r="C142" s="14" t="s">
        <v>22</v>
      </c>
      <c r="D142" s="14" t="s">
        <v>23</v>
      </c>
      <c r="E142" s="14" t="b">
        <v>0</v>
      </c>
      <c r="F142" s="14" t="s">
        <v>27</v>
      </c>
      <c r="G142" s="14">
        <v>1</v>
      </c>
      <c r="H142" s="15">
        <v>46121</v>
      </c>
    </row>
    <row r="143" spans="1:8">
      <c r="A143" s="14">
        <v>1386</v>
      </c>
      <c r="B143" s="14" t="s">
        <v>246</v>
      </c>
      <c r="C143" s="14" t="s">
        <v>248</v>
      </c>
      <c r="D143" s="14" t="s">
        <v>23</v>
      </c>
      <c r="E143" s="14" t="b">
        <v>1</v>
      </c>
      <c r="F143" s="14" t="s">
        <v>35</v>
      </c>
      <c r="H143" s="15">
        <v>46121</v>
      </c>
    </row>
    <row r="144" spans="1:8">
      <c r="A144" s="14">
        <v>564</v>
      </c>
      <c r="B144" s="14" t="s">
        <v>250</v>
      </c>
      <c r="C144" s="14" t="s">
        <v>34</v>
      </c>
      <c r="D144" s="14" t="s">
        <v>23</v>
      </c>
      <c r="E144" s="14" t="b">
        <v>0</v>
      </c>
      <c r="F144" s="14" t="s">
        <v>27</v>
      </c>
      <c r="G144" s="14">
        <v>7</v>
      </c>
      <c r="H144" s="15">
        <v>46121</v>
      </c>
    </row>
    <row r="145" spans="1:8">
      <c r="A145" s="14">
        <v>1165</v>
      </c>
      <c r="B145" s="14" t="s">
        <v>251</v>
      </c>
      <c r="C145" s="14" t="s">
        <v>177</v>
      </c>
      <c r="D145" s="14" t="s">
        <v>23</v>
      </c>
      <c r="E145" s="14" t="b">
        <v>0</v>
      </c>
      <c r="F145" s="14" t="s">
        <v>27</v>
      </c>
      <c r="G145" s="14">
        <v>10</v>
      </c>
      <c r="H145" s="15">
        <v>46121</v>
      </c>
    </row>
    <row r="146" spans="1:8">
      <c r="A146" s="14">
        <v>405</v>
      </c>
      <c r="B146" s="14" t="s">
        <v>252</v>
      </c>
      <c r="C146" s="14" t="s">
        <v>243</v>
      </c>
      <c r="D146" s="14" t="s">
        <v>23</v>
      </c>
      <c r="E146" s="14" t="b">
        <v>0</v>
      </c>
      <c r="F146" s="14" t="s">
        <v>27</v>
      </c>
      <c r="G146" s="14">
        <v>18</v>
      </c>
      <c r="H146" s="15">
        <v>46121</v>
      </c>
    </row>
    <row r="147" spans="1:8">
      <c r="A147" s="14">
        <v>1346</v>
      </c>
      <c r="B147" s="14" t="s">
        <v>253</v>
      </c>
      <c r="C147" s="14" t="s">
        <v>254</v>
      </c>
      <c r="D147" s="14" t="s">
        <v>23</v>
      </c>
      <c r="E147" s="14" t="b">
        <v>0</v>
      </c>
      <c r="F147" s="14" t="s">
        <v>27</v>
      </c>
      <c r="G147" s="14">
        <v>20</v>
      </c>
      <c r="H147" s="15">
        <v>46121</v>
      </c>
    </row>
    <row r="148" spans="1:8">
      <c r="A148" s="14">
        <v>1192</v>
      </c>
      <c r="B148" s="14" t="s">
        <v>255</v>
      </c>
      <c r="C148" s="14" t="s">
        <v>256</v>
      </c>
      <c r="D148" s="14" t="s">
        <v>23</v>
      </c>
      <c r="E148" s="14" t="b">
        <v>0</v>
      </c>
      <c r="F148" s="14" t="s">
        <v>27</v>
      </c>
      <c r="G148" s="14">
        <v>10</v>
      </c>
      <c r="H148" s="15">
        <v>46121</v>
      </c>
    </row>
    <row r="149" spans="1:8">
      <c r="A149" s="14">
        <v>1157</v>
      </c>
      <c r="B149" s="14" t="s">
        <v>257</v>
      </c>
      <c r="C149" s="14" t="s">
        <v>100</v>
      </c>
      <c r="D149" s="14" t="s">
        <v>23</v>
      </c>
      <c r="E149" s="14" t="b">
        <v>0</v>
      </c>
      <c r="F149" s="14" t="s">
        <v>25</v>
      </c>
      <c r="H149" s="15">
        <v>46121</v>
      </c>
    </row>
    <row r="150" spans="1:8">
      <c r="A150" s="14">
        <v>1359</v>
      </c>
      <c r="B150" s="14" t="s">
        <v>258</v>
      </c>
      <c r="C150" s="14" t="s">
        <v>49</v>
      </c>
      <c r="D150" s="14" t="s">
        <v>23</v>
      </c>
      <c r="E150" s="14" t="b">
        <v>0</v>
      </c>
      <c r="F150" s="14" t="s">
        <v>188</v>
      </c>
      <c r="H150" s="15">
        <v>46121</v>
      </c>
    </row>
    <row r="151" spans="1:8">
      <c r="A151" s="14">
        <v>1360</v>
      </c>
      <c r="B151" s="14" t="s">
        <v>258</v>
      </c>
      <c r="C151" s="14" t="s">
        <v>259</v>
      </c>
      <c r="D151" s="14" t="s">
        <v>23</v>
      </c>
      <c r="E151" s="14" t="b">
        <v>1</v>
      </c>
      <c r="F151" s="14" t="s">
        <v>35</v>
      </c>
      <c r="H151" s="15">
        <v>46121</v>
      </c>
    </row>
    <row r="152" spans="1:8">
      <c r="A152" s="14">
        <v>1357</v>
      </c>
      <c r="B152" s="14" t="s">
        <v>258</v>
      </c>
      <c r="C152" s="14" t="s">
        <v>34</v>
      </c>
      <c r="D152" s="14" t="s">
        <v>23</v>
      </c>
      <c r="E152" s="14" t="b">
        <v>0</v>
      </c>
      <c r="F152" s="14" t="s">
        <v>27</v>
      </c>
      <c r="G152" s="14">
        <v>5</v>
      </c>
      <c r="H152" s="15">
        <v>46121</v>
      </c>
    </row>
    <row r="153" spans="1:8">
      <c r="A153" s="14">
        <v>1358</v>
      </c>
      <c r="B153" s="14" t="s">
        <v>258</v>
      </c>
      <c r="C153" s="14" t="s">
        <v>260</v>
      </c>
      <c r="D153" s="14" t="s">
        <v>23</v>
      </c>
      <c r="E153" s="14" t="b">
        <v>1</v>
      </c>
      <c r="F153" s="14" t="s">
        <v>27</v>
      </c>
      <c r="G153" s="14">
        <v>7</v>
      </c>
      <c r="H153" s="15">
        <v>46121</v>
      </c>
    </row>
    <row r="154" spans="1:8">
      <c r="A154" s="14">
        <v>1390</v>
      </c>
      <c r="B154" s="14" t="s">
        <v>261</v>
      </c>
      <c r="C154" s="14" t="s">
        <v>262</v>
      </c>
      <c r="D154" s="14" t="s">
        <v>23</v>
      </c>
      <c r="E154" s="14" t="b">
        <v>0</v>
      </c>
      <c r="F154" s="14" t="s">
        <v>25</v>
      </c>
      <c r="H154" s="15">
        <v>46121</v>
      </c>
    </row>
    <row r="155" spans="1:8">
      <c r="A155" s="14">
        <v>1107</v>
      </c>
      <c r="B155" s="14" t="s">
        <v>263</v>
      </c>
      <c r="C155" s="14" t="s">
        <v>264</v>
      </c>
      <c r="D155" s="14" t="s">
        <v>23</v>
      </c>
      <c r="E155" s="14" t="b">
        <v>1</v>
      </c>
      <c r="F155" s="14" t="s">
        <v>25</v>
      </c>
      <c r="H155" s="15">
        <v>46121</v>
      </c>
    </row>
    <row r="156" spans="1:8">
      <c r="A156" s="14">
        <v>35</v>
      </c>
      <c r="B156" s="14" t="s">
        <v>265</v>
      </c>
      <c r="C156" s="14" t="s">
        <v>266</v>
      </c>
      <c r="D156" s="14" t="s">
        <v>23</v>
      </c>
      <c r="E156" s="14" t="b">
        <v>0</v>
      </c>
      <c r="F156" s="14" t="s">
        <v>27</v>
      </c>
      <c r="G156" s="14">
        <v>3</v>
      </c>
      <c r="H156" s="15">
        <v>46121</v>
      </c>
    </row>
    <row r="157" spans="1:8">
      <c r="A157" s="14">
        <v>1094</v>
      </c>
      <c r="B157" s="14" t="s">
        <v>267</v>
      </c>
      <c r="C157" s="14" t="s">
        <v>268</v>
      </c>
      <c r="D157" s="14" t="s">
        <v>23</v>
      </c>
      <c r="E157" s="14" t="b">
        <v>0</v>
      </c>
      <c r="F157" s="14" t="s">
        <v>27</v>
      </c>
      <c r="G157" s="14">
        <v>12</v>
      </c>
      <c r="H157" s="15">
        <v>46121</v>
      </c>
    </row>
    <row r="158" spans="1:8">
      <c r="A158" s="14">
        <v>1325</v>
      </c>
      <c r="B158" s="14" t="s">
        <v>269</v>
      </c>
      <c r="C158" s="14" t="s">
        <v>270</v>
      </c>
      <c r="D158" s="14" t="s">
        <v>23</v>
      </c>
      <c r="E158" s="14" t="b">
        <v>0</v>
      </c>
      <c r="F158" s="14" t="s">
        <v>27</v>
      </c>
      <c r="G158" s="14">
        <v>3</v>
      </c>
      <c r="H158" s="15">
        <v>46121</v>
      </c>
    </row>
    <row r="159" spans="1:8">
      <c r="A159" s="14">
        <v>1143</v>
      </c>
      <c r="B159" s="14" t="s">
        <v>271</v>
      </c>
      <c r="C159" s="14" t="s">
        <v>247</v>
      </c>
      <c r="D159" s="14" t="s">
        <v>23</v>
      </c>
      <c r="E159" s="14" t="b">
        <v>0</v>
      </c>
      <c r="F159" s="14" t="s">
        <v>27</v>
      </c>
      <c r="G159" s="14">
        <v>3</v>
      </c>
      <c r="H159" s="15">
        <v>46121</v>
      </c>
    </row>
    <row r="160" spans="1:8">
      <c r="A160" s="14">
        <v>1401</v>
      </c>
      <c r="B160" s="14" t="s">
        <v>272</v>
      </c>
      <c r="C160" s="14" t="s">
        <v>273</v>
      </c>
      <c r="D160" s="14" t="s">
        <v>23</v>
      </c>
      <c r="E160" s="14" t="b">
        <v>1</v>
      </c>
      <c r="F160" s="14" t="s">
        <v>25</v>
      </c>
      <c r="H160" s="15">
        <v>46121</v>
      </c>
    </row>
    <row r="161" spans="1:8">
      <c r="A161" s="14">
        <v>1285</v>
      </c>
      <c r="B161" s="14" t="s">
        <v>274</v>
      </c>
      <c r="C161" s="14" t="s">
        <v>100</v>
      </c>
      <c r="D161" s="14" t="s">
        <v>23</v>
      </c>
      <c r="E161" s="14" t="b">
        <v>0</v>
      </c>
      <c r="F161" s="14" t="s">
        <v>25</v>
      </c>
      <c r="H161" s="15">
        <v>46121</v>
      </c>
    </row>
    <row r="162" spans="1:8">
      <c r="A162" s="14">
        <v>38</v>
      </c>
      <c r="B162" s="14" t="s">
        <v>275</v>
      </c>
      <c r="C162" s="14" t="s">
        <v>276</v>
      </c>
      <c r="D162" s="14" t="s">
        <v>23</v>
      </c>
      <c r="E162" s="14" t="b">
        <v>0</v>
      </c>
      <c r="F162" s="14" t="s">
        <v>27</v>
      </c>
      <c r="G162" s="14">
        <v>13</v>
      </c>
      <c r="H162" s="15">
        <v>46121</v>
      </c>
    </row>
    <row r="163" spans="1:8">
      <c r="A163" s="14">
        <v>245</v>
      </c>
      <c r="B163" s="14" t="s">
        <v>277</v>
      </c>
      <c r="C163" s="14" t="s">
        <v>234</v>
      </c>
      <c r="D163" s="14" t="s">
        <v>23</v>
      </c>
      <c r="E163" s="14" t="b">
        <v>0</v>
      </c>
      <c r="F163" s="14" t="s">
        <v>27</v>
      </c>
      <c r="G163" s="14">
        <v>10</v>
      </c>
      <c r="H163" s="15">
        <v>46121</v>
      </c>
    </row>
    <row r="164" spans="1:8">
      <c r="A164" s="14">
        <v>39</v>
      </c>
      <c r="B164" s="14" t="s">
        <v>277</v>
      </c>
      <c r="C164" s="14" t="s">
        <v>278</v>
      </c>
      <c r="D164" s="14" t="s">
        <v>23</v>
      </c>
      <c r="E164" s="14" t="b">
        <v>0</v>
      </c>
      <c r="F164" s="14" t="s">
        <v>27</v>
      </c>
      <c r="G164" s="14">
        <v>43</v>
      </c>
      <c r="H164" s="15">
        <v>46121</v>
      </c>
    </row>
    <row r="165" spans="1:8">
      <c r="A165" s="14">
        <v>508</v>
      </c>
      <c r="B165" s="14" t="s">
        <v>279</v>
      </c>
      <c r="C165" s="14" t="s">
        <v>59</v>
      </c>
      <c r="D165" s="14" t="s">
        <v>23</v>
      </c>
      <c r="E165" s="14" t="b">
        <v>0</v>
      </c>
      <c r="F165" s="14" t="s">
        <v>27</v>
      </c>
      <c r="G165" s="14">
        <v>31</v>
      </c>
      <c r="H165" s="15">
        <v>46121</v>
      </c>
    </row>
    <row r="166" spans="1:8">
      <c r="A166" s="14">
        <v>1392</v>
      </c>
      <c r="B166" s="14" t="s">
        <v>284</v>
      </c>
      <c r="C166" s="14" t="s">
        <v>285</v>
      </c>
      <c r="D166" s="14" t="s">
        <v>23</v>
      </c>
      <c r="E166" s="14" t="b">
        <v>1</v>
      </c>
      <c r="F166" s="14" t="s">
        <v>25</v>
      </c>
      <c r="H166" s="15">
        <v>46121</v>
      </c>
    </row>
    <row r="167" spans="1:8">
      <c r="A167" s="14">
        <v>1141</v>
      </c>
      <c r="B167" s="14" t="s">
        <v>286</v>
      </c>
      <c r="C167" s="14" t="s">
        <v>287</v>
      </c>
      <c r="D167" s="14" t="s">
        <v>23</v>
      </c>
      <c r="E167" s="14" t="b">
        <v>1</v>
      </c>
      <c r="F167" s="14" t="s">
        <v>27</v>
      </c>
      <c r="G167" s="14">
        <v>15</v>
      </c>
      <c r="H167" s="15">
        <v>46121</v>
      </c>
    </row>
    <row r="168" spans="1:8">
      <c r="A168" s="14">
        <v>891</v>
      </c>
      <c r="B168" s="14" t="s">
        <v>288</v>
      </c>
      <c r="C168" s="14" t="s">
        <v>289</v>
      </c>
      <c r="D168" s="14" t="s">
        <v>23</v>
      </c>
      <c r="E168" s="14" t="b">
        <v>1</v>
      </c>
      <c r="F168" s="14" t="s">
        <v>25</v>
      </c>
      <c r="H168" s="15">
        <v>46121</v>
      </c>
    </row>
    <row r="169" spans="1:8">
      <c r="A169" s="14">
        <v>1352</v>
      </c>
      <c r="B169" s="14" t="s">
        <v>290</v>
      </c>
      <c r="C169" s="14" t="s">
        <v>34</v>
      </c>
      <c r="D169" s="14" t="s">
        <v>23</v>
      </c>
      <c r="E169" s="14" t="b">
        <v>0</v>
      </c>
      <c r="F169" s="14" t="s">
        <v>27</v>
      </c>
      <c r="G169" s="14">
        <v>11</v>
      </c>
      <c r="H169" s="15">
        <v>46121</v>
      </c>
    </row>
    <row r="170" spans="1:8">
      <c r="A170" s="14">
        <v>1339</v>
      </c>
      <c r="B170" s="14" t="s">
        <v>291</v>
      </c>
      <c r="C170" s="14" t="s">
        <v>292</v>
      </c>
      <c r="D170" s="14" t="s">
        <v>23</v>
      </c>
      <c r="E170" s="14" t="b">
        <v>0</v>
      </c>
      <c r="F170" s="14" t="s">
        <v>25</v>
      </c>
      <c r="H170" s="15">
        <v>46121</v>
      </c>
    </row>
    <row r="171" spans="1:8">
      <c r="A171" s="14">
        <v>914</v>
      </c>
      <c r="B171" s="14" t="s">
        <v>293</v>
      </c>
      <c r="C171" s="14" t="s">
        <v>153</v>
      </c>
      <c r="D171" s="14" t="s">
        <v>23</v>
      </c>
      <c r="E171" s="14" t="b">
        <v>0</v>
      </c>
      <c r="F171" s="14" t="s">
        <v>27</v>
      </c>
      <c r="G171" s="14">
        <v>14</v>
      </c>
      <c r="H171" s="15">
        <v>46121</v>
      </c>
    </row>
    <row r="172" spans="1:8">
      <c r="A172" s="14">
        <v>597</v>
      </c>
      <c r="B172" s="14" t="s">
        <v>294</v>
      </c>
      <c r="C172" s="14" t="s">
        <v>295</v>
      </c>
      <c r="D172" s="14" t="s">
        <v>23</v>
      </c>
      <c r="E172" s="14" t="b">
        <v>0</v>
      </c>
      <c r="F172" s="14" t="s">
        <v>27</v>
      </c>
      <c r="G172" s="14">
        <v>36</v>
      </c>
      <c r="H172" s="15">
        <v>46121</v>
      </c>
    </row>
    <row r="173" spans="1:8">
      <c r="A173" s="14">
        <v>1038</v>
      </c>
      <c r="B173" s="14" t="s">
        <v>293</v>
      </c>
      <c r="C173" s="14" t="s">
        <v>51</v>
      </c>
      <c r="D173" s="14" t="s">
        <v>23</v>
      </c>
      <c r="E173" s="14" t="b">
        <v>0</v>
      </c>
      <c r="F173" s="14" t="s">
        <v>27</v>
      </c>
      <c r="G173" s="14">
        <v>12</v>
      </c>
      <c r="H173" s="15">
        <v>46121</v>
      </c>
    </row>
    <row r="174" spans="1:8">
      <c r="A174" s="14">
        <v>1242</v>
      </c>
      <c r="B174" s="14" t="s">
        <v>297</v>
      </c>
      <c r="C174" s="14" t="s">
        <v>190</v>
      </c>
      <c r="D174" s="14" t="s">
        <v>23</v>
      </c>
      <c r="E174" s="14" t="b">
        <v>0</v>
      </c>
      <c r="F174" s="14" t="s">
        <v>27</v>
      </c>
      <c r="G174" s="14">
        <v>15</v>
      </c>
      <c r="H174" s="15">
        <v>46121</v>
      </c>
    </row>
    <row r="175" spans="1:8">
      <c r="A175" s="14">
        <v>1048</v>
      </c>
      <c r="B175" s="14" t="s">
        <v>298</v>
      </c>
      <c r="C175" s="14" t="s">
        <v>268</v>
      </c>
      <c r="D175" s="14" t="s">
        <v>23</v>
      </c>
      <c r="E175" s="14" t="b">
        <v>0</v>
      </c>
      <c r="F175" s="14" t="s">
        <v>27</v>
      </c>
      <c r="G175" s="14">
        <v>16</v>
      </c>
      <c r="H175" s="15">
        <v>46121</v>
      </c>
    </row>
    <row r="176" spans="1:8">
      <c r="A176" s="14">
        <v>1055</v>
      </c>
      <c r="B176" s="14" t="s">
        <v>298</v>
      </c>
      <c r="C176" s="14" t="s">
        <v>299</v>
      </c>
      <c r="D176" s="14" t="s">
        <v>23</v>
      </c>
      <c r="E176" s="14" t="b">
        <v>0</v>
      </c>
      <c r="F176" s="14" t="s">
        <v>27</v>
      </c>
      <c r="G176" s="14">
        <v>1</v>
      </c>
      <c r="H176" s="15">
        <v>46121</v>
      </c>
    </row>
    <row r="177" spans="1:8">
      <c r="A177" s="14">
        <v>1095</v>
      </c>
      <c r="B177" s="14" t="s">
        <v>298</v>
      </c>
      <c r="C177" s="14" t="s">
        <v>300</v>
      </c>
      <c r="D177" s="14" t="s">
        <v>23</v>
      </c>
      <c r="E177" s="14" t="b">
        <v>0</v>
      </c>
      <c r="F177" s="14" t="s">
        <v>27</v>
      </c>
      <c r="G177" s="14">
        <v>33</v>
      </c>
      <c r="H177" s="15">
        <v>46121</v>
      </c>
    </row>
    <row r="178" spans="1:8">
      <c r="A178" s="14">
        <v>820</v>
      </c>
      <c r="B178" s="14" t="s">
        <v>298</v>
      </c>
      <c r="C178" s="14" t="s">
        <v>139</v>
      </c>
      <c r="D178" s="14" t="s">
        <v>23</v>
      </c>
      <c r="E178" s="14" t="b">
        <v>1</v>
      </c>
      <c r="F178" s="14" t="s">
        <v>27</v>
      </c>
      <c r="G178" s="14">
        <v>6</v>
      </c>
      <c r="H178" s="15">
        <v>46121</v>
      </c>
    </row>
    <row r="179" spans="1:8">
      <c r="A179" s="14">
        <v>687</v>
      </c>
      <c r="B179" s="14" t="s">
        <v>298</v>
      </c>
      <c r="C179" s="14" t="s">
        <v>301</v>
      </c>
      <c r="D179" s="14" t="s">
        <v>23</v>
      </c>
      <c r="E179" s="14" t="b">
        <v>0</v>
      </c>
      <c r="F179" s="14" t="s">
        <v>27</v>
      </c>
      <c r="G179" s="14">
        <v>7</v>
      </c>
      <c r="H179" s="15">
        <v>46121</v>
      </c>
    </row>
    <row r="180" spans="1:8">
      <c r="A180" s="14">
        <v>1420</v>
      </c>
      <c r="B180" s="14" t="s">
        <v>302</v>
      </c>
      <c r="C180" s="14" t="s">
        <v>212</v>
      </c>
      <c r="D180" s="14" t="s">
        <v>23</v>
      </c>
      <c r="E180" s="14" t="b">
        <v>1</v>
      </c>
      <c r="F180" s="14" t="s">
        <v>27</v>
      </c>
      <c r="G180" s="14">
        <v>15</v>
      </c>
      <c r="H180" s="15">
        <v>46121</v>
      </c>
    </row>
    <row r="181" spans="1:8">
      <c r="A181" s="14">
        <v>1410</v>
      </c>
      <c r="B181" s="14" t="s">
        <v>104</v>
      </c>
      <c r="C181" s="14" t="s">
        <v>303</v>
      </c>
      <c r="D181" s="14" t="s">
        <v>23</v>
      </c>
      <c r="E181" s="14" t="b">
        <v>0</v>
      </c>
      <c r="F181" s="14" t="s">
        <v>25</v>
      </c>
      <c r="H181" s="15">
        <v>46121</v>
      </c>
    </row>
    <row r="182" spans="1:8">
      <c r="A182" s="14">
        <v>1161</v>
      </c>
      <c r="B182" s="14" t="s">
        <v>304</v>
      </c>
      <c r="C182" s="14" t="s">
        <v>305</v>
      </c>
      <c r="D182" s="14" t="s">
        <v>23</v>
      </c>
      <c r="E182" s="14" t="b">
        <v>0</v>
      </c>
      <c r="F182" s="14" t="s">
        <v>25</v>
      </c>
      <c r="H182" s="15">
        <v>46121</v>
      </c>
    </row>
    <row r="183" spans="1:8">
      <c r="A183" s="14">
        <v>890</v>
      </c>
      <c r="B183" s="14" t="s">
        <v>306</v>
      </c>
      <c r="C183" s="14" t="s">
        <v>307</v>
      </c>
      <c r="D183" s="14" t="s">
        <v>54</v>
      </c>
      <c r="E183" s="14" t="b">
        <v>0</v>
      </c>
      <c r="F183" s="14" t="s">
        <v>27</v>
      </c>
      <c r="G183" s="14">
        <v>23</v>
      </c>
      <c r="H183" s="15">
        <v>46121</v>
      </c>
    </row>
    <row r="184" spans="1:8">
      <c r="A184" s="14">
        <v>1166</v>
      </c>
      <c r="B184" s="14" t="s">
        <v>308</v>
      </c>
      <c r="C184" s="14" t="s">
        <v>143</v>
      </c>
      <c r="D184" s="14" t="s">
        <v>54</v>
      </c>
      <c r="E184" s="14" t="b">
        <v>0</v>
      </c>
      <c r="F184" s="14" t="s">
        <v>27</v>
      </c>
      <c r="G184" s="14">
        <v>5</v>
      </c>
      <c r="H184" s="15">
        <v>46121</v>
      </c>
    </row>
    <row r="185" spans="1:8">
      <c r="A185" s="14">
        <v>45</v>
      </c>
      <c r="B185" s="14" t="s">
        <v>309</v>
      </c>
      <c r="C185" s="14" t="s">
        <v>310</v>
      </c>
      <c r="D185" s="14" t="s">
        <v>23</v>
      </c>
      <c r="E185" s="14" t="b">
        <v>0</v>
      </c>
      <c r="F185" s="14" t="s">
        <v>27</v>
      </c>
      <c r="G185" s="14">
        <v>20</v>
      </c>
      <c r="H185" s="15">
        <v>46121</v>
      </c>
    </row>
    <row r="186" spans="1:8">
      <c r="A186" s="14">
        <v>1160</v>
      </c>
      <c r="B186" s="14" t="s">
        <v>311</v>
      </c>
      <c r="C186" s="14" t="s">
        <v>312</v>
      </c>
      <c r="D186" s="14" t="s">
        <v>23</v>
      </c>
      <c r="E186" s="14" t="b">
        <v>0</v>
      </c>
      <c r="F186" s="14" t="s">
        <v>25</v>
      </c>
      <c r="H186" s="15">
        <v>46121</v>
      </c>
    </row>
    <row r="187" spans="1:8">
      <c r="A187" s="14">
        <v>945</v>
      </c>
      <c r="B187" s="14" t="s">
        <v>313</v>
      </c>
      <c r="C187" s="14" t="s">
        <v>49</v>
      </c>
      <c r="D187" s="14" t="s">
        <v>23</v>
      </c>
      <c r="E187" s="14" t="b">
        <v>0</v>
      </c>
      <c r="F187" s="14" t="s">
        <v>25</v>
      </c>
      <c r="H187" s="15">
        <v>46121</v>
      </c>
    </row>
    <row r="188" spans="1:8">
      <c r="A188" s="14">
        <v>813</v>
      </c>
      <c r="B188" s="14" t="s">
        <v>313</v>
      </c>
      <c r="C188" s="14" t="s">
        <v>289</v>
      </c>
      <c r="D188" s="14" t="s">
        <v>23</v>
      </c>
      <c r="E188" s="14" t="b">
        <v>1</v>
      </c>
      <c r="F188" s="14" t="s">
        <v>27</v>
      </c>
      <c r="G188" s="14">
        <v>7</v>
      </c>
      <c r="H188" s="15">
        <v>46121</v>
      </c>
    </row>
    <row r="189" spans="1:8">
      <c r="A189" s="14">
        <v>812</v>
      </c>
      <c r="B189" s="14" t="s">
        <v>313</v>
      </c>
      <c r="C189" s="14" t="s">
        <v>170</v>
      </c>
      <c r="D189" s="14" t="s">
        <v>23</v>
      </c>
      <c r="E189" s="14" t="b">
        <v>0</v>
      </c>
      <c r="F189" s="14" t="s">
        <v>27</v>
      </c>
      <c r="G189" s="14">
        <v>9</v>
      </c>
      <c r="H189" s="15">
        <v>46121</v>
      </c>
    </row>
    <row r="190" spans="1:8">
      <c r="A190" s="14">
        <v>1129</v>
      </c>
      <c r="B190" s="14" t="s">
        <v>314</v>
      </c>
      <c r="C190" s="14" t="s">
        <v>315</v>
      </c>
      <c r="D190" s="14" t="s">
        <v>23</v>
      </c>
      <c r="E190" s="14" t="b">
        <v>0</v>
      </c>
      <c r="F190" s="14" t="s">
        <v>27</v>
      </c>
      <c r="G190" s="14">
        <v>12</v>
      </c>
      <c r="H190" s="15">
        <v>46121</v>
      </c>
    </row>
    <row r="191" spans="1:8">
      <c r="A191" s="14">
        <v>915</v>
      </c>
      <c r="B191" s="14" t="s">
        <v>316</v>
      </c>
      <c r="C191" s="14" t="s">
        <v>241</v>
      </c>
      <c r="D191" s="14" t="s">
        <v>23</v>
      </c>
      <c r="E191" s="14" t="b">
        <v>0</v>
      </c>
      <c r="F191" s="14" t="s">
        <v>27</v>
      </c>
      <c r="G191" s="14">
        <v>8</v>
      </c>
      <c r="H191" s="15">
        <v>46121</v>
      </c>
    </row>
    <row r="192" spans="1:8">
      <c r="A192" s="14">
        <v>860</v>
      </c>
      <c r="B192" s="14" t="s">
        <v>321</v>
      </c>
      <c r="C192" s="14" t="s">
        <v>215</v>
      </c>
      <c r="D192" s="14" t="s">
        <v>23</v>
      </c>
      <c r="E192" s="14" t="b">
        <v>1</v>
      </c>
      <c r="F192" s="14" t="s">
        <v>25</v>
      </c>
      <c r="H192" s="15">
        <v>46121</v>
      </c>
    </row>
    <row r="193" spans="1:8">
      <c r="A193" s="14">
        <v>756</v>
      </c>
      <c r="B193" s="14" t="s">
        <v>321</v>
      </c>
      <c r="C193" s="14" t="s">
        <v>322</v>
      </c>
      <c r="D193" s="14" t="s">
        <v>23</v>
      </c>
      <c r="E193" s="14" t="b">
        <v>0</v>
      </c>
      <c r="F193" s="14" t="s">
        <v>25</v>
      </c>
      <c r="H193" s="15">
        <v>46121</v>
      </c>
    </row>
    <row r="194" spans="1:8">
      <c r="A194" s="14">
        <v>407</v>
      </c>
      <c r="B194" s="14" t="s">
        <v>321</v>
      </c>
      <c r="C194" s="14" t="s">
        <v>323</v>
      </c>
      <c r="D194" s="14" t="s">
        <v>23</v>
      </c>
      <c r="E194" s="14" t="b">
        <v>0</v>
      </c>
      <c r="F194" s="14" t="s">
        <v>27</v>
      </c>
      <c r="G194" s="14">
        <v>5</v>
      </c>
      <c r="H194" s="15">
        <v>46121</v>
      </c>
    </row>
    <row r="195" spans="1:8">
      <c r="A195" s="14">
        <v>1312</v>
      </c>
      <c r="B195" s="14" t="s">
        <v>329</v>
      </c>
      <c r="C195" s="14" t="s">
        <v>287</v>
      </c>
      <c r="D195" s="14" t="s">
        <v>23</v>
      </c>
      <c r="E195" s="14" t="b">
        <v>1</v>
      </c>
      <c r="F195" s="14" t="s">
        <v>27</v>
      </c>
      <c r="G195" s="14">
        <v>35</v>
      </c>
      <c r="H195" s="15">
        <v>46121</v>
      </c>
    </row>
    <row r="196" spans="1:8">
      <c r="A196" s="14">
        <v>935</v>
      </c>
      <c r="B196" s="14" t="s">
        <v>330</v>
      </c>
      <c r="C196" s="14" t="s">
        <v>245</v>
      </c>
      <c r="D196" s="14" t="s">
        <v>23</v>
      </c>
      <c r="E196" s="14" t="b">
        <v>1</v>
      </c>
      <c r="F196" s="14" t="s">
        <v>25</v>
      </c>
      <c r="H196" s="15">
        <v>46121</v>
      </c>
    </row>
    <row r="197" spans="1:8">
      <c r="A197" s="14">
        <v>999</v>
      </c>
      <c r="B197" s="14" t="s">
        <v>330</v>
      </c>
      <c r="C197" s="14" t="s">
        <v>331</v>
      </c>
      <c r="D197" s="14" t="s">
        <v>23</v>
      </c>
      <c r="E197" s="14" t="b">
        <v>1</v>
      </c>
      <c r="F197" s="14" t="s">
        <v>25</v>
      </c>
      <c r="H197" s="15">
        <v>46121</v>
      </c>
    </row>
    <row r="198" spans="1:8">
      <c r="A198" s="14">
        <v>998</v>
      </c>
      <c r="B198" s="14" t="s">
        <v>330</v>
      </c>
      <c r="C198" s="14" t="s">
        <v>332</v>
      </c>
      <c r="D198" s="14" t="s">
        <v>23</v>
      </c>
      <c r="E198" s="14" t="b">
        <v>1</v>
      </c>
      <c r="F198" s="14" t="s">
        <v>27</v>
      </c>
      <c r="G198" s="14">
        <v>5</v>
      </c>
      <c r="H198" s="15">
        <v>46121</v>
      </c>
    </row>
    <row r="199" spans="1:8">
      <c r="A199" s="14">
        <v>616</v>
      </c>
      <c r="B199" s="14" t="s">
        <v>330</v>
      </c>
      <c r="C199" s="14" t="s">
        <v>41</v>
      </c>
      <c r="D199" s="14" t="s">
        <v>23</v>
      </c>
      <c r="E199" s="14" t="b">
        <v>0</v>
      </c>
      <c r="F199" s="14" t="s">
        <v>27</v>
      </c>
      <c r="G199" s="14">
        <v>7</v>
      </c>
      <c r="H199" s="15">
        <v>46121</v>
      </c>
    </row>
    <row r="200" spans="1:8">
      <c r="A200" s="14">
        <v>558</v>
      </c>
      <c r="B200" s="14" t="s">
        <v>333</v>
      </c>
      <c r="C200" s="14" t="s">
        <v>334</v>
      </c>
      <c r="D200" s="14" t="s">
        <v>23</v>
      </c>
      <c r="E200" s="14" t="b">
        <v>0</v>
      </c>
      <c r="F200" s="14" t="s">
        <v>27</v>
      </c>
      <c r="G200" s="14">
        <v>15</v>
      </c>
      <c r="H200" s="15">
        <v>46121</v>
      </c>
    </row>
    <row r="201" spans="1:8">
      <c r="A201" s="14">
        <v>991</v>
      </c>
      <c r="B201" s="14" t="s">
        <v>335</v>
      </c>
      <c r="C201" s="14" t="s">
        <v>184</v>
      </c>
      <c r="D201" s="14" t="s">
        <v>23</v>
      </c>
      <c r="E201" s="14" t="b">
        <v>1</v>
      </c>
      <c r="F201" s="14" t="s">
        <v>35</v>
      </c>
      <c r="H201" s="15">
        <v>46121</v>
      </c>
    </row>
    <row r="202" spans="1:8">
      <c r="A202" s="14">
        <v>359</v>
      </c>
      <c r="B202" s="14" t="s">
        <v>336</v>
      </c>
      <c r="C202" s="14" t="s">
        <v>26</v>
      </c>
      <c r="D202" s="14" t="s">
        <v>23</v>
      </c>
      <c r="E202" s="14" t="b">
        <v>0</v>
      </c>
      <c r="F202" s="14" t="s">
        <v>27</v>
      </c>
      <c r="G202" s="14">
        <v>24</v>
      </c>
      <c r="H202" s="15">
        <v>46121</v>
      </c>
    </row>
    <row r="203" spans="1:8">
      <c r="A203" s="14">
        <v>1310</v>
      </c>
      <c r="B203" s="14" t="s">
        <v>337</v>
      </c>
      <c r="C203" s="14" t="s">
        <v>311</v>
      </c>
      <c r="D203" s="14" t="s">
        <v>23</v>
      </c>
      <c r="E203" s="14" t="b">
        <v>0</v>
      </c>
      <c r="F203" s="14" t="s">
        <v>25</v>
      </c>
      <c r="H203" s="15">
        <v>46121</v>
      </c>
    </row>
    <row r="204" spans="1:8">
      <c r="A204" s="14">
        <v>1200</v>
      </c>
      <c r="B204" s="14" t="s">
        <v>338</v>
      </c>
      <c r="C204" s="14" t="s">
        <v>339</v>
      </c>
      <c r="D204" s="14" t="s">
        <v>23</v>
      </c>
      <c r="E204" s="14" t="b">
        <v>0</v>
      </c>
      <c r="F204" s="14" t="s">
        <v>27</v>
      </c>
      <c r="G204" s="14">
        <v>6</v>
      </c>
      <c r="H204" s="15">
        <v>46121</v>
      </c>
    </row>
    <row r="205" spans="1:8">
      <c r="A205" s="14">
        <v>1411</v>
      </c>
      <c r="B205" s="14" t="s">
        <v>338</v>
      </c>
      <c r="C205" s="14" t="s">
        <v>72</v>
      </c>
      <c r="D205" s="14" t="s">
        <v>23</v>
      </c>
      <c r="E205" s="14" t="b">
        <v>1</v>
      </c>
      <c r="F205" s="14" t="s">
        <v>27</v>
      </c>
      <c r="G205" s="14">
        <v>3</v>
      </c>
      <c r="H205" s="15">
        <v>46121</v>
      </c>
    </row>
    <row r="206" spans="1:8">
      <c r="A206" s="14">
        <v>1412</v>
      </c>
      <c r="B206" s="14" t="s">
        <v>338</v>
      </c>
      <c r="C206" s="14" t="s">
        <v>340</v>
      </c>
      <c r="D206" s="14" t="s">
        <v>23</v>
      </c>
      <c r="E206" s="14" t="b">
        <v>1</v>
      </c>
      <c r="F206" s="14" t="s">
        <v>188</v>
      </c>
      <c r="H206" s="15">
        <v>46121</v>
      </c>
    </row>
    <row r="207" spans="1:8">
      <c r="A207" s="14">
        <v>1413</v>
      </c>
      <c r="B207" s="14" t="s">
        <v>338</v>
      </c>
      <c r="C207" s="14" t="s">
        <v>214</v>
      </c>
      <c r="D207" s="14" t="s">
        <v>23</v>
      </c>
      <c r="E207" s="14" t="b">
        <v>0</v>
      </c>
      <c r="F207" s="14" t="s">
        <v>188</v>
      </c>
      <c r="H207" s="15">
        <v>46121</v>
      </c>
    </row>
    <row r="208" spans="1:8">
      <c r="A208" s="14">
        <v>1376</v>
      </c>
      <c r="B208" s="14" t="s">
        <v>192</v>
      </c>
      <c r="C208" s="14" t="s">
        <v>127</v>
      </c>
      <c r="D208" s="14" t="s">
        <v>23</v>
      </c>
      <c r="E208" s="14" t="b">
        <v>1</v>
      </c>
      <c r="F208" s="14" t="s">
        <v>25</v>
      </c>
      <c r="H208" s="15">
        <v>46121</v>
      </c>
    </row>
    <row r="209" spans="1:8">
      <c r="A209" s="14">
        <v>1140</v>
      </c>
      <c r="B209" s="14" t="s">
        <v>341</v>
      </c>
      <c r="C209" s="14" t="s">
        <v>243</v>
      </c>
      <c r="D209" s="14" t="s">
        <v>23</v>
      </c>
      <c r="E209" s="14" t="b">
        <v>0</v>
      </c>
      <c r="F209" s="14" t="s">
        <v>25</v>
      </c>
      <c r="H209" s="15">
        <v>46121</v>
      </c>
    </row>
    <row r="210" spans="1:8">
      <c r="A210" s="14">
        <v>989</v>
      </c>
      <c r="B210" s="14" t="s">
        <v>342</v>
      </c>
      <c r="C210" s="14" t="s">
        <v>343</v>
      </c>
      <c r="D210" s="14" t="s">
        <v>23</v>
      </c>
      <c r="E210" s="14" t="b">
        <v>0</v>
      </c>
      <c r="F210" s="14" t="s">
        <v>27</v>
      </c>
      <c r="G210" s="14">
        <v>3</v>
      </c>
      <c r="H210" s="15">
        <v>46121</v>
      </c>
    </row>
    <row r="211" spans="1:8">
      <c r="A211" s="14">
        <v>1417</v>
      </c>
      <c r="B211" s="14" t="s">
        <v>344</v>
      </c>
      <c r="C211" s="14" t="s">
        <v>345</v>
      </c>
      <c r="D211" s="14" t="s">
        <v>23</v>
      </c>
      <c r="E211" s="14" t="b">
        <v>1</v>
      </c>
      <c r="F211" s="14" t="s">
        <v>27</v>
      </c>
      <c r="G211" s="14">
        <v>17</v>
      </c>
      <c r="H211" s="15">
        <v>46121</v>
      </c>
    </row>
    <row r="212" spans="1:8">
      <c r="A212" s="14">
        <v>52</v>
      </c>
      <c r="B212" s="14" t="s">
        <v>346</v>
      </c>
      <c r="C212" s="14" t="s">
        <v>192</v>
      </c>
      <c r="D212" s="14" t="s">
        <v>23</v>
      </c>
      <c r="E212" s="14" t="b">
        <v>0</v>
      </c>
      <c r="F212" s="14" t="s">
        <v>25</v>
      </c>
      <c r="H212" s="15">
        <v>46121</v>
      </c>
    </row>
    <row r="213" spans="1:8">
      <c r="A213" s="14">
        <v>62</v>
      </c>
      <c r="B213" s="14" t="s">
        <v>344</v>
      </c>
      <c r="C213" s="14" t="s">
        <v>234</v>
      </c>
      <c r="D213" s="14" t="s">
        <v>23</v>
      </c>
      <c r="E213" s="14" t="b">
        <v>0</v>
      </c>
      <c r="F213" s="14" t="s">
        <v>27</v>
      </c>
      <c r="G213" s="14">
        <v>4</v>
      </c>
      <c r="H213" s="15">
        <v>46121</v>
      </c>
    </row>
    <row r="214" spans="1:8">
      <c r="A214" s="14">
        <v>930</v>
      </c>
      <c r="B214" s="14" t="s">
        <v>347</v>
      </c>
      <c r="C214" s="14" t="s">
        <v>348</v>
      </c>
      <c r="D214" s="14" t="s">
        <v>23</v>
      </c>
      <c r="E214" s="14" t="b">
        <v>1</v>
      </c>
      <c r="F214" s="14" t="s">
        <v>27</v>
      </c>
      <c r="G214" s="14">
        <v>6</v>
      </c>
      <c r="H214" s="15">
        <v>46121</v>
      </c>
    </row>
    <row r="215" spans="1:8">
      <c r="A215" s="14">
        <v>1254</v>
      </c>
      <c r="B215" s="14" t="s">
        <v>349</v>
      </c>
      <c r="C215" s="14" t="s">
        <v>51</v>
      </c>
      <c r="D215" s="14" t="s">
        <v>23</v>
      </c>
      <c r="E215" s="14" t="b">
        <v>0</v>
      </c>
      <c r="F215" s="14" t="s">
        <v>27</v>
      </c>
      <c r="G215" s="14">
        <v>21</v>
      </c>
      <c r="H215" s="15">
        <v>46121</v>
      </c>
    </row>
    <row r="216" spans="1:8">
      <c r="A216" s="14">
        <v>744</v>
      </c>
      <c r="B216" s="14" t="s">
        <v>350</v>
      </c>
      <c r="C216" s="14" t="s">
        <v>351</v>
      </c>
      <c r="D216" s="14" t="s">
        <v>23</v>
      </c>
      <c r="E216" s="14" t="b">
        <v>0</v>
      </c>
      <c r="F216" s="14" t="s">
        <v>27</v>
      </c>
      <c r="G216" s="14">
        <v>28</v>
      </c>
      <c r="H216" s="15">
        <v>46121</v>
      </c>
    </row>
    <row r="217" spans="1:8">
      <c r="A217" s="14">
        <v>337</v>
      </c>
      <c r="B217" s="14" t="s">
        <v>352</v>
      </c>
      <c r="C217" s="14" t="s">
        <v>179</v>
      </c>
      <c r="D217" s="14" t="s">
        <v>23</v>
      </c>
      <c r="E217" s="14" t="b">
        <v>1</v>
      </c>
      <c r="F217" s="14" t="s">
        <v>27</v>
      </c>
      <c r="G217" s="14">
        <v>21</v>
      </c>
      <c r="H217" s="15">
        <v>46121</v>
      </c>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18"/>
  <sheetViews>
    <sheetView workbookViewId="0"/>
    <sheetView workbookViewId="1"/>
  </sheetViews>
  <sheetFormatPr defaultColWidth="9" defaultRowHeight="14.25"/>
  <cols>
    <col min="1" max="7" width="9" style="16"/>
    <col min="8" max="8" width="10.19921875" style="16" bestFit="1" customWidth="1"/>
    <col min="9" max="16384" width="9" style="16"/>
  </cols>
  <sheetData>
    <row r="1" spans="1:8">
      <c r="A1" s="16" t="s">
        <v>13</v>
      </c>
      <c r="B1" s="16" t="s">
        <v>14</v>
      </c>
      <c r="C1" s="16" t="s">
        <v>15</v>
      </c>
      <c r="D1" s="16" t="s">
        <v>16</v>
      </c>
      <c r="E1" s="16" t="s">
        <v>17</v>
      </c>
      <c r="F1" s="16" t="s">
        <v>18</v>
      </c>
      <c r="G1" s="16" t="s">
        <v>19</v>
      </c>
      <c r="H1" s="16" t="s">
        <v>20</v>
      </c>
    </row>
    <row r="2" spans="1:8">
      <c r="A2" s="16">
        <v>1327</v>
      </c>
      <c r="B2" s="16" t="s">
        <v>21</v>
      </c>
      <c r="C2" s="16" t="s">
        <v>22</v>
      </c>
      <c r="D2" s="16" t="s">
        <v>23</v>
      </c>
      <c r="E2" s="16" t="b">
        <v>0</v>
      </c>
      <c r="F2" s="16" t="s">
        <v>25</v>
      </c>
      <c r="H2" s="17">
        <v>46125</v>
      </c>
    </row>
    <row r="3" spans="1:8">
      <c r="A3" s="16">
        <v>1237</v>
      </c>
      <c r="B3" s="16" t="s">
        <v>21</v>
      </c>
      <c r="C3" s="16" t="s">
        <v>26</v>
      </c>
      <c r="D3" s="16" t="s">
        <v>23</v>
      </c>
      <c r="E3" s="16" t="b">
        <v>0</v>
      </c>
      <c r="F3" s="16" t="s">
        <v>27</v>
      </c>
      <c r="G3" s="16">
        <v>1</v>
      </c>
      <c r="H3" s="17">
        <v>46125</v>
      </c>
    </row>
    <row r="4" spans="1:8">
      <c r="A4" s="16">
        <v>819</v>
      </c>
      <c r="B4" s="16" t="s">
        <v>28</v>
      </c>
      <c r="C4" s="16" t="s">
        <v>29</v>
      </c>
      <c r="D4" s="16" t="s">
        <v>23</v>
      </c>
      <c r="E4" s="16" t="b">
        <v>1</v>
      </c>
      <c r="F4" s="16" t="s">
        <v>27</v>
      </c>
      <c r="G4" s="16">
        <v>23</v>
      </c>
      <c r="H4" s="17">
        <v>46125</v>
      </c>
    </row>
    <row r="5" spans="1:8">
      <c r="A5" s="16">
        <v>2</v>
      </c>
      <c r="B5" s="16" t="s">
        <v>31</v>
      </c>
      <c r="C5" s="16" t="s">
        <v>32</v>
      </c>
      <c r="D5" s="16" t="s">
        <v>23</v>
      </c>
      <c r="E5" s="16" t="b">
        <v>0</v>
      </c>
      <c r="F5" s="16" t="s">
        <v>27</v>
      </c>
      <c r="G5" s="16">
        <v>21</v>
      </c>
      <c r="H5" s="17">
        <v>46125</v>
      </c>
    </row>
    <row r="6" spans="1:8">
      <c r="A6" s="16">
        <v>1370</v>
      </c>
      <c r="B6" s="16" t="s">
        <v>33</v>
      </c>
      <c r="C6" s="16" t="s">
        <v>34</v>
      </c>
      <c r="D6" s="16" t="s">
        <v>23</v>
      </c>
      <c r="E6" s="16" t="b">
        <v>0</v>
      </c>
      <c r="F6" s="16" t="s">
        <v>27</v>
      </c>
      <c r="G6" s="16">
        <v>4</v>
      </c>
      <c r="H6" s="17">
        <v>46125</v>
      </c>
    </row>
    <row r="7" spans="1:8">
      <c r="A7" s="16">
        <v>1415</v>
      </c>
      <c r="B7" s="16" t="s">
        <v>33</v>
      </c>
      <c r="C7" s="16" t="s">
        <v>22</v>
      </c>
      <c r="D7" s="16" t="s">
        <v>23</v>
      </c>
      <c r="E7" s="16" t="b">
        <v>0</v>
      </c>
      <c r="F7" s="16" t="s">
        <v>35</v>
      </c>
      <c r="H7" s="17">
        <v>46125</v>
      </c>
    </row>
    <row r="8" spans="1:8">
      <c r="A8" s="16">
        <v>1286</v>
      </c>
      <c r="B8" s="16" t="s">
        <v>36</v>
      </c>
      <c r="C8" s="16" t="s">
        <v>34</v>
      </c>
      <c r="D8" s="16" t="s">
        <v>23</v>
      </c>
      <c r="E8" s="16" t="b">
        <v>0</v>
      </c>
      <c r="F8" s="16" t="s">
        <v>27</v>
      </c>
      <c r="G8" s="16">
        <v>13</v>
      </c>
      <c r="H8" s="17">
        <v>46125</v>
      </c>
    </row>
    <row r="9" spans="1:8">
      <c r="A9" s="16">
        <v>1381</v>
      </c>
      <c r="B9" s="16" t="s">
        <v>36</v>
      </c>
      <c r="C9" s="16" t="s">
        <v>37</v>
      </c>
      <c r="D9" s="16" t="s">
        <v>23</v>
      </c>
      <c r="E9" s="16" t="b">
        <v>0</v>
      </c>
      <c r="F9" s="16" t="s">
        <v>25</v>
      </c>
      <c r="H9" s="17">
        <v>46125</v>
      </c>
    </row>
    <row r="10" spans="1:8">
      <c r="A10" s="16">
        <v>1112</v>
      </c>
      <c r="B10" s="16" t="s">
        <v>38</v>
      </c>
      <c r="C10" s="16" t="s">
        <v>39</v>
      </c>
      <c r="D10" s="16" t="s">
        <v>23</v>
      </c>
      <c r="E10" s="16" t="b">
        <v>0</v>
      </c>
      <c r="F10" s="16" t="s">
        <v>27</v>
      </c>
      <c r="G10" s="16">
        <v>16</v>
      </c>
      <c r="H10" s="17">
        <v>46125</v>
      </c>
    </row>
    <row r="11" spans="1:8">
      <c r="A11" s="16">
        <v>1135</v>
      </c>
      <c r="B11" s="16" t="s">
        <v>40</v>
      </c>
      <c r="C11" s="16" t="s">
        <v>41</v>
      </c>
      <c r="D11" s="16" t="s">
        <v>23</v>
      </c>
      <c r="E11" s="16" t="b">
        <v>0</v>
      </c>
      <c r="F11" s="16" t="s">
        <v>27</v>
      </c>
      <c r="G11" s="16">
        <v>1</v>
      </c>
      <c r="H11" s="17">
        <v>46125</v>
      </c>
    </row>
    <row r="12" spans="1:8">
      <c r="A12" s="16">
        <v>982</v>
      </c>
      <c r="B12" s="16" t="s">
        <v>42</v>
      </c>
      <c r="C12" s="16" t="s">
        <v>32</v>
      </c>
      <c r="D12" s="16" t="s">
        <v>23</v>
      </c>
      <c r="E12" s="16" t="b">
        <v>0</v>
      </c>
      <c r="F12" s="16" t="s">
        <v>27</v>
      </c>
      <c r="G12" s="16">
        <v>22</v>
      </c>
      <c r="H12" s="17">
        <v>46125</v>
      </c>
    </row>
    <row r="13" spans="1:8">
      <c r="A13" s="16">
        <v>1328</v>
      </c>
      <c r="B13" s="16" t="s">
        <v>43</v>
      </c>
      <c r="C13" s="16" t="s">
        <v>44</v>
      </c>
      <c r="D13" s="16" t="s">
        <v>23</v>
      </c>
      <c r="E13" s="16" t="b">
        <v>0</v>
      </c>
      <c r="F13" s="16" t="s">
        <v>27</v>
      </c>
      <c r="G13" s="16">
        <v>4</v>
      </c>
      <c r="H13" s="17">
        <v>46125</v>
      </c>
    </row>
    <row r="14" spans="1:8">
      <c r="A14" s="16">
        <v>369</v>
      </c>
      <c r="B14" s="16" t="s">
        <v>45</v>
      </c>
      <c r="C14" s="16" t="s">
        <v>46</v>
      </c>
      <c r="D14" s="16" t="s">
        <v>23</v>
      </c>
      <c r="E14" s="16" t="b">
        <v>0</v>
      </c>
      <c r="F14" s="16" t="s">
        <v>27</v>
      </c>
      <c r="G14" s="16">
        <v>8</v>
      </c>
      <c r="H14" s="17">
        <v>46125</v>
      </c>
    </row>
    <row r="15" spans="1:8">
      <c r="A15" s="16">
        <v>7</v>
      </c>
      <c r="B15" s="16" t="s">
        <v>45</v>
      </c>
      <c r="C15" s="16" t="s">
        <v>47</v>
      </c>
      <c r="D15" s="16" t="s">
        <v>48</v>
      </c>
      <c r="E15" s="16" t="b">
        <v>0</v>
      </c>
      <c r="F15" s="16" t="s">
        <v>27</v>
      </c>
      <c r="G15" s="16">
        <v>32</v>
      </c>
      <c r="H15" s="17">
        <v>46125</v>
      </c>
    </row>
    <row r="16" spans="1:8">
      <c r="A16" s="16">
        <v>473</v>
      </c>
      <c r="B16" s="16" t="s">
        <v>45</v>
      </c>
      <c r="C16" s="16" t="s">
        <v>49</v>
      </c>
      <c r="D16" s="16" t="s">
        <v>48</v>
      </c>
      <c r="E16" s="16" t="b">
        <v>0</v>
      </c>
      <c r="F16" s="16" t="s">
        <v>27</v>
      </c>
      <c r="G16" s="16">
        <v>33</v>
      </c>
      <c r="H16" s="17">
        <v>46125</v>
      </c>
    </row>
    <row r="17" spans="1:8">
      <c r="A17" s="16">
        <v>1384</v>
      </c>
      <c r="B17" s="16" t="s">
        <v>50</v>
      </c>
      <c r="C17" s="16" t="s">
        <v>51</v>
      </c>
      <c r="D17" s="16" t="s">
        <v>23</v>
      </c>
      <c r="E17" s="16" t="b">
        <v>0</v>
      </c>
      <c r="F17" s="16" t="s">
        <v>27</v>
      </c>
      <c r="G17" s="16">
        <v>30</v>
      </c>
      <c r="H17" s="17">
        <v>46125</v>
      </c>
    </row>
    <row r="18" spans="1:8">
      <c r="A18" s="16">
        <v>1348</v>
      </c>
      <c r="B18" s="16" t="s">
        <v>52</v>
      </c>
      <c r="C18" s="16" t="s">
        <v>53</v>
      </c>
      <c r="D18" s="16" t="s">
        <v>54</v>
      </c>
      <c r="E18" s="16" t="b">
        <v>1</v>
      </c>
      <c r="F18" s="16" t="s">
        <v>25</v>
      </c>
      <c r="H18" s="17">
        <v>46125</v>
      </c>
    </row>
    <row r="19" spans="1:8">
      <c r="A19" s="16">
        <v>1275</v>
      </c>
      <c r="B19" s="16" t="s">
        <v>52</v>
      </c>
      <c r="C19" s="16" t="s">
        <v>55</v>
      </c>
      <c r="D19" s="16" t="s">
        <v>23</v>
      </c>
      <c r="E19" s="16" t="b">
        <v>1</v>
      </c>
      <c r="F19" s="16" t="s">
        <v>35</v>
      </c>
      <c r="H19" s="17">
        <v>46125</v>
      </c>
    </row>
    <row r="20" spans="1:8">
      <c r="A20" s="16">
        <v>68</v>
      </c>
      <c r="B20" s="16" t="s">
        <v>56</v>
      </c>
      <c r="C20" s="16" t="s">
        <v>57</v>
      </c>
      <c r="D20" s="16" t="s">
        <v>48</v>
      </c>
      <c r="E20" s="16" t="b">
        <v>0</v>
      </c>
      <c r="F20" s="16" t="s">
        <v>27</v>
      </c>
      <c r="G20" s="16">
        <v>35</v>
      </c>
      <c r="H20" s="17">
        <v>46125</v>
      </c>
    </row>
    <row r="21" spans="1:8">
      <c r="A21" s="16">
        <v>1035</v>
      </c>
      <c r="B21" s="16" t="s">
        <v>58</v>
      </c>
      <c r="C21" s="16" t="s">
        <v>59</v>
      </c>
      <c r="D21" s="16" t="s">
        <v>23</v>
      </c>
      <c r="E21" s="16" t="b">
        <v>0</v>
      </c>
      <c r="F21" s="16" t="s">
        <v>27</v>
      </c>
      <c r="G21" s="16">
        <v>6</v>
      </c>
      <c r="H21" s="17">
        <v>46125</v>
      </c>
    </row>
    <row r="22" spans="1:8">
      <c r="A22" s="16">
        <v>1416</v>
      </c>
      <c r="B22" s="16" t="s">
        <v>60</v>
      </c>
      <c r="C22" s="16" t="s">
        <v>61</v>
      </c>
      <c r="D22" s="16" t="s">
        <v>23</v>
      </c>
      <c r="E22" s="16" t="b">
        <v>0</v>
      </c>
      <c r="F22" s="16" t="s">
        <v>25</v>
      </c>
      <c r="H22" s="17">
        <v>46125</v>
      </c>
    </row>
    <row r="23" spans="1:8">
      <c r="A23" s="16">
        <v>1326</v>
      </c>
      <c r="B23" s="16" t="s">
        <v>62</v>
      </c>
      <c r="C23" s="16" t="s">
        <v>63</v>
      </c>
      <c r="D23" s="16" t="s">
        <v>23</v>
      </c>
      <c r="E23" s="16" t="b">
        <v>1</v>
      </c>
      <c r="F23" s="16" t="s">
        <v>25</v>
      </c>
      <c r="H23" s="17">
        <v>46125</v>
      </c>
    </row>
    <row r="24" spans="1:8">
      <c r="A24" s="16">
        <v>477</v>
      </c>
      <c r="B24" s="16" t="s">
        <v>64</v>
      </c>
      <c r="C24" s="16" t="s">
        <v>65</v>
      </c>
      <c r="D24" s="16" t="s">
        <v>23</v>
      </c>
      <c r="E24" s="16" t="b">
        <v>1</v>
      </c>
      <c r="F24" s="16" t="s">
        <v>27</v>
      </c>
      <c r="G24" s="16">
        <v>34</v>
      </c>
      <c r="H24" s="17">
        <v>46125</v>
      </c>
    </row>
    <row r="25" spans="1:8">
      <c r="A25" s="16">
        <v>10</v>
      </c>
      <c r="B25" s="16" t="s">
        <v>64</v>
      </c>
      <c r="C25" s="16" t="s">
        <v>66</v>
      </c>
      <c r="D25" s="16" t="s">
        <v>48</v>
      </c>
      <c r="E25" s="16" t="b">
        <v>0</v>
      </c>
      <c r="F25" s="16" t="s">
        <v>27</v>
      </c>
      <c r="G25" s="16">
        <v>35</v>
      </c>
      <c r="H25" s="17">
        <v>46125</v>
      </c>
    </row>
    <row r="26" spans="1:8">
      <c r="A26" s="16">
        <v>1414</v>
      </c>
      <c r="B26" s="16" t="s">
        <v>67</v>
      </c>
      <c r="C26" s="16" t="s">
        <v>36</v>
      </c>
      <c r="D26" s="16" t="s">
        <v>23</v>
      </c>
      <c r="E26" s="16" t="b">
        <v>0</v>
      </c>
      <c r="F26" s="16" t="s">
        <v>27</v>
      </c>
      <c r="G26" s="16">
        <v>13</v>
      </c>
      <c r="H26" s="17">
        <v>46125</v>
      </c>
    </row>
    <row r="27" spans="1:8">
      <c r="A27" s="16">
        <v>1029</v>
      </c>
      <c r="B27" s="16" t="s">
        <v>68</v>
      </c>
      <c r="C27" s="16" t="s">
        <v>69</v>
      </c>
      <c r="D27" s="16" t="s">
        <v>23</v>
      </c>
      <c r="E27" s="16" t="b">
        <v>0</v>
      </c>
      <c r="F27" s="16" t="s">
        <v>27</v>
      </c>
      <c r="G27" s="16">
        <v>28</v>
      </c>
      <c r="H27" s="17">
        <v>46125</v>
      </c>
    </row>
    <row r="28" spans="1:8">
      <c r="A28" s="16">
        <v>13</v>
      </c>
      <c r="B28" s="16" t="s">
        <v>70</v>
      </c>
      <c r="C28" s="16" t="s">
        <v>51</v>
      </c>
      <c r="D28" s="16" t="s">
        <v>23</v>
      </c>
      <c r="E28" s="16" t="b">
        <v>0</v>
      </c>
      <c r="F28" s="16" t="s">
        <v>27</v>
      </c>
      <c r="G28" s="16">
        <v>28</v>
      </c>
      <c r="H28" s="17">
        <v>46125</v>
      </c>
    </row>
    <row r="29" spans="1:8">
      <c r="A29" s="16">
        <v>1255</v>
      </c>
      <c r="B29" s="16" t="s">
        <v>71</v>
      </c>
      <c r="C29" s="16" t="s">
        <v>72</v>
      </c>
      <c r="D29" s="16" t="s">
        <v>23</v>
      </c>
      <c r="E29" s="16" t="b">
        <v>1</v>
      </c>
      <c r="F29" s="16" t="s">
        <v>27</v>
      </c>
      <c r="G29" s="16">
        <v>13</v>
      </c>
      <c r="H29" s="17">
        <v>46125</v>
      </c>
    </row>
    <row r="30" spans="1:8">
      <c r="A30" s="16">
        <v>1405</v>
      </c>
      <c r="B30" s="16" t="s">
        <v>73</v>
      </c>
      <c r="C30" s="16" t="s">
        <v>74</v>
      </c>
      <c r="D30" s="16" t="s">
        <v>23</v>
      </c>
      <c r="E30" s="16" t="b">
        <v>1</v>
      </c>
      <c r="F30" s="16" t="s">
        <v>35</v>
      </c>
      <c r="H30" s="17">
        <v>46125</v>
      </c>
    </row>
    <row r="31" spans="1:8">
      <c r="A31" s="16">
        <v>1421</v>
      </c>
      <c r="B31" s="16" t="s">
        <v>75</v>
      </c>
      <c r="C31" s="16" t="s">
        <v>76</v>
      </c>
      <c r="D31" s="16" t="s">
        <v>23</v>
      </c>
      <c r="E31" s="16" t="b">
        <v>1</v>
      </c>
      <c r="F31" s="16" t="s">
        <v>27</v>
      </c>
      <c r="G31" s="16">
        <v>12</v>
      </c>
      <c r="H31" s="17">
        <v>46125</v>
      </c>
    </row>
    <row r="32" spans="1:8">
      <c r="A32" s="16">
        <v>1418</v>
      </c>
      <c r="B32" s="16" t="s">
        <v>75</v>
      </c>
      <c r="C32" s="16" t="s">
        <v>22</v>
      </c>
      <c r="D32" s="16" t="s">
        <v>23</v>
      </c>
      <c r="E32" s="16" t="b">
        <v>0</v>
      </c>
      <c r="F32" s="16" t="s">
        <v>25</v>
      </c>
      <c r="H32" s="17">
        <v>46125</v>
      </c>
    </row>
    <row r="33" spans="1:8">
      <c r="A33" s="16">
        <v>919</v>
      </c>
      <c r="B33" s="16" t="s">
        <v>77</v>
      </c>
      <c r="C33" s="16" t="s">
        <v>51</v>
      </c>
      <c r="D33" s="16" t="s">
        <v>23</v>
      </c>
      <c r="E33" s="16" t="b">
        <v>0</v>
      </c>
      <c r="F33" s="16" t="s">
        <v>27</v>
      </c>
      <c r="G33" s="16">
        <v>16</v>
      </c>
      <c r="H33" s="17">
        <v>46125</v>
      </c>
    </row>
    <row r="34" spans="1:8">
      <c r="A34" s="16">
        <v>1319</v>
      </c>
      <c r="B34" s="16" t="s">
        <v>78</v>
      </c>
      <c r="C34" s="16" t="s">
        <v>32</v>
      </c>
      <c r="D34" s="16" t="s">
        <v>23</v>
      </c>
      <c r="E34" s="16" t="b">
        <v>0</v>
      </c>
      <c r="F34" s="16" t="s">
        <v>27</v>
      </c>
      <c r="G34" s="16">
        <v>9</v>
      </c>
      <c r="H34" s="17">
        <v>46125</v>
      </c>
    </row>
    <row r="35" spans="1:8">
      <c r="A35" s="16">
        <v>1389</v>
      </c>
      <c r="B35" s="16" t="s">
        <v>79</v>
      </c>
      <c r="C35" s="16" t="s">
        <v>80</v>
      </c>
      <c r="D35" s="16" t="s">
        <v>23</v>
      </c>
      <c r="E35" s="16" t="b">
        <v>0</v>
      </c>
      <c r="F35" s="16" t="s">
        <v>25</v>
      </c>
      <c r="H35" s="17">
        <v>46125</v>
      </c>
    </row>
    <row r="36" spans="1:8">
      <c r="A36" s="16">
        <v>940</v>
      </c>
      <c r="B36" s="16" t="s">
        <v>81</v>
      </c>
      <c r="C36" s="16" t="s">
        <v>82</v>
      </c>
      <c r="D36" s="16" t="s">
        <v>23</v>
      </c>
      <c r="E36" s="16" t="b">
        <v>1</v>
      </c>
      <c r="F36" s="16" t="s">
        <v>27</v>
      </c>
      <c r="G36" s="16">
        <v>9</v>
      </c>
      <c r="H36" s="17">
        <v>46125</v>
      </c>
    </row>
    <row r="37" spans="1:8">
      <c r="A37" s="16">
        <v>806</v>
      </c>
      <c r="B37" s="16" t="s">
        <v>81</v>
      </c>
      <c r="C37" s="16" t="s">
        <v>83</v>
      </c>
      <c r="D37" s="16" t="s">
        <v>23</v>
      </c>
      <c r="E37" s="16" t="b">
        <v>0</v>
      </c>
      <c r="F37" s="16" t="s">
        <v>27</v>
      </c>
      <c r="G37" s="16">
        <v>11</v>
      </c>
      <c r="H37" s="17">
        <v>46125</v>
      </c>
    </row>
    <row r="38" spans="1:8">
      <c r="A38" s="16">
        <v>482</v>
      </c>
      <c r="B38" s="16" t="s">
        <v>84</v>
      </c>
      <c r="C38" s="16" t="s">
        <v>85</v>
      </c>
      <c r="D38" s="16" t="s">
        <v>23</v>
      </c>
      <c r="E38" s="16" t="b">
        <v>0</v>
      </c>
      <c r="F38" s="16" t="s">
        <v>27</v>
      </c>
      <c r="G38" s="16">
        <v>13</v>
      </c>
      <c r="H38" s="17">
        <v>46125</v>
      </c>
    </row>
    <row r="39" spans="1:8">
      <c r="A39" s="16">
        <v>674</v>
      </c>
      <c r="B39" s="16" t="s">
        <v>86</v>
      </c>
      <c r="C39" s="16" t="s">
        <v>87</v>
      </c>
      <c r="D39" s="16" t="s">
        <v>54</v>
      </c>
      <c r="E39" s="16" t="b">
        <v>1</v>
      </c>
      <c r="F39" s="16" t="s">
        <v>27</v>
      </c>
      <c r="G39" s="16">
        <v>23</v>
      </c>
      <c r="H39" s="17">
        <v>46125</v>
      </c>
    </row>
    <row r="40" spans="1:8">
      <c r="A40" s="16">
        <v>1061</v>
      </c>
      <c r="B40" s="16" t="s">
        <v>88</v>
      </c>
      <c r="C40" s="16" t="s">
        <v>89</v>
      </c>
      <c r="D40" s="16" t="s">
        <v>23</v>
      </c>
      <c r="E40" s="16" t="b">
        <v>0</v>
      </c>
      <c r="F40" s="16" t="s">
        <v>27</v>
      </c>
      <c r="G40" s="16">
        <v>19</v>
      </c>
      <c r="H40" s="17">
        <v>46125</v>
      </c>
    </row>
    <row r="41" spans="1:8">
      <c r="A41" s="16">
        <v>763</v>
      </c>
      <c r="B41" s="16" t="s">
        <v>90</v>
      </c>
      <c r="C41" s="16" t="s">
        <v>59</v>
      </c>
      <c r="D41" s="16" t="s">
        <v>23</v>
      </c>
      <c r="E41" s="16" t="b">
        <v>0</v>
      </c>
      <c r="F41" s="16" t="s">
        <v>27</v>
      </c>
      <c r="G41" s="16">
        <v>17</v>
      </c>
      <c r="H41" s="17">
        <v>46125</v>
      </c>
    </row>
    <row r="42" spans="1:8">
      <c r="A42" s="16">
        <v>1227</v>
      </c>
      <c r="B42" s="16" t="s">
        <v>91</v>
      </c>
      <c r="C42" s="16" t="s">
        <v>92</v>
      </c>
      <c r="D42" s="16" t="s">
        <v>23</v>
      </c>
      <c r="E42" s="16" t="b">
        <v>1</v>
      </c>
      <c r="F42" s="16" t="s">
        <v>27</v>
      </c>
      <c r="G42" s="16">
        <v>8</v>
      </c>
      <c r="H42" s="17">
        <v>46125</v>
      </c>
    </row>
    <row r="43" spans="1:8">
      <c r="A43" s="16">
        <v>715</v>
      </c>
      <c r="B43" s="16" t="s">
        <v>93</v>
      </c>
      <c r="C43" s="16" t="s">
        <v>94</v>
      </c>
      <c r="D43" s="16" t="s">
        <v>23</v>
      </c>
      <c r="E43" s="16" t="b">
        <v>0</v>
      </c>
      <c r="F43" s="16" t="s">
        <v>27</v>
      </c>
      <c r="G43" s="16">
        <v>5</v>
      </c>
      <c r="H43" s="17">
        <v>46125</v>
      </c>
    </row>
    <row r="44" spans="1:8">
      <c r="A44" s="16">
        <v>567</v>
      </c>
      <c r="B44" s="16" t="s">
        <v>95</v>
      </c>
      <c r="C44" s="16" t="s">
        <v>96</v>
      </c>
      <c r="D44" s="16" t="s">
        <v>23</v>
      </c>
      <c r="E44" s="16" t="b">
        <v>0</v>
      </c>
      <c r="F44" s="16" t="s">
        <v>27</v>
      </c>
      <c r="G44" s="16">
        <v>7</v>
      </c>
      <c r="H44" s="17">
        <v>46125</v>
      </c>
    </row>
    <row r="45" spans="1:8">
      <c r="A45" s="16">
        <v>1391</v>
      </c>
      <c r="B45" s="16" t="s">
        <v>97</v>
      </c>
      <c r="C45" s="16" t="s">
        <v>98</v>
      </c>
      <c r="D45" s="16" t="s">
        <v>23</v>
      </c>
      <c r="E45" s="16" t="b">
        <v>1</v>
      </c>
      <c r="F45" s="16" t="s">
        <v>25</v>
      </c>
      <c r="H45" s="17">
        <v>46125</v>
      </c>
    </row>
    <row r="46" spans="1:8">
      <c r="A46" s="16">
        <v>704</v>
      </c>
      <c r="B46" s="16" t="s">
        <v>99</v>
      </c>
      <c r="C46" s="16" t="s">
        <v>100</v>
      </c>
      <c r="D46" s="16" t="s">
        <v>23</v>
      </c>
      <c r="E46" s="16" t="b">
        <v>0</v>
      </c>
      <c r="F46" s="16" t="s">
        <v>27</v>
      </c>
      <c r="G46" s="16">
        <v>21</v>
      </c>
      <c r="H46" s="17">
        <v>46125</v>
      </c>
    </row>
    <row r="47" spans="1:8">
      <c r="A47" s="16">
        <v>1283</v>
      </c>
      <c r="B47" s="16" t="s">
        <v>101</v>
      </c>
      <c r="C47" s="16" t="s">
        <v>102</v>
      </c>
      <c r="D47" s="16" t="s">
        <v>23</v>
      </c>
      <c r="E47" s="16" t="b">
        <v>0</v>
      </c>
      <c r="F47" s="16" t="s">
        <v>27</v>
      </c>
      <c r="G47" s="16">
        <v>18</v>
      </c>
      <c r="H47" s="17">
        <v>46125</v>
      </c>
    </row>
    <row r="48" spans="1:8">
      <c r="A48" s="16">
        <v>295</v>
      </c>
      <c r="B48" s="16" t="s">
        <v>103</v>
      </c>
      <c r="C48" s="16" t="s">
        <v>104</v>
      </c>
      <c r="D48" s="16" t="s">
        <v>23</v>
      </c>
      <c r="E48" s="16" t="b">
        <v>0</v>
      </c>
      <c r="F48" s="16" t="s">
        <v>27</v>
      </c>
      <c r="G48" s="16">
        <v>15</v>
      </c>
      <c r="H48" s="17">
        <v>46125</v>
      </c>
    </row>
    <row r="49" spans="1:8">
      <c r="A49" s="16">
        <v>1226</v>
      </c>
      <c r="B49" s="16" t="s">
        <v>105</v>
      </c>
      <c r="C49" s="16" t="s">
        <v>106</v>
      </c>
      <c r="D49" s="16" t="s">
        <v>23</v>
      </c>
      <c r="E49" s="16" t="b">
        <v>1</v>
      </c>
      <c r="F49" s="16" t="s">
        <v>25</v>
      </c>
      <c r="H49" s="17">
        <v>46125</v>
      </c>
    </row>
    <row r="50" spans="1:8">
      <c r="A50" s="16">
        <v>1333</v>
      </c>
      <c r="B50" s="16" t="s">
        <v>107</v>
      </c>
      <c r="C50" s="16" t="s">
        <v>108</v>
      </c>
      <c r="D50" s="16" t="s">
        <v>23</v>
      </c>
      <c r="E50" s="16" t="b">
        <v>0</v>
      </c>
      <c r="F50" s="16" t="s">
        <v>27</v>
      </c>
      <c r="G50" s="16">
        <v>3</v>
      </c>
      <c r="H50" s="17">
        <v>46125</v>
      </c>
    </row>
    <row r="51" spans="1:8">
      <c r="A51" s="16">
        <v>1185</v>
      </c>
      <c r="B51" s="16" t="s">
        <v>109</v>
      </c>
      <c r="C51" s="16" t="s">
        <v>110</v>
      </c>
      <c r="D51" s="16" t="s">
        <v>23</v>
      </c>
      <c r="E51" s="16" t="b">
        <v>1</v>
      </c>
      <c r="F51" s="16" t="s">
        <v>35</v>
      </c>
      <c r="H51" s="17">
        <v>46125</v>
      </c>
    </row>
    <row r="52" spans="1:8">
      <c r="A52" s="16">
        <v>1065</v>
      </c>
      <c r="B52" s="16" t="s">
        <v>109</v>
      </c>
      <c r="C52" s="16" t="s">
        <v>41</v>
      </c>
      <c r="D52" s="16" t="s">
        <v>23</v>
      </c>
      <c r="E52" s="16" t="b">
        <v>0</v>
      </c>
      <c r="F52" s="16" t="s">
        <v>27</v>
      </c>
      <c r="G52" s="16">
        <v>1</v>
      </c>
      <c r="H52" s="17">
        <v>46125</v>
      </c>
    </row>
    <row r="53" spans="1:8">
      <c r="A53" s="16">
        <v>1407</v>
      </c>
      <c r="B53" s="16" t="s">
        <v>111</v>
      </c>
      <c r="C53" s="16" t="s">
        <v>112</v>
      </c>
      <c r="D53" s="16" t="s">
        <v>23</v>
      </c>
      <c r="E53" s="16" t="b">
        <v>0</v>
      </c>
      <c r="F53" s="16" t="s">
        <v>25</v>
      </c>
      <c r="H53" s="17">
        <v>46125</v>
      </c>
    </row>
    <row r="54" spans="1:8">
      <c r="A54" s="16">
        <v>1096</v>
      </c>
      <c r="B54" s="16" t="s">
        <v>113</v>
      </c>
      <c r="C54" s="16" t="s">
        <v>114</v>
      </c>
      <c r="D54" s="16" t="s">
        <v>23</v>
      </c>
      <c r="E54" s="16" t="b">
        <v>0</v>
      </c>
      <c r="F54" s="16" t="s">
        <v>35</v>
      </c>
      <c r="H54" s="17">
        <v>46125</v>
      </c>
    </row>
    <row r="55" spans="1:8">
      <c r="A55" s="16">
        <v>1236</v>
      </c>
      <c r="B55" s="16" t="s">
        <v>113</v>
      </c>
      <c r="C55" s="16" t="s">
        <v>115</v>
      </c>
      <c r="D55" s="16" t="s">
        <v>23</v>
      </c>
      <c r="E55" s="16" t="b">
        <v>1</v>
      </c>
      <c r="F55" s="16" t="s">
        <v>27</v>
      </c>
      <c r="G55" s="16">
        <v>5</v>
      </c>
      <c r="H55" s="17">
        <v>46125</v>
      </c>
    </row>
    <row r="56" spans="1:8">
      <c r="A56" s="16">
        <v>699</v>
      </c>
      <c r="B56" s="16" t="s">
        <v>113</v>
      </c>
      <c r="C56" s="16" t="s">
        <v>116</v>
      </c>
      <c r="D56" s="16" t="s">
        <v>23</v>
      </c>
      <c r="E56" s="16" t="b">
        <v>0</v>
      </c>
      <c r="F56" s="16" t="s">
        <v>27</v>
      </c>
      <c r="G56" s="16">
        <v>5</v>
      </c>
      <c r="H56" s="17">
        <v>46125</v>
      </c>
    </row>
    <row r="57" spans="1:8">
      <c r="A57" s="16">
        <v>1000</v>
      </c>
      <c r="B57" s="16" t="s">
        <v>120</v>
      </c>
      <c r="C57" s="16" t="s">
        <v>121</v>
      </c>
      <c r="D57" s="16" t="s">
        <v>23</v>
      </c>
      <c r="E57" s="16" t="b">
        <v>0</v>
      </c>
      <c r="F57" s="16" t="s">
        <v>25</v>
      </c>
      <c r="H57" s="17">
        <v>46125</v>
      </c>
    </row>
    <row r="58" spans="1:8">
      <c r="A58" s="16">
        <v>1332</v>
      </c>
      <c r="B58" s="16" t="s">
        <v>122</v>
      </c>
      <c r="C58" s="16" t="s">
        <v>123</v>
      </c>
      <c r="D58" s="16" t="s">
        <v>23</v>
      </c>
      <c r="E58" s="16" t="b">
        <v>1</v>
      </c>
      <c r="F58" s="16" t="s">
        <v>25</v>
      </c>
      <c r="H58" s="17">
        <v>46125</v>
      </c>
    </row>
    <row r="59" spans="1:8">
      <c r="A59" s="16">
        <v>682</v>
      </c>
      <c r="B59" s="16" t="s">
        <v>124</v>
      </c>
      <c r="C59" s="16" t="s">
        <v>125</v>
      </c>
      <c r="D59" s="16" t="s">
        <v>23</v>
      </c>
      <c r="E59" s="16" t="b">
        <v>0</v>
      </c>
      <c r="F59" s="16" t="s">
        <v>27</v>
      </c>
      <c r="G59" s="16">
        <v>11</v>
      </c>
      <c r="H59" s="17">
        <v>46125</v>
      </c>
    </row>
    <row r="60" spans="1:8">
      <c r="A60" s="16">
        <v>1393</v>
      </c>
      <c r="B60" s="16" t="s">
        <v>126</v>
      </c>
      <c r="C60" s="16" t="s">
        <v>127</v>
      </c>
      <c r="D60" s="16" t="s">
        <v>23</v>
      </c>
      <c r="E60" s="16" t="b">
        <v>1</v>
      </c>
      <c r="F60" s="16" t="s">
        <v>27</v>
      </c>
      <c r="G60" s="16">
        <v>10</v>
      </c>
      <c r="H60" s="17">
        <v>46125</v>
      </c>
    </row>
    <row r="61" spans="1:8">
      <c r="A61" s="16">
        <v>1355</v>
      </c>
      <c r="B61" s="16" t="s">
        <v>128</v>
      </c>
      <c r="C61" s="16" t="s">
        <v>129</v>
      </c>
      <c r="D61" s="16" t="s">
        <v>23</v>
      </c>
      <c r="E61" s="16" t="b">
        <v>0</v>
      </c>
      <c r="F61" s="16" t="s">
        <v>35</v>
      </c>
      <c r="H61" s="17">
        <v>46125</v>
      </c>
    </row>
    <row r="62" spans="1:8">
      <c r="A62" s="16">
        <v>1164</v>
      </c>
      <c r="B62" s="16" t="s">
        <v>130</v>
      </c>
      <c r="C62" s="16" t="s">
        <v>131</v>
      </c>
      <c r="D62" s="16" t="s">
        <v>54</v>
      </c>
      <c r="E62" s="16" t="b">
        <v>1</v>
      </c>
      <c r="F62" s="16" t="s">
        <v>25</v>
      </c>
      <c r="H62" s="17">
        <v>46125</v>
      </c>
    </row>
    <row r="63" spans="1:8">
      <c r="A63" s="16">
        <v>1062</v>
      </c>
      <c r="B63" s="16" t="s">
        <v>130</v>
      </c>
      <c r="C63" s="16" t="s">
        <v>83</v>
      </c>
      <c r="D63" s="16" t="s">
        <v>23</v>
      </c>
      <c r="E63" s="16" t="b">
        <v>0</v>
      </c>
      <c r="F63" s="16" t="s">
        <v>27</v>
      </c>
      <c r="G63" s="16">
        <v>9</v>
      </c>
      <c r="H63" s="17">
        <v>46125</v>
      </c>
    </row>
    <row r="64" spans="1:8">
      <c r="A64" s="16">
        <v>938</v>
      </c>
      <c r="B64" s="16" t="s">
        <v>130</v>
      </c>
      <c r="C64" s="16" t="s">
        <v>132</v>
      </c>
      <c r="D64" s="16" t="s">
        <v>23</v>
      </c>
      <c r="E64" s="16" t="b">
        <v>1</v>
      </c>
      <c r="F64" s="16" t="s">
        <v>27</v>
      </c>
      <c r="G64" s="16">
        <v>7</v>
      </c>
      <c r="H64" s="17">
        <v>46125</v>
      </c>
    </row>
    <row r="65" spans="1:8">
      <c r="A65" s="16">
        <v>1034</v>
      </c>
      <c r="B65" s="16" t="s">
        <v>134</v>
      </c>
      <c r="C65" s="16" t="s">
        <v>83</v>
      </c>
      <c r="D65" s="16" t="s">
        <v>23</v>
      </c>
      <c r="E65" s="16" t="b">
        <v>0</v>
      </c>
      <c r="F65" s="16" t="s">
        <v>25</v>
      </c>
      <c r="H65" s="17">
        <v>46125</v>
      </c>
    </row>
    <row r="66" spans="1:8">
      <c r="A66" s="16">
        <v>1402</v>
      </c>
      <c r="B66" s="16" t="s">
        <v>135</v>
      </c>
      <c r="C66" s="16" t="s">
        <v>136</v>
      </c>
      <c r="D66" s="16" t="s">
        <v>23</v>
      </c>
      <c r="E66" s="16" t="b">
        <v>0</v>
      </c>
      <c r="F66" s="16" t="s">
        <v>27</v>
      </c>
      <c r="G66" s="16">
        <v>7</v>
      </c>
      <c r="H66" s="17">
        <v>46125</v>
      </c>
    </row>
    <row r="67" spans="1:8">
      <c r="A67" s="16">
        <v>939</v>
      </c>
      <c r="B67" s="16" t="s">
        <v>137</v>
      </c>
      <c r="C67" s="16" t="s">
        <v>127</v>
      </c>
      <c r="D67" s="16" t="s">
        <v>23</v>
      </c>
      <c r="E67" s="16" t="b">
        <v>1</v>
      </c>
      <c r="F67" s="16" t="s">
        <v>27</v>
      </c>
      <c r="G67" s="16">
        <v>12</v>
      </c>
      <c r="H67" s="17">
        <v>46125</v>
      </c>
    </row>
    <row r="68" spans="1:8">
      <c r="A68" s="16">
        <v>1377</v>
      </c>
      <c r="B68" s="16" t="s">
        <v>138</v>
      </c>
      <c r="C68" s="16" t="s">
        <v>139</v>
      </c>
      <c r="D68" s="16" t="s">
        <v>23</v>
      </c>
      <c r="E68" s="16" t="b">
        <v>1</v>
      </c>
      <c r="F68" s="16" t="s">
        <v>27</v>
      </c>
      <c r="G68" s="16">
        <v>12</v>
      </c>
      <c r="H68" s="17">
        <v>46125</v>
      </c>
    </row>
    <row r="69" spans="1:8">
      <c r="A69" s="16">
        <v>1281</v>
      </c>
      <c r="B69" s="16" t="s">
        <v>140</v>
      </c>
      <c r="C69" s="16" t="s">
        <v>141</v>
      </c>
      <c r="D69" s="16" t="s">
        <v>23</v>
      </c>
      <c r="E69" s="16" t="b">
        <v>0</v>
      </c>
      <c r="F69" s="16" t="s">
        <v>27</v>
      </c>
      <c r="G69" s="16">
        <v>19</v>
      </c>
      <c r="H69" s="17">
        <v>46125</v>
      </c>
    </row>
    <row r="70" spans="1:8">
      <c r="A70" s="16">
        <v>933</v>
      </c>
      <c r="B70" s="16" t="s">
        <v>142</v>
      </c>
      <c r="C70" s="16" t="s">
        <v>143</v>
      </c>
      <c r="D70" s="16" t="s">
        <v>23</v>
      </c>
      <c r="E70" s="16" t="b">
        <v>0</v>
      </c>
      <c r="F70" s="16" t="s">
        <v>25</v>
      </c>
      <c r="H70" s="17">
        <v>46125</v>
      </c>
    </row>
    <row r="71" spans="1:8">
      <c r="A71" s="16">
        <v>1274</v>
      </c>
      <c r="B71" s="16" t="s">
        <v>144</v>
      </c>
      <c r="C71" s="16" t="s">
        <v>145</v>
      </c>
      <c r="D71" s="16" t="s">
        <v>23</v>
      </c>
      <c r="E71" s="16" t="b">
        <v>1</v>
      </c>
      <c r="F71" s="16" t="s">
        <v>25</v>
      </c>
      <c r="H71" s="17">
        <v>46125</v>
      </c>
    </row>
    <row r="72" spans="1:8">
      <c r="A72" s="16">
        <v>493</v>
      </c>
      <c r="B72" s="16" t="s">
        <v>146</v>
      </c>
      <c r="C72" s="16" t="s">
        <v>49</v>
      </c>
      <c r="D72" s="16" t="s">
        <v>48</v>
      </c>
      <c r="E72" s="16" t="b">
        <v>0</v>
      </c>
      <c r="F72" s="16" t="s">
        <v>27</v>
      </c>
      <c r="G72" s="16">
        <v>37</v>
      </c>
      <c r="H72" s="17">
        <v>46125</v>
      </c>
    </row>
    <row r="73" spans="1:8">
      <c r="A73" s="16">
        <v>1279</v>
      </c>
      <c r="B73" s="16" t="s">
        <v>147</v>
      </c>
      <c r="C73" s="16" t="s">
        <v>148</v>
      </c>
      <c r="D73" s="16" t="s">
        <v>23</v>
      </c>
      <c r="E73" s="16" t="b">
        <v>0</v>
      </c>
      <c r="F73" s="16" t="s">
        <v>27</v>
      </c>
      <c r="G73" s="16">
        <v>4</v>
      </c>
      <c r="H73" s="17">
        <v>46125</v>
      </c>
    </row>
    <row r="74" spans="1:8">
      <c r="A74" s="16">
        <v>1193</v>
      </c>
      <c r="B74" s="16" t="s">
        <v>149</v>
      </c>
      <c r="C74" s="16" t="s">
        <v>150</v>
      </c>
      <c r="D74" s="16" t="s">
        <v>23</v>
      </c>
      <c r="E74" s="16" t="b">
        <v>0</v>
      </c>
      <c r="F74" s="16" t="s">
        <v>25</v>
      </c>
      <c r="H74" s="17">
        <v>46125</v>
      </c>
    </row>
    <row r="75" spans="1:8">
      <c r="A75" s="16">
        <v>1194</v>
      </c>
      <c r="B75" s="16" t="s">
        <v>149</v>
      </c>
      <c r="C75" s="16" t="s">
        <v>151</v>
      </c>
      <c r="D75" s="16" t="s">
        <v>23</v>
      </c>
      <c r="E75" s="16" t="b">
        <v>1</v>
      </c>
      <c r="F75" s="16" t="s">
        <v>25</v>
      </c>
      <c r="H75" s="17">
        <v>46125</v>
      </c>
    </row>
    <row r="76" spans="1:8">
      <c r="A76" s="16">
        <v>1196</v>
      </c>
      <c r="B76" s="16" t="s">
        <v>149</v>
      </c>
      <c r="C76" s="16" t="s">
        <v>152</v>
      </c>
      <c r="D76" s="16" t="s">
        <v>23</v>
      </c>
      <c r="E76" s="16" t="b">
        <v>0</v>
      </c>
      <c r="F76" s="16" t="s">
        <v>35</v>
      </c>
      <c r="H76" s="17">
        <v>46125</v>
      </c>
    </row>
    <row r="77" spans="1:8">
      <c r="A77" s="16">
        <v>1195</v>
      </c>
      <c r="B77" s="16" t="s">
        <v>149</v>
      </c>
      <c r="C77" s="16" t="s">
        <v>153</v>
      </c>
      <c r="D77" s="16" t="s">
        <v>23</v>
      </c>
      <c r="E77" s="16" t="b">
        <v>0</v>
      </c>
      <c r="F77" s="16" t="s">
        <v>35</v>
      </c>
      <c r="H77" s="17">
        <v>46125</v>
      </c>
    </row>
    <row r="78" spans="1:8">
      <c r="A78" s="16">
        <v>1176</v>
      </c>
      <c r="B78" s="16" t="s">
        <v>154</v>
      </c>
      <c r="C78" s="16" t="s">
        <v>155</v>
      </c>
      <c r="D78" s="16" t="s">
        <v>23</v>
      </c>
      <c r="E78" s="16" t="b">
        <v>0</v>
      </c>
      <c r="F78" s="16" t="s">
        <v>35</v>
      </c>
      <c r="H78" s="17">
        <v>46125</v>
      </c>
    </row>
    <row r="79" spans="1:8">
      <c r="A79" s="16">
        <v>1174</v>
      </c>
      <c r="B79" s="16" t="s">
        <v>154</v>
      </c>
      <c r="C79" s="16" t="s">
        <v>156</v>
      </c>
      <c r="D79" s="16" t="s">
        <v>23</v>
      </c>
      <c r="E79" s="16" t="b">
        <v>1</v>
      </c>
      <c r="F79" s="16" t="s">
        <v>27</v>
      </c>
      <c r="G79" s="16">
        <v>6</v>
      </c>
      <c r="H79" s="17">
        <v>46125</v>
      </c>
    </row>
    <row r="80" spans="1:8">
      <c r="A80" s="16">
        <v>1175</v>
      </c>
      <c r="B80" s="16" t="s">
        <v>154</v>
      </c>
      <c r="C80" s="16" t="s">
        <v>150</v>
      </c>
      <c r="D80" s="16" t="s">
        <v>23</v>
      </c>
      <c r="E80" s="16" t="b">
        <v>0</v>
      </c>
      <c r="F80" s="16" t="s">
        <v>27</v>
      </c>
      <c r="G80" s="16">
        <v>12</v>
      </c>
      <c r="H80" s="17">
        <v>46125</v>
      </c>
    </row>
    <row r="81" spans="1:8">
      <c r="A81" s="16">
        <v>1109</v>
      </c>
      <c r="B81" s="16" t="s">
        <v>157</v>
      </c>
      <c r="C81" s="16" t="s">
        <v>104</v>
      </c>
      <c r="D81" s="16" t="s">
        <v>23</v>
      </c>
      <c r="E81" s="16" t="b">
        <v>0</v>
      </c>
      <c r="F81" s="16" t="s">
        <v>25</v>
      </c>
      <c r="H81" s="17">
        <v>46125</v>
      </c>
    </row>
    <row r="82" spans="1:8">
      <c r="A82" s="16">
        <v>1073</v>
      </c>
      <c r="B82" s="16" t="s">
        <v>158</v>
      </c>
      <c r="C82" s="16" t="s">
        <v>150</v>
      </c>
      <c r="D82" s="16" t="s">
        <v>23</v>
      </c>
      <c r="E82" s="16" t="b">
        <v>0</v>
      </c>
      <c r="F82" s="16" t="s">
        <v>27</v>
      </c>
      <c r="G82" s="16">
        <v>3</v>
      </c>
      <c r="H82" s="17">
        <v>46125</v>
      </c>
    </row>
    <row r="83" spans="1:8">
      <c r="A83" s="16">
        <v>1400</v>
      </c>
      <c r="B83" s="16" t="s">
        <v>159</v>
      </c>
      <c r="C83" s="16" t="s">
        <v>160</v>
      </c>
      <c r="D83" s="16" t="s">
        <v>23</v>
      </c>
      <c r="E83" s="16" t="b">
        <v>0</v>
      </c>
      <c r="F83" s="16" t="s">
        <v>25</v>
      </c>
      <c r="H83" s="17">
        <v>46125</v>
      </c>
    </row>
    <row r="84" spans="1:8">
      <c r="A84" s="16">
        <v>1367</v>
      </c>
      <c r="B84" s="16" t="s">
        <v>161</v>
      </c>
      <c r="C84" s="16" t="s">
        <v>152</v>
      </c>
      <c r="D84" s="16" t="s">
        <v>23</v>
      </c>
      <c r="E84" s="16" t="b">
        <v>0</v>
      </c>
      <c r="F84" s="16" t="s">
        <v>35</v>
      </c>
      <c r="H84" s="17">
        <v>46125</v>
      </c>
    </row>
    <row r="85" spans="1:8">
      <c r="A85" s="16">
        <v>1366</v>
      </c>
      <c r="B85" s="16" t="s">
        <v>161</v>
      </c>
      <c r="C85" s="16" t="s">
        <v>162</v>
      </c>
      <c r="D85" s="16" t="s">
        <v>23</v>
      </c>
      <c r="E85" s="16" t="b">
        <v>1</v>
      </c>
      <c r="F85" s="16" t="s">
        <v>25</v>
      </c>
      <c r="H85" s="17">
        <v>46125</v>
      </c>
    </row>
    <row r="86" spans="1:8">
      <c r="A86" s="16">
        <v>1365</v>
      </c>
      <c r="B86" s="16" t="s">
        <v>161</v>
      </c>
      <c r="C86" s="16" t="s">
        <v>163</v>
      </c>
      <c r="D86" s="16" t="s">
        <v>23</v>
      </c>
      <c r="E86" s="16" t="b">
        <v>1</v>
      </c>
      <c r="F86" s="16" t="s">
        <v>27</v>
      </c>
      <c r="G86" s="16">
        <v>7</v>
      </c>
      <c r="H86" s="17">
        <v>46125</v>
      </c>
    </row>
    <row r="87" spans="1:8">
      <c r="A87" s="16">
        <v>897</v>
      </c>
      <c r="B87" s="16" t="s">
        <v>161</v>
      </c>
      <c r="C87" s="16" t="s">
        <v>164</v>
      </c>
      <c r="D87" s="16" t="s">
        <v>23</v>
      </c>
      <c r="E87" s="16" t="b">
        <v>0</v>
      </c>
      <c r="F87" s="16" t="s">
        <v>27</v>
      </c>
      <c r="G87" s="16">
        <v>13</v>
      </c>
      <c r="H87" s="17">
        <v>46125</v>
      </c>
    </row>
    <row r="88" spans="1:8">
      <c r="A88" s="16">
        <v>1308</v>
      </c>
      <c r="B88" s="16" t="s">
        <v>165</v>
      </c>
      <c r="C88" s="16" t="s">
        <v>166</v>
      </c>
      <c r="D88" s="16" t="s">
        <v>23</v>
      </c>
      <c r="E88" s="16" t="b">
        <v>1</v>
      </c>
      <c r="F88" s="16" t="s">
        <v>27</v>
      </c>
      <c r="G88" s="16">
        <v>2</v>
      </c>
      <c r="H88" s="17">
        <v>46125</v>
      </c>
    </row>
    <row r="89" spans="1:8">
      <c r="A89" s="16">
        <v>1206</v>
      </c>
      <c r="B89" s="16" t="s">
        <v>167</v>
      </c>
      <c r="C89" s="16" t="s">
        <v>168</v>
      </c>
      <c r="D89" s="16" t="s">
        <v>23</v>
      </c>
      <c r="E89" s="16" t="b">
        <v>1</v>
      </c>
      <c r="F89" s="16" t="s">
        <v>27</v>
      </c>
      <c r="G89" s="16">
        <v>8</v>
      </c>
      <c r="H89" s="17">
        <v>46125</v>
      </c>
    </row>
    <row r="90" spans="1:8">
      <c r="A90" s="16">
        <v>1205</v>
      </c>
      <c r="B90" s="16" t="s">
        <v>167</v>
      </c>
      <c r="C90" s="16" t="s">
        <v>66</v>
      </c>
      <c r="D90" s="16" t="s">
        <v>23</v>
      </c>
      <c r="E90" s="16" t="b">
        <v>0</v>
      </c>
      <c r="F90" s="16" t="s">
        <v>27</v>
      </c>
      <c r="G90" s="16">
        <v>14</v>
      </c>
      <c r="H90" s="17">
        <v>46125</v>
      </c>
    </row>
    <row r="91" spans="1:8">
      <c r="A91" s="16">
        <v>1406</v>
      </c>
      <c r="B91" s="16" t="s">
        <v>169</v>
      </c>
      <c r="C91" s="16" t="s">
        <v>170</v>
      </c>
      <c r="D91" s="16" t="s">
        <v>23</v>
      </c>
      <c r="E91" s="16" t="b">
        <v>0</v>
      </c>
      <c r="F91" s="16" t="s">
        <v>27</v>
      </c>
      <c r="G91" s="16">
        <v>9</v>
      </c>
      <c r="H91" s="17">
        <v>46125</v>
      </c>
    </row>
    <row r="92" spans="1:8">
      <c r="A92" s="16">
        <v>1182</v>
      </c>
      <c r="B92" s="16" t="s">
        <v>171</v>
      </c>
      <c r="C92" s="16" t="s">
        <v>136</v>
      </c>
      <c r="D92" s="16" t="s">
        <v>23</v>
      </c>
      <c r="E92" s="16" t="b">
        <v>0</v>
      </c>
      <c r="F92" s="16" t="s">
        <v>27</v>
      </c>
      <c r="G92" s="16">
        <v>8</v>
      </c>
      <c r="H92" s="17">
        <v>46125</v>
      </c>
    </row>
    <row r="93" spans="1:8">
      <c r="A93" s="16">
        <v>1340</v>
      </c>
      <c r="B93" s="16" t="s">
        <v>172</v>
      </c>
      <c r="C93" s="16" t="s">
        <v>173</v>
      </c>
      <c r="D93" s="16" t="s">
        <v>23</v>
      </c>
      <c r="E93" s="16" t="b">
        <v>0</v>
      </c>
      <c r="F93" s="16" t="s">
        <v>27</v>
      </c>
      <c r="G93" s="16">
        <v>8</v>
      </c>
      <c r="H93" s="17">
        <v>46125</v>
      </c>
    </row>
    <row r="94" spans="1:8">
      <c r="A94" s="16">
        <v>21</v>
      </c>
      <c r="B94" s="16" t="s">
        <v>174</v>
      </c>
      <c r="C94" s="16" t="s">
        <v>175</v>
      </c>
      <c r="D94" s="16" t="s">
        <v>23</v>
      </c>
      <c r="E94" s="16" t="b">
        <v>0</v>
      </c>
      <c r="F94" s="16" t="s">
        <v>25</v>
      </c>
      <c r="H94" s="17">
        <v>46125</v>
      </c>
    </row>
    <row r="95" spans="1:8">
      <c r="A95" s="16">
        <v>1049</v>
      </c>
      <c r="B95" s="16" t="s">
        <v>176</v>
      </c>
      <c r="C95" s="16" t="s">
        <v>177</v>
      </c>
      <c r="D95" s="16" t="s">
        <v>23</v>
      </c>
      <c r="E95" s="16" t="b">
        <v>0</v>
      </c>
      <c r="F95" s="16" t="s">
        <v>27</v>
      </c>
      <c r="G95" s="16">
        <v>19</v>
      </c>
      <c r="H95" s="17">
        <v>46125</v>
      </c>
    </row>
    <row r="96" spans="1:8">
      <c r="A96" s="16">
        <v>120</v>
      </c>
      <c r="B96" s="16" t="s">
        <v>178</v>
      </c>
      <c r="C96" s="16" t="s">
        <v>179</v>
      </c>
      <c r="D96" s="16" t="s">
        <v>23</v>
      </c>
      <c r="E96" s="16" t="b">
        <v>1</v>
      </c>
      <c r="F96" s="16" t="s">
        <v>27</v>
      </c>
      <c r="G96" s="16">
        <v>12</v>
      </c>
      <c r="H96" s="17">
        <v>46125</v>
      </c>
    </row>
    <row r="97" spans="1:8">
      <c r="A97" s="16">
        <v>990</v>
      </c>
      <c r="B97" s="16" t="s">
        <v>180</v>
      </c>
      <c r="C97" s="16" t="s">
        <v>87</v>
      </c>
      <c r="D97" s="16" t="s">
        <v>23</v>
      </c>
      <c r="E97" s="16" t="b">
        <v>1</v>
      </c>
      <c r="F97" s="16" t="s">
        <v>27</v>
      </c>
      <c r="G97" s="16">
        <v>10</v>
      </c>
      <c r="H97" s="17">
        <v>46125</v>
      </c>
    </row>
    <row r="98" spans="1:8">
      <c r="A98" s="16">
        <v>1395</v>
      </c>
      <c r="B98" s="16" t="s">
        <v>181</v>
      </c>
      <c r="C98" s="16" t="s">
        <v>182</v>
      </c>
      <c r="D98" s="16" t="s">
        <v>23</v>
      </c>
      <c r="E98" s="16" t="b">
        <v>1</v>
      </c>
      <c r="F98" s="16" t="s">
        <v>35</v>
      </c>
      <c r="H98" s="17">
        <v>46125</v>
      </c>
    </row>
    <row r="99" spans="1:8">
      <c r="A99" s="16">
        <v>1158</v>
      </c>
      <c r="B99" s="16" t="s">
        <v>183</v>
      </c>
      <c r="C99" s="16" t="s">
        <v>184</v>
      </c>
      <c r="D99" s="16" t="s">
        <v>23</v>
      </c>
      <c r="E99" s="16" t="b">
        <v>1</v>
      </c>
      <c r="F99" s="16" t="s">
        <v>25</v>
      </c>
      <c r="H99" s="17">
        <v>46125</v>
      </c>
    </row>
    <row r="100" spans="1:8">
      <c r="A100" s="16">
        <v>23</v>
      </c>
      <c r="B100" s="16" t="s">
        <v>185</v>
      </c>
      <c r="C100" s="16" t="s">
        <v>100</v>
      </c>
      <c r="D100" s="16" t="s">
        <v>23</v>
      </c>
      <c r="E100" s="16" t="b">
        <v>0</v>
      </c>
      <c r="F100" s="16" t="s">
        <v>27</v>
      </c>
      <c r="G100" s="16">
        <v>10</v>
      </c>
      <c r="H100" s="17">
        <v>46125</v>
      </c>
    </row>
    <row r="101" spans="1:8">
      <c r="A101" s="16">
        <v>1152</v>
      </c>
      <c r="B101" s="16" t="s">
        <v>186</v>
      </c>
      <c r="C101" s="16" t="s">
        <v>187</v>
      </c>
      <c r="D101" s="16" t="s">
        <v>54</v>
      </c>
      <c r="E101" s="16" t="b">
        <v>1</v>
      </c>
      <c r="F101" s="16" t="s">
        <v>188</v>
      </c>
      <c r="H101" s="17">
        <v>46125</v>
      </c>
    </row>
    <row r="102" spans="1:8">
      <c r="A102" s="16">
        <v>581</v>
      </c>
      <c r="B102" s="16" t="s">
        <v>189</v>
      </c>
      <c r="C102" s="16" t="s">
        <v>190</v>
      </c>
      <c r="D102" s="16" t="s">
        <v>23</v>
      </c>
      <c r="E102" s="16" t="b">
        <v>0</v>
      </c>
      <c r="F102" s="16" t="s">
        <v>27</v>
      </c>
      <c r="G102" s="16">
        <v>13</v>
      </c>
      <c r="H102" s="17">
        <v>46125</v>
      </c>
    </row>
    <row r="103" spans="1:8">
      <c r="A103" s="16">
        <v>1374</v>
      </c>
      <c r="B103" s="16" t="s">
        <v>191</v>
      </c>
      <c r="C103" s="16" t="s">
        <v>192</v>
      </c>
      <c r="D103" s="16" t="s">
        <v>23</v>
      </c>
      <c r="E103" s="16" t="b">
        <v>0</v>
      </c>
      <c r="F103" s="16" t="s">
        <v>25</v>
      </c>
      <c r="H103" s="17">
        <v>46125</v>
      </c>
    </row>
    <row r="104" spans="1:8">
      <c r="A104" s="16">
        <v>25</v>
      </c>
      <c r="B104" s="16" t="s">
        <v>22</v>
      </c>
      <c r="C104" s="16" t="s">
        <v>193</v>
      </c>
      <c r="D104" s="16" t="s">
        <v>23</v>
      </c>
      <c r="E104" s="16" t="b">
        <v>0</v>
      </c>
      <c r="F104" s="16" t="s">
        <v>27</v>
      </c>
      <c r="G104" s="16">
        <v>8</v>
      </c>
      <c r="H104" s="17">
        <v>46125</v>
      </c>
    </row>
    <row r="105" spans="1:8">
      <c r="A105" s="16">
        <v>415</v>
      </c>
      <c r="B105" s="16" t="s">
        <v>195</v>
      </c>
      <c r="C105" s="16" t="s">
        <v>196</v>
      </c>
      <c r="D105" s="16" t="s">
        <v>23</v>
      </c>
      <c r="E105" s="16" t="b">
        <v>0</v>
      </c>
      <c r="F105" s="16" t="s">
        <v>27</v>
      </c>
      <c r="G105" s="16">
        <v>6</v>
      </c>
      <c r="H105" s="17">
        <v>46125</v>
      </c>
    </row>
    <row r="106" spans="1:8">
      <c r="A106" s="16">
        <v>1144</v>
      </c>
      <c r="B106" s="16" t="s">
        <v>195</v>
      </c>
      <c r="C106" s="16" t="s">
        <v>197</v>
      </c>
      <c r="D106" s="16" t="s">
        <v>54</v>
      </c>
      <c r="E106" s="16" t="b">
        <v>0</v>
      </c>
      <c r="F106" s="16" t="s">
        <v>188</v>
      </c>
      <c r="H106" s="17">
        <v>46125</v>
      </c>
    </row>
    <row r="107" spans="1:8">
      <c r="A107" s="16">
        <v>203</v>
      </c>
      <c r="B107" s="16" t="s">
        <v>200</v>
      </c>
      <c r="C107" s="16" t="s">
        <v>201</v>
      </c>
      <c r="D107" s="16" t="s">
        <v>23</v>
      </c>
      <c r="E107" s="16" t="b">
        <v>0</v>
      </c>
      <c r="F107" s="16" t="s">
        <v>27</v>
      </c>
      <c r="G107" s="16">
        <v>9</v>
      </c>
      <c r="H107" s="17">
        <v>46125</v>
      </c>
    </row>
    <row r="108" spans="1:8">
      <c r="A108" s="16">
        <v>956</v>
      </c>
      <c r="B108" s="16" t="s">
        <v>202</v>
      </c>
      <c r="C108" s="16" t="s">
        <v>94</v>
      </c>
      <c r="D108" s="16" t="s">
        <v>23</v>
      </c>
      <c r="E108" s="16" t="b">
        <v>0</v>
      </c>
      <c r="F108" s="16" t="s">
        <v>27</v>
      </c>
      <c r="G108" s="16">
        <v>13</v>
      </c>
      <c r="H108" s="17">
        <v>46125</v>
      </c>
    </row>
    <row r="109" spans="1:8">
      <c r="A109" s="16">
        <v>1273</v>
      </c>
      <c r="B109" s="16" t="s">
        <v>203</v>
      </c>
      <c r="C109" s="16" t="s">
        <v>204</v>
      </c>
      <c r="D109" s="16" t="s">
        <v>23</v>
      </c>
      <c r="E109" s="16" t="b">
        <v>1</v>
      </c>
      <c r="F109" s="16" t="s">
        <v>27</v>
      </c>
      <c r="G109" s="16">
        <v>22</v>
      </c>
      <c r="H109" s="17">
        <v>46125</v>
      </c>
    </row>
    <row r="110" spans="1:8">
      <c r="A110" s="16">
        <v>1272</v>
      </c>
      <c r="B110" s="16" t="s">
        <v>203</v>
      </c>
      <c r="C110" s="16" t="s">
        <v>205</v>
      </c>
      <c r="D110" s="16" t="s">
        <v>23</v>
      </c>
      <c r="E110" s="16" t="b">
        <v>0</v>
      </c>
      <c r="F110" s="16" t="s">
        <v>27</v>
      </c>
      <c r="G110" s="16">
        <v>24</v>
      </c>
      <c r="H110" s="17">
        <v>46125</v>
      </c>
    </row>
    <row r="111" spans="1:8">
      <c r="A111" s="16">
        <v>846</v>
      </c>
      <c r="B111" s="16" t="s">
        <v>206</v>
      </c>
      <c r="C111" s="16" t="s">
        <v>207</v>
      </c>
      <c r="D111" s="16" t="s">
        <v>23</v>
      </c>
      <c r="E111" s="16" t="b">
        <v>0</v>
      </c>
      <c r="F111" s="16" t="s">
        <v>27</v>
      </c>
      <c r="G111" s="16">
        <v>17</v>
      </c>
      <c r="H111" s="17">
        <v>46125</v>
      </c>
    </row>
    <row r="112" spans="1:8">
      <c r="A112" s="16">
        <v>1162</v>
      </c>
      <c r="B112" s="16" t="s">
        <v>208</v>
      </c>
      <c r="C112" s="16" t="s">
        <v>150</v>
      </c>
      <c r="D112" s="16" t="s">
        <v>23</v>
      </c>
      <c r="E112" s="16" t="b">
        <v>0</v>
      </c>
      <c r="F112" s="16" t="s">
        <v>25</v>
      </c>
      <c r="H112" s="17">
        <v>46125</v>
      </c>
    </row>
    <row r="113" spans="1:8">
      <c r="A113" s="16">
        <v>1244</v>
      </c>
      <c r="B113" s="16" t="s">
        <v>209</v>
      </c>
      <c r="C113" s="16" t="s">
        <v>94</v>
      </c>
      <c r="D113" s="16" t="s">
        <v>23</v>
      </c>
      <c r="E113" s="16" t="b">
        <v>0</v>
      </c>
      <c r="F113" s="16" t="s">
        <v>27</v>
      </c>
      <c r="G113" s="16">
        <v>2</v>
      </c>
      <c r="H113" s="17">
        <v>46125</v>
      </c>
    </row>
    <row r="114" spans="1:8">
      <c r="A114" s="16">
        <v>1379</v>
      </c>
      <c r="B114" s="16" t="s">
        <v>209</v>
      </c>
      <c r="C114" s="16" t="s">
        <v>210</v>
      </c>
      <c r="D114" s="16" t="s">
        <v>23</v>
      </c>
      <c r="E114" s="16" t="b">
        <v>1</v>
      </c>
      <c r="F114" s="16" t="s">
        <v>25</v>
      </c>
      <c r="H114" s="17">
        <v>46125</v>
      </c>
    </row>
    <row r="115" spans="1:8">
      <c r="A115" s="16">
        <v>1362</v>
      </c>
      <c r="B115" s="16" t="s">
        <v>211</v>
      </c>
      <c r="C115" s="16" t="s">
        <v>212</v>
      </c>
      <c r="D115" s="16" t="s">
        <v>23</v>
      </c>
      <c r="E115" s="16" t="b">
        <v>1</v>
      </c>
      <c r="F115" s="16" t="s">
        <v>27</v>
      </c>
      <c r="G115" s="16">
        <v>22</v>
      </c>
      <c r="H115" s="17">
        <v>46125</v>
      </c>
    </row>
    <row r="116" spans="1:8">
      <c r="A116" s="16">
        <v>1403</v>
      </c>
      <c r="B116" s="16" t="s">
        <v>213</v>
      </c>
      <c r="C116" s="16" t="s">
        <v>214</v>
      </c>
      <c r="D116" s="16" t="s">
        <v>23</v>
      </c>
      <c r="E116" s="16" t="b">
        <v>0</v>
      </c>
      <c r="F116" s="16" t="s">
        <v>27</v>
      </c>
      <c r="G116" s="16">
        <v>8</v>
      </c>
      <c r="H116" s="17">
        <v>46125</v>
      </c>
    </row>
    <row r="117" spans="1:8">
      <c r="A117" s="16">
        <v>1404</v>
      </c>
      <c r="B117" s="16" t="s">
        <v>213</v>
      </c>
      <c r="C117" s="16" t="s">
        <v>215</v>
      </c>
      <c r="D117" s="16" t="s">
        <v>23</v>
      </c>
      <c r="E117" s="16" t="b">
        <v>1</v>
      </c>
      <c r="F117" s="16" t="s">
        <v>25</v>
      </c>
      <c r="H117" s="17">
        <v>46125</v>
      </c>
    </row>
    <row r="118" spans="1:8">
      <c r="A118" s="16">
        <v>1229</v>
      </c>
      <c r="B118" s="16" t="s">
        <v>216</v>
      </c>
      <c r="C118" s="16" t="s">
        <v>217</v>
      </c>
      <c r="D118" s="16" t="s">
        <v>23</v>
      </c>
      <c r="E118" s="16" t="b">
        <v>1</v>
      </c>
      <c r="F118" s="16" t="s">
        <v>25</v>
      </c>
      <c r="H118" s="17">
        <v>46125</v>
      </c>
    </row>
    <row r="119" spans="1:8">
      <c r="A119" s="16">
        <v>1408</v>
      </c>
      <c r="B119" s="16" t="s">
        <v>218</v>
      </c>
      <c r="C119" s="16" t="s">
        <v>219</v>
      </c>
      <c r="D119" s="16" t="s">
        <v>23</v>
      </c>
      <c r="E119" s="16" t="b">
        <v>0</v>
      </c>
      <c r="F119" s="16" t="s">
        <v>27</v>
      </c>
      <c r="G119" s="16">
        <v>20</v>
      </c>
      <c r="H119" s="17">
        <v>46125</v>
      </c>
    </row>
    <row r="120" spans="1:8">
      <c r="A120" s="16">
        <v>1409</v>
      </c>
      <c r="B120" s="16" t="s">
        <v>218</v>
      </c>
      <c r="C120" s="16" t="s">
        <v>220</v>
      </c>
      <c r="D120" s="16" t="s">
        <v>23</v>
      </c>
      <c r="E120" s="16" t="b">
        <v>1</v>
      </c>
      <c r="F120" s="16" t="s">
        <v>27</v>
      </c>
      <c r="G120" s="16">
        <v>15</v>
      </c>
      <c r="H120" s="17">
        <v>46125</v>
      </c>
    </row>
    <row r="121" spans="1:8">
      <c r="A121" s="16">
        <v>1198</v>
      </c>
      <c r="B121" s="16" t="s">
        <v>221</v>
      </c>
      <c r="C121" s="16" t="s">
        <v>222</v>
      </c>
      <c r="D121" s="16" t="s">
        <v>23</v>
      </c>
      <c r="E121" s="16" t="b">
        <v>0</v>
      </c>
      <c r="F121" s="16" t="s">
        <v>27</v>
      </c>
      <c r="G121" s="16">
        <v>5</v>
      </c>
      <c r="H121" s="17">
        <v>46125</v>
      </c>
    </row>
    <row r="122" spans="1:8">
      <c r="A122" s="16">
        <v>1260</v>
      </c>
      <c r="B122" s="16" t="s">
        <v>223</v>
      </c>
      <c r="C122" s="16" t="s">
        <v>82</v>
      </c>
      <c r="D122" s="16" t="s">
        <v>23</v>
      </c>
      <c r="E122" s="16" t="b">
        <v>1</v>
      </c>
      <c r="F122" s="16" t="s">
        <v>27</v>
      </c>
      <c r="G122" s="16">
        <v>15</v>
      </c>
      <c r="H122" s="17">
        <v>46125</v>
      </c>
    </row>
    <row r="123" spans="1:8">
      <c r="A123" s="16">
        <v>1361</v>
      </c>
      <c r="B123" s="16" t="s">
        <v>224</v>
      </c>
      <c r="C123" s="16" t="s">
        <v>225</v>
      </c>
      <c r="D123" s="16" t="s">
        <v>23</v>
      </c>
      <c r="E123" s="16" t="b">
        <v>0</v>
      </c>
      <c r="F123" s="16" t="s">
        <v>27</v>
      </c>
      <c r="G123" s="16">
        <v>16</v>
      </c>
      <c r="H123" s="17">
        <v>46125</v>
      </c>
    </row>
    <row r="124" spans="1:8">
      <c r="A124" s="16">
        <v>1100</v>
      </c>
      <c r="B124" s="16" t="s">
        <v>226</v>
      </c>
      <c r="C124" s="16" t="s">
        <v>34</v>
      </c>
      <c r="D124" s="16" t="s">
        <v>23</v>
      </c>
      <c r="E124" s="16" t="b">
        <v>0</v>
      </c>
      <c r="F124" s="16" t="s">
        <v>27</v>
      </c>
      <c r="G124" s="16">
        <v>13</v>
      </c>
      <c r="H124" s="17">
        <v>46125</v>
      </c>
    </row>
    <row r="125" spans="1:8">
      <c r="A125" s="16">
        <v>1385</v>
      </c>
      <c r="B125" s="16" t="s">
        <v>227</v>
      </c>
      <c r="C125" s="16" t="s">
        <v>228</v>
      </c>
      <c r="D125" s="16" t="s">
        <v>23</v>
      </c>
      <c r="E125" s="16" t="b">
        <v>0</v>
      </c>
      <c r="F125" s="16" t="s">
        <v>25</v>
      </c>
      <c r="H125" s="17">
        <v>46125</v>
      </c>
    </row>
    <row r="126" spans="1:8">
      <c r="A126" s="16">
        <v>1394</v>
      </c>
      <c r="B126" s="16" t="s">
        <v>227</v>
      </c>
      <c r="C126" s="16" t="s">
        <v>229</v>
      </c>
      <c r="D126" s="16" t="s">
        <v>23</v>
      </c>
      <c r="E126" s="16" t="b">
        <v>0</v>
      </c>
      <c r="F126" s="16" t="s">
        <v>35</v>
      </c>
      <c r="H126" s="17">
        <v>46125</v>
      </c>
    </row>
    <row r="127" spans="1:8">
      <c r="A127" s="16">
        <v>1419</v>
      </c>
      <c r="B127" s="16" t="s">
        <v>230</v>
      </c>
      <c r="C127" s="16" t="s">
        <v>231</v>
      </c>
      <c r="D127" s="16" t="s">
        <v>23</v>
      </c>
      <c r="E127" s="16" t="b">
        <v>0</v>
      </c>
      <c r="F127" s="16" t="s">
        <v>25</v>
      </c>
      <c r="H127" s="17">
        <v>46125</v>
      </c>
    </row>
    <row r="128" spans="1:8">
      <c r="A128" s="16">
        <v>967</v>
      </c>
      <c r="B128" s="16" t="s">
        <v>232</v>
      </c>
      <c r="C128" s="16" t="s">
        <v>152</v>
      </c>
      <c r="D128" s="16" t="s">
        <v>23</v>
      </c>
      <c r="E128" s="16" t="b">
        <v>0</v>
      </c>
      <c r="F128" s="16" t="s">
        <v>27</v>
      </c>
      <c r="G128" s="16">
        <v>5</v>
      </c>
      <c r="H128" s="17">
        <v>46125</v>
      </c>
    </row>
    <row r="129" spans="1:8">
      <c r="A129" s="16">
        <v>1373</v>
      </c>
      <c r="B129" s="16" t="s">
        <v>233</v>
      </c>
      <c r="C129" s="16" t="s">
        <v>234</v>
      </c>
      <c r="D129" s="16" t="s">
        <v>23</v>
      </c>
      <c r="E129" s="16" t="b">
        <v>0</v>
      </c>
      <c r="F129" s="16" t="s">
        <v>27</v>
      </c>
      <c r="G129" s="16">
        <v>10</v>
      </c>
      <c r="H129" s="17">
        <v>46125</v>
      </c>
    </row>
    <row r="130" spans="1:8">
      <c r="A130" s="16">
        <v>1045</v>
      </c>
      <c r="B130" s="16" t="s">
        <v>235</v>
      </c>
      <c r="C130" s="16" t="s">
        <v>236</v>
      </c>
      <c r="D130" s="16" t="s">
        <v>23</v>
      </c>
      <c r="E130" s="16" t="b">
        <v>1</v>
      </c>
      <c r="F130" s="16" t="s">
        <v>27</v>
      </c>
      <c r="G130" s="16">
        <v>5</v>
      </c>
      <c r="H130" s="17">
        <v>46125</v>
      </c>
    </row>
    <row r="131" spans="1:8">
      <c r="A131" s="16">
        <v>1046</v>
      </c>
      <c r="B131" s="16" t="s">
        <v>235</v>
      </c>
      <c r="C131" s="16" t="s">
        <v>237</v>
      </c>
      <c r="D131" s="16" t="s">
        <v>23</v>
      </c>
      <c r="E131" s="16" t="b">
        <v>0</v>
      </c>
      <c r="F131" s="16" t="s">
        <v>27</v>
      </c>
      <c r="G131" s="16">
        <v>35</v>
      </c>
      <c r="H131" s="17">
        <v>46125</v>
      </c>
    </row>
    <row r="132" spans="1:8">
      <c r="A132" s="16">
        <v>1396</v>
      </c>
      <c r="B132" s="16" t="s">
        <v>238</v>
      </c>
      <c r="C132" s="16" t="s">
        <v>59</v>
      </c>
      <c r="D132" s="16" t="s">
        <v>23</v>
      </c>
      <c r="E132" s="16" t="b">
        <v>0</v>
      </c>
      <c r="F132" s="16" t="s">
        <v>25</v>
      </c>
      <c r="H132" s="17">
        <v>46125</v>
      </c>
    </row>
    <row r="133" spans="1:8">
      <c r="A133" s="16">
        <v>1397</v>
      </c>
      <c r="B133" s="16" t="s">
        <v>238</v>
      </c>
      <c r="C133" s="16" t="s">
        <v>239</v>
      </c>
      <c r="D133" s="16" t="s">
        <v>23</v>
      </c>
      <c r="E133" s="16" t="b">
        <v>1</v>
      </c>
      <c r="F133" s="16" t="s">
        <v>25</v>
      </c>
      <c r="H133" s="17">
        <v>46125</v>
      </c>
    </row>
    <row r="134" spans="1:8">
      <c r="A134" s="16">
        <v>1398</v>
      </c>
      <c r="B134" s="16" t="s">
        <v>238</v>
      </c>
      <c r="C134" s="16" t="s">
        <v>49</v>
      </c>
      <c r="D134" s="16" t="s">
        <v>23</v>
      </c>
      <c r="E134" s="16" t="b">
        <v>0</v>
      </c>
      <c r="F134" s="16" t="s">
        <v>35</v>
      </c>
      <c r="H134" s="17">
        <v>46125</v>
      </c>
    </row>
    <row r="135" spans="1:8">
      <c r="A135" s="16">
        <v>1399</v>
      </c>
      <c r="B135" s="16" t="s">
        <v>238</v>
      </c>
      <c r="C135" s="16" t="s">
        <v>131</v>
      </c>
      <c r="D135" s="16" t="s">
        <v>23</v>
      </c>
      <c r="E135" s="16" t="b">
        <v>1</v>
      </c>
      <c r="F135" s="16" t="s">
        <v>35</v>
      </c>
      <c r="H135" s="17">
        <v>46125</v>
      </c>
    </row>
    <row r="136" spans="1:8">
      <c r="A136" s="16">
        <v>771</v>
      </c>
      <c r="B136" s="16" t="s">
        <v>240</v>
      </c>
      <c r="C136" s="16" t="s">
        <v>241</v>
      </c>
      <c r="D136" s="16" t="s">
        <v>23</v>
      </c>
      <c r="E136" s="16" t="b">
        <v>0</v>
      </c>
      <c r="F136" s="16" t="s">
        <v>27</v>
      </c>
      <c r="G136" s="16">
        <v>14</v>
      </c>
      <c r="H136" s="17">
        <v>46125</v>
      </c>
    </row>
    <row r="137" spans="1:8">
      <c r="A137" s="16">
        <v>1265</v>
      </c>
      <c r="B137" s="16" t="s">
        <v>242</v>
      </c>
      <c r="C137" s="16" t="s">
        <v>243</v>
      </c>
      <c r="D137" s="16" t="s">
        <v>23</v>
      </c>
      <c r="E137" s="16" t="b">
        <v>0</v>
      </c>
      <c r="F137" s="16" t="s">
        <v>27</v>
      </c>
      <c r="G137" s="16">
        <v>20</v>
      </c>
      <c r="H137" s="17">
        <v>46125</v>
      </c>
    </row>
    <row r="138" spans="1:8">
      <c r="A138" s="16">
        <v>532</v>
      </c>
      <c r="B138" s="16" t="s">
        <v>244</v>
      </c>
      <c r="C138" s="16" t="s">
        <v>243</v>
      </c>
      <c r="D138" s="16" t="s">
        <v>23</v>
      </c>
      <c r="E138" s="16" t="b">
        <v>0</v>
      </c>
      <c r="F138" s="16" t="s">
        <v>27</v>
      </c>
      <c r="G138" s="16">
        <v>13</v>
      </c>
      <c r="H138" s="17">
        <v>46125</v>
      </c>
    </row>
    <row r="139" spans="1:8">
      <c r="A139" s="16">
        <v>742</v>
      </c>
      <c r="B139" s="16" t="s">
        <v>246</v>
      </c>
      <c r="C139" s="16" t="s">
        <v>156</v>
      </c>
      <c r="D139" s="16" t="s">
        <v>23</v>
      </c>
      <c r="E139" s="16" t="b">
        <v>1</v>
      </c>
      <c r="F139" s="16" t="s">
        <v>27</v>
      </c>
      <c r="G139" s="16">
        <v>2</v>
      </c>
      <c r="H139" s="17">
        <v>46125</v>
      </c>
    </row>
    <row r="140" spans="1:8">
      <c r="A140" s="16">
        <v>741</v>
      </c>
      <c r="B140" s="16" t="s">
        <v>246</v>
      </c>
      <c r="C140" s="16" t="s">
        <v>247</v>
      </c>
      <c r="D140" s="16" t="s">
        <v>23</v>
      </c>
      <c r="E140" s="16" t="b">
        <v>0</v>
      </c>
      <c r="F140" s="16" t="s">
        <v>27</v>
      </c>
      <c r="G140" s="16">
        <v>4</v>
      </c>
      <c r="H140" s="17">
        <v>46125</v>
      </c>
    </row>
    <row r="141" spans="1:8">
      <c r="A141" s="16">
        <v>1298</v>
      </c>
      <c r="B141" s="16" t="s">
        <v>246</v>
      </c>
      <c r="C141" s="16" t="s">
        <v>132</v>
      </c>
      <c r="D141" s="16" t="s">
        <v>23</v>
      </c>
      <c r="E141" s="16" t="b">
        <v>1</v>
      </c>
      <c r="F141" s="16" t="s">
        <v>27</v>
      </c>
      <c r="G141" s="16">
        <v>13</v>
      </c>
      <c r="H141" s="17">
        <v>46125</v>
      </c>
    </row>
    <row r="142" spans="1:8">
      <c r="A142" s="16">
        <v>747</v>
      </c>
      <c r="B142" s="16" t="s">
        <v>246</v>
      </c>
      <c r="C142" s="16" t="s">
        <v>22</v>
      </c>
      <c r="D142" s="16" t="s">
        <v>23</v>
      </c>
      <c r="E142" s="16" t="b">
        <v>0</v>
      </c>
      <c r="F142" s="16" t="s">
        <v>27</v>
      </c>
      <c r="G142" s="16">
        <v>1</v>
      </c>
      <c r="H142" s="17">
        <v>46125</v>
      </c>
    </row>
    <row r="143" spans="1:8">
      <c r="A143" s="16">
        <v>1386</v>
      </c>
      <c r="B143" s="16" t="s">
        <v>246</v>
      </c>
      <c r="C143" s="16" t="s">
        <v>248</v>
      </c>
      <c r="D143" s="16" t="s">
        <v>23</v>
      </c>
      <c r="E143" s="16" t="b">
        <v>1</v>
      </c>
      <c r="F143" s="16" t="s">
        <v>35</v>
      </c>
      <c r="H143" s="17">
        <v>46125</v>
      </c>
    </row>
    <row r="144" spans="1:8">
      <c r="A144" s="16">
        <v>564</v>
      </c>
      <c r="B144" s="16" t="s">
        <v>250</v>
      </c>
      <c r="C144" s="16" t="s">
        <v>34</v>
      </c>
      <c r="D144" s="16" t="s">
        <v>23</v>
      </c>
      <c r="E144" s="16" t="b">
        <v>0</v>
      </c>
      <c r="F144" s="16" t="s">
        <v>27</v>
      </c>
      <c r="G144" s="16">
        <v>7</v>
      </c>
      <c r="H144" s="17">
        <v>46125</v>
      </c>
    </row>
    <row r="145" spans="1:8">
      <c r="A145" s="16">
        <v>1165</v>
      </c>
      <c r="B145" s="16" t="s">
        <v>251</v>
      </c>
      <c r="C145" s="16" t="s">
        <v>177</v>
      </c>
      <c r="D145" s="16" t="s">
        <v>23</v>
      </c>
      <c r="E145" s="16" t="b">
        <v>0</v>
      </c>
      <c r="F145" s="16" t="s">
        <v>27</v>
      </c>
      <c r="G145" s="16">
        <v>10</v>
      </c>
      <c r="H145" s="17">
        <v>46125</v>
      </c>
    </row>
    <row r="146" spans="1:8">
      <c r="A146" s="16">
        <v>405</v>
      </c>
      <c r="B146" s="16" t="s">
        <v>252</v>
      </c>
      <c r="C146" s="16" t="s">
        <v>243</v>
      </c>
      <c r="D146" s="16" t="s">
        <v>23</v>
      </c>
      <c r="E146" s="16" t="b">
        <v>0</v>
      </c>
      <c r="F146" s="16" t="s">
        <v>27</v>
      </c>
      <c r="G146" s="16">
        <v>18</v>
      </c>
      <c r="H146" s="17">
        <v>46125</v>
      </c>
    </row>
    <row r="147" spans="1:8">
      <c r="A147" s="16">
        <v>1346</v>
      </c>
      <c r="B147" s="16" t="s">
        <v>253</v>
      </c>
      <c r="C147" s="16" t="s">
        <v>254</v>
      </c>
      <c r="D147" s="16" t="s">
        <v>23</v>
      </c>
      <c r="E147" s="16" t="b">
        <v>0</v>
      </c>
      <c r="F147" s="16" t="s">
        <v>27</v>
      </c>
      <c r="G147" s="16">
        <v>20</v>
      </c>
      <c r="H147" s="17">
        <v>46125</v>
      </c>
    </row>
    <row r="148" spans="1:8">
      <c r="A148" s="16">
        <v>1192</v>
      </c>
      <c r="B148" s="16" t="s">
        <v>255</v>
      </c>
      <c r="C148" s="16" t="s">
        <v>256</v>
      </c>
      <c r="D148" s="16" t="s">
        <v>23</v>
      </c>
      <c r="E148" s="16" t="b">
        <v>0</v>
      </c>
      <c r="F148" s="16" t="s">
        <v>27</v>
      </c>
      <c r="G148" s="16">
        <v>10</v>
      </c>
      <c r="H148" s="17">
        <v>46125</v>
      </c>
    </row>
    <row r="149" spans="1:8">
      <c r="A149" s="16">
        <v>1157</v>
      </c>
      <c r="B149" s="16" t="s">
        <v>257</v>
      </c>
      <c r="C149" s="16" t="s">
        <v>100</v>
      </c>
      <c r="D149" s="16" t="s">
        <v>23</v>
      </c>
      <c r="E149" s="16" t="b">
        <v>0</v>
      </c>
      <c r="F149" s="16" t="s">
        <v>25</v>
      </c>
      <c r="H149" s="17">
        <v>46125</v>
      </c>
    </row>
    <row r="150" spans="1:8">
      <c r="A150" s="16">
        <v>1359</v>
      </c>
      <c r="B150" s="16" t="s">
        <v>258</v>
      </c>
      <c r="C150" s="16" t="s">
        <v>49</v>
      </c>
      <c r="D150" s="16" t="s">
        <v>23</v>
      </c>
      <c r="E150" s="16" t="b">
        <v>0</v>
      </c>
      <c r="F150" s="16" t="s">
        <v>188</v>
      </c>
      <c r="H150" s="17">
        <v>46125</v>
      </c>
    </row>
    <row r="151" spans="1:8">
      <c r="A151" s="16">
        <v>1360</v>
      </c>
      <c r="B151" s="16" t="s">
        <v>258</v>
      </c>
      <c r="C151" s="16" t="s">
        <v>259</v>
      </c>
      <c r="D151" s="16" t="s">
        <v>23</v>
      </c>
      <c r="E151" s="16" t="b">
        <v>1</v>
      </c>
      <c r="F151" s="16" t="s">
        <v>35</v>
      </c>
      <c r="H151" s="17">
        <v>46125</v>
      </c>
    </row>
    <row r="152" spans="1:8">
      <c r="A152" s="16">
        <v>1357</v>
      </c>
      <c r="B152" s="16" t="s">
        <v>258</v>
      </c>
      <c r="C152" s="16" t="s">
        <v>34</v>
      </c>
      <c r="D152" s="16" t="s">
        <v>23</v>
      </c>
      <c r="E152" s="16" t="b">
        <v>0</v>
      </c>
      <c r="F152" s="16" t="s">
        <v>27</v>
      </c>
      <c r="G152" s="16">
        <v>5</v>
      </c>
      <c r="H152" s="17">
        <v>46125</v>
      </c>
    </row>
    <row r="153" spans="1:8">
      <c r="A153" s="16">
        <v>1358</v>
      </c>
      <c r="B153" s="16" t="s">
        <v>258</v>
      </c>
      <c r="C153" s="16" t="s">
        <v>260</v>
      </c>
      <c r="D153" s="16" t="s">
        <v>23</v>
      </c>
      <c r="E153" s="16" t="b">
        <v>1</v>
      </c>
      <c r="F153" s="16" t="s">
        <v>27</v>
      </c>
      <c r="G153" s="16">
        <v>7</v>
      </c>
      <c r="H153" s="17">
        <v>46125</v>
      </c>
    </row>
    <row r="154" spans="1:8">
      <c r="A154" s="16">
        <v>1390</v>
      </c>
      <c r="B154" s="16" t="s">
        <v>261</v>
      </c>
      <c r="C154" s="16" t="s">
        <v>262</v>
      </c>
      <c r="D154" s="16" t="s">
        <v>23</v>
      </c>
      <c r="E154" s="16" t="b">
        <v>0</v>
      </c>
      <c r="F154" s="16" t="s">
        <v>25</v>
      </c>
      <c r="H154" s="17">
        <v>46125</v>
      </c>
    </row>
    <row r="155" spans="1:8">
      <c r="A155" s="16">
        <v>1107</v>
      </c>
      <c r="B155" s="16" t="s">
        <v>263</v>
      </c>
      <c r="C155" s="16" t="s">
        <v>264</v>
      </c>
      <c r="D155" s="16" t="s">
        <v>23</v>
      </c>
      <c r="E155" s="16" t="b">
        <v>1</v>
      </c>
      <c r="F155" s="16" t="s">
        <v>25</v>
      </c>
      <c r="H155" s="17">
        <v>46125</v>
      </c>
    </row>
    <row r="156" spans="1:8">
      <c r="A156" s="16">
        <v>35</v>
      </c>
      <c r="B156" s="16" t="s">
        <v>265</v>
      </c>
      <c r="C156" s="16" t="s">
        <v>266</v>
      </c>
      <c r="D156" s="16" t="s">
        <v>23</v>
      </c>
      <c r="E156" s="16" t="b">
        <v>0</v>
      </c>
      <c r="F156" s="16" t="s">
        <v>27</v>
      </c>
      <c r="G156" s="16">
        <v>3</v>
      </c>
      <c r="H156" s="17">
        <v>46125</v>
      </c>
    </row>
    <row r="157" spans="1:8">
      <c r="A157" s="16">
        <v>1094</v>
      </c>
      <c r="B157" s="16" t="s">
        <v>267</v>
      </c>
      <c r="C157" s="16" t="s">
        <v>268</v>
      </c>
      <c r="D157" s="16" t="s">
        <v>23</v>
      </c>
      <c r="E157" s="16" t="b">
        <v>0</v>
      </c>
      <c r="F157" s="16" t="s">
        <v>27</v>
      </c>
      <c r="G157" s="16">
        <v>12</v>
      </c>
      <c r="H157" s="17">
        <v>46125</v>
      </c>
    </row>
    <row r="158" spans="1:8">
      <c r="A158" s="16">
        <v>1325</v>
      </c>
      <c r="B158" s="16" t="s">
        <v>269</v>
      </c>
      <c r="C158" s="16" t="s">
        <v>270</v>
      </c>
      <c r="D158" s="16" t="s">
        <v>23</v>
      </c>
      <c r="E158" s="16" t="b">
        <v>0</v>
      </c>
      <c r="F158" s="16" t="s">
        <v>27</v>
      </c>
      <c r="G158" s="16">
        <v>3</v>
      </c>
      <c r="H158" s="17">
        <v>46125</v>
      </c>
    </row>
    <row r="159" spans="1:8">
      <c r="A159" s="16">
        <v>1143</v>
      </c>
      <c r="B159" s="16" t="s">
        <v>271</v>
      </c>
      <c r="C159" s="16" t="s">
        <v>247</v>
      </c>
      <c r="D159" s="16" t="s">
        <v>23</v>
      </c>
      <c r="E159" s="16" t="b">
        <v>0</v>
      </c>
      <c r="F159" s="16" t="s">
        <v>27</v>
      </c>
      <c r="G159" s="16">
        <v>3</v>
      </c>
      <c r="H159" s="17">
        <v>46125</v>
      </c>
    </row>
    <row r="160" spans="1:8">
      <c r="A160" s="16">
        <v>1401</v>
      </c>
      <c r="B160" s="16" t="s">
        <v>272</v>
      </c>
      <c r="C160" s="16" t="s">
        <v>273</v>
      </c>
      <c r="D160" s="16" t="s">
        <v>23</v>
      </c>
      <c r="E160" s="16" t="b">
        <v>1</v>
      </c>
      <c r="F160" s="16" t="s">
        <v>25</v>
      </c>
      <c r="H160" s="17">
        <v>46125</v>
      </c>
    </row>
    <row r="161" spans="1:8">
      <c r="A161" s="16">
        <v>1285</v>
      </c>
      <c r="B161" s="16" t="s">
        <v>274</v>
      </c>
      <c r="C161" s="16" t="s">
        <v>100</v>
      </c>
      <c r="D161" s="16" t="s">
        <v>23</v>
      </c>
      <c r="E161" s="16" t="b">
        <v>0</v>
      </c>
      <c r="F161" s="16" t="s">
        <v>25</v>
      </c>
      <c r="H161" s="17">
        <v>46125</v>
      </c>
    </row>
    <row r="162" spans="1:8">
      <c r="A162" s="16">
        <v>38</v>
      </c>
      <c r="B162" s="16" t="s">
        <v>275</v>
      </c>
      <c r="C162" s="16" t="s">
        <v>276</v>
      </c>
      <c r="D162" s="16" t="s">
        <v>23</v>
      </c>
      <c r="E162" s="16" t="b">
        <v>0</v>
      </c>
      <c r="F162" s="16" t="s">
        <v>27</v>
      </c>
      <c r="G162" s="16">
        <v>13</v>
      </c>
      <c r="H162" s="17">
        <v>46125</v>
      </c>
    </row>
    <row r="163" spans="1:8">
      <c r="A163" s="16">
        <v>245</v>
      </c>
      <c r="B163" s="16" t="s">
        <v>277</v>
      </c>
      <c r="C163" s="16" t="s">
        <v>234</v>
      </c>
      <c r="D163" s="16" t="s">
        <v>23</v>
      </c>
      <c r="E163" s="16" t="b">
        <v>0</v>
      </c>
      <c r="F163" s="16" t="s">
        <v>27</v>
      </c>
      <c r="G163" s="16">
        <v>10</v>
      </c>
      <c r="H163" s="17">
        <v>46125</v>
      </c>
    </row>
    <row r="164" spans="1:8">
      <c r="A164" s="16">
        <v>39</v>
      </c>
      <c r="B164" s="16" t="s">
        <v>277</v>
      </c>
      <c r="C164" s="16" t="s">
        <v>278</v>
      </c>
      <c r="D164" s="16" t="s">
        <v>23</v>
      </c>
      <c r="E164" s="16" t="b">
        <v>0</v>
      </c>
      <c r="F164" s="16" t="s">
        <v>27</v>
      </c>
      <c r="G164" s="16">
        <v>43</v>
      </c>
      <c r="H164" s="17">
        <v>46125</v>
      </c>
    </row>
    <row r="165" spans="1:8">
      <c r="A165" s="16">
        <v>508</v>
      </c>
      <c r="B165" s="16" t="s">
        <v>279</v>
      </c>
      <c r="C165" s="16" t="s">
        <v>59</v>
      </c>
      <c r="D165" s="16" t="s">
        <v>23</v>
      </c>
      <c r="E165" s="16" t="b">
        <v>0</v>
      </c>
      <c r="F165" s="16" t="s">
        <v>27</v>
      </c>
      <c r="G165" s="16">
        <v>31</v>
      </c>
      <c r="H165" s="17">
        <v>46125</v>
      </c>
    </row>
    <row r="166" spans="1:8">
      <c r="A166" s="16">
        <v>1392</v>
      </c>
      <c r="B166" s="16" t="s">
        <v>284</v>
      </c>
      <c r="C166" s="16" t="s">
        <v>285</v>
      </c>
      <c r="D166" s="16" t="s">
        <v>23</v>
      </c>
      <c r="E166" s="16" t="b">
        <v>1</v>
      </c>
      <c r="F166" s="16" t="s">
        <v>25</v>
      </c>
      <c r="H166" s="17">
        <v>46125</v>
      </c>
    </row>
    <row r="167" spans="1:8">
      <c r="A167" s="16">
        <v>1141</v>
      </c>
      <c r="B167" s="16" t="s">
        <v>286</v>
      </c>
      <c r="C167" s="16" t="s">
        <v>287</v>
      </c>
      <c r="D167" s="16" t="s">
        <v>23</v>
      </c>
      <c r="E167" s="16" t="b">
        <v>1</v>
      </c>
      <c r="F167" s="16" t="s">
        <v>27</v>
      </c>
      <c r="G167" s="16">
        <v>15</v>
      </c>
      <c r="H167" s="17">
        <v>46125</v>
      </c>
    </row>
    <row r="168" spans="1:8">
      <c r="A168" s="16">
        <v>891</v>
      </c>
      <c r="B168" s="16" t="s">
        <v>288</v>
      </c>
      <c r="C168" s="16" t="s">
        <v>289</v>
      </c>
      <c r="D168" s="16" t="s">
        <v>23</v>
      </c>
      <c r="E168" s="16" t="b">
        <v>1</v>
      </c>
      <c r="F168" s="16" t="s">
        <v>25</v>
      </c>
      <c r="H168" s="17">
        <v>46125</v>
      </c>
    </row>
    <row r="169" spans="1:8">
      <c r="A169" s="16">
        <v>1352</v>
      </c>
      <c r="B169" s="16" t="s">
        <v>290</v>
      </c>
      <c r="C169" s="16" t="s">
        <v>34</v>
      </c>
      <c r="D169" s="16" t="s">
        <v>23</v>
      </c>
      <c r="E169" s="16" t="b">
        <v>0</v>
      </c>
      <c r="F169" s="16" t="s">
        <v>27</v>
      </c>
      <c r="G169" s="16">
        <v>11</v>
      </c>
      <c r="H169" s="17">
        <v>46125</v>
      </c>
    </row>
    <row r="170" spans="1:8">
      <c r="A170" s="16">
        <v>1339</v>
      </c>
      <c r="B170" s="16" t="s">
        <v>291</v>
      </c>
      <c r="C170" s="16" t="s">
        <v>292</v>
      </c>
      <c r="D170" s="16" t="s">
        <v>23</v>
      </c>
      <c r="E170" s="16" t="b">
        <v>0</v>
      </c>
      <c r="F170" s="16" t="s">
        <v>25</v>
      </c>
      <c r="H170" s="17">
        <v>46125</v>
      </c>
    </row>
    <row r="171" spans="1:8">
      <c r="A171" s="16">
        <v>914</v>
      </c>
      <c r="B171" s="16" t="s">
        <v>293</v>
      </c>
      <c r="C171" s="16" t="s">
        <v>153</v>
      </c>
      <c r="D171" s="16" t="s">
        <v>23</v>
      </c>
      <c r="E171" s="16" t="b">
        <v>0</v>
      </c>
      <c r="F171" s="16" t="s">
        <v>27</v>
      </c>
      <c r="G171" s="16">
        <v>14</v>
      </c>
      <c r="H171" s="17">
        <v>46125</v>
      </c>
    </row>
    <row r="172" spans="1:8">
      <c r="A172" s="16">
        <v>597</v>
      </c>
      <c r="B172" s="16" t="s">
        <v>294</v>
      </c>
      <c r="C172" s="16" t="s">
        <v>295</v>
      </c>
      <c r="D172" s="16" t="s">
        <v>23</v>
      </c>
      <c r="E172" s="16" t="b">
        <v>0</v>
      </c>
      <c r="F172" s="16" t="s">
        <v>27</v>
      </c>
      <c r="G172" s="16">
        <v>36</v>
      </c>
      <c r="H172" s="17">
        <v>46125</v>
      </c>
    </row>
    <row r="173" spans="1:8">
      <c r="A173" s="16">
        <v>1038</v>
      </c>
      <c r="B173" s="16" t="s">
        <v>293</v>
      </c>
      <c r="C173" s="16" t="s">
        <v>51</v>
      </c>
      <c r="D173" s="16" t="s">
        <v>23</v>
      </c>
      <c r="E173" s="16" t="b">
        <v>0</v>
      </c>
      <c r="F173" s="16" t="s">
        <v>27</v>
      </c>
      <c r="G173" s="16">
        <v>12</v>
      </c>
      <c r="H173" s="17">
        <v>46125</v>
      </c>
    </row>
    <row r="174" spans="1:8">
      <c r="A174" s="16">
        <v>1242</v>
      </c>
      <c r="B174" s="16" t="s">
        <v>297</v>
      </c>
      <c r="C174" s="16" t="s">
        <v>190</v>
      </c>
      <c r="D174" s="16" t="s">
        <v>23</v>
      </c>
      <c r="E174" s="16" t="b">
        <v>0</v>
      </c>
      <c r="F174" s="16" t="s">
        <v>27</v>
      </c>
      <c r="G174" s="16">
        <v>15</v>
      </c>
      <c r="H174" s="17">
        <v>46125</v>
      </c>
    </row>
    <row r="175" spans="1:8">
      <c r="A175" s="16">
        <v>1048</v>
      </c>
      <c r="B175" s="16" t="s">
        <v>298</v>
      </c>
      <c r="C175" s="16" t="s">
        <v>268</v>
      </c>
      <c r="D175" s="16" t="s">
        <v>23</v>
      </c>
      <c r="E175" s="16" t="b">
        <v>0</v>
      </c>
      <c r="F175" s="16" t="s">
        <v>27</v>
      </c>
      <c r="G175" s="16">
        <v>16</v>
      </c>
      <c r="H175" s="17">
        <v>46125</v>
      </c>
    </row>
    <row r="176" spans="1:8">
      <c r="A176" s="16">
        <v>1055</v>
      </c>
      <c r="B176" s="16" t="s">
        <v>298</v>
      </c>
      <c r="C176" s="16" t="s">
        <v>299</v>
      </c>
      <c r="D176" s="16" t="s">
        <v>23</v>
      </c>
      <c r="E176" s="16" t="b">
        <v>0</v>
      </c>
      <c r="F176" s="16" t="s">
        <v>27</v>
      </c>
      <c r="G176" s="16">
        <v>1</v>
      </c>
      <c r="H176" s="17">
        <v>46125</v>
      </c>
    </row>
    <row r="177" spans="1:8">
      <c r="A177" s="16">
        <v>1095</v>
      </c>
      <c r="B177" s="16" t="s">
        <v>298</v>
      </c>
      <c r="C177" s="16" t="s">
        <v>300</v>
      </c>
      <c r="D177" s="16" t="s">
        <v>23</v>
      </c>
      <c r="E177" s="16" t="b">
        <v>0</v>
      </c>
      <c r="F177" s="16" t="s">
        <v>27</v>
      </c>
      <c r="G177" s="16">
        <v>33</v>
      </c>
      <c r="H177" s="17">
        <v>46125</v>
      </c>
    </row>
    <row r="178" spans="1:8">
      <c r="A178" s="16">
        <v>820</v>
      </c>
      <c r="B178" s="16" t="s">
        <v>298</v>
      </c>
      <c r="C178" s="16" t="s">
        <v>139</v>
      </c>
      <c r="D178" s="16" t="s">
        <v>23</v>
      </c>
      <c r="E178" s="16" t="b">
        <v>1</v>
      </c>
      <c r="F178" s="16" t="s">
        <v>27</v>
      </c>
      <c r="G178" s="16">
        <v>6</v>
      </c>
      <c r="H178" s="17">
        <v>46125</v>
      </c>
    </row>
    <row r="179" spans="1:8">
      <c r="A179" s="16">
        <v>687</v>
      </c>
      <c r="B179" s="16" t="s">
        <v>298</v>
      </c>
      <c r="C179" s="16" t="s">
        <v>301</v>
      </c>
      <c r="D179" s="16" t="s">
        <v>23</v>
      </c>
      <c r="E179" s="16" t="b">
        <v>0</v>
      </c>
      <c r="F179" s="16" t="s">
        <v>27</v>
      </c>
      <c r="G179" s="16">
        <v>7</v>
      </c>
      <c r="H179" s="17">
        <v>46125</v>
      </c>
    </row>
    <row r="180" spans="1:8">
      <c r="A180" s="16">
        <v>1420</v>
      </c>
      <c r="B180" s="16" t="s">
        <v>302</v>
      </c>
      <c r="C180" s="16" t="s">
        <v>212</v>
      </c>
      <c r="D180" s="16" t="s">
        <v>23</v>
      </c>
      <c r="E180" s="16" t="b">
        <v>1</v>
      </c>
      <c r="F180" s="16" t="s">
        <v>27</v>
      </c>
      <c r="G180" s="16">
        <v>15</v>
      </c>
      <c r="H180" s="17">
        <v>46125</v>
      </c>
    </row>
    <row r="181" spans="1:8">
      <c r="A181" s="16">
        <v>1410</v>
      </c>
      <c r="B181" s="16" t="s">
        <v>104</v>
      </c>
      <c r="C181" s="16" t="s">
        <v>303</v>
      </c>
      <c r="D181" s="16" t="s">
        <v>23</v>
      </c>
      <c r="E181" s="16" t="b">
        <v>0</v>
      </c>
      <c r="F181" s="16" t="s">
        <v>25</v>
      </c>
      <c r="H181" s="17">
        <v>46125</v>
      </c>
    </row>
    <row r="182" spans="1:8">
      <c r="A182" s="16">
        <v>1161</v>
      </c>
      <c r="B182" s="16" t="s">
        <v>304</v>
      </c>
      <c r="C182" s="16" t="s">
        <v>305</v>
      </c>
      <c r="D182" s="16" t="s">
        <v>23</v>
      </c>
      <c r="E182" s="16" t="b">
        <v>0</v>
      </c>
      <c r="F182" s="16" t="s">
        <v>25</v>
      </c>
      <c r="H182" s="17">
        <v>46125</v>
      </c>
    </row>
    <row r="183" spans="1:8">
      <c r="A183" s="16">
        <v>890</v>
      </c>
      <c r="B183" s="16" t="s">
        <v>306</v>
      </c>
      <c r="C183" s="16" t="s">
        <v>307</v>
      </c>
      <c r="D183" s="16" t="s">
        <v>54</v>
      </c>
      <c r="E183" s="16" t="b">
        <v>0</v>
      </c>
      <c r="F183" s="16" t="s">
        <v>27</v>
      </c>
      <c r="G183" s="16">
        <v>23</v>
      </c>
      <c r="H183" s="17">
        <v>46125</v>
      </c>
    </row>
    <row r="184" spans="1:8">
      <c r="A184" s="16">
        <v>1166</v>
      </c>
      <c r="B184" s="16" t="s">
        <v>308</v>
      </c>
      <c r="C184" s="16" t="s">
        <v>143</v>
      </c>
      <c r="D184" s="16" t="s">
        <v>54</v>
      </c>
      <c r="E184" s="16" t="b">
        <v>0</v>
      </c>
      <c r="F184" s="16" t="s">
        <v>27</v>
      </c>
      <c r="G184" s="16">
        <v>5</v>
      </c>
      <c r="H184" s="17">
        <v>46125</v>
      </c>
    </row>
    <row r="185" spans="1:8">
      <c r="A185" s="16">
        <v>45</v>
      </c>
      <c r="B185" s="16" t="s">
        <v>309</v>
      </c>
      <c r="C185" s="16" t="s">
        <v>310</v>
      </c>
      <c r="D185" s="16" t="s">
        <v>23</v>
      </c>
      <c r="E185" s="16" t="b">
        <v>0</v>
      </c>
      <c r="F185" s="16" t="s">
        <v>27</v>
      </c>
      <c r="G185" s="16">
        <v>20</v>
      </c>
      <c r="H185" s="17">
        <v>46125</v>
      </c>
    </row>
    <row r="186" spans="1:8">
      <c r="A186" s="16">
        <v>1160</v>
      </c>
      <c r="B186" s="16" t="s">
        <v>311</v>
      </c>
      <c r="C186" s="16" t="s">
        <v>312</v>
      </c>
      <c r="D186" s="16" t="s">
        <v>23</v>
      </c>
      <c r="E186" s="16" t="b">
        <v>0</v>
      </c>
      <c r="F186" s="16" t="s">
        <v>25</v>
      </c>
      <c r="H186" s="17">
        <v>46125</v>
      </c>
    </row>
    <row r="187" spans="1:8">
      <c r="A187" s="16">
        <v>945</v>
      </c>
      <c r="B187" s="16" t="s">
        <v>313</v>
      </c>
      <c r="C187" s="16" t="s">
        <v>49</v>
      </c>
      <c r="D187" s="16" t="s">
        <v>23</v>
      </c>
      <c r="E187" s="16" t="b">
        <v>0</v>
      </c>
      <c r="F187" s="16" t="s">
        <v>25</v>
      </c>
      <c r="H187" s="17">
        <v>46125</v>
      </c>
    </row>
    <row r="188" spans="1:8">
      <c r="A188" s="16">
        <v>813</v>
      </c>
      <c r="B188" s="16" t="s">
        <v>313</v>
      </c>
      <c r="C188" s="16" t="s">
        <v>289</v>
      </c>
      <c r="D188" s="16" t="s">
        <v>23</v>
      </c>
      <c r="E188" s="16" t="b">
        <v>1</v>
      </c>
      <c r="F188" s="16" t="s">
        <v>27</v>
      </c>
      <c r="G188" s="16">
        <v>7</v>
      </c>
      <c r="H188" s="17">
        <v>46125</v>
      </c>
    </row>
    <row r="189" spans="1:8">
      <c r="A189" s="16">
        <v>812</v>
      </c>
      <c r="B189" s="16" t="s">
        <v>313</v>
      </c>
      <c r="C189" s="16" t="s">
        <v>170</v>
      </c>
      <c r="D189" s="16" t="s">
        <v>23</v>
      </c>
      <c r="E189" s="16" t="b">
        <v>0</v>
      </c>
      <c r="F189" s="16" t="s">
        <v>27</v>
      </c>
      <c r="G189" s="16">
        <v>9</v>
      </c>
      <c r="H189" s="17">
        <v>46125</v>
      </c>
    </row>
    <row r="190" spans="1:8">
      <c r="A190" s="16">
        <v>1129</v>
      </c>
      <c r="B190" s="16" t="s">
        <v>314</v>
      </c>
      <c r="C190" s="16" t="s">
        <v>315</v>
      </c>
      <c r="D190" s="16" t="s">
        <v>23</v>
      </c>
      <c r="E190" s="16" t="b">
        <v>0</v>
      </c>
      <c r="F190" s="16" t="s">
        <v>27</v>
      </c>
      <c r="G190" s="16">
        <v>12</v>
      </c>
      <c r="H190" s="17">
        <v>46125</v>
      </c>
    </row>
    <row r="191" spans="1:8">
      <c r="A191" s="16">
        <v>915</v>
      </c>
      <c r="B191" s="16" t="s">
        <v>316</v>
      </c>
      <c r="C191" s="16" t="s">
        <v>241</v>
      </c>
      <c r="D191" s="16" t="s">
        <v>23</v>
      </c>
      <c r="E191" s="16" t="b">
        <v>0</v>
      </c>
      <c r="F191" s="16" t="s">
        <v>27</v>
      </c>
      <c r="G191" s="16">
        <v>8</v>
      </c>
      <c r="H191" s="17">
        <v>46125</v>
      </c>
    </row>
    <row r="192" spans="1:8">
      <c r="A192" s="16">
        <v>860</v>
      </c>
      <c r="B192" s="16" t="s">
        <v>321</v>
      </c>
      <c r="C192" s="16" t="s">
        <v>215</v>
      </c>
      <c r="D192" s="16" t="s">
        <v>23</v>
      </c>
      <c r="E192" s="16" t="b">
        <v>1</v>
      </c>
      <c r="F192" s="16" t="s">
        <v>25</v>
      </c>
      <c r="H192" s="17">
        <v>46125</v>
      </c>
    </row>
    <row r="193" spans="1:8">
      <c r="A193" s="16">
        <v>756</v>
      </c>
      <c r="B193" s="16" t="s">
        <v>321</v>
      </c>
      <c r="C193" s="16" t="s">
        <v>322</v>
      </c>
      <c r="D193" s="16" t="s">
        <v>23</v>
      </c>
      <c r="E193" s="16" t="b">
        <v>0</v>
      </c>
      <c r="F193" s="16" t="s">
        <v>25</v>
      </c>
      <c r="H193" s="17">
        <v>46125</v>
      </c>
    </row>
    <row r="194" spans="1:8">
      <c r="A194" s="16">
        <v>407</v>
      </c>
      <c r="B194" s="16" t="s">
        <v>321</v>
      </c>
      <c r="C194" s="16" t="s">
        <v>323</v>
      </c>
      <c r="D194" s="16" t="s">
        <v>23</v>
      </c>
      <c r="E194" s="16" t="b">
        <v>0</v>
      </c>
      <c r="F194" s="16" t="s">
        <v>27</v>
      </c>
      <c r="G194" s="16">
        <v>5</v>
      </c>
      <c r="H194" s="17">
        <v>46125</v>
      </c>
    </row>
    <row r="195" spans="1:8">
      <c r="A195" s="16">
        <v>1312</v>
      </c>
      <c r="B195" s="16" t="s">
        <v>329</v>
      </c>
      <c r="C195" s="16" t="s">
        <v>287</v>
      </c>
      <c r="D195" s="16" t="s">
        <v>23</v>
      </c>
      <c r="E195" s="16" t="b">
        <v>1</v>
      </c>
      <c r="F195" s="16" t="s">
        <v>27</v>
      </c>
      <c r="G195" s="16">
        <v>35</v>
      </c>
      <c r="H195" s="17">
        <v>46125</v>
      </c>
    </row>
    <row r="196" spans="1:8">
      <c r="A196" s="16">
        <v>935</v>
      </c>
      <c r="B196" s="16" t="s">
        <v>330</v>
      </c>
      <c r="C196" s="16" t="s">
        <v>245</v>
      </c>
      <c r="D196" s="16" t="s">
        <v>23</v>
      </c>
      <c r="E196" s="16" t="b">
        <v>1</v>
      </c>
      <c r="F196" s="16" t="s">
        <v>25</v>
      </c>
      <c r="H196" s="17">
        <v>46125</v>
      </c>
    </row>
    <row r="197" spans="1:8">
      <c r="A197" s="16">
        <v>999</v>
      </c>
      <c r="B197" s="16" t="s">
        <v>330</v>
      </c>
      <c r="C197" s="16" t="s">
        <v>331</v>
      </c>
      <c r="D197" s="16" t="s">
        <v>23</v>
      </c>
      <c r="E197" s="16" t="b">
        <v>1</v>
      </c>
      <c r="F197" s="16" t="s">
        <v>25</v>
      </c>
      <c r="H197" s="17">
        <v>46125</v>
      </c>
    </row>
    <row r="198" spans="1:8">
      <c r="A198" s="16">
        <v>998</v>
      </c>
      <c r="B198" s="16" t="s">
        <v>330</v>
      </c>
      <c r="C198" s="16" t="s">
        <v>332</v>
      </c>
      <c r="D198" s="16" t="s">
        <v>23</v>
      </c>
      <c r="E198" s="16" t="b">
        <v>1</v>
      </c>
      <c r="F198" s="16" t="s">
        <v>27</v>
      </c>
      <c r="G198" s="16">
        <v>5</v>
      </c>
      <c r="H198" s="17">
        <v>46125</v>
      </c>
    </row>
    <row r="199" spans="1:8">
      <c r="A199" s="16">
        <v>616</v>
      </c>
      <c r="B199" s="16" t="s">
        <v>330</v>
      </c>
      <c r="C199" s="16" t="s">
        <v>41</v>
      </c>
      <c r="D199" s="16" t="s">
        <v>23</v>
      </c>
      <c r="E199" s="16" t="b">
        <v>0</v>
      </c>
      <c r="F199" s="16" t="s">
        <v>27</v>
      </c>
      <c r="G199" s="16">
        <v>7</v>
      </c>
      <c r="H199" s="17">
        <v>46125</v>
      </c>
    </row>
    <row r="200" spans="1:8">
      <c r="A200" s="16">
        <v>558</v>
      </c>
      <c r="B200" s="16" t="s">
        <v>333</v>
      </c>
      <c r="C200" s="16" t="s">
        <v>334</v>
      </c>
      <c r="D200" s="16" t="s">
        <v>23</v>
      </c>
      <c r="E200" s="16" t="b">
        <v>0</v>
      </c>
      <c r="F200" s="16" t="s">
        <v>27</v>
      </c>
      <c r="G200" s="16">
        <v>15</v>
      </c>
      <c r="H200" s="17">
        <v>46125</v>
      </c>
    </row>
    <row r="201" spans="1:8">
      <c r="A201" s="16">
        <v>991</v>
      </c>
      <c r="B201" s="16" t="s">
        <v>335</v>
      </c>
      <c r="C201" s="16" t="s">
        <v>184</v>
      </c>
      <c r="D201" s="16" t="s">
        <v>23</v>
      </c>
      <c r="E201" s="16" t="b">
        <v>1</v>
      </c>
      <c r="F201" s="16" t="s">
        <v>35</v>
      </c>
      <c r="H201" s="17">
        <v>46125</v>
      </c>
    </row>
    <row r="202" spans="1:8">
      <c r="A202" s="16">
        <v>359</v>
      </c>
      <c r="B202" s="16" t="s">
        <v>336</v>
      </c>
      <c r="C202" s="16" t="s">
        <v>26</v>
      </c>
      <c r="D202" s="16" t="s">
        <v>23</v>
      </c>
      <c r="E202" s="16" t="b">
        <v>0</v>
      </c>
      <c r="F202" s="16" t="s">
        <v>27</v>
      </c>
      <c r="G202" s="16">
        <v>24</v>
      </c>
      <c r="H202" s="17">
        <v>46125</v>
      </c>
    </row>
    <row r="203" spans="1:8">
      <c r="A203" s="16">
        <v>1310</v>
      </c>
      <c r="B203" s="16" t="s">
        <v>337</v>
      </c>
      <c r="C203" s="16" t="s">
        <v>311</v>
      </c>
      <c r="D203" s="16" t="s">
        <v>23</v>
      </c>
      <c r="E203" s="16" t="b">
        <v>0</v>
      </c>
      <c r="F203" s="16" t="s">
        <v>25</v>
      </c>
      <c r="H203" s="17">
        <v>46125</v>
      </c>
    </row>
    <row r="204" spans="1:8">
      <c r="A204" s="16">
        <v>1200</v>
      </c>
      <c r="B204" s="16" t="s">
        <v>338</v>
      </c>
      <c r="C204" s="16" t="s">
        <v>339</v>
      </c>
      <c r="D204" s="16" t="s">
        <v>23</v>
      </c>
      <c r="E204" s="16" t="b">
        <v>0</v>
      </c>
      <c r="F204" s="16" t="s">
        <v>27</v>
      </c>
      <c r="G204" s="16">
        <v>6</v>
      </c>
      <c r="H204" s="17">
        <v>46125</v>
      </c>
    </row>
    <row r="205" spans="1:8">
      <c r="A205" s="16">
        <v>1411</v>
      </c>
      <c r="B205" s="16" t="s">
        <v>338</v>
      </c>
      <c r="C205" s="16" t="s">
        <v>72</v>
      </c>
      <c r="D205" s="16" t="s">
        <v>23</v>
      </c>
      <c r="E205" s="16" t="b">
        <v>1</v>
      </c>
      <c r="F205" s="16" t="s">
        <v>27</v>
      </c>
      <c r="G205" s="16">
        <v>3</v>
      </c>
      <c r="H205" s="17">
        <v>46125</v>
      </c>
    </row>
    <row r="206" spans="1:8">
      <c r="A206" s="16">
        <v>1412</v>
      </c>
      <c r="B206" s="16" t="s">
        <v>338</v>
      </c>
      <c r="C206" s="16" t="s">
        <v>340</v>
      </c>
      <c r="D206" s="16" t="s">
        <v>23</v>
      </c>
      <c r="E206" s="16" t="b">
        <v>1</v>
      </c>
      <c r="F206" s="16" t="s">
        <v>188</v>
      </c>
      <c r="H206" s="17">
        <v>46125</v>
      </c>
    </row>
    <row r="207" spans="1:8">
      <c r="A207" s="16">
        <v>1413</v>
      </c>
      <c r="B207" s="16" t="s">
        <v>338</v>
      </c>
      <c r="C207" s="16" t="s">
        <v>214</v>
      </c>
      <c r="D207" s="16" t="s">
        <v>23</v>
      </c>
      <c r="E207" s="16" t="b">
        <v>0</v>
      </c>
      <c r="F207" s="16" t="s">
        <v>188</v>
      </c>
      <c r="H207" s="17">
        <v>46125</v>
      </c>
    </row>
    <row r="208" spans="1:8">
      <c r="A208" s="16">
        <v>1376</v>
      </c>
      <c r="B208" s="16" t="s">
        <v>192</v>
      </c>
      <c r="C208" s="16" t="s">
        <v>127</v>
      </c>
      <c r="D208" s="16" t="s">
        <v>23</v>
      </c>
      <c r="E208" s="16" t="b">
        <v>1</v>
      </c>
      <c r="F208" s="16" t="s">
        <v>25</v>
      </c>
      <c r="H208" s="17">
        <v>46125</v>
      </c>
    </row>
    <row r="209" spans="1:8">
      <c r="A209" s="16">
        <v>1140</v>
      </c>
      <c r="B209" s="16" t="s">
        <v>341</v>
      </c>
      <c r="C209" s="16" t="s">
        <v>243</v>
      </c>
      <c r="D209" s="16" t="s">
        <v>23</v>
      </c>
      <c r="E209" s="16" t="b">
        <v>0</v>
      </c>
      <c r="F209" s="16" t="s">
        <v>25</v>
      </c>
      <c r="H209" s="17">
        <v>46125</v>
      </c>
    </row>
    <row r="210" spans="1:8">
      <c r="A210" s="16">
        <v>989</v>
      </c>
      <c r="B210" s="16" t="s">
        <v>342</v>
      </c>
      <c r="C210" s="16" t="s">
        <v>343</v>
      </c>
      <c r="D210" s="16" t="s">
        <v>23</v>
      </c>
      <c r="E210" s="16" t="b">
        <v>0</v>
      </c>
      <c r="F210" s="16" t="s">
        <v>27</v>
      </c>
      <c r="G210" s="16">
        <v>3</v>
      </c>
      <c r="H210" s="17">
        <v>46125</v>
      </c>
    </row>
    <row r="211" spans="1:8">
      <c r="A211" s="16">
        <v>1417</v>
      </c>
      <c r="B211" s="16" t="s">
        <v>344</v>
      </c>
      <c r="C211" s="16" t="s">
        <v>345</v>
      </c>
      <c r="D211" s="16" t="s">
        <v>23</v>
      </c>
      <c r="E211" s="16" t="b">
        <v>1</v>
      </c>
      <c r="F211" s="16" t="s">
        <v>27</v>
      </c>
      <c r="G211" s="16">
        <v>17</v>
      </c>
      <c r="H211" s="17">
        <v>46125</v>
      </c>
    </row>
    <row r="212" spans="1:8">
      <c r="A212" s="16">
        <v>52</v>
      </c>
      <c r="B212" s="16" t="s">
        <v>346</v>
      </c>
      <c r="C212" s="16" t="s">
        <v>192</v>
      </c>
      <c r="D212" s="16" t="s">
        <v>23</v>
      </c>
      <c r="E212" s="16" t="b">
        <v>0</v>
      </c>
      <c r="F212" s="16" t="s">
        <v>25</v>
      </c>
      <c r="H212" s="17">
        <v>46125</v>
      </c>
    </row>
    <row r="213" spans="1:8">
      <c r="A213" s="16">
        <v>62</v>
      </c>
      <c r="B213" s="16" t="s">
        <v>344</v>
      </c>
      <c r="C213" s="16" t="s">
        <v>234</v>
      </c>
      <c r="D213" s="16" t="s">
        <v>23</v>
      </c>
      <c r="E213" s="16" t="b">
        <v>0</v>
      </c>
      <c r="F213" s="16" t="s">
        <v>27</v>
      </c>
      <c r="G213" s="16">
        <v>4</v>
      </c>
      <c r="H213" s="17">
        <v>46125</v>
      </c>
    </row>
    <row r="214" spans="1:8">
      <c r="A214" s="16">
        <v>930</v>
      </c>
      <c r="B214" s="16" t="s">
        <v>347</v>
      </c>
      <c r="C214" s="16" t="s">
        <v>348</v>
      </c>
      <c r="D214" s="16" t="s">
        <v>23</v>
      </c>
      <c r="E214" s="16" t="b">
        <v>1</v>
      </c>
      <c r="F214" s="16" t="s">
        <v>27</v>
      </c>
      <c r="G214" s="16">
        <v>6</v>
      </c>
      <c r="H214" s="17">
        <v>46125</v>
      </c>
    </row>
    <row r="215" spans="1:8">
      <c r="A215" s="16">
        <v>1254</v>
      </c>
      <c r="B215" s="16" t="s">
        <v>349</v>
      </c>
      <c r="C215" s="16" t="s">
        <v>51</v>
      </c>
      <c r="D215" s="16" t="s">
        <v>23</v>
      </c>
      <c r="E215" s="16" t="b">
        <v>0</v>
      </c>
      <c r="F215" s="16" t="s">
        <v>27</v>
      </c>
      <c r="G215" s="16">
        <v>21</v>
      </c>
      <c r="H215" s="17">
        <v>46125</v>
      </c>
    </row>
    <row r="216" spans="1:8">
      <c r="A216" s="16">
        <v>744</v>
      </c>
      <c r="B216" s="16" t="s">
        <v>350</v>
      </c>
      <c r="C216" s="16" t="s">
        <v>351</v>
      </c>
      <c r="D216" s="16" t="s">
        <v>23</v>
      </c>
      <c r="E216" s="16" t="b">
        <v>0</v>
      </c>
      <c r="F216" s="16" t="s">
        <v>27</v>
      </c>
      <c r="G216" s="16">
        <v>28</v>
      </c>
      <c r="H216" s="17">
        <v>46125</v>
      </c>
    </row>
    <row r="217" spans="1:8">
      <c r="A217" s="16">
        <v>337</v>
      </c>
      <c r="B217" s="16" t="s">
        <v>352</v>
      </c>
      <c r="C217" s="16" t="s">
        <v>179</v>
      </c>
      <c r="D217" s="16" t="s">
        <v>23</v>
      </c>
      <c r="E217" s="16" t="b">
        <v>1</v>
      </c>
      <c r="F217" s="16" t="s">
        <v>27</v>
      </c>
      <c r="G217" s="16">
        <v>21</v>
      </c>
      <c r="H217" s="17">
        <v>46125</v>
      </c>
    </row>
    <row r="218" spans="1:8">
      <c r="A218" s="16">
        <v>1024</v>
      </c>
      <c r="B218" s="16" t="s">
        <v>280</v>
      </c>
      <c r="C218" s="16" t="s">
        <v>282</v>
      </c>
      <c r="D218" s="16" t="s">
        <v>23</v>
      </c>
      <c r="E218" s="16" t="b">
        <v>0</v>
      </c>
      <c r="F218" s="16" t="s">
        <v>188</v>
      </c>
      <c r="H218" s="17">
        <v>46125</v>
      </c>
    </row>
  </sheetData>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31"/>
  <sheetViews>
    <sheetView workbookViewId="0"/>
    <sheetView workbookViewId="1"/>
  </sheetViews>
  <sheetFormatPr defaultColWidth="9.53125" defaultRowHeight="12.75"/>
  <cols>
    <col min="8" max="8" width="12" bestFit="1" customWidth="1"/>
  </cols>
  <sheetData>
    <row r="1" spans="1:8">
      <c r="A1" t="s">
        <v>13</v>
      </c>
      <c r="B1" t="s">
        <v>14</v>
      </c>
      <c r="C1" t="s">
        <v>15</v>
      </c>
      <c r="D1" t="s">
        <v>16</v>
      </c>
      <c r="E1" t="s">
        <v>17</v>
      </c>
      <c r="F1" t="s">
        <v>18</v>
      </c>
      <c r="G1" t="s">
        <v>19</v>
      </c>
      <c r="H1" t="s">
        <v>20</v>
      </c>
    </row>
    <row r="2" spans="1:8" ht="14.25">
      <c r="A2">
        <v>1327</v>
      </c>
      <c r="B2" t="s">
        <v>21</v>
      </c>
      <c r="C2" t="s">
        <v>22</v>
      </c>
      <c r="D2" t="s">
        <v>23</v>
      </c>
      <c r="E2" t="s">
        <v>24</v>
      </c>
      <c r="F2" t="s">
        <v>25</v>
      </c>
      <c r="H2" s="3">
        <v>46154</v>
      </c>
    </row>
    <row r="3" spans="1:8" ht="14.25">
      <c r="A3">
        <v>1237</v>
      </c>
      <c r="B3" t="s">
        <v>21</v>
      </c>
      <c r="C3" t="s">
        <v>26</v>
      </c>
      <c r="D3" t="s">
        <v>23</v>
      </c>
      <c r="E3" t="s">
        <v>24</v>
      </c>
      <c r="F3" t="s">
        <v>27</v>
      </c>
      <c r="G3">
        <v>1</v>
      </c>
      <c r="H3" s="3">
        <v>46154</v>
      </c>
    </row>
    <row r="4" spans="1:8" ht="14.25">
      <c r="A4">
        <v>819</v>
      </c>
      <c r="B4" t="s">
        <v>28</v>
      </c>
      <c r="C4" t="s">
        <v>29</v>
      </c>
      <c r="D4" t="s">
        <v>23</v>
      </c>
      <c r="E4" t="s">
        <v>30</v>
      </c>
      <c r="F4" t="s">
        <v>27</v>
      </c>
      <c r="G4">
        <v>23</v>
      </c>
      <c r="H4" s="3">
        <v>46154</v>
      </c>
    </row>
    <row r="5" spans="1:8" ht="14.25">
      <c r="A5">
        <v>2</v>
      </c>
      <c r="B5" t="s">
        <v>31</v>
      </c>
      <c r="C5" t="s">
        <v>32</v>
      </c>
      <c r="D5" t="s">
        <v>23</v>
      </c>
      <c r="E5" t="s">
        <v>24</v>
      </c>
      <c r="F5" t="s">
        <v>27</v>
      </c>
      <c r="G5">
        <v>21</v>
      </c>
      <c r="H5" s="3">
        <v>46154</v>
      </c>
    </row>
    <row r="6" spans="1:8" ht="14.25">
      <c r="A6">
        <v>1370</v>
      </c>
      <c r="B6" t="s">
        <v>33</v>
      </c>
      <c r="C6" t="s">
        <v>34</v>
      </c>
      <c r="D6" t="s">
        <v>23</v>
      </c>
      <c r="E6" t="s">
        <v>24</v>
      </c>
      <c r="F6" t="s">
        <v>27</v>
      </c>
      <c r="G6">
        <v>4</v>
      </c>
      <c r="H6" s="3">
        <v>46154</v>
      </c>
    </row>
    <row r="7" spans="1:8" ht="14.25">
      <c r="A7">
        <v>1415</v>
      </c>
      <c r="B7" t="s">
        <v>33</v>
      </c>
      <c r="C7" t="s">
        <v>22</v>
      </c>
      <c r="D7" t="s">
        <v>23</v>
      </c>
      <c r="E7" t="s">
        <v>24</v>
      </c>
      <c r="F7" t="s">
        <v>35</v>
      </c>
      <c r="H7" s="3">
        <v>46154</v>
      </c>
    </row>
    <row r="8" spans="1:8" ht="14.25">
      <c r="A8">
        <v>1286</v>
      </c>
      <c r="B8" t="s">
        <v>36</v>
      </c>
      <c r="C8" t="s">
        <v>34</v>
      </c>
      <c r="D8" t="s">
        <v>23</v>
      </c>
      <c r="E8" t="s">
        <v>24</v>
      </c>
      <c r="F8" t="s">
        <v>27</v>
      </c>
      <c r="G8">
        <v>13</v>
      </c>
      <c r="H8" s="3">
        <v>46154</v>
      </c>
    </row>
    <row r="9" spans="1:8" ht="14.25">
      <c r="A9">
        <v>1381</v>
      </c>
      <c r="B9" t="s">
        <v>36</v>
      </c>
      <c r="C9" t="s">
        <v>37</v>
      </c>
      <c r="D9" t="s">
        <v>23</v>
      </c>
      <c r="E9" t="s">
        <v>24</v>
      </c>
      <c r="F9" t="s">
        <v>25</v>
      </c>
      <c r="H9" s="3">
        <v>46154</v>
      </c>
    </row>
    <row r="10" spans="1:8" ht="14.25">
      <c r="A10">
        <v>1112</v>
      </c>
      <c r="B10" t="s">
        <v>38</v>
      </c>
      <c r="C10" t="s">
        <v>39</v>
      </c>
      <c r="D10" t="s">
        <v>23</v>
      </c>
      <c r="E10" t="s">
        <v>24</v>
      </c>
      <c r="F10" t="s">
        <v>27</v>
      </c>
      <c r="G10">
        <v>16</v>
      </c>
      <c r="H10" s="3">
        <v>46154</v>
      </c>
    </row>
    <row r="11" spans="1:8" ht="14.25">
      <c r="A11">
        <v>1135</v>
      </c>
      <c r="B11" t="s">
        <v>40</v>
      </c>
      <c r="C11" t="s">
        <v>41</v>
      </c>
      <c r="D11" t="s">
        <v>23</v>
      </c>
      <c r="E11" t="s">
        <v>24</v>
      </c>
      <c r="F11" t="s">
        <v>27</v>
      </c>
      <c r="G11">
        <v>1</v>
      </c>
      <c r="H11" s="3">
        <v>46154</v>
      </c>
    </row>
    <row r="12" spans="1:8" ht="14.25">
      <c r="A12">
        <v>982</v>
      </c>
      <c r="B12" t="s">
        <v>42</v>
      </c>
      <c r="C12" t="s">
        <v>32</v>
      </c>
      <c r="D12" t="s">
        <v>23</v>
      </c>
      <c r="E12" t="s">
        <v>24</v>
      </c>
      <c r="F12" t="s">
        <v>27</v>
      </c>
      <c r="G12">
        <v>22</v>
      </c>
      <c r="H12" s="3">
        <v>46154</v>
      </c>
    </row>
    <row r="13" spans="1:8" ht="14.25">
      <c r="A13">
        <v>1328</v>
      </c>
      <c r="B13" t="s">
        <v>43</v>
      </c>
      <c r="C13" t="s">
        <v>44</v>
      </c>
      <c r="D13" t="s">
        <v>23</v>
      </c>
      <c r="E13" t="s">
        <v>24</v>
      </c>
      <c r="F13" t="s">
        <v>27</v>
      </c>
      <c r="G13">
        <v>4</v>
      </c>
      <c r="H13" s="3">
        <v>46154</v>
      </c>
    </row>
    <row r="14" spans="1:8" ht="14.25">
      <c r="A14">
        <v>369</v>
      </c>
      <c r="B14" t="s">
        <v>45</v>
      </c>
      <c r="C14" t="s">
        <v>46</v>
      </c>
      <c r="D14" t="s">
        <v>23</v>
      </c>
      <c r="E14" t="s">
        <v>24</v>
      </c>
      <c r="F14" t="s">
        <v>27</v>
      </c>
      <c r="G14">
        <v>8</v>
      </c>
      <c r="H14" s="3">
        <v>46154</v>
      </c>
    </row>
    <row r="15" spans="1:8" ht="14.25">
      <c r="A15">
        <v>7</v>
      </c>
      <c r="B15" t="s">
        <v>45</v>
      </c>
      <c r="C15" t="s">
        <v>47</v>
      </c>
      <c r="D15" t="s">
        <v>48</v>
      </c>
      <c r="E15" t="s">
        <v>24</v>
      </c>
      <c r="F15" t="s">
        <v>27</v>
      </c>
      <c r="G15">
        <v>32</v>
      </c>
      <c r="H15" s="3">
        <v>46154</v>
      </c>
    </row>
    <row r="16" spans="1:8" ht="14.25">
      <c r="A16">
        <v>473</v>
      </c>
      <c r="B16" t="s">
        <v>45</v>
      </c>
      <c r="C16" t="s">
        <v>49</v>
      </c>
      <c r="D16" t="s">
        <v>48</v>
      </c>
      <c r="E16" t="s">
        <v>24</v>
      </c>
      <c r="F16" t="s">
        <v>27</v>
      </c>
      <c r="G16">
        <v>33</v>
      </c>
      <c r="H16" s="3">
        <v>46154</v>
      </c>
    </row>
    <row r="17" spans="1:8" ht="14.25">
      <c r="A17">
        <v>1384</v>
      </c>
      <c r="B17" t="s">
        <v>50</v>
      </c>
      <c r="C17" t="s">
        <v>51</v>
      </c>
      <c r="D17" t="s">
        <v>23</v>
      </c>
      <c r="E17" t="s">
        <v>24</v>
      </c>
      <c r="F17" t="s">
        <v>27</v>
      </c>
      <c r="G17">
        <v>30</v>
      </c>
      <c r="H17" s="3">
        <v>46154</v>
      </c>
    </row>
    <row r="18" spans="1:8" ht="14.25">
      <c r="A18">
        <v>1348</v>
      </c>
      <c r="B18" t="s">
        <v>52</v>
      </c>
      <c r="C18" t="s">
        <v>53</v>
      </c>
      <c r="D18" t="s">
        <v>54</v>
      </c>
      <c r="E18" t="s">
        <v>30</v>
      </c>
      <c r="F18" t="s">
        <v>25</v>
      </c>
      <c r="H18" s="3">
        <v>46154</v>
      </c>
    </row>
    <row r="19" spans="1:8" ht="14.25">
      <c r="A19">
        <v>1275</v>
      </c>
      <c r="B19" t="s">
        <v>52</v>
      </c>
      <c r="C19" t="s">
        <v>55</v>
      </c>
      <c r="D19" t="s">
        <v>23</v>
      </c>
      <c r="E19" t="s">
        <v>30</v>
      </c>
      <c r="F19" t="s">
        <v>35</v>
      </c>
      <c r="H19" s="3">
        <v>46154</v>
      </c>
    </row>
    <row r="20" spans="1:8" ht="14.25">
      <c r="A20">
        <v>68</v>
      </c>
      <c r="B20" t="s">
        <v>56</v>
      </c>
      <c r="C20" t="s">
        <v>57</v>
      </c>
      <c r="D20" t="s">
        <v>48</v>
      </c>
      <c r="E20" t="s">
        <v>24</v>
      </c>
      <c r="F20" t="s">
        <v>27</v>
      </c>
      <c r="G20">
        <v>35</v>
      </c>
      <c r="H20" s="3">
        <v>46154</v>
      </c>
    </row>
    <row r="21" spans="1:8" ht="14.25">
      <c r="A21">
        <v>1035</v>
      </c>
      <c r="B21" t="s">
        <v>58</v>
      </c>
      <c r="C21" t="s">
        <v>59</v>
      </c>
      <c r="D21" t="s">
        <v>23</v>
      </c>
      <c r="E21" t="s">
        <v>24</v>
      </c>
      <c r="F21" t="s">
        <v>27</v>
      </c>
      <c r="G21">
        <v>6</v>
      </c>
      <c r="H21" s="3">
        <v>46154</v>
      </c>
    </row>
    <row r="22" spans="1:8" ht="14.25">
      <c r="A22">
        <v>1416</v>
      </c>
      <c r="B22" t="s">
        <v>60</v>
      </c>
      <c r="C22" t="s">
        <v>61</v>
      </c>
      <c r="D22" t="s">
        <v>23</v>
      </c>
      <c r="E22" t="s">
        <v>24</v>
      </c>
      <c r="F22" t="s">
        <v>25</v>
      </c>
      <c r="H22" s="3">
        <v>46154</v>
      </c>
    </row>
    <row r="23" spans="1:8" ht="14.25">
      <c r="A23">
        <v>1326</v>
      </c>
      <c r="B23" t="s">
        <v>62</v>
      </c>
      <c r="C23" t="s">
        <v>63</v>
      </c>
      <c r="D23" t="s">
        <v>23</v>
      </c>
      <c r="E23" t="s">
        <v>30</v>
      </c>
      <c r="F23" t="s">
        <v>25</v>
      </c>
      <c r="H23" s="3">
        <v>46154</v>
      </c>
    </row>
    <row r="24" spans="1:8" ht="14.25">
      <c r="A24">
        <v>477</v>
      </c>
      <c r="B24" t="s">
        <v>64</v>
      </c>
      <c r="C24" t="s">
        <v>65</v>
      </c>
      <c r="D24" t="s">
        <v>23</v>
      </c>
      <c r="E24" t="s">
        <v>30</v>
      </c>
      <c r="F24" t="s">
        <v>27</v>
      </c>
      <c r="G24">
        <v>34</v>
      </c>
      <c r="H24" s="3">
        <v>46154</v>
      </c>
    </row>
    <row r="25" spans="1:8" ht="14.25">
      <c r="A25">
        <v>10</v>
      </c>
      <c r="B25" t="s">
        <v>64</v>
      </c>
      <c r="C25" t="s">
        <v>66</v>
      </c>
      <c r="D25" t="s">
        <v>48</v>
      </c>
      <c r="E25" t="s">
        <v>24</v>
      </c>
      <c r="F25" t="s">
        <v>27</v>
      </c>
      <c r="G25">
        <v>35</v>
      </c>
      <c r="H25" s="3">
        <v>46154</v>
      </c>
    </row>
    <row r="26" spans="1:8" ht="14.25">
      <c r="A26">
        <v>1414</v>
      </c>
      <c r="B26" t="s">
        <v>67</v>
      </c>
      <c r="C26" t="s">
        <v>36</v>
      </c>
      <c r="D26" t="s">
        <v>23</v>
      </c>
      <c r="E26" t="s">
        <v>24</v>
      </c>
      <c r="F26" t="s">
        <v>27</v>
      </c>
      <c r="G26">
        <v>13</v>
      </c>
      <c r="H26" s="3">
        <v>46154</v>
      </c>
    </row>
    <row r="27" spans="1:8" ht="14.25">
      <c r="A27">
        <v>1029</v>
      </c>
      <c r="B27" t="s">
        <v>68</v>
      </c>
      <c r="C27" t="s">
        <v>69</v>
      </c>
      <c r="D27" t="s">
        <v>23</v>
      </c>
      <c r="E27" t="s">
        <v>24</v>
      </c>
      <c r="F27" t="s">
        <v>27</v>
      </c>
      <c r="G27">
        <v>28</v>
      </c>
      <c r="H27" s="3">
        <v>46154</v>
      </c>
    </row>
    <row r="28" spans="1:8" ht="14.25">
      <c r="A28">
        <v>13</v>
      </c>
      <c r="B28" t="s">
        <v>70</v>
      </c>
      <c r="C28" t="s">
        <v>51</v>
      </c>
      <c r="D28" t="s">
        <v>23</v>
      </c>
      <c r="E28" t="s">
        <v>24</v>
      </c>
      <c r="F28" t="s">
        <v>27</v>
      </c>
      <c r="G28">
        <v>28</v>
      </c>
      <c r="H28" s="3">
        <v>46154</v>
      </c>
    </row>
    <row r="29" spans="1:8" ht="14.25">
      <c r="A29">
        <v>1255</v>
      </c>
      <c r="B29" t="s">
        <v>71</v>
      </c>
      <c r="C29" t="s">
        <v>72</v>
      </c>
      <c r="D29" t="s">
        <v>23</v>
      </c>
      <c r="E29" t="s">
        <v>30</v>
      </c>
      <c r="F29" t="s">
        <v>27</v>
      </c>
      <c r="G29">
        <v>13</v>
      </c>
      <c r="H29" s="3">
        <v>46154</v>
      </c>
    </row>
    <row r="30" spans="1:8" ht="14.25">
      <c r="A30">
        <v>1405</v>
      </c>
      <c r="B30" t="s">
        <v>73</v>
      </c>
      <c r="C30" t="s">
        <v>74</v>
      </c>
      <c r="D30" t="s">
        <v>23</v>
      </c>
      <c r="E30" t="s">
        <v>30</v>
      </c>
      <c r="F30" t="s">
        <v>35</v>
      </c>
      <c r="H30" s="3">
        <v>46154</v>
      </c>
    </row>
    <row r="31" spans="1:8" ht="14.25">
      <c r="A31">
        <v>1421</v>
      </c>
      <c r="B31" t="s">
        <v>75</v>
      </c>
      <c r="C31" t="s">
        <v>76</v>
      </c>
      <c r="D31" t="s">
        <v>23</v>
      </c>
      <c r="E31" t="s">
        <v>30</v>
      </c>
      <c r="F31" t="s">
        <v>27</v>
      </c>
      <c r="G31">
        <v>12</v>
      </c>
      <c r="H31" s="3">
        <v>46154</v>
      </c>
    </row>
    <row r="32" spans="1:8" ht="14.25">
      <c r="A32">
        <v>1418</v>
      </c>
      <c r="B32" t="s">
        <v>75</v>
      </c>
      <c r="C32" t="s">
        <v>22</v>
      </c>
      <c r="D32" t="s">
        <v>23</v>
      </c>
      <c r="E32" t="s">
        <v>24</v>
      </c>
      <c r="F32" t="s">
        <v>25</v>
      </c>
      <c r="H32" s="3">
        <v>46154</v>
      </c>
    </row>
    <row r="33" spans="1:8" ht="14.25">
      <c r="A33">
        <v>919</v>
      </c>
      <c r="B33" t="s">
        <v>77</v>
      </c>
      <c r="C33" t="s">
        <v>51</v>
      </c>
      <c r="D33" t="s">
        <v>23</v>
      </c>
      <c r="E33" t="s">
        <v>24</v>
      </c>
      <c r="F33" t="s">
        <v>27</v>
      </c>
      <c r="G33">
        <v>16</v>
      </c>
      <c r="H33" s="3">
        <v>46154</v>
      </c>
    </row>
    <row r="34" spans="1:8" ht="14.25">
      <c r="A34">
        <v>1319</v>
      </c>
      <c r="B34" t="s">
        <v>78</v>
      </c>
      <c r="C34" t="s">
        <v>32</v>
      </c>
      <c r="D34" t="s">
        <v>23</v>
      </c>
      <c r="E34" t="s">
        <v>24</v>
      </c>
      <c r="F34" t="s">
        <v>27</v>
      </c>
      <c r="G34">
        <v>9</v>
      </c>
      <c r="H34" s="3">
        <v>46154</v>
      </c>
    </row>
    <row r="35" spans="1:8" ht="14.25">
      <c r="A35">
        <v>1389</v>
      </c>
      <c r="B35" t="s">
        <v>79</v>
      </c>
      <c r="C35" t="s">
        <v>80</v>
      </c>
      <c r="D35" t="s">
        <v>23</v>
      </c>
      <c r="E35" t="s">
        <v>24</v>
      </c>
      <c r="F35" t="s">
        <v>25</v>
      </c>
      <c r="H35" s="3">
        <v>46154</v>
      </c>
    </row>
    <row r="36" spans="1:8" ht="14.25">
      <c r="A36">
        <v>940</v>
      </c>
      <c r="B36" t="s">
        <v>81</v>
      </c>
      <c r="C36" t="s">
        <v>82</v>
      </c>
      <c r="D36" t="s">
        <v>23</v>
      </c>
      <c r="E36" t="s">
        <v>30</v>
      </c>
      <c r="F36" t="s">
        <v>27</v>
      </c>
      <c r="G36">
        <v>9</v>
      </c>
      <c r="H36" s="3">
        <v>46154</v>
      </c>
    </row>
    <row r="37" spans="1:8" ht="14.25">
      <c r="A37">
        <v>806</v>
      </c>
      <c r="B37" t="s">
        <v>81</v>
      </c>
      <c r="C37" t="s">
        <v>83</v>
      </c>
      <c r="D37" t="s">
        <v>23</v>
      </c>
      <c r="E37" t="s">
        <v>24</v>
      </c>
      <c r="F37" t="s">
        <v>27</v>
      </c>
      <c r="G37">
        <v>11</v>
      </c>
      <c r="H37" s="3">
        <v>46154</v>
      </c>
    </row>
    <row r="38" spans="1:8" ht="14.25">
      <c r="A38">
        <v>482</v>
      </c>
      <c r="B38" t="s">
        <v>84</v>
      </c>
      <c r="C38" t="s">
        <v>85</v>
      </c>
      <c r="D38" t="s">
        <v>23</v>
      </c>
      <c r="E38" t="s">
        <v>24</v>
      </c>
      <c r="F38" t="s">
        <v>27</v>
      </c>
      <c r="G38">
        <v>13</v>
      </c>
      <c r="H38" s="3">
        <v>46154</v>
      </c>
    </row>
    <row r="39" spans="1:8" ht="14.25">
      <c r="A39">
        <v>674</v>
      </c>
      <c r="B39" t="s">
        <v>86</v>
      </c>
      <c r="C39" t="s">
        <v>87</v>
      </c>
      <c r="D39" t="s">
        <v>54</v>
      </c>
      <c r="E39" t="s">
        <v>30</v>
      </c>
      <c r="F39" t="s">
        <v>27</v>
      </c>
      <c r="G39">
        <v>23</v>
      </c>
      <c r="H39" s="3">
        <v>46154</v>
      </c>
    </row>
    <row r="40" spans="1:8" ht="14.25">
      <c r="A40">
        <v>1061</v>
      </c>
      <c r="B40" t="s">
        <v>88</v>
      </c>
      <c r="C40" t="s">
        <v>89</v>
      </c>
      <c r="D40" t="s">
        <v>23</v>
      </c>
      <c r="E40" t="s">
        <v>24</v>
      </c>
      <c r="F40" t="s">
        <v>27</v>
      </c>
      <c r="G40">
        <v>19</v>
      </c>
      <c r="H40" s="3">
        <v>46154</v>
      </c>
    </row>
    <row r="41" spans="1:8" ht="14.25">
      <c r="A41">
        <v>763</v>
      </c>
      <c r="B41" t="s">
        <v>90</v>
      </c>
      <c r="C41" t="s">
        <v>59</v>
      </c>
      <c r="D41" t="s">
        <v>23</v>
      </c>
      <c r="E41" t="s">
        <v>24</v>
      </c>
      <c r="F41" t="s">
        <v>27</v>
      </c>
      <c r="G41">
        <v>17</v>
      </c>
      <c r="H41" s="3">
        <v>46154</v>
      </c>
    </row>
    <row r="42" spans="1:8" ht="14.25">
      <c r="A42">
        <v>1227</v>
      </c>
      <c r="B42" t="s">
        <v>91</v>
      </c>
      <c r="C42" t="s">
        <v>92</v>
      </c>
      <c r="D42" t="s">
        <v>23</v>
      </c>
      <c r="E42" t="s">
        <v>30</v>
      </c>
      <c r="F42" t="s">
        <v>27</v>
      </c>
      <c r="G42">
        <v>8</v>
      </c>
      <c r="H42" s="3">
        <v>46154</v>
      </c>
    </row>
    <row r="43" spans="1:8" ht="14.25">
      <c r="A43">
        <v>715</v>
      </c>
      <c r="B43" t="s">
        <v>93</v>
      </c>
      <c r="C43" t="s">
        <v>94</v>
      </c>
      <c r="D43" t="s">
        <v>23</v>
      </c>
      <c r="E43" t="s">
        <v>24</v>
      </c>
      <c r="F43" t="s">
        <v>27</v>
      </c>
      <c r="G43">
        <v>5</v>
      </c>
      <c r="H43" s="3">
        <v>46154</v>
      </c>
    </row>
    <row r="44" spans="1:8" ht="14.25">
      <c r="A44">
        <v>567</v>
      </c>
      <c r="B44" t="s">
        <v>95</v>
      </c>
      <c r="C44" t="s">
        <v>96</v>
      </c>
      <c r="D44" t="s">
        <v>23</v>
      </c>
      <c r="E44" t="s">
        <v>24</v>
      </c>
      <c r="F44" t="s">
        <v>27</v>
      </c>
      <c r="G44">
        <v>7</v>
      </c>
      <c r="H44" s="3">
        <v>46154</v>
      </c>
    </row>
    <row r="45" spans="1:8" ht="14.25">
      <c r="A45">
        <v>1391</v>
      </c>
      <c r="B45" t="s">
        <v>97</v>
      </c>
      <c r="C45" t="s">
        <v>98</v>
      </c>
      <c r="D45" t="s">
        <v>23</v>
      </c>
      <c r="E45" t="s">
        <v>30</v>
      </c>
      <c r="F45" t="s">
        <v>25</v>
      </c>
      <c r="H45" s="3">
        <v>46154</v>
      </c>
    </row>
    <row r="46" spans="1:8" ht="14.25">
      <c r="A46">
        <v>704</v>
      </c>
      <c r="B46" t="s">
        <v>99</v>
      </c>
      <c r="C46" t="s">
        <v>100</v>
      </c>
      <c r="D46" t="s">
        <v>23</v>
      </c>
      <c r="E46" t="s">
        <v>24</v>
      </c>
      <c r="F46" t="s">
        <v>27</v>
      </c>
      <c r="G46">
        <v>21</v>
      </c>
      <c r="H46" s="3">
        <v>46154</v>
      </c>
    </row>
    <row r="47" spans="1:8" ht="14.25">
      <c r="A47">
        <v>1283</v>
      </c>
      <c r="B47" t="s">
        <v>101</v>
      </c>
      <c r="C47" t="s">
        <v>102</v>
      </c>
      <c r="D47" t="s">
        <v>23</v>
      </c>
      <c r="E47" t="s">
        <v>24</v>
      </c>
      <c r="F47" t="s">
        <v>27</v>
      </c>
      <c r="G47">
        <v>18</v>
      </c>
      <c r="H47" s="3">
        <v>46154</v>
      </c>
    </row>
    <row r="48" spans="1:8" ht="14.25">
      <c r="A48">
        <v>295</v>
      </c>
      <c r="B48" t="s">
        <v>103</v>
      </c>
      <c r="C48" t="s">
        <v>104</v>
      </c>
      <c r="D48" t="s">
        <v>23</v>
      </c>
      <c r="E48" t="s">
        <v>24</v>
      </c>
      <c r="F48" t="s">
        <v>27</v>
      </c>
      <c r="G48">
        <v>15</v>
      </c>
      <c r="H48" s="3">
        <v>46154</v>
      </c>
    </row>
    <row r="49" spans="1:8" ht="14.25">
      <c r="A49">
        <v>1226</v>
      </c>
      <c r="B49" t="s">
        <v>105</v>
      </c>
      <c r="C49" t="s">
        <v>106</v>
      </c>
      <c r="D49" t="s">
        <v>23</v>
      </c>
      <c r="E49" t="s">
        <v>30</v>
      </c>
      <c r="F49" t="s">
        <v>25</v>
      </c>
      <c r="H49" s="3">
        <v>46154</v>
      </c>
    </row>
    <row r="50" spans="1:8" ht="14.25">
      <c r="A50">
        <v>1333</v>
      </c>
      <c r="B50" t="s">
        <v>107</v>
      </c>
      <c r="C50" t="s">
        <v>108</v>
      </c>
      <c r="D50" t="s">
        <v>23</v>
      </c>
      <c r="E50" t="s">
        <v>24</v>
      </c>
      <c r="F50" t="s">
        <v>27</v>
      </c>
      <c r="G50">
        <v>3</v>
      </c>
      <c r="H50" s="3">
        <v>46154</v>
      </c>
    </row>
    <row r="51" spans="1:8" ht="14.25">
      <c r="A51">
        <v>1185</v>
      </c>
      <c r="B51" t="s">
        <v>109</v>
      </c>
      <c r="C51" t="s">
        <v>110</v>
      </c>
      <c r="D51" t="s">
        <v>23</v>
      </c>
      <c r="E51" t="s">
        <v>30</v>
      </c>
      <c r="F51" t="s">
        <v>35</v>
      </c>
      <c r="H51" s="3">
        <v>46154</v>
      </c>
    </row>
    <row r="52" spans="1:8" ht="14.25">
      <c r="A52">
        <v>1065</v>
      </c>
      <c r="B52" t="s">
        <v>109</v>
      </c>
      <c r="C52" t="s">
        <v>41</v>
      </c>
      <c r="D52" t="s">
        <v>23</v>
      </c>
      <c r="E52" t="s">
        <v>24</v>
      </c>
      <c r="F52" t="s">
        <v>27</v>
      </c>
      <c r="G52">
        <v>1</v>
      </c>
      <c r="H52" s="3">
        <v>46154</v>
      </c>
    </row>
    <row r="53" spans="1:8" ht="14.25">
      <c r="A53">
        <v>1407</v>
      </c>
      <c r="B53" t="s">
        <v>111</v>
      </c>
      <c r="C53" t="s">
        <v>112</v>
      </c>
      <c r="D53" t="s">
        <v>23</v>
      </c>
      <c r="E53" t="s">
        <v>24</v>
      </c>
      <c r="F53" t="s">
        <v>25</v>
      </c>
      <c r="H53" s="3">
        <v>46154</v>
      </c>
    </row>
    <row r="54" spans="1:8" ht="14.25">
      <c r="A54">
        <v>1096</v>
      </c>
      <c r="B54" t="s">
        <v>113</v>
      </c>
      <c r="C54" t="s">
        <v>114</v>
      </c>
      <c r="D54" t="s">
        <v>23</v>
      </c>
      <c r="E54" t="s">
        <v>24</v>
      </c>
      <c r="F54" t="s">
        <v>35</v>
      </c>
      <c r="H54" s="3">
        <v>46154</v>
      </c>
    </row>
    <row r="55" spans="1:8" ht="14.25">
      <c r="A55">
        <v>1236</v>
      </c>
      <c r="B55" t="s">
        <v>113</v>
      </c>
      <c r="C55" t="s">
        <v>115</v>
      </c>
      <c r="D55" t="s">
        <v>23</v>
      </c>
      <c r="E55" t="s">
        <v>30</v>
      </c>
      <c r="F55" t="s">
        <v>27</v>
      </c>
      <c r="G55">
        <v>5</v>
      </c>
      <c r="H55" s="3">
        <v>46154</v>
      </c>
    </row>
    <row r="56" spans="1:8" ht="14.25">
      <c r="A56">
        <v>699</v>
      </c>
      <c r="B56" t="s">
        <v>113</v>
      </c>
      <c r="C56" t="s">
        <v>116</v>
      </c>
      <c r="D56" t="s">
        <v>23</v>
      </c>
      <c r="E56" t="s">
        <v>24</v>
      </c>
      <c r="F56" t="s">
        <v>27</v>
      </c>
      <c r="G56">
        <v>5</v>
      </c>
      <c r="H56" s="3">
        <v>46154</v>
      </c>
    </row>
    <row r="57" spans="1:8" ht="14.25">
      <c r="A57">
        <v>1000</v>
      </c>
      <c r="B57" t="s">
        <v>120</v>
      </c>
      <c r="C57" t="s">
        <v>121</v>
      </c>
      <c r="D57" t="s">
        <v>23</v>
      </c>
      <c r="E57" t="s">
        <v>24</v>
      </c>
      <c r="F57" t="s">
        <v>25</v>
      </c>
      <c r="H57" s="3">
        <v>46154</v>
      </c>
    </row>
    <row r="58" spans="1:8" ht="14.25">
      <c r="A58">
        <v>1332</v>
      </c>
      <c r="B58" t="s">
        <v>122</v>
      </c>
      <c r="C58" t="s">
        <v>123</v>
      </c>
      <c r="D58" t="s">
        <v>23</v>
      </c>
      <c r="E58" t="s">
        <v>30</v>
      </c>
      <c r="F58" t="s">
        <v>25</v>
      </c>
      <c r="H58" s="3">
        <v>46154</v>
      </c>
    </row>
    <row r="59" spans="1:8" ht="14.25">
      <c r="A59">
        <v>682</v>
      </c>
      <c r="B59" t="s">
        <v>124</v>
      </c>
      <c r="C59" t="s">
        <v>125</v>
      </c>
      <c r="D59" t="s">
        <v>23</v>
      </c>
      <c r="E59" t="s">
        <v>24</v>
      </c>
      <c r="F59" t="s">
        <v>27</v>
      </c>
      <c r="G59">
        <v>11</v>
      </c>
      <c r="H59" s="3">
        <v>46154</v>
      </c>
    </row>
    <row r="60" spans="1:8" ht="14.25">
      <c r="A60">
        <v>1393</v>
      </c>
      <c r="B60" t="s">
        <v>126</v>
      </c>
      <c r="C60" t="s">
        <v>127</v>
      </c>
      <c r="D60" t="s">
        <v>23</v>
      </c>
      <c r="E60" t="s">
        <v>30</v>
      </c>
      <c r="F60" t="s">
        <v>27</v>
      </c>
      <c r="G60">
        <v>10</v>
      </c>
      <c r="H60" s="3">
        <v>46154</v>
      </c>
    </row>
    <row r="61" spans="1:8" ht="14.25">
      <c r="A61">
        <v>1355</v>
      </c>
      <c r="B61" t="s">
        <v>128</v>
      </c>
      <c r="C61" t="s">
        <v>129</v>
      </c>
      <c r="D61" t="s">
        <v>23</v>
      </c>
      <c r="E61" t="s">
        <v>24</v>
      </c>
      <c r="F61" t="s">
        <v>35</v>
      </c>
      <c r="H61" s="3">
        <v>46154</v>
      </c>
    </row>
    <row r="62" spans="1:8" ht="14.25">
      <c r="A62">
        <v>1164</v>
      </c>
      <c r="B62" t="s">
        <v>130</v>
      </c>
      <c r="C62" t="s">
        <v>131</v>
      </c>
      <c r="D62" t="s">
        <v>54</v>
      </c>
      <c r="E62" t="s">
        <v>30</v>
      </c>
      <c r="F62" t="s">
        <v>25</v>
      </c>
      <c r="H62" s="3">
        <v>46154</v>
      </c>
    </row>
    <row r="63" spans="1:8" ht="14.25">
      <c r="A63">
        <v>1062</v>
      </c>
      <c r="B63" t="s">
        <v>130</v>
      </c>
      <c r="C63" t="s">
        <v>83</v>
      </c>
      <c r="D63" t="s">
        <v>23</v>
      </c>
      <c r="E63" t="s">
        <v>24</v>
      </c>
      <c r="F63" t="s">
        <v>27</v>
      </c>
      <c r="G63">
        <v>9</v>
      </c>
      <c r="H63" s="3">
        <v>46154</v>
      </c>
    </row>
    <row r="64" spans="1:8" ht="14.25">
      <c r="A64">
        <v>938</v>
      </c>
      <c r="B64" t="s">
        <v>130</v>
      </c>
      <c r="C64" t="s">
        <v>132</v>
      </c>
      <c r="D64" t="s">
        <v>23</v>
      </c>
      <c r="E64" t="s">
        <v>30</v>
      </c>
      <c r="F64" t="s">
        <v>27</v>
      </c>
      <c r="G64">
        <v>7</v>
      </c>
      <c r="H64" s="3">
        <v>46154</v>
      </c>
    </row>
    <row r="65" spans="1:8" ht="14.25">
      <c r="A65">
        <v>1427</v>
      </c>
      <c r="B65" t="s">
        <v>130</v>
      </c>
      <c r="C65" t="s">
        <v>133</v>
      </c>
      <c r="D65" t="s">
        <v>23</v>
      </c>
      <c r="E65" t="s">
        <v>30</v>
      </c>
      <c r="F65" t="s">
        <v>27</v>
      </c>
      <c r="G65">
        <v>16</v>
      </c>
      <c r="H65" s="3">
        <v>46154</v>
      </c>
    </row>
    <row r="66" spans="1:8" ht="14.25">
      <c r="A66">
        <v>1034</v>
      </c>
      <c r="B66" t="s">
        <v>134</v>
      </c>
      <c r="C66" t="s">
        <v>83</v>
      </c>
      <c r="D66" t="s">
        <v>23</v>
      </c>
      <c r="E66" t="s">
        <v>24</v>
      </c>
      <c r="F66" t="s">
        <v>25</v>
      </c>
      <c r="H66" s="3">
        <v>46154</v>
      </c>
    </row>
    <row r="67" spans="1:8" ht="14.25">
      <c r="A67">
        <v>1402</v>
      </c>
      <c r="B67" t="s">
        <v>135</v>
      </c>
      <c r="C67" t="s">
        <v>136</v>
      </c>
      <c r="D67" t="s">
        <v>23</v>
      </c>
      <c r="E67" t="s">
        <v>24</v>
      </c>
      <c r="F67" t="s">
        <v>27</v>
      </c>
      <c r="G67">
        <v>7</v>
      </c>
      <c r="H67" s="3">
        <v>46154</v>
      </c>
    </row>
    <row r="68" spans="1:8" ht="14.25">
      <c r="A68">
        <v>939</v>
      </c>
      <c r="B68" t="s">
        <v>137</v>
      </c>
      <c r="C68" t="s">
        <v>127</v>
      </c>
      <c r="D68" t="s">
        <v>23</v>
      </c>
      <c r="E68" t="s">
        <v>30</v>
      </c>
      <c r="F68" t="s">
        <v>27</v>
      </c>
      <c r="G68">
        <v>12</v>
      </c>
      <c r="H68" s="3">
        <v>46154</v>
      </c>
    </row>
    <row r="69" spans="1:8" ht="14.25">
      <c r="A69">
        <v>1377</v>
      </c>
      <c r="B69" t="s">
        <v>138</v>
      </c>
      <c r="C69" t="s">
        <v>139</v>
      </c>
      <c r="D69" t="s">
        <v>23</v>
      </c>
      <c r="E69" t="s">
        <v>30</v>
      </c>
      <c r="F69" t="s">
        <v>27</v>
      </c>
      <c r="G69">
        <v>12</v>
      </c>
      <c r="H69" s="3">
        <v>46154</v>
      </c>
    </row>
    <row r="70" spans="1:8" ht="14.25">
      <c r="A70">
        <v>1281</v>
      </c>
      <c r="B70" t="s">
        <v>140</v>
      </c>
      <c r="C70" t="s">
        <v>141</v>
      </c>
      <c r="D70" t="s">
        <v>23</v>
      </c>
      <c r="E70" t="s">
        <v>24</v>
      </c>
      <c r="F70" t="s">
        <v>27</v>
      </c>
      <c r="G70">
        <v>19</v>
      </c>
      <c r="H70" s="3">
        <v>46154</v>
      </c>
    </row>
    <row r="71" spans="1:8" ht="14.25">
      <c r="A71">
        <v>933</v>
      </c>
      <c r="B71" t="s">
        <v>142</v>
      </c>
      <c r="C71" t="s">
        <v>143</v>
      </c>
      <c r="D71" t="s">
        <v>23</v>
      </c>
      <c r="E71" t="s">
        <v>24</v>
      </c>
      <c r="F71" t="s">
        <v>25</v>
      </c>
      <c r="H71" s="3">
        <v>46154</v>
      </c>
    </row>
    <row r="72" spans="1:8" ht="14.25">
      <c r="A72">
        <v>1274</v>
      </c>
      <c r="B72" t="s">
        <v>144</v>
      </c>
      <c r="C72" t="s">
        <v>145</v>
      </c>
      <c r="D72" t="s">
        <v>23</v>
      </c>
      <c r="E72" t="s">
        <v>30</v>
      </c>
      <c r="F72" t="s">
        <v>25</v>
      </c>
      <c r="H72" s="3">
        <v>46154</v>
      </c>
    </row>
    <row r="73" spans="1:8" ht="14.25">
      <c r="A73">
        <v>493</v>
      </c>
      <c r="B73" t="s">
        <v>146</v>
      </c>
      <c r="C73" t="s">
        <v>49</v>
      </c>
      <c r="D73" t="s">
        <v>48</v>
      </c>
      <c r="E73" t="s">
        <v>24</v>
      </c>
      <c r="F73" t="s">
        <v>27</v>
      </c>
      <c r="G73">
        <v>37</v>
      </c>
      <c r="H73" s="3">
        <v>46154</v>
      </c>
    </row>
    <row r="74" spans="1:8" ht="14.25">
      <c r="A74">
        <v>1279</v>
      </c>
      <c r="B74" t="s">
        <v>147</v>
      </c>
      <c r="C74" t="s">
        <v>148</v>
      </c>
      <c r="D74" t="s">
        <v>23</v>
      </c>
      <c r="E74" t="s">
        <v>24</v>
      </c>
      <c r="F74" t="s">
        <v>27</v>
      </c>
      <c r="G74">
        <v>4</v>
      </c>
      <c r="H74" s="3">
        <v>46154</v>
      </c>
    </row>
    <row r="75" spans="1:8" ht="14.25">
      <c r="A75">
        <v>1193</v>
      </c>
      <c r="B75" t="s">
        <v>149</v>
      </c>
      <c r="C75" t="s">
        <v>150</v>
      </c>
      <c r="D75" t="s">
        <v>23</v>
      </c>
      <c r="E75" t="s">
        <v>24</v>
      </c>
      <c r="F75" t="s">
        <v>25</v>
      </c>
      <c r="H75" s="3">
        <v>46154</v>
      </c>
    </row>
    <row r="76" spans="1:8" ht="14.25">
      <c r="A76">
        <v>1194</v>
      </c>
      <c r="B76" t="s">
        <v>149</v>
      </c>
      <c r="C76" t="s">
        <v>151</v>
      </c>
      <c r="D76" t="s">
        <v>23</v>
      </c>
      <c r="E76" t="s">
        <v>30</v>
      </c>
      <c r="F76" t="s">
        <v>25</v>
      </c>
      <c r="H76" s="3">
        <v>46154</v>
      </c>
    </row>
    <row r="77" spans="1:8" ht="14.25">
      <c r="A77">
        <v>1196</v>
      </c>
      <c r="B77" t="s">
        <v>149</v>
      </c>
      <c r="C77" t="s">
        <v>152</v>
      </c>
      <c r="D77" t="s">
        <v>23</v>
      </c>
      <c r="E77" t="s">
        <v>24</v>
      </c>
      <c r="F77" t="s">
        <v>35</v>
      </c>
      <c r="H77" s="3">
        <v>46154</v>
      </c>
    </row>
    <row r="78" spans="1:8" ht="14.25">
      <c r="A78">
        <v>1195</v>
      </c>
      <c r="B78" t="s">
        <v>149</v>
      </c>
      <c r="C78" t="s">
        <v>153</v>
      </c>
      <c r="D78" t="s">
        <v>23</v>
      </c>
      <c r="E78" t="s">
        <v>24</v>
      </c>
      <c r="F78" t="s">
        <v>35</v>
      </c>
      <c r="H78" s="3">
        <v>46154</v>
      </c>
    </row>
    <row r="79" spans="1:8" ht="14.25">
      <c r="A79">
        <v>1176</v>
      </c>
      <c r="B79" t="s">
        <v>154</v>
      </c>
      <c r="C79" t="s">
        <v>155</v>
      </c>
      <c r="D79" t="s">
        <v>23</v>
      </c>
      <c r="E79" t="s">
        <v>24</v>
      </c>
      <c r="F79" t="s">
        <v>35</v>
      </c>
      <c r="H79" s="3">
        <v>46154</v>
      </c>
    </row>
    <row r="80" spans="1:8" ht="14.25">
      <c r="A80">
        <v>1174</v>
      </c>
      <c r="B80" t="s">
        <v>154</v>
      </c>
      <c r="C80" t="s">
        <v>156</v>
      </c>
      <c r="D80" t="s">
        <v>23</v>
      </c>
      <c r="E80" t="s">
        <v>30</v>
      </c>
      <c r="F80" t="s">
        <v>27</v>
      </c>
      <c r="G80">
        <v>6</v>
      </c>
      <c r="H80" s="3">
        <v>46154</v>
      </c>
    </row>
    <row r="81" spans="1:8" ht="14.25">
      <c r="A81">
        <v>1175</v>
      </c>
      <c r="B81" t="s">
        <v>154</v>
      </c>
      <c r="C81" t="s">
        <v>150</v>
      </c>
      <c r="D81" t="s">
        <v>23</v>
      </c>
      <c r="E81" t="s">
        <v>24</v>
      </c>
      <c r="F81" t="s">
        <v>27</v>
      </c>
      <c r="G81">
        <v>12</v>
      </c>
      <c r="H81" s="3">
        <v>46154</v>
      </c>
    </row>
    <row r="82" spans="1:8" ht="14.25">
      <c r="A82">
        <v>1109</v>
      </c>
      <c r="B82" t="s">
        <v>157</v>
      </c>
      <c r="C82" t="s">
        <v>104</v>
      </c>
      <c r="D82" t="s">
        <v>23</v>
      </c>
      <c r="E82" t="s">
        <v>24</v>
      </c>
      <c r="F82" t="s">
        <v>25</v>
      </c>
      <c r="H82" s="3">
        <v>46154</v>
      </c>
    </row>
    <row r="83" spans="1:8" ht="14.25">
      <c r="A83">
        <v>1073</v>
      </c>
      <c r="B83" t="s">
        <v>158</v>
      </c>
      <c r="C83" t="s">
        <v>150</v>
      </c>
      <c r="D83" t="s">
        <v>23</v>
      </c>
      <c r="E83" t="s">
        <v>24</v>
      </c>
      <c r="F83" t="s">
        <v>27</v>
      </c>
      <c r="G83">
        <v>3</v>
      </c>
      <c r="H83" s="3">
        <v>46154</v>
      </c>
    </row>
    <row r="84" spans="1:8" ht="14.25">
      <c r="A84">
        <v>1400</v>
      </c>
      <c r="B84" t="s">
        <v>159</v>
      </c>
      <c r="C84" t="s">
        <v>160</v>
      </c>
      <c r="D84" t="s">
        <v>23</v>
      </c>
      <c r="E84" t="s">
        <v>24</v>
      </c>
      <c r="F84" t="s">
        <v>25</v>
      </c>
      <c r="H84" s="3">
        <v>46154</v>
      </c>
    </row>
    <row r="85" spans="1:8" ht="14.25">
      <c r="A85">
        <v>1367</v>
      </c>
      <c r="B85" t="s">
        <v>161</v>
      </c>
      <c r="C85" t="s">
        <v>152</v>
      </c>
      <c r="D85" t="s">
        <v>23</v>
      </c>
      <c r="E85" t="s">
        <v>24</v>
      </c>
      <c r="F85" t="s">
        <v>35</v>
      </c>
      <c r="H85" s="3">
        <v>46154</v>
      </c>
    </row>
    <row r="86" spans="1:8" ht="14.25">
      <c r="A86">
        <v>1366</v>
      </c>
      <c r="B86" t="s">
        <v>161</v>
      </c>
      <c r="C86" t="s">
        <v>162</v>
      </c>
      <c r="D86" t="s">
        <v>23</v>
      </c>
      <c r="E86" t="s">
        <v>30</v>
      </c>
      <c r="F86" t="s">
        <v>25</v>
      </c>
      <c r="H86" s="3">
        <v>46154</v>
      </c>
    </row>
    <row r="87" spans="1:8" ht="14.25">
      <c r="A87">
        <v>1365</v>
      </c>
      <c r="B87" t="s">
        <v>161</v>
      </c>
      <c r="C87" t="s">
        <v>163</v>
      </c>
      <c r="D87" t="s">
        <v>23</v>
      </c>
      <c r="E87" t="s">
        <v>30</v>
      </c>
      <c r="F87" t="s">
        <v>27</v>
      </c>
      <c r="G87">
        <v>7</v>
      </c>
      <c r="H87" s="3">
        <v>46154</v>
      </c>
    </row>
    <row r="88" spans="1:8" ht="14.25">
      <c r="A88">
        <v>897</v>
      </c>
      <c r="B88" t="s">
        <v>161</v>
      </c>
      <c r="C88" t="s">
        <v>164</v>
      </c>
      <c r="D88" t="s">
        <v>23</v>
      </c>
      <c r="E88" t="s">
        <v>24</v>
      </c>
      <c r="F88" t="s">
        <v>27</v>
      </c>
      <c r="G88">
        <v>13</v>
      </c>
      <c r="H88" s="3">
        <v>46154</v>
      </c>
    </row>
    <row r="89" spans="1:8" ht="14.25">
      <c r="A89">
        <v>1308</v>
      </c>
      <c r="B89" t="s">
        <v>165</v>
      </c>
      <c r="C89" t="s">
        <v>166</v>
      </c>
      <c r="D89" t="s">
        <v>23</v>
      </c>
      <c r="E89" t="s">
        <v>30</v>
      </c>
      <c r="F89" t="s">
        <v>27</v>
      </c>
      <c r="G89">
        <v>2</v>
      </c>
      <c r="H89" s="3">
        <v>46154</v>
      </c>
    </row>
    <row r="90" spans="1:8" ht="14.25">
      <c r="A90">
        <v>1206</v>
      </c>
      <c r="B90" t="s">
        <v>167</v>
      </c>
      <c r="C90" t="s">
        <v>168</v>
      </c>
      <c r="D90" t="s">
        <v>23</v>
      </c>
      <c r="E90" t="s">
        <v>30</v>
      </c>
      <c r="F90" t="s">
        <v>27</v>
      </c>
      <c r="G90">
        <v>8</v>
      </c>
      <c r="H90" s="3">
        <v>46154</v>
      </c>
    </row>
    <row r="91" spans="1:8" ht="14.25">
      <c r="A91">
        <v>1205</v>
      </c>
      <c r="B91" t="s">
        <v>167</v>
      </c>
      <c r="C91" t="s">
        <v>66</v>
      </c>
      <c r="D91" t="s">
        <v>23</v>
      </c>
      <c r="E91" t="s">
        <v>24</v>
      </c>
      <c r="F91" t="s">
        <v>27</v>
      </c>
      <c r="G91">
        <v>14</v>
      </c>
      <c r="H91" s="3">
        <v>46154</v>
      </c>
    </row>
    <row r="92" spans="1:8" ht="14.25">
      <c r="A92">
        <v>1406</v>
      </c>
      <c r="B92" t="s">
        <v>169</v>
      </c>
      <c r="C92" t="s">
        <v>170</v>
      </c>
      <c r="D92" t="s">
        <v>23</v>
      </c>
      <c r="E92" t="s">
        <v>24</v>
      </c>
      <c r="F92" t="s">
        <v>27</v>
      </c>
      <c r="G92">
        <v>9</v>
      </c>
      <c r="H92" s="3">
        <v>46154</v>
      </c>
    </row>
    <row r="93" spans="1:8" ht="14.25">
      <c r="A93">
        <v>1182</v>
      </c>
      <c r="B93" t="s">
        <v>171</v>
      </c>
      <c r="C93" t="s">
        <v>136</v>
      </c>
      <c r="D93" t="s">
        <v>23</v>
      </c>
      <c r="E93" t="s">
        <v>24</v>
      </c>
      <c r="F93" t="s">
        <v>27</v>
      </c>
      <c r="G93">
        <v>8</v>
      </c>
      <c r="H93" s="3">
        <v>46154</v>
      </c>
    </row>
    <row r="94" spans="1:8" ht="14.25">
      <c r="A94">
        <v>1340</v>
      </c>
      <c r="B94" t="s">
        <v>172</v>
      </c>
      <c r="C94" t="s">
        <v>173</v>
      </c>
      <c r="D94" t="s">
        <v>23</v>
      </c>
      <c r="E94" t="s">
        <v>24</v>
      </c>
      <c r="F94" t="s">
        <v>27</v>
      </c>
      <c r="G94">
        <v>8</v>
      </c>
      <c r="H94" s="3">
        <v>46154</v>
      </c>
    </row>
    <row r="95" spans="1:8" ht="14.25">
      <c r="A95">
        <v>21</v>
      </c>
      <c r="B95" t="s">
        <v>174</v>
      </c>
      <c r="C95" t="s">
        <v>175</v>
      </c>
      <c r="D95" t="s">
        <v>23</v>
      </c>
      <c r="E95" t="s">
        <v>24</v>
      </c>
      <c r="F95" t="s">
        <v>25</v>
      </c>
      <c r="H95" s="3">
        <v>46154</v>
      </c>
    </row>
    <row r="96" spans="1:8" ht="14.25">
      <c r="A96">
        <v>1049</v>
      </c>
      <c r="B96" t="s">
        <v>176</v>
      </c>
      <c r="C96" t="s">
        <v>177</v>
      </c>
      <c r="D96" t="s">
        <v>23</v>
      </c>
      <c r="E96" t="s">
        <v>24</v>
      </c>
      <c r="F96" t="s">
        <v>27</v>
      </c>
      <c r="G96">
        <v>19</v>
      </c>
      <c r="H96" s="3">
        <v>46154</v>
      </c>
    </row>
    <row r="97" spans="1:8" ht="14.25">
      <c r="A97">
        <v>120</v>
      </c>
      <c r="B97" t="s">
        <v>178</v>
      </c>
      <c r="C97" t="s">
        <v>179</v>
      </c>
      <c r="D97" t="s">
        <v>23</v>
      </c>
      <c r="E97" t="s">
        <v>30</v>
      </c>
      <c r="F97" t="s">
        <v>27</v>
      </c>
      <c r="G97">
        <v>12</v>
      </c>
      <c r="H97" s="3">
        <v>46154</v>
      </c>
    </row>
    <row r="98" spans="1:8" ht="14.25">
      <c r="A98">
        <v>990</v>
      </c>
      <c r="B98" t="s">
        <v>180</v>
      </c>
      <c r="C98" t="s">
        <v>87</v>
      </c>
      <c r="D98" t="s">
        <v>23</v>
      </c>
      <c r="E98" t="s">
        <v>30</v>
      </c>
      <c r="F98" t="s">
        <v>27</v>
      </c>
      <c r="G98">
        <v>10</v>
      </c>
      <c r="H98" s="3">
        <v>46154</v>
      </c>
    </row>
    <row r="99" spans="1:8" ht="14.25">
      <c r="A99">
        <v>1395</v>
      </c>
      <c r="B99" t="s">
        <v>181</v>
      </c>
      <c r="C99" t="s">
        <v>182</v>
      </c>
      <c r="D99" t="s">
        <v>23</v>
      </c>
      <c r="E99" t="s">
        <v>30</v>
      </c>
      <c r="F99" t="s">
        <v>35</v>
      </c>
      <c r="H99" s="3">
        <v>46154</v>
      </c>
    </row>
    <row r="100" spans="1:8" ht="14.25">
      <c r="A100">
        <v>1158</v>
      </c>
      <c r="B100" t="s">
        <v>183</v>
      </c>
      <c r="C100" t="s">
        <v>184</v>
      </c>
      <c r="D100" t="s">
        <v>23</v>
      </c>
      <c r="E100" t="s">
        <v>30</v>
      </c>
      <c r="F100" t="s">
        <v>25</v>
      </c>
      <c r="H100" s="3">
        <v>46154</v>
      </c>
    </row>
    <row r="101" spans="1:8" ht="14.25">
      <c r="A101">
        <v>23</v>
      </c>
      <c r="B101" t="s">
        <v>185</v>
      </c>
      <c r="C101" t="s">
        <v>100</v>
      </c>
      <c r="D101" t="s">
        <v>23</v>
      </c>
      <c r="E101" t="s">
        <v>24</v>
      </c>
      <c r="F101" t="s">
        <v>27</v>
      </c>
      <c r="G101">
        <v>10</v>
      </c>
      <c r="H101" s="3">
        <v>46154</v>
      </c>
    </row>
    <row r="102" spans="1:8" ht="14.25">
      <c r="A102">
        <v>1152</v>
      </c>
      <c r="B102" t="s">
        <v>186</v>
      </c>
      <c r="C102" t="s">
        <v>187</v>
      </c>
      <c r="D102" t="s">
        <v>54</v>
      </c>
      <c r="E102" t="s">
        <v>30</v>
      </c>
      <c r="F102" t="s">
        <v>188</v>
      </c>
      <c r="H102" s="3">
        <v>46154</v>
      </c>
    </row>
    <row r="103" spans="1:8" ht="14.25">
      <c r="A103">
        <v>581</v>
      </c>
      <c r="B103" t="s">
        <v>189</v>
      </c>
      <c r="C103" t="s">
        <v>190</v>
      </c>
      <c r="D103" t="s">
        <v>23</v>
      </c>
      <c r="E103" t="s">
        <v>24</v>
      </c>
      <c r="F103" t="s">
        <v>27</v>
      </c>
      <c r="G103">
        <v>13</v>
      </c>
      <c r="H103" s="3">
        <v>46154</v>
      </c>
    </row>
    <row r="104" spans="1:8" ht="14.25">
      <c r="A104">
        <v>1374</v>
      </c>
      <c r="B104" t="s">
        <v>191</v>
      </c>
      <c r="C104" t="s">
        <v>192</v>
      </c>
      <c r="D104" t="s">
        <v>23</v>
      </c>
      <c r="E104" t="s">
        <v>24</v>
      </c>
      <c r="F104" t="s">
        <v>25</v>
      </c>
      <c r="H104" s="3">
        <v>46154</v>
      </c>
    </row>
    <row r="105" spans="1:8" ht="14.25">
      <c r="A105">
        <v>25</v>
      </c>
      <c r="B105" t="s">
        <v>22</v>
      </c>
      <c r="C105" t="s">
        <v>193</v>
      </c>
      <c r="D105" t="s">
        <v>23</v>
      </c>
      <c r="E105" t="s">
        <v>24</v>
      </c>
      <c r="F105" t="s">
        <v>27</v>
      </c>
      <c r="G105">
        <v>8</v>
      </c>
      <c r="H105" s="3">
        <v>46154</v>
      </c>
    </row>
    <row r="106" spans="1:8" ht="14.25">
      <c r="A106">
        <v>1257</v>
      </c>
      <c r="B106" t="s">
        <v>194</v>
      </c>
      <c r="C106" t="s">
        <v>150</v>
      </c>
      <c r="D106" t="s">
        <v>54</v>
      </c>
      <c r="E106" t="s">
        <v>24</v>
      </c>
      <c r="F106" t="s">
        <v>25</v>
      </c>
      <c r="H106" s="3">
        <v>46154</v>
      </c>
    </row>
    <row r="107" spans="1:8" ht="14.25">
      <c r="A107">
        <v>415</v>
      </c>
      <c r="B107" t="s">
        <v>195</v>
      </c>
      <c r="C107" t="s">
        <v>196</v>
      </c>
      <c r="D107" t="s">
        <v>23</v>
      </c>
      <c r="E107" t="s">
        <v>24</v>
      </c>
      <c r="F107" t="s">
        <v>27</v>
      </c>
      <c r="G107">
        <v>6</v>
      </c>
      <c r="H107" s="3">
        <v>46154</v>
      </c>
    </row>
    <row r="108" spans="1:8" ht="14.25">
      <c r="A108">
        <v>1144</v>
      </c>
      <c r="B108" t="s">
        <v>195</v>
      </c>
      <c r="C108" t="s">
        <v>197</v>
      </c>
      <c r="D108" t="s">
        <v>54</v>
      </c>
      <c r="E108" t="s">
        <v>24</v>
      </c>
      <c r="F108" t="s">
        <v>188</v>
      </c>
      <c r="H108" s="3">
        <v>46154</v>
      </c>
    </row>
    <row r="109" spans="1:8" ht="14.25">
      <c r="A109">
        <v>203</v>
      </c>
      <c r="B109" t="s">
        <v>200</v>
      </c>
      <c r="C109" t="s">
        <v>201</v>
      </c>
      <c r="D109" t="s">
        <v>23</v>
      </c>
      <c r="E109" t="s">
        <v>24</v>
      </c>
      <c r="F109" t="s">
        <v>27</v>
      </c>
      <c r="G109">
        <v>9</v>
      </c>
      <c r="H109" s="3">
        <v>46154</v>
      </c>
    </row>
    <row r="110" spans="1:8" ht="14.25">
      <c r="A110">
        <v>956</v>
      </c>
      <c r="B110" t="s">
        <v>202</v>
      </c>
      <c r="C110" t="s">
        <v>94</v>
      </c>
      <c r="D110" t="s">
        <v>23</v>
      </c>
      <c r="E110" t="s">
        <v>24</v>
      </c>
      <c r="F110" t="s">
        <v>27</v>
      </c>
      <c r="G110">
        <v>13</v>
      </c>
      <c r="H110" s="3">
        <v>46154</v>
      </c>
    </row>
    <row r="111" spans="1:8" ht="14.25">
      <c r="A111">
        <v>1273</v>
      </c>
      <c r="B111" t="s">
        <v>203</v>
      </c>
      <c r="C111" t="s">
        <v>204</v>
      </c>
      <c r="D111" t="s">
        <v>23</v>
      </c>
      <c r="E111" t="s">
        <v>30</v>
      </c>
      <c r="F111" t="s">
        <v>27</v>
      </c>
      <c r="G111">
        <v>22</v>
      </c>
      <c r="H111" s="3">
        <v>46154</v>
      </c>
    </row>
    <row r="112" spans="1:8" ht="14.25">
      <c r="A112">
        <v>1272</v>
      </c>
      <c r="B112" t="s">
        <v>203</v>
      </c>
      <c r="C112" t="s">
        <v>205</v>
      </c>
      <c r="D112" t="s">
        <v>23</v>
      </c>
      <c r="E112" t="s">
        <v>24</v>
      </c>
      <c r="F112" t="s">
        <v>27</v>
      </c>
      <c r="G112">
        <v>24</v>
      </c>
      <c r="H112" s="3">
        <v>46154</v>
      </c>
    </row>
    <row r="113" spans="1:8" ht="14.25">
      <c r="A113">
        <v>846</v>
      </c>
      <c r="B113" t="s">
        <v>206</v>
      </c>
      <c r="C113" t="s">
        <v>207</v>
      </c>
      <c r="D113" t="s">
        <v>23</v>
      </c>
      <c r="E113" t="s">
        <v>24</v>
      </c>
      <c r="F113" t="s">
        <v>27</v>
      </c>
      <c r="G113">
        <v>17</v>
      </c>
      <c r="H113" s="3">
        <v>46154</v>
      </c>
    </row>
    <row r="114" spans="1:8" ht="14.25">
      <c r="A114">
        <v>1162</v>
      </c>
      <c r="B114" t="s">
        <v>208</v>
      </c>
      <c r="C114" t="s">
        <v>150</v>
      </c>
      <c r="D114" t="s">
        <v>23</v>
      </c>
      <c r="E114" t="s">
        <v>24</v>
      </c>
      <c r="F114" t="s">
        <v>25</v>
      </c>
      <c r="H114" s="3">
        <v>46154</v>
      </c>
    </row>
    <row r="115" spans="1:8" ht="14.25">
      <c r="A115">
        <v>1244</v>
      </c>
      <c r="B115" t="s">
        <v>209</v>
      </c>
      <c r="C115" t="s">
        <v>94</v>
      </c>
      <c r="D115" t="s">
        <v>23</v>
      </c>
      <c r="E115" t="s">
        <v>24</v>
      </c>
      <c r="F115" t="s">
        <v>27</v>
      </c>
      <c r="G115">
        <v>2</v>
      </c>
      <c r="H115" s="3">
        <v>46154</v>
      </c>
    </row>
    <row r="116" spans="1:8" ht="14.25">
      <c r="A116">
        <v>1379</v>
      </c>
      <c r="B116" t="s">
        <v>209</v>
      </c>
      <c r="C116" t="s">
        <v>210</v>
      </c>
      <c r="D116" t="s">
        <v>23</v>
      </c>
      <c r="E116" t="s">
        <v>30</v>
      </c>
      <c r="F116" t="s">
        <v>25</v>
      </c>
      <c r="H116" s="3">
        <v>46154</v>
      </c>
    </row>
    <row r="117" spans="1:8" ht="14.25">
      <c r="A117">
        <v>1362</v>
      </c>
      <c r="B117" t="s">
        <v>211</v>
      </c>
      <c r="C117" t="s">
        <v>212</v>
      </c>
      <c r="D117" t="s">
        <v>23</v>
      </c>
      <c r="E117" t="s">
        <v>30</v>
      </c>
      <c r="F117" t="s">
        <v>27</v>
      </c>
      <c r="G117">
        <v>22</v>
      </c>
      <c r="H117" s="3">
        <v>46154</v>
      </c>
    </row>
    <row r="118" spans="1:8" ht="14.25">
      <c r="A118">
        <v>1403</v>
      </c>
      <c r="B118" t="s">
        <v>213</v>
      </c>
      <c r="C118" t="s">
        <v>214</v>
      </c>
      <c r="D118" t="s">
        <v>23</v>
      </c>
      <c r="E118" t="s">
        <v>24</v>
      </c>
      <c r="F118" t="s">
        <v>27</v>
      </c>
      <c r="G118">
        <v>8</v>
      </c>
      <c r="H118" s="3">
        <v>46154</v>
      </c>
    </row>
    <row r="119" spans="1:8" ht="14.25">
      <c r="A119">
        <v>1404</v>
      </c>
      <c r="B119" t="s">
        <v>213</v>
      </c>
      <c r="C119" t="s">
        <v>215</v>
      </c>
      <c r="D119" t="s">
        <v>23</v>
      </c>
      <c r="E119" t="s">
        <v>30</v>
      </c>
      <c r="F119" t="s">
        <v>25</v>
      </c>
      <c r="H119" s="3">
        <v>46154</v>
      </c>
    </row>
    <row r="120" spans="1:8" ht="14.25">
      <c r="A120">
        <v>1229</v>
      </c>
      <c r="B120" t="s">
        <v>216</v>
      </c>
      <c r="C120" t="s">
        <v>217</v>
      </c>
      <c r="D120" t="s">
        <v>23</v>
      </c>
      <c r="E120" t="s">
        <v>30</v>
      </c>
      <c r="F120" t="s">
        <v>25</v>
      </c>
      <c r="H120" s="3">
        <v>46154</v>
      </c>
    </row>
    <row r="121" spans="1:8" ht="14.25">
      <c r="A121">
        <v>1408</v>
      </c>
      <c r="B121" t="s">
        <v>218</v>
      </c>
      <c r="C121" t="s">
        <v>219</v>
      </c>
      <c r="D121" t="s">
        <v>23</v>
      </c>
      <c r="E121" t="s">
        <v>24</v>
      </c>
      <c r="F121" t="s">
        <v>27</v>
      </c>
      <c r="G121">
        <v>20</v>
      </c>
      <c r="H121" s="3">
        <v>46154</v>
      </c>
    </row>
    <row r="122" spans="1:8" ht="14.25">
      <c r="A122">
        <v>1409</v>
      </c>
      <c r="B122" t="s">
        <v>218</v>
      </c>
      <c r="C122" t="s">
        <v>220</v>
      </c>
      <c r="D122" t="s">
        <v>23</v>
      </c>
      <c r="E122" t="s">
        <v>30</v>
      </c>
      <c r="F122" t="s">
        <v>27</v>
      </c>
      <c r="G122">
        <v>15</v>
      </c>
      <c r="H122" s="3">
        <v>46154</v>
      </c>
    </row>
    <row r="123" spans="1:8" ht="14.25">
      <c r="A123">
        <v>1198</v>
      </c>
      <c r="B123" t="s">
        <v>221</v>
      </c>
      <c r="C123" t="s">
        <v>222</v>
      </c>
      <c r="D123" t="s">
        <v>23</v>
      </c>
      <c r="E123" t="s">
        <v>24</v>
      </c>
      <c r="F123" t="s">
        <v>27</v>
      </c>
      <c r="G123">
        <v>5</v>
      </c>
      <c r="H123" s="3">
        <v>46154</v>
      </c>
    </row>
    <row r="124" spans="1:8" ht="14.25">
      <c r="A124">
        <v>1260</v>
      </c>
      <c r="B124" t="s">
        <v>223</v>
      </c>
      <c r="C124" t="s">
        <v>82</v>
      </c>
      <c r="D124" t="s">
        <v>23</v>
      </c>
      <c r="E124" t="s">
        <v>30</v>
      </c>
      <c r="F124" t="s">
        <v>27</v>
      </c>
      <c r="G124">
        <v>15</v>
      </c>
      <c r="H124" s="3">
        <v>46154</v>
      </c>
    </row>
    <row r="125" spans="1:8" ht="14.25">
      <c r="A125">
        <v>1361</v>
      </c>
      <c r="B125" t="s">
        <v>224</v>
      </c>
      <c r="C125" t="s">
        <v>225</v>
      </c>
      <c r="D125" t="s">
        <v>23</v>
      </c>
      <c r="E125" t="s">
        <v>24</v>
      </c>
      <c r="F125" t="s">
        <v>27</v>
      </c>
      <c r="G125">
        <v>16</v>
      </c>
      <c r="H125" s="3">
        <v>46154</v>
      </c>
    </row>
    <row r="126" spans="1:8" ht="14.25">
      <c r="A126">
        <v>1100</v>
      </c>
      <c r="B126" t="s">
        <v>226</v>
      </c>
      <c r="C126" t="s">
        <v>34</v>
      </c>
      <c r="D126" t="s">
        <v>23</v>
      </c>
      <c r="E126" t="s">
        <v>24</v>
      </c>
      <c r="F126" t="s">
        <v>27</v>
      </c>
      <c r="G126">
        <v>13</v>
      </c>
      <c r="H126" s="3">
        <v>46154</v>
      </c>
    </row>
    <row r="127" spans="1:8" ht="14.25">
      <c r="A127">
        <v>1385</v>
      </c>
      <c r="B127" t="s">
        <v>227</v>
      </c>
      <c r="C127" t="s">
        <v>228</v>
      </c>
      <c r="D127" t="s">
        <v>23</v>
      </c>
      <c r="E127" t="s">
        <v>24</v>
      </c>
      <c r="F127" t="s">
        <v>25</v>
      </c>
      <c r="H127" s="3">
        <v>46154</v>
      </c>
    </row>
    <row r="128" spans="1:8" ht="14.25">
      <c r="A128">
        <v>1394</v>
      </c>
      <c r="B128" t="s">
        <v>227</v>
      </c>
      <c r="C128" t="s">
        <v>229</v>
      </c>
      <c r="D128" t="s">
        <v>23</v>
      </c>
      <c r="E128" t="s">
        <v>24</v>
      </c>
      <c r="F128" t="s">
        <v>35</v>
      </c>
      <c r="H128" s="3">
        <v>46154</v>
      </c>
    </row>
    <row r="129" spans="1:8" ht="14.25">
      <c r="A129">
        <v>1419</v>
      </c>
      <c r="B129" t="s">
        <v>230</v>
      </c>
      <c r="C129" t="s">
        <v>231</v>
      </c>
      <c r="D129" t="s">
        <v>23</v>
      </c>
      <c r="E129" t="s">
        <v>24</v>
      </c>
      <c r="F129" t="s">
        <v>25</v>
      </c>
      <c r="H129" s="3">
        <v>46154</v>
      </c>
    </row>
    <row r="130" spans="1:8" ht="14.25">
      <c r="A130">
        <v>967</v>
      </c>
      <c r="B130" t="s">
        <v>232</v>
      </c>
      <c r="C130" t="s">
        <v>152</v>
      </c>
      <c r="D130" t="s">
        <v>23</v>
      </c>
      <c r="E130" t="s">
        <v>24</v>
      </c>
      <c r="F130" t="s">
        <v>27</v>
      </c>
      <c r="G130">
        <v>5</v>
      </c>
      <c r="H130" s="3">
        <v>46154</v>
      </c>
    </row>
    <row r="131" spans="1:8" ht="14.25">
      <c r="A131">
        <v>1373</v>
      </c>
      <c r="B131" t="s">
        <v>233</v>
      </c>
      <c r="C131" t="s">
        <v>234</v>
      </c>
      <c r="D131" t="s">
        <v>23</v>
      </c>
      <c r="E131" t="s">
        <v>24</v>
      </c>
      <c r="F131" t="s">
        <v>27</v>
      </c>
      <c r="G131">
        <v>10</v>
      </c>
      <c r="H131" s="3">
        <v>46154</v>
      </c>
    </row>
    <row r="132" spans="1:8" ht="14.25">
      <c r="A132">
        <v>1045</v>
      </c>
      <c r="B132" t="s">
        <v>235</v>
      </c>
      <c r="C132" t="s">
        <v>236</v>
      </c>
      <c r="D132" t="s">
        <v>23</v>
      </c>
      <c r="E132" t="s">
        <v>30</v>
      </c>
      <c r="F132" t="s">
        <v>27</v>
      </c>
      <c r="G132">
        <v>5</v>
      </c>
      <c r="H132" s="3">
        <v>46154</v>
      </c>
    </row>
    <row r="133" spans="1:8" ht="14.25">
      <c r="A133">
        <v>1046</v>
      </c>
      <c r="B133" t="s">
        <v>235</v>
      </c>
      <c r="C133" t="s">
        <v>237</v>
      </c>
      <c r="D133" t="s">
        <v>23</v>
      </c>
      <c r="E133" t="s">
        <v>24</v>
      </c>
      <c r="F133" t="s">
        <v>27</v>
      </c>
      <c r="G133">
        <v>35</v>
      </c>
      <c r="H133" s="3">
        <v>46154</v>
      </c>
    </row>
    <row r="134" spans="1:8" ht="14.25">
      <c r="A134">
        <v>1396</v>
      </c>
      <c r="B134" t="s">
        <v>238</v>
      </c>
      <c r="C134" t="s">
        <v>59</v>
      </c>
      <c r="D134" t="s">
        <v>23</v>
      </c>
      <c r="E134" t="s">
        <v>24</v>
      </c>
      <c r="F134" t="s">
        <v>25</v>
      </c>
      <c r="H134" s="3">
        <v>46154</v>
      </c>
    </row>
    <row r="135" spans="1:8" ht="14.25">
      <c r="A135">
        <v>1397</v>
      </c>
      <c r="B135" t="s">
        <v>238</v>
      </c>
      <c r="C135" t="s">
        <v>239</v>
      </c>
      <c r="D135" t="s">
        <v>23</v>
      </c>
      <c r="E135" t="s">
        <v>30</v>
      </c>
      <c r="F135" t="s">
        <v>25</v>
      </c>
      <c r="H135" s="3">
        <v>46154</v>
      </c>
    </row>
    <row r="136" spans="1:8" ht="14.25">
      <c r="A136">
        <v>1398</v>
      </c>
      <c r="B136" t="s">
        <v>238</v>
      </c>
      <c r="C136" t="s">
        <v>49</v>
      </c>
      <c r="D136" t="s">
        <v>23</v>
      </c>
      <c r="E136" t="s">
        <v>24</v>
      </c>
      <c r="F136" t="s">
        <v>35</v>
      </c>
      <c r="H136" s="3">
        <v>46154</v>
      </c>
    </row>
    <row r="137" spans="1:8" ht="14.25">
      <c r="A137">
        <v>1399</v>
      </c>
      <c r="B137" t="s">
        <v>238</v>
      </c>
      <c r="C137" t="s">
        <v>131</v>
      </c>
      <c r="D137" t="s">
        <v>23</v>
      </c>
      <c r="E137" t="s">
        <v>30</v>
      </c>
      <c r="F137" t="s">
        <v>35</v>
      </c>
      <c r="H137" s="3">
        <v>46154</v>
      </c>
    </row>
    <row r="138" spans="1:8" ht="14.25">
      <c r="A138">
        <v>771</v>
      </c>
      <c r="B138" t="s">
        <v>240</v>
      </c>
      <c r="C138" t="s">
        <v>241</v>
      </c>
      <c r="D138" t="s">
        <v>23</v>
      </c>
      <c r="E138" t="s">
        <v>24</v>
      </c>
      <c r="F138" t="s">
        <v>27</v>
      </c>
      <c r="G138">
        <v>14</v>
      </c>
      <c r="H138" s="3">
        <v>46154</v>
      </c>
    </row>
    <row r="139" spans="1:8" ht="14.25">
      <c r="A139">
        <v>1265</v>
      </c>
      <c r="B139" t="s">
        <v>242</v>
      </c>
      <c r="C139" t="s">
        <v>243</v>
      </c>
      <c r="D139" t="s">
        <v>23</v>
      </c>
      <c r="E139" t="s">
        <v>24</v>
      </c>
      <c r="F139" t="s">
        <v>27</v>
      </c>
      <c r="G139">
        <v>20</v>
      </c>
      <c r="H139" s="3">
        <v>46154</v>
      </c>
    </row>
    <row r="140" spans="1:8" ht="14.25">
      <c r="A140">
        <v>532</v>
      </c>
      <c r="B140" t="s">
        <v>244</v>
      </c>
      <c r="C140" t="s">
        <v>243</v>
      </c>
      <c r="D140" t="s">
        <v>23</v>
      </c>
      <c r="E140" t="s">
        <v>24</v>
      </c>
      <c r="F140" t="s">
        <v>27</v>
      </c>
      <c r="G140">
        <v>13</v>
      </c>
      <c r="H140" s="3">
        <v>46154</v>
      </c>
    </row>
    <row r="141" spans="1:8" ht="14.25">
      <c r="A141">
        <v>742</v>
      </c>
      <c r="B141" t="s">
        <v>246</v>
      </c>
      <c r="C141" t="s">
        <v>156</v>
      </c>
      <c r="D141" t="s">
        <v>23</v>
      </c>
      <c r="E141" t="s">
        <v>30</v>
      </c>
      <c r="F141" t="s">
        <v>27</v>
      </c>
      <c r="G141">
        <v>2</v>
      </c>
      <c r="H141" s="3">
        <v>46154</v>
      </c>
    </row>
    <row r="142" spans="1:8" ht="14.25">
      <c r="A142">
        <v>741</v>
      </c>
      <c r="B142" t="s">
        <v>246</v>
      </c>
      <c r="C142" t="s">
        <v>247</v>
      </c>
      <c r="D142" t="s">
        <v>23</v>
      </c>
      <c r="E142" t="s">
        <v>24</v>
      </c>
      <c r="F142" t="s">
        <v>27</v>
      </c>
      <c r="G142">
        <v>4</v>
      </c>
      <c r="H142" s="3">
        <v>46154</v>
      </c>
    </row>
    <row r="143" spans="1:8" ht="14.25">
      <c r="A143">
        <v>1298</v>
      </c>
      <c r="B143" t="s">
        <v>246</v>
      </c>
      <c r="C143" t="s">
        <v>132</v>
      </c>
      <c r="D143" t="s">
        <v>23</v>
      </c>
      <c r="E143" t="s">
        <v>30</v>
      </c>
      <c r="F143" t="s">
        <v>27</v>
      </c>
      <c r="G143">
        <v>13</v>
      </c>
      <c r="H143" s="3">
        <v>46154</v>
      </c>
    </row>
    <row r="144" spans="1:8" ht="14.25">
      <c r="A144">
        <v>747</v>
      </c>
      <c r="B144" t="s">
        <v>246</v>
      </c>
      <c r="C144" t="s">
        <v>22</v>
      </c>
      <c r="D144" t="s">
        <v>23</v>
      </c>
      <c r="E144" t="s">
        <v>24</v>
      </c>
      <c r="F144" t="s">
        <v>27</v>
      </c>
      <c r="G144">
        <v>1</v>
      </c>
      <c r="H144" s="3">
        <v>46154</v>
      </c>
    </row>
    <row r="145" spans="1:8" ht="14.25">
      <c r="A145">
        <v>1386</v>
      </c>
      <c r="B145" t="s">
        <v>246</v>
      </c>
      <c r="C145" t="s">
        <v>248</v>
      </c>
      <c r="D145" t="s">
        <v>23</v>
      </c>
      <c r="E145" t="s">
        <v>30</v>
      </c>
      <c r="F145" t="s">
        <v>35</v>
      </c>
      <c r="H145" s="3">
        <v>46154</v>
      </c>
    </row>
    <row r="146" spans="1:8" ht="14.25">
      <c r="A146">
        <v>1221</v>
      </c>
      <c r="B146" t="s">
        <v>249</v>
      </c>
      <c r="C146" t="s">
        <v>234</v>
      </c>
      <c r="D146" t="s">
        <v>23</v>
      </c>
      <c r="E146" t="s">
        <v>24</v>
      </c>
      <c r="F146" t="s">
        <v>25</v>
      </c>
      <c r="H146" s="3">
        <v>46154</v>
      </c>
    </row>
    <row r="147" spans="1:8" ht="14.25">
      <c r="A147">
        <v>564</v>
      </c>
      <c r="B147" t="s">
        <v>250</v>
      </c>
      <c r="C147" t="s">
        <v>34</v>
      </c>
      <c r="D147" t="s">
        <v>23</v>
      </c>
      <c r="E147" t="s">
        <v>24</v>
      </c>
      <c r="F147" t="s">
        <v>27</v>
      </c>
      <c r="G147">
        <v>7</v>
      </c>
      <c r="H147" s="3">
        <v>46154</v>
      </c>
    </row>
    <row r="148" spans="1:8" ht="14.25">
      <c r="A148">
        <v>1165</v>
      </c>
      <c r="B148" t="s">
        <v>251</v>
      </c>
      <c r="C148" t="s">
        <v>177</v>
      </c>
      <c r="D148" t="s">
        <v>23</v>
      </c>
      <c r="E148" t="s">
        <v>24</v>
      </c>
      <c r="F148" t="s">
        <v>27</v>
      </c>
      <c r="G148">
        <v>10</v>
      </c>
      <c r="H148" s="3">
        <v>46154</v>
      </c>
    </row>
    <row r="149" spans="1:8" ht="14.25">
      <c r="A149">
        <v>405</v>
      </c>
      <c r="B149" t="s">
        <v>252</v>
      </c>
      <c r="C149" t="s">
        <v>243</v>
      </c>
      <c r="D149" t="s">
        <v>23</v>
      </c>
      <c r="E149" t="s">
        <v>24</v>
      </c>
      <c r="F149" t="s">
        <v>27</v>
      </c>
      <c r="G149">
        <v>18</v>
      </c>
      <c r="H149" s="3">
        <v>46154</v>
      </c>
    </row>
    <row r="150" spans="1:8" ht="14.25">
      <c r="A150">
        <v>1346</v>
      </c>
      <c r="B150" t="s">
        <v>253</v>
      </c>
      <c r="C150" t="s">
        <v>254</v>
      </c>
      <c r="D150" t="s">
        <v>23</v>
      </c>
      <c r="E150" t="s">
        <v>24</v>
      </c>
      <c r="F150" t="s">
        <v>27</v>
      </c>
      <c r="G150">
        <v>20</v>
      </c>
      <c r="H150" s="3">
        <v>46154</v>
      </c>
    </row>
    <row r="151" spans="1:8" ht="14.25">
      <c r="A151">
        <v>1192</v>
      </c>
      <c r="B151" t="s">
        <v>255</v>
      </c>
      <c r="C151" t="s">
        <v>256</v>
      </c>
      <c r="D151" t="s">
        <v>23</v>
      </c>
      <c r="E151" t="s">
        <v>24</v>
      </c>
      <c r="F151" t="s">
        <v>27</v>
      </c>
      <c r="G151">
        <v>10</v>
      </c>
      <c r="H151" s="3">
        <v>46154</v>
      </c>
    </row>
    <row r="152" spans="1:8" ht="14.25">
      <c r="A152">
        <v>1157</v>
      </c>
      <c r="B152" t="s">
        <v>257</v>
      </c>
      <c r="C152" t="s">
        <v>100</v>
      </c>
      <c r="D152" t="s">
        <v>23</v>
      </c>
      <c r="E152" t="s">
        <v>24</v>
      </c>
      <c r="F152" t="s">
        <v>25</v>
      </c>
      <c r="H152" s="3">
        <v>46154</v>
      </c>
    </row>
    <row r="153" spans="1:8" ht="14.25">
      <c r="A153">
        <v>1359</v>
      </c>
      <c r="B153" t="s">
        <v>258</v>
      </c>
      <c r="C153" t="s">
        <v>49</v>
      </c>
      <c r="D153" t="s">
        <v>23</v>
      </c>
      <c r="E153" t="s">
        <v>24</v>
      </c>
      <c r="F153" t="s">
        <v>188</v>
      </c>
      <c r="H153" s="3">
        <v>46154</v>
      </c>
    </row>
    <row r="154" spans="1:8" ht="14.25">
      <c r="A154">
        <v>1360</v>
      </c>
      <c r="B154" t="s">
        <v>258</v>
      </c>
      <c r="C154" t="s">
        <v>259</v>
      </c>
      <c r="D154" t="s">
        <v>23</v>
      </c>
      <c r="E154" t="s">
        <v>30</v>
      </c>
      <c r="F154" t="s">
        <v>35</v>
      </c>
      <c r="H154" s="3">
        <v>46154</v>
      </c>
    </row>
    <row r="155" spans="1:8" ht="14.25">
      <c r="A155">
        <v>1357</v>
      </c>
      <c r="B155" t="s">
        <v>258</v>
      </c>
      <c r="C155" t="s">
        <v>34</v>
      </c>
      <c r="D155" t="s">
        <v>23</v>
      </c>
      <c r="E155" t="s">
        <v>24</v>
      </c>
      <c r="F155" t="s">
        <v>27</v>
      </c>
      <c r="G155">
        <v>5</v>
      </c>
      <c r="H155" s="3">
        <v>46154</v>
      </c>
    </row>
    <row r="156" spans="1:8" ht="14.25">
      <c r="A156">
        <v>1358</v>
      </c>
      <c r="B156" t="s">
        <v>258</v>
      </c>
      <c r="C156" t="s">
        <v>260</v>
      </c>
      <c r="D156" t="s">
        <v>23</v>
      </c>
      <c r="E156" t="s">
        <v>30</v>
      </c>
      <c r="F156" t="s">
        <v>27</v>
      </c>
      <c r="G156">
        <v>7</v>
      </c>
      <c r="H156" s="3">
        <v>46154</v>
      </c>
    </row>
    <row r="157" spans="1:8" ht="14.25">
      <c r="A157">
        <v>1390</v>
      </c>
      <c r="B157" t="s">
        <v>261</v>
      </c>
      <c r="C157" t="s">
        <v>262</v>
      </c>
      <c r="D157" t="s">
        <v>23</v>
      </c>
      <c r="E157" t="s">
        <v>24</v>
      </c>
      <c r="F157" t="s">
        <v>25</v>
      </c>
      <c r="H157" s="3">
        <v>46154</v>
      </c>
    </row>
    <row r="158" spans="1:8" ht="14.25">
      <c r="A158">
        <v>1107</v>
      </c>
      <c r="B158" t="s">
        <v>263</v>
      </c>
      <c r="C158" t="s">
        <v>264</v>
      </c>
      <c r="D158" t="s">
        <v>23</v>
      </c>
      <c r="E158" t="s">
        <v>30</v>
      </c>
      <c r="F158" t="s">
        <v>25</v>
      </c>
      <c r="H158" s="3">
        <v>46154</v>
      </c>
    </row>
    <row r="159" spans="1:8" ht="14.25">
      <c r="A159">
        <v>35</v>
      </c>
      <c r="B159" t="s">
        <v>265</v>
      </c>
      <c r="C159" t="s">
        <v>266</v>
      </c>
      <c r="D159" t="s">
        <v>23</v>
      </c>
      <c r="E159" t="s">
        <v>24</v>
      </c>
      <c r="F159" t="s">
        <v>27</v>
      </c>
      <c r="G159">
        <v>3</v>
      </c>
      <c r="H159" s="3">
        <v>46154</v>
      </c>
    </row>
    <row r="160" spans="1:8" ht="14.25">
      <c r="A160">
        <v>1094</v>
      </c>
      <c r="B160" t="s">
        <v>267</v>
      </c>
      <c r="C160" t="s">
        <v>268</v>
      </c>
      <c r="D160" t="s">
        <v>23</v>
      </c>
      <c r="E160" t="s">
        <v>24</v>
      </c>
      <c r="F160" t="s">
        <v>27</v>
      </c>
      <c r="G160">
        <v>12</v>
      </c>
      <c r="H160" s="3">
        <v>46154</v>
      </c>
    </row>
    <row r="161" spans="1:8" ht="14.25">
      <c r="A161">
        <v>1325</v>
      </c>
      <c r="B161" t="s">
        <v>269</v>
      </c>
      <c r="C161" t="s">
        <v>270</v>
      </c>
      <c r="D161" t="s">
        <v>23</v>
      </c>
      <c r="E161" t="s">
        <v>24</v>
      </c>
      <c r="F161" t="s">
        <v>27</v>
      </c>
      <c r="G161">
        <v>3</v>
      </c>
      <c r="H161" s="3">
        <v>46154</v>
      </c>
    </row>
    <row r="162" spans="1:8" ht="14.25">
      <c r="A162">
        <v>1143</v>
      </c>
      <c r="B162" t="s">
        <v>271</v>
      </c>
      <c r="C162" t="s">
        <v>247</v>
      </c>
      <c r="D162" t="s">
        <v>23</v>
      </c>
      <c r="E162" t="s">
        <v>24</v>
      </c>
      <c r="F162" t="s">
        <v>27</v>
      </c>
      <c r="G162">
        <v>3</v>
      </c>
      <c r="H162" s="3">
        <v>46154</v>
      </c>
    </row>
    <row r="163" spans="1:8" ht="14.25">
      <c r="A163">
        <v>1401</v>
      </c>
      <c r="B163" t="s">
        <v>272</v>
      </c>
      <c r="C163" t="s">
        <v>273</v>
      </c>
      <c r="D163" t="s">
        <v>23</v>
      </c>
      <c r="E163" t="s">
        <v>30</v>
      </c>
      <c r="F163" t="s">
        <v>25</v>
      </c>
      <c r="H163" s="3">
        <v>46154</v>
      </c>
    </row>
    <row r="164" spans="1:8" ht="14.25">
      <c r="A164">
        <v>1285</v>
      </c>
      <c r="B164" t="s">
        <v>274</v>
      </c>
      <c r="C164" t="s">
        <v>100</v>
      </c>
      <c r="D164" t="s">
        <v>23</v>
      </c>
      <c r="E164" t="s">
        <v>24</v>
      </c>
      <c r="F164" t="s">
        <v>25</v>
      </c>
      <c r="H164" s="3">
        <v>46154</v>
      </c>
    </row>
    <row r="165" spans="1:8" ht="14.25">
      <c r="A165">
        <v>38</v>
      </c>
      <c r="B165" t="s">
        <v>275</v>
      </c>
      <c r="C165" t="s">
        <v>276</v>
      </c>
      <c r="D165" t="s">
        <v>23</v>
      </c>
      <c r="E165" t="s">
        <v>24</v>
      </c>
      <c r="F165" t="s">
        <v>27</v>
      </c>
      <c r="G165">
        <v>13</v>
      </c>
      <c r="H165" s="3">
        <v>46154</v>
      </c>
    </row>
    <row r="166" spans="1:8" ht="14.25">
      <c r="A166">
        <v>245</v>
      </c>
      <c r="B166" t="s">
        <v>277</v>
      </c>
      <c r="C166" t="s">
        <v>234</v>
      </c>
      <c r="D166" t="s">
        <v>23</v>
      </c>
      <c r="E166" t="s">
        <v>24</v>
      </c>
      <c r="F166" t="s">
        <v>27</v>
      </c>
      <c r="G166">
        <v>10</v>
      </c>
      <c r="H166" s="3">
        <v>46154</v>
      </c>
    </row>
    <row r="167" spans="1:8" ht="14.25">
      <c r="A167">
        <v>39</v>
      </c>
      <c r="B167" t="s">
        <v>277</v>
      </c>
      <c r="C167" t="s">
        <v>278</v>
      </c>
      <c r="D167" t="s">
        <v>23</v>
      </c>
      <c r="E167" t="s">
        <v>24</v>
      </c>
      <c r="F167" t="s">
        <v>27</v>
      </c>
      <c r="G167">
        <v>43</v>
      </c>
      <c r="H167" s="3">
        <v>46154</v>
      </c>
    </row>
    <row r="168" spans="1:8" ht="14.25">
      <c r="A168">
        <v>508</v>
      </c>
      <c r="B168" t="s">
        <v>279</v>
      </c>
      <c r="C168" t="s">
        <v>59</v>
      </c>
      <c r="D168" t="s">
        <v>23</v>
      </c>
      <c r="E168" t="s">
        <v>24</v>
      </c>
      <c r="F168" t="s">
        <v>27</v>
      </c>
      <c r="G168">
        <v>31</v>
      </c>
      <c r="H168" s="3">
        <v>46154</v>
      </c>
    </row>
    <row r="169" spans="1:8" ht="14.25">
      <c r="A169">
        <v>1025</v>
      </c>
      <c r="B169" t="s">
        <v>280</v>
      </c>
      <c r="C169" t="s">
        <v>281</v>
      </c>
      <c r="D169" t="s">
        <v>23</v>
      </c>
      <c r="E169" t="s">
        <v>24</v>
      </c>
      <c r="F169" t="s">
        <v>35</v>
      </c>
      <c r="H169" s="3">
        <v>46154</v>
      </c>
    </row>
    <row r="170" spans="1:8" ht="14.25">
      <c r="A170">
        <v>1024</v>
      </c>
      <c r="B170" t="s">
        <v>280</v>
      </c>
      <c r="C170" t="s">
        <v>282</v>
      </c>
      <c r="D170" t="s">
        <v>23</v>
      </c>
      <c r="E170" t="s">
        <v>24</v>
      </c>
      <c r="F170" t="s">
        <v>188</v>
      </c>
      <c r="H170" s="3">
        <v>46154</v>
      </c>
    </row>
    <row r="171" spans="1:8" ht="14.25">
      <c r="A171">
        <v>1023</v>
      </c>
      <c r="B171" t="s">
        <v>280</v>
      </c>
      <c r="C171" t="s">
        <v>39</v>
      </c>
      <c r="D171" t="s">
        <v>23</v>
      </c>
      <c r="E171" t="s">
        <v>24</v>
      </c>
      <c r="F171" t="s">
        <v>25</v>
      </c>
      <c r="H171" s="3">
        <v>46154</v>
      </c>
    </row>
    <row r="172" spans="1:8" ht="14.25">
      <c r="A172">
        <v>1232</v>
      </c>
      <c r="B172" t="s">
        <v>280</v>
      </c>
      <c r="C172" t="s">
        <v>283</v>
      </c>
      <c r="D172" t="s">
        <v>23</v>
      </c>
      <c r="E172" t="s">
        <v>30</v>
      </c>
      <c r="F172" t="s">
        <v>27</v>
      </c>
      <c r="G172">
        <v>4</v>
      </c>
      <c r="H172" s="3">
        <v>46154</v>
      </c>
    </row>
    <row r="173" spans="1:8" ht="14.25">
      <c r="A173">
        <v>1392</v>
      </c>
      <c r="B173" t="s">
        <v>284</v>
      </c>
      <c r="C173" t="s">
        <v>285</v>
      </c>
      <c r="D173" t="s">
        <v>23</v>
      </c>
      <c r="E173" t="s">
        <v>30</v>
      </c>
      <c r="F173" t="s">
        <v>25</v>
      </c>
      <c r="H173" s="3">
        <v>46154</v>
      </c>
    </row>
    <row r="174" spans="1:8" ht="14.25">
      <c r="A174">
        <v>1141</v>
      </c>
      <c r="B174" t="s">
        <v>286</v>
      </c>
      <c r="C174" t="s">
        <v>287</v>
      </c>
      <c r="D174" t="s">
        <v>23</v>
      </c>
      <c r="E174" t="s">
        <v>30</v>
      </c>
      <c r="F174" t="s">
        <v>27</v>
      </c>
      <c r="G174">
        <v>15</v>
      </c>
      <c r="H174" s="3">
        <v>46154</v>
      </c>
    </row>
    <row r="175" spans="1:8" ht="14.25">
      <c r="A175">
        <v>891</v>
      </c>
      <c r="B175" t="s">
        <v>288</v>
      </c>
      <c r="C175" t="s">
        <v>289</v>
      </c>
      <c r="D175" t="s">
        <v>23</v>
      </c>
      <c r="E175" t="s">
        <v>30</v>
      </c>
      <c r="F175" t="s">
        <v>25</v>
      </c>
      <c r="H175" s="3">
        <v>46154</v>
      </c>
    </row>
    <row r="176" spans="1:8" ht="14.25">
      <c r="A176">
        <v>1352</v>
      </c>
      <c r="B176" t="s">
        <v>290</v>
      </c>
      <c r="C176" t="s">
        <v>34</v>
      </c>
      <c r="D176" t="s">
        <v>23</v>
      </c>
      <c r="E176" t="s">
        <v>24</v>
      </c>
      <c r="F176" t="s">
        <v>27</v>
      </c>
      <c r="G176">
        <v>11</v>
      </c>
      <c r="H176" s="3">
        <v>46154</v>
      </c>
    </row>
    <row r="177" spans="1:8" ht="14.25">
      <c r="A177">
        <v>1339</v>
      </c>
      <c r="B177" t="s">
        <v>291</v>
      </c>
      <c r="C177" t="s">
        <v>292</v>
      </c>
      <c r="D177" t="s">
        <v>23</v>
      </c>
      <c r="E177" t="s">
        <v>24</v>
      </c>
      <c r="F177" t="s">
        <v>25</v>
      </c>
      <c r="H177" s="3">
        <v>46154</v>
      </c>
    </row>
    <row r="178" spans="1:8" ht="14.25">
      <c r="A178">
        <v>914</v>
      </c>
      <c r="B178" t="s">
        <v>293</v>
      </c>
      <c r="C178" t="s">
        <v>153</v>
      </c>
      <c r="D178" t="s">
        <v>23</v>
      </c>
      <c r="E178" t="s">
        <v>24</v>
      </c>
      <c r="F178" t="s">
        <v>27</v>
      </c>
      <c r="G178">
        <v>14</v>
      </c>
      <c r="H178" s="3">
        <v>46154</v>
      </c>
    </row>
    <row r="179" spans="1:8" ht="14.25">
      <c r="A179">
        <v>597</v>
      </c>
      <c r="B179" t="s">
        <v>294</v>
      </c>
      <c r="C179" t="s">
        <v>295</v>
      </c>
      <c r="D179" t="s">
        <v>23</v>
      </c>
      <c r="E179" t="s">
        <v>24</v>
      </c>
      <c r="F179" t="s">
        <v>27</v>
      </c>
      <c r="G179">
        <v>36</v>
      </c>
      <c r="H179" s="3">
        <v>46154</v>
      </c>
    </row>
    <row r="180" spans="1:8" ht="14.25">
      <c r="A180">
        <v>1038</v>
      </c>
      <c r="B180" t="s">
        <v>293</v>
      </c>
      <c r="C180" t="s">
        <v>51</v>
      </c>
      <c r="D180" t="s">
        <v>23</v>
      </c>
      <c r="E180" t="s">
        <v>24</v>
      </c>
      <c r="F180" t="s">
        <v>27</v>
      </c>
      <c r="G180">
        <v>12</v>
      </c>
      <c r="H180" s="3">
        <v>46154</v>
      </c>
    </row>
    <row r="181" spans="1:8" ht="14.25">
      <c r="A181">
        <v>1347</v>
      </c>
      <c r="B181" t="s">
        <v>296</v>
      </c>
      <c r="C181" t="s">
        <v>104</v>
      </c>
      <c r="D181" t="s">
        <v>23</v>
      </c>
      <c r="E181" t="s">
        <v>24</v>
      </c>
      <c r="F181" t="s">
        <v>25</v>
      </c>
      <c r="H181" s="3">
        <v>46154</v>
      </c>
    </row>
    <row r="182" spans="1:8" ht="14.25">
      <c r="A182">
        <v>1242</v>
      </c>
      <c r="B182" t="s">
        <v>297</v>
      </c>
      <c r="C182" t="s">
        <v>190</v>
      </c>
      <c r="D182" t="s">
        <v>23</v>
      </c>
      <c r="E182" t="s">
        <v>24</v>
      </c>
      <c r="F182" t="s">
        <v>27</v>
      </c>
      <c r="G182">
        <v>15</v>
      </c>
      <c r="H182" s="3">
        <v>46154</v>
      </c>
    </row>
    <row r="183" spans="1:8" ht="14.25">
      <c r="A183">
        <v>1048</v>
      </c>
      <c r="B183" t="s">
        <v>298</v>
      </c>
      <c r="C183" t="s">
        <v>268</v>
      </c>
      <c r="D183" t="s">
        <v>23</v>
      </c>
      <c r="E183" t="s">
        <v>24</v>
      </c>
      <c r="F183" t="s">
        <v>27</v>
      </c>
      <c r="G183">
        <v>16</v>
      </c>
      <c r="H183" s="3">
        <v>46154</v>
      </c>
    </row>
    <row r="184" spans="1:8" ht="14.25">
      <c r="A184">
        <v>1055</v>
      </c>
      <c r="B184" t="s">
        <v>298</v>
      </c>
      <c r="C184" t="s">
        <v>299</v>
      </c>
      <c r="D184" t="s">
        <v>23</v>
      </c>
      <c r="E184" t="s">
        <v>24</v>
      </c>
      <c r="F184" t="s">
        <v>27</v>
      </c>
      <c r="G184">
        <v>1</v>
      </c>
      <c r="H184" s="3">
        <v>46154</v>
      </c>
    </row>
    <row r="185" spans="1:8" ht="14.25">
      <c r="A185">
        <v>1095</v>
      </c>
      <c r="B185" t="s">
        <v>298</v>
      </c>
      <c r="C185" t="s">
        <v>300</v>
      </c>
      <c r="D185" t="s">
        <v>23</v>
      </c>
      <c r="E185" t="s">
        <v>24</v>
      </c>
      <c r="F185" t="s">
        <v>27</v>
      </c>
      <c r="G185">
        <v>33</v>
      </c>
      <c r="H185" s="3">
        <v>46154</v>
      </c>
    </row>
    <row r="186" spans="1:8" ht="14.25">
      <c r="A186">
        <v>820</v>
      </c>
      <c r="B186" t="s">
        <v>298</v>
      </c>
      <c r="C186" t="s">
        <v>139</v>
      </c>
      <c r="D186" t="s">
        <v>23</v>
      </c>
      <c r="E186" t="s">
        <v>30</v>
      </c>
      <c r="F186" t="s">
        <v>27</v>
      </c>
      <c r="G186">
        <v>6</v>
      </c>
      <c r="H186" s="3">
        <v>46154</v>
      </c>
    </row>
    <row r="187" spans="1:8" ht="14.25">
      <c r="A187">
        <v>687</v>
      </c>
      <c r="B187" t="s">
        <v>298</v>
      </c>
      <c r="C187" t="s">
        <v>301</v>
      </c>
      <c r="D187" t="s">
        <v>23</v>
      </c>
      <c r="E187" t="s">
        <v>24</v>
      </c>
      <c r="F187" t="s">
        <v>27</v>
      </c>
      <c r="G187">
        <v>7</v>
      </c>
      <c r="H187" s="3">
        <v>46154</v>
      </c>
    </row>
    <row r="188" spans="1:8" ht="14.25">
      <c r="A188">
        <v>1420</v>
      </c>
      <c r="B188" t="s">
        <v>302</v>
      </c>
      <c r="C188" t="s">
        <v>212</v>
      </c>
      <c r="D188" t="s">
        <v>23</v>
      </c>
      <c r="E188" t="s">
        <v>30</v>
      </c>
      <c r="F188" t="s">
        <v>27</v>
      </c>
      <c r="G188">
        <v>15</v>
      </c>
      <c r="H188" s="3">
        <v>46154</v>
      </c>
    </row>
    <row r="189" spans="1:8" ht="14.25">
      <c r="A189">
        <v>1410</v>
      </c>
      <c r="B189" t="s">
        <v>104</v>
      </c>
      <c r="C189" t="s">
        <v>303</v>
      </c>
      <c r="D189" t="s">
        <v>23</v>
      </c>
      <c r="E189" t="s">
        <v>24</v>
      </c>
      <c r="F189" t="s">
        <v>25</v>
      </c>
      <c r="H189" s="3">
        <v>46154</v>
      </c>
    </row>
    <row r="190" spans="1:8" ht="14.25">
      <c r="A190">
        <v>1161</v>
      </c>
      <c r="B190" t="s">
        <v>304</v>
      </c>
      <c r="C190" t="s">
        <v>305</v>
      </c>
      <c r="D190" t="s">
        <v>23</v>
      </c>
      <c r="E190" t="s">
        <v>24</v>
      </c>
      <c r="F190" t="s">
        <v>25</v>
      </c>
      <c r="H190" s="3">
        <v>46154</v>
      </c>
    </row>
    <row r="191" spans="1:8" ht="14.25">
      <c r="A191">
        <v>890</v>
      </c>
      <c r="B191" t="s">
        <v>306</v>
      </c>
      <c r="C191" t="s">
        <v>307</v>
      </c>
      <c r="D191" t="s">
        <v>54</v>
      </c>
      <c r="E191" t="s">
        <v>24</v>
      </c>
      <c r="F191" t="s">
        <v>27</v>
      </c>
      <c r="G191">
        <v>23</v>
      </c>
      <c r="H191" s="3">
        <v>46154</v>
      </c>
    </row>
    <row r="192" spans="1:8" ht="14.25">
      <c r="A192">
        <v>1166</v>
      </c>
      <c r="B192" t="s">
        <v>308</v>
      </c>
      <c r="C192" t="s">
        <v>143</v>
      </c>
      <c r="D192" t="s">
        <v>54</v>
      </c>
      <c r="E192" t="s">
        <v>24</v>
      </c>
      <c r="F192" t="s">
        <v>27</v>
      </c>
      <c r="G192">
        <v>5</v>
      </c>
      <c r="H192" s="3">
        <v>46154</v>
      </c>
    </row>
    <row r="193" spans="1:8" ht="14.25">
      <c r="A193">
        <v>45</v>
      </c>
      <c r="B193" t="s">
        <v>309</v>
      </c>
      <c r="C193" t="s">
        <v>310</v>
      </c>
      <c r="D193" t="s">
        <v>23</v>
      </c>
      <c r="E193" t="s">
        <v>24</v>
      </c>
      <c r="F193" t="s">
        <v>27</v>
      </c>
      <c r="G193">
        <v>20</v>
      </c>
      <c r="H193" s="3">
        <v>46154</v>
      </c>
    </row>
    <row r="194" spans="1:8" ht="14.25">
      <c r="A194">
        <v>1160</v>
      </c>
      <c r="B194" t="s">
        <v>311</v>
      </c>
      <c r="C194" t="s">
        <v>312</v>
      </c>
      <c r="D194" t="s">
        <v>23</v>
      </c>
      <c r="E194" t="s">
        <v>24</v>
      </c>
      <c r="F194" t="s">
        <v>25</v>
      </c>
      <c r="H194" s="3">
        <v>46154</v>
      </c>
    </row>
    <row r="195" spans="1:8" ht="14.25">
      <c r="A195">
        <v>945</v>
      </c>
      <c r="B195" t="s">
        <v>313</v>
      </c>
      <c r="C195" t="s">
        <v>49</v>
      </c>
      <c r="D195" t="s">
        <v>23</v>
      </c>
      <c r="E195" t="s">
        <v>24</v>
      </c>
      <c r="F195" t="s">
        <v>25</v>
      </c>
      <c r="H195" s="3">
        <v>46154</v>
      </c>
    </row>
    <row r="196" spans="1:8" ht="14.25">
      <c r="A196">
        <v>813</v>
      </c>
      <c r="B196" t="s">
        <v>313</v>
      </c>
      <c r="C196" t="s">
        <v>289</v>
      </c>
      <c r="D196" t="s">
        <v>23</v>
      </c>
      <c r="E196" t="s">
        <v>30</v>
      </c>
      <c r="F196" t="s">
        <v>27</v>
      </c>
      <c r="G196">
        <v>7</v>
      </c>
      <c r="H196" s="3">
        <v>46154</v>
      </c>
    </row>
    <row r="197" spans="1:8" ht="14.25">
      <c r="A197">
        <v>812</v>
      </c>
      <c r="B197" t="s">
        <v>313</v>
      </c>
      <c r="C197" t="s">
        <v>170</v>
      </c>
      <c r="D197" t="s">
        <v>23</v>
      </c>
      <c r="E197" t="s">
        <v>24</v>
      </c>
      <c r="F197" t="s">
        <v>27</v>
      </c>
      <c r="G197">
        <v>9</v>
      </c>
      <c r="H197" s="3">
        <v>46154</v>
      </c>
    </row>
    <row r="198" spans="1:8" ht="14.25">
      <c r="A198">
        <v>1129</v>
      </c>
      <c r="B198" t="s">
        <v>314</v>
      </c>
      <c r="C198" t="s">
        <v>315</v>
      </c>
      <c r="D198" t="s">
        <v>23</v>
      </c>
      <c r="E198" t="s">
        <v>24</v>
      </c>
      <c r="F198" t="s">
        <v>27</v>
      </c>
      <c r="G198">
        <v>12</v>
      </c>
      <c r="H198" s="3">
        <v>46154</v>
      </c>
    </row>
    <row r="199" spans="1:8" ht="14.25">
      <c r="A199">
        <v>915</v>
      </c>
      <c r="B199" t="s">
        <v>316</v>
      </c>
      <c r="C199" t="s">
        <v>241</v>
      </c>
      <c r="D199" t="s">
        <v>23</v>
      </c>
      <c r="E199" t="s">
        <v>24</v>
      </c>
      <c r="F199" t="s">
        <v>27</v>
      </c>
      <c r="G199">
        <v>8</v>
      </c>
      <c r="H199" s="3">
        <v>46154</v>
      </c>
    </row>
    <row r="200" spans="1:8" ht="14.25">
      <c r="A200">
        <v>1356</v>
      </c>
      <c r="B200" t="s">
        <v>317</v>
      </c>
      <c r="C200" t="s">
        <v>318</v>
      </c>
      <c r="D200" t="s">
        <v>54</v>
      </c>
      <c r="E200" t="s">
        <v>24</v>
      </c>
      <c r="F200" t="s">
        <v>27</v>
      </c>
      <c r="G200">
        <v>15</v>
      </c>
      <c r="H200" s="3">
        <v>46154</v>
      </c>
    </row>
    <row r="201" spans="1:8" ht="14.25">
      <c r="A201">
        <v>1422</v>
      </c>
      <c r="B201" t="s">
        <v>319</v>
      </c>
      <c r="C201" t="s">
        <v>320</v>
      </c>
      <c r="D201" t="s">
        <v>54</v>
      </c>
      <c r="E201" t="s">
        <v>30</v>
      </c>
      <c r="F201" t="s">
        <v>25</v>
      </c>
      <c r="H201" s="3">
        <v>46154</v>
      </c>
    </row>
    <row r="202" spans="1:8" ht="14.25">
      <c r="A202">
        <v>860</v>
      </c>
      <c r="B202" t="s">
        <v>321</v>
      </c>
      <c r="C202" t="s">
        <v>215</v>
      </c>
      <c r="D202" t="s">
        <v>23</v>
      </c>
      <c r="E202" t="s">
        <v>30</v>
      </c>
      <c r="F202" t="s">
        <v>25</v>
      </c>
      <c r="H202" s="3">
        <v>46154</v>
      </c>
    </row>
    <row r="203" spans="1:8" ht="14.25">
      <c r="A203">
        <v>756</v>
      </c>
      <c r="B203" t="s">
        <v>321</v>
      </c>
      <c r="C203" t="s">
        <v>322</v>
      </c>
      <c r="D203" t="s">
        <v>23</v>
      </c>
      <c r="E203" t="s">
        <v>24</v>
      </c>
      <c r="F203" t="s">
        <v>25</v>
      </c>
      <c r="H203" s="3">
        <v>46154</v>
      </c>
    </row>
    <row r="204" spans="1:8" ht="14.25">
      <c r="A204">
        <v>407</v>
      </c>
      <c r="B204" t="s">
        <v>321</v>
      </c>
      <c r="C204" t="s">
        <v>323</v>
      </c>
      <c r="D204" t="s">
        <v>23</v>
      </c>
      <c r="E204" t="s">
        <v>24</v>
      </c>
      <c r="F204" t="s">
        <v>27</v>
      </c>
      <c r="G204">
        <v>5</v>
      </c>
      <c r="H204" s="3">
        <v>46154</v>
      </c>
    </row>
    <row r="205" spans="1:8" ht="14.25">
      <c r="A205">
        <v>1423</v>
      </c>
      <c r="B205" t="s">
        <v>326</v>
      </c>
      <c r="C205" t="s">
        <v>83</v>
      </c>
      <c r="D205" t="s">
        <v>23</v>
      </c>
      <c r="E205" t="s">
        <v>24</v>
      </c>
      <c r="F205" t="s">
        <v>25</v>
      </c>
      <c r="H205" s="3">
        <v>46154</v>
      </c>
    </row>
    <row r="206" spans="1:8" ht="14.25">
      <c r="A206">
        <v>1424</v>
      </c>
      <c r="B206" t="s">
        <v>326</v>
      </c>
      <c r="C206" t="s">
        <v>259</v>
      </c>
      <c r="D206" t="s">
        <v>23</v>
      </c>
      <c r="E206" t="s">
        <v>30</v>
      </c>
      <c r="F206" t="s">
        <v>25</v>
      </c>
      <c r="H206" s="3">
        <v>46154</v>
      </c>
    </row>
    <row r="207" spans="1:8" ht="14.25">
      <c r="A207">
        <v>1425</v>
      </c>
      <c r="B207" t="s">
        <v>326</v>
      </c>
      <c r="C207" t="s">
        <v>327</v>
      </c>
      <c r="D207" t="s">
        <v>23</v>
      </c>
      <c r="E207" t="s">
        <v>24</v>
      </c>
      <c r="F207" t="s">
        <v>35</v>
      </c>
      <c r="H207" s="3">
        <v>46154</v>
      </c>
    </row>
    <row r="208" spans="1:8" ht="14.25">
      <c r="A208">
        <v>1426</v>
      </c>
      <c r="B208" t="s">
        <v>326</v>
      </c>
      <c r="C208" t="s">
        <v>328</v>
      </c>
      <c r="D208" t="s">
        <v>23</v>
      </c>
      <c r="E208" t="s">
        <v>30</v>
      </c>
      <c r="F208" t="s">
        <v>35</v>
      </c>
      <c r="H208" s="3">
        <v>46154</v>
      </c>
    </row>
    <row r="209" spans="1:8" ht="14.25">
      <c r="A209">
        <v>1312</v>
      </c>
      <c r="B209" t="s">
        <v>329</v>
      </c>
      <c r="C209" t="s">
        <v>287</v>
      </c>
      <c r="D209" t="s">
        <v>23</v>
      </c>
      <c r="E209" t="s">
        <v>30</v>
      </c>
      <c r="F209" t="s">
        <v>27</v>
      </c>
      <c r="G209">
        <v>35</v>
      </c>
      <c r="H209" s="3">
        <v>46154</v>
      </c>
    </row>
    <row r="210" spans="1:8" ht="14.25">
      <c r="A210">
        <v>935</v>
      </c>
      <c r="B210" t="s">
        <v>330</v>
      </c>
      <c r="C210" t="s">
        <v>245</v>
      </c>
      <c r="D210" t="s">
        <v>23</v>
      </c>
      <c r="E210" t="s">
        <v>30</v>
      </c>
      <c r="F210" t="s">
        <v>25</v>
      </c>
      <c r="H210" s="3">
        <v>46154</v>
      </c>
    </row>
    <row r="211" spans="1:8" ht="14.25">
      <c r="A211">
        <v>999</v>
      </c>
      <c r="B211" t="s">
        <v>330</v>
      </c>
      <c r="C211" t="s">
        <v>331</v>
      </c>
      <c r="D211" t="s">
        <v>23</v>
      </c>
      <c r="E211" t="s">
        <v>30</v>
      </c>
      <c r="F211" t="s">
        <v>25</v>
      </c>
      <c r="H211" s="3">
        <v>46154</v>
      </c>
    </row>
    <row r="212" spans="1:8" ht="14.25">
      <c r="A212">
        <v>998</v>
      </c>
      <c r="B212" t="s">
        <v>330</v>
      </c>
      <c r="C212" t="s">
        <v>332</v>
      </c>
      <c r="D212" t="s">
        <v>23</v>
      </c>
      <c r="E212" t="s">
        <v>30</v>
      </c>
      <c r="F212" t="s">
        <v>27</v>
      </c>
      <c r="G212">
        <v>5</v>
      </c>
      <c r="H212" s="3">
        <v>46154</v>
      </c>
    </row>
    <row r="213" spans="1:8" ht="14.25">
      <c r="A213">
        <v>616</v>
      </c>
      <c r="B213" t="s">
        <v>330</v>
      </c>
      <c r="C213" t="s">
        <v>41</v>
      </c>
      <c r="D213" t="s">
        <v>23</v>
      </c>
      <c r="E213" t="s">
        <v>24</v>
      </c>
      <c r="F213" t="s">
        <v>27</v>
      </c>
      <c r="G213">
        <v>7</v>
      </c>
      <c r="H213" s="3">
        <v>46154</v>
      </c>
    </row>
    <row r="214" spans="1:8" ht="14.25">
      <c r="A214">
        <v>558</v>
      </c>
      <c r="B214" t="s">
        <v>333</v>
      </c>
      <c r="C214" t="s">
        <v>334</v>
      </c>
      <c r="D214" t="s">
        <v>23</v>
      </c>
      <c r="E214" t="s">
        <v>24</v>
      </c>
      <c r="F214" t="s">
        <v>27</v>
      </c>
      <c r="G214">
        <v>15</v>
      </c>
      <c r="H214" s="3">
        <v>46154</v>
      </c>
    </row>
    <row r="215" spans="1:8" ht="14.25">
      <c r="A215">
        <v>991</v>
      </c>
      <c r="B215" t="s">
        <v>335</v>
      </c>
      <c r="C215" t="s">
        <v>184</v>
      </c>
      <c r="D215" t="s">
        <v>23</v>
      </c>
      <c r="E215" t="s">
        <v>30</v>
      </c>
      <c r="F215" t="s">
        <v>35</v>
      </c>
      <c r="H215" s="3">
        <v>46154</v>
      </c>
    </row>
    <row r="216" spans="1:8" ht="14.25">
      <c r="A216">
        <v>359</v>
      </c>
      <c r="B216" t="s">
        <v>336</v>
      </c>
      <c r="C216" t="s">
        <v>26</v>
      </c>
      <c r="D216" t="s">
        <v>23</v>
      </c>
      <c r="E216" t="s">
        <v>24</v>
      </c>
      <c r="F216" t="s">
        <v>27</v>
      </c>
      <c r="G216">
        <v>24</v>
      </c>
      <c r="H216" s="3">
        <v>46154</v>
      </c>
    </row>
    <row r="217" spans="1:8" ht="14.25">
      <c r="A217">
        <v>1310</v>
      </c>
      <c r="B217" t="s">
        <v>337</v>
      </c>
      <c r="C217" t="s">
        <v>311</v>
      </c>
      <c r="D217" t="s">
        <v>23</v>
      </c>
      <c r="E217" t="s">
        <v>24</v>
      </c>
      <c r="F217" t="s">
        <v>25</v>
      </c>
      <c r="H217" s="3">
        <v>46154</v>
      </c>
    </row>
    <row r="218" spans="1:8" ht="14.25">
      <c r="A218">
        <v>1200</v>
      </c>
      <c r="B218" t="s">
        <v>338</v>
      </c>
      <c r="C218" t="s">
        <v>339</v>
      </c>
      <c r="D218" t="s">
        <v>23</v>
      </c>
      <c r="E218" t="s">
        <v>24</v>
      </c>
      <c r="F218" t="s">
        <v>27</v>
      </c>
      <c r="G218">
        <v>6</v>
      </c>
      <c r="H218" s="3">
        <v>46154</v>
      </c>
    </row>
    <row r="219" spans="1:8" ht="14.25">
      <c r="A219">
        <v>1411</v>
      </c>
      <c r="B219" t="s">
        <v>338</v>
      </c>
      <c r="C219" t="s">
        <v>72</v>
      </c>
      <c r="D219" t="s">
        <v>23</v>
      </c>
      <c r="E219" t="s">
        <v>30</v>
      </c>
      <c r="F219" t="s">
        <v>27</v>
      </c>
      <c r="G219">
        <v>3</v>
      </c>
      <c r="H219" s="3">
        <v>46154</v>
      </c>
    </row>
    <row r="220" spans="1:8" ht="14.25">
      <c r="A220">
        <v>1412</v>
      </c>
      <c r="B220" t="s">
        <v>338</v>
      </c>
      <c r="C220" t="s">
        <v>340</v>
      </c>
      <c r="D220" t="s">
        <v>23</v>
      </c>
      <c r="E220" t="s">
        <v>30</v>
      </c>
      <c r="F220" t="s">
        <v>188</v>
      </c>
      <c r="H220" s="3">
        <v>46154</v>
      </c>
    </row>
    <row r="221" spans="1:8" ht="14.25">
      <c r="A221">
        <v>1413</v>
      </c>
      <c r="B221" t="s">
        <v>338</v>
      </c>
      <c r="C221" t="s">
        <v>214</v>
      </c>
      <c r="D221" t="s">
        <v>23</v>
      </c>
      <c r="E221" t="s">
        <v>24</v>
      </c>
      <c r="F221" t="s">
        <v>188</v>
      </c>
      <c r="H221" s="3">
        <v>46154</v>
      </c>
    </row>
    <row r="222" spans="1:8" ht="14.25">
      <c r="A222">
        <v>1376</v>
      </c>
      <c r="B222" t="s">
        <v>192</v>
      </c>
      <c r="C222" t="s">
        <v>127</v>
      </c>
      <c r="D222" t="s">
        <v>23</v>
      </c>
      <c r="E222" t="s">
        <v>30</v>
      </c>
      <c r="F222" t="s">
        <v>25</v>
      </c>
      <c r="H222" s="3">
        <v>46154</v>
      </c>
    </row>
    <row r="223" spans="1:8" ht="14.25">
      <c r="A223">
        <v>1140</v>
      </c>
      <c r="B223" t="s">
        <v>341</v>
      </c>
      <c r="C223" t="s">
        <v>243</v>
      </c>
      <c r="D223" t="s">
        <v>23</v>
      </c>
      <c r="E223" t="s">
        <v>24</v>
      </c>
      <c r="F223" t="s">
        <v>25</v>
      </c>
      <c r="H223" s="3">
        <v>46154</v>
      </c>
    </row>
    <row r="224" spans="1:8" ht="14.25">
      <c r="A224">
        <v>989</v>
      </c>
      <c r="B224" t="s">
        <v>342</v>
      </c>
      <c r="C224" t="s">
        <v>343</v>
      </c>
      <c r="D224" t="s">
        <v>23</v>
      </c>
      <c r="E224" t="s">
        <v>24</v>
      </c>
      <c r="F224" t="s">
        <v>27</v>
      </c>
      <c r="G224">
        <v>3</v>
      </c>
      <c r="H224" s="3">
        <v>46154</v>
      </c>
    </row>
    <row r="225" spans="1:8" ht="14.25">
      <c r="A225">
        <v>1417</v>
      </c>
      <c r="B225" t="s">
        <v>344</v>
      </c>
      <c r="C225" t="s">
        <v>345</v>
      </c>
      <c r="D225" t="s">
        <v>23</v>
      </c>
      <c r="E225" t="s">
        <v>30</v>
      </c>
      <c r="F225" t="s">
        <v>27</v>
      </c>
      <c r="G225">
        <v>17</v>
      </c>
      <c r="H225" s="3">
        <v>46154</v>
      </c>
    </row>
    <row r="226" spans="1:8" ht="14.25">
      <c r="A226">
        <v>52</v>
      </c>
      <c r="B226" t="s">
        <v>346</v>
      </c>
      <c r="C226" t="s">
        <v>192</v>
      </c>
      <c r="D226" t="s">
        <v>23</v>
      </c>
      <c r="E226" t="s">
        <v>24</v>
      </c>
      <c r="F226" t="s">
        <v>25</v>
      </c>
      <c r="H226" s="3">
        <v>46154</v>
      </c>
    </row>
    <row r="227" spans="1:8" ht="14.25">
      <c r="A227">
        <v>62</v>
      </c>
      <c r="B227" t="s">
        <v>344</v>
      </c>
      <c r="C227" t="s">
        <v>234</v>
      </c>
      <c r="D227" t="s">
        <v>23</v>
      </c>
      <c r="E227" t="s">
        <v>24</v>
      </c>
      <c r="F227" t="s">
        <v>27</v>
      </c>
      <c r="G227">
        <v>4</v>
      </c>
      <c r="H227" s="3">
        <v>46154</v>
      </c>
    </row>
    <row r="228" spans="1:8" ht="14.25">
      <c r="A228">
        <v>930</v>
      </c>
      <c r="B228" t="s">
        <v>347</v>
      </c>
      <c r="C228" t="s">
        <v>348</v>
      </c>
      <c r="D228" t="s">
        <v>23</v>
      </c>
      <c r="E228" t="s">
        <v>30</v>
      </c>
      <c r="F228" t="s">
        <v>27</v>
      </c>
      <c r="G228">
        <v>6</v>
      </c>
      <c r="H228" s="3">
        <v>46154</v>
      </c>
    </row>
    <row r="229" spans="1:8" ht="14.25">
      <c r="A229">
        <v>1254</v>
      </c>
      <c r="B229" t="s">
        <v>349</v>
      </c>
      <c r="C229" t="s">
        <v>51</v>
      </c>
      <c r="D229" t="s">
        <v>23</v>
      </c>
      <c r="E229" t="s">
        <v>24</v>
      </c>
      <c r="F229" t="s">
        <v>27</v>
      </c>
      <c r="G229">
        <v>21</v>
      </c>
      <c r="H229" s="3">
        <v>46154</v>
      </c>
    </row>
    <row r="230" spans="1:8" ht="14.25">
      <c r="A230">
        <v>744</v>
      </c>
      <c r="B230" t="s">
        <v>350</v>
      </c>
      <c r="C230" t="s">
        <v>351</v>
      </c>
      <c r="D230" t="s">
        <v>23</v>
      </c>
      <c r="E230" t="s">
        <v>24</v>
      </c>
      <c r="F230" t="s">
        <v>27</v>
      </c>
      <c r="G230">
        <v>28</v>
      </c>
      <c r="H230" s="3">
        <v>46154</v>
      </c>
    </row>
    <row r="231" spans="1:8" ht="14.25">
      <c r="A231">
        <v>337</v>
      </c>
      <c r="B231" t="s">
        <v>352</v>
      </c>
      <c r="C231" t="s">
        <v>179</v>
      </c>
      <c r="D231" t="s">
        <v>23</v>
      </c>
      <c r="E231" t="s">
        <v>30</v>
      </c>
      <c r="F231" t="s">
        <v>27</v>
      </c>
      <c r="G231">
        <v>21</v>
      </c>
      <c r="H231" s="3">
        <v>46154</v>
      </c>
    </row>
  </sheetData>
  <pageMargins left="0.70078740157480324" right="0.70078740157480324" top="0.75196850393700787" bottom="0.75196850393700787"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233"/>
  <sheetViews>
    <sheetView workbookViewId="0"/>
    <sheetView workbookViewId="1"/>
  </sheetViews>
  <sheetFormatPr defaultColWidth="9.53125" defaultRowHeight="12.75"/>
  <cols>
    <col min="8" max="8" width="12" bestFit="1" customWidth="1"/>
  </cols>
  <sheetData>
    <row r="1" spans="1:8">
      <c r="A1" t="s">
        <v>13</v>
      </c>
      <c r="B1" t="s">
        <v>14</v>
      </c>
      <c r="C1" t="s">
        <v>15</v>
      </c>
      <c r="D1" t="s">
        <v>16</v>
      </c>
      <c r="E1" t="s">
        <v>17</v>
      </c>
      <c r="F1" t="s">
        <v>18</v>
      </c>
      <c r="G1" t="s">
        <v>19</v>
      </c>
      <c r="H1" t="s">
        <v>20</v>
      </c>
    </row>
    <row r="2" spans="1:8" ht="14.25">
      <c r="A2">
        <v>1327</v>
      </c>
      <c r="B2" t="s">
        <v>21</v>
      </c>
      <c r="C2" t="s">
        <v>22</v>
      </c>
      <c r="D2" t="s">
        <v>23</v>
      </c>
      <c r="E2" t="s">
        <v>24</v>
      </c>
      <c r="F2" t="s">
        <v>25</v>
      </c>
      <c r="H2" s="3">
        <v>46157</v>
      </c>
    </row>
    <row r="3" spans="1:8" ht="14.25">
      <c r="A3">
        <v>1237</v>
      </c>
      <c r="B3" t="s">
        <v>21</v>
      </c>
      <c r="C3" t="s">
        <v>26</v>
      </c>
      <c r="D3" t="s">
        <v>23</v>
      </c>
      <c r="E3" t="s">
        <v>24</v>
      </c>
      <c r="F3" t="s">
        <v>27</v>
      </c>
      <c r="G3">
        <v>1</v>
      </c>
      <c r="H3" s="3">
        <v>46157</v>
      </c>
    </row>
    <row r="4" spans="1:8" ht="14.25">
      <c r="A4">
        <v>819</v>
      </c>
      <c r="B4" t="s">
        <v>28</v>
      </c>
      <c r="C4" t="s">
        <v>29</v>
      </c>
      <c r="D4" t="s">
        <v>23</v>
      </c>
      <c r="E4" t="s">
        <v>30</v>
      </c>
      <c r="F4" t="s">
        <v>27</v>
      </c>
      <c r="G4">
        <v>23</v>
      </c>
      <c r="H4" s="3">
        <v>46157</v>
      </c>
    </row>
    <row r="5" spans="1:8" ht="14.25">
      <c r="A5">
        <v>2</v>
      </c>
      <c r="B5" t="s">
        <v>31</v>
      </c>
      <c r="C5" t="s">
        <v>32</v>
      </c>
      <c r="D5" t="s">
        <v>23</v>
      </c>
      <c r="E5" t="s">
        <v>24</v>
      </c>
      <c r="F5" t="s">
        <v>27</v>
      </c>
      <c r="G5">
        <v>21</v>
      </c>
      <c r="H5" s="3">
        <v>46157</v>
      </c>
    </row>
    <row r="6" spans="1:8" ht="14.25">
      <c r="A6">
        <v>1370</v>
      </c>
      <c r="B6" t="s">
        <v>33</v>
      </c>
      <c r="C6" t="s">
        <v>34</v>
      </c>
      <c r="D6" t="s">
        <v>23</v>
      </c>
      <c r="E6" t="s">
        <v>24</v>
      </c>
      <c r="F6" t="s">
        <v>27</v>
      </c>
      <c r="G6">
        <v>4</v>
      </c>
      <c r="H6" s="3">
        <v>46157</v>
      </c>
    </row>
    <row r="7" spans="1:8" ht="14.25">
      <c r="A7">
        <v>1415</v>
      </c>
      <c r="B7" t="s">
        <v>33</v>
      </c>
      <c r="C7" t="s">
        <v>22</v>
      </c>
      <c r="D7" t="s">
        <v>23</v>
      </c>
      <c r="E7" t="s">
        <v>24</v>
      </c>
      <c r="F7" t="s">
        <v>35</v>
      </c>
      <c r="H7" s="3">
        <v>46157</v>
      </c>
    </row>
    <row r="8" spans="1:8" ht="14.25">
      <c r="A8">
        <v>1286</v>
      </c>
      <c r="B8" t="s">
        <v>36</v>
      </c>
      <c r="C8" t="s">
        <v>34</v>
      </c>
      <c r="D8" t="s">
        <v>23</v>
      </c>
      <c r="E8" t="s">
        <v>24</v>
      </c>
      <c r="F8" t="s">
        <v>27</v>
      </c>
      <c r="G8">
        <v>13</v>
      </c>
      <c r="H8" s="3">
        <v>46157</v>
      </c>
    </row>
    <row r="9" spans="1:8" ht="14.25">
      <c r="A9">
        <v>1381</v>
      </c>
      <c r="B9" t="s">
        <v>36</v>
      </c>
      <c r="C9" t="s">
        <v>37</v>
      </c>
      <c r="D9" t="s">
        <v>23</v>
      </c>
      <c r="E9" t="s">
        <v>24</v>
      </c>
      <c r="F9" t="s">
        <v>25</v>
      </c>
      <c r="H9" s="3">
        <v>46157</v>
      </c>
    </row>
    <row r="10" spans="1:8" ht="14.25">
      <c r="A10">
        <v>1112</v>
      </c>
      <c r="B10" t="s">
        <v>38</v>
      </c>
      <c r="C10" t="s">
        <v>39</v>
      </c>
      <c r="D10" t="s">
        <v>23</v>
      </c>
      <c r="E10" t="s">
        <v>24</v>
      </c>
      <c r="F10" t="s">
        <v>27</v>
      </c>
      <c r="G10">
        <v>16</v>
      </c>
      <c r="H10" s="3">
        <v>46157</v>
      </c>
    </row>
    <row r="11" spans="1:8" ht="14.25">
      <c r="A11">
        <v>1135</v>
      </c>
      <c r="B11" t="s">
        <v>40</v>
      </c>
      <c r="C11" t="s">
        <v>41</v>
      </c>
      <c r="D11" t="s">
        <v>23</v>
      </c>
      <c r="E11" t="s">
        <v>24</v>
      </c>
      <c r="F11" t="s">
        <v>27</v>
      </c>
      <c r="G11">
        <v>1</v>
      </c>
      <c r="H11" s="3">
        <v>46157</v>
      </c>
    </row>
    <row r="12" spans="1:8" ht="14.25">
      <c r="A12">
        <v>982</v>
      </c>
      <c r="B12" t="s">
        <v>42</v>
      </c>
      <c r="C12" t="s">
        <v>32</v>
      </c>
      <c r="D12" t="s">
        <v>23</v>
      </c>
      <c r="E12" t="s">
        <v>24</v>
      </c>
      <c r="F12" t="s">
        <v>27</v>
      </c>
      <c r="G12">
        <v>22</v>
      </c>
      <c r="H12" s="3">
        <v>46157</v>
      </c>
    </row>
    <row r="13" spans="1:8" ht="14.25">
      <c r="A13">
        <v>1328</v>
      </c>
      <c r="B13" t="s">
        <v>43</v>
      </c>
      <c r="C13" t="s">
        <v>44</v>
      </c>
      <c r="D13" t="s">
        <v>23</v>
      </c>
      <c r="E13" t="s">
        <v>24</v>
      </c>
      <c r="F13" t="s">
        <v>27</v>
      </c>
      <c r="G13">
        <v>4</v>
      </c>
      <c r="H13" s="3">
        <v>46157</v>
      </c>
    </row>
    <row r="14" spans="1:8" ht="14.25">
      <c r="A14">
        <v>369</v>
      </c>
      <c r="B14" t="s">
        <v>45</v>
      </c>
      <c r="C14" t="s">
        <v>46</v>
      </c>
      <c r="D14" t="s">
        <v>23</v>
      </c>
      <c r="E14" t="s">
        <v>24</v>
      </c>
      <c r="F14" t="s">
        <v>27</v>
      </c>
      <c r="G14">
        <v>8</v>
      </c>
      <c r="H14" s="3">
        <v>46157</v>
      </c>
    </row>
    <row r="15" spans="1:8" ht="14.25">
      <c r="A15">
        <v>7</v>
      </c>
      <c r="B15" t="s">
        <v>45</v>
      </c>
      <c r="C15" t="s">
        <v>47</v>
      </c>
      <c r="D15" t="s">
        <v>48</v>
      </c>
      <c r="E15" t="s">
        <v>24</v>
      </c>
      <c r="F15" t="s">
        <v>27</v>
      </c>
      <c r="G15">
        <v>32</v>
      </c>
      <c r="H15" s="3">
        <v>46157</v>
      </c>
    </row>
    <row r="16" spans="1:8" ht="14.25">
      <c r="A16">
        <v>473</v>
      </c>
      <c r="B16" t="s">
        <v>45</v>
      </c>
      <c r="C16" t="s">
        <v>49</v>
      </c>
      <c r="D16" t="s">
        <v>48</v>
      </c>
      <c r="E16" t="s">
        <v>24</v>
      </c>
      <c r="F16" t="s">
        <v>27</v>
      </c>
      <c r="G16">
        <v>33</v>
      </c>
      <c r="H16" s="3">
        <v>46157</v>
      </c>
    </row>
    <row r="17" spans="1:8" ht="14.25">
      <c r="A17">
        <v>1384</v>
      </c>
      <c r="B17" t="s">
        <v>50</v>
      </c>
      <c r="C17" t="s">
        <v>51</v>
      </c>
      <c r="D17" t="s">
        <v>23</v>
      </c>
      <c r="E17" t="s">
        <v>24</v>
      </c>
      <c r="F17" t="s">
        <v>27</v>
      </c>
      <c r="G17">
        <v>30</v>
      </c>
      <c r="H17" s="3">
        <v>46157</v>
      </c>
    </row>
    <row r="18" spans="1:8" ht="14.25">
      <c r="A18">
        <v>1348</v>
      </c>
      <c r="B18" t="s">
        <v>52</v>
      </c>
      <c r="C18" t="s">
        <v>53</v>
      </c>
      <c r="D18" t="s">
        <v>54</v>
      </c>
      <c r="E18" t="s">
        <v>30</v>
      </c>
      <c r="F18" t="s">
        <v>25</v>
      </c>
      <c r="H18" s="3">
        <v>46157</v>
      </c>
    </row>
    <row r="19" spans="1:8" ht="14.25">
      <c r="A19">
        <v>1275</v>
      </c>
      <c r="B19" t="s">
        <v>52</v>
      </c>
      <c r="C19" t="s">
        <v>55</v>
      </c>
      <c r="D19" t="s">
        <v>23</v>
      </c>
      <c r="E19" t="s">
        <v>30</v>
      </c>
      <c r="F19" t="s">
        <v>35</v>
      </c>
      <c r="H19" s="3">
        <v>46157</v>
      </c>
    </row>
    <row r="20" spans="1:8" ht="14.25">
      <c r="A20">
        <v>68</v>
      </c>
      <c r="B20" t="s">
        <v>56</v>
      </c>
      <c r="C20" t="s">
        <v>57</v>
      </c>
      <c r="D20" t="s">
        <v>48</v>
      </c>
      <c r="E20" t="s">
        <v>24</v>
      </c>
      <c r="F20" t="s">
        <v>27</v>
      </c>
      <c r="G20">
        <v>35</v>
      </c>
      <c r="H20" s="3">
        <v>46157</v>
      </c>
    </row>
    <row r="21" spans="1:8" ht="14.25">
      <c r="A21">
        <v>1035</v>
      </c>
      <c r="B21" t="s">
        <v>58</v>
      </c>
      <c r="C21" t="s">
        <v>59</v>
      </c>
      <c r="D21" t="s">
        <v>23</v>
      </c>
      <c r="E21" t="s">
        <v>24</v>
      </c>
      <c r="F21" t="s">
        <v>27</v>
      </c>
      <c r="G21">
        <v>6</v>
      </c>
      <c r="H21" s="3">
        <v>46157</v>
      </c>
    </row>
    <row r="22" spans="1:8" ht="14.25">
      <c r="A22">
        <v>1416</v>
      </c>
      <c r="B22" t="s">
        <v>60</v>
      </c>
      <c r="C22" t="s">
        <v>61</v>
      </c>
      <c r="D22" t="s">
        <v>23</v>
      </c>
      <c r="E22" t="s">
        <v>24</v>
      </c>
      <c r="F22" t="s">
        <v>25</v>
      </c>
      <c r="H22" s="3">
        <v>46157</v>
      </c>
    </row>
    <row r="23" spans="1:8" ht="14.25">
      <c r="A23">
        <v>1326</v>
      </c>
      <c r="B23" t="s">
        <v>62</v>
      </c>
      <c r="C23" t="s">
        <v>63</v>
      </c>
      <c r="D23" t="s">
        <v>23</v>
      </c>
      <c r="E23" t="s">
        <v>30</v>
      </c>
      <c r="F23" t="s">
        <v>25</v>
      </c>
      <c r="H23" s="3">
        <v>46157</v>
      </c>
    </row>
    <row r="24" spans="1:8" ht="14.25">
      <c r="A24">
        <v>477</v>
      </c>
      <c r="B24" t="s">
        <v>64</v>
      </c>
      <c r="C24" t="s">
        <v>65</v>
      </c>
      <c r="D24" t="s">
        <v>23</v>
      </c>
      <c r="E24" t="s">
        <v>30</v>
      </c>
      <c r="F24" t="s">
        <v>27</v>
      </c>
      <c r="G24">
        <v>34</v>
      </c>
      <c r="H24" s="3">
        <v>46157</v>
      </c>
    </row>
    <row r="25" spans="1:8" ht="14.25">
      <c r="A25">
        <v>10</v>
      </c>
      <c r="B25" t="s">
        <v>64</v>
      </c>
      <c r="C25" t="s">
        <v>66</v>
      </c>
      <c r="D25" t="s">
        <v>48</v>
      </c>
      <c r="E25" t="s">
        <v>24</v>
      </c>
      <c r="F25" t="s">
        <v>27</v>
      </c>
      <c r="G25">
        <v>35</v>
      </c>
      <c r="H25" s="3">
        <v>46157</v>
      </c>
    </row>
    <row r="26" spans="1:8" ht="14.25">
      <c r="A26">
        <v>1414</v>
      </c>
      <c r="B26" t="s">
        <v>67</v>
      </c>
      <c r="C26" t="s">
        <v>36</v>
      </c>
      <c r="D26" t="s">
        <v>23</v>
      </c>
      <c r="E26" t="s">
        <v>24</v>
      </c>
      <c r="F26" t="s">
        <v>27</v>
      </c>
      <c r="G26">
        <v>13</v>
      </c>
      <c r="H26" s="3">
        <v>46157</v>
      </c>
    </row>
    <row r="27" spans="1:8" ht="14.25">
      <c r="A27">
        <v>1029</v>
      </c>
      <c r="B27" t="s">
        <v>68</v>
      </c>
      <c r="C27" t="s">
        <v>69</v>
      </c>
      <c r="D27" t="s">
        <v>23</v>
      </c>
      <c r="E27" t="s">
        <v>24</v>
      </c>
      <c r="F27" t="s">
        <v>27</v>
      </c>
      <c r="G27">
        <v>28</v>
      </c>
      <c r="H27" s="3">
        <v>46157</v>
      </c>
    </row>
    <row r="28" spans="1:8" ht="14.25">
      <c r="A28">
        <v>13</v>
      </c>
      <c r="B28" t="s">
        <v>70</v>
      </c>
      <c r="C28" t="s">
        <v>51</v>
      </c>
      <c r="D28" t="s">
        <v>23</v>
      </c>
      <c r="E28" t="s">
        <v>24</v>
      </c>
      <c r="F28" t="s">
        <v>27</v>
      </c>
      <c r="G28">
        <v>28</v>
      </c>
      <c r="H28" s="3">
        <v>46157</v>
      </c>
    </row>
    <row r="29" spans="1:8" ht="14.25">
      <c r="A29">
        <v>1255</v>
      </c>
      <c r="B29" t="s">
        <v>71</v>
      </c>
      <c r="C29" t="s">
        <v>72</v>
      </c>
      <c r="D29" t="s">
        <v>23</v>
      </c>
      <c r="E29" t="s">
        <v>30</v>
      </c>
      <c r="F29" t="s">
        <v>27</v>
      </c>
      <c r="G29">
        <v>13</v>
      </c>
      <c r="H29" s="3">
        <v>46157</v>
      </c>
    </row>
    <row r="30" spans="1:8" ht="14.25">
      <c r="A30">
        <v>1405</v>
      </c>
      <c r="B30" t="s">
        <v>73</v>
      </c>
      <c r="C30" t="s">
        <v>74</v>
      </c>
      <c r="D30" t="s">
        <v>23</v>
      </c>
      <c r="E30" t="s">
        <v>30</v>
      </c>
      <c r="F30" t="s">
        <v>35</v>
      </c>
      <c r="H30" s="3">
        <v>46157</v>
      </c>
    </row>
    <row r="31" spans="1:8" ht="14.25">
      <c r="A31">
        <v>1421</v>
      </c>
      <c r="B31" t="s">
        <v>75</v>
      </c>
      <c r="C31" t="s">
        <v>76</v>
      </c>
      <c r="D31" t="s">
        <v>23</v>
      </c>
      <c r="E31" t="s">
        <v>30</v>
      </c>
      <c r="F31" t="s">
        <v>27</v>
      </c>
      <c r="G31">
        <v>12</v>
      </c>
      <c r="H31" s="3">
        <v>46157</v>
      </c>
    </row>
    <row r="32" spans="1:8" ht="14.25">
      <c r="A32">
        <v>1418</v>
      </c>
      <c r="B32" t="s">
        <v>75</v>
      </c>
      <c r="C32" t="s">
        <v>22</v>
      </c>
      <c r="D32" t="s">
        <v>23</v>
      </c>
      <c r="E32" t="s">
        <v>24</v>
      </c>
      <c r="F32" t="s">
        <v>25</v>
      </c>
      <c r="H32" s="3">
        <v>46157</v>
      </c>
    </row>
    <row r="33" spans="1:8" ht="14.25">
      <c r="A33">
        <v>919</v>
      </c>
      <c r="B33" t="s">
        <v>77</v>
      </c>
      <c r="C33" t="s">
        <v>51</v>
      </c>
      <c r="D33" t="s">
        <v>23</v>
      </c>
      <c r="E33" t="s">
        <v>24</v>
      </c>
      <c r="F33" t="s">
        <v>27</v>
      </c>
      <c r="G33">
        <v>16</v>
      </c>
      <c r="H33" s="3">
        <v>46157</v>
      </c>
    </row>
    <row r="34" spans="1:8" ht="14.25">
      <c r="A34">
        <v>1319</v>
      </c>
      <c r="B34" t="s">
        <v>78</v>
      </c>
      <c r="C34" t="s">
        <v>32</v>
      </c>
      <c r="D34" t="s">
        <v>23</v>
      </c>
      <c r="E34" t="s">
        <v>24</v>
      </c>
      <c r="F34" t="s">
        <v>27</v>
      </c>
      <c r="G34">
        <v>9</v>
      </c>
      <c r="H34" s="3">
        <v>46157</v>
      </c>
    </row>
    <row r="35" spans="1:8" ht="14.25">
      <c r="A35">
        <v>1389</v>
      </c>
      <c r="B35" t="s">
        <v>79</v>
      </c>
      <c r="C35" t="s">
        <v>80</v>
      </c>
      <c r="D35" t="s">
        <v>23</v>
      </c>
      <c r="E35" t="s">
        <v>24</v>
      </c>
      <c r="F35" t="s">
        <v>25</v>
      </c>
      <c r="H35" s="3">
        <v>46157</v>
      </c>
    </row>
    <row r="36" spans="1:8" ht="14.25">
      <c r="A36">
        <v>940</v>
      </c>
      <c r="B36" t="s">
        <v>81</v>
      </c>
      <c r="C36" t="s">
        <v>82</v>
      </c>
      <c r="D36" t="s">
        <v>23</v>
      </c>
      <c r="E36" t="s">
        <v>30</v>
      </c>
      <c r="F36" t="s">
        <v>27</v>
      </c>
      <c r="G36">
        <v>9</v>
      </c>
      <c r="H36" s="3">
        <v>46157</v>
      </c>
    </row>
    <row r="37" spans="1:8" ht="14.25">
      <c r="A37">
        <v>806</v>
      </c>
      <c r="B37" t="s">
        <v>81</v>
      </c>
      <c r="C37" t="s">
        <v>83</v>
      </c>
      <c r="D37" t="s">
        <v>23</v>
      </c>
      <c r="E37" t="s">
        <v>24</v>
      </c>
      <c r="F37" t="s">
        <v>27</v>
      </c>
      <c r="G37">
        <v>11</v>
      </c>
      <c r="H37" s="3">
        <v>46157</v>
      </c>
    </row>
    <row r="38" spans="1:8" ht="14.25">
      <c r="A38">
        <v>482</v>
      </c>
      <c r="B38" t="s">
        <v>84</v>
      </c>
      <c r="C38" t="s">
        <v>85</v>
      </c>
      <c r="D38" t="s">
        <v>23</v>
      </c>
      <c r="E38" t="s">
        <v>24</v>
      </c>
      <c r="F38" t="s">
        <v>27</v>
      </c>
      <c r="G38">
        <v>13</v>
      </c>
      <c r="H38" s="3">
        <v>46157</v>
      </c>
    </row>
    <row r="39" spans="1:8" ht="14.25">
      <c r="A39">
        <v>674</v>
      </c>
      <c r="B39" t="s">
        <v>86</v>
      </c>
      <c r="C39" t="s">
        <v>87</v>
      </c>
      <c r="D39" t="s">
        <v>54</v>
      </c>
      <c r="E39" t="s">
        <v>30</v>
      </c>
      <c r="F39" t="s">
        <v>27</v>
      </c>
      <c r="G39">
        <v>23</v>
      </c>
      <c r="H39" s="3">
        <v>46157</v>
      </c>
    </row>
    <row r="40" spans="1:8" ht="14.25">
      <c r="A40">
        <v>1061</v>
      </c>
      <c r="B40" t="s">
        <v>88</v>
      </c>
      <c r="C40" t="s">
        <v>89</v>
      </c>
      <c r="D40" t="s">
        <v>23</v>
      </c>
      <c r="E40" t="s">
        <v>24</v>
      </c>
      <c r="F40" t="s">
        <v>27</v>
      </c>
      <c r="G40">
        <v>19</v>
      </c>
      <c r="H40" s="3">
        <v>46157</v>
      </c>
    </row>
    <row r="41" spans="1:8" ht="14.25">
      <c r="A41">
        <v>763</v>
      </c>
      <c r="B41" t="s">
        <v>90</v>
      </c>
      <c r="C41" t="s">
        <v>59</v>
      </c>
      <c r="D41" t="s">
        <v>23</v>
      </c>
      <c r="E41" t="s">
        <v>24</v>
      </c>
      <c r="F41" t="s">
        <v>27</v>
      </c>
      <c r="G41">
        <v>17</v>
      </c>
      <c r="H41" s="3">
        <v>46157</v>
      </c>
    </row>
    <row r="42" spans="1:8" ht="14.25">
      <c r="A42">
        <v>1227</v>
      </c>
      <c r="B42" t="s">
        <v>91</v>
      </c>
      <c r="C42" t="s">
        <v>92</v>
      </c>
      <c r="D42" t="s">
        <v>23</v>
      </c>
      <c r="E42" t="s">
        <v>30</v>
      </c>
      <c r="F42" t="s">
        <v>27</v>
      </c>
      <c r="G42">
        <v>8</v>
      </c>
      <c r="H42" s="3">
        <v>46157</v>
      </c>
    </row>
    <row r="43" spans="1:8" ht="14.25">
      <c r="A43">
        <v>715</v>
      </c>
      <c r="B43" t="s">
        <v>93</v>
      </c>
      <c r="C43" t="s">
        <v>94</v>
      </c>
      <c r="D43" t="s">
        <v>23</v>
      </c>
      <c r="E43" t="s">
        <v>24</v>
      </c>
      <c r="F43" t="s">
        <v>27</v>
      </c>
      <c r="G43">
        <v>5</v>
      </c>
      <c r="H43" s="3">
        <v>46157</v>
      </c>
    </row>
    <row r="44" spans="1:8" ht="14.25">
      <c r="A44">
        <v>567</v>
      </c>
      <c r="B44" t="s">
        <v>95</v>
      </c>
      <c r="C44" t="s">
        <v>96</v>
      </c>
      <c r="D44" t="s">
        <v>23</v>
      </c>
      <c r="E44" t="s">
        <v>24</v>
      </c>
      <c r="F44" t="s">
        <v>27</v>
      </c>
      <c r="G44">
        <v>7</v>
      </c>
      <c r="H44" s="3">
        <v>46157</v>
      </c>
    </row>
    <row r="45" spans="1:8" ht="14.25">
      <c r="A45">
        <v>1391</v>
      </c>
      <c r="B45" t="s">
        <v>97</v>
      </c>
      <c r="C45" t="s">
        <v>98</v>
      </c>
      <c r="D45" t="s">
        <v>23</v>
      </c>
      <c r="E45" t="s">
        <v>30</v>
      </c>
      <c r="F45" t="s">
        <v>25</v>
      </c>
      <c r="H45" s="3">
        <v>46157</v>
      </c>
    </row>
    <row r="46" spans="1:8" ht="14.25">
      <c r="A46">
        <v>704</v>
      </c>
      <c r="B46" t="s">
        <v>99</v>
      </c>
      <c r="C46" t="s">
        <v>100</v>
      </c>
      <c r="D46" t="s">
        <v>23</v>
      </c>
      <c r="E46" t="s">
        <v>24</v>
      </c>
      <c r="F46" t="s">
        <v>27</v>
      </c>
      <c r="G46">
        <v>21</v>
      </c>
      <c r="H46" s="3">
        <v>46157</v>
      </c>
    </row>
    <row r="47" spans="1:8" ht="14.25">
      <c r="A47">
        <v>1283</v>
      </c>
      <c r="B47" t="s">
        <v>101</v>
      </c>
      <c r="C47" t="s">
        <v>102</v>
      </c>
      <c r="D47" t="s">
        <v>23</v>
      </c>
      <c r="E47" t="s">
        <v>24</v>
      </c>
      <c r="F47" t="s">
        <v>27</v>
      </c>
      <c r="G47">
        <v>18</v>
      </c>
      <c r="H47" s="3">
        <v>46157</v>
      </c>
    </row>
    <row r="48" spans="1:8" ht="14.25">
      <c r="A48">
        <v>295</v>
      </c>
      <c r="B48" t="s">
        <v>103</v>
      </c>
      <c r="C48" t="s">
        <v>104</v>
      </c>
      <c r="D48" t="s">
        <v>23</v>
      </c>
      <c r="E48" t="s">
        <v>24</v>
      </c>
      <c r="F48" t="s">
        <v>27</v>
      </c>
      <c r="G48">
        <v>15</v>
      </c>
      <c r="H48" s="3">
        <v>46157</v>
      </c>
    </row>
    <row r="49" spans="1:8" ht="14.25">
      <c r="A49">
        <v>1226</v>
      </c>
      <c r="B49" t="s">
        <v>105</v>
      </c>
      <c r="C49" t="s">
        <v>106</v>
      </c>
      <c r="D49" t="s">
        <v>23</v>
      </c>
      <c r="E49" t="s">
        <v>30</v>
      </c>
      <c r="F49" t="s">
        <v>25</v>
      </c>
      <c r="H49" s="3">
        <v>46157</v>
      </c>
    </row>
    <row r="50" spans="1:8" ht="14.25">
      <c r="A50">
        <v>1333</v>
      </c>
      <c r="B50" t="s">
        <v>107</v>
      </c>
      <c r="C50" t="s">
        <v>108</v>
      </c>
      <c r="D50" t="s">
        <v>23</v>
      </c>
      <c r="E50" t="s">
        <v>24</v>
      </c>
      <c r="F50" t="s">
        <v>27</v>
      </c>
      <c r="G50">
        <v>3</v>
      </c>
      <c r="H50" s="3">
        <v>46157</v>
      </c>
    </row>
    <row r="51" spans="1:8" ht="14.25">
      <c r="A51">
        <v>1185</v>
      </c>
      <c r="B51" t="s">
        <v>109</v>
      </c>
      <c r="C51" t="s">
        <v>110</v>
      </c>
      <c r="D51" t="s">
        <v>23</v>
      </c>
      <c r="E51" t="s">
        <v>30</v>
      </c>
      <c r="F51" t="s">
        <v>35</v>
      </c>
      <c r="H51" s="3">
        <v>46157</v>
      </c>
    </row>
    <row r="52" spans="1:8" ht="14.25">
      <c r="A52">
        <v>1065</v>
      </c>
      <c r="B52" t="s">
        <v>109</v>
      </c>
      <c r="C52" t="s">
        <v>41</v>
      </c>
      <c r="D52" t="s">
        <v>23</v>
      </c>
      <c r="E52" t="s">
        <v>24</v>
      </c>
      <c r="F52" t="s">
        <v>27</v>
      </c>
      <c r="G52">
        <v>1</v>
      </c>
      <c r="H52" s="3">
        <v>46157</v>
      </c>
    </row>
    <row r="53" spans="1:8" ht="14.25">
      <c r="A53">
        <v>1407</v>
      </c>
      <c r="B53" t="s">
        <v>111</v>
      </c>
      <c r="C53" t="s">
        <v>112</v>
      </c>
      <c r="D53" t="s">
        <v>23</v>
      </c>
      <c r="E53" t="s">
        <v>24</v>
      </c>
      <c r="F53" t="s">
        <v>25</v>
      </c>
      <c r="H53" s="3">
        <v>46157</v>
      </c>
    </row>
    <row r="54" spans="1:8" ht="14.25">
      <c r="A54">
        <v>1096</v>
      </c>
      <c r="B54" t="s">
        <v>113</v>
      </c>
      <c r="C54" t="s">
        <v>114</v>
      </c>
      <c r="D54" t="s">
        <v>23</v>
      </c>
      <c r="E54" t="s">
        <v>24</v>
      </c>
      <c r="F54" t="s">
        <v>35</v>
      </c>
      <c r="H54" s="3">
        <v>46157</v>
      </c>
    </row>
    <row r="55" spans="1:8" ht="14.25">
      <c r="A55">
        <v>1236</v>
      </c>
      <c r="B55" t="s">
        <v>113</v>
      </c>
      <c r="C55" t="s">
        <v>115</v>
      </c>
      <c r="D55" t="s">
        <v>23</v>
      </c>
      <c r="E55" t="s">
        <v>30</v>
      </c>
      <c r="F55" t="s">
        <v>27</v>
      </c>
      <c r="G55">
        <v>5</v>
      </c>
      <c r="H55" s="3">
        <v>46157</v>
      </c>
    </row>
    <row r="56" spans="1:8" ht="14.25">
      <c r="A56">
        <v>699</v>
      </c>
      <c r="B56" t="s">
        <v>113</v>
      </c>
      <c r="C56" t="s">
        <v>116</v>
      </c>
      <c r="D56" t="s">
        <v>23</v>
      </c>
      <c r="E56" t="s">
        <v>24</v>
      </c>
      <c r="F56" t="s">
        <v>27</v>
      </c>
      <c r="G56">
        <v>5</v>
      </c>
      <c r="H56" s="3">
        <v>46157</v>
      </c>
    </row>
    <row r="57" spans="1:8" ht="14.25">
      <c r="A57">
        <v>1000</v>
      </c>
      <c r="B57" t="s">
        <v>120</v>
      </c>
      <c r="C57" t="s">
        <v>121</v>
      </c>
      <c r="D57" t="s">
        <v>23</v>
      </c>
      <c r="E57" t="s">
        <v>24</v>
      </c>
      <c r="F57" t="s">
        <v>25</v>
      </c>
      <c r="H57" s="3">
        <v>46157</v>
      </c>
    </row>
    <row r="58" spans="1:8" ht="14.25">
      <c r="A58">
        <v>1332</v>
      </c>
      <c r="B58" t="s">
        <v>122</v>
      </c>
      <c r="C58" t="s">
        <v>123</v>
      </c>
      <c r="D58" t="s">
        <v>23</v>
      </c>
      <c r="E58" t="s">
        <v>30</v>
      </c>
      <c r="F58" t="s">
        <v>25</v>
      </c>
      <c r="H58" s="3">
        <v>46157</v>
      </c>
    </row>
    <row r="59" spans="1:8" ht="14.25">
      <c r="A59">
        <v>682</v>
      </c>
      <c r="B59" t="s">
        <v>124</v>
      </c>
      <c r="C59" t="s">
        <v>125</v>
      </c>
      <c r="D59" t="s">
        <v>23</v>
      </c>
      <c r="E59" t="s">
        <v>24</v>
      </c>
      <c r="F59" t="s">
        <v>27</v>
      </c>
      <c r="G59">
        <v>11</v>
      </c>
      <c r="H59" s="3">
        <v>46157</v>
      </c>
    </row>
    <row r="60" spans="1:8" ht="14.25">
      <c r="A60">
        <v>1393</v>
      </c>
      <c r="B60" t="s">
        <v>126</v>
      </c>
      <c r="C60" t="s">
        <v>127</v>
      </c>
      <c r="D60" t="s">
        <v>23</v>
      </c>
      <c r="E60" t="s">
        <v>30</v>
      </c>
      <c r="F60" t="s">
        <v>27</v>
      </c>
      <c r="G60">
        <v>10</v>
      </c>
      <c r="H60" s="3">
        <v>46157</v>
      </c>
    </row>
    <row r="61" spans="1:8" ht="14.25">
      <c r="A61">
        <v>1355</v>
      </c>
      <c r="B61" t="s">
        <v>128</v>
      </c>
      <c r="C61" t="s">
        <v>129</v>
      </c>
      <c r="D61" t="s">
        <v>23</v>
      </c>
      <c r="E61" t="s">
        <v>24</v>
      </c>
      <c r="F61" t="s">
        <v>35</v>
      </c>
      <c r="H61" s="3">
        <v>46157</v>
      </c>
    </row>
    <row r="62" spans="1:8" ht="14.25">
      <c r="A62">
        <v>1164</v>
      </c>
      <c r="B62" t="s">
        <v>130</v>
      </c>
      <c r="C62" t="s">
        <v>131</v>
      </c>
      <c r="D62" t="s">
        <v>54</v>
      </c>
      <c r="E62" t="s">
        <v>30</v>
      </c>
      <c r="F62" t="s">
        <v>25</v>
      </c>
      <c r="H62" s="3">
        <v>46157</v>
      </c>
    </row>
    <row r="63" spans="1:8" ht="14.25">
      <c r="A63">
        <v>1062</v>
      </c>
      <c r="B63" t="s">
        <v>130</v>
      </c>
      <c r="C63" t="s">
        <v>83</v>
      </c>
      <c r="D63" t="s">
        <v>23</v>
      </c>
      <c r="E63" t="s">
        <v>24</v>
      </c>
      <c r="F63" t="s">
        <v>27</v>
      </c>
      <c r="G63">
        <v>9</v>
      </c>
      <c r="H63" s="3">
        <v>46157</v>
      </c>
    </row>
    <row r="64" spans="1:8" ht="14.25">
      <c r="A64">
        <v>938</v>
      </c>
      <c r="B64" t="s">
        <v>130</v>
      </c>
      <c r="C64" t="s">
        <v>132</v>
      </c>
      <c r="D64" t="s">
        <v>23</v>
      </c>
      <c r="E64" t="s">
        <v>30</v>
      </c>
      <c r="F64" t="s">
        <v>27</v>
      </c>
      <c r="G64">
        <v>7</v>
      </c>
      <c r="H64" s="3">
        <v>46157</v>
      </c>
    </row>
    <row r="65" spans="1:8" ht="14.25">
      <c r="A65">
        <v>1427</v>
      </c>
      <c r="B65" t="s">
        <v>130</v>
      </c>
      <c r="C65" t="s">
        <v>133</v>
      </c>
      <c r="D65" t="s">
        <v>23</v>
      </c>
      <c r="E65" t="s">
        <v>30</v>
      </c>
      <c r="F65" t="s">
        <v>27</v>
      </c>
      <c r="G65">
        <v>16</v>
      </c>
      <c r="H65" s="3">
        <v>46157</v>
      </c>
    </row>
    <row r="66" spans="1:8" ht="14.25">
      <c r="A66">
        <v>1034</v>
      </c>
      <c r="B66" t="s">
        <v>134</v>
      </c>
      <c r="C66" t="s">
        <v>83</v>
      </c>
      <c r="D66" t="s">
        <v>23</v>
      </c>
      <c r="E66" t="s">
        <v>24</v>
      </c>
      <c r="F66" t="s">
        <v>25</v>
      </c>
      <c r="H66" s="3">
        <v>46157</v>
      </c>
    </row>
    <row r="67" spans="1:8" ht="14.25">
      <c r="A67">
        <v>1402</v>
      </c>
      <c r="B67" t="s">
        <v>135</v>
      </c>
      <c r="C67" t="s">
        <v>136</v>
      </c>
      <c r="D67" t="s">
        <v>23</v>
      </c>
      <c r="E67" t="s">
        <v>24</v>
      </c>
      <c r="F67" t="s">
        <v>27</v>
      </c>
      <c r="G67">
        <v>7</v>
      </c>
      <c r="H67" s="3">
        <v>46157</v>
      </c>
    </row>
    <row r="68" spans="1:8" ht="14.25">
      <c r="A68">
        <v>939</v>
      </c>
      <c r="B68" t="s">
        <v>137</v>
      </c>
      <c r="C68" t="s">
        <v>127</v>
      </c>
      <c r="D68" t="s">
        <v>23</v>
      </c>
      <c r="E68" t="s">
        <v>30</v>
      </c>
      <c r="F68" t="s">
        <v>27</v>
      </c>
      <c r="G68">
        <v>12</v>
      </c>
      <c r="H68" s="3">
        <v>46157</v>
      </c>
    </row>
    <row r="69" spans="1:8" ht="14.25">
      <c r="A69">
        <v>1377</v>
      </c>
      <c r="B69" t="s">
        <v>138</v>
      </c>
      <c r="C69" t="s">
        <v>139</v>
      </c>
      <c r="D69" t="s">
        <v>23</v>
      </c>
      <c r="E69" t="s">
        <v>30</v>
      </c>
      <c r="F69" t="s">
        <v>27</v>
      </c>
      <c r="G69">
        <v>12</v>
      </c>
      <c r="H69" s="3">
        <v>46157</v>
      </c>
    </row>
    <row r="70" spans="1:8" ht="14.25">
      <c r="A70">
        <v>1281</v>
      </c>
      <c r="B70" t="s">
        <v>140</v>
      </c>
      <c r="C70" t="s">
        <v>141</v>
      </c>
      <c r="D70" t="s">
        <v>23</v>
      </c>
      <c r="E70" t="s">
        <v>24</v>
      </c>
      <c r="F70" t="s">
        <v>27</v>
      </c>
      <c r="G70">
        <v>19</v>
      </c>
      <c r="H70" s="3">
        <v>46157</v>
      </c>
    </row>
    <row r="71" spans="1:8" ht="14.25">
      <c r="A71">
        <v>933</v>
      </c>
      <c r="B71" t="s">
        <v>142</v>
      </c>
      <c r="C71" t="s">
        <v>143</v>
      </c>
      <c r="D71" t="s">
        <v>23</v>
      </c>
      <c r="E71" t="s">
        <v>24</v>
      </c>
      <c r="F71" t="s">
        <v>25</v>
      </c>
      <c r="H71" s="3">
        <v>46157</v>
      </c>
    </row>
    <row r="72" spans="1:8" ht="14.25">
      <c r="A72">
        <v>1274</v>
      </c>
      <c r="B72" t="s">
        <v>144</v>
      </c>
      <c r="C72" t="s">
        <v>145</v>
      </c>
      <c r="D72" t="s">
        <v>23</v>
      </c>
      <c r="E72" t="s">
        <v>30</v>
      </c>
      <c r="F72" t="s">
        <v>25</v>
      </c>
      <c r="H72" s="3">
        <v>46157</v>
      </c>
    </row>
    <row r="73" spans="1:8" ht="14.25">
      <c r="A73">
        <v>493</v>
      </c>
      <c r="B73" t="s">
        <v>146</v>
      </c>
      <c r="C73" t="s">
        <v>49</v>
      </c>
      <c r="D73" t="s">
        <v>48</v>
      </c>
      <c r="E73" t="s">
        <v>24</v>
      </c>
      <c r="F73" t="s">
        <v>27</v>
      </c>
      <c r="G73">
        <v>37</v>
      </c>
      <c r="H73" s="3">
        <v>46157</v>
      </c>
    </row>
    <row r="74" spans="1:8" ht="14.25">
      <c r="A74">
        <v>1279</v>
      </c>
      <c r="B74" t="s">
        <v>147</v>
      </c>
      <c r="C74" t="s">
        <v>148</v>
      </c>
      <c r="D74" t="s">
        <v>23</v>
      </c>
      <c r="E74" t="s">
        <v>24</v>
      </c>
      <c r="F74" t="s">
        <v>27</v>
      </c>
      <c r="G74">
        <v>4</v>
      </c>
      <c r="H74" s="3">
        <v>46157</v>
      </c>
    </row>
    <row r="75" spans="1:8" ht="14.25">
      <c r="A75">
        <v>1193</v>
      </c>
      <c r="B75" t="s">
        <v>149</v>
      </c>
      <c r="C75" t="s">
        <v>150</v>
      </c>
      <c r="D75" t="s">
        <v>23</v>
      </c>
      <c r="E75" t="s">
        <v>24</v>
      </c>
      <c r="F75" t="s">
        <v>25</v>
      </c>
      <c r="H75" s="3">
        <v>46157</v>
      </c>
    </row>
    <row r="76" spans="1:8" ht="14.25">
      <c r="A76">
        <v>1194</v>
      </c>
      <c r="B76" t="s">
        <v>149</v>
      </c>
      <c r="C76" t="s">
        <v>151</v>
      </c>
      <c r="D76" t="s">
        <v>23</v>
      </c>
      <c r="E76" t="s">
        <v>30</v>
      </c>
      <c r="F76" t="s">
        <v>25</v>
      </c>
      <c r="H76" s="3">
        <v>46157</v>
      </c>
    </row>
    <row r="77" spans="1:8" ht="14.25">
      <c r="A77">
        <v>1196</v>
      </c>
      <c r="B77" t="s">
        <v>149</v>
      </c>
      <c r="C77" t="s">
        <v>152</v>
      </c>
      <c r="D77" t="s">
        <v>23</v>
      </c>
      <c r="E77" t="s">
        <v>24</v>
      </c>
      <c r="F77" t="s">
        <v>35</v>
      </c>
      <c r="H77" s="3">
        <v>46157</v>
      </c>
    </row>
    <row r="78" spans="1:8" ht="14.25">
      <c r="A78">
        <v>1195</v>
      </c>
      <c r="B78" t="s">
        <v>149</v>
      </c>
      <c r="C78" t="s">
        <v>153</v>
      </c>
      <c r="D78" t="s">
        <v>23</v>
      </c>
      <c r="E78" t="s">
        <v>24</v>
      </c>
      <c r="F78" t="s">
        <v>35</v>
      </c>
      <c r="H78" s="3">
        <v>46157</v>
      </c>
    </row>
    <row r="79" spans="1:8" ht="14.25">
      <c r="A79">
        <v>1176</v>
      </c>
      <c r="B79" t="s">
        <v>154</v>
      </c>
      <c r="C79" t="s">
        <v>155</v>
      </c>
      <c r="D79" t="s">
        <v>23</v>
      </c>
      <c r="E79" t="s">
        <v>24</v>
      </c>
      <c r="F79" t="s">
        <v>35</v>
      </c>
      <c r="H79" s="3">
        <v>46157</v>
      </c>
    </row>
    <row r="80" spans="1:8" ht="14.25">
      <c r="A80">
        <v>1174</v>
      </c>
      <c r="B80" t="s">
        <v>154</v>
      </c>
      <c r="C80" t="s">
        <v>156</v>
      </c>
      <c r="D80" t="s">
        <v>23</v>
      </c>
      <c r="E80" t="s">
        <v>30</v>
      </c>
      <c r="F80" t="s">
        <v>27</v>
      </c>
      <c r="G80">
        <v>6</v>
      </c>
      <c r="H80" s="3">
        <v>46157</v>
      </c>
    </row>
    <row r="81" spans="1:8" ht="14.25">
      <c r="A81">
        <v>1175</v>
      </c>
      <c r="B81" t="s">
        <v>154</v>
      </c>
      <c r="C81" t="s">
        <v>150</v>
      </c>
      <c r="D81" t="s">
        <v>23</v>
      </c>
      <c r="E81" t="s">
        <v>24</v>
      </c>
      <c r="F81" t="s">
        <v>27</v>
      </c>
      <c r="G81">
        <v>12</v>
      </c>
      <c r="H81" s="3">
        <v>46157</v>
      </c>
    </row>
    <row r="82" spans="1:8" ht="14.25">
      <c r="A82">
        <v>1109</v>
      </c>
      <c r="B82" t="s">
        <v>157</v>
      </c>
      <c r="C82" t="s">
        <v>104</v>
      </c>
      <c r="D82" t="s">
        <v>23</v>
      </c>
      <c r="E82" t="s">
        <v>24</v>
      </c>
      <c r="F82" t="s">
        <v>25</v>
      </c>
      <c r="H82" s="3">
        <v>46157</v>
      </c>
    </row>
    <row r="83" spans="1:8" ht="14.25">
      <c r="A83">
        <v>1073</v>
      </c>
      <c r="B83" t="s">
        <v>158</v>
      </c>
      <c r="C83" t="s">
        <v>150</v>
      </c>
      <c r="D83" t="s">
        <v>23</v>
      </c>
      <c r="E83" t="s">
        <v>24</v>
      </c>
      <c r="F83" t="s">
        <v>27</v>
      </c>
      <c r="G83">
        <v>3</v>
      </c>
      <c r="H83" s="3">
        <v>46157</v>
      </c>
    </row>
    <row r="84" spans="1:8" ht="14.25">
      <c r="A84">
        <v>1400</v>
      </c>
      <c r="B84" t="s">
        <v>159</v>
      </c>
      <c r="C84" t="s">
        <v>160</v>
      </c>
      <c r="D84" t="s">
        <v>23</v>
      </c>
      <c r="E84" t="s">
        <v>24</v>
      </c>
      <c r="F84" t="s">
        <v>25</v>
      </c>
      <c r="H84" s="3">
        <v>46157</v>
      </c>
    </row>
    <row r="85" spans="1:8" ht="14.25">
      <c r="A85">
        <v>1367</v>
      </c>
      <c r="B85" t="s">
        <v>161</v>
      </c>
      <c r="C85" t="s">
        <v>152</v>
      </c>
      <c r="D85" t="s">
        <v>23</v>
      </c>
      <c r="E85" t="s">
        <v>24</v>
      </c>
      <c r="F85" t="s">
        <v>35</v>
      </c>
      <c r="H85" s="3">
        <v>46157</v>
      </c>
    </row>
    <row r="86" spans="1:8" ht="14.25">
      <c r="A86">
        <v>1366</v>
      </c>
      <c r="B86" t="s">
        <v>161</v>
      </c>
      <c r="C86" t="s">
        <v>162</v>
      </c>
      <c r="D86" t="s">
        <v>23</v>
      </c>
      <c r="E86" t="s">
        <v>30</v>
      </c>
      <c r="F86" t="s">
        <v>25</v>
      </c>
      <c r="H86" s="3">
        <v>46157</v>
      </c>
    </row>
    <row r="87" spans="1:8" ht="14.25">
      <c r="A87">
        <v>1365</v>
      </c>
      <c r="B87" t="s">
        <v>161</v>
      </c>
      <c r="C87" t="s">
        <v>163</v>
      </c>
      <c r="D87" t="s">
        <v>23</v>
      </c>
      <c r="E87" t="s">
        <v>30</v>
      </c>
      <c r="F87" t="s">
        <v>27</v>
      </c>
      <c r="G87">
        <v>7</v>
      </c>
      <c r="H87" s="3">
        <v>46157</v>
      </c>
    </row>
    <row r="88" spans="1:8" ht="14.25">
      <c r="A88">
        <v>897</v>
      </c>
      <c r="B88" t="s">
        <v>161</v>
      </c>
      <c r="C88" t="s">
        <v>164</v>
      </c>
      <c r="D88" t="s">
        <v>23</v>
      </c>
      <c r="E88" t="s">
        <v>24</v>
      </c>
      <c r="F88" t="s">
        <v>27</v>
      </c>
      <c r="G88">
        <v>13</v>
      </c>
      <c r="H88" s="3">
        <v>46157</v>
      </c>
    </row>
    <row r="89" spans="1:8" ht="14.25">
      <c r="A89">
        <v>1308</v>
      </c>
      <c r="B89" t="s">
        <v>165</v>
      </c>
      <c r="C89" t="s">
        <v>166</v>
      </c>
      <c r="D89" t="s">
        <v>23</v>
      </c>
      <c r="E89" t="s">
        <v>30</v>
      </c>
      <c r="F89" t="s">
        <v>27</v>
      </c>
      <c r="G89">
        <v>2</v>
      </c>
      <c r="H89" s="3">
        <v>46157</v>
      </c>
    </row>
    <row r="90" spans="1:8" ht="14.25">
      <c r="A90">
        <v>1206</v>
      </c>
      <c r="B90" t="s">
        <v>167</v>
      </c>
      <c r="C90" t="s">
        <v>168</v>
      </c>
      <c r="D90" t="s">
        <v>23</v>
      </c>
      <c r="E90" t="s">
        <v>30</v>
      </c>
      <c r="F90" t="s">
        <v>27</v>
      </c>
      <c r="G90">
        <v>8</v>
      </c>
      <c r="H90" s="3">
        <v>46157</v>
      </c>
    </row>
    <row r="91" spans="1:8" ht="14.25">
      <c r="A91">
        <v>1205</v>
      </c>
      <c r="B91" t="s">
        <v>167</v>
      </c>
      <c r="C91" t="s">
        <v>66</v>
      </c>
      <c r="D91" t="s">
        <v>23</v>
      </c>
      <c r="E91" t="s">
        <v>24</v>
      </c>
      <c r="F91" t="s">
        <v>27</v>
      </c>
      <c r="G91">
        <v>14</v>
      </c>
      <c r="H91" s="3">
        <v>46157</v>
      </c>
    </row>
    <row r="92" spans="1:8" ht="14.25">
      <c r="A92">
        <v>1406</v>
      </c>
      <c r="B92" t="s">
        <v>169</v>
      </c>
      <c r="C92" t="s">
        <v>170</v>
      </c>
      <c r="D92" t="s">
        <v>23</v>
      </c>
      <c r="E92" t="s">
        <v>24</v>
      </c>
      <c r="F92" t="s">
        <v>27</v>
      </c>
      <c r="G92">
        <v>9</v>
      </c>
      <c r="H92" s="3">
        <v>46157</v>
      </c>
    </row>
    <row r="93" spans="1:8" ht="14.25">
      <c r="A93">
        <v>1182</v>
      </c>
      <c r="B93" t="s">
        <v>171</v>
      </c>
      <c r="C93" t="s">
        <v>136</v>
      </c>
      <c r="D93" t="s">
        <v>23</v>
      </c>
      <c r="E93" t="s">
        <v>24</v>
      </c>
      <c r="F93" t="s">
        <v>27</v>
      </c>
      <c r="G93">
        <v>8</v>
      </c>
      <c r="H93" s="3">
        <v>46157</v>
      </c>
    </row>
    <row r="94" spans="1:8" ht="14.25">
      <c r="A94">
        <v>1340</v>
      </c>
      <c r="B94" t="s">
        <v>172</v>
      </c>
      <c r="C94" t="s">
        <v>173</v>
      </c>
      <c r="D94" t="s">
        <v>23</v>
      </c>
      <c r="E94" t="s">
        <v>24</v>
      </c>
      <c r="F94" t="s">
        <v>27</v>
      </c>
      <c r="G94">
        <v>8</v>
      </c>
      <c r="H94" s="3">
        <v>46157</v>
      </c>
    </row>
    <row r="95" spans="1:8" ht="14.25">
      <c r="A95">
        <v>21</v>
      </c>
      <c r="B95" t="s">
        <v>174</v>
      </c>
      <c r="C95" t="s">
        <v>175</v>
      </c>
      <c r="D95" t="s">
        <v>23</v>
      </c>
      <c r="E95" t="s">
        <v>24</v>
      </c>
      <c r="F95" t="s">
        <v>25</v>
      </c>
      <c r="H95" s="3">
        <v>46157</v>
      </c>
    </row>
    <row r="96" spans="1:8" ht="14.25">
      <c r="A96">
        <v>1049</v>
      </c>
      <c r="B96" t="s">
        <v>176</v>
      </c>
      <c r="C96" t="s">
        <v>177</v>
      </c>
      <c r="D96" t="s">
        <v>23</v>
      </c>
      <c r="E96" t="s">
        <v>24</v>
      </c>
      <c r="F96" t="s">
        <v>27</v>
      </c>
      <c r="G96">
        <v>19</v>
      </c>
      <c r="H96" s="3">
        <v>46157</v>
      </c>
    </row>
    <row r="97" spans="1:8" ht="14.25">
      <c r="A97">
        <v>120</v>
      </c>
      <c r="B97" t="s">
        <v>178</v>
      </c>
      <c r="C97" t="s">
        <v>179</v>
      </c>
      <c r="D97" t="s">
        <v>23</v>
      </c>
      <c r="E97" t="s">
        <v>30</v>
      </c>
      <c r="F97" t="s">
        <v>27</v>
      </c>
      <c r="G97">
        <v>12</v>
      </c>
      <c r="H97" s="3">
        <v>46157</v>
      </c>
    </row>
    <row r="98" spans="1:8" ht="14.25">
      <c r="A98">
        <v>990</v>
      </c>
      <c r="B98" t="s">
        <v>180</v>
      </c>
      <c r="C98" t="s">
        <v>87</v>
      </c>
      <c r="D98" t="s">
        <v>23</v>
      </c>
      <c r="E98" t="s">
        <v>30</v>
      </c>
      <c r="F98" t="s">
        <v>27</v>
      </c>
      <c r="G98">
        <v>10</v>
      </c>
      <c r="H98" s="3">
        <v>46157</v>
      </c>
    </row>
    <row r="99" spans="1:8" ht="14.25">
      <c r="A99">
        <v>1395</v>
      </c>
      <c r="B99" t="s">
        <v>181</v>
      </c>
      <c r="C99" t="s">
        <v>182</v>
      </c>
      <c r="D99" t="s">
        <v>23</v>
      </c>
      <c r="E99" t="s">
        <v>30</v>
      </c>
      <c r="F99" t="s">
        <v>35</v>
      </c>
      <c r="H99" s="3">
        <v>46157</v>
      </c>
    </row>
    <row r="100" spans="1:8" ht="14.25">
      <c r="A100">
        <v>1158</v>
      </c>
      <c r="B100" t="s">
        <v>183</v>
      </c>
      <c r="C100" t="s">
        <v>184</v>
      </c>
      <c r="D100" t="s">
        <v>23</v>
      </c>
      <c r="E100" t="s">
        <v>30</v>
      </c>
      <c r="F100" t="s">
        <v>25</v>
      </c>
      <c r="H100" s="3">
        <v>46157</v>
      </c>
    </row>
    <row r="101" spans="1:8" ht="14.25">
      <c r="A101">
        <v>23</v>
      </c>
      <c r="B101" t="s">
        <v>185</v>
      </c>
      <c r="C101" t="s">
        <v>100</v>
      </c>
      <c r="D101" t="s">
        <v>23</v>
      </c>
      <c r="E101" t="s">
        <v>24</v>
      </c>
      <c r="F101" t="s">
        <v>27</v>
      </c>
      <c r="G101">
        <v>10</v>
      </c>
      <c r="H101" s="3">
        <v>46157</v>
      </c>
    </row>
    <row r="102" spans="1:8" ht="14.25">
      <c r="A102">
        <v>1152</v>
      </c>
      <c r="B102" t="s">
        <v>186</v>
      </c>
      <c r="C102" t="s">
        <v>187</v>
      </c>
      <c r="D102" t="s">
        <v>54</v>
      </c>
      <c r="E102" t="s">
        <v>30</v>
      </c>
      <c r="F102" t="s">
        <v>188</v>
      </c>
      <c r="H102" s="3">
        <v>46157</v>
      </c>
    </row>
    <row r="103" spans="1:8" ht="14.25">
      <c r="A103">
        <v>581</v>
      </c>
      <c r="B103" t="s">
        <v>189</v>
      </c>
      <c r="C103" t="s">
        <v>190</v>
      </c>
      <c r="D103" t="s">
        <v>23</v>
      </c>
      <c r="E103" t="s">
        <v>24</v>
      </c>
      <c r="F103" t="s">
        <v>27</v>
      </c>
      <c r="G103">
        <v>13</v>
      </c>
      <c r="H103" s="3">
        <v>46157</v>
      </c>
    </row>
    <row r="104" spans="1:8" ht="14.25">
      <c r="A104">
        <v>1374</v>
      </c>
      <c r="B104" t="s">
        <v>191</v>
      </c>
      <c r="C104" t="s">
        <v>192</v>
      </c>
      <c r="D104" t="s">
        <v>23</v>
      </c>
      <c r="E104" t="s">
        <v>24</v>
      </c>
      <c r="F104" t="s">
        <v>25</v>
      </c>
      <c r="H104" s="3">
        <v>46157</v>
      </c>
    </row>
    <row r="105" spans="1:8" ht="14.25">
      <c r="A105">
        <v>25</v>
      </c>
      <c r="B105" t="s">
        <v>22</v>
      </c>
      <c r="C105" t="s">
        <v>193</v>
      </c>
      <c r="D105" t="s">
        <v>23</v>
      </c>
      <c r="E105" t="s">
        <v>24</v>
      </c>
      <c r="F105" t="s">
        <v>27</v>
      </c>
      <c r="G105">
        <v>8</v>
      </c>
      <c r="H105" s="3">
        <v>46157</v>
      </c>
    </row>
    <row r="106" spans="1:8" ht="14.25">
      <c r="A106">
        <v>1257</v>
      </c>
      <c r="B106" t="s">
        <v>194</v>
      </c>
      <c r="C106" t="s">
        <v>150</v>
      </c>
      <c r="D106" t="s">
        <v>54</v>
      </c>
      <c r="E106" t="s">
        <v>24</v>
      </c>
      <c r="F106" t="s">
        <v>25</v>
      </c>
      <c r="H106" s="3">
        <v>46157</v>
      </c>
    </row>
    <row r="107" spans="1:8" ht="14.25">
      <c r="A107">
        <v>415</v>
      </c>
      <c r="B107" t="s">
        <v>195</v>
      </c>
      <c r="C107" t="s">
        <v>196</v>
      </c>
      <c r="D107" t="s">
        <v>23</v>
      </c>
      <c r="E107" t="s">
        <v>24</v>
      </c>
      <c r="F107" t="s">
        <v>27</v>
      </c>
      <c r="G107">
        <v>6</v>
      </c>
      <c r="H107" s="3">
        <v>46157</v>
      </c>
    </row>
    <row r="108" spans="1:8" ht="14.25">
      <c r="A108">
        <v>1144</v>
      </c>
      <c r="B108" t="s">
        <v>195</v>
      </c>
      <c r="C108" t="s">
        <v>197</v>
      </c>
      <c r="D108" t="s">
        <v>54</v>
      </c>
      <c r="E108" t="s">
        <v>24</v>
      </c>
      <c r="F108" t="s">
        <v>188</v>
      </c>
      <c r="H108" s="3">
        <v>46157</v>
      </c>
    </row>
    <row r="109" spans="1:8" ht="14.25">
      <c r="A109">
        <v>1292</v>
      </c>
      <c r="B109" t="s">
        <v>198</v>
      </c>
      <c r="C109" t="s">
        <v>199</v>
      </c>
      <c r="D109" t="s">
        <v>23</v>
      </c>
      <c r="E109" t="s">
        <v>30</v>
      </c>
      <c r="F109" t="s">
        <v>25</v>
      </c>
      <c r="H109" s="3">
        <v>46157</v>
      </c>
    </row>
    <row r="110" spans="1:8" ht="14.25">
      <c r="A110">
        <v>203</v>
      </c>
      <c r="B110" t="s">
        <v>200</v>
      </c>
      <c r="C110" t="s">
        <v>201</v>
      </c>
      <c r="D110" t="s">
        <v>23</v>
      </c>
      <c r="E110" t="s">
        <v>24</v>
      </c>
      <c r="F110" t="s">
        <v>27</v>
      </c>
      <c r="G110">
        <v>9</v>
      </c>
      <c r="H110" s="3">
        <v>46157</v>
      </c>
    </row>
    <row r="111" spans="1:8" ht="14.25">
      <c r="A111">
        <v>956</v>
      </c>
      <c r="B111" t="s">
        <v>202</v>
      </c>
      <c r="C111" t="s">
        <v>94</v>
      </c>
      <c r="D111" t="s">
        <v>23</v>
      </c>
      <c r="E111" t="s">
        <v>24</v>
      </c>
      <c r="F111" t="s">
        <v>27</v>
      </c>
      <c r="G111">
        <v>13</v>
      </c>
      <c r="H111" s="3">
        <v>46157</v>
      </c>
    </row>
    <row r="112" spans="1:8" ht="14.25">
      <c r="A112">
        <v>1273</v>
      </c>
      <c r="B112" t="s">
        <v>203</v>
      </c>
      <c r="C112" t="s">
        <v>204</v>
      </c>
      <c r="D112" t="s">
        <v>23</v>
      </c>
      <c r="E112" t="s">
        <v>30</v>
      </c>
      <c r="F112" t="s">
        <v>27</v>
      </c>
      <c r="G112">
        <v>22</v>
      </c>
      <c r="H112" s="3">
        <v>46157</v>
      </c>
    </row>
    <row r="113" spans="1:8" ht="14.25">
      <c r="A113">
        <v>1272</v>
      </c>
      <c r="B113" t="s">
        <v>203</v>
      </c>
      <c r="C113" t="s">
        <v>205</v>
      </c>
      <c r="D113" t="s">
        <v>23</v>
      </c>
      <c r="E113" t="s">
        <v>24</v>
      </c>
      <c r="F113" t="s">
        <v>27</v>
      </c>
      <c r="G113">
        <v>24</v>
      </c>
      <c r="H113" s="3">
        <v>46157</v>
      </c>
    </row>
    <row r="114" spans="1:8" ht="14.25">
      <c r="A114">
        <v>846</v>
      </c>
      <c r="B114" t="s">
        <v>206</v>
      </c>
      <c r="C114" t="s">
        <v>207</v>
      </c>
      <c r="D114" t="s">
        <v>23</v>
      </c>
      <c r="E114" t="s">
        <v>24</v>
      </c>
      <c r="F114" t="s">
        <v>27</v>
      </c>
      <c r="G114">
        <v>17</v>
      </c>
      <c r="H114" s="3">
        <v>46157</v>
      </c>
    </row>
    <row r="115" spans="1:8" ht="14.25">
      <c r="A115">
        <v>1162</v>
      </c>
      <c r="B115" t="s">
        <v>208</v>
      </c>
      <c r="C115" t="s">
        <v>150</v>
      </c>
      <c r="D115" t="s">
        <v>23</v>
      </c>
      <c r="E115" t="s">
        <v>24</v>
      </c>
      <c r="F115" t="s">
        <v>25</v>
      </c>
      <c r="H115" s="3">
        <v>46157</v>
      </c>
    </row>
    <row r="116" spans="1:8" ht="14.25">
      <c r="A116">
        <v>1244</v>
      </c>
      <c r="B116" t="s">
        <v>209</v>
      </c>
      <c r="C116" t="s">
        <v>94</v>
      </c>
      <c r="D116" t="s">
        <v>23</v>
      </c>
      <c r="E116" t="s">
        <v>24</v>
      </c>
      <c r="F116" t="s">
        <v>27</v>
      </c>
      <c r="G116">
        <v>2</v>
      </c>
      <c r="H116" s="3">
        <v>46157</v>
      </c>
    </row>
    <row r="117" spans="1:8" ht="14.25">
      <c r="A117">
        <v>1379</v>
      </c>
      <c r="B117" t="s">
        <v>209</v>
      </c>
      <c r="C117" t="s">
        <v>210</v>
      </c>
      <c r="D117" t="s">
        <v>23</v>
      </c>
      <c r="E117" t="s">
        <v>30</v>
      </c>
      <c r="F117" t="s">
        <v>25</v>
      </c>
      <c r="H117" s="3">
        <v>46157</v>
      </c>
    </row>
    <row r="118" spans="1:8" ht="14.25">
      <c r="A118">
        <v>1362</v>
      </c>
      <c r="B118" t="s">
        <v>211</v>
      </c>
      <c r="C118" t="s">
        <v>212</v>
      </c>
      <c r="D118" t="s">
        <v>23</v>
      </c>
      <c r="E118" t="s">
        <v>30</v>
      </c>
      <c r="F118" t="s">
        <v>27</v>
      </c>
      <c r="G118">
        <v>22</v>
      </c>
      <c r="H118" s="3">
        <v>46157</v>
      </c>
    </row>
    <row r="119" spans="1:8" ht="14.25">
      <c r="A119">
        <v>1403</v>
      </c>
      <c r="B119" t="s">
        <v>213</v>
      </c>
      <c r="C119" t="s">
        <v>214</v>
      </c>
      <c r="D119" t="s">
        <v>23</v>
      </c>
      <c r="E119" t="s">
        <v>24</v>
      </c>
      <c r="F119" t="s">
        <v>27</v>
      </c>
      <c r="G119">
        <v>8</v>
      </c>
      <c r="H119" s="3">
        <v>46157</v>
      </c>
    </row>
    <row r="120" spans="1:8" ht="14.25">
      <c r="A120">
        <v>1404</v>
      </c>
      <c r="B120" t="s">
        <v>213</v>
      </c>
      <c r="C120" t="s">
        <v>215</v>
      </c>
      <c r="D120" t="s">
        <v>23</v>
      </c>
      <c r="E120" t="s">
        <v>30</v>
      </c>
      <c r="F120" t="s">
        <v>25</v>
      </c>
      <c r="H120" s="3">
        <v>46157</v>
      </c>
    </row>
    <row r="121" spans="1:8" ht="14.25">
      <c r="A121">
        <v>1229</v>
      </c>
      <c r="B121" t="s">
        <v>216</v>
      </c>
      <c r="C121" t="s">
        <v>217</v>
      </c>
      <c r="D121" t="s">
        <v>23</v>
      </c>
      <c r="E121" t="s">
        <v>30</v>
      </c>
      <c r="F121" t="s">
        <v>25</v>
      </c>
      <c r="H121" s="3">
        <v>46157</v>
      </c>
    </row>
    <row r="122" spans="1:8" ht="14.25">
      <c r="A122">
        <v>1408</v>
      </c>
      <c r="B122" t="s">
        <v>218</v>
      </c>
      <c r="C122" t="s">
        <v>219</v>
      </c>
      <c r="D122" t="s">
        <v>23</v>
      </c>
      <c r="E122" t="s">
        <v>24</v>
      </c>
      <c r="F122" t="s">
        <v>27</v>
      </c>
      <c r="G122">
        <v>20</v>
      </c>
      <c r="H122" s="3">
        <v>46157</v>
      </c>
    </row>
    <row r="123" spans="1:8" ht="14.25">
      <c r="A123">
        <v>1409</v>
      </c>
      <c r="B123" t="s">
        <v>218</v>
      </c>
      <c r="C123" t="s">
        <v>220</v>
      </c>
      <c r="D123" t="s">
        <v>23</v>
      </c>
      <c r="E123" t="s">
        <v>30</v>
      </c>
      <c r="F123" t="s">
        <v>27</v>
      </c>
      <c r="G123">
        <v>15</v>
      </c>
      <c r="H123" s="3">
        <v>46157</v>
      </c>
    </row>
    <row r="124" spans="1:8" ht="14.25">
      <c r="A124">
        <v>1198</v>
      </c>
      <c r="B124" t="s">
        <v>221</v>
      </c>
      <c r="C124" t="s">
        <v>222</v>
      </c>
      <c r="D124" t="s">
        <v>23</v>
      </c>
      <c r="E124" t="s">
        <v>24</v>
      </c>
      <c r="F124" t="s">
        <v>27</v>
      </c>
      <c r="G124">
        <v>5</v>
      </c>
      <c r="H124" s="3">
        <v>46157</v>
      </c>
    </row>
    <row r="125" spans="1:8" ht="14.25">
      <c r="A125">
        <v>1260</v>
      </c>
      <c r="B125" t="s">
        <v>223</v>
      </c>
      <c r="C125" t="s">
        <v>82</v>
      </c>
      <c r="D125" t="s">
        <v>23</v>
      </c>
      <c r="E125" t="s">
        <v>30</v>
      </c>
      <c r="F125" t="s">
        <v>27</v>
      </c>
      <c r="G125">
        <v>15</v>
      </c>
      <c r="H125" s="3">
        <v>46157</v>
      </c>
    </row>
    <row r="126" spans="1:8" ht="14.25">
      <c r="A126">
        <v>1361</v>
      </c>
      <c r="B126" t="s">
        <v>224</v>
      </c>
      <c r="C126" t="s">
        <v>225</v>
      </c>
      <c r="D126" t="s">
        <v>23</v>
      </c>
      <c r="E126" t="s">
        <v>24</v>
      </c>
      <c r="F126" t="s">
        <v>27</v>
      </c>
      <c r="G126">
        <v>16</v>
      </c>
      <c r="H126" s="3">
        <v>46157</v>
      </c>
    </row>
    <row r="127" spans="1:8" ht="14.25">
      <c r="A127">
        <v>1100</v>
      </c>
      <c r="B127" t="s">
        <v>226</v>
      </c>
      <c r="C127" t="s">
        <v>34</v>
      </c>
      <c r="D127" t="s">
        <v>23</v>
      </c>
      <c r="E127" t="s">
        <v>24</v>
      </c>
      <c r="F127" t="s">
        <v>27</v>
      </c>
      <c r="G127">
        <v>13</v>
      </c>
      <c r="H127" s="3">
        <v>46157</v>
      </c>
    </row>
    <row r="128" spans="1:8" ht="14.25">
      <c r="A128">
        <v>1385</v>
      </c>
      <c r="B128" t="s">
        <v>227</v>
      </c>
      <c r="C128" t="s">
        <v>228</v>
      </c>
      <c r="D128" t="s">
        <v>23</v>
      </c>
      <c r="E128" t="s">
        <v>24</v>
      </c>
      <c r="F128" t="s">
        <v>25</v>
      </c>
      <c r="H128" s="3">
        <v>46157</v>
      </c>
    </row>
    <row r="129" spans="1:8" ht="14.25">
      <c r="A129">
        <v>1394</v>
      </c>
      <c r="B129" t="s">
        <v>227</v>
      </c>
      <c r="C129" t="s">
        <v>229</v>
      </c>
      <c r="D129" t="s">
        <v>23</v>
      </c>
      <c r="E129" t="s">
        <v>24</v>
      </c>
      <c r="F129" t="s">
        <v>35</v>
      </c>
      <c r="H129" s="3">
        <v>46157</v>
      </c>
    </row>
    <row r="130" spans="1:8" ht="14.25">
      <c r="A130">
        <v>1419</v>
      </c>
      <c r="B130" t="s">
        <v>230</v>
      </c>
      <c r="C130" t="s">
        <v>231</v>
      </c>
      <c r="D130" t="s">
        <v>23</v>
      </c>
      <c r="E130" t="s">
        <v>24</v>
      </c>
      <c r="F130" t="s">
        <v>25</v>
      </c>
      <c r="H130" s="3">
        <v>46157</v>
      </c>
    </row>
    <row r="131" spans="1:8" ht="14.25">
      <c r="A131">
        <v>967</v>
      </c>
      <c r="B131" t="s">
        <v>232</v>
      </c>
      <c r="C131" t="s">
        <v>152</v>
      </c>
      <c r="D131" t="s">
        <v>23</v>
      </c>
      <c r="E131" t="s">
        <v>24</v>
      </c>
      <c r="F131" t="s">
        <v>27</v>
      </c>
      <c r="G131">
        <v>5</v>
      </c>
      <c r="H131" s="3">
        <v>46157</v>
      </c>
    </row>
    <row r="132" spans="1:8" ht="14.25">
      <c r="A132">
        <v>1373</v>
      </c>
      <c r="B132" t="s">
        <v>233</v>
      </c>
      <c r="C132" t="s">
        <v>234</v>
      </c>
      <c r="D132" t="s">
        <v>23</v>
      </c>
      <c r="E132" t="s">
        <v>24</v>
      </c>
      <c r="F132" t="s">
        <v>27</v>
      </c>
      <c r="G132">
        <v>10</v>
      </c>
      <c r="H132" s="3">
        <v>46157</v>
      </c>
    </row>
    <row r="133" spans="1:8" ht="14.25">
      <c r="A133">
        <v>1045</v>
      </c>
      <c r="B133" t="s">
        <v>235</v>
      </c>
      <c r="C133" t="s">
        <v>236</v>
      </c>
      <c r="D133" t="s">
        <v>23</v>
      </c>
      <c r="E133" t="s">
        <v>30</v>
      </c>
      <c r="F133" t="s">
        <v>27</v>
      </c>
      <c r="G133">
        <v>5</v>
      </c>
      <c r="H133" s="3">
        <v>46157</v>
      </c>
    </row>
    <row r="134" spans="1:8" ht="14.25">
      <c r="A134">
        <v>1046</v>
      </c>
      <c r="B134" t="s">
        <v>235</v>
      </c>
      <c r="C134" t="s">
        <v>237</v>
      </c>
      <c r="D134" t="s">
        <v>23</v>
      </c>
      <c r="E134" t="s">
        <v>24</v>
      </c>
      <c r="F134" t="s">
        <v>27</v>
      </c>
      <c r="G134">
        <v>35</v>
      </c>
      <c r="H134" s="3">
        <v>46157</v>
      </c>
    </row>
    <row r="135" spans="1:8" ht="14.25">
      <c r="A135">
        <v>1396</v>
      </c>
      <c r="B135" t="s">
        <v>238</v>
      </c>
      <c r="C135" t="s">
        <v>59</v>
      </c>
      <c r="D135" t="s">
        <v>23</v>
      </c>
      <c r="E135" t="s">
        <v>24</v>
      </c>
      <c r="F135" t="s">
        <v>25</v>
      </c>
      <c r="H135" s="3">
        <v>46157</v>
      </c>
    </row>
    <row r="136" spans="1:8" ht="14.25">
      <c r="A136">
        <v>1397</v>
      </c>
      <c r="B136" t="s">
        <v>238</v>
      </c>
      <c r="C136" t="s">
        <v>239</v>
      </c>
      <c r="D136" t="s">
        <v>23</v>
      </c>
      <c r="E136" t="s">
        <v>30</v>
      </c>
      <c r="F136" t="s">
        <v>25</v>
      </c>
      <c r="H136" s="3">
        <v>46157</v>
      </c>
    </row>
    <row r="137" spans="1:8" ht="14.25">
      <c r="A137">
        <v>1398</v>
      </c>
      <c r="B137" t="s">
        <v>238</v>
      </c>
      <c r="C137" t="s">
        <v>49</v>
      </c>
      <c r="D137" t="s">
        <v>23</v>
      </c>
      <c r="E137" t="s">
        <v>24</v>
      </c>
      <c r="F137" t="s">
        <v>35</v>
      </c>
      <c r="H137" s="3">
        <v>46157</v>
      </c>
    </row>
    <row r="138" spans="1:8" ht="14.25">
      <c r="A138">
        <v>1399</v>
      </c>
      <c r="B138" t="s">
        <v>238</v>
      </c>
      <c r="C138" t="s">
        <v>131</v>
      </c>
      <c r="D138" t="s">
        <v>23</v>
      </c>
      <c r="E138" t="s">
        <v>30</v>
      </c>
      <c r="F138" t="s">
        <v>35</v>
      </c>
      <c r="H138" s="3">
        <v>46157</v>
      </c>
    </row>
    <row r="139" spans="1:8" ht="14.25">
      <c r="A139">
        <v>771</v>
      </c>
      <c r="B139" t="s">
        <v>240</v>
      </c>
      <c r="C139" t="s">
        <v>241</v>
      </c>
      <c r="D139" t="s">
        <v>23</v>
      </c>
      <c r="E139" t="s">
        <v>24</v>
      </c>
      <c r="F139" t="s">
        <v>27</v>
      </c>
      <c r="G139">
        <v>14</v>
      </c>
      <c r="H139" s="3">
        <v>46157</v>
      </c>
    </row>
    <row r="140" spans="1:8" ht="14.25">
      <c r="A140">
        <v>1265</v>
      </c>
      <c r="B140" t="s">
        <v>242</v>
      </c>
      <c r="C140" t="s">
        <v>243</v>
      </c>
      <c r="D140" t="s">
        <v>23</v>
      </c>
      <c r="E140" t="s">
        <v>24</v>
      </c>
      <c r="F140" t="s">
        <v>27</v>
      </c>
      <c r="G140">
        <v>20</v>
      </c>
      <c r="H140" s="3">
        <v>46157</v>
      </c>
    </row>
    <row r="141" spans="1:8" ht="14.25">
      <c r="A141">
        <v>532</v>
      </c>
      <c r="B141" t="s">
        <v>244</v>
      </c>
      <c r="C141" t="s">
        <v>243</v>
      </c>
      <c r="D141" t="s">
        <v>23</v>
      </c>
      <c r="E141" t="s">
        <v>24</v>
      </c>
      <c r="F141" t="s">
        <v>27</v>
      </c>
      <c r="G141">
        <v>13</v>
      </c>
      <c r="H141" s="3">
        <v>46157</v>
      </c>
    </row>
    <row r="142" spans="1:8" ht="14.25">
      <c r="A142">
        <v>742</v>
      </c>
      <c r="B142" t="s">
        <v>246</v>
      </c>
      <c r="C142" t="s">
        <v>156</v>
      </c>
      <c r="D142" t="s">
        <v>23</v>
      </c>
      <c r="E142" t="s">
        <v>30</v>
      </c>
      <c r="F142" t="s">
        <v>27</v>
      </c>
      <c r="G142">
        <v>2</v>
      </c>
      <c r="H142" s="3">
        <v>46157</v>
      </c>
    </row>
    <row r="143" spans="1:8" ht="14.25">
      <c r="A143">
        <v>741</v>
      </c>
      <c r="B143" t="s">
        <v>246</v>
      </c>
      <c r="C143" t="s">
        <v>247</v>
      </c>
      <c r="D143" t="s">
        <v>23</v>
      </c>
      <c r="E143" t="s">
        <v>24</v>
      </c>
      <c r="F143" t="s">
        <v>27</v>
      </c>
      <c r="G143">
        <v>4</v>
      </c>
      <c r="H143" s="3">
        <v>46157</v>
      </c>
    </row>
    <row r="144" spans="1:8" ht="14.25">
      <c r="A144">
        <v>1298</v>
      </c>
      <c r="B144" t="s">
        <v>246</v>
      </c>
      <c r="C144" t="s">
        <v>132</v>
      </c>
      <c r="D144" t="s">
        <v>23</v>
      </c>
      <c r="E144" t="s">
        <v>30</v>
      </c>
      <c r="F144" t="s">
        <v>27</v>
      </c>
      <c r="G144">
        <v>13</v>
      </c>
      <c r="H144" s="3">
        <v>46157</v>
      </c>
    </row>
    <row r="145" spans="1:8" ht="14.25">
      <c r="A145">
        <v>747</v>
      </c>
      <c r="B145" t="s">
        <v>246</v>
      </c>
      <c r="C145" t="s">
        <v>22</v>
      </c>
      <c r="D145" t="s">
        <v>23</v>
      </c>
      <c r="E145" t="s">
        <v>24</v>
      </c>
      <c r="F145" t="s">
        <v>27</v>
      </c>
      <c r="G145">
        <v>1</v>
      </c>
      <c r="H145" s="3">
        <v>46157</v>
      </c>
    </row>
    <row r="146" spans="1:8" ht="14.25">
      <c r="A146">
        <v>1386</v>
      </c>
      <c r="B146" t="s">
        <v>246</v>
      </c>
      <c r="C146" t="s">
        <v>248</v>
      </c>
      <c r="D146" t="s">
        <v>23</v>
      </c>
      <c r="E146" t="s">
        <v>30</v>
      </c>
      <c r="F146" t="s">
        <v>35</v>
      </c>
      <c r="H146" s="3">
        <v>46157</v>
      </c>
    </row>
    <row r="147" spans="1:8" ht="14.25">
      <c r="A147">
        <v>1221</v>
      </c>
      <c r="B147" t="s">
        <v>249</v>
      </c>
      <c r="C147" t="s">
        <v>234</v>
      </c>
      <c r="D147" t="s">
        <v>23</v>
      </c>
      <c r="E147" t="s">
        <v>24</v>
      </c>
      <c r="F147" t="s">
        <v>25</v>
      </c>
      <c r="H147" s="3">
        <v>46157</v>
      </c>
    </row>
    <row r="148" spans="1:8" ht="14.25">
      <c r="A148">
        <v>564</v>
      </c>
      <c r="B148" t="s">
        <v>250</v>
      </c>
      <c r="C148" t="s">
        <v>34</v>
      </c>
      <c r="D148" t="s">
        <v>23</v>
      </c>
      <c r="E148" t="s">
        <v>24</v>
      </c>
      <c r="F148" t="s">
        <v>27</v>
      </c>
      <c r="G148">
        <v>7</v>
      </c>
      <c r="H148" s="3">
        <v>46157</v>
      </c>
    </row>
    <row r="149" spans="1:8" ht="14.25">
      <c r="A149">
        <v>1165</v>
      </c>
      <c r="B149" t="s">
        <v>251</v>
      </c>
      <c r="C149" t="s">
        <v>177</v>
      </c>
      <c r="D149" t="s">
        <v>23</v>
      </c>
      <c r="E149" t="s">
        <v>24</v>
      </c>
      <c r="F149" t="s">
        <v>27</v>
      </c>
      <c r="G149">
        <v>10</v>
      </c>
      <c r="H149" s="3">
        <v>46157</v>
      </c>
    </row>
    <row r="150" spans="1:8" ht="14.25">
      <c r="A150">
        <v>405</v>
      </c>
      <c r="B150" t="s">
        <v>252</v>
      </c>
      <c r="C150" t="s">
        <v>243</v>
      </c>
      <c r="D150" t="s">
        <v>23</v>
      </c>
      <c r="E150" t="s">
        <v>24</v>
      </c>
      <c r="F150" t="s">
        <v>27</v>
      </c>
      <c r="G150">
        <v>18</v>
      </c>
      <c r="H150" s="3">
        <v>46157</v>
      </c>
    </row>
    <row r="151" spans="1:8" ht="14.25">
      <c r="A151">
        <v>1346</v>
      </c>
      <c r="B151" t="s">
        <v>253</v>
      </c>
      <c r="C151" t="s">
        <v>254</v>
      </c>
      <c r="D151" t="s">
        <v>23</v>
      </c>
      <c r="E151" t="s">
        <v>24</v>
      </c>
      <c r="F151" t="s">
        <v>27</v>
      </c>
      <c r="G151">
        <v>20</v>
      </c>
      <c r="H151" s="3">
        <v>46157</v>
      </c>
    </row>
    <row r="152" spans="1:8" ht="14.25">
      <c r="A152">
        <v>1192</v>
      </c>
      <c r="B152" t="s">
        <v>255</v>
      </c>
      <c r="C152" t="s">
        <v>256</v>
      </c>
      <c r="D152" t="s">
        <v>23</v>
      </c>
      <c r="E152" t="s">
        <v>24</v>
      </c>
      <c r="F152" t="s">
        <v>27</v>
      </c>
      <c r="G152">
        <v>10</v>
      </c>
      <c r="H152" s="3">
        <v>46157</v>
      </c>
    </row>
    <row r="153" spans="1:8" ht="14.25">
      <c r="A153">
        <v>1157</v>
      </c>
      <c r="B153" t="s">
        <v>257</v>
      </c>
      <c r="C153" t="s">
        <v>100</v>
      </c>
      <c r="D153" t="s">
        <v>23</v>
      </c>
      <c r="E153" t="s">
        <v>24</v>
      </c>
      <c r="F153" t="s">
        <v>25</v>
      </c>
      <c r="H153" s="3">
        <v>46157</v>
      </c>
    </row>
    <row r="154" spans="1:8" ht="14.25">
      <c r="A154">
        <v>1359</v>
      </c>
      <c r="B154" t="s">
        <v>258</v>
      </c>
      <c r="C154" t="s">
        <v>49</v>
      </c>
      <c r="D154" t="s">
        <v>23</v>
      </c>
      <c r="E154" t="s">
        <v>24</v>
      </c>
      <c r="F154" t="s">
        <v>188</v>
      </c>
      <c r="H154" s="3">
        <v>46157</v>
      </c>
    </row>
    <row r="155" spans="1:8" ht="14.25">
      <c r="A155">
        <v>1360</v>
      </c>
      <c r="B155" t="s">
        <v>258</v>
      </c>
      <c r="C155" t="s">
        <v>259</v>
      </c>
      <c r="D155" t="s">
        <v>23</v>
      </c>
      <c r="E155" t="s">
        <v>30</v>
      </c>
      <c r="F155" t="s">
        <v>35</v>
      </c>
      <c r="H155" s="3">
        <v>46157</v>
      </c>
    </row>
    <row r="156" spans="1:8" ht="14.25">
      <c r="A156">
        <v>1357</v>
      </c>
      <c r="B156" t="s">
        <v>258</v>
      </c>
      <c r="C156" t="s">
        <v>34</v>
      </c>
      <c r="D156" t="s">
        <v>23</v>
      </c>
      <c r="E156" t="s">
        <v>24</v>
      </c>
      <c r="F156" t="s">
        <v>27</v>
      </c>
      <c r="G156">
        <v>5</v>
      </c>
      <c r="H156" s="3">
        <v>46157</v>
      </c>
    </row>
    <row r="157" spans="1:8" ht="14.25">
      <c r="A157">
        <v>1358</v>
      </c>
      <c r="B157" t="s">
        <v>258</v>
      </c>
      <c r="C157" t="s">
        <v>260</v>
      </c>
      <c r="D157" t="s">
        <v>23</v>
      </c>
      <c r="E157" t="s">
        <v>30</v>
      </c>
      <c r="F157" t="s">
        <v>27</v>
      </c>
      <c r="G157">
        <v>7</v>
      </c>
      <c r="H157" s="3">
        <v>46157</v>
      </c>
    </row>
    <row r="158" spans="1:8" ht="14.25">
      <c r="A158">
        <v>1390</v>
      </c>
      <c r="B158" t="s">
        <v>261</v>
      </c>
      <c r="C158" t="s">
        <v>262</v>
      </c>
      <c r="D158" t="s">
        <v>23</v>
      </c>
      <c r="E158" t="s">
        <v>24</v>
      </c>
      <c r="F158" t="s">
        <v>25</v>
      </c>
      <c r="H158" s="3">
        <v>46157</v>
      </c>
    </row>
    <row r="159" spans="1:8" ht="14.25">
      <c r="A159">
        <v>1107</v>
      </c>
      <c r="B159" t="s">
        <v>263</v>
      </c>
      <c r="C159" t="s">
        <v>264</v>
      </c>
      <c r="D159" t="s">
        <v>23</v>
      </c>
      <c r="E159" t="s">
        <v>30</v>
      </c>
      <c r="F159" t="s">
        <v>25</v>
      </c>
      <c r="H159" s="3">
        <v>46157</v>
      </c>
    </row>
    <row r="160" spans="1:8" ht="14.25">
      <c r="A160">
        <v>35</v>
      </c>
      <c r="B160" t="s">
        <v>265</v>
      </c>
      <c r="C160" t="s">
        <v>266</v>
      </c>
      <c r="D160" t="s">
        <v>23</v>
      </c>
      <c r="E160" t="s">
        <v>24</v>
      </c>
      <c r="F160" t="s">
        <v>27</v>
      </c>
      <c r="G160">
        <v>3</v>
      </c>
      <c r="H160" s="3">
        <v>46157</v>
      </c>
    </row>
    <row r="161" spans="1:8" ht="14.25">
      <c r="A161">
        <v>1094</v>
      </c>
      <c r="B161" t="s">
        <v>267</v>
      </c>
      <c r="C161" t="s">
        <v>268</v>
      </c>
      <c r="D161" t="s">
        <v>23</v>
      </c>
      <c r="E161" t="s">
        <v>24</v>
      </c>
      <c r="F161" t="s">
        <v>27</v>
      </c>
      <c r="G161">
        <v>12</v>
      </c>
      <c r="H161" s="3">
        <v>46157</v>
      </c>
    </row>
    <row r="162" spans="1:8" ht="14.25">
      <c r="A162">
        <v>1325</v>
      </c>
      <c r="B162" t="s">
        <v>269</v>
      </c>
      <c r="C162" t="s">
        <v>270</v>
      </c>
      <c r="D162" t="s">
        <v>23</v>
      </c>
      <c r="E162" t="s">
        <v>24</v>
      </c>
      <c r="F162" t="s">
        <v>27</v>
      </c>
      <c r="G162">
        <v>3</v>
      </c>
      <c r="H162" s="3">
        <v>46157</v>
      </c>
    </row>
    <row r="163" spans="1:8" ht="14.25">
      <c r="A163">
        <v>1143</v>
      </c>
      <c r="B163" t="s">
        <v>271</v>
      </c>
      <c r="C163" t="s">
        <v>247</v>
      </c>
      <c r="D163" t="s">
        <v>23</v>
      </c>
      <c r="E163" t="s">
        <v>24</v>
      </c>
      <c r="F163" t="s">
        <v>27</v>
      </c>
      <c r="G163">
        <v>3</v>
      </c>
      <c r="H163" s="3">
        <v>46157</v>
      </c>
    </row>
    <row r="164" spans="1:8" ht="14.25">
      <c r="A164">
        <v>1401</v>
      </c>
      <c r="B164" t="s">
        <v>272</v>
      </c>
      <c r="C164" t="s">
        <v>273</v>
      </c>
      <c r="D164" t="s">
        <v>23</v>
      </c>
      <c r="E164" t="s">
        <v>30</v>
      </c>
      <c r="F164" t="s">
        <v>25</v>
      </c>
      <c r="H164" s="3">
        <v>46157</v>
      </c>
    </row>
    <row r="165" spans="1:8" ht="14.25">
      <c r="A165">
        <v>1285</v>
      </c>
      <c r="B165" t="s">
        <v>274</v>
      </c>
      <c r="C165" t="s">
        <v>100</v>
      </c>
      <c r="D165" t="s">
        <v>23</v>
      </c>
      <c r="E165" t="s">
        <v>24</v>
      </c>
      <c r="F165" t="s">
        <v>25</v>
      </c>
      <c r="H165" s="3">
        <v>46157</v>
      </c>
    </row>
    <row r="166" spans="1:8" ht="14.25">
      <c r="A166">
        <v>38</v>
      </c>
      <c r="B166" t="s">
        <v>275</v>
      </c>
      <c r="C166" t="s">
        <v>276</v>
      </c>
      <c r="D166" t="s">
        <v>23</v>
      </c>
      <c r="E166" t="s">
        <v>24</v>
      </c>
      <c r="F166" t="s">
        <v>27</v>
      </c>
      <c r="G166">
        <v>13</v>
      </c>
      <c r="H166" s="3">
        <v>46157</v>
      </c>
    </row>
    <row r="167" spans="1:8" ht="14.25">
      <c r="A167">
        <v>245</v>
      </c>
      <c r="B167" t="s">
        <v>277</v>
      </c>
      <c r="C167" t="s">
        <v>234</v>
      </c>
      <c r="D167" t="s">
        <v>23</v>
      </c>
      <c r="E167" t="s">
        <v>24</v>
      </c>
      <c r="F167" t="s">
        <v>27</v>
      </c>
      <c r="G167">
        <v>10</v>
      </c>
      <c r="H167" s="3">
        <v>46157</v>
      </c>
    </row>
    <row r="168" spans="1:8" ht="14.25">
      <c r="A168">
        <v>39</v>
      </c>
      <c r="B168" t="s">
        <v>277</v>
      </c>
      <c r="C168" t="s">
        <v>278</v>
      </c>
      <c r="D168" t="s">
        <v>23</v>
      </c>
      <c r="E168" t="s">
        <v>24</v>
      </c>
      <c r="F168" t="s">
        <v>27</v>
      </c>
      <c r="G168">
        <v>43</v>
      </c>
      <c r="H168" s="3">
        <v>46157</v>
      </c>
    </row>
    <row r="169" spans="1:8" ht="14.25">
      <c r="A169">
        <v>508</v>
      </c>
      <c r="B169" t="s">
        <v>279</v>
      </c>
      <c r="C169" t="s">
        <v>59</v>
      </c>
      <c r="D169" t="s">
        <v>23</v>
      </c>
      <c r="E169" t="s">
        <v>24</v>
      </c>
      <c r="F169" t="s">
        <v>27</v>
      </c>
      <c r="G169">
        <v>31</v>
      </c>
      <c r="H169" s="3">
        <v>46157</v>
      </c>
    </row>
    <row r="170" spans="1:8" ht="14.25">
      <c r="A170">
        <v>1025</v>
      </c>
      <c r="B170" t="s">
        <v>280</v>
      </c>
      <c r="C170" t="s">
        <v>281</v>
      </c>
      <c r="D170" t="s">
        <v>23</v>
      </c>
      <c r="E170" t="s">
        <v>24</v>
      </c>
      <c r="F170" t="s">
        <v>35</v>
      </c>
      <c r="H170" s="3">
        <v>46157</v>
      </c>
    </row>
    <row r="171" spans="1:8" ht="14.25">
      <c r="A171">
        <v>1024</v>
      </c>
      <c r="B171" t="s">
        <v>280</v>
      </c>
      <c r="C171" t="s">
        <v>282</v>
      </c>
      <c r="D171" t="s">
        <v>23</v>
      </c>
      <c r="E171" t="s">
        <v>24</v>
      </c>
      <c r="F171" t="s">
        <v>188</v>
      </c>
      <c r="H171" s="3">
        <v>46157</v>
      </c>
    </row>
    <row r="172" spans="1:8" ht="14.25">
      <c r="A172">
        <v>1023</v>
      </c>
      <c r="B172" t="s">
        <v>280</v>
      </c>
      <c r="C172" t="s">
        <v>39</v>
      </c>
      <c r="D172" t="s">
        <v>23</v>
      </c>
      <c r="E172" t="s">
        <v>24</v>
      </c>
      <c r="F172" t="s">
        <v>25</v>
      </c>
      <c r="H172" s="3">
        <v>46157</v>
      </c>
    </row>
    <row r="173" spans="1:8" ht="14.25">
      <c r="A173">
        <v>1232</v>
      </c>
      <c r="B173" t="s">
        <v>280</v>
      </c>
      <c r="C173" t="s">
        <v>283</v>
      </c>
      <c r="D173" t="s">
        <v>23</v>
      </c>
      <c r="E173" t="s">
        <v>30</v>
      </c>
      <c r="F173" t="s">
        <v>27</v>
      </c>
      <c r="G173">
        <v>4</v>
      </c>
      <c r="H173" s="3">
        <v>46157</v>
      </c>
    </row>
    <row r="174" spans="1:8" ht="14.25">
      <c r="A174">
        <v>1392</v>
      </c>
      <c r="B174" t="s">
        <v>284</v>
      </c>
      <c r="C174" t="s">
        <v>285</v>
      </c>
      <c r="D174" t="s">
        <v>23</v>
      </c>
      <c r="E174" t="s">
        <v>30</v>
      </c>
      <c r="F174" t="s">
        <v>25</v>
      </c>
      <c r="H174" s="3">
        <v>46157</v>
      </c>
    </row>
    <row r="175" spans="1:8" ht="14.25">
      <c r="A175">
        <v>1141</v>
      </c>
      <c r="B175" t="s">
        <v>286</v>
      </c>
      <c r="C175" t="s">
        <v>287</v>
      </c>
      <c r="D175" t="s">
        <v>23</v>
      </c>
      <c r="E175" t="s">
        <v>30</v>
      </c>
      <c r="F175" t="s">
        <v>27</v>
      </c>
      <c r="G175">
        <v>15</v>
      </c>
      <c r="H175" s="3">
        <v>46157</v>
      </c>
    </row>
    <row r="176" spans="1:8" ht="14.25">
      <c r="A176">
        <v>891</v>
      </c>
      <c r="B176" t="s">
        <v>288</v>
      </c>
      <c r="C176" t="s">
        <v>289</v>
      </c>
      <c r="D176" t="s">
        <v>23</v>
      </c>
      <c r="E176" t="s">
        <v>30</v>
      </c>
      <c r="F176" t="s">
        <v>25</v>
      </c>
      <c r="H176" s="3">
        <v>46157</v>
      </c>
    </row>
    <row r="177" spans="1:8" ht="14.25">
      <c r="A177">
        <v>1352</v>
      </c>
      <c r="B177" t="s">
        <v>290</v>
      </c>
      <c r="C177" t="s">
        <v>34</v>
      </c>
      <c r="D177" t="s">
        <v>23</v>
      </c>
      <c r="E177" t="s">
        <v>24</v>
      </c>
      <c r="F177" t="s">
        <v>27</v>
      </c>
      <c r="G177">
        <v>11</v>
      </c>
      <c r="H177" s="3">
        <v>46157</v>
      </c>
    </row>
    <row r="178" spans="1:8" ht="14.25">
      <c r="A178">
        <v>1339</v>
      </c>
      <c r="B178" t="s">
        <v>291</v>
      </c>
      <c r="C178" t="s">
        <v>292</v>
      </c>
      <c r="D178" t="s">
        <v>23</v>
      </c>
      <c r="E178" t="s">
        <v>24</v>
      </c>
      <c r="F178" t="s">
        <v>25</v>
      </c>
      <c r="H178" s="3">
        <v>46157</v>
      </c>
    </row>
    <row r="179" spans="1:8" ht="14.25">
      <c r="A179">
        <v>914</v>
      </c>
      <c r="B179" t="s">
        <v>293</v>
      </c>
      <c r="C179" t="s">
        <v>153</v>
      </c>
      <c r="D179" t="s">
        <v>23</v>
      </c>
      <c r="E179" t="s">
        <v>24</v>
      </c>
      <c r="F179" t="s">
        <v>27</v>
      </c>
      <c r="G179">
        <v>14</v>
      </c>
      <c r="H179" s="3">
        <v>46157</v>
      </c>
    </row>
    <row r="180" spans="1:8" ht="14.25">
      <c r="A180">
        <v>597</v>
      </c>
      <c r="B180" t="s">
        <v>294</v>
      </c>
      <c r="C180" t="s">
        <v>295</v>
      </c>
      <c r="D180" t="s">
        <v>23</v>
      </c>
      <c r="E180" t="s">
        <v>24</v>
      </c>
      <c r="F180" t="s">
        <v>27</v>
      </c>
      <c r="G180">
        <v>36</v>
      </c>
      <c r="H180" s="3">
        <v>46157</v>
      </c>
    </row>
    <row r="181" spans="1:8" ht="14.25">
      <c r="A181">
        <v>1038</v>
      </c>
      <c r="B181" t="s">
        <v>293</v>
      </c>
      <c r="C181" t="s">
        <v>51</v>
      </c>
      <c r="D181" t="s">
        <v>23</v>
      </c>
      <c r="E181" t="s">
        <v>24</v>
      </c>
      <c r="F181" t="s">
        <v>27</v>
      </c>
      <c r="G181">
        <v>12</v>
      </c>
      <c r="H181" s="3">
        <v>46157</v>
      </c>
    </row>
    <row r="182" spans="1:8" ht="14.25">
      <c r="A182">
        <v>1347</v>
      </c>
      <c r="B182" t="s">
        <v>296</v>
      </c>
      <c r="C182" t="s">
        <v>104</v>
      </c>
      <c r="D182" t="s">
        <v>23</v>
      </c>
      <c r="E182" t="s">
        <v>24</v>
      </c>
      <c r="F182" t="s">
        <v>25</v>
      </c>
      <c r="H182" s="3">
        <v>46157</v>
      </c>
    </row>
    <row r="183" spans="1:8" ht="14.25">
      <c r="A183">
        <v>1242</v>
      </c>
      <c r="B183" t="s">
        <v>297</v>
      </c>
      <c r="C183" t="s">
        <v>190</v>
      </c>
      <c r="D183" t="s">
        <v>23</v>
      </c>
      <c r="E183" t="s">
        <v>24</v>
      </c>
      <c r="F183" t="s">
        <v>27</v>
      </c>
      <c r="G183">
        <v>15</v>
      </c>
      <c r="H183" s="3">
        <v>46157</v>
      </c>
    </row>
    <row r="184" spans="1:8" ht="14.25">
      <c r="A184">
        <v>1048</v>
      </c>
      <c r="B184" t="s">
        <v>298</v>
      </c>
      <c r="C184" t="s">
        <v>268</v>
      </c>
      <c r="D184" t="s">
        <v>23</v>
      </c>
      <c r="E184" t="s">
        <v>24</v>
      </c>
      <c r="F184" t="s">
        <v>27</v>
      </c>
      <c r="G184">
        <v>16</v>
      </c>
      <c r="H184" s="3">
        <v>46157</v>
      </c>
    </row>
    <row r="185" spans="1:8" ht="14.25">
      <c r="A185">
        <v>1055</v>
      </c>
      <c r="B185" t="s">
        <v>298</v>
      </c>
      <c r="C185" t="s">
        <v>299</v>
      </c>
      <c r="D185" t="s">
        <v>23</v>
      </c>
      <c r="E185" t="s">
        <v>24</v>
      </c>
      <c r="F185" t="s">
        <v>27</v>
      </c>
      <c r="G185">
        <v>1</v>
      </c>
      <c r="H185" s="3">
        <v>46157</v>
      </c>
    </row>
    <row r="186" spans="1:8" ht="14.25">
      <c r="A186">
        <v>1095</v>
      </c>
      <c r="B186" t="s">
        <v>298</v>
      </c>
      <c r="C186" t="s">
        <v>300</v>
      </c>
      <c r="D186" t="s">
        <v>23</v>
      </c>
      <c r="E186" t="s">
        <v>24</v>
      </c>
      <c r="F186" t="s">
        <v>27</v>
      </c>
      <c r="G186">
        <v>33</v>
      </c>
      <c r="H186" s="3">
        <v>46157</v>
      </c>
    </row>
    <row r="187" spans="1:8" ht="14.25">
      <c r="A187">
        <v>820</v>
      </c>
      <c r="B187" t="s">
        <v>298</v>
      </c>
      <c r="C187" t="s">
        <v>139</v>
      </c>
      <c r="D187" t="s">
        <v>23</v>
      </c>
      <c r="E187" t="s">
        <v>30</v>
      </c>
      <c r="F187" t="s">
        <v>27</v>
      </c>
      <c r="G187">
        <v>6</v>
      </c>
      <c r="H187" s="3">
        <v>46157</v>
      </c>
    </row>
    <row r="188" spans="1:8" ht="14.25">
      <c r="A188">
        <v>687</v>
      </c>
      <c r="B188" t="s">
        <v>298</v>
      </c>
      <c r="C188" t="s">
        <v>301</v>
      </c>
      <c r="D188" t="s">
        <v>23</v>
      </c>
      <c r="E188" t="s">
        <v>24</v>
      </c>
      <c r="F188" t="s">
        <v>27</v>
      </c>
      <c r="G188">
        <v>7</v>
      </c>
      <c r="H188" s="3">
        <v>46157</v>
      </c>
    </row>
    <row r="189" spans="1:8" ht="14.25">
      <c r="A189">
        <v>1420</v>
      </c>
      <c r="B189" t="s">
        <v>302</v>
      </c>
      <c r="C189" t="s">
        <v>212</v>
      </c>
      <c r="D189" t="s">
        <v>23</v>
      </c>
      <c r="E189" t="s">
        <v>30</v>
      </c>
      <c r="F189" t="s">
        <v>27</v>
      </c>
      <c r="G189">
        <v>15</v>
      </c>
      <c r="H189" s="3">
        <v>46157</v>
      </c>
    </row>
    <row r="190" spans="1:8" ht="14.25">
      <c r="A190">
        <v>1410</v>
      </c>
      <c r="B190" t="s">
        <v>104</v>
      </c>
      <c r="C190" t="s">
        <v>303</v>
      </c>
      <c r="D190" t="s">
        <v>23</v>
      </c>
      <c r="E190" t="s">
        <v>24</v>
      </c>
      <c r="F190" t="s">
        <v>25</v>
      </c>
      <c r="H190" s="3">
        <v>46157</v>
      </c>
    </row>
    <row r="191" spans="1:8" ht="14.25">
      <c r="A191">
        <v>1161</v>
      </c>
      <c r="B191" t="s">
        <v>304</v>
      </c>
      <c r="C191" t="s">
        <v>305</v>
      </c>
      <c r="D191" t="s">
        <v>23</v>
      </c>
      <c r="E191" t="s">
        <v>24</v>
      </c>
      <c r="F191" t="s">
        <v>25</v>
      </c>
      <c r="H191" s="3">
        <v>46157</v>
      </c>
    </row>
    <row r="192" spans="1:8" ht="14.25">
      <c r="A192">
        <v>890</v>
      </c>
      <c r="B192" t="s">
        <v>306</v>
      </c>
      <c r="C192" t="s">
        <v>307</v>
      </c>
      <c r="D192" t="s">
        <v>54</v>
      </c>
      <c r="E192" t="s">
        <v>24</v>
      </c>
      <c r="F192" t="s">
        <v>27</v>
      </c>
      <c r="G192">
        <v>23</v>
      </c>
      <c r="H192" s="3">
        <v>46157</v>
      </c>
    </row>
    <row r="193" spans="1:8" ht="14.25">
      <c r="A193">
        <v>1166</v>
      </c>
      <c r="B193" t="s">
        <v>308</v>
      </c>
      <c r="C193" t="s">
        <v>143</v>
      </c>
      <c r="D193" t="s">
        <v>54</v>
      </c>
      <c r="E193" t="s">
        <v>24</v>
      </c>
      <c r="F193" t="s">
        <v>27</v>
      </c>
      <c r="G193">
        <v>5</v>
      </c>
      <c r="H193" s="3">
        <v>46157</v>
      </c>
    </row>
    <row r="194" spans="1:8" ht="14.25">
      <c r="A194">
        <v>45</v>
      </c>
      <c r="B194" t="s">
        <v>309</v>
      </c>
      <c r="C194" t="s">
        <v>310</v>
      </c>
      <c r="D194" t="s">
        <v>23</v>
      </c>
      <c r="E194" t="s">
        <v>24</v>
      </c>
      <c r="F194" t="s">
        <v>27</v>
      </c>
      <c r="G194">
        <v>20</v>
      </c>
      <c r="H194" s="3">
        <v>46157</v>
      </c>
    </row>
    <row r="195" spans="1:8" ht="14.25">
      <c r="A195">
        <v>1160</v>
      </c>
      <c r="B195" t="s">
        <v>311</v>
      </c>
      <c r="C195" t="s">
        <v>312</v>
      </c>
      <c r="D195" t="s">
        <v>23</v>
      </c>
      <c r="E195" t="s">
        <v>24</v>
      </c>
      <c r="F195" t="s">
        <v>25</v>
      </c>
      <c r="H195" s="3">
        <v>46157</v>
      </c>
    </row>
    <row r="196" spans="1:8" ht="14.25">
      <c r="A196">
        <v>945</v>
      </c>
      <c r="B196" t="s">
        <v>313</v>
      </c>
      <c r="C196" t="s">
        <v>49</v>
      </c>
      <c r="D196" t="s">
        <v>23</v>
      </c>
      <c r="E196" t="s">
        <v>24</v>
      </c>
      <c r="F196" t="s">
        <v>25</v>
      </c>
      <c r="H196" s="3">
        <v>46157</v>
      </c>
    </row>
    <row r="197" spans="1:8" ht="14.25">
      <c r="A197">
        <v>813</v>
      </c>
      <c r="B197" t="s">
        <v>313</v>
      </c>
      <c r="C197" t="s">
        <v>289</v>
      </c>
      <c r="D197" t="s">
        <v>23</v>
      </c>
      <c r="E197" t="s">
        <v>30</v>
      </c>
      <c r="F197" t="s">
        <v>27</v>
      </c>
      <c r="G197">
        <v>7</v>
      </c>
      <c r="H197" s="3">
        <v>46157</v>
      </c>
    </row>
    <row r="198" spans="1:8" ht="14.25">
      <c r="A198">
        <v>812</v>
      </c>
      <c r="B198" t="s">
        <v>313</v>
      </c>
      <c r="C198" t="s">
        <v>170</v>
      </c>
      <c r="D198" t="s">
        <v>23</v>
      </c>
      <c r="E198" t="s">
        <v>24</v>
      </c>
      <c r="F198" t="s">
        <v>27</v>
      </c>
      <c r="G198">
        <v>9</v>
      </c>
      <c r="H198" s="3">
        <v>46157</v>
      </c>
    </row>
    <row r="199" spans="1:8" ht="14.25">
      <c r="A199">
        <v>1129</v>
      </c>
      <c r="B199" t="s">
        <v>314</v>
      </c>
      <c r="C199" t="s">
        <v>315</v>
      </c>
      <c r="D199" t="s">
        <v>23</v>
      </c>
      <c r="E199" t="s">
        <v>24</v>
      </c>
      <c r="F199" t="s">
        <v>27</v>
      </c>
      <c r="G199">
        <v>12</v>
      </c>
      <c r="H199" s="3">
        <v>46157</v>
      </c>
    </row>
    <row r="200" spans="1:8" ht="14.25">
      <c r="A200">
        <v>915</v>
      </c>
      <c r="B200" t="s">
        <v>316</v>
      </c>
      <c r="C200" t="s">
        <v>241</v>
      </c>
      <c r="D200" t="s">
        <v>23</v>
      </c>
      <c r="E200" t="s">
        <v>24</v>
      </c>
      <c r="F200" t="s">
        <v>27</v>
      </c>
      <c r="G200">
        <v>8</v>
      </c>
      <c r="H200" s="3">
        <v>46157</v>
      </c>
    </row>
    <row r="201" spans="1:8" ht="14.25">
      <c r="A201">
        <v>1356</v>
      </c>
      <c r="B201" t="s">
        <v>317</v>
      </c>
      <c r="C201" t="s">
        <v>318</v>
      </c>
      <c r="D201" t="s">
        <v>54</v>
      </c>
      <c r="E201" t="s">
        <v>24</v>
      </c>
      <c r="F201" t="s">
        <v>27</v>
      </c>
      <c r="G201">
        <v>15</v>
      </c>
      <c r="H201" s="3">
        <v>46157</v>
      </c>
    </row>
    <row r="202" spans="1:8" ht="14.25">
      <c r="A202">
        <v>1422</v>
      </c>
      <c r="B202" t="s">
        <v>319</v>
      </c>
      <c r="C202" t="s">
        <v>320</v>
      </c>
      <c r="D202" t="s">
        <v>54</v>
      </c>
      <c r="E202" t="s">
        <v>30</v>
      </c>
      <c r="F202" t="s">
        <v>25</v>
      </c>
      <c r="H202" s="3">
        <v>46157</v>
      </c>
    </row>
    <row r="203" spans="1:8" ht="14.25">
      <c r="A203">
        <v>860</v>
      </c>
      <c r="B203" t="s">
        <v>321</v>
      </c>
      <c r="C203" t="s">
        <v>215</v>
      </c>
      <c r="D203" t="s">
        <v>23</v>
      </c>
      <c r="E203" t="s">
        <v>30</v>
      </c>
      <c r="F203" t="s">
        <v>25</v>
      </c>
      <c r="H203" s="3">
        <v>46157</v>
      </c>
    </row>
    <row r="204" spans="1:8" ht="14.25">
      <c r="A204">
        <v>756</v>
      </c>
      <c r="B204" t="s">
        <v>321</v>
      </c>
      <c r="C204" t="s">
        <v>322</v>
      </c>
      <c r="D204" t="s">
        <v>23</v>
      </c>
      <c r="E204" t="s">
        <v>24</v>
      </c>
      <c r="F204" t="s">
        <v>25</v>
      </c>
      <c r="H204" s="3">
        <v>46157</v>
      </c>
    </row>
    <row r="205" spans="1:8" ht="14.25">
      <c r="A205">
        <v>407</v>
      </c>
      <c r="B205" t="s">
        <v>321</v>
      </c>
      <c r="C205" t="s">
        <v>323</v>
      </c>
      <c r="D205" t="s">
        <v>23</v>
      </c>
      <c r="E205" t="s">
        <v>24</v>
      </c>
      <c r="F205" t="s">
        <v>27</v>
      </c>
      <c r="G205">
        <v>5</v>
      </c>
      <c r="H205" s="3">
        <v>46157</v>
      </c>
    </row>
    <row r="206" spans="1:8" ht="14.25">
      <c r="A206">
        <v>1428</v>
      </c>
      <c r="B206" t="s">
        <v>324</v>
      </c>
      <c r="C206" t="s">
        <v>325</v>
      </c>
      <c r="D206" t="s">
        <v>23</v>
      </c>
      <c r="E206" t="s">
        <v>24</v>
      </c>
      <c r="F206" t="s">
        <v>35</v>
      </c>
      <c r="H206" s="3">
        <v>46157</v>
      </c>
    </row>
    <row r="207" spans="1:8" ht="14.25">
      <c r="A207">
        <v>1423</v>
      </c>
      <c r="B207" t="s">
        <v>326</v>
      </c>
      <c r="C207" t="s">
        <v>83</v>
      </c>
      <c r="D207" t="s">
        <v>23</v>
      </c>
      <c r="E207" t="s">
        <v>24</v>
      </c>
      <c r="F207" t="s">
        <v>25</v>
      </c>
      <c r="H207" s="3">
        <v>46157</v>
      </c>
    </row>
    <row r="208" spans="1:8" ht="14.25">
      <c r="A208">
        <v>1424</v>
      </c>
      <c r="B208" t="s">
        <v>326</v>
      </c>
      <c r="C208" t="s">
        <v>259</v>
      </c>
      <c r="D208" t="s">
        <v>23</v>
      </c>
      <c r="E208" t="s">
        <v>30</v>
      </c>
      <c r="F208" t="s">
        <v>25</v>
      </c>
      <c r="H208" s="3">
        <v>46157</v>
      </c>
    </row>
    <row r="209" spans="1:8" ht="14.25">
      <c r="A209">
        <v>1425</v>
      </c>
      <c r="B209" t="s">
        <v>326</v>
      </c>
      <c r="C209" t="s">
        <v>327</v>
      </c>
      <c r="D209" t="s">
        <v>23</v>
      </c>
      <c r="E209" t="s">
        <v>24</v>
      </c>
      <c r="F209" t="s">
        <v>35</v>
      </c>
      <c r="H209" s="3">
        <v>46157</v>
      </c>
    </row>
    <row r="210" spans="1:8" ht="14.25">
      <c r="A210">
        <v>1426</v>
      </c>
      <c r="B210" t="s">
        <v>326</v>
      </c>
      <c r="C210" t="s">
        <v>328</v>
      </c>
      <c r="D210" t="s">
        <v>23</v>
      </c>
      <c r="E210" t="s">
        <v>30</v>
      </c>
      <c r="F210" t="s">
        <v>35</v>
      </c>
      <c r="H210" s="3">
        <v>46157</v>
      </c>
    </row>
    <row r="211" spans="1:8" ht="14.25">
      <c r="A211">
        <v>1312</v>
      </c>
      <c r="B211" t="s">
        <v>329</v>
      </c>
      <c r="C211" t="s">
        <v>287</v>
      </c>
      <c r="D211" t="s">
        <v>23</v>
      </c>
      <c r="E211" t="s">
        <v>30</v>
      </c>
      <c r="F211" t="s">
        <v>27</v>
      </c>
      <c r="G211">
        <v>35</v>
      </c>
      <c r="H211" s="3">
        <v>46157</v>
      </c>
    </row>
    <row r="212" spans="1:8" ht="14.25">
      <c r="A212">
        <v>935</v>
      </c>
      <c r="B212" t="s">
        <v>330</v>
      </c>
      <c r="C212" t="s">
        <v>245</v>
      </c>
      <c r="D212" t="s">
        <v>23</v>
      </c>
      <c r="E212" t="s">
        <v>30</v>
      </c>
      <c r="F212" t="s">
        <v>25</v>
      </c>
      <c r="H212" s="3">
        <v>46157</v>
      </c>
    </row>
    <row r="213" spans="1:8" ht="14.25">
      <c r="A213">
        <v>999</v>
      </c>
      <c r="B213" t="s">
        <v>330</v>
      </c>
      <c r="C213" t="s">
        <v>331</v>
      </c>
      <c r="D213" t="s">
        <v>23</v>
      </c>
      <c r="E213" t="s">
        <v>30</v>
      </c>
      <c r="F213" t="s">
        <v>25</v>
      </c>
      <c r="H213" s="3">
        <v>46157</v>
      </c>
    </row>
    <row r="214" spans="1:8" ht="14.25">
      <c r="A214">
        <v>998</v>
      </c>
      <c r="B214" t="s">
        <v>330</v>
      </c>
      <c r="C214" t="s">
        <v>332</v>
      </c>
      <c r="D214" t="s">
        <v>23</v>
      </c>
      <c r="E214" t="s">
        <v>30</v>
      </c>
      <c r="F214" t="s">
        <v>27</v>
      </c>
      <c r="G214">
        <v>5</v>
      </c>
      <c r="H214" s="3">
        <v>46157</v>
      </c>
    </row>
    <row r="215" spans="1:8" ht="14.25">
      <c r="A215">
        <v>616</v>
      </c>
      <c r="B215" t="s">
        <v>330</v>
      </c>
      <c r="C215" t="s">
        <v>41</v>
      </c>
      <c r="D215" t="s">
        <v>23</v>
      </c>
      <c r="E215" t="s">
        <v>24</v>
      </c>
      <c r="F215" t="s">
        <v>27</v>
      </c>
      <c r="G215">
        <v>7</v>
      </c>
      <c r="H215" s="3">
        <v>46157</v>
      </c>
    </row>
    <row r="216" spans="1:8" ht="14.25">
      <c r="A216">
        <v>558</v>
      </c>
      <c r="B216" t="s">
        <v>333</v>
      </c>
      <c r="C216" t="s">
        <v>334</v>
      </c>
      <c r="D216" t="s">
        <v>23</v>
      </c>
      <c r="E216" t="s">
        <v>24</v>
      </c>
      <c r="F216" t="s">
        <v>27</v>
      </c>
      <c r="G216">
        <v>15</v>
      </c>
      <c r="H216" s="3">
        <v>46157</v>
      </c>
    </row>
    <row r="217" spans="1:8" ht="14.25">
      <c r="A217">
        <v>991</v>
      </c>
      <c r="B217" t="s">
        <v>335</v>
      </c>
      <c r="C217" t="s">
        <v>184</v>
      </c>
      <c r="D217" t="s">
        <v>23</v>
      </c>
      <c r="E217" t="s">
        <v>30</v>
      </c>
      <c r="F217" t="s">
        <v>35</v>
      </c>
      <c r="H217" s="3">
        <v>46157</v>
      </c>
    </row>
    <row r="218" spans="1:8" ht="14.25">
      <c r="A218">
        <v>359</v>
      </c>
      <c r="B218" t="s">
        <v>336</v>
      </c>
      <c r="C218" t="s">
        <v>26</v>
      </c>
      <c r="D218" t="s">
        <v>23</v>
      </c>
      <c r="E218" t="s">
        <v>24</v>
      </c>
      <c r="F218" t="s">
        <v>27</v>
      </c>
      <c r="G218">
        <v>24</v>
      </c>
      <c r="H218" s="3">
        <v>46157</v>
      </c>
    </row>
    <row r="219" spans="1:8" ht="14.25">
      <c r="A219">
        <v>1310</v>
      </c>
      <c r="B219" t="s">
        <v>337</v>
      </c>
      <c r="C219" t="s">
        <v>311</v>
      </c>
      <c r="D219" t="s">
        <v>23</v>
      </c>
      <c r="E219" t="s">
        <v>24</v>
      </c>
      <c r="F219" t="s">
        <v>25</v>
      </c>
      <c r="H219" s="3">
        <v>46157</v>
      </c>
    </row>
    <row r="220" spans="1:8" ht="14.25">
      <c r="A220">
        <v>1200</v>
      </c>
      <c r="B220" t="s">
        <v>338</v>
      </c>
      <c r="C220" t="s">
        <v>339</v>
      </c>
      <c r="D220" t="s">
        <v>23</v>
      </c>
      <c r="E220" t="s">
        <v>24</v>
      </c>
      <c r="F220" t="s">
        <v>27</v>
      </c>
      <c r="G220">
        <v>6</v>
      </c>
      <c r="H220" s="3">
        <v>46157</v>
      </c>
    </row>
    <row r="221" spans="1:8" ht="14.25">
      <c r="A221">
        <v>1411</v>
      </c>
      <c r="B221" t="s">
        <v>338</v>
      </c>
      <c r="C221" t="s">
        <v>72</v>
      </c>
      <c r="D221" t="s">
        <v>23</v>
      </c>
      <c r="E221" t="s">
        <v>30</v>
      </c>
      <c r="F221" t="s">
        <v>27</v>
      </c>
      <c r="G221">
        <v>3</v>
      </c>
      <c r="H221" s="3">
        <v>46157</v>
      </c>
    </row>
    <row r="222" spans="1:8" ht="14.25">
      <c r="A222">
        <v>1412</v>
      </c>
      <c r="B222" t="s">
        <v>338</v>
      </c>
      <c r="C222" t="s">
        <v>340</v>
      </c>
      <c r="D222" t="s">
        <v>23</v>
      </c>
      <c r="E222" t="s">
        <v>30</v>
      </c>
      <c r="F222" t="s">
        <v>188</v>
      </c>
      <c r="H222" s="3">
        <v>46157</v>
      </c>
    </row>
    <row r="223" spans="1:8" ht="14.25">
      <c r="A223">
        <v>1413</v>
      </c>
      <c r="B223" t="s">
        <v>338</v>
      </c>
      <c r="C223" t="s">
        <v>214</v>
      </c>
      <c r="D223" t="s">
        <v>23</v>
      </c>
      <c r="E223" t="s">
        <v>24</v>
      </c>
      <c r="F223" t="s">
        <v>188</v>
      </c>
      <c r="H223" s="3">
        <v>46157</v>
      </c>
    </row>
    <row r="224" spans="1:8" ht="14.25">
      <c r="A224">
        <v>1376</v>
      </c>
      <c r="B224" t="s">
        <v>192</v>
      </c>
      <c r="C224" t="s">
        <v>127</v>
      </c>
      <c r="D224" t="s">
        <v>23</v>
      </c>
      <c r="E224" t="s">
        <v>30</v>
      </c>
      <c r="F224" t="s">
        <v>25</v>
      </c>
      <c r="H224" s="3">
        <v>46157</v>
      </c>
    </row>
    <row r="225" spans="1:8" ht="14.25">
      <c r="A225">
        <v>1140</v>
      </c>
      <c r="B225" t="s">
        <v>341</v>
      </c>
      <c r="C225" t="s">
        <v>243</v>
      </c>
      <c r="D225" t="s">
        <v>23</v>
      </c>
      <c r="E225" t="s">
        <v>24</v>
      </c>
      <c r="F225" t="s">
        <v>25</v>
      </c>
      <c r="H225" s="3">
        <v>46157</v>
      </c>
    </row>
    <row r="226" spans="1:8" ht="14.25">
      <c r="A226">
        <v>989</v>
      </c>
      <c r="B226" t="s">
        <v>342</v>
      </c>
      <c r="C226" t="s">
        <v>343</v>
      </c>
      <c r="D226" t="s">
        <v>23</v>
      </c>
      <c r="E226" t="s">
        <v>24</v>
      </c>
      <c r="F226" t="s">
        <v>27</v>
      </c>
      <c r="G226">
        <v>3</v>
      </c>
      <c r="H226" s="3">
        <v>46157</v>
      </c>
    </row>
    <row r="227" spans="1:8" ht="14.25">
      <c r="A227">
        <v>1417</v>
      </c>
      <c r="B227" t="s">
        <v>344</v>
      </c>
      <c r="C227" t="s">
        <v>345</v>
      </c>
      <c r="D227" t="s">
        <v>23</v>
      </c>
      <c r="E227" t="s">
        <v>30</v>
      </c>
      <c r="F227" t="s">
        <v>27</v>
      </c>
      <c r="G227">
        <v>17</v>
      </c>
      <c r="H227" s="3">
        <v>46157</v>
      </c>
    </row>
    <row r="228" spans="1:8" ht="14.25">
      <c r="A228">
        <v>52</v>
      </c>
      <c r="B228" t="s">
        <v>346</v>
      </c>
      <c r="C228" t="s">
        <v>192</v>
      </c>
      <c r="D228" t="s">
        <v>23</v>
      </c>
      <c r="E228" t="s">
        <v>24</v>
      </c>
      <c r="F228" t="s">
        <v>25</v>
      </c>
      <c r="H228" s="3">
        <v>46157</v>
      </c>
    </row>
    <row r="229" spans="1:8" ht="14.25">
      <c r="A229">
        <v>62</v>
      </c>
      <c r="B229" t="s">
        <v>344</v>
      </c>
      <c r="C229" t="s">
        <v>234</v>
      </c>
      <c r="D229" t="s">
        <v>23</v>
      </c>
      <c r="E229" t="s">
        <v>24</v>
      </c>
      <c r="F229" t="s">
        <v>27</v>
      </c>
      <c r="G229">
        <v>4</v>
      </c>
      <c r="H229" s="3">
        <v>46157</v>
      </c>
    </row>
    <row r="230" spans="1:8" ht="14.25">
      <c r="A230">
        <v>930</v>
      </c>
      <c r="B230" t="s">
        <v>347</v>
      </c>
      <c r="C230" t="s">
        <v>348</v>
      </c>
      <c r="D230" t="s">
        <v>23</v>
      </c>
      <c r="E230" t="s">
        <v>30</v>
      </c>
      <c r="F230" t="s">
        <v>27</v>
      </c>
      <c r="G230">
        <v>6</v>
      </c>
      <c r="H230" s="3">
        <v>46157</v>
      </c>
    </row>
    <row r="231" spans="1:8" ht="14.25">
      <c r="A231">
        <v>1254</v>
      </c>
      <c r="B231" t="s">
        <v>349</v>
      </c>
      <c r="C231" t="s">
        <v>51</v>
      </c>
      <c r="D231" t="s">
        <v>23</v>
      </c>
      <c r="E231" t="s">
        <v>24</v>
      </c>
      <c r="F231" t="s">
        <v>27</v>
      </c>
      <c r="G231">
        <v>21</v>
      </c>
      <c r="H231" s="3">
        <v>46157</v>
      </c>
    </row>
    <row r="232" spans="1:8" ht="14.25">
      <c r="A232">
        <v>744</v>
      </c>
      <c r="B232" t="s">
        <v>350</v>
      </c>
      <c r="C232" t="s">
        <v>351</v>
      </c>
      <c r="D232" t="s">
        <v>23</v>
      </c>
      <c r="E232" t="s">
        <v>24</v>
      </c>
      <c r="F232" t="s">
        <v>27</v>
      </c>
      <c r="G232">
        <v>28</v>
      </c>
      <c r="H232" s="3">
        <v>46157</v>
      </c>
    </row>
    <row r="233" spans="1:8" ht="14.25">
      <c r="A233">
        <v>337</v>
      </c>
      <c r="B233" t="s">
        <v>352</v>
      </c>
      <c r="C233" t="s">
        <v>179</v>
      </c>
      <c r="D233" t="s">
        <v>23</v>
      </c>
      <c r="E233" t="s">
        <v>30</v>
      </c>
      <c r="F233" t="s">
        <v>27</v>
      </c>
      <c r="G233">
        <v>21</v>
      </c>
      <c r="H233" s="3">
        <v>46157</v>
      </c>
    </row>
  </sheetData>
  <pageMargins left="0.70078740157480324" right="0.70078740157480324" top="0.75196850393700787" bottom="0.75196850393700787"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34"/>
  <sheetViews>
    <sheetView workbookViewId="0"/>
    <sheetView workbookViewId="1"/>
  </sheetViews>
  <sheetFormatPr defaultColWidth="9.53125" defaultRowHeight="12.75"/>
  <cols>
    <col min="8" max="8" width="12" bestFit="1" customWidth="1"/>
  </cols>
  <sheetData>
    <row r="1" spans="1:8">
      <c r="A1" t="s">
        <v>13</v>
      </c>
      <c r="B1" t="s">
        <v>14</v>
      </c>
      <c r="C1" t="s">
        <v>15</v>
      </c>
      <c r="D1" t="s">
        <v>16</v>
      </c>
      <c r="E1" t="s">
        <v>17</v>
      </c>
      <c r="F1" t="s">
        <v>18</v>
      </c>
      <c r="G1" t="s">
        <v>19</v>
      </c>
      <c r="H1" t="s">
        <v>20</v>
      </c>
    </row>
    <row r="2" spans="1:8" ht="14.25">
      <c r="A2">
        <v>1327</v>
      </c>
      <c r="B2" t="s">
        <v>21</v>
      </c>
      <c r="C2" t="s">
        <v>22</v>
      </c>
      <c r="D2" t="s">
        <v>23</v>
      </c>
      <c r="E2" t="s">
        <v>24</v>
      </c>
      <c r="F2" t="s">
        <v>25</v>
      </c>
      <c r="H2" s="3">
        <v>46159</v>
      </c>
    </row>
    <row r="3" spans="1:8" ht="14.25">
      <c r="A3">
        <v>1237</v>
      </c>
      <c r="B3" t="s">
        <v>21</v>
      </c>
      <c r="C3" t="s">
        <v>26</v>
      </c>
      <c r="D3" t="s">
        <v>23</v>
      </c>
      <c r="E3" t="s">
        <v>24</v>
      </c>
      <c r="F3" t="s">
        <v>27</v>
      </c>
      <c r="G3">
        <v>1</v>
      </c>
      <c r="H3" s="3">
        <v>46159</v>
      </c>
    </row>
    <row r="4" spans="1:8" ht="14.25">
      <c r="A4">
        <v>819</v>
      </c>
      <c r="B4" t="s">
        <v>28</v>
      </c>
      <c r="C4" t="s">
        <v>29</v>
      </c>
      <c r="D4" t="s">
        <v>23</v>
      </c>
      <c r="E4" t="s">
        <v>30</v>
      </c>
      <c r="F4" t="s">
        <v>27</v>
      </c>
      <c r="G4">
        <v>23</v>
      </c>
      <c r="H4" s="3">
        <v>46159</v>
      </c>
    </row>
    <row r="5" spans="1:8" ht="14.25">
      <c r="A5">
        <v>2</v>
      </c>
      <c r="B5" t="s">
        <v>31</v>
      </c>
      <c r="C5" t="s">
        <v>32</v>
      </c>
      <c r="D5" t="s">
        <v>23</v>
      </c>
      <c r="E5" t="s">
        <v>24</v>
      </c>
      <c r="F5" t="s">
        <v>27</v>
      </c>
      <c r="G5">
        <v>21</v>
      </c>
      <c r="H5" s="3">
        <v>46159</v>
      </c>
    </row>
    <row r="6" spans="1:8" ht="14.25">
      <c r="A6">
        <v>1370</v>
      </c>
      <c r="B6" t="s">
        <v>33</v>
      </c>
      <c r="C6" t="s">
        <v>34</v>
      </c>
      <c r="D6" t="s">
        <v>23</v>
      </c>
      <c r="E6" t="s">
        <v>24</v>
      </c>
      <c r="F6" t="s">
        <v>27</v>
      </c>
      <c r="G6">
        <v>4</v>
      </c>
      <c r="H6" s="3">
        <v>46159</v>
      </c>
    </row>
    <row r="7" spans="1:8" ht="14.25">
      <c r="A7">
        <v>1415</v>
      </c>
      <c r="B7" t="s">
        <v>33</v>
      </c>
      <c r="C7" t="s">
        <v>22</v>
      </c>
      <c r="D7" t="s">
        <v>23</v>
      </c>
      <c r="E7" t="s">
        <v>24</v>
      </c>
      <c r="F7" t="s">
        <v>35</v>
      </c>
      <c r="H7" s="3">
        <v>46159</v>
      </c>
    </row>
    <row r="8" spans="1:8" ht="14.25">
      <c r="A8">
        <v>1286</v>
      </c>
      <c r="B8" t="s">
        <v>36</v>
      </c>
      <c r="C8" t="s">
        <v>34</v>
      </c>
      <c r="D8" t="s">
        <v>23</v>
      </c>
      <c r="E8" t="s">
        <v>24</v>
      </c>
      <c r="F8" t="s">
        <v>27</v>
      </c>
      <c r="G8">
        <v>13</v>
      </c>
      <c r="H8" s="3">
        <v>46159</v>
      </c>
    </row>
    <row r="9" spans="1:8" ht="14.25">
      <c r="A9">
        <v>1381</v>
      </c>
      <c r="B9" t="s">
        <v>36</v>
      </c>
      <c r="C9" t="s">
        <v>37</v>
      </c>
      <c r="D9" t="s">
        <v>23</v>
      </c>
      <c r="E9" t="s">
        <v>24</v>
      </c>
      <c r="F9" t="s">
        <v>25</v>
      </c>
      <c r="H9" s="3">
        <v>46159</v>
      </c>
    </row>
    <row r="10" spans="1:8" ht="14.25">
      <c r="A10">
        <v>1112</v>
      </c>
      <c r="B10" t="s">
        <v>38</v>
      </c>
      <c r="C10" t="s">
        <v>39</v>
      </c>
      <c r="D10" t="s">
        <v>23</v>
      </c>
      <c r="E10" t="s">
        <v>24</v>
      </c>
      <c r="F10" t="s">
        <v>27</v>
      </c>
      <c r="G10">
        <v>16</v>
      </c>
      <c r="H10" s="3">
        <v>46159</v>
      </c>
    </row>
    <row r="11" spans="1:8" ht="14.25">
      <c r="A11">
        <v>1135</v>
      </c>
      <c r="B11" t="s">
        <v>40</v>
      </c>
      <c r="C11" t="s">
        <v>41</v>
      </c>
      <c r="D11" t="s">
        <v>23</v>
      </c>
      <c r="E11" t="s">
        <v>24</v>
      </c>
      <c r="F11" t="s">
        <v>27</v>
      </c>
      <c r="G11">
        <v>1</v>
      </c>
      <c r="H11" s="3">
        <v>46159</v>
      </c>
    </row>
    <row r="12" spans="1:8" ht="14.25">
      <c r="A12">
        <v>982</v>
      </c>
      <c r="B12" t="s">
        <v>42</v>
      </c>
      <c r="C12" t="s">
        <v>32</v>
      </c>
      <c r="D12" t="s">
        <v>23</v>
      </c>
      <c r="E12" t="s">
        <v>24</v>
      </c>
      <c r="F12" t="s">
        <v>27</v>
      </c>
      <c r="G12">
        <v>22</v>
      </c>
      <c r="H12" s="3">
        <v>46159</v>
      </c>
    </row>
    <row r="13" spans="1:8" ht="14.25">
      <c r="A13">
        <v>1328</v>
      </c>
      <c r="B13" t="s">
        <v>43</v>
      </c>
      <c r="C13" t="s">
        <v>44</v>
      </c>
      <c r="D13" t="s">
        <v>23</v>
      </c>
      <c r="E13" t="s">
        <v>24</v>
      </c>
      <c r="F13" t="s">
        <v>27</v>
      </c>
      <c r="G13">
        <v>4</v>
      </c>
      <c r="H13" s="3">
        <v>46159</v>
      </c>
    </row>
    <row r="14" spans="1:8" ht="14.25">
      <c r="A14">
        <v>369</v>
      </c>
      <c r="B14" t="s">
        <v>45</v>
      </c>
      <c r="C14" t="s">
        <v>46</v>
      </c>
      <c r="D14" t="s">
        <v>23</v>
      </c>
      <c r="E14" t="s">
        <v>24</v>
      </c>
      <c r="F14" t="s">
        <v>27</v>
      </c>
      <c r="G14">
        <v>8</v>
      </c>
      <c r="H14" s="3">
        <v>46159</v>
      </c>
    </row>
    <row r="15" spans="1:8" ht="14.25">
      <c r="A15">
        <v>7</v>
      </c>
      <c r="B15" t="s">
        <v>45</v>
      </c>
      <c r="C15" t="s">
        <v>47</v>
      </c>
      <c r="D15" t="s">
        <v>48</v>
      </c>
      <c r="E15" t="s">
        <v>24</v>
      </c>
      <c r="F15" t="s">
        <v>27</v>
      </c>
      <c r="G15">
        <v>32</v>
      </c>
      <c r="H15" s="3">
        <v>46159</v>
      </c>
    </row>
    <row r="16" spans="1:8" ht="14.25">
      <c r="A16">
        <v>473</v>
      </c>
      <c r="B16" t="s">
        <v>45</v>
      </c>
      <c r="C16" t="s">
        <v>49</v>
      </c>
      <c r="D16" t="s">
        <v>48</v>
      </c>
      <c r="E16" t="s">
        <v>24</v>
      </c>
      <c r="F16" t="s">
        <v>27</v>
      </c>
      <c r="G16">
        <v>33</v>
      </c>
      <c r="H16" s="3">
        <v>46159</v>
      </c>
    </row>
    <row r="17" spans="1:8" ht="14.25">
      <c r="A17">
        <v>1384</v>
      </c>
      <c r="B17" t="s">
        <v>50</v>
      </c>
      <c r="C17" t="s">
        <v>51</v>
      </c>
      <c r="D17" t="s">
        <v>23</v>
      </c>
      <c r="E17" t="s">
        <v>24</v>
      </c>
      <c r="F17" t="s">
        <v>27</v>
      </c>
      <c r="G17">
        <v>30</v>
      </c>
      <c r="H17" s="3">
        <v>46159</v>
      </c>
    </row>
    <row r="18" spans="1:8" ht="14.25">
      <c r="A18">
        <v>1348</v>
      </c>
      <c r="B18" t="s">
        <v>52</v>
      </c>
      <c r="C18" t="s">
        <v>53</v>
      </c>
      <c r="D18" t="s">
        <v>54</v>
      </c>
      <c r="E18" t="s">
        <v>30</v>
      </c>
      <c r="F18" t="s">
        <v>25</v>
      </c>
      <c r="H18" s="3">
        <v>46159</v>
      </c>
    </row>
    <row r="19" spans="1:8" ht="14.25">
      <c r="A19">
        <v>1275</v>
      </c>
      <c r="B19" t="s">
        <v>52</v>
      </c>
      <c r="C19" t="s">
        <v>55</v>
      </c>
      <c r="D19" t="s">
        <v>23</v>
      </c>
      <c r="E19" t="s">
        <v>30</v>
      </c>
      <c r="F19" t="s">
        <v>35</v>
      </c>
      <c r="H19" s="3">
        <v>46159</v>
      </c>
    </row>
    <row r="20" spans="1:8" ht="14.25">
      <c r="A20">
        <v>68</v>
      </c>
      <c r="B20" t="s">
        <v>56</v>
      </c>
      <c r="C20" t="s">
        <v>57</v>
      </c>
      <c r="D20" t="s">
        <v>48</v>
      </c>
      <c r="E20" t="s">
        <v>24</v>
      </c>
      <c r="F20" t="s">
        <v>27</v>
      </c>
      <c r="G20">
        <v>35</v>
      </c>
      <c r="H20" s="3">
        <v>46159</v>
      </c>
    </row>
    <row r="21" spans="1:8" ht="14.25">
      <c r="A21">
        <v>1035</v>
      </c>
      <c r="B21" t="s">
        <v>58</v>
      </c>
      <c r="C21" t="s">
        <v>59</v>
      </c>
      <c r="D21" t="s">
        <v>23</v>
      </c>
      <c r="E21" t="s">
        <v>24</v>
      </c>
      <c r="F21" t="s">
        <v>27</v>
      </c>
      <c r="G21">
        <v>6</v>
      </c>
      <c r="H21" s="3">
        <v>46159</v>
      </c>
    </row>
    <row r="22" spans="1:8" ht="14.25">
      <c r="A22">
        <v>1416</v>
      </c>
      <c r="B22" t="s">
        <v>60</v>
      </c>
      <c r="C22" t="s">
        <v>61</v>
      </c>
      <c r="D22" t="s">
        <v>23</v>
      </c>
      <c r="E22" t="s">
        <v>24</v>
      </c>
      <c r="F22" t="s">
        <v>25</v>
      </c>
      <c r="H22" s="3">
        <v>46159</v>
      </c>
    </row>
    <row r="23" spans="1:8" ht="14.25">
      <c r="A23">
        <v>1326</v>
      </c>
      <c r="B23" t="s">
        <v>62</v>
      </c>
      <c r="C23" t="s">
        <v>63</v>
      </c>
      <c r="D23" t="s">
        <v>23</v>
      </c>
      <c r="E23" t="s">
        <v>30</v>
      </c>
      <c r="F23" t="s">
        <v>25</v>
      </c>
      <c r="H23" s="3">
        <v>46159</v>
      </c>
    </row>
    <row r="24" spans="1:8" ht="14.25">
      <c r="A24">
        <v>477</v>
      </c>
      <c r="B24" t="s">
        <v>64</v>
      </c>
      <c r="C24" t="s">
        <v>65</v>
      </c>
      <c r="D24" t="s">
        <v>23</v>
      </c>
      <c r="E24" t="s">
        <v>30</v>
      </c>
      <c r="F24" t="s">
        <v>27</v>
      </c>
      <c r="G24">
        <v>34</v>
      </c>
      <c r="H24" s="3">
        <v>46159</v>
      </c>
    </row>
    <row r="25" spans="1:8" ht="14.25">
      <c r="A25">
        <v>10</v>
      </c>
      <c r="B25" t="s">
        <v>64</v>
      </c>
      <c r="C25" t="s">
        <v>66</v>
      </c>
      <c r="D25" t="s">
        <v>48</v>
      </c>
      <c r="E25" t="s">
        <v>24</v>
      </c>
      <c r="F25" t="s">
        <v>27</v>
      </c>
      <c r="G25">
        <v>35</v>
      </c>
      <c r="H25" s="3">
        <v>46159</v>
      </c>
    </row>
    <row r="26" spans="1:8" ht="14.25">
      <c r="A26">
        <v>1414</v>
      </c>
      <c r="B26" t="s">
        <v>67</v>
      </c>
      <c r="C26" t="s">
        <v>36</v>
      </c>
      <c r="D26" t="s">
        <v>23</v>
      </c>
      <c r="E26" t="s">
        <v>24</v>
      </c>
      <c r="F26" t="s">
        <v>27</v>
      </c>
      <c r="G26">
        <v>13</v>
      </c>
      <c r="H26" s="3">
        <v>46159</v>
      </c>
    </row>
    <row r="27" spans="1:8" ht="14.25">
      <c r="A27">
        <v>1029</v>
      </c>
      <c r="B27" t="s">
        <v>68</v>
      </c>
      <c r="C27" t="s">
        <v>69</v>
      </c>
      <c r="D27" t="s">
        <v>23</v>
      </c>
      <c r="E27" t="s">
        <v>24</v>
      </c>
      <c r="F27" t="s">
        <v>27</v>
      </c>
      <c r="G27">
        <v>28</v>
      </c>
      <c r="H27" s="3">
        <v>46159</v>
      </c>
    </row>
    <row r="28" spans="1:8" ht="14.25">
      <c r="A28">
        <v>13</v>
      </c>
      <c r="B28" t="s">
        <v>70</v>
      </c>
      <c r="C28" t="s">
        <v>51</v>
      </c>
      <c r="D28" t="s">
        <v>23</v>
      </c>
      <c r="E28" t="s">
        <v>24</v>
      </c>
      <c r="F28" t="s">
        <v>27</v>
      </c>
      <c r="G28">
        <v>28</v>
      </c>
      <c r="H28" s="3">
        <v>46159</v>
      </c>
    </row>
    <row r="29" spans="1:8" ht="14.25">
      <c r="A29">
        <v>1255</v>
      </c>
      <c r="B29" t="s">
        <v>71</v>
      </c>
      <c r="C29" t="s">
        <v>72</v>
      </c>
      <c r="D29" t="s">
        <v>23</v>
      </c>
      <c r="E29" t="s">
        <v>30</v>
      </c>
      <c r="F29" t="s">
        <v>27</v>
      </c>
      <c r="G29">
        <v>13</v>
      </c>
      <c r="H29" s="3">
        <v>46159</v>
      </c>
    </row>
    <row r="30" spans="1:8" ht="14.25">
      <c r="A30">
        <v>1405</v>
      </c>
      <c r="B30" t="s">
        <v>73</v>
      </c>
      <c r="C30" t="s">
        <v>74</v>
      </c>
      <c r="D30" t="s">
        <v>23</v>
      </c>
      <c r="E30" t="s">
        <v>30</v>
      </c>
      <c r="F30" t="s">
        <v>35</v>
      </c>
      <c r="H30" s="3">
        <v>46159</v>
      </c>
    </row>
    <row r="31" spans="1:8" ht="14.25">
      <c r="A31">
        <v>1421</v>
      </c>
      <c r="B31" t="s">
        <v>75</v>
      </c>
      <c r="C31" t="s">
        <v>76</v>
      </c>
      <c r="D31" t="s">
        <v>23</v>
      </c>
      <c r="E31" t="s">
        <v>30</v>
      </c>
      <c r="F31" t="s">
        <v>27</v>
      </c>
      <c r="G31">
        <v>12</v>
      </c>
      <c r="H31" s="3">
        <v>46159</v>
      </c>
    </row>
    <row r="32" spans="1:8" ht="14.25">
      <c r="A32">
        <v>1418</v>
      </c>
      <c r="B32" t="s">
        <v>75</v>
      </c>
      <c r="C32" t="s">
        <v>22</v>
      </c>
      <c r="D32" t="s">
        <v>23</v>
      </c>
      <c r="E32" t="s">
        <v>24</v>
      </c>
      <c r="F32" t="s">
        <v>25</v>
      </c>
      <c r="H32" s="3">
        <v>46159</v>
      </c>
    </row>
    <row r="33" spans="1:8" ht="14.25">
      <c r="A33">
        <v>919</v>
      </c>
      <c r="B33" t="s">
        <v>77</v>
      </c>
      <c r="C33" t="s">
        <v>51</v>
      </c>
      <c r="D33" t="s">
        <v>23</v>
      </c>
      <c r="E33" t="s">
        <v>24</v>
      </c>
      <c r="F33" t="s">
        <v>27</v>
      </c>
      <c r="G33">
        <v>16</v>
      </c>
      <c r="H33" s="3">
        <v>46159</v>
      </c>
    </row>
    <row r="34" spans="1:8" ht="14.25">
      <c r="A34">
        <v>1319</v>
      </c>
      <c r="B34" t="s">
        <v>78</v>
      </c>
      <c r="C34" t="s">
        <v>32</v>
      </c>
      <c r="D34" t="s">
        <v>23</v>
      </c>
      <c r="E34" t="s">
        <v>24</v>
      </c>
      <c r="F34" t="s">
        <v>27</v>
      </c>
      <c r="G34">
        <v>9</v>
      </c>
      <c r="H34" s="3">
        <v>46159</v>
      </c>
    </row>
    <row r="35" spans="1:8" ht="14.25">
      <c r="A35">
        <v>1389</v>
      </c>
      <c r="B35" t="s">
        <v>79</v>
      </c>
      <c r="C35" t="s">
        <v>80</v>
      </c>
      <c r="D35" t="s">
        <v>23</v>
      </c>
      <c r="E35" t="s">
        <v>24</v>
      </c>
      <c r="F35" t="s">
        <v>25</v>
      </c>
      <c r="H35" s="3">
        <v>46159</v>
      </c>
    </row>
    <row r="36" spans="1:8" ht="14.25">
      <c r="A36">
        <v>940</v>
      </c>
      <c r="B36" t="s">
        <v>81</v>
      </c>
      <c r="C36" t="s">
        <v>82</v>
      </c>
      <c r="D36" t="s">
        <v>23</v>
      </c>
      <c r="E36" t="s">
        <v>30</v>
      </c>
      <c r="F36" t="s">
        <v>27</v>
      </c>
      <c r="G36">
        <v>9</v>
      </c>
      <c r="H36" s="3">
        <v>46159</v>
      </c>
    </row>
    <row r="37" spans="1:8" ht="14.25">
      <c r="A37">
        <v>806</v>
      </c>
      <c r="B37" t="s">
        <v>81</v>
      </c>
      <c r="C37" t="s">
        <v>83</v>
      </c>
      <c r="D37" t="s">
        <v>23</v>
      </c>
      <c r="E37" t="s">
        <v>24</v>
      </c>
      <c r="F37" t="s">
        <v>27</v>
      </c>
      <c r="G37">
        <v>11</v>
      </c>
      <c r="H37" s="3">
        <v>46159</v>
      </c>
    </row>
    <row r="38" spans="1:8" ht="14.25">
      <c r="A38">
        <v>482</v>
      </c>
      <c r="B38" t="s">
        <v>84</v>
      </c>
      <c r="C38" t="s">
        <v>85</v>
      </c>
      <c r="D38" t="s">
        <v>23</v>
      </c>
      <c r="E38" t="s">
        <v>24</v>
      </c>
      <c r="F38" t="s">
        <v>27</v>
      </c>
      <c r="G38">
        <v>13</v>
      </c>
      <c r="H38" s="3">
        <v>46159</v>
      </c>
    </row>
    <row r="39" spans="1:8" ht="14.25">
      <c r="A39">
        <v>674</v>
      </c>
      <c r="B39" t="s">
        <v>86</v>
      </c>
      <c r="C39" t="s">
        <v>87</v>
      </c>
      <c r="D39" t="s">
        <v>54</v>
      </c>
      <c r="E39" t="s">
        <v>30</v>
      </c>
      <c r="F39" t="s">
        <v>27</v>
      </c>
      <c r="G39">
        <v>23</v>
      </c>
      <c r="H39" s="3">
        <v>46159</v>
      </c>
    </row>
    <row r="40" spans="1:8" ht="14.25">
      <c r="A40">
        <v>1061</v>
      </c>
      <c r="B40" t="s">
        <v>88</v>
      </c>
      <c r="C40" t="s">
        <v>89</v>
      </c>
      <c r="D40" t="s">
        <v>23</v>
      </c>
      <c r="E40" t="s">
        <v>24</v>
      </c>
      <c r="F40" t="s">
        <v>27</v>
      </c>
      <c r="G40">
        <v>19</v>
      </c>
      <c r="H40" s="3">
        <v>46159</v>
      </c>
    </row>
    <row r="41" spans="1:8" ht="14.25">
      <c r="A41">
        <v>763</v>
      </c>
      <c r="B41" t="s">
        <v>90</v>
      </c>
      <c r="C41" t="s">
        <v>59</v>
      </c>
      <c r="D41" t="s">
        <v>23</v>
      </c>
      <c r="E41" t="s">
        <v>24</v>
      </c>
      <c r="F41" t="s">
        <v>27</v>
      </c>
      <c r="G41">
        <v>17</v>
      </c>
      <c r="H41" s="3">
        <v>46159</v>
      </c>
    </row>
    <row r="42" spans="1:8" ht="14.25">
      <c r="A42">
        <v>1227</v>
      </c>
      <c r="B42" t="s">
        <v>91</v>
      </c>
      <c r="C42" t="s">
        <v>92</v>
      </c>
      <c r="D42" t="s">
        <v>23</v>
      </c>
      <c r="E42" t="s">
        <v>30</v>
      </c>
      <c r="F42" t="s">
        <v>27</v>
      </c>
      <c r="G42">
        <v>8</v>
      </c>
      <c r="H42" s="3">
        <v>46159</v>
      </c>
    </row>
    <row r="43" spans="1:8" ht="14.25">
      <c r="A43">
        <v>715</v>
      </c>
      <c r="B43" t="s">
        <v>93</v>
      </c>
      <c r="C43" t="s">
        <v>94</v>
      </c>
      <c r="D43" t="s">
        <v>23</v>
      </c>
      <c r="E43" t="s">
        <v>24</v>
      </c>
      <c r="F43" t="s">
        <v>27</v>
      </c>
      <c r="G43">
        <v>5</v>
      </c>
      <c r="H43" s="3">
        <v>46159</v>
      </c>
    </row>
    <row r="44" spans="1:8" ht="14.25">
      <c r="A44">
        <v>567</v>
      </c>
      <c r="B44" t="s">
        <v>95</v>
      </c>
      <c r="C44" t="s">
        <v>96</v>
      </c>
      <c r="D44" t="s">
        <v>23</v>
      </c>
      <c r="E44" t="s">
        <v>24</v>
      </c>
      <c r="F44" t="s">
        <v>27</v>
      </c>
      <c r="G44">
        <v>7</v>
      </c>
      <c r="H44" s="3">
        <v>46159</v>
      </c>
    </row>
    <row r="45" spans="1:8" ht="14.25">
      <c r="A45">
        <v>1391</v>
      </c>
      <c r="B45" t="s">
        <v>97</v>
      </c>
      <c r="C45" t="s">
        <v>98</v>
      </c>
      <c r="D45" t="s">
        <v>23</v>
      </c>
      <c r="E45" t="s">
        <v>30</v>
      </c>
      <c r="F45" t="s">
        <v>25</v>
      </c>
      <c r="H45" s="3">
        <v>46159</v>
      </c>
    </row>
    <row r="46" spans="1:8" ht="14.25">
      <c r="A46">
        <v>704</v>
      </c>
      <c r="B46" t="s">
        <v>99</v>
      </c>
      <c r="C46" t="s">
        <v>100</v>
      </c>
      <c r="D46" t="s">
        <v>23</v>
      </c>
      <c r="E46" t="s">
        <v>24</v>
      </c>
      <c r="F46" t="s">
        <v>27</v>
      </c>
      <c r="G46">
        <v>21</v>
      </c>
      <c r="H46" s="3">
        <v>46159</v>
      </c>
    </row>
    <row r="47" spans="1:8" ht="14.25">
      <c r="A47">
        <v>1283</v>
      </c>
      <c r="B47" t="s">
        <v>101</v>
      </c>
      <c r="C47" t="s">
        <v>102</v>
      </c>
      <c r="D47" t="s">
        <v>23</v>
      </c>
      <c r="E47" t="s">
        <v>24</v>
      </c>
      <c r="F47" t="s">
        <v>27</v>
      </c>
      <c r="G47">
        <v>18</v>
      </c>
      <c r="H47" s="3">
        <v>46159</v>
      </c>
    </row>
    <row r="48" spans="1:8" ht="14.25">
      <c r="A48">
        <v>295</v>
      </c>
      <c r="B48" t="s">
        <v>103</v>
      </c>
      <c r="C48" t="s">
        <v>104</v>
      </c>
      <c r="D48" t="s">
        <v>23</v>
      </c>
      <c r="E48" t="s">
        <v>24</v>
      </c>
      <c r="F48" t="s">
        <v>27</v>
      </c>
      <c r="G48">
        <v>15</v>
      </c>
      <c r="H48" s="3">
        <v>46159</v>
      </c>
    </row>
    <row r="49" spans="1:8" ht="14.25">
      <c r="A49">
        <v>1226</v>
      </c>
      <c r="B49" t="s">
        <v>105</v>
      </c>
      <c r="C49" t="s">
        <v>106</v>
      </c>
      <c r="D49" t="s">
        <v>23</v>
      </c>
      <c r="E49" t="s">
        <v>30</v>
      </c>
      <c r="F49" t="s">
        <v>25</v>
      </c>
      <c r="H49" s="3">
        <v>46159</v>
      </c>
    </row>
    <row r="50" spans="1:8" ht="14.25">
      <c r="A50">
        <v>1333</v>
      </c>
      <c r="B50" t="s">
        <v>107</v>
      </c>
      <c r="C50" t="s">
        <v>108</v>
      </c>
      <c r="D50" t="s">
        <v>23</v>
      </c>
      <c r="E50" t="s">
        <v>24</v>
      </c>
      <c r="F50" t="s">
        <v>27</v>
      </c>
      <c r="G50">
        <v>3</v>
      </c>
      <c r="H50" s="3">
        <v>46159</v>
      </c>
    </row>
    <row r="51" spans="1:8" ht="14.25">
      <c r="A51">
        <v>1185</v>
      </c>
      <c r="B51" t="s">
        <v>109</v>
      </c>
      <c r="C51" t="s">
        <v>110</v>
      </c>
      <c r="D51" t="s">
        <v>23</v>
      </c>
      <c r="E51" t="s">
        <v>30</v>
      </c>
      <c r="F51" t="s">
        <v>35</v>
      </c>
      <c r="H51" s="3">
        <v>46159</v>
      </c>
    </row>
    <row r="52" spans="1:8" ht="14.25">
      <c r="A52">
        <v>1065</v>
      </c>
      <c r="B52" t="s">
        <v>109</v>
      </c>
      <c r="C52" t="s">
        <v>41</v>
      </c>
      <c r="D52" t="s">
        <v>23</v>
      </c>
      <c r="E52" t="s">
        <v>24</v>
      </c>
      <c r="F52" t="s">
        <v>27</v>
      </c>
      <c r="G52">
        <v>1</v>
      </c>
      <c r="H52" s="3">
        <v>46159</v>
      </c>
    </row>
    <row r="53" spans="1:8" ht="14.25">
      <c r="A53">
        <v>1407</v>
      </c>
      <c r="B53" t="s">
        <v>111</v>
      </c>
      <c r="C53" t="s">
        <v>112</v>
      </c>
      <c r="D53" t="s">
        <v>23</v>
      </c>
      <c r="E53" t="s">
        <v>24</v>
      </c>
      <c r="F53" t="s">
        <v>25</v>
      </c>
      <c r="H53" s="3">
        <v>46159</v>
      </c>
    </row>
    <row r="54" spans="1:8" ht="14.25">
      <c r="A54">
        <v>1096</v>
      </c>
      <c r="B54" t="s">
        <v>113</v>
      </c>
      <c r="C54" t="s">
        <v>114</v>
      </c>
      <c r="D54" t="s">
        <v>23</v>
      </c>
      <c r="E54" t="s">
        <v>24</v>
      </c>
      <c r="F54" t="s">
        <v>35</v>
      </c>
      <c r="H54" s="3">
        <v>46159</v>
      </c>
    </row>
    <row r="55" spans="1:8" ht="14.25">
      <c r="A55">
        <v>1236</v>
      </c>
      <c r="B55" t="s">
        <v>113</v>
      </c>
      <c r="C55" t="s">
        <v>115</v>
      </c>
      <c r="D55" t="s">
        <v>23</v>
      </c>
      <c r="E55" t="s">
        <v>30</v>
      </c>
      <c r="F55" t="s">
        <v>27</v>
      </c>
      <c r="G55">
        <v>5</v>
      </c>
      <c r="H55" s="3">
        <v>46159</v>
      </c>
    </row>
    <row r="56" spans="1:8" ht="14.25">
      <c r="A56">
        <v>699</v>
      </c>
      <c r="B56" t="s">
        <v>113</v>
      </c>
      <c r="C56" t="s">
        <v>116</v>
      </c>
      <c r="D56" t="s">
        <v>23</v>
      </c>
      <c r="E56" t="s">
        <v>24</v>
      </c>
      <c r="F56" t="s">
        <v>27</v>
      </c>
      <c r="G56">
        <v>5</v>
      </c>
      <c r="H56" s="3">
        <v>46159</v>
      </c>
    </row>
    <row r="57" spans="1:8" ht="14.25">
      <c r="A57">
        <v>1000</v>
      </c>
      <c r="B57" t="s">
        <v>120</v>
      </c>
      <c r="C57" t="s">
        <v>121</v>
      </c>
      <c r="D57" t="s">
        <v>23</v>
      </c>
      <c r="E57" t="s">
        <v>24</v>
      </c>
      <c r="F57" t="s">
        <v>25</v>
      </c>
      <c r="H57" s="3">
        <v>46159</v>
      </c>
    </row>
    <row r="58" spans="1:8" ht="14.25">
      <c r="A58">
        <v>1332</v>
      </c>
      <c r="B58" t="s">
        <v>122</v>
      </c>
      <c r="C58" t="s">
        <v>123</v>
      </c>
      <c r="D58" t="s">
        <v>23</v>
      </c>
      <c r="E58" t="s">
        <v>30</v>
      </c>
      <c r="F58" t="s">
        <v>25</v>
      </c>
      <c r="H58" s="3">
        <v>46159</v>
      </c>
    </row>
    <row r="59" spans="1:8" ht="14.25">
      <c r="A59">
        <v>682</v>
      </c>
      <c r="B59" t="s">
        <v>124</v>
      </c>
      <c r="C59" t="s">
        <v>125</v>
      </c>
      <c r="D59" t="s">
        <v>23</v>
      </c>
      <c r="E59" t="s">
        <v>24</v>
      </c>
      <c r="F59" t="s">
        <v>27</v>
      </c>
      <c r="G59">
        <v>11</v>
      </c>
      <c r="H59" s="3">
        <v>46159</v>
      </c>
    </row>
    <row r="60" spans="1:8" ht="14.25">
      <c r="A60">
        <v>1393</v>
      </c>
      <c r="B60" t="s">
        <v>126</v>
      </c>
      <c r="C60" t="s">
        <v>127</v>
      </c>
      <c r="D60" t="s">
        <v>23</v>
      </c>
      <c r="E60" t="s">
        <v>30</v>
      </c>
      <c r="F60" t="s">
        <v>27</v>
      </c>
      <c r="G60">
        <v>10</v>
      </c>
      <c r="H60" s="3">
        <v>46159</v>
      </c>
    </row>
    <row r="61" spans="1:8" ht="14.25">
      <c r="A61">
        <v>1355</v>
      </c>
      <c r="B61" t="s">
        <v>128</v>
      </c>
      <c r="C61" t="s">
        <v>129</v>
      </c>
      <c r="D61" t="s">
        <v>23</v>
      </c>
      <c r="E61" t="s">
        <v>24</v>
      </c>
      <c r="F61" t="s">
        <v>35</v>
      </c>
      <c r="H61" s="3">
        <v>46159</v>
      </c>
    </row>
    <row r="62" spans="1:8" ht="14.25">
      <c r="A62">
        <v>1164</v>
      </c>
      <c r="B62" t="s">
        <v>130</v>
      </c>
      <c r="C62" t="s">
        <v>131</v>
      </c>
      <c r="D62" t="s">
        <v>54</v>
      </c>
      <c r="E62" t="s">
        <v>30</v>
      </c>
      <c r="F62" t="s">
        <v>25</v>
      </c>
      <c r="H62" s="3">
        <v>46159</v>
      </c>
    </row>
    <row r="63" spans="1:8" ht="14.25">
      <c r="A63">
        <v>1062</v>
      </c>
      <c r="B63" t="s">
        <v>130</v>
      </c>
      <c r="C63" t="s">
        <v>83</v>
      </c>
      <c r="D63" t="s">
        <v>23</v>
      </c>
      <c r="E63" t="s">
        <v>24</v>
      </c>
      <c r="F63" t="s">
        <v>27</v>
      </c>
      <c r="G63">
        <v>9</v>
      </c>
      <c r="H63" s="3">
        <v>46159</v>
      </c>
    </row>
    <row r="64" spans="1:8" ht="14.25">
      <c r="A64">
        <v>938</v>
      </c>
      <c r="B64" t="s">
        <v>130</v>
      </c>
      <c r="C64" t="s">
        <v>132</v>
      </c>
      <c r="D64" t="s">
        <v>23</v>
      </c>
      <c r="E64" t="s">
        <v>30</v>
      </c>
      <c r="F64" t="s">
        <v>27</v>
      </c>
      <c r="G64">
        <v>7</v>
      </c>
      <c r="H64" s="3">
        <v>46159</v>
      </c>
    </row>
    <row r="65" spans="1:8" ht="14.25">
      <c r="A65">
        <v>1427</v>
      </c>
      <c r="B65" t="s">
        <v>130</v>
      </c>
      <c r="C65" t="s">
        <v>133</v>
      </c>
      <c r="D65" t="s">
        <v>23</v>
      </c>
      <c r="E65" t="s">
        <v>30</v>
      </c>
      <c r="F65" t="s">
        <v>27</v>
      </c>
      <c r="G65">
        <v>16</v>
      </c>
      <c r="H65" s="3">
        <v>46159</v>
      </c>
    </row>
    <row r="66" spans="1:8" ht="14.25">
      <c r="A66">
        <v>1034</v>
      </c>
      <c r="B66" t="s">
        <v>134</v>
      </c>
      <c r="C66" t="s">
        <v>83</v>
      </c>
      <c r="D66" t="s">
        <v>23</v>
      </c>
      <c r="E66" t="s">
        <v>24</v>
      </c>
      <c r="F66" t="s">
        <v>25</v>
      </c>
      <c r="H66" s="3">
        <v>46159</v>
      </c>
    </row>
    <row r="67" spans="1:8" ht="14.25">
      <c r="A67">
        <v>1402</v>
      </c>
      <c r="B67" t="s">
        <v>135</v>
      </c>
      <c r="C67" t="s">
        <v>136</v>
      </c>
      <c r="D67" t="s">
        <v>23</v>
      </c>
      <c r="E67" t="s">
        <v>24</v>
      </c>
      <c r="F67" t="s">
        <v>27</v>
      </c>
      <c r="G67">
        <v>7</v>
      </c>
      <c r="H67" s="3">
        <v>46159</v>
      </c>
    </row>
    <row r="68" spans="1:8" ht="14.25">
      <c r="A68">
        <v>939</v>
      </c>
      <c r="B68" t="s">
        <v>137</v>
      </c>
      <c r="C68" t="s">
        <v>127</v>
      </c>
      <c r="D68" t="s">
        <v>23</v>
      </c>
      <c r="E68" t="s">
        <v>30</v>
      </c>
      <c r="F68" t="s">
        <v>27</v>
      </c>
      <c r="G68">
        <v>12</v>
      </c>
      <c r="H68" s="3">
        <v>46159</v>
      </c>
    </row>
    <row r="69" spans="1:8" ht="14.25">
      <c r="A69">
        <v>1377</v>
      </c>
      <c r="B69" t="s">
        <v>138</v>
      </c>
      <c r="C69" t="s">
        <v>139</v>
      </c>
      <c r="D69" t="s">
        <v>23</v>
      </c>
      <c r="E69" t="s">
        <v>30</v>
      </c>
      <c r="F69" t="s">
        <v>27</v>
      </c>
      <c r="G69">
        <v>12</v>
      </c>
      <c r="H69" s="3">
        <v>46159</v>
      </c>
    </row>
    <row r="70" spans="1:8" ht="14.25">
      <c r="A70">
        <v>1281</v>
      </c>
      <c r="B70" t="s">
        <v>140</v>
      </c>
      <c r="C70" t="s">
        <v>141</v>
      </c>
      <c r="D70" t="s">
        <v>23</v>
      </c>
      <c r="E70" t="s">
        <v>24</v>
      </c>
      <c r="F70" t="s">
        <v>27</v>
      </c>
      <c r="G70">
        <v>19</v>
      </c>
      <c r="H70" s="3">
        <v>46159</v>
      </c>
    </row>
    <row r="71" spans="1:8" ht="14.25">
      <c r="A71">
        <v>933</v>
      </c>
      <c r="B71" t="s">
        <v>142</v>
      </c>
      <c r="C71" t="s">
        <v>143</v>
      </c>
      <c r="D71" t="s">
        <v>23</v>
      </c>
      <c r="E71" t="s">
        <v>24</v>
      </c>
      <c r="F71" t="s">
        <v>25</v>
      </c>
      <c r="H71" s="3">
        <v>46159</v>
      </c>
    </row>
    <row r="72" spans="1:8" ht="14.25">
      <c r="A72">
        <v>1274</v>
      </c>
      <c r="B72" t="s">
        <v>144</v>
      </c>
      <c r="C72" t="s">
        <v>145</v>
      </c>
      <c r="D72" t="s">
        <v>23</v>
      </c>
      <c r="E72" t="s">
        <v>30</v>
      </c>
      <c r="F72" t="s">
        <v>25</v>
      </c>
      <c r="H72" s="3">
        <v>46159</v>
      </c>
    </row>
    <row r="73" spans="1:8" ht="14.25">
      <c r="A73">
        <v>493</v>
      </c>
      <c r="B73" t="s">
        <v>146</v>
      </c>
      <c r="C73" t="s">
        <v>49</v>
      </c>
      <c r="D73" t="s">
        <v>48</v>
      </c>
      <c r="E73" t="s">
        <v>24</v>
      </c>
      <c r="F73" t="s">
        <v>27</v>
      </c>
      <c r="G73">
        <v>37</v>
      </c>
      <c r="H73" s="3">
        <v>46159</v>
      </c>
    </row>
    <row r="74" spans="1:8" ht="14.25">
      <c r="A74">
        <v>1279</v>
      </c>
      <c r="B74" t="s">
        <v>147</v>
      </c>
      <c r="C74" t="s">
        <v>148</v>
      </c>
      <c r="D74" t="s">
        <v>23</v>
      </c>
      <c r="E74" t="s">
        <v>24</v>
      </c>
      <c r="F74" t="s">
        <v>27</v>
      </c>
      <c r="G74">
        <v>4</v>
      </c>
      <c r="H74" s="3">
        <v>46159</v>
      </c>
    </row>
    <row r="75" spans="1:8" ht="14.25">
      <c r="A75">
        <v>1193</v>
      </c>
      <c r="B75" t="s">
        <v>149</v>
      </c>
      <c r="C75" t="s">
        <v>150</v>
      </c>
      <c r="D75" t="s">
        <v>23</v>
      </c>
      <c r="E75" t="s">
        <v>24</v>
      </c>
      <c r="F75" t="s">
        <v>25</v>
      </c>
      <c r="H75" s="3">
        <v>46159</v>
      </c>
    </row>
    <row r="76" spans="1:8" ht="14.25">
      <c r="A76">
        <v>1194</v>
      </c>
      <c r="B76" t="s">
        <v>149</v>
      </c>
      <c r="C76" t="s">
        <v>151</v>
      </c>
      <c r="D76" t="s">
        <v>23</v>
      </c>
      <c r="E76" t="s">
        <v>30</v>
      </c>
      <c r="F76" t="s">
        <v>25</v>
      </c>
      <c r="H76" s="3">
        <v>46159</v>
      </c>
    </row>
    <row r="77" spans="1:8" ht="14.25">
      <c r="A77">
        <v>1196</v>
      </c>
      <c r="B77" t="s">
        <v>149</v>
      </c>
      <c r="C77" t="s">
        <v>152</v>
      </c>
      <c r="D77" t="s">
        <v>23</v>
      </c>
      <c r="E77" t="s">
        <v>24</v>
      </c>
      <c r="F77" t="s">
        <v>35</v>
      </c>
      <c r="H77" s="3">
        <v>46159</v>
      </c>
    </row>
    <row r="78" spans="1:8" ht="14.25">
      <c r="A78">
        <v>1195</v>
      </c>
      <c r="B78" t="s">
        <v>149</v>
      </c>
      <c r="C78" t="s">
        <v>153</v>
      </c>
      <c r="D78" t="s">
        <v>23</v>
      </c>
      <c r="E78" t="s">
        <v>24</v>
      </c>
      <c r="F78" t="s">
        <v>35</v>
      </c>
      <c r="H78" s="3">
        <v>46159</v>
      </c>
    </row>
    <row r="79" spans="1:8" ht="14.25">
      <c r="A79">
        <v>1176</v>
      </c>
      <c r="B79" t="s">
        <v>154</v>
      </c>
      <c r="C79" t="s">
        <v>155</v>
      </c>
      <c r="D79" t="s">
        <v>23</v>
      </c>
      <c r="E79" t="s">
        <v>24</v>
      </c>
      <c r="F79" t="s">
        <v>35</v>
      </c>
      <c r="H79" s="3">
        <v>46159</v>
      </c>
    </row>
    <row r="80" spans="1:8" ht="14.25">
      <c r="A80">
        <v>1174</v>
      </c>
      <c r="B80" t="s">
        <v>154</v>
      </c>
      <c r="C80" t="s">
        <v>156</v>
      </c>
      <c r="D80" t="s">
        <v>23</v>
      </c>
      <c r="E80" t="s">
        <v>30</v>
      </c>
      <c r="F80" t="s">
        <v>27</v>
      </c>
      <c r="G80">
        <v>6</v>
      </c>
      <c r="H80" s="3">
        <v>46159</v>
      </c>
    </row>
    <row r="81" spans="1:8" ht="14.25">
      <c r="A81">
        <v>1175</v>
      </c>
      <c r="B81" t="s">
        <v>154</v>
      </c>
      <c r="C81" t="s">
        <v>150</v>
      </c>
      <c r="D81" t="s">
        <v>23</v>
      </c>
      <c r="E81" t="s">
        <v>24</v>
      </c>
      <c r="F81" t="s">
        <v>27</v>
      </c>
      <c r="G81">
        <v>12</v>
      </c>
      <c r="H81" s="3">
        <v>46159</v>
      </c>
    </row>
    <row r="82" spans="1:8" ht="14.25">
      <c r="A82">
        <v>1109</v>
      </c>
      <c r="B82" t="s">
        <v>157</v>
      </c>
      <c r="C82" t="s">
        <v>104</v>
      </c>
      <c r="D82" t="s">
        <v>23</v>
      </c>
      <c r="E82" t="s">
        <v>24</v>
      </c>
      <c r="F82" t="s">
        <v>25</v>
      </c>
      <c r="H82" s="3">
        <v>46159</v>
      </c>
    </row>
    <row r="83" spans="1:8" ht="14.25">
      <c r="A83">
        <v>1073</v>
      </c>
      <c r="B83" t="s">
        <v>158</v>
      </c>
      <c r="C83" t="s">
        <v>150</v>
      </c>
      <c r="D83" t="s">
        <v>23</v>
      </c>
      <c r="E83" t="s">
        <v>24</v>
      </c>
      <c r="F83" t="s">
        <v>27</v>
      </c>
      <c r="G83">
        <v>3</v>
      </c>
      <c r="H83" s="3">
        <v>46159</v>
      </c>
    </row>
    <row r="84" spans="1:8" ht="14.25">
      <c r="A84">
        <v>1400</v>
      </c>
      <c r="B84" t="s">
        <v>159</v>
      </c>
      <c r="C84" t="s">
        <v>160</v>
      </c>
      <c r="D84" t="s">
        <v>23</v>
      </c>
      <c r="E84" t="s">
        <v>24</v>
      </c>
      <c r="F84" t="s">
        <v>25</v>
      </c>
      <c r="H84" s="3">
        <v>46159</v>
      </c>
    </row>
    <row r="85" spans="1:8" ht="14.25">
      <c r="A85">
        <v>1367</v>
      </c>
      <c r="B85" t="s">
        <v>161</v>
      </c>
      <c r="C85" t="s">
        <v>152</v>
      </c>
      <c r="D85" t="s">
        <v>23</v>
      </c>
      <c r="E85" t="s">
        <v>24</v>
      </c>
      <c r="F85" t="s">
        <v>35</v>
      </c>
      <c r="H85" s="3">
        <v>46159</v>
      </c>
    </row>
    <row r="86" spans="1:8" ht="14.25">
      <c r="A86">
        <v>1366</v>
      </c>
      <c r="B86" t="s">
        <v>161</v>
      </c>
      <c r="C86" t="s">
        <v>162</v>
      </c>
      <c r="D86" t="s">
        <v>23</v>
      </c>
      <c r="E86" t="s">
        <v>30</v>
      </c>
      <c r="F86" t="s">
        <v>25</v>
      </c>
      <c r="H86" s="3">
        <v>46159</v>
      </c>
    </row>
    <row r="87" spans="1:8" ht="14.25">
      <c r="A87">
        <v>1365</v>
      </c>
      <c r="B87" t="s">
        <v>161</v>
      </c>
      <c r="C87" t="s">
        <v>163</v>
      </c>
      <c r="D87" t="s">
        <v>23</v>
      </c>
      <c r="E87" t="s">
        <v>30</v>
      </c>
      <c r="F87" t="s">
        <v>27</v>
      </c>
      <c r="G87">
        <v>7</v>
      </c>
      <c r="H87" s="3">
        <v>46159</v>
      </c>
    </row>
    <row r="88" spans="1:8" ht="14.25">
      <c r="A88">
        <v>897</v>
      </c>
      <c r="B88" t="s">
        <v>161</v>
      </c>
      <c r="C88" t="s">
        <v>164</v>
      </c>
      <c r="D88" t="s">
        <v>23</v>
      </c>
      <c r="E88" t="s">
        <v>24</v>
      </c>
      <c r="F88" t="s">
        <v>27</v>
      </c>
      <c r="G88">
        <v>13</v>
      </c>
      <c r="H88" s="3">
        <v>46159</v>
      </c>
    </row>
    <row r="89" spans="1:8" ht="14.25">
      <c r="A89">
        <v>1308</v>
      </c>
      <c r="B89" t="s">
        <v>165</v>
      </c>
      <c r="C89" t="s">
        <v>166</v>
      </c>
      <c r="D89" t="s">
        <v>23</v>
      </c>
      <c r="E89" t="s">
        <v>30</v>
      </c>
      <c r="F89" t="s">
        <v>27</v>
      </c>
      <c r="G89">
        <v>2</v>
      </c>
      <c r="H89" s="3">
        <v>46159</v>
      </c>
    </row>
    <row r="90" spans="1:8" ht="14.25">
      <c r="A90">
        <v>1206</v>
      </c>
      <c r="B90" t="s">
        <v>167</v>
      </c>
      <c r="C90" t="s">
        <v>168</v>
      </c>
      <c r="D90" t="s">
        <v>23</v>
      </c>
      <c r="E90" t="s">
        <v>30</v>
      </c>
      <c r="F90" t="s">
        <v>27</v>
      </c>
      <c r="G90">
        <v>8</v>
      </c>
      <c r="H90" s="3">
        <v>46159</v>
      </c>
    </row>
    <row r="91" spans="1:8" ht="14.25">
      <c r="A91">
        <v>1205</v>
      </c>
      <c r="B91" t="s">
        <v>167</v>
      </c>
      <c r="C91" t="s">
        <v>66</v>
      </c>
      <c r="D91" t="s">
        <v>23</v>
      </c>
      <c r="E91" t="s">
        <v>24</v>
      </c>
      <c r="F91" t="s">
        <v>27</v>
      </c>
      <c r="G91">
        <v>14</v>
      </c>
      <c r="H91" s="3">
        <v>46159</v>
      </c>
    </row>
    <row r="92" spans="1:8" ht="14.25">
      <c r="A92">
        <v>1406</v>
      </c>
      <c r="B92" t="s">
        <v>169</v>
      </c>
      <c r="C92" t="s">
        <v>170</v>
      </c>
      <c r="D92" t="s">
        <v>23</v>
      </c>
      <c r="E92" t="s">
        <v>24</v>
      </c>
      <c r="F92" t="s">
        <v>27</v>
      </c>
      <c r="G92">
        <v>9</v>
      </c>
      <c r="H92" s="3">
        <v>46159</v>
      </c>
    </row>
    <row r="93" spans="1:8" ht="14.25">
      <c r="A93">
        <v>1182</v>
      </c>
      <c r="B93" t="s">
        <v>171</v>
      </c>
      <c r="C93" t="s">
        <v>136</v>
      </c>
      <c r="D93" t="s">
        <v>23</v>
      </c>
      <c r="E93" t="s">
        <v>24</v>
      </c>
      <c r="F93" t="s">
        <v>27</v>
      </c>
      <c r="G93">
        <v>8</v>
      </c>
      <c r="H93" s="3">
        <v>46159</v>
      </c>
    </row>
    <row r="94" spans="1:8" ht="14.25">
      <c r="A94">
        <v>1340</v>
      </c>
      <c r="B94" t="s">
        <v>172</v>
      </c>
      <c r="C94" t="s">
        <v>173</v>
      </c>
      <c r="D94" t="s">
        <v>23</v>
      </c>
      <c r="E94" t="s">
        <v>24</v>
      </c>
      <c r="F94" t="s">
        <v>27</v>
      </c>
      <c r="G94">
        <v>8</v>
      </c>
      <c r="H94" s="3">
        <v>46159</v>
      </c>
    </row>
    <row r="95" spans="1:8" ht="14.25">
      <c r="A95">
        <v>21</v>
      </c>
      <c r="B95" t="s">
        <v>174</v>
      </c>
      <c r="C95" t="s">
        <v>175</v>
      </c>
      <c r="D95" t="s">
        <v>23</v>
      </c>
      <c r="E95" t="s">
        <v>24</v>
      </c>
      <c r="F95" t="s">
        <v>25</v>
      </c>
      <c r="H95" s="3">
        <v>46159</v>
      </c>
    </row>
    <row r="96" spans="1:8" ht="14.25">
      <c r="A96">
        <v>1049</v>
      </c>
      <c r="B96" t="s">
        <v>176</v>
      </c>
      <c r="C96" t="s">
        <v>177</v>
      </c>
      <c r="D96" t="s">
        <v>23</v>
      </c>
      <c r="E96" t="s">
        <v>24</v>
      </c>
      <c r="F96" t="s">
        <v>27</v>
      </c>
      <c r="G96">
        <v>19</v>
      </c>
      <c r="H96" s="3">
        <v>46159</v>
      </c>
    </row>
    <row r="97" spans="1:8" ht="14.25">
      <c r="A97">
        <v>120</v>
      </c>
      <c r="B97" t="s">
        <v>178</v>
      </c>
      <c r="C97" t="s">
        <v>179</v>
      </c>
      <c r="D97" t="s">
        <v>23</v>
      </c>
      <c r="E97" t="s">
        <v>30</v>
      </c>
      <c r="F97" t="s">
        <v>27</v>
      </c>
      <c r="G97">
        <v>12</v>
      </c>
      <c r="H97" s="3">
        <v>46159</v>
      </c>
    </row>
    <row r="98" spans="1:8" ht="14.25">
      <c r="A98">
        <v>990</v>
      </c>
      <c r="B98" t="s">
        <v>180</v>
      </c>
      <c r="C98" t="s">
        <v>87</v>
      </c>
      <c r="D98" t="s">
        <v>23</v>
      </c>
      <c r="E98" t="s">
        <v>30</v>
      </c>
      <c r="F98" t="s">
        <v>27</v>
      </c>
      <c r="G98">
        <v>10</v>
      </c>
      <c r="H98" s="3">
        <v>46159</v>
      </c>
    </row>
    <row r="99" spans="1:8" ht="14.25">
      <c r="A99">
        <v>1395</v>
      </c>
      <c r="B99" t="s">
        <v>181</v>
      </c>
      <c r="C99" t="s">
        <v>182</v>
      </c>
      <c r="D99" t="s">
        <v>23</v>
      </c>
      <c r="E99" t="s">
        <v>30</v>
      </c>
      <c r="F99" t="s">
        <v>35</v>
      </c>
      <c r="H99" s="3">
        <v>46159</v>
      </c>
    </row>
    <row r="100" spans="1:8" ht="14.25">
      <c r="A100">
        <v>1158</v>
      </c>
      <c r="B100" t="s">
        <v>183</v>
      </c>
      <c r="C100" t="s">
        <v>184</v>
      </c>
      <c r="D100" t="s">
        <v>23</v>
      </c>
      <c r="E100" t="s">
        <v>30</v>
      </c>
      <c r="F100" t="s">
        <v>25</v>
      </c>
      <c r="H100" s="3">
        <v>46159</v>
      </c>
    </row>
    <row r="101" spans="1:8" ht="14.25">
      <c r="A101">
        <v>23</v>
      </c>
      <c r="B101" t="s">
        <v>185</v>
      </c>
      <c r="C101" t="s">
        <v>100</v>
      </c>
      <c r="D101" t="s">
        <v>23</v>
      </c>
      <c r="E101" t="s">
        <v>24</v>
      </c>
      <c r="F101" t="s">
        <v>27</v>
      </c>
      <c r="G101">
        <v>10</v>
      </c>
      <c r="H101" s="3">
        <v>46159</v>
      </c>
    </row>
    <row r="102" spans="1:8" ht="14.25">
      <c r="A102">
        <v>1152</v>
      </c>
      <c r="B102" t="s">
        <v>186</v>
      </c>
      <c r="C102" t="s">
        <v>187</v>
      </c>
      <c r="D102" t="s">
        <v>54</v>
      </c>
      <c r="E102" t="s">
        <v>30</v>
      </c>
      <c r="F102" t="s">
        <v>188</v>
      </c>
      <c r="H102" s="3">
        <v>46159</v>
      </c>
    </row>
    <row r="103" spans="1:8" ht="14.25">
      <c r="A103">
        <v>581</v>
      </c>
      <c r="B103" t="s">
        <v>189</v>
      </c>
      <c r="C103" t="s">
        <v>190</v>
      </c>
      <c r="D103" t="s">
        <v>23</v>
      </c>
      <c r="E103" t="s">
        <v>24</v>
      </c>
      <c r="F103" t="s">
        <v>27</v>
      </c>
      <c r="G103">
        <v>13</v>
      </c>
      <c r="H103" s="3">
        <v>46159</v>
      </c>
    </row>
    <row r="104" spans="1:8" ht="14.25">
      <c r="A104">
        <v>1374</v>
      </c>
      <c r="B104" t="s">
        <v>191</v>
      </c>
      <c r="C104" t="s">
        <v>192</v>
      </c>
      <c r="D104" t="s">
        <v>23</v>
      </c>
      <c r="E104" t="s">
        <v>24</v>
      </c>
      <c r="F104" t="s">
        <v>25</v>
      </c>
      <c r="H104" s="3">
        <v>46159</v>
      </c>
    </row>
    <row r="105" spans="1:8" ht="14.25">
      <c r="A105">
        <v>25</v>
      </c>
      <c r="B105" t="s">
        <v>22</v>
      </c>
      <c r="C105" t="s">
        <v>193</v>
      </c>
      <c r="D105" t="s">
        <v>23</v>
      </c>
      <c r="E105" t="s">
        <v>24</v>
      </c>
      <c r="F105" t="s">
        <v>27</v>
      </c>
      <c r="G105">
        <v>8</v>
      </c>
      <c r="H105" s="3">
        <v>46159</v>
      </c>
    </row>
    <row r="106" spans="1:8" ht="14.25">
      <c r="A106">
        <v>1257</v>
      </c>
      <c r="B106" t="s">
        <v>194</v>
      </c>
      <c r="C106" t="s">
        <v>150</v>
      </c>
      <c r="D106" t="s">
        <v>54</v>
      </c>
      <c r="E106" t="s">
        <v>24</v>
      </c>
      <c r="F106" t="s">
        <v>25</v>
      </c>
      <c r="H106" s="3">
        <v>46159</v>
      </c>
    </row>
    <row r="107" spans="1:8" ht="14.25">
      <c r="A107">
        <v>415</v>
      </c>
      <c r="B107" t="s">
        <v>195</v>
      </c>
      <c r="C107" t="s">
        <v>196</v>
      </c>
      <c r="D107" t="s">
        <v>23</v>
      </c>
      <c r="E107" t="s">
        <v>24</v>
      </c>
      <c r="F107" t="s">
        <v>27</v>
      </c>
      <c r="G107">
        <v>6</v>
      </c>
      <c r="H107" s="3">
        <v>46159</v>
      </c>
    </row>
    <row r="108" spans="1:8" ht="14.25">
      <c r="A108">
        <v>1144</v>
      </c>
      <c r="B108" t="s">
        <v>195</v>
      </c>
      <c r="C108" t="s">
        <v>197</v>
      </c>
      <c r="D108" t="s">
        <v>54</v>
      </c>
      <c r="E108" t="s">
        <v>24</v>
      </c>
      <c r="F108" t="s">
        <v>188</v>
      </c>
      <c r="H108" s="3">
        <v>46159</v>
      </c>
    </row>
    <row r="109" spans="1:8" ht="14.25">
      <c r="A109">
        <v>1292</v>
      </c>
      <c r="B109" t="s">
        <v>198</v>
      </c>
      <c r="C109" t="s">
        <v>199</v>
      </c>
      <c r="D109" t="s">
        <v>23</v>
      </c>
      <c r="E109" t="s">
        <v>30</v>
      </c>
      <c r="F109" t="s">
        <v>25</v>
      </c>
      <c r="H109" s="3">
        <v>46159</v>
      </c>
    </row>
    <row r="110" spans="1:8" ht="14.25">
      <c r="A110">
        <v>203</v>
      </c>
      <c r="B110" t="s">
        <v>200</v>
      </c>
      <c r="C110" t="s">
        <v>201</v>
      </c>
      <c r="D110" t="s">
        <v>23</v>
      </c>
      <c r="E110" t="s">
        <v>24</v>
      </c>
      <c r="F110" t="s">
        <v>27</v>
      </c>
      <c r="G110">
        <v>9</v>
      </c>
      <c r="H110" s="3">
        <v>46159</v>
      </c>
    </row>
    <row r="111" spans="1:8" ht="14.25">
      <c r="A111">
        <v>956</v>
      </c>
      <c r="B111" t="s">
        <v>202</v>
      </c>
      <c r="C111" t="s">
        <v>94</v>
      </c>
      <c r="D111" t="s">
        <v>23</v>
      </c>
      <c r="E111" t="s">
        <v>24</v>
      </c>
      <c r="F111" t="s">
        <v>27</v>
      </c>
      <c r="G111">
        <v>13</v>
      </c>
      <c r="H111" s="3">
        <v>46159</v>
      </c>
    </row>
    <row r="112" spans="1:8" ht="14.25">
      <c r="A112">
        <v>1273</v>
      </c>
      <c r="B112" t="s">
        <v>203</v>
      </c>
      <c r="C112" t="s">
        <v>204</v>
      </c>
      <c r="D112" t="s">
        <v>23</v>
      </c>
      <c r="E112" t="s">
        <v>30</v>
      </c>
      <c r="F112" t="s">
        <v>27</v>
      </c>
      <c r="G112">
        <v>22</v>
      </c>
      <c r="H112" s="3">
        <v>46159</v>
      </c>
    </row>
    <row r="113" spans="1:8" ht="14.25">
      <c r="A113">
        <v>1272</v>
      </c>
      <c r="B113" t="s">
        <v>203</v>
      </c>
      <c r="C113" t="s">
        <v>205</v>
      </c>
      <c r="D113" t="s">
        <v>23</v>
      </c>
      <c r="E113" t="s">
        <v>24</v>
      </c>
      <c r="F113" t="s">
        <v>27</v>
      </c>
      <c r="G113">
        <v>24</v>
      </c>
      <c r="H113" s="3">
        <v>46159</v>
      </c>
    </row>
    <row r="114" spans="1:8" ht="14.25">
      <c r="A114">
        <v>846</v>
      </c>
      <c r="B114" t="s">
        <v>206</v>
      </c>
      <c r="C114" t="s">
        <v>207</v>
      </c>
      <c r="D114" t="s">
        <v>23</v>
      </c>
      <c r="E114" t="s">
        <v>24</v>
      </c>
      <c r="F114" t="s">
        <v>27</v>
      </c>
      <c r="G114">
        <v>17</v>
      </c>
      <c r="H114" s="3">
        <v>46159</v>
      </c>
    </row>
    <row r="115" spans="1:8" ht="14.25">
      <c r="A115">
        <v>1162</v>
      </c>
      <c r="B115" t="s">
        <v>208</v>
      </c>
      <c r="C115" t="s">
        <v>150</v>
      </c>
      <c r="D115" t="s">
        <v>23</v>
      </c>
      <c r="E115" t="s">
        <v>24</v>
      </c>
      <c r="F115" t="s">
        <v>25</v>
      </c>
      <c r="H115" s="3">
        <v>46159</v>
      </c>
    </row>
    <row r="116" spans="1:8" ht="14.25">
      <c r="A116">
        <v>1244</v>
      </c>
      <c r="B116" t="s">
        <v>209</v>
      </c>
      <c r="C116" t="s">
        <v>94</v>
      </c>
      <c r="D116" t="s">
        <v>23</v>
      </c>
      <c r="E116" t="s">
        <v>24</v>
      </c>
      <c r="F116" t="s">
        <v>27</v>
      </c>
      <c r="G116">
        <v>2</v>
      </c>
      <c r="H116" s="3">
        <v>46159</v>
      </c>
    </row>
    <row r="117" spans="1:8" ht="14.25">
      <c r="A117">
        <v>1379</v>
      </c>
      <c r="B117" t="s">
        <v>209</v>
      </c>
      <c r="C117" t="s">
        <v>210</v>
      </c>
      <c r="D117" t="s">
        <v>23</v>
      </c>
      <c r="E117" t="s">
        <v>30</v>
      </c>
      <c r="F117" t="s">
        <v>25</v>
      </c>
      <c r="H117" s="3">
        <v>46159</v>
      </c>
    </row>
    <row r="118" spans="1:8" ht="14.25">
      <c r="A118">
        <v>1362</v>
      </c>
      <c r="B118" t="s">
        <v>211</v>
      </c>
      <c r="C118" t="s">
        <v>212</v>
      </c>
      <c r="D118" t="s">
        <v>23</v>
      </c>
      <c r="E118" t="s">
        <v>30</v>
      </c>
      <c r="F118" t="s">
        <v>27</v>
      </c>
      <c r="G118">
        <v>22</v>
      </c>
      <c r="H118" s="3">
        <v>46159</v>
      </c>
    </row>
    <row r="119" spans="1:8" ht="14.25">
      <c r="A119">
        <v>1403</v>
      </c>
      <c r="B119" t="s">
        <v>213</v>
      </c>
      <c r="C119" t="s">
        <v>214</v>
      </c>
      <c r="D119" t="s">
        <v>23</v>
      </c>
      <c r="E119" t="s">
        <v>24</v>
      </c>
      <c r="F119" t="s">
        <v>27</v>
      </c>
      <c r="G119">
        <v>8</v>
      </c>
      <c r="H119" s="3">
        <v>46159</v>
      </c>
    </row>
    <row r="120" spans="1:8" ht="14.25">
      <c r="A120">
        <v>1404</v>
      </c>
      <c r="B120" t="s">
        <v>213</v>
      </c>
      <c r="C120" t="s">
        <v>215</v>
      </c>
      <c r="D120" t="s">
        <v>23</v>
      </c>
      <c r="E120" t="s">
        <v>30</v>
      </c>
      <c r="F120" t="s">
        <v>25</v>
      </c>
      <c r="H120" s="3">
        <v>46159</v>
      </c>
    </row>
    <row r="121" spans="1:8" ht="14.25">
      <c r="A121">
        <v>1229</v>
      </c>
      <c r="B121" t="s">
        <v>216</v>
      </c>
      <c r="C121" t="s">
        <v>217</v>
      </c>
      <c r="D121" t="s">
        <v>23</v>
      </c>
      <c r="E121" t="s">
        <v>30</v>
      </c>
      <c r="F121" t="s">
        <v>25</v>
      </c>
      <c r="H121" s="3">
        <v>46159</v>
      </c>
    </row>
    <row r="122" spans="1:8" ht="14.25">
      <c r="A122">
        <v>1408</v>
      </c>
      <c r="B122" t="s">
        <v>218</v>
      </c>
      <c r="C122" t="s">
        <v>219</v>
      </c>
      <c r="D122" t="s">
        <v>23</v>
      </c>
      <c r="E122" t="s">
        <v>24</v>
      </c>
      <c r="F122" t="s">
        <v>27</v>
      </c>
      <c r="G122">
        <v>20</v>
      </c>
      <c r="H122" s="3">
        <v>46159</v>
      </c>
    </row>
    <row r="123" spans="1:8" ht="14.25">
      <c r="A123">
        <v>1409</v>
      </c>
      <c r="B123" t="s">
        <v>218</v>
      </c>
      <c r="C123" t="s">
        <v>220</v>
      </c>
      <c r="D123" t="s">
        <v>23</v>
      </c>
      <c r="E123" t="s">
        <v>30</v>
      </c>
      <c r="F123" t="s">
        <v>27</v>
      </c>
      <c r="G123">
        <v>15</v>
      </c>
      <c r="H123" s="3">
        <v>46159</v>
      </c>
    </row>
    <row r="124" spans="1:8" ht="14.25">
      <c r="A124">
        <v>1198</v>
      </c>
      <c r="B124" t="s">
        <v>221</v>
      </c>
      <c r="C124" t="s">
        <v>222</v>
      </c>
      <c r="D124" t="s">
        <v>23</v>
      </c>
      <c r="E124" t="s">
        <v>24</v>
      </c>
      <c r="F124" t="s">
        <v>27</v>
      </c>
      <c r="G124">
        <v>5</v>
      </c>
      <c r="H124" s="3">
        <v>46159</v>
      </c>
    </row>
    <row r="125" spans="1:8" ht="14.25">
      <c r="A125">
        <v>1260</v>
      </c>
      <c r="B125" t="s">
        <v>223</v>
      </c>
      <c r="C125" t="s">
        <v>82</v>
      </c>
      <c r="D125" t="s">
        <v>23</v>
      </c>
      <c r="E125" t="s">
        <v>30</v>
      </c>
      <c r="F125" t="s">
        <v>27</v>
      </c>
      <c r="G125">
        <v>15</v>
      </c>
      <c r="H125" s="3">
        <v>46159</v>
      </c>
    </row>
    <row r="126" spans="1:8" ht="14.25">
      <c r="A126">
        <v>1361</v>
      </c>
      <c r="B126" t="s">
        <v>224</v>
      </c>
      <c r="C126" t="s">
        <v>225</v>
      </c>
      <c r="D126" t="s">
        <v>23</v>
      </c>
      <c r="E126" t="s">
        <v>24</v>
      </c>
      <c r="F126" t="s">
        <v>27</v>
      </c>
      <c r="G126">
        <v>16</v>
      </c>
      <c r="H126" s="3">
        <v>46159</v>
      </c>
    </row>
    <row r="127" spans="1:8" ht="14.25">
      <c r="A127">
        <v>1100</v>
      </c>
      <c r="B127" t="s">
        <v>226</v>
      </c>
      <c r="C127" t="s">
        <v>34</v>
      </c>
      <c r="D127" t="s">
        <v>23</v>
      </c>
      <c r="E127" t="s">
        <v>24</v>
      </c>
      <c r="F127" t="s">
        <v>27</v>
      </c>
      <c r="G127">
        <v>13</v>
      </c>
      <c r="H127" s="3">
        <v>46159</v>
      </c>
    </row>
    <row r="128" spans="1:8" ht="14.25">
      <c r="A128">
        <v>1385</v>
      </c>
      <c r="B128" t="s">
        <v>227</v>
      </c>
      <c r="C128" t="s">
        <v>228</v>
      </c>
      <c r="D128" t="s">
        <v>23</v>
      </c>
      <c r="E128" t="s">
        <v>24</v>
      </c>
      <c r="F128" t="s">
        <v>25</v>
      </c>
      <c r="H128" s="3">
        <v>46159</v>
      </c>
    </row>
    <row r="129" spans="1:8" ht="14.25">
      <c r="A129">
        <v>1394</v>
      </c>
      <c r="B129" t="s">
        <v>227</v>
      </c>
      <c r="C129" t="s">
        <v>229</v>
      </c>
      <c r="D129" t="s">
        <v>23</v>
      </c>
      <c r="E129" t="s">
        <v>24</v>
      </c>
      <c r="F129" t="s">
        <v>35</v>
      </c>
      <c r="H129" s="3">
        <v>46159</v>
      </c>
    </row>
    <row r="130" spans="1:8" ht="14.25">
      <c r="A130">
        <v>1419</v>
      </c>
      <c r="B130" t="s">
        <v>230</v>
      </c>
      <c r="C130" t="s">
        <v>231</v>
      </c>
      <c r="D130" t="s">
        <v>23</v>
      </c>
      <c r="E130" t="s">
        <v>24</v>
      </c>
      <c r="F130" t="s">
        <v>25</v>
      </c>
      <c r="H130" s="3">
        <v>46159</v>
      </c>
    </row>
    <row r="131" spans="1:8" ht="14.25">
      <c r="A131">
        <v>967</v>
      </c>
      <c r="B131" t="s">
        <v>232</v>
      </c>
      <c r="C131" t="s">
        <v>152</v>
      </c>
      <c r="D131" t="s">
        <v>23</v>
      </c>
      <c r="E131" t="s">
        <v>24</v>
      </c>
      <c r="F131" t="s">
        <v>27</v>
      </c>
      <c r="G131">
        <v>5</v>
      </c>
      <c r="H131" s="3">
        <v>46159</v>
      </c>
    </row>
    <row r="132" spans="1:8" ht="14.25">
      <c r="A132">
        <v>1373</v>
      </c>
      <c r="B132" t="s">
        <v>233</v>
      </c>
      <c r="C132" t="s">
        <v>234</v>
      </c>
      <c r="D132" t="s">
        <v>23</v>
      </c>
      <c r="E132" t="s">
        <v>24</v>
      </c>
      <c r="F132" t="s">
        <v>27</v>
      </c>
      <c r="G132">
        <v>10</v>
      </c>
      <c r="H132" s="3">
        <v>46159</v>
      </c>
    </row>
    <row r="133" spans="1:8" ht="14.25">
      <c r="A133">
        <v>1045</v>
      </c>
      <c r="B133" t="s">
        <v>235</v>
      </c>
      <c r="C133" t="s">
        <v>236</v>
      </c>
      <c r="D133" t="s">
        <v>23</v>
      </c>
      <c r="E133" t="s">
        <v>30</v>
      </c>
      <c r="F133" t="s">
        <v>27</v>
      </c>
      <c r="G133">
        <v>5</v>
      </c>
      <c r="H133" s="3">
        <v>46159</v>
      </c>
    </row>
    <row r="134" spans="1:8" ht="14.25">
      <c r="A134">
        <v>1046</v>
      </c>
      <c r="B134" t="s">
        <v>235</v>
      </c>
      <c r="C134" t="s">
        <v>237</v>
      </c>
      <c r="D134" t="s">
        <v>23</v>
      </c>
      <c r="E134" t="s">
        <v>24</v>
      </c>
      <c r="F134" t="s">
        <v>27</v>
      </c>
      <c r="G134">
        <v>35</v>
      </c>
      <c r="H134" s="3">
        <v>46159</v>
      </c>
    </row>
    <row r="135" spans="1:8" ht="14.25">
      <c r="A135">
        <v>1396</v>
      </c>
      <c r="B135" t="s">
        <v>238</v>
      </c>
      <c r="C135" t="s">
        <v>59</v>
      </c>
      <c r="D135" t="s">
        <v>23</v>
      </c>
      <c r="E135" t="s">
        <v>24</v>
      </c>
      <c r="F135" t="s">
        <v>25</v>
      </c>
      <c r="H135" s="3">
        <v>46159</v>
      </c>
    </row>
    <row r="136" spans="1:8" ht="14.25">
      <c r="A136">
        <v>1397</v>
      </c>
      <c r="B136" t="s">
        <v>238</v>
      </c>
      <c r="C136" t="s">
        <v>239</v>
      </c>
      <c r="D136" t="s">
        <v>23</v>
      </c>
      <c r="E136" t="s">
        <v>30</v>
      </c>
      <c r="F136" t="s">
        <v>25</v>
      </c>
      <c r="H136" s="3">
        <v>46159</v>
      </c>
    </row>
    <row r="137" spans="1:8" ht="14.25">
      <c r="A137">
        <v>1398</v>
      </c>
      <c r="B137" t="s">
        <v>238</v>
      </c>
      <c r="C137" t="s">
        <v>49</v>
      </c>
      <c r="D137" t="s">
        <v>23</v>
      </c>
      <c r="E137" t="s">
        <v>24</v>
      </c>
      <c r="F137" t="s">
        <v>35</v>
      </c>
      <c r="H137" s="3">
        <v>46159</v>
      </c>
    </row>
    <row r="138" spans="1:8" ht="14.25">
      <c r="A138">
        <v>1399</v>
      </c>
      <c r="B138" t="s">
        <v>238</v>
      </c>
      <c r="C138" t="s">
        <v>131</v>
      </c>
      <c r="D138" t="s">
        <v>23</v>
      </c>
      <c r="E138" t="s">
        <v>30</v>
      </c>
      <c r="F138" t="s">
        <v>35</v>
      </c>
      <c r="H138" s="3">
        <v>46159</v>
      </c>
    </row>
    <row r="139" spans="1:8" ht="14.25">
      <c r="A139">
        <v>771</v>
      </c>
      <c r="B139" t="s">
        <v>240</v>
      </c>
      <c r="C139" t="s">
        <v>241</v>
      </c>
      <c r="D139" t="s">
        <v>23</v>
      </c>
      <c r="E139" t="s">
        <v>24</v>
      </c>
      <c r="F139" t="s">
        <v>27</v>
      </c>
      <c r="G139">
        <v>14</v>
      </c>
      <c r="H139" s="3">
        <v>46159</v>
      </c>
    </row>
    <row r="140" spans="1:8" ht="14.25">
      <c r="A140">
        <v>1265</v>
      </c>
      <c r="B140" t="s">
        <v>242</v>
      </c>
      <c r="C140" t="s">
        <v>243</v>
      </c>
      <c r="D140" t="s">
        <v>23</v>
      </c>
      <c r="E140" t="s">
        <v>24</v>
      </c>
      <c r="F140" t="s">
        <v>27</v>
      </c>
      <c r="G140">
        <v>20</v>
      </c>
      <c r="H140" s="3">
        <v>46159</v>
      </c>
    </row>
    <row r="141" spans="1:8" ht="14.25">
      <c r="A141">
        <v>532</v>
      </c>
      <c r="B141" t="s">
        <v>244</v>
      </c>
      <c r="C141" t="s">
        <v>243</v>
      </c>
      <c r="D141" t="s">
        <v>23</v>
      </c>
      <c r="E141" t="s">
        <v>24</v>
      </c>
      <c r="F141" t="s">
        <v>27</v>
      </c>
      <c r="G141">
        <v>13</v>
      </c>
      <c r="H141" s="3">
        <v>46159</v>
      </c>
    </row>
    <row r="142" spans="1:8" ht="14.25">
      <c r="A142">
        <v>1388</v>
      </c>
      <c r="B142" t="s">
        <v>193</v>
      </c>
      <c r="C142" t="s">
        <v>245</v>
      </c>
      <c r="D142" t="s">
        <v>23</v>
      </c>
      <c r="E142" t="s">
        <v>30</v>
      </c>
      <c r="F142" t="s">
        <v>25</v>
      </c>
      <c r="H142" s="3">
        <v>46159</v>
      </c>
    </row>
    <row r="143" spans="1:8" ht="14.25">
      <c r="A143">
        <v>742</v>
      </c>
      <c r="B143" t="s">
        <v>246</v>
      </c>
      <c r="C143" t="s">
        <v>156</v>
      </c>
      <c r="D143" t="s">
        <v>23</v>
      </c>
      <c r="E143" t="s">
        <v>30</v>
      </c>
      <c r="F143" t="s">
        <v>27</v>
      </c>
      <c r="G143">
        <v>2</v>
      </c>
      <c r="H143" s="3">
        <v>46159</v>
      </c>
    </row>
    <row r="144" spans="1:8" ht="14.25">
      <c r="A144">
        <v>741</v>
      </c>
      <c r="B144" t="s">
        <v>246</v>
      </c>
      <c r="C144" t="s">
        <v>247</v>
      </c>
      <c r="D144" t="s">
        <v>23</v>
      </c>
      <c r="E144" t="s">
        <v>24</v>
      </c>
      <c r="F144" t="s">
        <v>27</v>
      </c>
      <c r="G144">
        <v>4</v>
      </c>
      <c r="H144" s="3">
        <v>46159</v>
      </c>
    </row>
    <row r="145" spans="1:8" ht="14.25">
      <c r="A145">
        <v>1298</v>
      </c>
      <c r="B145" t="s">
        <v>246</v>
      </c>
      <c r="C145" t="s">
        <v>132</v>
      </c>
      <c r="D145" t="s">
        <v>23</v>
      </c>
      <c r="E145" t="s">
        <v>30</v>
      </c>
      <c r="F145" t="s">
        <v>27</v>
      </c>
      <c r="G145">
        <v>13</v>
      </c>
      <c r="H145" s="3">
        <v>46159</v>
      </c>
    </row>
    <row r="146" spans="1:8" ht="14.25">
      <c r="A146">
        <v>747</v>
      </c>
      <c r="B146" t="s">
        <v>246</v>
      </c>
      <c r="C146" t="s">
        <v>22</v>
      </c>
      <c r="D146" t="s">
        <v>23</v>
      </c>
      <c r="E146" t="s">
        <v>24</v>
      </c>
      <c r="F146" t="s">
        <v>27</v>
      </c>
      <c r="G146">
        <v>1</v>
      </c>
      <c r="H146" s="3">
        <v>46159</v>
      </c>
    </row>
    <row r="147" spans="1:8" ht="14.25">
      <c r="A147">
        <v>1386</v>
      </c>
      <c r="B147" t="s">
        <v>246</v>
      </c>
      <c r="C147" t="s">
        <v>248</v>
      </c>
      <c r="D147" t="s">
        <v>23</v>
      </c>
      <c r="E147" t="s">
        <v>30</v>
      </c>
      <c r="F147" t="s">
        <v>35</v>
      </c>
      <c r="H147" s="3">
        <v>46159</v>
      </c>
    </row>
    <row r="148" spans="1:8" ht="14.25">
      <c r="A148">
        <v>1221</v>
      </c>
      <c r="B148" t="s">
        <v>249</v>
      </c>
      <c r="C148" t="s">
        <v>234</v>
      </c>
      <c r="D148" t="s">
        <v>23</v>
      </c>
      <c r="E148" t="s">
        <v>24</v>
      </c>
      <c r="F148" t="s">
        <v>25</v>
      </c>
      <c r="H148" s="3">
        <v>46159</v>
      </c>
    </row>
    <row r="149" spans="1:8" ht="14.25">
      <c r="A149">
        <v>564</v>
      </c>
      <c r="B149" t="s">
        <v>250</v>
      </c>
      <c r="C149" t="s">
        <v>34</v>
      </c>
      <c r="D149" t="s">
        <v>23</v>
      </c>
      <c r="E149" t="s">
        <v>24</v>
      </c>
      <c r="F149" t="s">
        <v>27</v>
      </c>
      <c r="G149">
        <v>7</v>
      </c>
      <c r="H149" s="3">
        <v>46159</v>
      </c>
    </row>
    <row r="150" spans="1:8" ht="14.25">
      <c r="A150">
        <v>1165</v>
      </c>
      <c r="B150" t="s">
        <v>251</v>
      </c>
      <c r="C150" t="s">
        <v>177</v>
      </c>
      <c r="D150" t="s">
        <v>23</v>
      </c>
      <c r="E150" t="s">
        <v>24</v>
      </c>
      <c r="F150" t="s">
        <v>27</v>
      </c>
      <c r="G150">
        <v>10</v>
      </c>
      <c r="H150" s="3">
        <v>46159</v>
      </c>
    </row>
    <row r="151" spans="1:8" ht="14.25">
      <c r="A151">
        <v>405</v>
      </c>
      <c r="B151" t="s">
        <v>252</v>
      </c>
      <c r="C151" t="s">
        <v>243</v>
      </c>
      <c r="D151" t="s">
        <v>23</v>
      </c>
      <c r="E151" t="s">
        <v>24</v>
      </c>
      <c r="F151" t="s">
        <v>27</v>
      </c>
      <c r="G151">
        <v>18</v>
      </c>
      <c r="H151" s="3">
        <v>46159</v>
      </c>
    </row>
    <row r="152" spans="1:8" ht="14.25">
      <c r="A152">
        <v>1346</v>
      </c>
      <c r="B152" t="s">
        <v>253</v>
      </c>
      <c r="C152" t="s">
        <v>254</v>
      </c>
      <c r="D152" t="s">
        <v>23</v>
      </c>
      <c r="E152" t="s">
        <v>24</v>
      </c>
      <c r="F152" t="s">
        <v>27</v>
      </c>
      <c r="G152">
        <v>20</v>
      </c>
      <c r="H152" s="3">
        <v>46159</v>
      </c>
    </row>
    <row r="153" spans="1:8" ht="14.25">
      <c r="A153">
        <v>1192</v>
      </c>
      <c r="B153" t="s">
        <v>255</v>
      </c>
      <c r="C153" t="s">
        <v>256</v>
      </c>
      <c r="D153" t="s">
        <v>23</v>
      </c>
      <c r="E153" t="s">
        <v>24</v>
      </c>
      <c r="F153" t="s">
        <v>27</v>
      </c>
      <c r="G153">
        <v>10</v>
      </c>
      <c r="H153" s="3">
        <v>46159</v>
      </c>
    </row>
    <row r="154" spans="1:8" ht="14.25">
      <c r="A154">
        <v>1157</v>
      </c>
      <c r="B154" t="s">
        <v>257</v>
      </c>
      <c r="C154" t="s">
        <v>100</v>
      </c>
      <c r="D154" t="s">
        <v>23</v>
      </c>
      <c r="E154" t="s">
        <v>24</v>
      </c>
      <c r="F154" t="s">
        <v>25</v>
      </c>
      <c r="H154" s="3">
        <v>46159</v>
      </c>
    </row>
    <row r="155" spans="1:8" ht="14.25">
      <c r="A155">
        <v>1359</v>
      </c>
      <c r="B155" t="s">
        <v>258</v>
      </c>
      <c r="C155" t="s">
        <v>49</v>
      </c>
      <c r="D155" t="s">
        <v>23</v>
      </c>
      <c r="E155" t="s">
        <v>24</v>
      </c>
      <c r="F155" t="s">
        <v>188</v>
      </c>
      <c r="H155" s="3">
        <v>46159</v>
      </c>
    </row>
    <row r="156" spans="1:8" ht="14.25">
      <c r="A156">
        <v>1360</v>
      </c>
      <c r="B156" t="s">
        <v>258</v>
      </c>
      <c r="C156" t="s">
        <v>259</v>
      </c>
      <c r="D156" t="s">
        <v>23</v>
      </c>
      <c r="E156" t="s">
        <v>30</v>
      </c>
      <c r="F156" t="s">
        <v>35</v>
      </c>
      <c r="H156" s="3">
        <v>46159</v>
      </c>
    </row>
    <row r="157" spans="1:8" ht="14.25">
      <c r="A157">
        <v>1357</v>
      </c>
      <c r="B157" t="s">
        <v>258</v>
      </c>
      <c r="C157" t="s">
        <v>34</v>
      </c>
      <c r="D157" t="s">
        <v>23</v>
      </c>
      <c r="E157" t="s">
        <v>24</v>
      </c>
      <c r="F157" t="s">
        <v>27</v>
      </c>
      <c r="G157">
        <v>5</v>
      </c>
      <c r="H157" s="3">
        <v>46159</v>
      </c>
    </row>
    <row r="158" spans="1:8" ht="14.25">
      <c r="A158">
        <v>1358</v>
      </c>
      <c r="B158" t="s">
        <v>258</v>
      </c>
      <c r="C158" t="s">
        <v>260</v>
      </c>
      <c r="D158" t="s">
        <v>23</v>
      </c>
      <c r="E158" t="s">
        <v>30</v>
      </c>
      <c r="F158" t="s">
        <v>27</v>
      </c>
      <c r="G158">
        <v>7</v>
      </c>
      <c r="H158" s="3">
        <v>46159</v>
      </c>
    </row>
    <row r="159" spans="1:8" ht="14.25">
      <c r="A159">
        <v>1390</v>
      </c>
      <c r="B159" t="s">
        <v>261</v>
      </c>
      <c r="C159" t="s">
        <v>262</v>
      </c>
      <c r="D159" t="s">
        <v>23</v>
      </c>
      <c r="E159" t="s">
        <v>24</v>
      </c>
      <c r="F159" t="s">
        <v>25</v>
      </c>
      <c r="H159" s="3">
        <v>46159</v>
      </c>
    </row>
    <row r="160" spans="1:8" ht="14.25">
      <c r="A160">
        <v>1107</v>
      </c>
      <c r="B160" t="s">
        <v>263</v>
      </c>
      <c r="C160" t="s">
        <v>264</v>
      </c>
      <c r="D160" t="s">
        <v>23</v>
      </c>
      <c r="E160" t="s">
        <v>30</v>
      </c>
      <c r="F160" t="s">
        <v>25</v>
      </c>
      <c r="H160" s="3">
        <v>46159</v>
      </c>
    </row>
    <row r="161" spans="1:8" ht="14.25">
      <c r="A161">
        <v>35</v>
      </c>
      <c r="B161" t="s">
        <v>265</v>
      </c>
      <c r="C161" t="s">
        <v>266</v>
      </c>
      <c r="D161" t="s">
        <v>23</v>
      </c>
      <c r="E161" t="s">
        <v>24</v>
      </c>
      <c r="F161" t="s">
        <v>27</v>
      </c>
      <c r="G161">
        <v>3</v>
      </c>
      <c r="H161" s="3">
        <v>46159</v>
      </c>
    </row>
    <row r="162" spans="1:8" ht="14.25">
      <c r="A162">
        <v>1094</v>
      </c>
      <c r="B162" t="s">
        <v>267</v>
      </c>
      <c r="C162" t="s">
        <v>268</v>
      </c>
      <c r="D162" t="s">
        <v>23</v>
      </c>
      <c r="E162" t="s">
        <v>24</v>
      </c>
      <c r="F162" t="s">
        <v>27</v>
      </c>
      <c r="G162">
        <v>12</v>
      </c>
      <c r="H162" s="3">
        <v>46159</v>
      </c>
    </row>
    <row r="163" spans="1:8" ht="14.25">
      <c r="A163">
        <v>1325</v>
      </c>
      <c r="B163" t="s">
        <v>269</v>
      </c>
      <c r="C163" t="s">
        <v>270</v>
      </c>
      <c r="D163" t="s">
        <v>23</v>
      </c>
      <c r="E163" t="s">
        <v>24</v>
      </c>
      <c r="F163" t="s">
        <v>27</v>
      </c>
      <c r="G163">
        <v>3</v>
      </c>
      <c r="H163" s="3">
        <v>46159</v>
      </c>
    </row>
    <row r="164" spans="1:8" ht="14.25">
      <c r="A164">
        <v>1143</v>
      </c>
      <c r="B164" t="s">
        <v>271</v>
      </c>
      <c r="C164" t="s">
        <v>247</v>
      </c>
      <c r="D164" t="s">
        <v>23</v>
      </c>
      <c r="E164" t="s">
        <v>24</v>
      </c>
      <c r="F164" t="s">
        <v>27</v>
      </c>
      <c r="G164">
        <v>3</v>
      </c>
      <c r="H164" s="3">
        <v>46159</v>
      </c>
    </row>
    <row r="165" spans="1:8" ht="14.25">
      <c r="A165">
        <v>1401</v>
      </c>
      <c r="B165" t="s">
        <v>272</v>
      </c>
      <c r="C165" t="s">
        <v>273</v>
      </c>
      <c r="D165" t="s">
        <v>23</v>
      </c>
      <c r="E165" t="s">
        <v>30</v>
      </c>
      <c r="F165" t="s">
        <v>25</v>
      </c>
      <c r="H165" s="3">
        <v>46159</v>
      </c>
    </row>
    <row r="166" spans="1:8" ht="14.25">
      <c r="A166">
        <v>1285</v>
      </c>
      <c r="B166" t="s">
        <v>274</v>
      </c>
      <c r="C166" t="s">
        <v>100</v>
      </c>
      <c r="D166" t="s">
        <v>23</v>
      </c>
      <c r="E166" t="s">
        <v>24</v>
      </c>
      <c r="F166" t="s">
        <v>25</v>
      </c>
      <c r="H166" s="3">
        <v>46159</v>
      </c>
    </row>
    <row r="167" spans="1:8" ht="14.25">
      <c r="A167">
        <v>38</v>
      </c>
      <c r="B167" t="s">
        <v>275</v>
      </c>
      <c r="C167" t="s">
        <v>276</v>
      </c>
      <c r="D167" t="s">
        <v>23</v>
      </c>
      <c r="E167" t="s">
        <v>24</v>
      </c>
      <c r="F167" t="s">
        <v>27</v>
      </c>
      <c r="G167">
        <v>13</v>
      </c>
      <c r="H167" s="3">
        <v>46159</v>
      </c>
    </row>
    <row r="168" spans="1:8" ht="14.25">
      <c r="A168">
        <v>245</v>
      </c>
      <c r="B168" t="s">
        <v>277</v>
      </c>
      <c r="C168" t="s">
        <v>234</v>
      </c>
      <c r="D168" t="s">
        <v>23</v>
      </c>
      <c r="E168" t="s">
        <v>24</v>
      </c>
      <c r="F168" t="s">
        <v>27</v>
      </c>
      <c r="G168">
        <v>10</v>
      </c>
      <c r="H168" s="3">
        <v>46159</v>
      </c>
    </row>
    <row r="169" spans="1:8" ht="14.25">
      <c r="A169">
        <v>39</v>
      </c>
      <c r="B169" t="s">
        <v>277</v>
      </c>
      <c r="C169" t="s">
        <v>278</v>
      </c>
      <c r="D169" t="s">
        <v>23</v>
      </c>
      <c r="E169" t="s">
        <v>24</v>
      </c>
      <c r="F169" t="s">
        <v>27</v>
      </c>
      <c r="G169">
        <v>43</v>
      </c>
      <c r="H169" s="3">
        <v>46159</v>
      </c>
    </row>
    <row r="170" spans="1:8" ht="14.25">
      <c r="A170">
        <v>508</v>
      </c>
      <c r="B170" t="s">
        <v>279</v>
      </c>
      <c r="C170" t="s">
        <v>59</v>
      </c>
      <c r="D170" t="s">
        <v>23</v>
      </c>
      <c r="E170" t="s">
        <v>24</v>
      </c>
      <c r="F170" t="s">
        <v>27</v>
      </c>
      <c r="G170">
        <v>31</v>
      </c>
      <c r="H170" s="3">
        <v>46159</v>
      </c>
    </row>
    <row r="171" spans="1:8" ht="14.25">
      <c r="A171">
        <v>1025</v>
      </c>
      <c r="B171" t="s">
        <v>280</v>
      </c>
      <c r="C171" t="s">
        <v>281</v>
      </c>
      <c r="D171" t="s">
        <v>23</v>
      </c>
      <c r="E171" t="s">
        <v>24</v>
      </c>
      <c r="F171" t="s">
        <v>35</v>
      </c>
      <c r="H171" s="3">
        <v>46159</v>
      </c>
    </row>
    <row r="172" spans="1:8" ht="14.25">
      <c r="A172">
        <v>1024</v>
      </c>
      <c r="B172" t="s">
        <v>280</v>
      </c>
      <c r="C172" t="s">
        <v>282</v>
      </c>
      <c r="D172" t="s">
        <v>23</v>
      </c>
      <c r="E172" t="s">
        <v>24</v>
      </c>
      <c r="F172" t="s">
        <v>188</v>
      </c>
      <c r="H172" s="3">
        <v>46159</v>
      </c>
    </row>
    <row r="173" spans="1:8" ht="14.25">
      <c r="A173">
        <v>1023</v>
      </c>
      <c r="B173" t="s">
        <v>280</v>
      </c>
      <c r="C173" t="s">
        <v>39</v>
      </c>
      <c r="D173" t="s">
        <v>23</v>
      </c>
      <c r="E173" t="s">
        <v>24</v>
      </c>
      <c r="F173" t="s">
        <v>25</v>
      </c>
      <c r="H173" s="3">
        <v>46159</v>
      </c>
    </row>
    <row r="174" spans="1:8" ht="14.25">
      <c r="A174">
        <v>1232</v>
      </c>
      <c r="B174" t="s">
        <v>280</v>
      </c>
      <c r="C174" t="s">
        <v>283</v>
      </c>
      <c r="D174" t="s">
        <v>23</v>
      </c>
      <c r="E174" t="s">
        <v>30</v>
      </c>
      <c r="F174" t="s">
        <v>27</v>
      </c>
      <c r="G174">
        <v>4</v>
      </c>
      <c r="H174" s="3">
        <v>46159</v>
      </c>
    </row>
    <row r="175" spans="1:8" ht="14.25">
      <c r="A175">
        <v>1392</v>
      </c>
      <c r="B175" t="s">
        <v>284</v>
      </c>
      <c r="C175" t="s">
        <v>285</v>
      </c>
      <c r="D175" t="s">
        <v>23</v>
      </c>
      <c r="E175" t="s">
        <v>30</v>
      </c>
      <c r="F175" t="s">
        <v>25</v>
      </c>
      <c r="H175" s="3">
        <v>46159</v>
      </c>
    </row>
    <row r="176" spans="1:8" ht="14.25">
      <c r="A176">
        <v>1141</v>
      </c>
      <c r="B176" t="s">
        <v>286</v>
      </c>
      <c r="C176" t="s">
        <v>287</v>
      </c>
      <c r="D176" t="s">
        <v>23</v>
      </c>
      <c r="E176" t="s">
        <v>30</v>
      </c>
      <c r="F176" t="s">
        <v>27</v>
      </c>
      <c r="G176">
        <v>15</v>
      </c>
      <c r="H176" s="3">
        <v>46159</v>
      </c>
    </row>
    <row r="177" spans="1:8" ht="14.25">
      <c r="A177">
        <v>891</v>
      </c>
      <c r="B177" t="s">
        <v>288</v>
      </c>
      <c r="C177" t="s">
        <v>289</v>
      </c>
      <c r="D177" t="s">
        <v>23</v>
      </c>
      <c r="E177" t="s">
        <v>30</v>
      </c>
      <c r="F177" t="s">
        <v>25</v>
      </c>
      <c r="H177" s="3">
        <v>46159</v>
      </c>
    </row>
    <row r="178" spans="1:8" ht="14.25">
      <c r="A178">
        <v>1352</v>
      </c>
      <c r="B178" t="s">
        <v>290</v>
      </c>
      <c r="C178" t="s">
        <v>34</v>
      </c>
      <c r="D178" t="s">
        <v>23</v>
      </c>
      <c r="E178" t="s">
        <v>24</v>
      </c>
      <c r="F178" t="s">
        <v>27</v>
      </c>
      <c r="G178">
        <v>11</v>
      </c>
      <c r="H178" s="3">
        <v>46159</v>
      </c>
    </row>
    <row r="179" spans="1:8" ht="14.25">
      <c r="A179">
        <v>1339</v>
      </c>
      <c r="B179" t="s">
        <v>291</v>
      </c>
      <c r="C179" t="s">
        <v>292</v>
      </c>
      <c r="D179" t="s">
        <v>23</v>
      </c>
      <c r="E179" t="s">
        <v>24</v>
      </c>
      <c r="F179" t="s">
        <v>25</v>
      </c>
      <c r="H179" s="3">
        <v>46159</v>
      </c>
    </row>
    <row r="180" spans="1:8" ht="14.25">
      <c r="A180">
        <v>914</v>
      </c>
      <c r="B180" t="s">
        <v>293</v>
      </c>
      <c r="C180" t="s">
        <v>153</v>
      </c>
      <c r="D180" t="s">
        <v>23</v>
      </c>
      <c r="E180" t="s">
        <v>24</v>
      </c>
      <c r="F180" t="s">
        <v>27</v>
      </c>
      <c r="G180">
        <v>14</v>
      </c>
      <c r="H180" s="3">
        <v>46159</v>
      </c>
    </row>
    <row r="181" spans="1:8" ht="14.25">
      <c r="A181">
        <v>597</v>
      </c>
      <c r="B181" t="s">
        <v>294</v>
      </c>
      <c r="C181" t="s">
        <v>295</v>
      </c>
      <c r="D181" t="s">
        <v>23</v>
      </c>
      <c r="E181" t="s">
        <v>24</v>
      </c>
      <c r="F181" t="s">
        <v>27</v>
      </c>
      <c r="G181">
        <v>36</v>
      </c>
      <c r="H181" s="3">
        <v>46159</v>
      </c>
    </row>
    <row r="182" spans="1:8" ht="14.25">
      <c r="A182">
        <v>1038</v>
      </c>
      <c r="B182" t="s">
        <v>293</v>
      </c>
      <c r="C182" t="s">
        <v>51</v>
      </c>
      <c r="D182" t="s">
        <v>23</v>
      </c>
      <c r="E182" t="s">
        <v>24</v>
      </c>
      <c r="F182" t="s">
        <v>27</v>
      </c>
      <c r="G182">
        <v>12</v>
      </c>
      <c r="H182" s="3">
        <v>46159</v>
      </c>
    </row>
    <row r="183" spans="1:8" ht="14.25">
      <c r="A183">
        <v>1347</v>
      </c>
      <c r="B183" t="s">
        <v>296</v>
      </c>
      <c r="C183" t="s">
        <v>104</v>
      </c>
      <c r="D183" t="s">
        <v>23</v>
      </c>
      <c r="E183" t="s">
        <v>24</v>
      </c>
      <c r="F183" t="s">
        <v>25</v>
      </c>
      <c r="H183" s="3">
        <v>46159</v>
      </c>
    </row>
    <row r="184" spans="1:8" ht="14.25">
      <c r="A184">
        <v>1242</v>
      </c>
      <c r="B184" t="s">
        <v>297</v>
      </c>
      <c r="C184" t="s">
        <v>190</v>
      </c>
      <c r="D184" t="s">
        <v>23</v>
      </c>
      <c r="E184" t="s">
        <v>24</v>
      </c>
      <c r="F184" t="s">
        <v>27</v>
      </c>
      <c r="G184">
        <v>15</v>
      </c>
      <c r="H184" s="3">
        <v>46159</v>
      </c>
    </row>
    <row r="185" spans="1:8" ht="14.25">
      <c r="A185">
        <v>1048</v>
      </c>
      <c r="B185" t="s">
        <v>298</v>
      </c>
      <c r="C185" t="s">
        <v>268</v>
      </c>
      <c r="D185" t="s">
        <v>23</v>
      </c>
      <c r="E185" t="s">
        <v>24</v>
      </c>
      <c r="F185" t="s">
        <v>27</v>
      </c>
      <c r="G185">
        <v>16</v>
      </c>
      <c r="H185" s="3">
        <v>46159</v>
      </c>
    </row>
    <row r="186" spans="1:8" ht="14.25">
      <c r="A186">
        <v>1055</v>
      </c>
      <c r="B186" t="s">
        <v>298</v>
      </c>
      <c r="C186" t="s">
        <v>299</v>
      </c>
      <c r="D186" t="s">
        <v>23</v>
      </c>
      <c r="E186" t="s">
        <v>24</v>
      </c>
      <c r="F186" t="s">
        <v>27</v>
      </c>
      <c r="G186">
        <v>1</v>
      </c>
      <c r="H186" s="3">
        <v>46159</v>
      </c>
    </row>
    <row r="187" spans="1:8" ht="14.25">
      <c r="A187">
        <v>1095</v>
      </c>
      <c r="B187" t="s">
        <v>298</v>
      </c>
      <c r="C187" t="s">
        <v>300</v>
      </c>
      <c r="D187" t="s">
        <v>23</v>
      </c>
      <c r="E187" t="s">
        <v>24</v>
      </c>
      <c r="F187" t="s">
        <v>27</v>
      </c>
      <c r="G187">
        <v>33</v>
      </c>
      <c r="H187" s="3">
        <v>46159</v>
      </c>
    </row>
    <row r="188" spans="1:8" ht="14.25">
      <c r="A188">
        <v>820</v>
      </c>
      <c r="B188" t="s">
        <v>298</v>
      </c>
      <c r="C188" t="s">
        <v>139</v>
      </c>
      <c r="D188" t="s">
        <v>23</v>
      </c>
      <c r="E188" t="s">
        <v>30</v>
      </c>
      <c r="F188" t="s">
        <v>27</v>
      </c>
      <c r="G188">
        <v>6</v>
      </c>
      <c r="H188" s="3">
        <v>46159</v>
      </c>
    </row>
    <row r="189" spans="1:8" ht="14.25">
      <c r="A189">
        <v>687</v>
      </c>
      <c r="B189" t="s">
        <v>298</v>
      </c>
      <c r="C189" t="s">
        <v>301</v>
      </c>
      <c r="D189" t="s">
        <v>23</v>
      </c>
      <c r="E189" t="s">
        <v>24</v>
      </c>
      <c r="F189" t="s">
        <v>27</v>
      </c>
      <c r="G189">
        <v>7</v>
      </c>
      <c r="H189" s="3">
        <v>46159</v>
      </c>
    </row>
    <row r="190" spans="1:8" ht="14.25">
      <c r="A190">
        <v>1420</v>
      </c>
      <c r="B190" t="s">
        <v>302</v>
      </c>
      <c r="C190" t="s">
        <v>212</v>
      </c>
      <c r="D190" t="s">
        <v>23</v>
      </c>
      <c r="E190" t="s">
        <v>30</v>
      </c>
      <c r="F190" t="s">
        <v>27</v>
      </c>
      <c r="G190">
        <v>15</v>
      </c>
      <c r="H190" s="3">
        <v>46159</v>
      </c>
    </row>
    <row r="191" spans="1:8" ht="14.25">
      <c r="A191">
        <v>1410</v>
      </c>
      <c r="B191" t="s">
        <v>104</v>
      </c>
      <c r="C191" t="s">
        <v>303</v>
      </c>
      <c r="D191" t="s">
        <v>23</v>
      </c>
      <c r="E191" t="s">
        <v>24</v>
      </c>
      <c r="F191" t="s">
        <v>25</v>
      </c>
      <c r="H191" s="3">
        <v>46159</v>
      </c>
    </row>
    <row r="192" spans="1:8" ht="14.25">
      <c r="A192">
        <v>1161</v>
      </c>
      <c r="B192" t="s">
        <v>304</v>
      </c>
      <c r="C192" t="s">
        <v>305</v>
      </c>
      <c r="D192" t="s">
        <v>23</v>
      </c>
      <c r="E192" t="s">
        <v>24</v>
      </c>
      <c r="F192" t="s">
        <v>25</v>
      </c>
      <c r="H192" s="3">
        <v>46159</v>
      </c>
    </row>
    <row r="193" spans="1:8" ht="14.25">
      <c r="A193">
        <v>890</v>
      </c>
      <c r="B193" t="s">
        <v>306</v>
      </c>
      <c r="C193" t="s">
        <v>307</v>
      </c>
      <c r="D193" t="s">
        <v>54</v>
      </c>
      <c r="E193" t="s">
        <v>24</v>
      </c>
      <c r="F193" t="s">
        <v>27</v>
      </c>
      <c r="G193">
        <v>23</v>
      </c>
      <c r="H193" s="3">
        <v>46159</v>
      </c>
    </row>
    <row r="194" spans="1:8" ht="14.25">
      <c r="A194">
        <v>1166</v>
      </c>
      <c r="B194" t="s">
        <v>308</v>
      </c>
      <c r="C194" t="s">
        <v>143</v>
      </c>
      <c r="D194" t="s">
        <v>54</v>
      </c>
      <c r="E194" t="s">
        <v>24</v>
      </c>
      <c r="F194" t="s">
        <v>27</v>
      </c>
      <c r="G194">
        <v>5</v>
      </c>
      <c r="H194" s="3">
        <v>46159</v>
      </c>
    </row>
    <row r="195" spans="1:8" ht="14.25">
      <c r="A195">
        <v>45</v>
      </c>
      <c r="B195" t="s">
        <v>309</v>
      </c>
      <c r="C195" t="s">
        <v>310</v>
      </c>
      <c r="D195" t="s">
        <v>23</v>
      </c>
      <c r="E195" t="s">
        <v>24</v>
      </c>
      <c r="F195" t="s">
        <v>27</v>
      </c>
      <c r="G195">
        <v>20</v>
      </c>
      <c r="H195" s="3">
        <v>46159</v>
      </c>
    </row>
    <row r="196" spans="1:8" ht="14.25">
      <c r="A196">
        <v>1160</v>
      </c>
      <c r="B196" t="s">
        <v>311</v>
      </c>
      <c r="C196" t="s">
        <v>312</v>
      </c>
      <c r="D196" t="s">
        <v>23</v>
      </c>
      <c r="E196" t="s">
        <v>24</v>
      </c>
      <c r="F196" t="s">
        <v>25</v>
      </c>
      <c r="H196" s="3">
        <v>46159</v>
      </c>
    </row>
    <row r="197" spans="1:8" ht="14.25">
      <c r="A197">
        <v>945</v>
      </c>
      <c r="B197" t="s">
        <v>313</v>
      </c>
      <c r="C197" t="s">
        <v>49</v>
      </c>
      <c r="D197" t="s">
        <v>23</v>
      </c>
      <c r="E197" t="s">
        <v>24</v>
      </c>
      <c r="F197" t="s">
        <v>25</v>
      </c>
      <c r="H197" s="3">
        <v>46159</v>
      </c>
    </row>
    <row r="198" spans="1:8" ht="14.25">
      <c r="A198">
        <v>813</v>
      </c>
      <c r="B198" t="s">
        <v>313</v>
      </c>
      <c r="C198" t="s">
        <v>289</v>
      </c>
      <c r="D198" t="s">
        <v>23</v>
      </c>
      <c r="E198" t="s">
        <v>30</v>
      </c>
      <c r="F198" t="s">
        <v>27</v>
      </c>
      <c r="G198">
        <v>7</v>
      </c>
      <c r="H198" s="3">
        <v>46159</v>
      </c>
    </row>
    <row r="199" spans="1:8" ht="14.25">
      <c r="A199">
        <v>812</v>
      </c>
      <c r="B199" t="s">
        <v>313</v>
      </c>
      <c r="C199" t="s">
        <v>170</v>
      </c>
      <c r="D199" t="s">
        <v>23</v>
      </c>
      <c r="E199" t="s">
        <v>24</v>
      </c>
      <c r="F199" t="s">
        <v>27</v>
      </c>
      <c r="G199">
        <v>9</v>
      </c>
      <c r="H199" s="3">
        <v>46159</v>
      </c>
    </row>
    <row r="200" spans="1:8" ht="14.25">
      <c r="A200">
        <v>1129</v>
      </c>
      <c r="B200" t="s">
        <v>314</v>
      </c>
      <c r="C200" t="s">
        <v>315</v>
      </c>
      <c r="D200" t="s">
        <v>23</v>
      </c>
      <c r="E200" t="s">
        <v>24</v>
      </c>
      <c r="F200" t="s">
        <v>27</v>
      </c>
      <c r="G200">
        <v>12</v>
      </c>
      <c r="H200" s="3">
        <v>46159</v>
      </c>
    </row>
    <row r="201" spans="1:8" ht="14.25">
      <c r="A201">
        <v>915</v>
      </c>
      <c r="B201" t="s">
        <v>316</v>
      </c>
      <c r="C201" t="s">
        <v>241</v>
      </c>
      <c r="D201" t="s">
        <v>23</v>
      </c>
      <c r="E201" t="s">
        <v>24</v>
      </c>
      <c r="F201" t="s">
        <v>27</v>
      </c>
      <c r="G201">
        <v>8</v>
      </c>
      <c r="H201" s="3">
        <v>46159</v>
      </c>
    </row>
    <row r="202" spans="1:8" ht="14.25">
      <c r="A202">
        <v>1356</v>
      </c>
      <c r="B202" t="s">
        <v>317</v>
      </c>
      <c r="C202" t="s">
        <v>318</v>
      </c>
      <c r="D202" t="s">
        <v>54</v>
      </c>
      <c r="E202" t="s">
        <v>24</v>
      </c>
      <c r="F202" t="s">
        <v>27</v>
      </c>
      <c r="G202">
        <v>15</v>
      </c>
      <c r="H202" s="3">
        <v>46159</v>
      </c>
    </row>
    <row r="203" spans="1:8" ht="14.25">
      <c r="A203">
        <v>1422</v>
      </c>
      <c r="B203" t="s">
        <v>319</v>
      </c>
      <c r="C203" t="s">
        <v>320</v>
      </c>
      <c r="D203" t="s">
        <v>54</v>
      </c>
      <c r="E203" t="s">
        <v>30</v>
      </c>
      <c r="F203" t="s">
        <v>25</v>
      </c>
      <c r="H203" s="3">
        <v>46159</v>
      </c>
    </row>
    <row r="204" spans="1:8" ht="14.25">
      <c r="A204">
        <v>860</v>
      </c>
      <c r="B204" t="s">
        <v>321</v>
      </c>
      <c r="C204" t="s">
        <v>215</v>
      </c>
      <c r="D204" t="s">
        <v>23</v>
      </c>
      <c r="E204" t="s">
        <v>30</v>
      </c>
      <c r="F204" t="s">
        <v>25</v>
      </c>
      <c r="H204" s="3">
        <v>46159</v>
      </c>
    </row>
    <row r="205" spans="1:8" ht="14.25">
      <c r="A205">
        <v>756</v>
      </c>
      <c r="B205" t="s">
        <v>321</v>
      </c>
      <c r="C205" t="s">
        <v>322</v>
      </c>
      <c r="D205" t="s">
        <v>23</v>
      </c>
      <c r="E205" t="s">
        <v>24</v>
      </c>
      <c r="F205" t="s">
        <v>25</v>
      </c>
      <c r="H205" s="3">
        <v>46159</v>
      </c>
    </row>
    <row r="206" spans="1:8" ht="14.25">
      <c r="A206">
        <v>407</v>
      </c>
      <c r="B206" t="s">
        <v>321</v>
      </c>
      <c r="C206" t="s">
        <v>323</v>
      </c>
      <c r="D206" t="s">
        <v>23</v>
      </c>
      <c r="E206" t="s">
        <v>24</v>
      </c>
      <c r="F206" t="s">
        <v>27</v>
      </c>
      <c r="G206">
        <v>5</v>
      </c>
      <c r="H206" s="3">
        <v>46159</v>
      </c>
    </row>
    <row r="207" spans="1:8" ht="14.25">
      <c r="A207">
        <v>1428</v>
      </c>
      <c r="B207" t="s">
        <v>324</v>
      </c>
      <c r="C207" t="s">
        <v>325</v>
      </c>
      <c r="D207" t="s">
        <v>23</v>
      </c>
      <c r="E207" t="s">
        <v>24</v>
      </c>
      <c r="F207" t="s">
        <v>35</v>
      </c>
      <c r="H207" s="3">
        <v>46159</v>
      </c>
    </row>
    <row r="208" spans="1:8" ht="14.25">
      <c r="A208">
        <v>1423</v>
      </c>
      <c r="B208" t="s">
        <v>326</v>
      </c>
      <c r="C208" t="s">
        <v>83</v>
      </c>
      <c r="D208" t="s">
        <v>23</v>
      </c>
      <c r="E208" t="s">
        <v>24</v>
      </c>
      <c r="F208" t="s">
        <v>25</v>
      </c>
      <c r="H208" s="3">
        <v>46159</v>
      </c>
    </row>
    <row r="209" spans="1:8" ht="14.25">
      <c r="A209">
        <v>1424</v>
      </c>
      <c r="B209" t="s">
        <v>326</v>
      </c>
      <c r="C209" t="s">
        <v>259</v>
      </c>
      <c r="D209" t="s">
        <v>23</v>
      </c>
      <c r="E209" t="s">
        <v>30</v>
      </c>
      <c r="F209" t="s">
        <v>25</v>
      </c>
      <c r="H209" s="3">
        <v>46159</v>
      </c>
    </row>
    <row r="210" spans="1:8" ht="14.25">
      <c r="A210">
        <v>1425</v>
      </c>
      <c r="B210" t="s">
        <v>326</v>
      </c>
      <c r="C210" t="s">
        <v>327</v>
      </c>
      <c r="D210" t="s">
        <v>23</v>
      </c>
      <c r="E210" t="s">
        <v>24</v>
      </c>
      <c r="F210" t="s">
        <v>35</v>
      </c>
      <c r="H210" s="3">
        <v>46159</v>
      </c>
    </row>
    <row r="211" spans="1:8" ht="14.25">
      <c r="A211">
        <v>1426</v>
      </c>
      <c r="B211" t="s">
        <v>326</v>
      </c>
      <c r="C211" t="s">
        <v>328</v>
      </c>
      <c r="D211" t="s">
        <v>23</v>
      </c>
      <c r="E211" t="s">
        <v>30</v>
      </c>
      <c r="F211" t="s">
        <v>35</v>
      </c>
      <c r="H211" s="3">
        <v>46159</v>
      </c>
    </row>
    <row r="212" spans="1:8" ht="14.25">
      <c r="A212">
        <v>1312</v>
      </c>
      <c r="B212" t="s">
        <v>329</v>
      </c>
      <c r="C212" t="s">
        <v>287</v>
      </c>
      <c r="D212" t="s">
        <v>23</v>
      </c>
      <c r="E212" t="s">
        <v>30</v>
      </c>
      <c r="F212" t="s">
        <v>27</v>
      </c>
      <c r="G212">
        <v>35</v>
      </c>
      <c r="H212" s="3">
        <v>46159</v>
      </c>
    </row>
    <row r="213" spans="1:8" ht="14.25">
      <c r="A213">
        <v>935</v>
      </c>
      <c r="B213" t="s">
        <v>330</v>
      </c>
      <c r="C213" t="s">
        <v>245</v>
      </c>
      <c r="D213" t="s">
        <v>23</v>
      </c>
      <c r="E213" t="s">
        <v>30</v>
      </c>
      <c r="F213" t="s">
        <v>25</v>
      </c>
      <c r="H213" s="3">
        <v>46159</v>
      </c>
    </row>
    <row r="214" spans="1:8" ht="14.25">
      <c r="A214">
        <v>999</v>
      </c>
      <c r="B214" t="s">
        <v>330</v>
      </c>
      <c r="C214" t="s">
        <v>331</v>
      </c>
      <c r="D214" t="s">
        <v>23</v>
      </c>
      <c r="E214" t="s">
        <v>30</v>
      </c>
      <c r="F214" t="s">
        <v>25</v>
      </c>
      <c r="H214" s="3">
        <v>46159</v>
      </c>
    </row>
    <row r="215" spans="1:8" ht="14.25">
      <c r="A215">
        <v>998</v>
      </c>
      <c r="B215" t="s">
        <v>330</v>
      </c>
      <c r="C215" t="s">
        <v>332</v>
      </c>
      <c r="D215" t="s">
        <v>23</v>
      </c>
      <c r="E215" t="s">
        <v>30</v>
      </c>
      <c r="F215" t="s">
        <v>27</v>
      </c>
      <c r="G215">
        <v>5</v>
      </c>
      <c r="H215" s="3">
        <v>46159</v>
      </c>
    </row>
    <row r="216" spans="1:8" ht="14.25">
      <c r="A216">
        <v>616</v>
      </c>
      <c r="B216" t="s">
        <v>330</v>
      </c>
      <c r="C216" t="s">
        <v>41</v>
      </c>
      <c r="D216" t="s">
        <v>23</v>
      </c>
      <c r="E216" t="s">
        <v>24</v>
      </c>
      <c r="F216" t="s">
        <v>27</v>
      </c>
      <c r="G216">
        <v>7</v>
      </c>
      <c r="H216" s="3">
        <v>46159</v>
      </c>
    </row>
    <row r="217" spans="1:8" ht="14.25">
      <c r="A217">
        <v>558</v>
      </c>
      <c r="B217" t="s">
        <v>333</v>
      </c>
      <c r="C217" t="s">
        <v>334</v>
      </c>
      <c r="D217" t="s">
        <v>23</v>
      </c>
      <c r="E217" t="s">
        <v>24</v>
      </c>
      <c r="F217" t="s">
        <v>27</v>
      </c>
      <c r="G217">
        <v>15</v>
      </c>
      <c r="H217" s="3">
        <v>46159</v>
      </c>
    </row>
    <row r="218" spans="1:8" ht="14.25">
      <c r="A218">
        <v>991</v>
      </c>
      <c r="B218" t="s">
        <v>335</v>
      </c>
      <c r="C218" t="s">
        <v>184</v>
      </c>
      <c r="D218" t="s">
        <v>23</v>
      </c>
      <c r="E218" t="s">
        <v>30</v>
      </c>
      <c r="F218" t="s">
        <v>35</v>
      </c>
      <c r="H218" s="3">
        <v>46159</v>
      </c>
    </row>
    <row r="219" spans="1:8" ht="14.25">
      <c r="A219">
        <v>359</v>
      </c>
      <c r="B219" t="s">
        <v>336</v>
      </c>
      <c r="C219" t="s">
        <v>26</v>
      </c>
      <c r="D219" t="s">
        <v>23</v>
      </c>
      <c r="E219" t="s">
        <v>24</v>
      </c>
      <c r="F219" t="s">
        <v>27</v>
      </c>
      <c r="G219">
        <v>24</v>
      </c>
      <c r="H219" s="3">
        <v>46159</v>
      </c>
    </row>
    <row r="220" spans="1:8" ht="14.25">
      <c r="A220">
        <v>1310</v>
      </c>
      <c r="B220" t="s">
        <v>337</v>
      </c>
      <c r="C220" t="s">
        <v>311</v>
      </c>
      <c r="D220" t="s">
        <v>23</v>
      </c>
      <c r="E220" t="s">
        <v>24</v>
      </c>
      <c r="F220" t="s">
        <v>25</v>
      </c>
      <c r="H220" s="3">
        <v>46159</v>
      </c>
    </row>
    <row r="221" spans="1:8" ht="14.25">
      <c r="A221">
        <v>1200</v>
      </c>
      <c r="B221" t="s">
        <v>338</v>
      </c>
      <c r="C221" t="s">
        <v>339</v>
      </c>
      <c r="D221" t="s">
        <v>23</v>
      </c>
      <c r="E221" t="s">
        <v>24</v>
      </c>
      <c r="F221" t="s">
        <v>27</v>
      </c>
      <c r="G221">
        <v>6</v>
      </c>
      <c r="H221" s="3">
        <v>46159</v>
      </c>
    </row>
    <row r="222" spans="1:8" ht="14.25">
      <c r="A222">
        <v>1411</v>
      </c>
      <c r="B222" t="s">
        <v>338</v>
      </c>
      <c r="C222" t="s">
        <v>72</v>
      </c>
      <c r="D222" t="s">
        <v>23</v>
      </c>
      <c r="E222" t="s">
        <v>30</v>
      </c>
      <c r="F222" t="s">
        <v>27</v>
      </c>
      <c r="G222">
        <v>3</v>
      </c>
      <c r="H222" s="3">
        <v>46159</v>
      </c>
    </row>
    <row r="223" spans="1:8" ht="14.25">
      <c r="A223">
        <v>1412</v>
      </c>
      <c r="B223" t="s">
        <v>338</v>
      </c>
      <c r="C223" t="s">
        <v>340</v>
      </c>
      <c r="D223" t="s">
        <v>23</v>
      </c>
      <c r="E223" t="s">
        <v>30</v>
      </c>
      <c r="F223" t="s">
        <v>188</v>
      </c>
      <c r="H223" s="3">
        <v>46159</v>
      </c>
    </row>
    <row r="224" spans="1:8" ht="14.25">
      <c r="A224">
        <v>1413</v>
      </c>
      <c r="B224" t="s">
        <v>338</v>
      </c>
      <c r="C224" t="s">
        <v>214</v>
      </c>
      <c r="D224" t="s">
        <v>23</v>
      </c>
      <c r="E224" t="s">
        <v>24</v>
      </c>
      <c r="F224" t="s">
        <v>188</v>
      </c>
      <c r="H224" s="3">
        <v>46159</v>
      </c>
    </row>
    <row r="225" spans="1:8" ht="14.25">
      <c r="A225">
        <v>1376</v>
      </c>
      <c r="B225" t="s">
        <v>192</v>
      </c>
      <c r="C225" t="s">
        <v>127</v>
      </c>
      <c r="D225" t="s">
        <v>23</v>
      </c>
      <c r="E225" t="s">
        <v>30</v>
      </c>
      <c r="F225" t="s">
        <v>25</v>
      </c>
      <c r="H225" s="3">
        <v>46159</v>
      </c>
    </row>
    <row r="226" spans="1:8" ht="14.25">
      <c r="A226">
        <v>1140</v>
      </c>
      <c r="B226" t="s">
        <v>341</v>
      </c>
      <c r="C226" t="s">
        <v>243</v>
      </c>
      <c r="D226" t="s">
        <v>23</v>
      </c>
      <c r="E226" t="s">
        <v>24</v>
      </c>
      <c r="F226" t="s">
        <v>25</v>
      </c>
      <c r="H226" s="3">
        <v>46159</v>
      </c>
    </row>
    <row r="227" spans="1:8" ht="14.25">
      <c r="A227">
        <v>989</v>
      </c>
      <c r="B227" t="s">
        <v>342</v>
      </c>
      <c r="C227" t="s">
        <v>343</v>
      </c>
      <c r="D227" t="s">
        <v>23</v>
      </c>
      <c r="E227" t="s">
        <v>24</v>
      </c>
      <c r="F227" t="s">
        <v>27</v>
      </c>
      <c r="G227">
        <v>3</v>
      </c>
      <c r="H227" s="3">
        <v>46159</v>
      </c>
    </row>
    <row r="228" spans="1:8" ht="14.25">
      <c r="A228">
        <v>1417</v>
      </c>
      <c r="B228" t="s">
        <v>344</v>
      </c>
      <c r="C228" t="s">
        <v>345</v>
      </c>
      <c r="D228" t="s">
        <v>23</v>
      </c>
      <c r="E228" t="s">
        <v>30</v>
      </c>
      <c r="F228" t="s">
        <v>27</v>
      </c>
      <c r="G228">
        <v>17</v>
      </c>
      <c r="H228" s="3">
        <v>46159</v>
      </c>
    </row>
    <row r="229" spans="1:8" ht="14.25">
      <c r="A229">
        <v>52</v>
      </c>
      <c r="B229" t="s">
        <v>346</v>
      </c>
      <c r="C229" t="s">
        <v>192</v>
      </c>
      <c r="D229" t="s">
        <v>23</v>
      </c>
      <c r="E229" t="s">
        <v>24</v>
      </c>
      <c r="F229" t="s">
        <v>25</v>
      </c>
      <c r="H229" s="3">
        <v>46159</v>
      </c>
    </row>
    <row r="230" spans="1:8" ht="14.25">
      <c r="A230">
        <v>62</v>
      </c>
      <c r="B230" t="s">
        <v>344</v>
      </c>
      <c r="C230" t="s">
        <v>234</v>
      </c>
      <c r="D230" t="s">
        <v>23</v>
      </c>
      <c r="E230" t="s">
        <v>24</v>
      </c>
      <c r="F230" t="s">
        <v>27</v>
      </c>
      <c r="G230">
        <v>4</v>
      </c>
      <c r="H230" s="3">
        <v>46159</v>
      </c>
    </row>
    <row r="231" spans="1:8" ht="14.25">
      <c r="A231">
        <v>930</v>
      </c>
      <c r="B231" t="s">
        <v>347</v>
      </c>
      <c r="C231" t="s">
        <v>348</v>
      </c>
      <c r="D231" t="s">
        <v>23</v>
      </c>
      <c r="E231" t="s">
        <v>30</v>
      </c>
      <c r="F231" t="s">
        <v>27</v>
      </c>
      <c r="G231">
        <v>6</v>
      </c>
      <c r="H231" s="3">
        <v>46159</v>
      </c>
    </row>
    <row r="232" spans="1:8" ht="14.25">
      <c r="A232">
        <v>1254</v>
      </c>
      <c r="B232" t="s">
        <v>349</v>
      </c>
      <c r="C232" t="s">
        <v>51</v>
      </c>
      <c r="D232" t="s">
        <v>23</v>
      </c>
      <c r="E232" t="s">
        <v>24</v>
      </c>
      <c r="F232" t="s">
        <v>27</v>
      </c>
      <c r="G232">
        <v>21</v>
      </c>
      <c r="H232" s="3">
        <v>46159</v>
      </c>
    </row>
    <row r="233" spans="1:8" ht="14.25">
      <c r="A233">
        <v>744</v>
      </c>
      <c r="B233" t="s">
        <v>350</v>
      </c>
      <c r="C233" t="s">
        <v>351</v>
      </c>
      <c r="D233" t="s">
        <v>23</v>
      </c>
      <c r="E233" t="s">
        <v>24</v>
      </c>
      <c r="F233" t="s">
        <v>27</v>
      </c>
      <c r="G233">
        <v>28</v>
      </c>
      <c r="H233" s="3">
        <v>46159</v>
      </c>
    </row>
    <row r="234" spans="1:8" ht="14.25">
      <c r="A234">
        <v>337</v>
      </c>
      <c r="B234" t="s">
        <v>352</v>
      </c>
      <c r="C234" t="s">
        <v>179</v>
      </c>
      <c r="D234" t="s">
        <v>23</v>
      </c>
      <c r="E234" t="s">
        <v>30</v>
      </c>
      <c r="F234" t="s">
        <v>27</v>
      </c>
      <c r="G234">
        <v>21</v>
      </c>
      <c r="H234" s="3">
        <v>46159</v>
      </c>
    </row>
  </sheetData>
  <pageMargins left="0.70078740157480324" right="0.70078740157480324" top="0.75196850393700787" bottom="0.75196850393700787"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34"/>
  <sheetViews>
    <sheetView workbookViewId="0"/>
    <sheetView workbookViewId="1"/>
  </sheetViews>
  <sheetFormatPr defaultColWidth="9.796875" defaultRowHeight="12.75"/>
  <cols>
    <col min="2" max="2" width="18.33203125" customWidth="1"/>
    <col min="8" max="8" width="12" bestFit="1" customWidth="1"/>
  </cols>
  <sheetData>
    <row r="1" spans="1:8">
      <c r="A1" t="s">
        <v>13</v>
      </c>
      <c r="B1" t="s">
        <v>14</v>
      </c>
      <c r="C1" t="s">
        <v>15</v>
      </c>
      <c r="D1" t="s">
        <v>16</v>
      </c>
      <c r="E1" t="s">
        <v>17</v>
      </c>
      <c r="F1" t="s">
        <v>18</v>
      </c>
      <c r="G1" t="s">
        <v>19</v>
      </c>
      <c r="H1" t="s">
        <v>20</v>
      </c>
    </row>
    <row r="2" spans="1:8" ht="14.25">
      <c r="A2">
        <v>1327</v>
      </c>
      <c r="B2" t="s">
        <v>21</v>
      </c>
      <c r="C2" t="s">
        <v>22</v>
      </c>
      <c r="D2" t="s">
        <v>23</v>
      </c>
      <c r="E2" t="s">
        <v>24</v>
      </c>
      <c r="F2" t="s">
        <v>25</v>
      </c>
      <c r="H2" s="3">
        <v>46174</v>
      </c>
    </row>
    <row r="3" spans="1:8" ht="14.25">
      <c r="A3">
        <v>1237</v>
      </c>
      <c r="B3" t="s">
        <v>21</v>
      </c>
      <c r="C3" t="s">
        <v>26</v>
      </c>
      <c r="D3" t="s">
        <v>23</v>
      </c>
      <c r="E3" t="s">
        <v>24</v>
      </c>
      <c r="F3" t="s">
        <v>27</v>
      </c>
      <c r="G3">
        <v>1</v>
      </c>
      <c r="H3" s="3">
        <v>46174</v>
      </c>
    </row>
    <row r="4" spans="1:8" ht="14.25">
      <c r="A4">
        <v>819</v>
      </c>
      <c r="B4" t="s">
        <v>28</v>
      </c>
      <c r="C4" t="s">
        <v>29</v>
      </c>
      <c r="D4" t="s">
        <v>23</v>
      </c>
      <c r="E4" t="s">
        <v>30</v>
      </c>
      <c r="F4" t="s">
        <v>27</v>
      </c>
      <c r="G4">
        <v>23</v>
      </c>
      <c r="H4" s="3">
        <v>46174</v>
      </c>
    </row>
    <row r="5" spans="1:8" ht="14.25">
      <c r="A5">
        <v>2</v>
      </c>
      <c r="B5" t="s">
        <v>31</v>
      </c>
      <c r="C5" t="s">
        <v>32</v>
      </c>
      <c r="D5" t="s">
        <v>23</v>
      </c>
      <c r="E5" t="s">
        <v>24</v>
      </c>
      <c r="F5" t="s">
        <v>27</v>
      </c>
      <c r="G5">
        <v>21</v>
      </c>
      <c r="H5" s="3">
        <v>46174</v>
      </c>
    </row>
    <row r="6" spans="1:8" ht="14.25">
      <c r="A6">
        <v>1370</v>
      </c>
      <c r="B6" t="s">
        <v>33</v>
      </c>
      <c r="C6" t="s">
        <v>34</v>
      </c>
      <c r="D6" t="s">
        <v>23</v>
      </c>
      <c r="E6" t="s">
        <v>24</v>
      </c>
      <c r="F6" t="s">
        <v>27</v>
      </c>
      <c r="G6">
        <v>4</v>
      </c>
      <c r="H6" s="3">
        <v>46174</v>
      </c>
    </row>
    <row r="7" spans="1:8" ht="14.25">
      <c r="A7">
        <v>1415</v>
      </c>
      <c r="B7" t="s">
        <v>33</v>
      </c>
      <c r="C7" t="s">
        <v>22</v>
      </c>
      <c r="D7" t="s">
        <v>23</v>
      </c>
      <c r="E7" t="s">
        <v>24</v>
      </c>
      <c r="F7" t="s">
        <v>35</v>
      </c>
      <c r="H7" s="3">
        <v>46174</v>
      </c>
    </row>
    <row r="8" spans="1:8" ht="14.25">
      <c r="A8">
        <v>1286</v>
      </c>
      <c r="B8" t="s">
        <v>36</v>
      </c>
      <c r="C8" t="s">
        <v>34</v>
      </c>
      <c r="D8" t="s">
        <v>23</v>
      </c>
      <c r="E8" t="s">
        <v>24</v>
      </c>
      <c r="F8" t="s">
        <v>27</v>
      </c>
      <c r="G8">
        <v>13</v>
      </c>
      <c r="H8" s="3">
        <v>46174</v>
      </c>
    </row>
    <row r="9" spans="1:8" ht="14.25">
      <c r="A9">
        <v>1381</v>
      </c>
      <c r="B9" t="s">
        <v>36</v>
      </c>
      <c r="C9" t="s">
        <v>37</v>
      </c>
      <c r="D9" t="s">
        <v>23</v>
      </c>
      <c r="E9" t="s">
        <v>24</v>
      </c>
      <c r="F9" t="s">
        <v>25</v>
      </c>
      <c r="H9" s="3">
        <v>46174</v>
      </c>
    </row>
    <row r="10" spans="1:8" ht="14.25">
      <c r="A10">
        <v>1112</v>
      </c>
      <c r="B10" t="s">
        <v>38</v>
      </c>
      <c r="C10" t="s">
        <v>39</v>
      </c>
      <c r="D10" t="s">
        <v>23</v>
      </c>
      <c r="E10" t="s">
        <v>24</v>
      </c>
      <c r="F10" t="s">
        <v>27</v>
      </c>
      <c r="G10">
        <v>16</v>
      </c>
      <c r="H10" s="3">
        <v>46174</v>
      </c>
    </row>
    <row r="11" spans="1:8" ht="14.25">
      <c r="A11">
        <v>1135</v>
      </c>
      <c r="B11" t="s">
        <v>40</v>
      </c>
      <c r="C11" t="s">
        <v>41</v>
      </c>
      <c r="D11" t="s">
        <v>23</v>
      </c>
      <c r="E11" t="s">
        <v>24</v>
      </c>
      <c r="F11" t="s">
        <v>27</v>
      </c>
      <c r="G11">
        <v>1</v>
      </c>
      <c r="H11" s="3">
        <v>46174</v>
      </c>
    </row>
    <row r="12" spans="1:8" ht="14.25">
      <c r="A12">
        <v>982</v>
      </c>
      <c r="B12" t="s">
        <v>42</v>
      </c>
      <c r="C12" t="s">
        <v>32</v>
      </c>
      <c r="D12" t="s">
        <v>23</v>
      </c>
      <c r="E12" t="s">
        <v>24</v>
      </c>
      <c r="F12" t="s">
        <v>27</v>
      </c>
      <c r="G12">
        <v>22</v>
      </c>
      <c r="H12" s="3">
        <v>46174</v>
      </c>
    </row>
    <row r="13" spans="1:8" ht="14.25">
      <c r="A13">
        <v>1328</v>
      </c>
      <c r="B13" t="s">
        <v>43</v>
      </c>
      <c r="C13" t="s">
        <v>44</v>
      </c>
      <c r="D13" t="s">
        <v>23</v>
      </c>
      <c r="E13" t="s">
        <v>24</v>
      </c>
      <c r="F13" t="s">
        <v>27</v>
      </c>
      <c r="G13">
        <v>4</v>
      </c>
      <c r="H13" s="3">
        <v>46174</v>
      </c>
    </row>
    <row r="14" spans="1:8" ht="14.25">
      <c r="A14">
        <v>369</v>
      </c>
      <c r="B14" t="s">
        <v>45</v>
      </c>
      <c r="C14" t="s">
        <v>46</v>
      </c>
      <c r="D14" t="s">
        <v>23</v>
      </c>
      <c r="E14" t="s">
        <v>24</v>
      </c>
      <c r="F14" t="s">
        <v>27</v>
      </c>
      <c r="G14">
        <v>8</v>
      </c>
      <c r="H14" s="3">
        <v>46174</v>
      </c>
    </row>
    <row r="15" spans="1:8" ht="14.25">
      <c r="A15">
        <v>7</v>
      </c>
      <c r="B15" t="s">
        <v>45</v>
      </c>
      <c r="C15" t="s">
        <v>47</v>
      </c>
      <c r="D15" t="s">
        <v>48</v>
      </c>
      <c r="E15" t="s">
        <v>24</v>
      </c>
      <c r="F15" t="s">
        <v>27</v>
      </c>
      <c r="G15">
        <v>32</v>
      </c>
      <c r="H15" s="3">
        <v>46174</v>
      </c>
    </row>
    <row r="16" spans="1:8" ht="14.25">
      <c r="A16">
        <v>473</v>
      </c>
      <c r="B16" t="s">
        <v>45</v>
      </c>
      <c r="C16" t="s">
        <v>49</v>
      </c>
      <c r="D16" t="s">
        <v>48</v>
      </c>
      <c r="E16" t="s">
        <v>24</v>
      </c>
      <c r="F16" t="s">
        <v>27</v>
      </c>
      <c r="G16">
        <v>33</v>
      </c>
      <c r="H16" s="3">
        <v>46174</v>
      </c>
    </row>
    <row r="17" spans="1:8" ht="14.25">
      <c r="A17">
        <v>1384</v>
      </c>
      <c r="B17" t="s">
        <v>50</v>
      </c>
      <c r="C17" t="s">
        <v>51</v>
      </c>
      <c r="D17" t="s">
        <v>23</v>
      </c>
      <c r="E17" t="s">
        <v>24</v>
      </c>
      <c r="F17" t="s">
        <v>27</v>
      </c>
      <c r="G17">
        <v>30</v>
      </c>
      <c r="H17" s="3">
        <v>46174</v>
      </c>
    </row>
    <row r="18" spans="1:8" ht="14.25">
      <c r="A18">
        <v>1348</v>
      </c>
      <c r="B18" t="s">
        <v>52</v>
      </c>
      <c r="C18" t="s">
        <v>53</v>
      </c>
      <c r="D18" t="s">
        <v>54</v>
      </c>
      <c r="E18" t="s">
        <v>30</v>
      </c>
      <c r="F18" t="s">
        <v>25</v>
      </c>
      <c r="H18" s="3">
        <v>46174</v>
      </c>
    </row>
    <row r="19" spans="1:8" ht="14.25">
      <c r="A19">
        <v>1275</v>
      </c>
      <c r="B19" t="s">
        <v>52</v>
      </c>
      <c r="C19" t="s">
        <v>55</v>
      </c>
      <c r="D19" t="s">
        <v>23</v>
      </c>
      <c r="E19" t="s">
        <v>30</v>
      </c>
      <c r="F19" t="s">
        <v>35</v>
      </c>
      <c r="H19" s="3">
        <v>46174</v>
      </c>
    </row>
    <row r="20" spans="1:8" ht="14.25">
      <c r="A20">
        <v>68</v>
      </c>
      <c r="B20" t="s">
        <v>56</v>
      </c>
      <c r="C20" t="s">
        <v>57</v>
      </c>
      <c r="D20" t="s">
        <v>48</v>
      </c>
      <c r="E20" t="s">
        <v>24</v>
      </c>
      <c r="F20" t="s">
        <v>27</v>
      </c>
      <c r="G20">
        <v>35</v>
      </c>
      <c r="H20" s="3">
        <v>46174</v>
      </c>
    </row>
    <row r="21" spans="1:8" ht="14.25">
      <c r="A21">
        <v>1035</v>
      </c>
      <c r="B21" t="s">
        <v>58</v>
      </c>
      <c r="C21" t="s">
        <v>59</v>
      </c>
      <c r="D21" t="s">
        <v>23</v>
      </c>
      <c r="E21" t="s">
        <v>24</v>
      </c>
      <c r="F21" t="s">
        <v>27</v>
      </c>
      <c r="G21">
        <v>6</v>
      </c>
      <c r="H21" s="3">
        <v>46174</v>
      </c>
    </row>
    <row r="22" spans="1:8" ht="14.25">
      <c r="A22">
        <v>1416</v>
      </c>
      <c r="B22" t="s">
        <v>60</v>
      </c>
      <c r="C22" t="s">
        <v>61</v>
      </c>
      <c r="D22" t="s">
        <v>23</v>
      </c>
      <c r="E22" t="s">
        <v>24</v>
      </c>
      <c r="F22" t="s">
        <v>25</v>
      </c>
      <c r="H22" s="3">
        <v>46174</v>
      </c>
    </row>
    <row r="23" spans="1:8" ht="14.25">
      <c r="A23">
        <v>1326</v>
      </c>
      <c r="B23" t="s">
        <v>62</v>
      </c>
      <c r="C23" t="s">
        <v>63</v>
      </c>
      <c r="D23" t="s">
        <v>23</v>
      </c>
      <c r="E23" t="s">
        <v>30</v>
      </c>
      <c r="F23" t="s">
        <v>25</v>
      </c>
      <c r="H23" s="3">
        <v>46174</v>
      </c>
    </row>
    <row r="24" spans="1:8" ht="14.25">
      <c r="A24">
        <v>477</v>
      </c>
      <c r="B24" t="s">
        <v>64</v>
      </c>
      <c r="C24" t="s">
        <v>65</v>
      </c>
      <c r="D24" t="s">
        <v>23</v>
      </c>
      <c r="E24" t="s">
        <v>30</v>
      </c>
      <c r="F24" t="s">
        <v>27</v>
      </c>
      <c r="G24">
        <v>34</v>
      </c>
      <c r="H24" s="3">
        <v>46174</v>
      </c>
    </row>
    <row r="25" spans="1:8" ht="14.25">
      <c r="A25">
        <v>10</v>
      </c>
      <c r="B25" t="s">
        <v>64</v>
      </c>
      <c r="C25" t="s">
        <v>66</v>
      </c>
      <c r="D25" t="s">
        <v>48</v>
      </c>
      <c r="E25" t="s">
        <v>24</v>
      </c>
      <c r="F25" t="s">
        <v>27</v>
      </c>
      <c r="G25">
        <v>35</v>
      </c>
      <c r="H25" s="3">
        <v>46174</v>
      </c>
    </row>
    <row r="26" spans="1:8" ht="14.25">
      <c r="A26">
        <v>1414</v>
      </c>
      <c r="B26" t="s">
        <v>67</v>
      </c>
      <c r="C26" t="s">
        <v>36</v>
      </c>
      <c r="D26" t="s">
        <v>23</v>
      </c>
      <c r="E26" t="s">
        <v>24</v>
      </c>
      <c r="F26" t="s">
        <v>27</v>
      </c>
      <c r="G26">
        <v>13</v>
      </c>
      <c r="H26" s="3">
        <v>46174</v>
      </c>
    </row>
    <row r="27" spans="1:8" ht="14.25">
      <c r="A27">
        <v>1029</v>
      </c>
      <c r="B27" t="s">
        <v>68</v>
      </c>
      <c r="C27" t="s">
        <v>69</v>
      </c>
      <c r="D27" t="s">
        <v>23</v>
      </c>
      <c r="E27" t="s">
        <v>24</v>
      </c>
      <c r="F27" t="s">
        <v>27</v>
      </c>
      <c r="G27">
        <v>28</v>
      </c>
      <c r="H27" s="3">
        <v>46174</v>
      </c>
    </row>
    <row r="28" spans="1:8" ht="14.25">
      <c r="A28">
        <v>13</v>
      </c>
      <c r="B28" t="s">
        <v>70</v>
      </c>
      <c r="C28" t="s">
        <v>51</v>
      </c>
      <c r="D28" t="s">
        <v>23</v>
      </c>
      <c r="E28" t="s">
        <v>24</v>
      </c>
      <c r="F28" t="s">
        <v>27</v>
      </c>
      <c r="G28">
        <v>28</v>
      </c>
      <c r="H28" s="3">
        <v>46174</v>
      </c>
    </row>
    <row r="29" spans="1:8" ht="14.25">
      <c r="A29">
        <v>1255</v>
      </c>
      <c r="B29" t="s">
        <v>71</v>
      </c>
      <c r="C29" t="s">
        <v>72</v>
      </c>
      <c r="D29" t="s">
        <v>23</v>
      </c>
      <c r="E29" t="s">
        <v>30</v>
      </c>
      <c r="F29" t="s">
        <v>27</v>
      </c>
      <c r="G29">
        <v>13</v>
      </c>
      <c r="H29" s="3">
        <v>46174</v>
      </c>
    </row>
    <row r="30" spans="1:8" ht="14.25">
      <c r="A30">
        <v>1405</v>
      </c>
      <c r="B30" t="s">
        <v>73</v>
      </c>
      <c r="C30" t="s">
        <v>74</v>
      </c>
      <c r="D30" t="s">
        <v>23</v>
      </c>
      <c r="E30" t="s">
        <v>30</v>
      </c>
      <c r="F30" t="s">
        <v>35</v>
      </c>
      <c r="H30" s="3">
        <v>46174</v>
      </c>
    </row>
    <row r="31" spans="1:8" ht="14.25">
      <c r="A31">
        <v>1421</v>
      </c>
      <c r="B31" t="s">
        <v>75</v>
      </c>
      <c r="C31" t="s">
        <v>76</v>
      </c>
      <c r="D31" t="s">
        <v>23</v>
      </c>
      <c r="E31" t="s">
        <v>30</v>
      </c>
      <c r="F31" t="s">
        <v>27</v>
      </c>
      <c r="G31">
        <v>12</v>
      </c>
      <c r="H31" s="3">
        <v>46174</v>
      </c>
    </row>
    <row r="32" spans="1:8" ht="14.25">
      <c r="A32">
        <v>1418</v>
      </c>
      <c r="B32" t="s">
        <v>75</v>
      </c>
      <c r="C32" t="s">
        <v>22</v>
      </c>
      <c r="D32" t="s">
        <v>23</v>
      </c>
      <c r="E32" t="s">
        <v>24</v>
      </c>
      <c r="F32" t="s">
        <v>25</v>
      </c>
      <c r="H32" s="3">
        <v>46174</v>
      </c>
    </row>
    <row r="33" spans="1:8" ht="14.25">
      <c r="A33">
        <v>919</v>
      </c>
      <c r="B33" t="s">
        <v>77</v>
      </c>
      <c r="C33" t="s">
        <v>51</v>
      </c>
      <c r="D33" t="s">
        <v>23</v>
      </c>
      <c r="E33" t="s">
        <v>24</v>
      </c>
      <c r="F33" t="s">
        <v>27</v>
      </c>
      <c r="G33">
        <v>16</v>
      </c>
      <c r="H33" s="3">
        <v>46174</v>
      </c>
    </row>
    <row r="34" spans="1:8" ht="14.25">
      <c r="A34">
        <v>1319</v>
      </c>
      <c r="B34" t="s">
        <v>78</v>
      </c>
      <c r="C34" t="s">
        <v>32</v>
      </c>
      <c r="D34" t="s">
        <v>23</v>
      </c>
      <c r="E34" t="s">
        <v>24</v>
      </c>
      <c r="F34" t="s">
        <v>27</v>
      </c>
      <c r="G34">
        <v>9</v>
      </c>
      <c r="H34" s="3">
        <v>46174</v>
      </c>
    </row>
    <row r="35" spans="1:8" ht="14.25">
      <c r="A35">
        <v>1389</v>
      </c>
      <c r="B35" t="s">
        <v>79</v>
      </c>
      <c r="C35" t="s">
        <v>80</v>
      </c>
      <c r="D35" t="s">
        <v>23</v>
      </c>
      <c r="E35" t="s">
        <v>24</v>
      </c>
      <c r="F35" t="s">
        <v>25</v>
      </c>
      <c r="H35" s="3">
        <v>46174</v>
      </c>
    </row>
    <row r="36" spans="1:8" ht="14.25">
      <c r="A36">
        <v>940</v>
      </c>
      <c r="B36" t="s">
        <v>81</v>
      </c>
      <c r="C36" t="s">
        <v>82</v>
      </c>
      <c r="D36" t="s">
        <v>23</v>
      </c>
      <c r="E36" t="s">
        <v>30</v>
      </c>
      <c r="F36" t="s">
        <v>27</v>
      </c>
      <c r="G36">
        <v>9</v>
      </c>
      <c r="H36" s="3">
        <v>46174</v>
      </c>
    </row>
    <row r="37" spans="1:8" ht="14.25">
      <c r="A37">
        <v>806</v>
      </c>
      <c r="B37" t="s">
        <v>81</v>
      </c>
      <c r="C37" t="s">
        <v>83</v>
      </c>
      <c r="D37" t="s">
        <v>23</v>
      </c>
      <c r="E37" t="s">
        <v>24</v>
      </c>
      <c r="F37" t="s">
        <v>27</v>
      </c>
      <c r="G37">
        <v>11</v>
      </c>
      <c r="H37" s="3">
        <v>46174</v>
      </c>
    </row>
    <row r="38" spans="1:8" ht="14.25">
      <c r="A38">
        <v>482</v>
      </c>
      <c r="B38" t="s">
        <v>84</v>
      </c>
      <c r="C38" t="s">
        <v>85</v>
      </c>
      <c r="D38" t="s">
        <v>23</v>
      </c>
      <c r="E38" t="s">
        <v>24</v>
      </c>
      <c r="F38" t="s">
        <v>27</v>
      </c>
      <c r="G38">
        <v>13</v>
      </c>
      <c r="H38" s="3">
        <v>46174</v>
      </c>
    </row>
    <row r="39" spans="1:8" ht="14.25">
      <c r="A39">
        <v>674</v>
      </c>
      <c r="B39" t="s">
        <v>86</v>
      </c>
      <c r="C39" t="s">
        <v>87</v>
      </c>
      <c r="D39" t="s">
        <v>54</v>
      </c>
      <c r="E39" t="s">
        <v>30</v>
      </c>
      <c r="F39" t="s">
        <v>27</v>
      </c>
      <c r="G39">
        <v>23</v>
      </c>
      <c r="H39" s="3">
        <v>46174</v>
      </c>
    </row>
    <row r="40" spans="1:8" ht="14.25">
      <c r="A40">
        <v>1061</v>
      </c>
      <c r="B40" t="s">
        <v>88</v>
      </c>
      <c r="C40" t="s">
        <v>89</v>
      </c>
      <c r="D40" t="s">
        <v>23</v>
      </c>
      <c r="E40" t="s">
        <v>24</v>
      </c>
      <c r="F40" t="s">
        <v>27</v>
      </c>
      <c r="G40">
        <v>19</v>
      </c>
      <c r="H40" s="3">
        <v>46174</v>
      </c>
    </row>
    <row r="41" spans="1:8" ht="14.25">
      <c r="A41">
        <v>763</v>
      </c>
      <c r="B41" t="s">
        <v>90</v>
      </c>
      <c r="C41" t="s">
        <v>59</v>
      </c>
      <c r="D41" t="s">
        <v>23</v>
      </c>
      <c r="E41" t="s">
        <v>24</v>
      </c>
      <c r="F41" t="s">
        <v>27</v>
      </c>
      <c r="G41">
        <v>17</v>
      </c>
      <c r="H41" s="3">
        <v>46174</v>
      </c>
    </row>
    <row r="42" spans="1:8" ht="14.25">
      <c r="A42">
        <v>1227</v>
      </c>
      <c r="B42" t="s">
        <v>91</v>
      </c>
      <c r="C42" t="s">
        <v>92</v>
      </c>
      <c r="D42" t="s">
        <v>23</v>
      </c>
      <c r="E42" t="s">
        <v>30</v>
      </c>
      <c r="F42" t="s">
        <v>27</v>
      </c>
      <c r="G42">
        <v>8</v>
      </c>
      <c r="H42" s="3">
        <v>46174</v>
      </c>
    </row>
    <row r="43" spans="1:8" ht="14.25">
      <c r="A43">
        <v>715</v>
      </c>
      <c r="B43" t="s">
        <v>93</v>
      </c>
      <c r="C43" t="s">
        <v>94</v>
      </c>
      <c r="D43" t="s">
        <v>23</v>
      </c>
      <c r="E43" t="s">
        <v>24</v>
      </c>
      <c r="F43" t="s">
        <v>27</v>
      </c>
      <c r="G43">
        <v>5</v>
      </c>
      <c r="H43" s="3">
        <v>46174</v>
      </c>
    </row>
    <row r="44" spans="1:8" ht="14.25">
      <c r="A44">
        <v>567</v>
      </c>
      <c r="B44" t="s">
        <v>95</v>
      </c>
      <c r="C44" t="s">
        <v>96</v>
      </c>
      <c r="D44" t="s">
        <v>23</v>
      </c>
      <c r="E44" t="s">
        <v>24</v>
      </c>
      <c r="F44" t="s">
        <v>27</v>
      </c>
      <c r="G44">
        <v>7</v>
      </c>
      <c r="H44" s="3">
        <v>46174</v>
      </c>
    </row>
    <row r="45" spans="1:8" ht="14.25">
      <c r="A45">
        <v>1391</v>
      </c>
      <c r="B45" t="s">
        <v>97</v>
      </c>
      <c r="C45" t="s">
        <v>98</v>
      </c>
      <c r="D45" t="s">
        <v>23</v>
      </c>
      <c r="E45" t="s">
        <v>30</v>
      </c>
      <c r="F45" t="s">
        <v>25</v>
      </c>
      <c r="H45" s="3">
        <v>46174</v>
      </c>
    </row>
    <row r="46" spans="1:8" ht="14.25">
      <c r="A46">
        <v>704</v>
      </c>
      <c r="B46" t="s">
        <v>99</v>
      </c>
      <c r="C46" t="s">
        <v>100</v>
      </c>
      <c r="D46" t="s">
        <v>23</v>
      </c>
      <c r="E46" t="s">
        <v>24</v>
      </c>
      <c r="F46" t="s">
        <v>27</v>
      </c>
      <c r="G46">
        <v>21</v>
      </c>
      <c r="H46" s="3">
        <v>46174</v>
      </c>
    </row>
    <row r="47" spans="1:8" ht="14.25">
      <c r="A47">
        <v>1283</v>
      </c>
      <c r="B47" t="s">
        <v>101</v>
      </c>
      <c r="C47" t="s">
        <v>102</v>
      </c>
      <c r="D47" t="s">
        <v>23</v>
      </c>
      <c r="E47" t="s">
        <v>24</v>
      </c>
      <c r="F47" t="s">
        <v>27</v>
      </c>
      <c r="G47">
        <v>18</v>
      </c>
      <c r="H47" s="3">
        <v>46174</v>
      </c>
    </row>
    <row r="48" spans="1:8" ht="14.25">
      <c r="A48">
        <v>295</v>
      </c>
      <c r="B48" t="s">
        <v>103</v>
      </c>
      <c r="C48" t="s">
        <v>104</v>
      </c>
      <c r="D48" t="s">
        <v>23</v>
      </c>
      <c r="E48" t="s">
        <v>24</v>
      </c>
      <c r="F48" t="s">
        <v>27</v>
      </c>
      <c r="G48">
        <v>15</v>
      </c>
      <c r="H48" s="3">
        <v>46174</v>
      </c>
    </row>
    <row r="49" spans="1:8" ht="14.25">
      <c r="A49">
        <v>1226</v>
      </c>
      <c r="B49" t="s">
        <v>105</v>
      </c>
      <c r="C49" t="s">
        <v>106</v>
      </c>
      <c r="D49" t="s">
        <v>23</v>
      </c>
      <c r="E49" t="s">
        <v>30</v>
      </c>
      <c r="F49" t="s">
        <v>25</v>
      </c>
      <c r="H49" s="3">
        <v>46174</v>
      </c>
    </row>
    <row r="50" spans="1:8" ht="14.25">
      <c r="A50">
        <v>1333</v>
      </c>
      <c r="B50" t="s">
        <v>107</v>
      </c>
      <c r="C50" t="s">
        <v>108</v>
      </c>
      <c r="D50" t="s">
        <v>23</v>
      </c>
      <c r="E50" t="s">
        <v>24</v>
      </c>
      <c r="F50" t="s">
        <v>27</v>
      </c>
      <c r="G50">
        <v>3</v>
      </c>
      <c r="H50" s="3">
        <v>46174</v>
      </c>
    </row>
    <row r="51" spans="1:8" ht="14.25">
      <c r="A51">
        <v>1185</v>
      </c>
      <c r="B51" t="s">
        <v>109</v>
      </c>
      <c r="C51" t="s">
        <v>110</v>
      </c>
      <c r="D51" t="s">
        <v>23</v>
      </c>
      <c r="E51" t="s">
        <v>30</v>
      </c>
      <c r="F51" t="s">
        <v>35</v>
      </c>
      <c r="H51" s="3">
        <v>46174</v>
      </c>
    </row>
    <row r="52" spans="1:8" ht="14.25">
      <c r="A52">
        <v>1065</v>
      </c>
      <c r="B52" t="s">
        <v>109</v>
      </c>
      <c r="C52" t="s">
        <v>41</v>
      </c>
      <c r="D52" t="s">
        <v>23</v>
      </c>
      <c r="E52" t="s">
        <v>24</v>
      </c>
      <c r="F52" t="s">
        <v>27</v>
      </c>
      <c r="G52">
        <v>1</v>
      </c>
      <c r="H52" s="3">
        <v>46174</v>
      </c>
    </row>
    <row r="53" spans="1:8" ht="14.25">
      <c r="A53">
        <v>1407</v>
      </c>
      <c r="B53" t="s">
        <v>111</v>
      </c>
      <c r="C53" t="s">
        <v>112</v>
      </c>
      <c r="D53" t="s">
        <v>23</v>
      </c>
      <c r="E53" t="s">
        <v>24</v>
      </c>
      <c r="F53" t="s">
        <v>25</v>
      </c>
      <c r="H53" s="3">
        <v>46174</v>
      </c>
    </row>
    <row r="54" spans="1:8" ht="14.25">
      <c r="A54">
        <v>1096</v>
      </c>
      <c r="B54" t="s">
        <v>113</v>
      </c>
      <c r="C54" t="s">
        <v>114</v>
      </c>
      <c r="D54" t="s">
        <v>23</v>
      </c>
      <c r="E54" t="s">
        <v>24</v>
      </c>
      <c r="F54" t="s">
        <v>35</v>
      </c>
      <c r="H54" s="3">
        <v>46174</v>
      </c>
    </row>
    <row r="55" spans="1:8" ht="14.25">
      <c r="A55">
        <v>1236</v>
      </c>
      <c r="B55" t="s">
        <v>113</v>
      </c>
      <c r="C55" t="s">
        <v>115</v>
      </c>
      <c r="D55" t="s">
        <v>23</v>
      </c>
      <c r="E55" t="s">
        <v>30</v>
      </c>
      <c r="F55" t="s">
        <v>27</v>
      </c>
      <c r="G55">
        <v>5</v>
      </c>
      <c r="H55" s="3">
        <v>46174</v>
      </c>
    </row>
    <row r="56" spans="1:8" ht="14.25">
      <c r="A56">
        <v>699</v>
      </c>
      <c r="B56" t="s">
        <v>113</v>
      </c>
      <c r="C56" t="s">
        <v>116</v>
      </c>
      <c r="D56" t="s">
        <v>23</v>
      </c>
      <c r="E56" t="s">
        <v>24</v>
      </c>
      <c r="F56" t="s">
        <v>27</v>
      </c>
      <c r="G56">
        <v>5</v>
      </c>
      <c r="H56" s="3">
        <v>46174</v>
      </c>
    </row>
    <row r="57" spans="1:8" ht="14.25">
      <c r="A57">
        <v>1000</v>
      </c>
      <c r="B57" t="s">
        <v>120</v>
      </c>
      <c r="C57" t="s">
        <v>121</v>
      </c>
      <c r="D57" t="s">
        <v>23</v>
      </c>
      <c r="E57" t="s">
        <v>24</v>
      </c>
      <c r="F57" t="s">
        <v>25</v>
      </c>
      <c r="H57" s="3">
        <v>46174</v>
      </c>
    </row>
    <row r="58" spans="1:8" ht="14.25">
      <c r="A58">
        <v>1332</v>
      </c>
      <c r="B58" t="s">
        <v>122</v>
      </c>
      <c r="C58" t="s">
        <v>123</v>
      </c>
      <c r="D58" t="s">
        <v>23</v>
      </c>
      <c r="E58" t="s">
        <v>30</v>
      </c>
      <c r="F58" t="s">
        <v>25</v>
      </c>
      <c r="H58" s="3">
        <v>46174</v>
      </c>
    </row>
    <row r="59" spans="1:8" ht="14.25">
      <c r="A59">
        <v>682</v>
      </c>
      <c r="B59" t="s">
        <v>124</v>
      </c>
      <c r="C59" t="s">
        <v>125</v>
      </c>
      <c r="D59" t="s">
        <v>23</v>
      </c>
      <c r="E59" t="s">
        <v>24</v>
      </c>
      <c r="F59" t="s">
        <v>27</v>
      </c>
      <c r="G59">
        <v>11</v>
      </c>
      <c r="H59" s="3">
        <v>46174</v>
      </c>
    </row>
    <row r="60" spans="1:8" ht="14.25">
      <c r="A60">
        <v>1393</v>
      </c>
      <c r="B60" t="s">
        <v>126</v>
      </c>
      <c r="C60" t="s">
        <v>127</v>
      </c>
      <c r="D60" t="s">
        <v>23</v>
      </c>
      <c r="E60" t="s">
        <v>30</v>
      </c>
      <c r="F60" t="s">
        <v>27</v>
      </c>
      <c r="G60">
        <v>10</v>
      </c>
      <c r="H60" s="3">
        <v>46174</v>
      </c>
    </row>
    <row r="61" spans="1:8" ht="14.25">
      <c r="A61">
        <v>1355</v>
      </c>
      <c r="B61" t="s">
        <v>128</v>
      </c>
      <c r="C61" t="s">
        <v>129</v>
      </c>
      <c r="D61" t="s">
        <v>23</v>
      </c>
      <c r="E61" t="s">
        <v>24</v>
      </c>
      <c r="F61" t="s">
        <v>35</v>
      </c>
      <c r="H61" s="3">
        <v>46174</v>
      </c>
    </row>
    <row r="62" spans="1:8" ht="14.25">
      <c r="A62">
        <v>1164</v>
      </c>
      <c r="B62" t="s">
        <v>130</v>
      </c>
      <c r="C62" t="s">
        <v>131</v>
      </c>
      <c r="D62" t="s">
        <v>54</v>
      </c>
      <c r="E62" t="s">
        <v>30</v>
      </c>
      <c r="F62" t="s">
        <v>25</v>
      </c>
      <c r="H62" s="3">
        <v>46174</v>
      </c>
    </row>
    <row r="63" spans="1:8" ht="14.25">
      <c r="A63">
        <v>1062</v>
      </c>
      <c r="B63" t="s">
        <v>130</v>
      </c>
      <c r="C63" t="s">
        <v>83</v>
      </c>
      <c r="D63" t="s">
        <v>23</v>
      </c>
      <c r="E63" t="s">
        <v>24</v>
      </c>
      <c r="F63" t="s">
        <v>27</v>
      </c>
      <c r="G63">
        <v>9</v>
      </c>
      <c r="H63" s="3">
        <v>46174</v>
      </c>
    </row>
    <row r="64" spans="1:8" ht="14.25">
      <c r="A64">
        <v>938</v>
      </c>
      <c r="B64" t="s">
        <v>130</v>
      </c>
      <c r="C64" t="s">
        <v>132</v>
      </c>
      <c r="D64" t="s">
        <v>23</v>
      </c>
      <c r="E64" t="s">
        <v>30</v>
      </c>
      <c r="F64" t="s">
        <v>27</v>
      </c>
      <c r="G64">
        <v>7</v>
      </c>
      <c r="H64" s="3">
        <v>46174</v>
      </c>
    </row>
    <row r="65" spans="1:8" ht="14.25">
      <c r="A65">
        <v>1427</v>
      </c>
      <c r="B65" t="s">
        <v>130</v>
      </c>
      <c r="C65" t="s">
        <v>133</v>
      </c>
      <c r="D65" t="s">
        <v>23</v>
      </c>
      <c r="E65" t="s">
        <v>30</v>
      </c>
      <c r="F65" t="s">
        <v>27</v>
      </c>
      <c r="G65">
        <v>16</v>
      </c>
      <c r="H65" s="3">
        <v>46174</v>
      </c>
    </row>
    <row r="66" spans="1:8" ht="14.25">
      <c r="A66">
        <v>1034</v>
      </c>
      <c r="B66" t="s">
        <v>134</v>
      </c>
      <c r="C66" t="s">
        <v>83</v>
      </c>
      <c r="D66" t="s">
        <v>23</v>
      </c>
      <c r="E66" t="s">
        <v>24</v>
      </c>
      <c r="F66" t="s">
        <v>25</v>
      </c>
      <c r="H66" s="3">
        <v>46174</v>
      </c>
    </row>
    <row r="67" spans="1:8" ht="14.25">
      <c r="A67">
        <v>1402</v>
      </c>
      <c r="B67" t="s">
        <v>135</v>
      </c>
      <c r="C67" t="s">
        <v>136</v>
      </c>
      <c r="D67" t="s">
        <v>23</v>
      </c>
      <c r="E67" t="s">
        <v>24</v>
      </c>
      <c r="F67" t="s">
        <v>27</v>
      </c>
      <c r="G67">
        <v>7</v>
      </c>
      <c r="H67" s="3">
        <v>46174</v>
      </c>
    </row>
    <row r="68" spans="1:8" ht="14.25">
      <c r="A68">
        <v>939</v>
      </c>
      <c r="B68" t="s">
        <v>137</v>
      </c>
      <c r="C68" t="s">
        <v>127</v>
      </c>
      <c r="D68" t="s">
        <v>23</v>
      </c>
      <c r="E68" t="s">
        <v>30</v>
      </c>
      <c r="F68" t="s">
        <v>27</v>
      </c>
      <c r="G68">
        <v>12</v>
      </c>
      <c r="H68" s="3">
        <v>46174</v>
      </c>
    </row>
    <row r="69" spans="1:8" ht="14.25">
      <c r="A69">
        <v>1377</v>
      </c>
      <c r="B69" t="s">
        <v>138</v>
      </c>
      <c r="C69" t="s">
        <v>139</v>
      </c>
      <c r="D69" t="s">
        <v>23</v>
      </c>
      <c r="E69" t="s">
        <v>30</v>
      </c>
      <c r="F69" t="s">
        <v>27</v>
      </c>
      <c r="G69">
        <v>12</v>
      </c>
      <c r="H69" s="3">
        <v>46174</v>
      </c>
    </row>
    <row r="70" spans="1:8" ht="14.25">
      <c r="A70">
        <v>1281</v>
      </c>
      <c r="B70" t="s">
        <v>140</v>
      </c>
      <c r="C70" t="s">
        <v>141</v>
      </c>
      <c r="D70" t="s">
        <v>23</v>
      </c>
      <c r="E70" t="s">
        <v>24</v>
      </c>
      <c r="F70" t="s">
        <v>27</v>
      </c>
      <c r="G70">
        <v>19</v>
      </c>
      <c r="H70" s="3">
        <v>46174</v>
      </c>
    </row>
    <row r="71" spans="1:8" ht="14.25">
      <c r="A71">
        <v>933</v>
      </c>
      <c r="B71" t="s">
        <v>142</v>
      </c>
      <c r="C71" t="s">
        <v>143</v>
      </c>
      <c r="D71" t="s">
        <v>23</v>
      </c>
      <c r="E71" t="s">
        <v>24</v>
      </c>
      <c r="F71" t="s">
        <v>25</v>
      </c>
      <c r="H71" s="3">
        <v>46174</v>
      </c>
    </row>
    <row r="72" spans="1:8" ht="14.25">
      <c r="A72">
        <v>1274</v>
      </c>
      <c r="B72" t="s">
        <v>144</v>
      </c>
      <c r="C72" t="s">
        <v>145</v>
      </c>
      <c r="D72" t="s">
        <v>23</v>
      </c>
      <c r="E72" t="s">
        <v>30</v>
      </c>
      <c r="F72" t="s">
        <v>25</v>
      </c>
      <c r="H72" s="3">
        <v>46174</v>
      </c>
    </row>
    <row r="73" spans="1:8" ht="14.25">
      <c r="A73">
        <v>493</v>
      </c>
      <c r="B73" t="s">
        <v>146</v>
      </c>
      <c r="C73" t="s">
        <v>49</v>
      </c>
      <c r="D73" t="s">
        <v>48</v>
      </c>
      <c r="E73" t="s">
        <v>24</v>
      </c>
      <c r="F73" t="s">
        <v>27</v>
      </c>
      <c r="G73">
        <v>37</v>
      </c>
      <c r="H73" s="3">
        <v>46174</v>
      </c>
    </row>
    <row r="74" spans="1:8" ht="14.25">
      <c r="A74">
        <v>1279</v>
      </c>
      <c r="B74" t="s">
        <v>147</v>
      </c>
      <c r="C74" t="s">
        <v>148</v>
      </c>
      <c r="D74" t="s">
        <v>23</v>
      </c>
      <c r="E74" t="s">
        <v>24</v>
      </c>
      <c r="F74" t="s">
        <v>27</v>
      </c>
      <c r="G74">
        <v>4</v>
      </c>
      <c r="H74" s="3">
        <v>46174</v>
      </c>
    </row>
    <row r="75" spans="1:8" ht="14.25">
      <c r="A75">
        <v>1193</v>
      </c>
      <c r="B75" t="s">
        <v>149</v>
      </c>
      <c r="C75" t="s">
        <v>150</v>
      </c>
      <c r="D75" t="s">
        <v>23</v>
      </c>
      <c r="E75" t="s">
        <v>24</v>
      </c>
      <c r="F75" t="s">
        <v>25</v>
      </c>
      <c r="H75" s="3">
        <v>46174</v>
      </c>
    </row>
    <row r="76" spans="1:8" ht="14.25">
      <c r="A76">
        <v>1194</v>
      </c>
      <c r="B76" t="s">
        <v>149</v>
      </c>
      <c r="C76" t="s">
        <v>151</v>
      </c>
      <c r="D76" t="s">
        <v>23</v>
      </c>
      <c r="E76" t="s">
        <v>30</v>
      </c>
      <c r="F76" t="s">
        <v>25</v>
      </c>
      <c r="H76" s="3">
        <v>46174</v>
      </c>
    </row>
    <row r="77" spans="1:8" ht="14.25">
      <c r="A77">
        <v>1196</v>
      </c>
      <c r="B77" t="s">
        <v>149</v>
      </c>
      <c r="C77" t="s">
        <v>152</v>
      </c>
      <c r="D77" t="s">
        <v>23</v>
      </c>
      <c r="E77" t="s">
        <v>24</v>
      </c>
      <c r="F77" t="s">
        <v>35</v>
      </c>
      <c r="H77" s="3">
        <v>46174</v>
      </c>
    </row>
    <row r="78" spans="1:8" ht="14.25">
      <c r="A78">
        <v>1195</v>
      </c>
      <c r="B78" t="s">
        <v>149</v>
      </c>
      <c r="C78" t="s">
        <v>153</v>
      </c>
      <c r="D78" t="s">
        <v>23</v>
      </c>
      <c r="E78" t="s">
        <v>24</v>
      </c>
      <c r="F78" t="s">
        <v>35</v>
      </c>
      <c r="H78" s="3">
        <v>46174</v>
      </c>
    </row>
    <row r="79" spans="1:8" ht="14.25">
      <c r="A79">
        <v>1176</v>
      </c>
      <c r="B79" t="s">
        <v>154</v>
      </c>
      <c r="C79" t="s">
        <v>155</v>
      </c>
      <c r="D79" t="s">
        <v>23</v>
      </c>
      <c r="E79" t="s">
        <v>24</v>
      </c>
      <c r="F79" t="s">
        <v>35</v>
      </c>
      <c r="H79" s="3">
        <v>46174</v>
      </c>
    </row>
    <row r="80" spans="1:8" ht="14.25">
      <c r="A80">
        <v>1174</v>
      </c>
      <c r="B80" t="s">
        <v>154</v>
      </c>
      <c r="C80" t="s">
        <v>156</v>
      </c>
      <c r="D80" t="s">
        <v>23</v>
      </c>
      <c r="E80" t="s">
        <v>30</v>
      </c>
      <c r="F80" t="s">
        <v>27</v>
      </c>
      <c r="G80">
        <v>6</v>
      </c>
      <c r="H80" s="3">
        <v>46174</v>
      </c>
    </row>
    <row r="81" spans="1:8" ht="14.25">
      <c r="A81">
        <v>1175</v>
      </c>
      <c r="B81" t="s">
        <v>154</v>
      </c>
      <c r="C81" t="s">
        <v>150</v>
      </c>
      <c r="D81" t="s">
        <v>23</v>
      </c>
      <c r="E81" t="s">
        <v>24</v>
      </c>
      <c r="F81" t="s">
        <v>27</v>
      </c>
      <c r="G81">
        <v>12</v>
      </c>
      <c r="H81" s="3">
        <v>46174</v>
      </c>
    </row>
    <row r="82" spans="1:8" ht="14.25">
      <c r="A82">
        <v>1109</v>
      </c>
      <c r="B82" t="s">
        <v>157</v>
      </c>
      <c r="C82" t="s">
        <v>104</v>
      </c>
      <c r="D82" t="s">
        <v>23</v>
      </c>
      <c r="E82" t="s">
        <v>24</v>
      </c>
      <c r="F82" t="s">
        <v>25</v>
      </c>
      <c r="H82" s="3">
        <v>46174</v>
      </c>
    </row>
    <row r="83" spans="1:8" ht="14.25">
      <c r="A83">
        <v>1073</v>
      </c>
      <c r="B83" t="s">
        <v>158</v>
      </c>
      <c r="C83" t="s">
        <v>150</v>
      </c>
      <c r="D83" t="s">
        <v>23</v>
      </c>
      <c r="E83" t="s">
        <v>24</v>
      </c>
      <c r="F83" t="s">
        <v>27</v>
      </c>
      <c r="G83">
        <v>3</v>
      </c>
      <c r="H83" s="3">
        <v>46174</v>
      </c>
    </row>
    <row r="84" spans="1:8" ht="14.25">
      <c r="A84">
        <v>1400</v>
      </c>
      <c r="B84" t="s">
        <v>159</v>
      </c>
      <c r="C84" t="s">
        <v>160</v>
      </c>
      <c r="D84" t="s">
        <v>23</v>
      </c>
      <c r="E84" t="s">
        <v>24</v>
      </c>
      <c r="F84" t="s">
        <v>25</v>
      </c>
      <c r="H84" s="3">
        <v>46174</v>
      </c>
    </row>
    <row r="85" spans="1:8" ht="14.25">
      <c r="A85">
        <v>1367</v>
      </c>
      <c r="B85" t="s">
        <v>161</v>
      </c>
      <c r="C85" t="s">
        <v>152</v>
      </c>
      <c r="D85" t="s">
        <v>23</v>
      </c>
      <c r="E85" t="s">
        <v>24</v>
      </c>
      <c r="F85" t="s">
        <v>35</v>
      </c>
      <c r="H85" s="3">
        <v>46174</v>
      </c>
    </row>
    <row r="86" spans="1:8" ht="14.25">
      <c r="A86">
        <v>1366</v>
      </c>
      <c r="B86" t="s">
        <v>161</v>
      </c>
      <c r="C86" t="s">
        <v>162</v>
      </c>
      <c r="D86" t="s">
        <v>23</v>
      </c>
      <c r="E86" t="s">
        <v>30</v>
      </c>
      <c r="F86" t="s">
        <v>25</v>
      </c>
      <c r="H86" s="3">
        <v>46174</v>
      </c>
    </row>
    <row r="87" spans="1:8" ht="14.25">
      <c r="A87">
        <v>1365</v>
      </c>
      <c r="B87" t="s">
        <v>161</v>
      </c>
      <c r="C87" t="s">
        <v>163</v>
      </c>
      <c r="D87" t="s">
        <v>23</v>
      </c>
      <c r="E87" t="s">
        <v>30</v>
      </c>
      <c r="F87" t="s">
        <v>27</v>
      </c>
      <c r="G87">
        <v>7</v>
      </c>
      <c r="H87" s="3">
        <v>46174</v>
      </c>
    </row>
    <row r="88" spans="1:8" ht="14.25">
      <c r="A88">
        <v>897</v>
      </c>
      <c r="B88" t="s">
        <v>161</v>
      </c>
      <c r="C88" t="s">
        <v>164</v>
      </c>
      <c r="D88" t="s">
        <v>23</v>
      </c>
      <c r="E88" t="s">
        <v>24</v>
      </c>
      <c r="F88" t="s">
        <v>27</v>
      </c>
      <c r="G88">
        <v>13</v>
      </c>
      <c r="H88" s="3">
        <v>46174</v>
      </c>
    </row>
    <row r="89" spans="1:8" ht="14.25">
      <c r="A89">
        <v>1308</v>
      </c>
      <c r="B89" t="s">
        <v>165</v>
      </c>
      <c r="C89" t="s">
        <v>166</v>
      </c>
      <c r="D89" t="s">
        <v>23</v>
      </c>
      <c r="E89" t="s">
        <v>30</v>
      </c>
      <c r="F89" t="s">
        <v>27</v>
      </c>
      <c r="G89">
        <v>2</v>
      </c>
      <c r="H89" s="3">
        <v>46174</v>
      </c>
    </row>
    <row r="90" spans="1:8" ht="14.25">
      <c r="A90">
        <v>1206</v>
      </c>
      <c r="B90" t="s">
        <v>167</v>
      </c>
      <c r="C90" t="s">
        <v>168</v>
      </c>
      <c r="D90" t="s">
        <v>23</v>
      </c>
      <c r="E90" t="s">
        <v>30</v>
      </c>
      <c r="F90" t="s">
        <v>27</v>
      </c>
      <c r="G90">
        <v>8</v>
      </c>
      <c r="H90" s="3">
        <v>46174</v>
      </c>
    </row>
    <row r="91" spans="1:8" ht="14.25">
      <c r="A91">
        <v>1205</v>
      </c>
      <c r="B91" t="s">
        <v>167</v>
      </c>
      <c r="C91" t="s">
        <v>66</v>
      </c>
      <c r="D91" t="s">
        <v>23</v>
      </c>
      <c r="E91" t="s">
        <v>24</v>
      </c>
      <c r="F91" t="s">
        <v>27</v>
      </c>
      <c r="G91">
        <v>14</v>
      </c>
      <c r="H91" s="3">
        <v>46174</v>
      </c>
    </row>
    <row r="92" spans="1:8" ht="14.25">
      <c r="A92">
        <v>1406</v>
      </c>
      <c r="B92" t="s">
        <v>169</v>
      </c>
      <c r="C92" t="s">
        <v>170</v>
      </c>
      <c r="D92" t="s">
        <v>23</v>
      </c>
      <c r="E92" t="s">
        <v>24</v>
      </c>
      <c r="F92" t="s">
        <v>27</v>
      </c>
      <c r="G92">
        <v>9</v>
      </c>
      <c r="H92" s="3">
        <v>46174</v>
      </c>
    </row>
    <row r="93" spans="1:8" ht="14.25">
      <c r="A93">
        <v>1182</v>
      </c>
      <c r="B93" t="s">
        <v>171</v>
      </c>
      <c r="C93" t="s">
        <v>136</v>
      </c>
      <c r="D93" t="s">
        <v>23</v>
      </c>
      <c r="E93" t="s">
        <v>24</v>
      </c>
      <c r="F93" t="s">
        <v>27</v>
      </c>
      <c r="G93">
        <v>8</v>
      </c>
      <c r="H93" s="3">
        <v>46174</v>
      </c>
    </row>
    <row r="94" spans="1:8" ht="14.25">
      <c r="A94">
        <v>1340</v>
      </c>
      <c r="B94" t="s">
        <v>172</v>
      </c>
      <c r="C94" t="s">
        <v>173</v>
      </c>
      <c r="D94" t="s">
        <v>23</v>
      </c>
      <c r="E94" t="s">
        <v>24</v>
      </c>
      <c r="F94" t="s">
        <v>27</v>
      </c>
      <c r="G94">
        <v>8</v>
      </c>
      <c r="H94" s="3">
        <v>46174</v>
      </c>
    </row>
    <row r="95" spans="1:8" ht="14.25">
      <c r="A95">
        <v>21</v>
      </c>
      <c r="B95" t="s">
        <v>174</v>
      </c>
      <c r="C95" t="s">
        <v>175</v>
      </c>
      <c r="D95" t="s">
        <v>23</v>
      </c>
      <c r="E95" t="s">
        <v>24</v>
      </c>
      <c r="F95" t="s">
        <v>25</v>
      </c>
      <c r="H95" s="3">
        <v>46174</v>
      </c>
    </row>
    <row r="96" spans="1:8" ht="14.25">
      <c r="A96">
        <v>1049</v>
      </c>
      <c r="B96" t="s">
        <v>176</v>
      </c>
      <c r="C96" t="s">
        <v>177</v>
      </c>
      <c r="D96" t="s">
        <v>23</v>
      </c>
      <c r="E96" t="s">
        <v>24</v>
      </c>
      <c r="F96" t="s">
        <v>27</v>
      </c>
      <c r="G96">
        <v>19</v>
      </c>
      <c r="H96" s="3">
        <v>46174</v>
      </c>
    </row>
    <row r="97" spans="1:8" ht="14.25">
      <c r="A97">
        <v>120</v>
      </c>
      <c r="B97" t="s">
        <v>178</v>
      </c>
      <c r="C97" t="s">
        <v>179</v>
      </c>
      <c r="D97" t="s">
        <v>23</v>
      </c>
      <c r="E97" t="s">
        <v>30</v>
      </c>
      <c r="F97" t="s">
        <v>27</v>
      </c>
      <c r="G97">
        <v>12</v>
      </c>
      <c r="H97" s="3">
        <v>46174</v>
      </c>
    </row>
    <row r="98" spans="1:8" ht="14.25">
      <c r="A98">
        <v>990</v>
      </c>
      <c r="B98" t="s">
        <v>180</v>
      </c>
      <c r="C98" t="s">
        <v>87</v>
      </c>
      <c r="D98" t="s">
        <v>23</v>
      </c>
      <c r="E98" t="s">
        <v>30</v>
      </c>
      <c r="F98" t="s">
        <v>27</v>
      </c>
      <c r="G98">
        <v>10</v>
      </c>
      <c r="H98" s="3">
        <v>46174</v>
      </c>
    </row>
    <row r="99" spans="1:8" ht="14.25">
      <c r="A99">
        <v>1395</v>
      </c>
      <c r="B99" t="s">
        <v>181</v>
      </c>
      <c r="C99" t="s">
        <v>182</v>
      </c>
      <c r="D99" t="s">
        <v>23</v>
      </c>
      <c r="E99" t="s">
        <v>30</v>
      </c>
      <c r="F99" t="s">
        <v>35</v>
      </c>
      <c r="H99" s="3">
        <v>46174</v>
      </c>
    </row>
    <row r="100" spans="1:8" ht="14.25">
      <c r="A100">
        <v>1158</v>
      </c>
      <c r="B100" t="s">
        <v>183</v>
      </c>
      <c r="C100" t="s">
        <v>184</v>
      </c>
      <c r="D100" t="s">
        <v>23</v>
      </c>
      <c r="E100" t="s">
        <v>30</v>
      </c>
      <c r="F100" t="s">
        <v>25</v>
      </c>
      <c r="H100" s="3">
        <v>46174</v>
      </c>
    </row>
    <row r="101" spans="1:8" ht="14.25">
      <c r="A101">
        <v>23</v>
      </c>
      <c r="B101" t="s">
        <v>185</v>
      </c>
      <c r="C101" t="s">
        <v>100</v>
      </c>
      <c r="D101" t="s">
        <v>23</v>
      </c>
      <c r="E101" t="s">
        <v>24</v>
      </c>
      <c r="F101" t="s">
        <v>27</v>
      </c>
      <c r="G101">
        <v>10</v>
      </c>
      <c r="H101" s="3">
        <v>46174</v>
      </c>
    </row>
    <row r="102" spans="1:8" ht="14.25">
      <c r="A102">
        <v>1152</v>
      </c>
      <c r="B102" t="s">
        <v>186</v>
      </c>
      <c r="C102" t="s">
        <v>187</v>
      </c>
      <c r="D102" t="s">
        <v>54</v>
      </c>
      <c r="E102" t="s">
        <v>30</v>
      </c>
      <c r="F102" t="s">
        <v>188</v>
      </c>
      <c r="H102" s="3">
        <v>46174</v>
      </c>
    </row>
    <row r="103" spans="1:8" ht="14.25">
      <c r="A103">
        <v>581</v>
      </c>
      <c r="B103" t="s">
        <v>189</v>
      </c>
      <c r="C103" t="s">
        <v>190</v>
      </c>
      <c r="D103" t="s">
        <v>23</v>
      </c>
      <c r="E103" t="s">
        <v>24</v>
      </c>
      <c r="F103" t="s">
        <v>27</v>
      </c>
      <c r="G103">
        <v>13</v>
      </c>
      <c r="H103" s="3">
        <v>46174</v>
      </c>
    </row>
    <row r="104" spans="1:8" ht="14.25">
      <c r="A104">
        <v>1374</v>
      </c>
      <c r="B104" t="s">
        <v>191</v>
      </c>
      <c r="C104" t="s">
        <v>192</v>
      </c>
      <c r="D104" t="s">
        <v>23</v>
      </c>
      <c r="E104" t="s">
        <v>24</v>
      </c>
      <c r="F104" t="s">
        <v>25</v>
      </c>
      <c r="H104" s="3">
        <v>46174</v>
      </c>
    </row>
    <row r="105" spans="1:8" ht="14.25">
      <c r="A105">
        <v>25</v>
      </c>
      <c r="B105" t="s">
        <v>22</v>
      </c>
      <c r="C105" t="s">
        <v>193</v>
      </c>
      <c r="D105" t="s">
        <v>23</v>
      </c>
      <c r="E105" t="s">
        <v>24</v>
      </c>
      <c r="F105" t="s">
        <v>27</v>
      </c>
      <c r="G105">
        <v>8</v>
      </c>
      <c r="H105" s="3">
        <v>46174</v>
      </c>
    </row>
    <row r="106" spans="1:8" ht="14.25">
      <c r="A106">
        <v>1257</v>
      </c>
      <c r="B106" t="s">
        <v>194</v>
      </c>
      <c r="C106" t="s">
        <v>150</v>
      </c>
      <c r="D106" t="s">
        <v>54</v>
      </c>
      <c r="E106" t="s">
        <v>24</v>
      </c>
      <c r="F106" t="s">
        <v>25</v>
      </c>
      <c r="H106" s="3">
        <v>46174</v>
      </c>
    </row>
    <row r="107" spans="1:8" ht="14.25">
      <c r="A107">
        <v>415</v>
      </c>
      <c r="B107" t="s">
        <v>195</v>
      </c>
      <c r="C107" t="s">
        <v>196</v>
      </c>
      <c r="D107" t="s">
        <v>23</v>
      </c>
      <c r="E107" t="s">
        <v>24</v>
      </c>
      <c r="F107" t="s">
        <v>27</v>
      </c>
      <c r="G107">
        <v>6</v>
      </c>
      <c r="H107" s="3">
        <v>46174</v>
      </c>
    </row>
    <row r="108" spans="1:8" ht="14.25">
      <c r="A108">
        <v>1144</v>
      </c>
      <c r="B108" t="s">
        <v>195</v>
      </c>
      <c r="C108" t="s">
        <v>197</v>
      </c>
      <c r="D108" t="s">
        <v>54</v>
      </c>
      <c r="E108" t="s">
        <v>24</v>
      </c>
      <c r="F108" t="s">
        <v>188</v>
      </c>
      <c r="H108" s="3">
        <v>46174</v>
      </c>
    </row>
    <row r="109" spans="1:8" ht="14.25">
      <c r="A109">
        <v>1292</v>
      </c>
      <c r="B109" t="s">
        <v>198</v>
      </c>
      <c r="C109" t="s">
        <v>199</v>
      </c>
      <c r="D109" t="s">
        <v>23</v>
      </c>
      <c r="E109" t="s">
        <v>30</v>
      </c>
      <c r="F109" t="s">
        <v>25</v>
      </c>
      <c r="H109" s="3">
        <v>46174</v>
      </c>
    </row>
    <row r="110" spans="1:8" ht="14.25">
      <c r="A110">
        <v>203</v>
      </c>
      <c r="B110" t="s">
        <v>200</v>
      </c>
      <c r="C110" t="s">
        <v>201</v>
      </c>
      <c r="D110" t="s">
        <v>23</v>
      </c>
      <c r="E110" t="s">
        <v>24</v>
      </c>
      <c r="F110" t="s">
        <v>27</v>
      </c>
      <c r="G110">
        <v>9</v>
      </c>
      <c r="H110" s="3">
        <v>46174</v>
      </c>
    </row>
    <row r="111" spans="1:8" ht="14.25">
      <c r="A111">
        <v>956</v>
      </c>
      <c r="B111" t="s">
        <v>202</v>
      </c>
      <c r="C111" t="s">
        <v>94</v>
      </c>
      <c r="D111" t="s">
        <v>23</v>
      </c>
      <c r="E111" t="s">
        <v>24</v>
      </c>
      <c r="F111" t="s">
        <v>27</v>
      </c>
      <c r="G111">
        <v>13</v>
      </c>
      <c r="H111" s="3">
        <v>46174</v>
      </c>
    </row>
    <row r="112" spans="1:8" ht="14.25">
      <c r="A112">
        <v>1273</v>
      </c>
      <c r="B112" t="s">
        <v>203</v>
      </c>
      <c r="C112" t="s">
        <v>204</v>
      </c>
      <c r="D112" t="s">
        <v>23</v>
      </c>
      <c r="E112" t="s">
        <v>30</v>
      </c>
      <c r="F112" t="s">
        <v>27</v>
      </c>
      <c r="G112">
        <v>22</v>
      </c>
      <c r="H112" s="3">
        <v>46174</v>
      </c>
    </row>
    <row r="113" spans="1:8" ht="14.25">
      <c r="A113">
        <v>1272</v>
      </c>
      <c r="B113" t="s">
        <v>203</v>
      </c>
      <c r="C113" t="s">
        <v>205</v>
      </c>
      <c r="D113" t="s">
        <v>23</v>
      </c>
      <c r="E113" t="s">
        <v>24</v>
      </c>
      <c r="F113" t="s">
        <v>27</v>
      </c>
      <c r="G113">
        <v>24</v>
      </c>
      <c r="H113" s="3">
        <v>46174</v>
      </c>
    </row>
    <row r="114" spans="1:8" ht="14.25">
      <c r="A114">
        <v>846</v>
      </c>
      <c r="B114" t="s">
        <v>206</v>
      </c>
      <c r="C114" t="s">
        <v>207</v>
      </c>
      <c r="D114" t="s">
        <v>23</v>
      </c>
      <c r="E114" t="s">
        <v>24</v>
      </c>
      <c r="F114" t="s">
        <v>27</v>
      </c>
      <c r="G114">
        <v>17</v>
      </c>
      <c r="H114" s="3">
        <v>46174</v>
      </c>
    </row>
    <row r="115" spans="1:8" ht="14.25">
      <c r="A115">
        <v>1162</v>
      </c>
      <c r="B115" t="s">
        <v>208</v>
      </c>
      <c r="C115" t="s">
        <v>150</v>
      </c>
      <c r="D115" t="s">
        <v>23</v>
      </c>
      <c r="E115" t="s">
        <v>24</v>
      </c>
      <c r="F115" t="s">
        <v>25</v>
      </c>
      <c r="H115" s="3">
        <v>46174</v>
      </c>
    </row>
    <row r="116" spans="1:8" ht="14.25">
      <c r="A116">
        <v>1244</v>
      </c>
      <c r="B116" t="s">
        <v>209</v>
      </c>
      <c r="C116" t="s">
        <v>94</v>
      </c>
      <c r="D116" t="s">
        <v>23</v>
      </c>
      <c r="E116" t="s">
        <v>24</v>
      </c>
      <c r="F116" t="s">
        <v>27</v>
      </c>
      <c r="G116">
        <v>2</v>
      </c>
      <c r="H116" s="3">
        <v>46174</v>
      </c>
    </row>
    <row r="117" spans="1:8" ht="14.25">
      <c r="A117">
        <v>1379</v>
      </c>
      <c r="B117" t="s">
        <v>209</v>
      </c>
      <c r="C117" t="s">
        <v>210</v>
      </c>
      <c r="D117" t="s">
        <v>23</v>
      </c>
      <c r="E117" t="s">
        <v>30</v>
      </c>
      <c r="F117" t="s">
        <v>25</v>
      </c>
      <c r="H117" s="3">
        <v>46174</v>
      </c>
    </row>
    <row r="118" spans="1:8" ht="14.25">
      <c r="A118">
        <v>1362</v>
      </c>
      <c r="B118" t="s">
        <v>211</v>
      </c>
      <c r="C118" t="s">
        <v>212</v>
      </c>
      <c r="D118" t="s">
        <v>23</v>
      </c>
      <c r="E118" t="s">
        <v>30</v>
      </c>
      <c r="F118" t="s">
        <v>27</v>
      </c>
      <c r="G118">
        <v>22</v>
      </c>
      <c r="H118" s="3">
        <v>46174</v>
      </c>
    </row>
    <row r="119" spans="1:8" ht="14.25">
      <c r="A119">
        <v>1403</v>
      </c>
      <c r="B119" t="s">
        <v>213</v>
      </c>
      <c r="C119" t="s">
        <v>214</v>
      </c>
      <c r="D119" t="s">
        <v>23</v>
      </c>
      <c r="E119" t="s">
        <v>24</v>
      </c>
      <c r="F119" t="s">
        <v>27</v>
      </c>
      <c r="G119">
        <v>8</v>
      </c>
      <c r="H119" s="3">
        <v>46174</v>
      </c>
    </row>
    <row r="120" spans="1:8" ht="14.25">
      <c r="A120">
        <v>1404</v>
      </c>
      <c r="B120" t="s">
        <v>213</v>
      </c>
      <c r="C120" t="s">
        <v>215</v>
      </c>
      <c r="D120" t="s">
        <v>23</v>
      </c>
      <c r="E120" t="s">
        <v>30</v>
      </c>
      <c r="F120" t="s">
        <v>25</v>
      </c>
      <c r="H120" s="3">
        <v>46174</v>
      </c>
    </row>
    <row r="121" spans="1:8" ht="14.25">
      <c r="A121">
        <v>1229</v>
      </c>
      <c r="B121" t="s">
        <v>216</v>
      </c>
      <c r="C121" t="s">
        <v>217</v>
      </c>
      <c r="D121" t="s">
        <v>23</v>
      </c>
      <c r="E121" t="s">
        <v>30</v>
      </c>
      <c r="F121" t="s">
        <v>25</v>
      </c>
      <c r="H121" s="3">
        <v>46174</v>
      </c>
    </row>
    <row r="122" spans="1:8" ht="14.25">
      <c r="A122">
        <v>1408</v>
      </c>
      <c r="B122" t="s">
        <v>218</v>
      </c>
      <c r="C122" t="s">
        <v>219</v>
      </c>
      <c r="D122" t="s">
        <v>23</v>
      </c>
      <c r="E122" t="s">
        <v>24</v>
      </c>
      <c r="F122" t="s">
        <v>27</v>
      </c>
      <c r="G122">
        <v>20</v>
      </c>
      <c r="H122" s="3">
        <v>46174</v>
      </c>
    </row>
    <row r="123" spans="1:8" ht="14.25">
      <c r="A123">
        <v>1409</v>
      </c>
      <c r="B123" t="s">
        <v>218</v>
      </c>
      <c r="C123" t="s">
        <v>220</v>
      </c>
      <c r="D123" t="s">
        <v>23</v>
      </c>
      <c r="E123" t="s">
        <v>30</v>
      </c>
      <c r="F123" t="s">
        <v>27</v>
      </c>
      <c r="G123">
        <v>15</v>
      </c>
      <c r="H123" s="3">
        <v>46174</v>
      </c>
    </row>
    <row r="124" spans="1:8" ht="14.25">
      <c r="A124">
        <v>1198</v>
      </c>
      <c r="B124" t="s">
        <v>221</v>
      </c>
      <c r="C124" t="s">
        <v>222</v>
      </c>
      <c r="D124" t="s">
        <v>23</v>
      </c>
      <c r="E124" t="s">
        <v>24</v>
      </c>
      <c r="F124" t="s">
        <v>27</v>
      </c>
      <c r="G124">
        <v>5</v>
      </c>
      <c r="H124" s="3">
        <v>46174</v>
      </c>
    </row>
    <row r="125" spans="1:8" ht="14.25">
      <c r="A125">
        <v>1260</v>
      </c>
      <c r="B125" t="s">
        <v>223</v>
      </c>
      <c r="C125" t="s">
        <v>82</v>
      </c>
      <c r="D125" t="s">
        <v>23</v>
      </c>
      <c r="E125" t="s">
        <v>30</v>
      </c>
      <c r="F125" t="s">
        <v>27</v>
      </c>
      <c r="G125">
        <v>15</v>
      </c>
      <c r="H125" s="3">
        <v>46174</v>
      </c>
    </row>
    <row r="126" spans="1:8" ht="14.25">
      <c r="A126">
        <v>1361</v>
      </c>
      <c r="B126" t="s">
        <v>224</v>
      </c>
      <c r="C126" t="s">
        <v>225</v>
      </c>
      <c r="D126" t="s">
        <v>23</v>
      </c>
      <c r="E126" t="s">
        <v>24</v>
      </c>
      <c r="F126" t="s">
        <v>27</v>
      </c>
      <c r="G126">
        <v>16</v>
      </c>
      <c r="H126" s="3">
        <v>46174</v>
      </c>
    </row>
    <row r="127" spans="1:8" ht="14.25">
      <c r="A127">
        <v>1100</v>
      </c>
      <c r="B127" t="s">
        <v>226</v>
      </c>
      <c r="C127" t="s">
        <v>34</v>
      </c>
      <c r="D127" t="s">
        <v>23</v>
      </c>
      <c r="E127" t="s">
        <v>24</v>
      </c>
      <c r="F127" t="s">
        <v>27</v>
      </c>
      <c r="G127">
        <v>13</v>
      </c>
      <c r="H127" s="3">
        <v>46174</v>
      </c>
    </row>
    <row r="128" spans="1:8" ht="14.25">
      <c r="A128">
        <v>1385</v>
      </c>
      <c r="B128" t="s">
        <v>227</v>
      </c>
      <c r="C128" t="s">
        <v>228</v>
      </c>
      <c r="D128" t="s">
        <v>23</v>
      </c>
      <c r="E128" t="s">
        <v>24</v>
      </c>
      <c r="F128" t="s">
        <v>25</v>
      </c>
      <c r="H128" s="3">
        <v>46174</v>
      </c>
    </row>
    <row r="129" spans="1:8" ht="14.25">
      <c r="A129">
        <v>1394</v>
      </c>
      <c r="B129" t="s">
        <v>227</v>
      </c>
      <c r="C129" t="s">
        <v>229</v>
      </c>
      <c r="D129" t="s">
        <v>23</v>
      </c>
      <c r="E129" t="s">
        <v>24</v>
      </c>
      <c r="F129" t="s">
        <v>35</v>
      </c>
      <c r="H129" s="3">
        <v>46174</v>
      </c>
    </row>
    <row r="130" spans="1:8" ht="14.25">
      <c r="A130">
        <v>1419</v>
      </c>
      <c r="B130" t="s">
        <v>230</v>
      </c>
      <c r="C130" t="s">
        <v>231</v>
      </c>
      <c r="D130" t="s">
        <v>23</v>
      </c>
      <c r="E130" t="s">
        <v>24</v>
      </c>
      <c r="F130" t="s">
        <v>25</v>
      </c>
      <c r="H130" s="3">
        <v>46174</v>
      </c>
    </row>
    <row r="131" spans="1:8" ht="14.25">
      <c r="A131">
        <v>967</v>
      </c>
      <c r="B131" t="s">
        <v>232</v>
      </c>
      <c r="C131" t="s">
        <v>152</v>
      </c>
      <c r="D131" t="s">
        <v>23</v>
      </c>
      <c r="E131" t="s">
        <v>24</v>
      </c>
      <c r="F131" t="s">
        <v>27</v>
      </c>
      <c r="G131">
        <v>5</v>
      </c>
      <c r="H131" s="3">
        <v>46174</v>
      </c>
    </row>
    <row r="132" spans="1:8" ht="14.25">
      <c r="A132">
        <v>1373</v>
      </c>
      <c r="B132" t="s">
        <v>233</v>
      </c>
      <c r="C132" t="s">
        <v>234</v>
      </c>
      <c r="D132" t="s">
        <v>23</v>
      </c>
      <c r="E132" t="s">
        <v>24</v>
      </c>
      <c r="F132" t="s">
        <v>27</v>
      </c>
      <c r="G132">
        <v>10</v>
      </c>
      <c r="H132" s="3">
        <v>46174</v>
      </c>
    </row>
    <row r="133" spans="1:8" ht="14.25">
      <c r="A133">
        <v>1045</v>
      </c>
      <c r="B133" t="s">
        <v>235</v>
      </c>
      <c r="C133" t="s">
        <v>236</v>
      </c>
      <c r="D133" t="s">
        <v>23</v>
      </c>
      <c r="E133" t="s">
        <v>30</v>
      </c>
      <c r="F133" t="s">
        <v>27</v>
      </c>
      <c r="G133">
        <v>5</v>
      </c>
      <c r="H133" s="3">
        <v>46174</v>
      </c>
    </row>
    <row r="134" spans="1:8" ht="14.25">
      <c r="A134">
        <v>1046</v>
      </c>
      <c r="B134" t="s">
        <v>235</v>
      </c>
      <c r="C134" t="s">
        <v>237</v>
      </c>
      <c r="D134" t="s">
        <v>23</v>
      </c>
      <c r="E134" t="s">
        <v>24</v>
      </c>
      <c r="F134" t="s">
        <v>27</v>
      </c>
      <c r="G134">
        <v>35</v>
      </c>
      <c r="H134" s="3">
        <v>46174</v>
      </c>
    </row>
    <row r="135" spans="1:8" ht="14.25">
      <c r="A135">
        <v>1396</v>
      </c>
      <c r="B135" t="s">
        <v>238</v>
      </c>
      <c r="C135" t="s">
        <v>59</v>
      </c>
      <c r="D135" t="s">
        <v>23</v>
      </c>
      <c r="E135" t="s">
        <v>24</v>
      </c>
      <c r="F135" t="s">
        <v>25</v>
      </c>
      <c r="H135" s="3">
        <v>46174</v>
      </c>
    </row>
    <row r="136" spans="1:8" ht="14.25">
      <c r="A136">
        <v>1397</v>
      </c>
      <c r="B136" t="s">
        <v>238</v>
      </c>
      <c r="C136" t="s">
        <v>239</v>
      </c>
      <c r="D136" t="s">
        <v>23</v>
      </c>
      <c r="E136" t="s">
        <v>30</v>
      </c>
      <c r="F136" t="s">
        <v>25</v>
      </c>
      <c r="H136" s="3">
        <v>46174</v>
      </c>
    </row>
    <row r="137" spans="1:8" ht="14.25">
      <c r="A137">
        <v>1398</v>
      </c>
      <c r="B137" t="s">
        <v>238</v>
      </c>
      <c r="C137" t="s">
        <v>49</v>
      </c>
      <c r="D137" t="s">
        <v>23</v>
      </c>
      <c r="E137" t="s">
        <v>24</v>
      </c>
      <c r="F137" t="s">
        <v>35</v>
      </c>
      <c r="H137" s="3">
        <v>46174</v>
      </c>
    </row>
    <row r="138" spans="1:8" ht="14.25">
      <c r="A138">
        <v>1399</v>
      </c>
      <c r="B138" t="s">
        <v>238</v>
      </c>
      <c r="C138" t="s">
        <v>131</v>
      </c>
      <c r="D138" t="s">
        <v>23</v>
      </c>
      <c r="E138" t="s">
        <v>30</v>
      </c>
      <c r="F138" t="s">
        <v>35</v>
      </c>
      <c r="H138" s="3">
        <v>46174</v>
      </c>
    </row>
    <row r="139" spans="1:8" ht="14.25">
      <c r="A139">
        <v>771</v>
      </c>
      <c r="B139" t="s">
        <v>240</v>
      </c>
      <c r="C139" t="s">
        <v>241</v>
      </c>
      <c r="D139" t="s">
        <v>23</v>
      </c>
      <c r="E139" t="s">
        <v>24</v>
      </c>
      <c r="F139" t="s">
        <v>27</v>
      </c>
      <c r="G139">
        <v>14</v>
      </c>
      <c r="H139" s="3">
        <v>46174</v>
      </c>
    </row>
    <row r="140" spans="1:8" ht="14.25">
      <c r="A140">
        <v>1265</v>
      </c>
      <c r="B140" t="s">
        <v>242</v>
      </c>
      <c r="C140" t="s">
        <v>243</v>
      </c>
      <c r="D140" t="s">
        <v>23</v>
      </c>
      <c r="E140" t="s">
        <v>24</v>
      </c>
      <c r="F140" t="s">
        <v>27</v>
      </c>
      <c r="G140">
        <v>20</v>
      </c>
      <c r="H140" s="3">
        <v>46174</v>
      </c>
    </row>
    <row r="141" spans="1:8" ht="14.25">
      <c r="A141">
        <v>532</v>
      </c>
      <c r="B141" t="s">
        <v>244</v>
      </c>
      <c r="C141" t="s">
        <v>243</v>
      </c>
      <c r="D141" t="s">
        <v>23</v>
      </c>
      <c r="E141" t="s">
        <v>24</v>
      </c>
      <c r="F141" t="s">
        <v>27</v>
      </c>
      <c r="G141">
        <v>13</v>
      </c>
      <c r="H141" s="3">
        <v>46174</v>
      </c>
    </row>
    <row r="142" spans="1:8" ht="14.25">
      <c r="A142">
        <v>1388</v>
      </c>
      <c r="B142" t="s">
        <v>193</v>
      </c>
      <c r="C142" t="s">
        <v>245</v>
      </c>
      <c r="D142" t="s">
        <v>23</v>
      </c>
      <c r="E142" t="s">
        <v>30</v>
      </c>
      <c r="F142" t="s">
        <v>25</v>
      </c>
      <c r="H142" s="3">
        <v>46174</v>
      </c>
    </row>
    <row r="143" spans="1:8" ht="14.25">
      <c r="A143">
        <v>742</v>
      </c>
      <c r="B143" t="s">
        <v>246</v>
      </c>
      <c r="C143" t="s">
        <v>156</v>
      </c>
      <c r="D143" t="s">
        <v>23</v>
      </c>
      <c r="E143" t="s">
        <v>30</v>
      </c>
      <c r="F143" t="s">
        <v>27</v>
      </c>
      <c r="G143">
        <v>2</v>
      </c>
      <c r="H143" s="3">
        <v>46174</v>
      </c>
    </row>
    <row r="144" spans="1:8" ht="14.25">
      <c r="A144">
        <v>741</v>
      </c>
      <c r="B144" t="s">
        <v>246</v>
      </c>
      <c r="C144" t="s">
        <v>247</v>
      </c>
      <c r="D144" t="s">
        <v>23</v>
      </c>
      <c r="E144" t="s">
        <v>24</v>
      </c>
      <c r="F144" t="s">
        <v>27</v>
      </c>
      <c r="G144">
        <v>4</v>
      </c>
      <c r="H144" s="3">
        <v>46174</v>
      </c>
    </row>
    <row r="145" spans="1:8" ht="14.25">
      <c r="A145">
        <v>1298</v>
      </c>
      <c r="B145" t="s">
        <v>246</v>
      </c>
      <c r="C145" t="s">
        <v>132</v>
      </c>
      <c r="D145" t="s">
        <v>23</v>
      </c>
      <c r="E145" t="s">
        <v>30</v>
      </c>
      <c r="F145" t="s">
        <v>27</v>
      </c>
      <c r="G145">
        <v>13</v>
      </c>
      <c r="H145" s="3">
        <v>46174</v>
      </c>
    </row>
    <row r="146" spans="1:8" ht="14.25">
      <c r="A146">
        <v>747</v>
      </c>
      <c r="B146" t="s">
        <v>246</v>
      </c>
      <c r="C146" t="s">
        <v>22</v>
      </c>
      <c r="D146" t="s">
        <v>23</v>
      </c>
      <c r="E146" t="s">
        <v>24</v>
      </c>
      <c r="F146" t="s">
        <v>27</v>
      </c>
      <c r="G146">
        <v>1</v>
      </c>
      <c r="H146" s="3">
        <v>46174</v>
      </c>
    </row>
    <row r="147" spans="1:8" ht="14.25">
      <c r="A147">
        <v>1386</v>
      </c>
      <c r="B147" t="s">
        <v>246</v>
      </c>
      <c r="C147" t="s">
        <v>248</v>
      </c>
      <c r="D147" t="s">
        <v>23</v>
      </c>
      <c r="E147" t="s">
        <v>30</v>
      </c>
      <c r="F147" t="s">
        <v>35</v>
      </c>
      <c r="H147" s="3">
        <v>46174</v>
      </c>
    </row>
    <row r="148" spans="1:8" ht="14.25">
      <c r="A148">
        <v>1221</v>
      </c>
      <c r="B148" t="s">
        <v>249</v>
      </c>
      <c r="C148" t="s">
        <v>234</v>
      </c>
      <c r="D148" t="s">
        <v>23</v>
      </c>
      <c r="E148" t="s">
        <v>24</v>
      </c>
      <c r="F148" t="s">
        <v>25</v>
      </c>
      <c r="H148" s="3">
        <v>46174</v>
      </c>
    </row>
    <row r="149" spans="1:8" ht="14.25">
      <c r="A149">
        <v>564</v>
      </c>
      <c r="B149" t="s">
        <v>250</v>
      </c>
      <c r="C149" t="s">
        <v>34</v>
      </c>
      <c r="D149" t="s">
        <v>23</v>
      </c>
      <c r="E149" t="s">
        <v>24</v>
      </c>
      <c r="F149" t="s">
        <v>27</v>
      </c>
      <c r="G149">
        <v>7</v>
      </c>
      <c r="H149" s="3">
        <v>46174</v>
      </c>
    </row>
    <row r="150" spans="1:8" ht="14.25">
      <c r="A150">
        <v>1165</v>
      </c>
      <c r="B150" t="s">
        <v>251</v>
      </c>
      <c r="C150" t="s">
        <v>177</v>
      </c>
      <c r="D150" t="s">
        <v>23</v>
      </c>
      <c r="E150" t="s">
        <v>24</v>
      </c>
      <c r="F150" t="s">
        <v>27</v>
      </c>
      <c r="G150">
        <v>10</v>
      </c>
      <c r="H150" s="3">
        <v>46174</v>
      </c>
    </row>
    <row r="151" spans="1:8" ht="14.25">
      <c r="A151">
        <v>405</v>
      </c>
      <c r="B151" t="s">
        <v>252</v>
      </c>
      <c r="C151" t="s">
        <v>243</v>
      </c>
      <c r="D151" t="s">
        <v>23</v>
      </c>
      <c r="E151" t="s">
        <v>24</v>
      </c>
      <c r="F151" t="s">
        <v>27</v>
      </c>
      <c r="G151">
        <v>18</v>
      </c>
      <c r="H151" s="3">
        <v>46174</v>
      </c>
    </row>
    <row r="152" spans="1:8" ht="14.25">
      <c r="A152">
        <v>1346</v>
      </c>
      <c r="B152" t="s">
        <v>253</v>
      </c>
      <c r="C152" t="s">
        <v>254</v>
      </c>
      <c r="D152" t="s">
        <v>23</v>
      </c>
      <c r="E152" t="s">
        <v>24</v>
      </c>
      <c r="F152" t="s">
        <v>27</v>
      </c>
      <c r="G152">
        <v>20</v>
      </c>
      <c r="H152" s="3">
        <v>46174</v>
      </c>
    </row>
    <row r="153" spans="1:8" ht="14.25">
      <c r="A153">
        <v>1192</v>
      </c>
      <c r="B153" t="s">
        <v>255</v>
      </c>
      <c r="C153" t="s">
        <v>256</v>
      </c>
      <c r="D153" t="s">
        <v>23</v>
      </c>
      <c r="E153" t="s">
        <v>24</v>
      </c>
      <c r="F153" t="s">
        <v>27</v>
      </c>
      <c r="G153">
        <v>10</v>
      </c>
      <c r="H153" s="3">
        <v>46174</v>
      </c>
    </row>
    <row r="154" spans="1:8" ht="14.25">
      <c r="A154">
        <v>1157</v>
      </c>
      <c r="B154" t="s">
        <v>257</v>
      </c>
      <c r="C154" t="s">
        <v>100</v>
      </c>
      <c r="D154" t="s">
        <v>23</v>
      </c>
      <c r="E154" t="s">
        <v>24</v>
      </c>
      <c r="F154" t="s">
        <v>25</v>
      </c>
      <c r="H154" s="3">
        <v>46174</v>
      </c>
    </row>
    <row r="155" spans="1:8" ht="14.25">
      <c r="A155">
        <v>1359</v>
      </c>
      <c r="B155" t="s">
        <v>258</v>
      </c>
      <c r="C155" t="s">
        <v>49</v>
      </c>
      <c r="D155" t="s">
        <v>23</v>
      </c>
      <c r="E155" t="s">
        <v>24</v>
      </c>
      <c r="F155" t="s">
        <v>188</v>
      </c>
      <c r="H155" s="3">
        <v>46174</v>
      </c>
    </row>
    <row r="156" spans="1:8" ht="14.25">
      <c r="A156">
        <v>1360</v>
      </c>
      <c r="B156" t="s">
        <v>258</v>
      </c>
      <c r="C156" t="s">
        <v>259</v>
      </c>
      <c r="D156" t="s">
        <v>23</v>
      </c>
      <c r="E156" t="s">
        <v>30</v>
      </c>
      <c r="F156" t="s">
        <v>35</v>
      </c>
      <c r="H156" s="3">
        <v>46174</v>
      </c>
    </row>
    <row r="157" spans="1:8" ht="14.25">
      <c r="A157">
        <v>1357</v>
      </c>
      <c r="B157" t="s">
        <v>258</v>
      </c>
      <c r="C157" t="s">
        <v>34</v>
      </c>
      <c r="D157" t="s">
        <v>23</v>
      </c>
      <c r="E157" t="s">
        <v>24</v>
      </c>
      <c r="F157" t="s">
        <v>27</v>
      </c>
      <c r="G157">
        <v>5</v>
      </c>
      <c r="H157" s="3">
        <v>46174</v>
      </c>
    </row>
    <row r="158" spans="1:8" ht="14.25">
      <c r="A158">
        <v>1358</v>
      </c>
      <c r="B158" t="s">
        <v>258</v>
      </c>
      <c r="C158" t="s">
        <v>260</v>
      </c>
      <c r="D158" t="s">
        <v>23</v>
      </c>
      <c r="E158" t="s">
        <v>30</v>
      </c>
      <c r="F158" t="s">
        <v>27</v>
      </c>
      <c r="G158">
        <v>7</v>
      </c>
      <c r="H158" s="3">
        <v>46174</v>
      </c>
    </row>
    <row r="159" spans="1:8" ht="14.25">
      <c r="A159">
        <v>1390</v>
      </c>
      <c r="B159" t="s">
        <v>261</v>
      </c>
      <c r="C159" t="s">
        <v>262</v>
      </c>
      <c r="D159" t="s">
        <v>23</v>
      </c>
      <c r="E159" t="s">
        <v>24</v>
      </c>
      <c r="F159" t="s">
        <v>25</v>
      </c>
      <c r="H159" s="3">
        <v>46174</v>
      </c>
    </row>
    <row r="160" spans="1:8" ht="14.25">
      <c r="A160">
        <v>1107</v>
      </c>
      <c r="B160" t="s">
        <v>263</v>
      </c>
      <c r="C160" t="s">
        <v>264</v>
      </c>
      <c r="D160" t="s">
        <v>23</v>
      </c>
      <c r="E160" t="s">
        <v>30</v>
      </c>
      <c r="F160" t="s">
        <v>25</v>
      </c>
      <c r="H160" s="3">
        <v>46174</v>
      </c>
    </row>
    <row r="161" spans="1:8" ht="14.25">
      <c r="A161">
        <v>35</v>
      </c>
      <c r="B161" t="s">
        <v>265</v>
      </c>
      <c r="C161" t="s">
        <v>266</v>
      </c>
      <c r="D161" t="s">
        <v>23</v>
      </c>
      <c r="E161" t="s">
        <v>24</v>
      </c>
      <c r="F161" t="s">
        <v>27</v>
      </c>
      <c r="G161">
        <v>3</v>
      </c>
      <c r="H161" s="3">
        <v>46174</v>
      </c>
    </row>
    <row r="162" spans="1:8" ht="14.25">
      <c r="A162">
        <v>1094</v>
      </c>
      <c r="B162" t="s">
        <v>267</v>
      </c>
      <c r="C162" t="s">
        <v>268</v>
      </c>
      <c r="D162" t="s">
        <v>23</v>
      </c>
      <c r="E162" t="s">
        <v>24</v>
      </c>
      <c r="F162" t="s">
        <v>27</v>
      </c>
      <c r="G162">
        <v>12</v>
      </c>
      <c r="H162" s="3">
        <v>46174</v>
      </c>
    </row>
    <row r="163" spans="1:8" ht="14.25">
      <c r="A163">
        <v>1325</v>
      </c>
      <c r="B163" t="s">
        <v>269</v>
      </c>
      <c r="C163" t="s">
        <v>270</v>
      </c>
      <c r="D163" t="s">
        <v>23</v>
      </c>
      <c r="E163" t="s">
        <v>24</v>
      </c>
      <c r="F163" t="s">
        <v>27</v>
      </c>
      <c r="G163">
        <v>3</v>
      </c>
      <c r="H163" s="3">
        <v>46174</v>
      </c>
    </row>
    <row r="164" spans="1:8" ht="14.25">
      <c r="A164">
        <v>1143</v>
      </c>
      <c r="B164" t="s">
        <v>271</v>
      </c>
      <c r="C164" t="s">
        <v>247</v>
      </c>
      <c r="D164" t="s">
        <v>23</v>
      </c>
      <c r="E164" t="s">
        <v>24</v>
      </c>
      <c r="F164" t="s">
        <v>27</v>
      </c>
      <c r="G164">
        <v>3</v>
      </c>
      <c r="H164" s="3">
        <v>46174</v>
      </c>
    </row>
    <row r="165" spans="1:8" ht="14.25">
      <c r="A165">
        <v>1401</v>
      </c>
      <c r="B165" t="s">
        <v>272</v>
      </c>
      <c r="C165" t="s">
        <v>273</v>
      </c>
      <c r="D165" t="s">
        <v>23</v>
      </c>
      <c r="E165" t="s">
        <v>30</v>
      </c>
      <c r="F165" t="s">
        <v>25</v>
      </c>
      <c r="H165" s="3">
        <v>46174</v>
      </c>
    </row>
    <row r="166" spans="1:8" ht="14.25">
      <c r="A166">
        <v>1285</v>
      </c>
      <c r="B166" t="s">
        <v>274</v>
      </c>
      <c r="C166" t="s">
        <v>100</v>
      </c>
      <c r="D166" t="s">
        <v>23</v>
      </c>
      <c r="E166" t="s">
        <v>24</v>
      </c>
      <c r="F166" t="s">
        <v>25</v>
      </c>
      <c r="H166" s="3">
        <v>46174</v>
      </c>
    </row>
    <row r="167" spans="1:8" ht="14.25">
      <c r="A167">
        <v>38</v>
      </c>
      <c r="B167" t="s">
        <v>275</v>
      </c>
      <c r="C167" t="s">
        <v>276</v>
      </c>
      <c r="D167" t="s">
        <v>23</v>
      </c>
      <c r="E167" t="s">
        <v>24</v>
      </c>
      <c r="F167" t="s">
        <v>27</v>
      </c>
      <c r="G167">
        <v>13</v>
      </c>
      <c r="H167" s="3">
        <v>46174</v>
      </c>
    </row>
    <row r="168" spans="1:8" ht="14.25">
      <c r="A168">
        <v>245</v>
      </c>
      <c r="B168" t="s">
        <v>277</v>
      </c>
      <c r="C168" t="s">
        <v>234</v>
      </c>
      <c r="D168" t="s">
        <v>23</v>
      </c>
      <c r="E168" t="s">
        <v>24</v>
      </c>
      <c r="F168" t="s">
        <v>27</v>
      </c>
      <c r="G168">
        <v>10</v>
      </c>
      <c r="H168" s="3">
        <v>46174</v>
      </c>
    </row>
    <row r="169" spans="1:8" ht="14.25">
      <c r="A169">
        <v>39</v>
      </c>
      <c r="B169" t="s">
        <v>277</v>
      </c>
      <c r="C169" t="s">
        <v>278</v>
      </c>
      <c r="D169" t="s">
        <v>23</v>
      </c>
      <c r="E169" t="s">
        <v>24</v>
      </c>
      <c r="F169" t="s">
        <v>27</v>
      </c>
      <c r="G169">
        <v>43</v>
      </c>
      <c r="H169" s="3">
        <v>46174</v>
      </c>
    </row>
    <row r="170" spans="1:8" ht="14.25">
      <c r="A170">
        <v>508</v>
      </c>
      <c r="B170" t="s">
        <v>279</v>
      </c>
      <c r="C170" t="s">
        <v>59</v>
      </c>
      <c r="D170" t="s">
        <v>23</v>
      </c>
      <c r="E170" t="s">
        <v>24</v>
      </c>
      <c r="F170" t="s">
        <v>27</v>
      </c>
      <c r="G170">
        <v>31</v>
      </c>
      <c r="H170" s="3">
        <v>46174</v>
      </c>
    </row>
    <row r="171" spans="1:8" ht="14.25">
      <c r="A171">
        <v>1025</v>
      </c>
      <c r="B171" t="s">
        <v>280</v>
      </c>
      <c r="C171" t="s">
        <v>281</v>
      </c>
      <c r="D171" t="s">
        <v>23</v>
      </c>
      <c r="E171" t="s">
        <v>24</v>
      </c>
      <c r="F171" t="s">
        <v>35</v>
      </c>
      <c r="H171" s="3">
        <v>46174</v>
      </c>
    </row>
    <row r="172" spans="1:8" ht="14.25">
      <c r="A172">
        <v>1024</v>
      </c>
      <c r="B172" t="s">
        <v>280</v>
      </c>
      <c r="C172" t="s">
        <v>282</v>
      </c>
      <c r="D172" t="s">
        <v>23</v>
      </c>
      <c r="E172" t="s">
        <v>24</v>
      </c>
      <c r="F172" t="s">
        <v>188</v>
      </c>
      <c r="H172" s="3">
        <v>46174</v>
      </c>
    </row>
    <row r="173" spans="1:8" ht="14.25">
      <c r="A173">
        <v>1023</v>
      </c>
      <c r="B173" t="s">
        <v>280</v>
      </c>
      <c r="C173" t="s">
        <v>39</v>
      </c>
      <c r="D173" t="s">
        <v>23</v>
      </c>
      <c r="E173" t="s">
        <v>24</v>
      </c>
      <c r="F173" t="s">
        <v>25</v>
      </c>
      <c r="H173" s="3">
        <v>46174</v>
      </c>
    </row>
    <row r="174" spans="1:8" ht="14.25">
      <c r="A174">
        <v>1232</v>
      </c>
      <c r="B174" t="s">
        <v>280</v>
      </c>
      <c r="C174" t="s">
        <v>283</v>
      </c>
      <c r="D174" t="s">
        <v>23</v>
      </c>
      <c r="E174" t="s">
        <v>30</v>
      </c>
      <c r="F174" t="s">
        <v>27</v>
      </c>
      <c r="G174">
        <v>4</v>
      </c>
      <c r="H174" s="3">
        <v>46174</v>
      </c>
    </row>
    <row r="175" spans="1:8" ht="14.25">
      <c r="A175">
        <v>1392</v>
      </c>
      <c r="B175" t="s">
        <v>284</v>
      </c>
      <c r="C175" t="s">
        <v>285</v>
      </c>
      <c r="D175" t="s">
        <v>23</v>
      </c>
      <c r="E175" t="s">
        <v>30</v>
      </c>
      <c r="F175" t="s">
        <v>25</v>
      </c>
      <c r="H175" s="3">
        <v>46174</v>
      </c>
    </row>
    <row r="176" spans="1:8" ht="14.25">
      <c r="A176">
        <v>1141</v>
      </c>
      <c r="B176" t="s">
        <v>286</v>
      </c>
      <c r="C176" t="s">
        <v>287</v>
      </c>
      <c r="D176" t="s">
        <v>23</v>
      </c>
      <c r="E176" t="s">
        <v>30</v>
      </c>
      <c r="F176" t="s">
        <v>27</v>
      </c>
      <c r="G176">
        <v>15</v>
      </c>
      <c r="H176" s="3">
        <v>46174</v>
      </c>
    </row>
    <row r="177" spans="1:8" ht="14.25">
      <c r="A177">
        <v>891</v>
      </c>
      <c r="B177" t="s">
        <v>288</v>
      </c>
      <c r="C177" t="s">
        <v>289</v>
      </c>
      <c r="D177" t="s">
        <v>23</v>
      </c>
      <c r="E177" t="s">
        <v>30</v>
      </c>
      <c r="F177" t="s">
        <v>25</v>
      </c>
      <c r="H177" s="3">
        <v>46174</v>
      </c>
    </row>
    <row r="178" spans="1:8" ht="14.25">
      <c r="A178">
        <v>1352</v>
      </c>
      <c r="B178" t="s">
        <v>290</v>
      </c>
      <c r="C178" t="s">
        <v>34</v>
      </c>
      <c r="D178" t="s">
        <v>23</v>
      </c>
      <c r="E178" t="s">
        <v>24</v>
      </c>
      <c r="F178" t="s">
        <v>27</v>
      </c>
      <c r="G178">
        <v>11</v>
      </c>
      <c r="H178" s="3">
        <v>46174</v>
      </c>
    </row>
    <row r="179" spans="1:8" ht="14.25">
      <c r="A179">
        <v>1339</v>
      </c>
      <c r="B179" t="s">
        <v>291</v>
      </c>
      <c r="C179" t="s">
        <v>292</v>
      </c>
      <c r="D179" t="s">
        <v>23</v>
      </c>
      <c r="E179" t="s">
        <v>24</v>
      </c>
      <c r="F179" t="s">
        <v>25</v>
      </c>
      <c r="H179" s="3">
        <v>46174</v>
      </c>
    </row>
    <row r="180" spans="1:8" ht="14.25">
      <c r="A180">
        <v>914</v>
      </c>
      <c r="B180" t="s">
        <v>293</v>
      </c>
      <c r="C180" t="s">
        <v>153</v>
      </c>
      <c r="D180" t="s">
        <v>23</v>
      </c>
      <c r="E180" t="s">
        <v>24</v>
      </c>
      <c r="F180" t="s">
        <v>27</v>
      </c>
      <c r="G180">
        <v>14</v>
      </c>
      <c r="H180" s="3">
        <v>46174</v>
      </c>
    </row>
    <row r="181" spans="1:8" ht="14.25">
      <c r="A181">
        <v>597</v>
      </c>
      <c r="B181" t="s">
        <v>294</v>
      </c>
      <c r="C181" t="s">
        <v>295</v>
      </c>
      <c r="D181" t="s">
        <v>23</v>
      </c>
      <c r="E181" t="s">
        <v>24</v>
      </c>
      <c r="F181" t="s">
        <v>27</v>
      </c>
      <c r="G181">
        <v>36</v>
      </c>
      <c r="H181" s="3">
        <v>46174</v>
      </c>
    </row>
    <row r="182" spans="1:8" ht="14.25">
      <c r="A182">
        <v>1038</v>
      </c>
      <c r="B182" t="s">
        <v>293</v>
      </c>
      <c r="C182" t="s">
        <v>51</v>
      </c>
      <c r="D182" t="s">
        <v>23</v>
      </c>
      <c r="E182" t="s">
        <v>24</v>
      </c>
      <c r="F182" t="s">
        <v>27</v>
      </c>
      <c r="G182">
        <v>12</v>
      </c>
      <c r="H182" s="3">
        <v>46174</v>
      </c>
    </row>
    <row r="183" spans="1:8" ht="14.25">
      <c r="A183">
        <v>1347</v>
      </c>
      <c r="B183" t="s">
        <v>296</v>
      </c>
      <c r="C183" t="s">
        <v>104</v>
      </c>
      <c r="D183" t="s">
        <v>23</v>
      </c>
      <c r="E183" t="s">
        <v>24</v>
      </c>
      <c r="F183" t="s">
        <v>25</v>
      </c>
      <c r="H183" s="3">
        <v>46174</v>
      </c>
    </row>
    <row r="184" spans="1:8" ht="14.25">
      <c r="A184">
        <v>1242</v>
      </c>
      <c r="B184" t="s">
        <v>297</v>
      </c>
      <c r="C184" t="s">
        <v>190</v>
      </c>
      <c r="D184" t="s">
        <v>23</v>
      </c>
      <c r="E184" t="s">
        <v>24</v>
      </c>
      <c r="F184" t="s">
        <v>27</v>
      </c>
      <c r="G184">
        <v>15</v>
      </c>
      <c r="H184" s="3">
        <v>46174</v>
      </c>
    </row>
    <row r="185" spans="1:8" ht="14.25">
      <c r="A185">
        <v>1048</v>
      </c>
      <c r="B185" t="s">
        <v>298</v>
      </c>
      <c r="C185" t="s">
        <v>268</v>
      </c>
      <c r="D185" t="s">
        <v>23</v>
      </c>
      <c r="E185" t="s">
        <v>24</v>
      </c>
      <c r="F185" t="s">
        <v>27</v>
      </c>
      <c r="G185">
        <v>16</v>
      </c>
      <c r="H185" s="3">
        <v>46174</v>
      </c>
    </row>
    <row r="186" spans="1:8" ht="14.25">
      <c r="A186">
        <v>1055</v>
      </c>
      <c r="B186" t="s">
        <v>298</v>
      </c>
      <c r="C186" t="s">
        <v>299</v>
      </c>
      <c r="D186" t="s">
        <v>23</v>
      </c>
      <c r="E186" t="s">
        <v>24</v>
      </c>
      <c r="F186" t="s">
        <v>27</v>
      </c>
      <c r="G186">
        <v>1</v>
      </c>
      <c r="H186" s="3">
        <v>46174</v>
      </c>
    </row>
    <row r="187" spans="1:8" ht="14.25">
      <c r="A187">
        <v>1095</v>
      </c>
      <c r="B187" t="s">
        <v>298</v>
      </c>
      <c r="C187" t="s">
        <v>300</v>
      </c>
      <c r="D187" t="s">
        <v>23</v>
      </c>
      <c r="E187" t="s">
        <v>24</v>
      </c>
      <c r="F187" t="s">
        <v>27</v>
      </c>
      <c r="G187">
        <v>33</v>
      </c>
      <c r="H187" s="3">
        <v>46174</v>
      </c>
    </row>
    <row r="188" spans="1:8" ht="14.25">
      <c r="A188">
        <v>820</v>
      </c>
      <c r="B188" t="s">
        <v>298</v>
      </c>
      <c r="C188" t="s">
        <v>139</v>
      </c>
      <c r="D188" t="s">
        <v>23</v>
      </c>
      <c r="E188" t="s">
        <v>30</v>
      </c>
      <c r="F188" t="s">
        <v>27</v>
      </c>
      <c r="G188">
        <v>6</v>
      </c>
      <c r="H188" s="3">
        <v>46174</v>
      </c>
    </row>
    <row r="189" spans="1:8" ht="14.25">
      <c r="A189">
        <v>687</v>
      </c>
      <c r="B189" t="s">
        <v>298</v>
      </c>
      <c r="C189" t="s">
        <v>301</v>
      </c>
      <c r="D189" t="s">
        <v>23</v>
      </c>
      <c r="E189" t="s">
        <v>24</v>
      </c>
      <c r="F189" t="s">
        <v>27</v>
      </c>
      <c r="G189">
        <v>7</v>
      </c>
      <c r="H189" s="3">
        <v>46174</v>
      </c>
    </row>
    <row r="190" spans="1:8" ht="14.25">
      <c r="A190">
        <v>1420</v>
      </c>
      <c r="B190" t="s">
        <v>302</v>
      </c>
      <c r="C190" t="s">
        <v>212</v>
      </c>
      <c r="D190" t="s">
        <v>23</v>
      </c>
      <c r="E190" t="s">
        <v>30</v>
      </c>
      <c r="F190" t="s">
        <v>27</v>
      </c>
      <c r="G190">
        <v>15</v>
      </c>
      <c r="H190" s="3">
        <v>46174</v>
      </c>
    </row>
    <row r="191" spans="1:8" ht="14.25">
      <c r="A191">
        <v>1410</v>
      </c>
      <c r="B191" t="s">
        <v>104</v>
      </c>
      <c r="C191" t="s">
        <v>303</v>
      </c>
      <c r="D191" t="s">
        <v>23</v>
      </c>
      <c r="E191" t="s">
        <v>24</v>
      </c>
      <c r="F191" t="s">
        <v>25</v>
      </c>
      <c r="H191" s="3">
        <v>46174</v>
      </c>
    </row>
    <row r="192" spans="1:8" ht="14.25">
      <c r="A192">
        <v>1161</v>
      </c>
      <c r="B192" t="s">
        <v>304</v>
      </c>
      <c r="C192" t="s">
        <v>305</v>
      </c>
      <c r="D192" t="s">
        <v>23</v>
      </c>
      <c r="E192" t="s">
        <v>24</v>
      </c>
      <c r="F192" t="s">
        <v>25</v>
      </c>
      <c r="H192" s="3">
        <v>46174</v>
      </c>
    </row>
    <row r="193" spans="1:8" ht="14.25">
      <c r="A193">
        <v>890</v>
      </c>
      <c r="B193" t="s">
        <v>306</v>
      </c>
      <c r="C193" t="s">
        <v>307</v>
      </c>
      <c r="D193" t="s">
        <v>54</v>
      </c>
      <c r="E193" t="s">
        <v>24</v>
      </c>
      <c r="F193" t="s">
        <v>27</v>
      </c>
      <c r="G193">
        <v>23</v>
      </c>
      <c r="H193" s="3">
        <v>46174</v>
      </c>
    </row>
    <row r="194" spans="1:8" ht="14.25">
      <c r="A194">
        <v>1166</v>
      </c>
      <c r="B194" t="s">
        <v>308</v>
      </c>
      <c r="C194" t="s">
        <v>143</v>
      </c>
      <c r="D194" t="s">
        <v>54</v>
      </c>
      <c r="E194" t="s">
        <v>24</v>
      </c>
      <c r="F194" t="s">
        <v>27</v>
      </c>
      <c r="G194">
        <v>5</v>
      </c>
      <c r="H194" s="3">
        <v>46174</v>
      </c>
    </row>
    <row r="195" spans="1:8" ht="14.25">
      <c r="A195">
        <v>45</v>
      </c>
      <c r="B195" t="s">
        <v>309</v>
      </c>
      <c r="C195" t="s">
        <v>310</v>
      </c>
      <c r="D195" t="s">
        <v>23</v>
      </c>
      <c r="E195" t="s">
        <v>24</v>
      </c>
      <c r="F195" t="s">
        <v>27</v>
      </c>
      <c r="G195">
        <v>20</v>
      </c>
      <c r="H195" s="3">
        <v>46174</v>
      </c>
    </row>
    <row r="196" spans="1:8" ht="14.25">
      <c r="A196">
        <v>1160</v>
      </c>
      <c r="B196" t="s">
        <v>311</v>
      </c>
      <c r="C196" t="s">
        <v>312</v>
      </c>
      <c r="D196" t="s">
        <v>23</v>
      </c>
      <c r="E196" t="s">
        <v>24</v>
      </c>
      <c r="F196" t="s">
        <v>25</v>
      </c>
      <c r="H196" s="3">
        <v>46174</v>
      </c>
    </row>
    <row r="197" spans="1:8" ht="14.25">
      <c r="A197">
        <v>945</v>
      </c>
      <c r="B197" t="s">
        <v>313</v>
      </c>
      <c r="C197" t="s">
        <v>49</v>
      </c>
      <c r="D197" t="s">
        <v>23</v>
      </c>
      <c r="E197" t="s">
        <v>24</v>
      </c>
      <c r="F197" t="s">
        <v>25</v>
      </c>
      <c r="H197" s="3">
        <v>46174</v>
      </c>
    </row>
    <row r="198" spans="1:8" ht="14.25">
      <c r="A198">
        <v>813</v>
      </c>
      <c r="B198" t="s">
        <v>313</v>
      </c>
      <c r="C198" t="s">
        <v>289</v>
      </c>
      <c r="D198" t="s">
        <v>23</v>
      </c>
      <c r="E198" t="s">
        <v>30</v>
      </c>
      <c r="F198" t="s">
        <v>27</v>
      </c>
      <c r="G198">
        <v>7</v>
      </c>
      <c r="H198" s="3">
        <v>46174</v>
      </c>
    </row>
    <row r="199" spans="1:8" ht="14.25">
      <c r="A199">
        <v>812</v>
      </c>
      <c r="B199" t="s">
        <v>313</v>
      </c>
      <c r="C199" t="s">
        <v>170</v>
      </c>
      <c r="D199" t="s">
        <v>23</v>
      </c>
      <c r="E199" t="s">
        <v>24</v>
      </c>
      <c r="F199" t="s">
        <v>27</v>
      </c>
      <c r="G199">
        <v>9</v>
      </c>
      <c r="H199" s="3">
        <v>46174</v>
      </c>
    </row>
    <row r="200" spans="1:8" ht="14.25">
      <c r="A200">
        <v>1129</v>
      </c>
      <c r="B200" t="s">
        <v>314</v>
      </c>
      <c r="C200" t="s">
        <v>315</v>
      </c>
      <c r="D200" t="s">
        <v>23</v>
      </c>
      <c r="E200" t="s">
        <v>24</v>
      </c>
      <c r="F200" t="s">
        <v>27</v>
      </c>
      <c r="G200">
        <v>12</v>
      </c>
      <c r="H200" s="3">
        <v>46174</v>
      </c>
    </row>
    <row r="201" spans="1:8" ht="14.25">
      <c r="A201">
        <v>915</v>
      </c>
      <c r="B201" t="s">
        <v>316</v>
      </c>
      <c r="C201" t="s">
        <v>241</v>
      </c>
      <c r="D201" t="s">
        <v>23</v>
      </c>
      <c r="E201" t="s">
        <v>24</v>
      </c>
      <c r="F201" t="s">
        <v>27</v>
      </c>
      <c r="G201">
        <v>8</v>
      </c>
      <c r="H201" s="3">
        <v>46174</v>
      </c>
    </row>
    <row r="202" spans="1:8" ht="14.25">
      <c r="A202">
        <v>1356</v>
      </c>
      <c r="B202" t="s">
        <v>317</v>
      </c>
      <c r="C202" t="s">
        <v>318</v>
      </c>
      <c r="D202" t="s">
        <v>54</v>
      </c>
      <c r="E202" t="s">
        <v>24</v>
      </c>
      <c r="F202" t="s">
        <v>27</v>
      </c>
      <c r="G202">
        <v>15</v>
      </c>
      <c r="H202" s="3">
        <v>46174</v>
      </c>
    </row>
    <row r="203" spans="1:8" ht="14.25">
      <c r="A203">
        <v>1422</v>
      </c>
      <c r="B203" t="s">
        <v>319</v>
      </c>
      <c r="C203" t="s">
        <v>320</v>
      </c>
      <c r="D203" t="s">
        <v>54</v>
      </c>
      <c r="E203" t="s">
        <v>30</v>
      </c>
      <c r="F203" t="s">
        <v>25</v>
      </c>
      <c r="H203" s="3">
        <v>46174</v>
      </c>
    </row>
    <row r="204" spans="1:8" ht="14.25">
      <c r="A204">
        <v>860</v>
      </c>
      <c r="B204" t="s">
        <v>321</v>
      </c>
      <c r="C204" t="s">
        <v>215</v>
      </c>
      <c r="D204" t="s">
        <v>23</v>
      </c>
      <c r="E204" t="s">
        <v>30</v>
      </c>
      <c r="F204" t="s">
        <v>25</v>
      </c>
      <c r="H204" s="3">
        <v>46174</v>
      </c>
    </row>
    <row r="205" spans="1:8" ht="14.25">
      <c r="A205">
        <v>756</v>
      </c>
      <c r="B205" t="s">
        <v>321</v>
      </c>
      <c r="C205" t="s">
        <v>322</v>
      </c>
      <c r="D205" t="s">
        <v>23</v>
      </c>
      <c r="E205" t="s">
        <v>24</v>
      </c>
      <c r="F205" t="s">
        <v>25</v>
      </c>
      <c r="H205" s="3">
        <v>46174</v>
      </c>
    </row>
    <row r="206" spans="1:8" ht="14.25">
      <c r="A206">
        <v>407</v>
      </c>
      <c r="B206" t="s">
        <v>321</v>
      </c>
      <c r="C206" t="s">
        <v>323</v>
      </c>
      <c r="D206" t="s">
        <v>23</v>
      </c>
      <c r="E206" t="s">
        <v>24</v>
      </c>
      <c r="F206" t="s">
        <v>27</v>
      </c>
      <c r="G206">
        <v>5</v>
      </c>
      <c r="H206" s="3">
        <v>46174</v>
      </c>
    </row>
    <row r="207" spans="1:8" ht="14.25">
      <c r="A207">
        <v>1428</v>
      </c>
      <c r="B207" t="s">
        <v>324</v>
      </c>
      <c r="C207" t="s">
        <v>325</v>
      </c>
      <c r="D207" t="s">
        <v>23</v>
      </c>
      <c r="E207" t="s">
        <v>24</v>
      </c>
      <c r="F207" t="s">
        <v>35</v>
      </c>
      <c r="H207" s="3">
        <v>46174</v>
      </c>
    </row>
    <row r="208" spans="1:8" ht="14.25">
      <c r="A208">
        <v>1423</v>
      </c>
      <c r="B208" t="s">
        <v>326</v>
      </c>
      <c r="C208" t="s">
        <v>83</v>
      </c>
      <c r="D208" t="s">
        <v>23</v>
      </c>
      <c r="E208" t="s">
        <v>24</v>
      </c>
      <c r="F208" t="s">
        <v>25</v>
      </c>
      <c r="H208" s="3">
        <v>46174</v>
      </c>
    </row>
    <row r="209" spans="1:8" ht="14.25">
      <c r="A209">
        <v>1424</v>
      </c>
      <c r="B209" t="s">
        <v>326</v>
      </c>
      <c r="C209" t="s">
        <v>259</v>
      </c>
      <c r="D209" t="s">
        <v>23</v>
      </c>
      <c r="E209" t="s">
        <v>30</v>
      </c>
      <c r="F209" t="s">
        <v>25</v>
      </c>
      <c r="H209" s="3">
        <v>46174</v>
      </c>
    </row>
    <row r="210" spans="1:8" ht="14.25">
      <c r="A210">
        <v>1425</v>
      </c>
      <c r="B210" t="s">
        <v>326</v>
      </c>
      <c r="C210" t="s">
        <v>327</v>
      </c>
      <c r="D210" t="s">
        <v>23</v>
      </c>
      <c r="E210" t="s">
        <v>24</v>
      </c>
      <c r="F210" t="s">
        <v>35</v>
      </c>
      <c r="H210" s="3">
        <v>46174</v>
      </c>
    </row>
    <row r="211" spans="1:8" ht="14.25">
      <c r="A211">
        <v>1426</v>
      </c>
      <c r="B211" t="s">
        <v>326</v>
      </c>
      <c r="C211" t="s">
        <v>328</v>
      </c>
      <c r="D211" t="s">
        <v>23</v>
      </c>
      <c r="E211" t="s">
        <v>30</v>
      </c>
      <c r="F211" t="s">
        <v>35</v>
      </c>
      <c r="H211" s="3">
        <v>46174</v>
      </c>
    </row>
    <row r="212" spans="1:8" ht="14.25">
      <c r="A212">
        <v>1312</v>
      </c>
      <c r="B212" t="s">
        <v>329</v>
      </c>
      <c r="C212" t="s">
        <v>287</v>
      </c>
      <c r="D212" t="s">
        <v>23</v>
      </c>
      <c r="E212" t="s">
        <v>30</v>
      </c>
      <c r="F212" t="s">
        <v>27</v>
      </c>
      <c r="G212">
        <v>35</v>
      </c>
      <c r="H212" s="3">
        <v>46174</v>
      </c>
    </row>
    <row r="213" spans="1:8" ht="14.25">
      <c r="A213">
        <v>935</v>
      </c>
      <c r="B213" t="s">
        <v>330</v>
      </c>
      <c r="C213" t="s">
        <v>245</v>
      </c>
      <c r="D213" t="s">
        <v>23</v>
      </c>
      <c r="E213" t="s">
        <v>30</v>
      </c>
      <c r="F213" t="s">
        <v>25</v>
      </c>
      <c r="H213" s="3">
        <v>46174</v>
      </c>
    </row>
    <row r="214" spans="1:8" ht="14.25">
      <c r="A214">
        <v>999</v>
      </c>
      <c r="B214" t="s">
        <v>330</v>
      </c>
      <c r="C214" t="s">
        <v>331</v>
      </c>
      <c r="D214" t="s">
        <v>23</v>
      </c>
      <c r="E214" t="s">
        <v>30</v>
      </c>
      <c r="F214" t="s">
        <v>25</v>
      </c>
      <c r="H214" s="3">
        <v>46174</v>
      </c>
    </row>
    <row r="215" spans="1:8" ht="14.25">
      <c r="A215">
        <v>998</v>
      </c>
      <c r="B215" t="s">
        <v>330</v>
      </c>
      <c r="C215" t="s">
        <v>332</v>
      </c>
      <c r="D215" t="s">
        <v>23</v>
      </c>
      <c r="E215" t="s">
        <v>30</v>
      </c>
      <c r="F215" t="s">
        <v>27</v>
      </c>
      <c r="G215">
        <v>5</v>
      </c>
      <c r="H215" s="3">
        <v>46174</v>
      </c>
    </row>
    <row r="216" spans="1:8" ht="14.25">
      <c r="A216">
        <v>616</v>
      </c>
      <c r="B216" t="s">
        <v>330</v>
      </c>
      <c r="C216" t="s">
        <v>41</v>
      </c>
      <c r="D216" t="s">
        <v>23</v>
      </c>
      <c r="E216" t="s">
        <v>24</v>
      </c>
      <c r="F216" t="s">
        <v>27</v>
      </c>
      <c r="G216">
        <v>7</v>
      </c>
      <c r="H216" s="3">
        <v>46174</v>
      </c>
    </row>
    <row r="217" spans="1:8" ht="14.25">
      <c r="A217">
        <v>558</v>
      </c>
      <c r="B217" t="s">
        <v>333</v>
      </c>
      <c r="C217" t="s">
        <v>334</v>
      </c>
      <c r="D217" t="s">
        <v>23</v>
      </c>
      <c r="E217" t="s">
        <v>24</v>
      </c>
      <c r="F217" t="s">
        <v>27</v>
      </c>
      <c r="G217">
        <v>15</v>
      </c>
      <c r="H217" s="3">
        <v>46174</v>
      </c>
    </row>
    <row r="218" spans="1:8" ht="14.25">
      <c r="A218">
        <v>991</v>
      </c>
      <c r="B218" t="s">
        <v>335</v>
      </c>
      <c r="C218" t="s">
        <v>184</v>
      </c>
      <c r="D218" t="s">
        <v>23</v>
      </c>
      <c r="E218" t="s">
        <v>30</v>
      </c>
      <c r="F218" t="s">
        <v>35</v>
      </c>
      <c r="H218" s="3">
        <v>46174</v>
      </c>
    </row>
    <row r="219" spans="1:8" ht="14.25">
      <c r="A219">
        <v>359</v>
      </c>
      <c r="B219" t="s">
        <v>336</v>
      </c>
      <c r="C219" t="s">
        <v>26</v>
      </c>
      <c r="D219" t="s">
        <v>23</v>
      </c>
      <c r="E219" t="s">
        <v>24</v>
      </c>
      <c r="F219" t="s">
        <v>27</v>
      </c>
      <c r="G219">
        <v>24</v>
      </c>
      <c r="H219" s="3">
        <v>46174</v>
      </c>
    </row>
    <row r="220" spans="1:8" ht="14.25">
      <c r="A220">
        <v>1310</v>
      </c>
      <c r="B220" t="s">
        <v>337</v>
      </c>
      <c r="C220" t="s">
        <v>311</v>
      </c>
      <c r="D220" t="s">
        <v>23</v>
      </c>
      <c r="E220" t="s">
        <v>24</v>
      </c>
      <c r="F220" t="s">
        <v>25</v>
      </c>
      <c r="H220" s="3">
        <v>46174</v>
      </c>
    </row>
    <row r="221" spans="1:8" ht="14.25">
      <c r="A221">
        <v>1200</v>
      </c>
      <c r="B221" t="s">
        <v>338</v>
      </c>
      <c r="C221" t="s">
        <v>339</v>
      </c>
      <c r="D221" t="s">
        <v>23</v>
      </c>
      <c r="E221" t="s">
        <v>24</v>
      </c>
      <c r="F221" t="s">
        <v>27</v>
      </c>
      <c r="G221">
        <v>6</v>
      </c>
      <c r="H221" s="3">
        <v>46174</v>
      </c>
    </row>
    <row r="222" spans="1:8" ht="14.25">
      <c r="A222">
        <v>1411</v>
      </c>
      <c r="B222" t="s">
        <v>338</v>
      </c>
      <c r="C222" t="s">
        <v>72</v>
      </c>
      <c r="D222" t="s">
        <v>23</v>
      </c>
      <c r="E222" t="s">
        <v>30</v>
      </c>
      <c r="F222" t="s">
        <v>27</v>
      </c>
      <c r="G222">
        <v>3</v>
      </c>
      <c r="H222" s="3">
        <v>46174</v>
      </c>
    </row>
    <row r="223" spans="1:8" ht="14.25">
      <c r="A223">
        <v>1412</v>
      </c>
      <c r="B223" t="s">
        <v>338</v>
      </c>
      <c r="C223" t="s">
        <v>340</v>
      </c>
      <c r="D223" t="s">
        <v>23</v>
      </c>
      <c r="E223" t="s">
        <v>30</v>
      </c>
      <c r="F223" t="s">
        <v>188</v>
      </c>
      <c r="H223" s="3">
        <v>46174</v>
      </c>
    </row>
    <row r="224" spans="1:8" ht="14.25">
      <c r="A224">
        <v>1413</v>
      </c>
      <c r="B224" t="s">
        <v>338</v>
      </c>
      <c r="C224" t="s">
        <v>214</v>
      </c>
      <c r="D224" t="s">
        <v>23</v>
      </c>
      <c r="E224" t="s">
        <v>24</v>
      </c>
      <c r="F224" t="s">
        <v>188</v>
      </c>
      <c r="H224" s="3">
        <v>46174</v>
      </c>
    </row>
    <row r="225" spans="1:8" ht="14.25">
      <c r="A225">
        <v>1376</v>
      </c>
      <c r="B225" t="s">
        <v>192</v>
      </c>
      <c r="C225" t="s">
        <v>127</v>
      </c>
      <c r="D225" t="s">
        <v>23</v>
      </c>
      <c r="E225" t="s">
        <v>30</v>
      </c>
      <c r="F225" t="s">
        <v>25</v>
      </c>
      <c r="H225" s="3">
        <v>46174</v>
      </c>
    </row>
    <row r="226" spans="1:8" ht="14.25">
      <c r="A226">
        <v>1140</v>
      </c>
      <c r="B226" t="s">
        <v>341</v>
      </c>
      <c r="C226" t="s">
        <v>243</v>
      </c>
      <c r="D226" t="s">
        <v>23</v>
      </c>
      <c r="E226" t="s">
        <v>24</v>
      </c>
      <c r="F226" t="s">
        <v>25</v>
      </c>
      <c r="H226" s="3">
        <v>46174</v>
      </c>
    </row>
    <row r="227" spans="1:8" ht="14.25">
      <c r="A227">
        <v>989</v>
      </c>
      <c r="B227" t="s">
        <v>342</v>
      </c>
      <c r="C227" t="s">
        <v>343</v>
      </c>
      <c r="D227" t="s">
        <v>23</v>
      </c>
      <c r="E227" t="s">
        <v>24</v>
      </c>
      <c r="F227" t="s">
        <v>27</v>
      </c>
      <c r="G227">
        <v>3</v>
      </c>
      <c r="H227" s="3">
        <v>46174</v>
      </c>
    </row>
    <row r="228" spans="1:8" ht="14.25">
      <c r="A228">
        <v>1417</v>
      </c>
      <c r="B228" t="s">
        <v>344</v>
      </c>
      <c r="C228" t="s">
        <v>345</v>
      </c>
      <c r="D228" t="s">
        <v>23</v>
      </c>
      <c r="E228" t="s">
        <v>30</v>
      </c>
      <c r="F228" t="s">
        <v>27</v>
      </c>
      <c r="G228">
        <v>17</v>
      </c>
      <c r="H228" s="3">
        <v>46174</v>
      </c>
    </row>
    <row r="229" spans="1:8" ht="14.25">
      <c r="A229">
        <v>52</v>
      </c>
      <c r="B229" t="s">
        <v>346</v>
      </c>
      <c r="C229" t="s">
        <v>192</v>
      </c>
      <c r="D229" t="s">
        <v>23</v>
      </c>
      <c r="E229" t="s">
        <v>24</v>
      </c>
      <c r="F229" t="s">
        <v>25</v>
      </c>
      <c r="H229" s="3">
        <v>46174</v>
      </c>
    </row>
    <row r="230" spans="1:8" ht="14.25">
      <c r="A230">
        <v>62</v>
      </c>
      <c r="B230" t="s">
        <v>344</v>
      </c>
      <c r="C230" t="s">
        <v>234</v>
      </c>
      <c r="D230" t="s">
        <v>23</v>
      </c>
      <c r="E230" t="s">
        <v>24</v>
      </c>
      <c r="F230" t="s">
        <v>27</v>
      </c>
      <c r="G230">
        <v>4</v>
      </c>
      <c r="H230" s="3">
        <v>46174</v>
      </c>
    </row>
    <row r="231" spans="1:8" ht="14.25">
      <c r="A231">
        <v>930</v>
      </c>
      <c r="B231" t="s">
        <v>347</v>
      </c>
      <c r="C231" t="s">
        <v>348</v>
      </c>
      <c r="D231" t="s">
        <v>23</v>
      </c>
      <c r="E231" t="s">
        <v>30</v>
      </c>
      <c r="F231" t="s">
        <v>27</v>
      </c>
      <c r="G231">
        <v>6</v>
      </c>
      <c r="H231" s="3">
        <v>46174</v>
      </c>
    </row>
    <row r="232" spans="1:8" ht="14.25">
      <c r="A232">
        <v>1254</v>
      </c>
      <c r="B232" t="s">
        <v>349</v>
      </c>
      <c r="C232" t="s">
        <v>51</v>
      </c>
      <c r="D232" t="s">
        <v>23</v>
      </c>
      <c r="E232" t="s">
        <v>24</v>
      </c>
      <c r="F232" t="s">
        <v>27</v>
      </c>
      <c r="G232">
        <v>21</v>
      </c>
      <c r="H232" s="3">
        <v>46174</v>
      </c>
    </row>
    <row r="233" spans="1:8" ht="14.25">
      <c r="A233">
        <v>744</v>
      </c>
      <c r="B233" t="s">
        <v>350</v>
      </c>
      <c r="C233" t="s">
        <v>351</v>
      </c>
      <c r="D233" t="s">
        <v>23</v>
      </c>
      <c r="E233" t="s">
        <v>24</v>
      </c>
      <c r="F233" t="s">
        <v>27</v>
      </c>
      <c r="G233">
        <v>28</v>
      </c>
      <c r="H233" s="3">
        <v>46174</v>
      </c>
    </row>
    <row r="234" spans="1:8" ht="14.25">
      <c r="A234">
        <v>337</v>
      </c>
      <c r="B234" t="s">
        <v>352</v>
      </c>
      <c r="C234" t="s">
        <v>179</v>
      </c>
      <c r="D234" t="s">
        <v>23</v>
      </c>
      <c r="E234" t="s">
        <v>30</v>
      </c>
      <c r="F234" t="s">
        <v>27</v>
      </c>
      <c r="G234">
        <v>21</v>
      </c>
      <c r="H234" s="3">
        <v>46174</v>
      </c>
    </row>
  </sheetData>
  <pageMargins left="0.70078740157480324" right="0.70078740157480324" top="0.75196850393700787" bottom="0.75196850393700787"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36"/>
  <sheetViews>
    <sheetView workbookViewId="0"/>
    <sheetView workbookViewId="1"/>
  </sheetViews>
  <sheetFormatPr defaultColWidth="9.53125" defaultRowHeight="12.75"/>
  <cols>
    <col min="8" max="8" width="12" bestFit="1" customWidth="1"/>
  </cols>
  <sheetData>
    <row r="1" spans="1:8">
      <c r="A1" t="s">
        <v>13</v>
      </c>
      <c r="B1" t="s">
        <v>14</v>
      </c>
      <c r="C1" t="s">
        <v>15</v>
      </c>
      <c r="D1" t="s">
        <v>16</v>
      </c>
      <c r="E1" t="s">
        <v>17</v>
      </c>
      <c r="F1" t="s">
        <v>18</v>
      </c>
      <c r="G1" t="s">
        <v>19</v>
      </c>
      <c r="H1" t="s">
        <v>20</v>
      </c>
    </row>
    <row r="2" spans="1:8" ht="14.25">
      <c r="A2">
        <v>1327</v>
      </c>
      <c r="B2" t="s">
        <v>21</v>
      </c>
      <c r="C2" t="s">
        <v>22</v>
      </c>
      <c r="D2" t="s">
        <v>23</v>
      </c>
      <c r="E2" t="s">
        <v>24</v>
      </c>
      <c r="F2" t="s">
        <v>25</v>
      </c>
      <c r="H2" s="3">
        <v>46181</v>
      </c>
    </row>
    <row r="3" spans="1:8" ht="14.25">
      <c r="A3">
        <v>1237</v>
      </c>
      <c r="B3" t="s">
        <v>21</v>
      </c>
      <c r="C3" t="s">
        <v>26</v>
      </c>
      <c r="D3" t="s">
        <v>23</v>
      </c>
      <c r="E3" t="s">
        <v>24</v>
      </c>
      <c r="F3" t="s">
        <v>27</v>
      </c>
      <c r="G3">
        <v>1</v>
      </c>
      <c r="H3" s="3">
        <v>46181</v>
      </c>
    </row>
    <row r="4" spans="1:8" ht="14.25">
      <c r="A4">
        <v>819</v>
      </c>
      <c r="B4" t="s">
        <v>28</v>
      </c>
      <c r="C4" t="s">
        <v>29</v>
      </c>
      <c r="D4" t="s">
        <v>23</v>
      </c>
      <c r="E4" t="s">
        <v>30</v>
      </c>
      <c r="F4" t="s">
        <v>27</v>
      </c>
      <c r="G4">
        <v>23</v>
      </c>
      <c r="H4" s="3">
        <v>46181</v>
      </c>
    </row>
    <row r="5" spans="1:8" ht="14.25">
      <c r="A5">
        <v>2</v>
      </c>
      <c r="B5" t="s">
        <v>31</v>
      </c>
      <c r="C5" t="s">
        <v>32</v>
      </c>
      <c r="D5" t="s">
        <v>23</v>
      </c>
      <c r="E5" t="s">
        <v>24</v>
      </c>
      <c r="F5" t="s">
        <v>27</v>
      </c>
      <c r="G5">
        <v>21</v>
      </c>
      <c r="H5" s="3">
        <v>46181</v>
      </c>
    </row>
    <row r="6" spans="1:8" ht="14.25">
      <c r="A6">
        <v>1370</v>
      </c>
      <c r="B6" t="s">
        <v>33</v>
      </c>
      <c r="C6" t="s">
        <v>34</v>
      </c>
      <c r="D6" t="s">
        <v>23</v>
      </c>
      <c r="E6" t="s">
        <v>24</v>
      </c>
      <c r="F6" t="s">
        <v>27</v>
      </c>
      <c r="G6">
        <v>4</v>
      </c>
      <c r="H6" s="3">
        <v>46181</v>
      </c>
    </row>
    <row r="7" spans="1:8" ht="14.25">
      <c r="A7">
        <v>1415</v>
      </c>
      <c r="B7" t="s">
        <v>33</v>
      </c>
      <c r="C7" t="s">
        <v>22</v>
      </c>
      <c r="D7" t="s">
        <v>23</v>
      </c>
      <c r="E7" t="s">
        <v>24</v>
      </c>
      <c r="F7" t="s">
        <v>35</v>
      </c>
      <c r="H7" s="3">
        <v>46181</v>
      </c>
    </row>
    <row r="8" spans="1:8" ht="14.25">
      <c r="A8">
        <v>1286</v>
      </c>
      <c r="B8" t="s">
        <v>36</v>
      </c>
      <c r="C8" t="s">
        <v>34</v>
      </c>
      <c r="D8" t="s">
        <v>23</v>
      </c>
      <c r="E8" t="s">
        <v>24</v>
      </c>
      <c r="F8" t="s">
        <v>27</v>
      </c>
      <c r="G8">
        <v>13</v>
      </c>
      <c r="H8" s="3">
        <v>46181</v>
      </c>
    </row>
    <row r="9" spans="1:8" ht="14.25">
      <c r="A9">
        <v>1381</v>
      </c>
      <c r="B9" t="s">
        <v>36</v>
      </c>
      <c r="C9" t="s">
        <v>37</v>
      </c>
      <c r="D9" t="s">
        <v>23</v>
      </c>
      <c r="E9" t="s">
        <v>24</v>
      </c>
      <c r="F9" t="s">
        <v>25</v>
      </c>
      <c r="H9" s="3">
        <v>46181</v>
      </c>
    </row>
    <row r="10" spans="1:8" ht="14.25">
      <c r="A10">
        <v>1112</v>
      </c>
      <c r="B10" t="s">
        <v>38</v>
      </c>
      <c r="C10" t="s">
        <v>39</v>
      </c>
      <c r="D10" t="s">
        <v>23</v>
      </c>
      <c r="E10" t="s">
        <v>24</v>
      </c>
      <c r="F10" t="s">
        <v>27</v>
      </c>
      <c r="G10">
        <v>16</v>
      </c>
      <c r="H10" s="3">
        <v>46181</v>
      </c>
    </row>
    <row r="11" spans="1:8" ht="14.25">
      <c r="A11">
        <v>1135</v>
      </c>
      <c r="B11" t="s">
        <v>40</v>
      </c>
      <c r="C11" t="s">
        <v>41</v>
      </c>
      <c r="D11" t="s">
        <v>23</v>
      </c>
      <c r="E11" t="s">
        <v>24</v>
      </c>
      <c r="F11" t="s">
        <v>27</v>
      </c>
      <c r="G11">
        <v>1</v>
      </c>
      <c r="H11" s="3">
        <v>46181</v>
      </c>
    </row>
    <row r="12" spans="1:8" ht="14.25">
      <c r="A12">
        <v>982</v>
      </c>
      <c r="B12" t="s">
        <v>42</v>
      </c>
      <c r="C12" t="s">
        <v>32</v>
      </c>
      <c r="D12" t="s">
        <v>23</v>
      </c>
      <c r="E12" t="s">
        <v>24</v>
      </c>
      <c r="F12" t="s">
        <v>27</v>
      </c>
      <c r="G12">
        <v>22</v>
      </c>
      <c r="H12" s="3">
        <v>46181</v>
      </c>
    </row>
    <row r="13" spans="1:8" ht="14.25">
      <c r="A13">
        <v>1328</v>
      </c>
      <c r="B13" t="s">
        <v>43</v>
      </c>
      <c r="C13" t="s">
        <v>44</v>
      </c>
      <c r="D13" t="s">
        <v>23</v>
      </c>
      <c r="E13" t="s">
        <v>24</v>
      </c>
      <c r="F13" t="s">
        <v>27</v>
      </c>
      <c r="G13">
        <v>4</v>
      </c>
      <c r="H13" s="3">
        <v>46181</v>
      </c>
    </row>
    <row r="14" spans="1:8" ht="14.25">
      <c r="A14">
        <v>369</v>
      </c>
      <c r="B14" t="s">
        <v>45</v>
      </c>
      <c r="C14" t="s">
        <v>46</v>
      </c>
      <c r="D14" t="s">
        <v>23</v>
      </c>
      <c r="E14" t="s">
        <v>24</v>
      </c>
      <c r="F14" t="s">
        <v>27</v>
      </c>
      <c r="G14">
        <v>8</v>
      </c>
      <c r="H14" s="3">
        <v>46181</v>
      </c>
    </row>
    <row r="15" spans="1:8" ht="14.25">
      <c r="A15">
        <v>7</v>
      </c>
      <c r="B15" t="s">
        <v>45</v>
      </c>
      <c r="C15" t="s">
        <v>47</v>
      </c>
      <c r="D15" t="s">
        <v>48</v>
      </c>
      <c r="E15" t="s">
        <v>24</v>
      </c>
      <c r="F15" t="s">
        <v>27</v>
      </c>
      <c r="G15">
        <v>32</v>
      </c>
      <c r="H15" s="3">
        <v>46181</v>
      </c>
    </row>
    <row r="16" spans="1:8" ht="14.25">
      <c r="A16">
        <v>473</v>
      </c>
      <c r="B16" t="s">
        <v>45</v>
      </c>
      <c r="C16" t="s">
        <v>49</v>
      </c>
      <c r="D16" t="s">
        <v>48</v>
      </c>
      <c r="E16" t="s">
        <v>24</v>
      </c>
      <c r="F16" t="s">
        <v>27</v>
      </c>
      <c r="G16">
        <v>33</v>
      </c>
      <c r="H16" s="3">
        <v>46181</v>
      </c>
    </row>
    <row r="17" spans="1:8" ht="14.25">
      <c r="A17">
        <v>1384</v>
      </c>
      <c r="B17" t="s">
        <v>50</v>
      </c>
      <c r="C17" t="s">
        <v>51</v>
      </c>
      <c r="D17" t="s">
        <v>23</v>
      </c>
      <c r="E17" t="s">
        <v>24</v>
      </c>
      <c r="F17" t="s">
        <v>27</v>
      </c>
      <c r="G17">
        <v>30</v>
      </c>
      <c r="H17" s="3">
        <v>46181</v>
      </c>
    </row>
    <row r="18" spans="1:8" ht="14.25">
      <c r="A18">
        <v>1348</v>
      </c>
      <c r="B18" t="s">
        <v>52</v>
      </c>
      <c r="C18" t="s">
        <v>53</v>
      </c>
      <c r="D18" t="s">
        <v>54</v>
      </c>
      <c r="E18" t="s">
        <v>30</v>
      </c>
      <c r="F18" t="s">
        <v>25</v>
      </c>
      <c r="H18" s="3">
        <v>46181</v>
      </c>
    </row>
    <row r="19" spans="1:8" ht="14.25">
      <c r="A19">
        <v>1275</v>
      </c>
      <c r="B19" t="s">
        <v>52</v>
      </c>
      <c r="C19" t="s">
        <v>55</v>
      </c>
      <c r="D19" t="s">
        <v>23</v>
      </c>
      <c r="E19" t="s">
        <v>30</v>
      </c>
      <c r="F19" t="s">
        <v>35</v>
      </c>
      <c r="H19" s="3">
        <v>46181</v>
      </c>
    </row>
    <row r="20" spans="1:8" ht="14.25">
      <c r="A20">
        <v>68</v>
      </c>
      <c r="B20" t="s">
        <v>56</v>
      </c>
      <c r="C20" t="s">
        <v>57</v>
      </c>
      <c r="D20" t="s">
        <v>48</v>
      </c>
      <c r="E20" t="s">
        <v>24</v>
      </c>
      <c r="F20" t="s">
        <v>27</v>
      </c>
      <c r="G20">
        <v>35</v>
      </c>
      <c r="H20" s="3">
        <v>46181</v>
      </c>
    </row>
    <row r="21" spans="1:8" ht="14.25">
      <c r="A21">
        <v>1035</v>
      </c>
      <c r="B21" t="s">
        <v>58</v>
      </c>
      <c r="C21" t="s">
        <v>59</v>
      </c>
      <c r="D21" t="s">
        <v>23</v>
      </c>
      <c r="E21" t="s">
        <v>24</v>
      </c>
      <c r="F21" t="s">
        <v>27</v>
      </c>
      <c r="G21">
        <v>6</v>
      </c>
      <c r="H21" s="3">
        <v>46181</v>
      </c>
    </row>
    <row r="22" spans="1:8" ht="14.25">
      <c r="A22">
        <v>1416</v>
      </c>
      <c r="B22" t="s">
        <v>60</v>
      </c>
      <c r="C22" t="s">
        <v>61</v>
      </c>
      <c r="D22" t="s">
        <v>23</v>
      </c>
      <c r="E22" t="s">
        <v>24</v>
      </c>
      <c r="F22" t="s">
        <v>25</v>
      </c>
      <c r="H22" s="3">
        <v>46181</v>
      </c>
    </row>
    <row r="23" spans="1:8" ht="14.25">
      <c r="A23">
        <v>1326</v>
      </c>
      <c r="B23" t="s">
        <v>62</v>
      </c>
      <c r="C23" t="s">
        <v>63</v>
      </c>
      <c r="D23" t="s">
        <v>23</v>
      </c>
      <c r="E23" t="s">
        <v>30</v>
      </c>
      <c r="F23" t="s">
        <v>25</v>
      </c>
      <c r="H23" s="3">
        <v>46181</v>
      </c>
    </row>
    <row r="24" spans="1:8" ht="14.25">
      <c r="A24">
        <v>477</v>
      </c>
      <c r="B24" t="s">
        <v>64</v>
      </c>
      <c r="C24" t="s">
        <v>65</v>
      </c>
      <c r="D24" t="s">
        <v>23</v>
      </c>
      <c r="E24" t="s">
        <v>30</v>
      </c>
      <c r="F24" t="s">
        <v>27</v>
      </c>
      <c r="G24">
        <v>34</v>
      </c>
      <c r="H24" s="3">
        <v>46181</v>
      </c>
    </row>
    <row r="25" spans="1:8" ht="14.25">
      <c r="A25">
        <v>10</v>
      </c>
      <c r="B25" t="s">
        <v>64</v>
      </c>
      <c r="C25" t="s">
        <v>66</v>
      </c>
      <c r="D25" t="s">
        <v>48</v>
      </c>
      <c r="E25" t="s">
        <v>24</v>
      </c>
      <c r="F25" t="s">
        <v>27</v>
      </c>
      <c r="G25">
        <v>35</v>
      </c>
      <c r="H25" s="3">
        <v>46181</v>
      </c>
    </row>
    <row r="26" spans="1:8" ht="14.25">
      <c r="A26">
        <v>1414</v>
      </c>
      <c r="B26" t="s">
        <v>67</v>
      </c>
      <c r="C26" t="s">
        <v>36</v>
      </c>
      <c r="D26" t="s">
        <v>23</v>
      </c>
      <c r="E26" t="s">
        <v>24</v>
      </c>
      <c r="F26" t="s">
        <v>27</v>
      </c>
      <c r="G26">
        <v>13</v>
      </c>
      <c r="H26" s="3">
        <v>46181</v>
      </c>
    </row>
    <row r="27" spans="1:8" ht="14.25">
      <c r="A27">
        <v>1029</v>
      </c>
      <c r="B27" t="s">
        <v>68</v>
      </c>
      <c r="C27" t="s">
        <v>69</v>
      </c>
      <c r="D27" t="s">
        <v>23</v>
      </c>
      <c r="E27" t="s">
        <v>24</v>
      </c>
      <c r="F27" t="s">
        <v>27</v>
      </c>
      <c r="G27">
        <v>28</v>
      </c>
      <c r="H27" s="3">
        <v>46181</v>
      </c>
    </row>
    <row r="28" spans="1:8" ht="14.25">
      <c r="A28">
        <v>13</v>
      </c>
      <c r="B28" t="s">
        <v>70</v>
      </c>
      <c r="C28" t="s">
        <v>51</v>
      </c>
      <c r="D28" t="s">
        <v>23</v>
      </c>
      <c r="E28" t="s">
        <v>24</v>
      </c>
      <c r="F28" t="s">
        <v>27</v>
      </c>
      <c r="G28">
        <v>28</v>
      </c>
      <c r="H28" s="3">
        <v>46181</v>
      </c>
    </row>
    <row r="29" spans="1:8" ht="14.25">
      <c r="A29">
        <v>1255</v>
      </c>
      <c r="B29" t="s">
        <v>71</v>
      </c>
      <c r="C29" t="s">
        <v>72</v>
      </c>
      <c r="D29" t="s">
        <v>23</v>
      </c>
      <c r="E29" t="s">
        <v>30</v>
      </c>
      <c r="F29" t="s">
        <v>27</v>
      </c>
      <c r="G29">
        <v>13</v>
      </c>
      <c r="H29" s="3">
        <v>46181</v>
      </c>
    </row>
    <row r="30" spans="1:8" ht="14.25">
      <c r="A30">
        <v>1405</v>
      </c>
      <c r="B30" t="s">
        <v>73</v>
      </c>
      <c r="C30" t="s">
        <v>74</v>
      </c>
      <c r="D30" t="s">
        <v>23</v>
      </c>
      <c r="E30" t="s">
        <v>30</v>
      </c>
      <c r="F30" t="s">
        <v>35</v>
      </c>
      <c r="H30" s="3">
        <v>46181</v>
      </c>
    </row>
    <row r="31" spans="1:8" ht="14.25">
      <c r="A31">
        <v>1421</v>
      </c>
      <c r="B31" t="s">
        <v>75</v>
      </c>
      <c r="C31" t="s">
        <v>76</v>
      </c>
      <c r="D31" t="s">
        <v>23</v>
      </c>
      <c r="E31" t="s">
        <v>30</v>
      </c>
      <c r="F31" t="s">
        <v>27</v>
      </c>
      <c r="G31">
        <v>12</v>
      </c>
      <c r="H31" s="3">
        <v>46181</v>
      </c>
    </row>
    <row r="32" spans="1:8" ht="14.25">
      <c r="A32">
        <v>1418</v>
      </c>
      <c r="B32" t="s">
        <v>75</v>
      </c>
      <c r="C32" t="s">
        <v>22</v>
      </c>
      <c r="D32" t="s">
        <v>23</v>
      </c>
      <c r="E32" t="s">
        <v>24</v>
      </c>
      <c r="F32" t="s">
        <v>25</v>
      </c>
      <c r="H32" s="3">
        <v>46181</v>
      </c>
    </row>
    <row r="33" spans="1:8" ht="14.25">
      <c r="A33">
        <v>919</v>
      </c>
      <c r="B33" t="s">
        <v>77</v>
      </c>
      <c r="C33" t="s">
        <v>51</v>
      </c>
      <c r="D33" t="s">
        <v>23</v>
      </c>
      <c r="E33" t="s">
        <v>24</v>
      </c>
      <c r="F33" t="s">
        <v>27</v>
      </c>
      <c r="G33">
        <v>16</v>
      </c>
      <c r="H33" s="3">
        <v>46181</v>
      </c>
    </row>
    <row r="34" spans="1:8" ht="14.25">
      <c r="A34">
        <v>1319</v>
      </c>
      <c r="B34" t="s">
        <v>78</v>
      </c>
      <c r="C34" t="s">
        <v>32</v>
      </c>
      <c r="D34" t="s">
        <v>23</v>
      </c>
      <c r="E34" t="s">
        <v>24</v>
      </c>
      <c r="F34" t="s">
        <v>27</v>
      </c>
      <c r="G34">
        <v>9</v>
      </c>
      <c r="H34" s="3">
        <v>46181</v>
      </c>
    </row>
    <row r="35" spans="1:8" ht="14.25">
      <c r="A35">
        <v>1389</v>
      </c>
      <c r="B35" t="s">
        <v>79</v>
      </c>
      <c r="C35" t="s">
        <v>80</v>
      </c>
      <c r="D35" t="s">
        <v>23</v>
      </c>
      <c r="E35" t="s">
        <v>24</v>
      </c>
      <c r="F35" t="s">
        <v>25</v>
      </c>
      <c r="H35" s="3">
        <v>46181</v>
      </c>
    </row>
    <row r="36" spans="1:8" ht="14.25">
      <c r="A36">
        <v>940</v>
      </c>
      <c r="B36" t="s">
        <v>81</v>
      </c>
      <c r="C36" t="s">
        <v>82</v>
      </c>
      <c r="D36" t="s">
        <v>23</v>
      </c>
      <c r="E36" t="s">
        <v>30</v>
      </c>
      <c r="F36" t="s">
        <v>27</v>
      </c>
      <c r="G36">
        <v>9</v>
      </c>
      <c r="H36" s="3">
        <v>46181</v>
      </c>
    </row>
    <row r="37" spans="1:8" ht="14.25">
      <c r="A37">
        <v>806</v>
      </c>
      <c r="B37" t="s">
        <v>81</v>
      </c>
      <c r="C37" t="s">
        <v>83</v>
      </c>
      <c r="D37" t="s">
        <v>23</v>
      </c>
      <c r="E37" t="s">
        <v>24</v>
      </c>
      <c r="F37" t="s">
        <v>27</v>
      </c>
      <c r="G37">
        <v>11</v>
      </c>
      <c r="H37" s="3">
        <v>46181</v>
      </c>
    </row>
    <row r="38" spans="1:8" ht="14.25">
      <c r="A38">
        <v>482</v>
      </c>
      <c r="B38" t="s">
        <v>84</v>
      </c>
      <c r="C38" t="s">
        <v>85</v>
      </c>
      <c r="D38" t="s">
        <v>23</v>
      </c>
      <c r="E38" t="s">
        <v>24</v>
      </c>
      <c r="F38" t="s">
        <v>27</v>
      </c>
      <c r="G38">
        <v>13</v>
      </c>
      <c r="H38" s="3">
        <v>46181</v>
      </c>
    </row>
    <row r="39" spans="1:8" ht="14.25">
      <c r="A39">
        <v>674</v>
      </c>
      <c r="B39" t="s">
        <v>86</v>
      </c>
      <c r="C39" t="s">
        <v>87</v>
      </c>
      <c r="D39" t="s">
        <v>54</v>
      </c>
      <c r="E39" t="s">
        <v>30</v>
      </c>
      <c r="F39" t="s">
        <v>27</v>
      </c>
      <c r="G39">
        <v>23</v>
      </c>
      <c r="H39" s="3">
        <v>46181</v>
      </c>
    </row>
    <row r="40" spans="1:8" ht="14.25">
      <c r="A40">
        <v>1061</v>
      </c>
      <c r="B40" t="s">
        <v>88</v>
      </c>
      <c r="C40" t="s">
        <v>89</v>
      </c>
      <c r="D40" t="s">
        <v>23</v>
      </c>
      <c r="E40" t="s">
        <v>24</v>
      </c>
      <c r="F40" t="s">
        <v>27</v>
      </c>
      <c r="G40">
        <v>19</v>
      </c>
      <c r="H40" s="3">
        <v>46181</v>
      </c>
    </row>
    <row r="41" spans="1:8" ht="14.25">
      <c r="A41">
        <v>763</v>
      </c>
      <c r="B41" t="s">
        <v>90</v>
      </c>
      <c r="C41" t="s">
        <v>59</v>
      </c>
      <c r="D41" t="s">
        <v>23</v>
      </c>
      <c r="E41" t="s">
        <v>24</v>
      </c>
      <c r="F41" t="s">
        <v>27</v>
      </c>
      <c r="G41">
        <v>17</v>
      </c>
      <c r="H41" s="3">
        <v>46181</v>
      </c>
    </row>
    <row r="42" spans="1:8" ht="14.25">
      <c r="A42">
        <v>1227</v>
      </c>
      <c r="B42" t="s">
        <v>91</v>
      </c>
      <c r="C42" t="s">
        <v>92</v>
      </c>
      <c r="D42" t="s">
        <v>23</v>
      </c>
      <c r="E42" t="s">
        <v>30</v>
      </c>
      <c r="F42" t="s">
        <v>27</v>
      </c>
      <c r="G42">
        <v>8</v>
      </c>
      <c r="H42" s="3">
        <v>46181</v>
      </c>
    </row>
    <row r="43" spans="1:8" ht="14.25">
      <c r="A43">
        <v>715</v>
      </c>
      <c r="B43" t="s">
        <v>93</v>
      </c>
      <c r="C43" t="s">
        <v>94</v>
      </c>
      <c r="D43" t="s">
        <v>23</v>
      </c>
      <c r="E43" t="s">
        <v>24</v>
      </c>
      <c r="F43" t="s">
        <v>27</v>
      </c>
      <c r="G43">
        <v>5</v>
      </c>
      <c r="H43" s="3">
        <v>46181</v>
      </c>
    </row>
    <row r="44" spans="1:8" ht="14.25">
      <c r="A44">
        <v>567</v>
      </c>
      <c r="B44" t="s">
        <v>95</v>
      </c>
      <c r="C44" t="s">
        <v>96</v>
      </c>
      <c r="D44" t="s">
        <v>23</v>
      </c>
      <c r="E44" t="s">
        <v>24</v>
      </c>
      <c r="F44" t="s">
        <v>27</v>
      </c>
      <c r="G44">
        <v>7</v>
      </c>
      <c r="H44" s="3">
        <v>46181</v>
      </c>
    </row>
    <row r="45" spans="1:8" ht="14.25">
      <c r="A45">
        <v>1391</v>
      </c>
      <c r="B45" t="s">
        <v>97</v>
      </c>
      <c r="C45" t="s">
        <v>98</v>
      </c>
      <c r="D45" t="s">
        <v>23</v>
      </c>
      <c r="E45" t="s">
        <v>30</v>
      </c>
      <c r="F45" t="s">
        <v>25</v>
      </c>
      <c r="H45" s="3">
        <v>46181</v>
      </c>
    </row>
    <row r="46" spans="1:8" ht="14.25">
      <c r="A46">
        <v>704</v>
      </c>
      <c r="B46" t="s">
        <v>99</v>
      </c>
      <c r="C46" t="s">
        <v>100</v>
      </c>
      <c r="D46" t="s">
        <v>23</v>
      </c>
      <c r="E46" t="s">
        <v>24</v>
      </c>
      <c r="F46" t="s">
        <v>27</v>
      </c>
      <c r="G46">
        <v>21</v>
      </c>
      <c r="H46" s="3">
        <v>46181</v>
      </c>
    </row>
    <row r="47" spans="1:8" ht="14.25">
      <c r="A47">
        <v>1283</v>
      </c>
      <c r="B47" t="s">
        <v>101</v>
      </c>
      <c r="C47" t="s">
        <v>102</v>
      </c>
      <c r="D47" t="s">
        <v>23</v>
      </c>
      <c r="E47" t="s">
        <v>24</v>
      </c>
      <c r="F47" t="s">
        <v>27</v>
      </c>
      <c r="G47">
        <v>18</v>
      </c>
      <c r="H47" s="3">
        <v>46181</v>
      </c>
    </row>
    <row r="48" spans="1:8" ht="14.25">
      <c r="A48">
        <v>295</v>
      </c>
      <c r="B48" t="s">
        <v>103</v>
      </c>
      <c r="C48" t="s">
        <v>104</v>
      </c>
      <c r="D48" t="s">
        <v>23</v>
      </c>
      <c r="E48" t="s">
        <v>24</v>
      </c>
      <c r="F48" t="s">
        <v>27</v>
      </c>
      <c r="G48">
        <v>15</v>
      </c>
      <c r="H48" s="3">
        <v>46181</v>
      </c>
    </row>
    <row r="49" spans="1:8" ht="14.25">
      <c r="A49">
        <v>1226</v>
      </c>
      <c r="B49" t="s">
        <v>105</v>
      </c>
      <c r="C49" t="s">
        <v>106</v>
      </c>
      <c r="D49" t="s">
        <v>23</v>
      </c>
      <c r="E49" t="s">
        <v>30</v>
      </c>
      <c r="F49" t="s">
        <v>25</v>
      </c>
      <c r="H49" s="3">
        <v>46181</v>
      </c>
    </row>
    <row r="50" spans="1:8" ht="14.25">
      <c r="A50">
        <v>1333</v>
      </c>
      <c r="B50" t="s">
        <v>107</v>
      </c>
      <c r="C50" t="s">
        <v>108</v>
      </c>
      <c r="D50" t="s">
        <v>23</v>
      </c>
      <c r="E50" t="s">
        <v>24</v>
      </c>
      <c r="F50" t="s">
        <v>27</v>
      </c>
      <c r="G50">
        <v>3</v>
      </c>
      <c r="H50" s="3">
        <v>46181</v>
      </c>
    </row>
    <row r="51" spans="1:8" ht="14.25">
      <c r="A51">
        <v>1185</v>
      </c>
      <c r="B51" t="s">
        <v>109</v>
      </c>
      <c r="C51" t="s">
        <v>110</v>
      </c>
      <c r="D51" t="s">
        <v>23</v>
      </c>
      <c r="E51" t="s">
        <v>30</v>
      </c>
      <c r="F51" t="s">
        <v>35</v>
      </c>
      <c r="H51" s="3">
        <v>46181</v>
      </c>
    </row>
    <row r="52" spans="1:8" ht="14.25">
      <c r="A52">
        <v>1065</v>
      </c>
      <c r="B52" t="s">
        <v>109</v>
      </c>
      <c r="C52" t="s">
        <v>41</v>
      </c>
      <c r="D52" t="s">
        <v>23</v>
      </c>
      <c r="E52" t="s">
        <v>24</v>
      </c>
      <c r="F52" t="s">
        <v>27</v>
      </c>
      <c r="G52">
        <v>1</v>
      </c>
      <c r="H52" s="3">
        <v>46181</v>
      </c>
    </row>
    <row r="53" spans="1:8" ht="14.25">
      <c r="A53">
        <v>1407</v>
      </c>
      <c r="B53" t="s">
        <v>111</v>
      </c>
      <c r="C53" t="s">
        <v>112</v>
      </c>
      <c r="D53" t="s">
        <v>23</v>
      </c>
      <c r="E53" t="s">
        <v>24</v>
      </c>
      <c r="F53" t="s">
        <v>25</v>
      </c>
      <c r="H53" s="3">
        <v>46181</v>
      </c>
    </row>
    <row r="54" spans="1:8" ht="14.25">
      <c r="A54">
        <v>1096</v>
      </c>
      <c r="B54" t="s">
        <v>113</v>
      </c>
      <c r="C54" t="s">
        <v>114</v>
      </c>
      <c r="D54" t="s">
        <v>23</v>
      </c>
      <c r="E54" t="s">
        <v>24</v>
      </c>
      <c r="F54" t="s">
        <v>35</v>
      </c>
      <c r="H54" s="3">
        <v>46181</v>
      </c>
    </row>
    <row r="55" spans="1:8" ht="14.25">
      <c r="A55">
        <v>1236</v>
      </c>
      <c r="B55" t="s">
        <v>113</v>
      </c>
      <c r="C55" t="s">
        <v>115</v>
      </c>
      <c r="D55" t="s">
        <v>23</v>
      </c>
      <c r="E55" t="s">
        <v>30</v>
      </c>
      <c r="F55" t="s">
        <v>27</v>
      </c>
      <c r="G55">
        <v>5</v>
      </c>
      <c r="H55" s="3">
        <v>46181</v>
      </c>
    </row>
    <row r="56" spans="1:8" ht="14.25">
      <c r="A56">
        <v>699</v>
      </c>
      <c r="B56" t="s">
        <v>113</v>
      </c>
      <c r="C56" t="s">
        <v>116</v>
      </c>
      <c r="D56" t="s">
        <v>23</v>
      </c>
      <c r="E56" t="s">
        <v>24</v>
      </c>
      <c r="F56" t="s">
        <v>27</v>
      </c>
      <c r="G56">
        <v>5</v>
      </c>
      <c r="H56" s="3">
        <v>46181</v>
      </c>
    </row>
    <row r="57" spans="1:8" ht="14.25">
      <c r="A57">
        <v>1288</v>
      </c>
      <c r="B57" t="s">
        <v>117</v>
      </c>
      <c r="C57" t="s">
        <v>118</v>
      </c>
      <c r="D57" t="s">
        <v>23</v>
      </c>
      <c r="E57" t="s">
        <v>24</v>
      </c>
      <c r="F57" t="s">
        <v>35</v>
      </c>
      <c r="H57" s="3">
        <v>46181</v>
      </c>
    </row>
    <row r="58" spans="1:8" ht="14.25">
      <c r="A58">
        <v>1429</v>
      </c>
      <c r="B58" t="s">
        <v>117</v>
      </c>
      <c r="C58" t="s">
        <v>119</v>
      </c>
      <c r="D58" t="s">
        <v>23</v>
      </c>
      <c r="E58" t="s">
        <v>24</v>
      </c>
      <c r="F58" t="s">
        <v>35</v>
      </c>
      <c r="H58" s="3">
        <v>46181</v>
      </c>
    </row>
    <row r="59" spans="1:8" ht="14.25">
      <c r="A59">
        <v>1000</v>
      </c>
      <c r="B59" t="s">
        <v>120</v>
      </c>
      <c r="C59" t="s">
        <v>121</v>
      </c>
      <c r="D59" t="s">
        <v>23</v>
      </c>
      <c r="E59" t="s">
        <v>24</v>
      </c>
      <c r="F59" t="s">
        <v>25</v>
      </c>
      <c r="H59" s="3">
        <v>46181</v>
      </c>
    </row>
    <row r="60" spans="1:8" ht="14.25">
      <c r="A60">
        <v>1332</v>
      </c>
      <c r="B60" t="s">
        <v>122</v>
      </c>
      <c r="C60" t="s">
        <v>123</v>
      </c>
      <c r="D60" t="s">
        <v>23</v>
      </c>
      <c r="E60" t="s">
        <v>30</v>
      </c>
      <c r="F60" t="s">
        <v>25</v>
      </c>
      <c r="H60" s="3">
        <v>46181</v>
      </c>
    </row>
    <row r="61" spans="1:8" ht="14.25">
      <c r="A61">
        <v>682</v>
      </c>
      <c r="B61" t="s">
        <v>124</v>
      </c>
      <c r="C61" t="s">
        <v>125</v>
      </c>
      <c r="D61" t="s">
        <v>23</v>
      </c>
      <c r="E61" t="s">
        <v>24</v>
      </c>
      <c r="F61" t="s">
        <v>27</v>
      </c>
      <c r="G61">
        <v>11</v>
      </c>
      <c r="H61" s="3">
        <v>46181</v>
      </c>
    </row>
    <row r="62" spans="1:8" ht="14.25">
      <c r="A62">
        <v>1393</v>
      </c>
      <c r="B62" t="s">
        <v>126</v>
      </c>
      <c r="C62" t="s">
        <v>127</v>
      </c>
      <c r="D62" t="s">
        <v>23</v>
      </c>
      <c r="E62" t="s">
        <v>30</v>
      </c>
      <c r="F62" t="s">
        <v>27</v>
      </c>
      <c r="G62">
        <v>10</v>
      </c>
      <c r="H62" s="3">
        <v>46181</v>
      </c>
    </row>
    <row r="63" spans="1:8" ht="14.25">
      <c r="A63">
        <v>1355</v>
      </c>
      <c r="B63" t="s">
        <v>128</v>
      </c>
      <c r="C63" t="s">
        <v>129</v>
      </c>
      <c r="D63" t="s">
        <v>23</v>
      </c>
      <c r="E63" t="s">
        <v>24</v>
      </c>
      <c r="F63" t="s">
        <v>35</v>
      </c>
      <c r="H63" s="3">
        <v>46181</v>
      </c>
    </row>
    <row r="64" spans="1:8" ht="14.25">
      <c r="A64">
        <v>1164</v>
      </c>
      <c r="B64" t="s">
        <v>130</v>
      </c>
      <c r="C64" t="s">
        <v>131</v>
      </c>
      <c r="D64" t="s">
        <v>54</v>
      </c>
      <c r="E64" t="s">
        <v>30</v>
      </c>
      <c r="F64" t="s">
        <v>25</v>
      </c>
      <c r="H64" s="3">
        <v>46181</v>
      </c>
    </row>
    <row r="65" spans="1:8" ht="14.25">
      <c r="A65">
        <v>1062</v>
      </c>
      <c r="B65" t="s">
        <v>130</v>
      </c>
      <c r="C65" t="s">
        <v>83</v>
      </c>
      <c r="D65" t="s">
        <v>23</v>
      </c>
      <c r="E65" t="s">
        <v>24</v>
      </c>
      <c r="F65" t="s">
        <v>27</v>
      </c>
      <c r="G65">
        <v>9</v>
      </c>
      <c r="H65" s="3">
        <v>46181</v>
      </c>
    </row>
    <row r="66" spans="1:8" ht="14.25">
      <c r="A66">
        <v>938</v>
      </c>
      <c r="B66" t="s">
        <v>130</v>
      </c>
      <c r="C66" t="s">
        <v>132</v>
      </c>
      <c r="D66" t="s">
        <v>23</v>
      </c>
      <c r="E66" t="s">
        <v>30</v>
      </c>
      <c r="F66" t="s">
        <v>27</v>
      </c>
      <c r="G66">
        <v>7</v>
      </c>
      <c r="H66" s="3">
        <v>46181</v>
      </c>
    </row>
    <row r="67" spans="1:8" ht="14.25">
      <c r="A67">
        <v>1427</v>
      </c>
      <c r="B67" t="s">
        <v>130</v>
      </c>
      <c r="C67" t="s">
        <v>133</v>
      </c>
      <c r="D67" t="s">
        <v>23</v>
      </c>
      <c r="E67" t="s">
        <v>30</v>
      </c>
      <c r="F67" t="s">
        <v>27</v>
      </c>
      <c r="G67">
        <v>16</v>
      </c>
      <c r="H67" s="3">
        <v>46181</v>
      </c>
    </row>
    <row r="68" spans="1:8" ht="14.25">
      <c r="A68">
        <v>1034</v>
      </c>
      <c r="B68" t="s">
        <v>134</v>
      </c>
      <c r="C68" t="s">
        <v>83</v>
      </c>
      <c r="D68" t="s">
        <v>23</v>
      </c>
      <c r="E68" t="s">
        <v>24</v>
      </c>
      <c r="F68" t="s">
        <v>25</v>
      </c>
      <c r="H68" s="3">
        <v>46181</v>
      </c>
    </row>
    <row r="69" spans="1:8" ht="14.25">
      <c r="A69">
        <v>1402</v>
      </c>
      <c r="B69" t="s">
        <v>135</v>
      </c>
      <c r="C69" t="s">
        <v>136</v>
      </c>
      <c r="D69" t="s">
        <v>23</v>
      </c>
      <c r="E69" t="s">
        <v>24</v>
      </c>
      <c r="F69" t="s">
        <v>27</v>
      </c>
      <c r="G69">
        <v>7</v>
      </c>
      <c r="H69" s="3">
        <v>46181</v>
      </c>
    </row>
    <row r="70" spans="1:8" ht="14.25">
      <c r="A70">
        <v>939</v>
      </c>
      <c r="B70" t="s">
        <v>137</v>
      </c>
      <c r="C70" t="s">
        <v>127</v>
      </c>
      <c r="D70" t="s">
        <v>23</v>
      </c>
      <c r="E70" t="s">
        <v>30</v>
      </c>
      <c r="F70" t="s">
        <v>27</v>
      </c>
      <c r="G70">
        <v>12</v>
      </c>
      <c r="H70" s="3">
        <v>46181</v>
      </c>
    </row>
    <row r="71" spans="1:8" ht="14.25">
      <c r="A71">
        <v>1377</v>
      </c>
      <c r="B71" t="s">
        <v>138</v>
      </c>
      <c r="C71" t="s">
        <v>139</v>
      </c>
      <c r="D71" t="s">
        <v>23</v>
      </c>
      <c r="E71" t="s">
        <v>30</v>
      </c>
      <c r="F71" t="s">
        <v>27</v>
      </c>
      <c r="G71">
        <v>12</v>
      </c>
      <c r="H71" s="3">
        <v>46181</v>
      </c>
    </row>
    <row r="72" spans="1:8" ht="14.25">
      <c r="A72">
        <v>1281</v>
      </c>
      <c r="B72" t="s">
        <v>140</v>
      </c>
      <c r="C72" t="s">
        <v>141</v>
      </c>
      <c r="D72" t="s">
        <v>23</v>
      </c>
      <c r="E72" t="s">
        <v>24</v>
      </c>
      <c r="F72" t="s">
        <v>27</v>
      </c>
      <c r="G72">
        <v>19</v>
      </c>
      <c r="H72" s="3">
        <v>46181</v>
      </c>
    </row>
    <row r="73" spans="1:8" ht="14.25">
      <c r="A73">
        <v>933</v>
      </c>
      <c r="B73" t="s">
        <v>142</v>
      </c>
      <c r="C73" t="s">
        <v>143</v>
      </c>
      <c r="D73" t="s">
        <v>23</v>
      </c>
      <c r="E73" t="s">
        <v>24</v>
      </c>
      <c r="F73" t="s">
        <v>25</v>
      </c>
      <c r="H73" s="3">
        <v>46181</v>
      </c>
    </row>
    <row r="74" spans="1:8" ht="14.25">
      <c r="A74">
        <v>1274</v>
      </c>
      <c r="B74" t="s">
        <v>144</v>
      </c>
      <c r="C74" t="s">
        <v>145</v>
      </c>
      <c r="D74" t="s">
        <v>23</v>
      </c>
      <c r="E74" t="s">
        <v>30</v>
      </c>
      <c r="F74" t="s">
        <v>25</v>
      </c>
      <c r="H74" s="3">
        <v>46181</v>
      </c>
    </row>
    <row r="75" spans="1:8" ht="14.25">
      <c r="A75">
        <v>493</v>
      </c>
      <c r="B75" t="s">
        <v>146</v>
      </c>
      <c r="C75" t="s">
        <v>49</v>
      </c>
      <c r="D75" t="s">
        <v>48</v>
      </c>
      <c r="E75" t="s">
        <v>24</v>
      </c>
      <c r="F75" t="s">
        <v>27</v>
      </c>
      <c r="G75">
        <v>37</v>
      </c>
      <c r="H75" s="3">
        <v>46181</v>
      </c>
    </row>
    <row r="76" spans="1:8" ht="14.25">
      <c r="A76">
        <v>1279</v>
      </c>
      <c r="B76" t="s">
        <v>147</v>
      </c>
      <c r="C76" t="s">
        <v>148</v>
      </c>
      <c r="D76" t="s">
        <v>23</v>
      </c>
      <c r="E76" t="s">
        <v>24</v>
      </c>
      <c r="F76" t="s">
        <v>27</v>
      </c>
      <c r="G76">
        <v>4</v>
      </c>
      <c r="H76" s="3">
        <v>46181</v>
      </c>
    </row>
    <row r="77" spans="1:8" ht="14.25">
      <c r="A77">
        <v>1193</v>
      </c>
      <c r="B77" t="s">
        <v>149</v>
      </c>
      <c r="C77" t="s">
        <v>150</v>
      </c>
      <c r="D77" t="s">
        <v>23</v>
      </c>
      <c r="E77" t="s">
        <v>24</v>
      </c>
      <c r="F77" t="s">
        <v>25</v>
      </c>
      <c r="H77" s="3">
        <v>46181</v>
      </c>
    </row>
    <row r="78" spans="1:8" ht="14.25">
      <c r="A78">
        <v>1194</v>
      </c>
      <c r="B78" t="s">
        <v>149</v>
      </c>
      <c r="C78" t="s">
        <v>151</v>
      </c>
      <c r="D78" t="s">
        <v>23</v>
      </c>
      <c r="E78" t="s">
        <v>30</v>
      </c>
      <c r="F78" t="s">
        <v>25</v>
      </c>
      <c r="H78" s="3">
        <v>46181</v>
      </c>
    </row>
    <row r="79" spans="1:8" ht="14.25">
      <c r="A79">
        <v>1196</v>
      </c>
      <c r="B79" t="s">
        <v>149</v>
      </c>
      <c r="C79" t="s">
        <v>152</v>
      </c>
      <c r="D79" t="s">
        <v>23</v>
      </c>
      <c r="E79" t="s">
        <v>24</v>
      </c>
      <c r="F79" t="s">
        <v>35</v>
      </c>
      <c r="H79" s="3">
        <v>46181</v>
      </c>
    </row>
    <row r="80" spans="1:8" ht="14.25">
      <c r="A80">
        <v>1195</v>
      </c>
      <c r="B80" t="s">
        <v>149</v>
      </c>
      <c r="C80" t="s">
        <v>153</v>
      </c>
      <c r="D80" t="s">
        <v>23</v>
      </c>
      <c r="E80" t="s">
        <v>24</v>
      </c>
      <c r="F80" t="s">
        <v>35</v>
      </c>
      <c r="H80" s="3">
        <v>46181</v>
      </c>
    </row>
    <row r="81" spans="1:8" ht="14.25">
      <c r="A81">
        <v>1176</v>
      </c>
      <c r="B81" t="s">
        <v>154</v>
      </c>
      <c r="C81" t="s">
        <v>155</v>
      </c>
      <c r="D81" t="s">
        <v>23</v>
      </c>
      <c r="E81" t="s">
        <v>24</v>
      </c>
      <c r="F81" t="s">
        <v>35</v>
      </c>
      <c r="H81" s="3">
        <v>46181</v>
      </c>
    </row>
    <row r="82" spans="1:8" ht="14.25">
      <c r="A82">
        <v>1174</v>
      </c>
      <c r="B82" t="s">
        <v>154</v>
      </c>
      <c r="C82" t="s">
        <v>156</v>
      </c>
      <c r="D82" t="s">
        <v>23</v>
      </c>
      <c r="E82" t="s">
        <v>30</v>
      </c>
      <c r="F82" t="s">
        <v>27</v>
      </c>
      <c r="G82">
        <v>6</v>
      </c>
      <c r="H82" s="3">
        <v>46181</v>
      </c>
    </row>
    <row r="83" spans="1:8" ht="14.25">
      <c r="A83">
        <v>1175</v>
      </c>
      <c r="B83" t="s">
        <v>154</v>
      </c>
      <c r="C83" t="s">
        <v>150</v>
      </c>
      <c r="D83" t="s">
        <v>23</v>
      </c>
      <c r="E83" t="s">
        <v>24</v>
      </c>
      <c r="F83" t="s">
        <v>27</v>
      </c>
      <c r="G83">
        <v>12</v>
      </c>
      <c r="H83" s="3">
        <v>46181</v>
      </c>
    </row>
    <row r="84" spans="1:8" ht="14.25">
      <c r="A84">
        <v>1109</v>
      </c>
      <c r="B84" t="s">
        <v>157</v>
      </c>
      <c r="C84" t="s">
        <v>104</v>
      </c>
      <c r="D84" t="s">
        <v>23</v>
      </c>
      <c r="E84" t="s">
        <v>24</v>
      </c>
      <c r="F84" t="s">
        <v>25</v>
      </c>
      <c r="H84" s="3">
        <v>46181</v>
      </c>
    </row>
    <row r="85" spans="1:8" ht="14.25">
      <c r="A85">
        <v>1073</v>
      </c>
      <c r="B85" t="s">
        <v>158</v>
      </c>
      <c r="C85" t="s">
        <v>150</v>
      </c>
      <c r="D85" t="s">
        <v>23</v>
      </c>
      <c r="E85" t="s">
        <v>24</v>
      </c>
      <c r="F85" t="s">
        <v>27</v>
      </c>
      <c r="G85">
        <v>3</v>
      </c>
      <c r="H85" s="3">
        <v>46181</v>
      </c>
    </row>
    <row r="86" spans="1:8" ht="14.25">
      <c r="A86">
        <v>1400</v>
      </c>
      <c r="B86" t="s">
        <v>159</v>
      </c>
      <c r="C86" t="s">
        <v>160</v>
      </c>
      <c r="D86" t="s">
        <v>23</v>
      </c>
      <c r="E86" t="s">
        <v>24</v>
      </c>
      <c r="F86" t="s">
        <v>25</v>
      </c>
      <c r="H86" s="3">
        <v>46181</v>
      </c>
    </row>
    <row r="87" spans="1:8" ht="14.25">
      <c r="A87">
        <v>1367</v>
      </c>
      <c r="B87" t="s">
        <v>161</v>
      </c>
      <c r="C87" t="s">
        <v>152</v>
      </c>
      <c r="D87" t="s">
        <v>23</v>
      </c>
      <c r="E87" t="s">
        <v>24</v>
      </c>
      <c r="F87" t="s">
        <v>35</v>
      </c>
      <c r="H87" s="3">
        <v>46181</v>
      </c>
    </row>
    <row r="88" spans="1:8" ht="14.25">
      <c r="A88">
        <v>1366</v>
      </c>
      <c r="B88" t="s">
        <v>161</v>
      </c>
      <c r="C88" t="s">
        <v>162</v>
      </c>
      <c r="D88" t="s">
        <v>23</v>
      </c>
      <c r="E88" t="s">
        <v>30</v>
      </c>
      <c r="F88" t="s">
        <v>25</v>
      </c>
      <c r="H88" s="3">
        <v>46181</v>
      </c>
    </row>
    <row r="89" spans="1:8" ht="14.25">
      <c r="A89">
        <v>1365</v>
      </c>
      <c r="B89" t="s">
        <v>161</v>
      </c>
      <c r="C89" t="s">
        <v>163</v>
      </c>
      <c r="D89" t="s">
        <v>23</v>
      </c>
      <c r="E89" t="s">
        <v>30</v>
      </c>
      <c r="F89" t="s">
        <v>27</v>
      </c>
      <c r="G89">
        <v>7</v>
      </c>
      <c r="H89" s="3">
        <v>46181</v>
      </c>
    </row>
    <row r="90" spans="1:8" ht="14.25">
      <c r="A90">
        <v>897</v>
      </c>
      <c r="B90" t="s">
        <v>161</v>
      </c>
      <c r="C90" t="s">
        <v>164</v>
      </c>
      <c r="D90" t="s">
        <v>23</v>
      </c>
      <c r="E90" t="s">
        <v>24</v>
      </c>
      <c r="F90" t="s">
        <v>27</v>
      </c>
      <c r="G90">
        <v>13</v>
      </c>
      <c r="H90" s="3">
        <v>46181</v>
      </c>
    </row>
    <row r="91" spans="1:8" ht="14.25">
      <c r="A91">
        <v>1308</v>
      </c>
      <c r="B91" t="s">
        <v>165</v>
      </c>
      <c r="C91" t="s">
        <v>166</v>
      </c>
      <c r="D91" t="s">
        <v>23</v>
      </c>
      <c r="E91" t="s">
        <v>30</v>
      </c>
      <c r="F91" t="s">
        <v>27</v>
      </c>
      <c r="G91">
        <v>2</v>
      </c>
      <c r="H91" s="3">
        <v>46181</v>
      </c>
    </row>
    <row r="92" spans="1:8" ht="14.25">
      <c r="A92">
        <v>1206</v>
      </c>
      <c r="B92" t="s">
        <v>167</v>
      </c>
      <c r="C92" t="s">
        <v>168</v>
      </c>
      <c r="D92" t="s">
        <v>23</v>
      </c>
      <c r="E92" t="s">
        <v>30</v>
      </c>
      <c r="F92" t="s">
        <v>27</v>
      </c>
      <c r="G92">
        <v>8</v>
      </c>
      <c r="H92" s="3">
        <v>46181</v>
      </c>
    </row>
    <row r="93" spans="1:8" ht="14.25">
      <c r="A93">
        <v>1205</v>
      </c>
      <c r="B93" t="s">
        <v>167</v>
      </c>
      <c r="C93" t="s">
        <v>66</v>
      </c>
      <c r="D93" t="s">
        <v>23</v>
      </c>
      <c r="E93" t="s">
        <v>24</v>
      </c>
      <c r="F93" t="s">
        <v>27</v>
      </c>
      <c r="G93">
        <v>14</v>
      </c>
      <c r="H93" s="3">
        <v>46181</v>
      </c>
    </row>
    <row r="94" spans="1:8" ht="14.25">
      <c r="A94">
        <v>1406</v>
      </c>
      <c r="B94" t="s">
        <v>169</v>
      </c>
      <c r="C94" t="s">
        <v>170</v>
      </c>
      <c r="D94" t="s">
        <v>23</v>
      </c>
      <c r="E94" t="s">
        <v>24</v>
      </c>
      <c r="F94" t="s">
        <v>27</v>
      </c>
      <c r="G94">
        <v>9</v>
      </c>
      <c r="H94" s="3">
        <v>46181</v>
      </c>
    </row>
    <row r="95" spans="1:8" ht="14.25">
      <c r="A95">
        <v>1182</v>
      </c>
      <c r="B95" t="s">
        <v>171</v>
      </c>
      <c r="C95" t="s">
        <v>136</v>
      </c>
      <c r="D95" t="s">
        <v>23</v>
      </c>
      <c r="E95" t="s">
        <v>24</v>
      </c>
      <c r="F95" t="s">
        <v>27</v>
      </c>
      <c r="G95">
        <v>8</v>
      </c>
      <c r="H95" s="3">
        <v>46181</v>
      </c>
    </row>
    <row r="96" spans="1:8" ht="14.25">
      <c r="A96">
        <v>1340</v>
      </c>
      <c r="B96" t="s">
        <v>172</v>
      </c>
      <c r="C96" t="s">
        <v>173</v>
      </c>
      <c r="D96" t="s">
        <v>23</v>
      </c>
      <c r="E96" t="s">
        <v>24</v>
      </c>
      <c r="F96" t="s">
        <v>27</v>
      </c>
      <c r="G96">
        <v>8</v>
      </c>
      <c r="H96" s="3">
        <v>46181</v>
      </c>
    </row>
    <row r="97" spans="1:8" ht="14.25">
      <c r="A97">
        <v>21</v>
      </c>
      <c r="B97" t="s">
        <v>174</v>
      </c>
      <c r="C97" t="s">
        <v>175</v>
      </c>
      <c r="D97" t="s">
        <v>23</v>
      </c>
      <c r="E97" t="s">
        <v>24</v>
      </c>
      <c r="F97" t="s">
        <v>25</v>
      </c>
      <c r="H97" s="3">
        <v>46181</v>
      </c>
    </row>
    <row r="98" spans="1:8" ht="14.25">
      <c r="A98">
        <v>1049</v>
      </c>
      <c r="B98" t="s">
        <v>176</v>
      </c>
      <c r="C98" t="s">
        <v>177</v>
      </c>
      <c r="D98" t="s">
        <v>23</v>
      </c>
      <c r="E98" t="s">
        <v>24</v>
      </c>
      <c r="F98" t="s">
        <v>27</v>
      </c>
      <c r="G98">
        <v>19</v>
      </c>
      <c r="H98" s="3">
        <v>46181</v>
      </c>
    </row>
    <row r="99" spans="1:8" ht="14.25">
      <c r="A99">
        <v>120</v>
      </c>
      <c r="B99" t="s">
        <v>178</v>
      </c>
      <c r="C99" t="s">
        <v>179</v>
      </c>
      <c r="D99" t="s">
        <v>23</v>
      </c>
      <c r="E99" t="s">
        <v>30</v>
      </c>
      <c r="F99" t="s">
        <v>27</v>
      </c>
      <c r="G99">
        <v>12</v>
      </c>
      <c r="H99" s="3">
        <v>46181</v>
      </c>
    </row>
    <row r="100" spans="1:8" ht="14.25">
      <c r="A100">
        <v>990</v>
      </c>
      <c r="B100" t="s">
        <v>180</v>
      </c>
      <c r="C100" t="s">
        <v>87</v>
      </c>
      <c r="D100" t="s">
        <v>23</v>
      </c>
      <c r="E100" t="s">
        <v>30</v>
      </c>
      <c r="F100" t="s">
        <v>27</v>
      </c>
      <c r="G100">
        <v>10</v>
      </c>
      <c r="H100" s="3">
        <v>46181</v>
      </c>
    </row>
    <row r="101" spans="1:8" ht="14.25">
      <c r="A101">
        <v>1395</v>
      </c>
      <c r="B101" t="s">
        <v>181</v>
      </c>
      <c r="C101" t="s">
        <v>182</v>
      </c>
      <c r="D101" t="s">
        <v>23</v>
      </c>
      <c r="E101" t="s">
        <v>30</v>
      </c>
      <c r="F101" t="s">
        <v>35</v>
      </c>
      <c r="H101" s="3">
        <v>46181</v>
      </c>
    </row>
    <row r="102" spans="1:8" ht="14.25">
      <c r="A102">
        <v>1158</v>
      </c>
      <c r="B102" t="s">
        <v>183</v>
      </c>
      <c r="C102" t="s">
        <v>184</v>
      </c>
      <c r="D102" t="s">
        <v>23</v>
      </c>
      <c r="E102" t="s">
        <v>30</v>
      </c>
      <c r="F102" t="s">
        <v>25</v>
      </c>
      <c r="H102" s="3">
        <v>46181</v>
      </c>
    </row>
    <row r="103" spans="1:8" ht="14.25">
      <c r="A103">
        <v>23</v>
      </c>
      <c r="B103" t="s">
        <v>185</v>
      </c>
      <c r="C103" t="s">
        <v>100</v>
      </c>
      <c r="D103" t="s">
        <v>23</v>
      </c>
      <c r="E103" t="s">
        <v>24</v>
      </c>
      <c r="F103" t="s">
        <v>27</v>
      </c>
      <c r="G103">
        <v>10</v>
      </c>
      <c r="H103" s="3">
        <v>46181</v>
      </c>
    </row>
    <row r="104" spans="1:8" ht="14.25">
      <c r="A104">
        <v>1152</v>
      </c>
      <c r="B104" t="s">
        <v>186</v>
      </c>
      <c r="C104" t="s">
        <v>187</v>
      </c>
      <c r="D104" t="s">
        <v>54</v>
      </c>
      <c r="E104" t="s">
        <v>30</v>
      </c>
      <c r="F104" t="s">
        <v>188</v>
      </c>
      <c r="H104" s="3">
        <v>46181</v>
      </c>
    </row>
    <row r="105" spans="1:8" ht="14.25">
      <c r="A105">
        <v>581</v>
      </c>
      <c r="B105" t="s">
        <v>189</v>
      </c>
      <c r="C105" t="s">
        <v>190</v>
      </c>
      <c r="D105" t="s">
        <v>23</v>
      </c>
      <c r="E105" t="s">
        <v>24</v>
      </c>
      <c r="F105" t="s">
        <v>27</v>
      </c>
      <c r="G105">
        <v>13</v>
      </c>
      <c r="H105" s="3">
        <v>46181</v>
      </c>
    </row>
    <row r="106" spans="1:8" ht="14.25">
      <c r="A106">
        <v>1374</v>
      </c>
      <c r="B106" t="s">
        <v>191</v>
      </c>
      <c r="C106" t="s">
        <v>192</v>
      </c>
      <c r="D106" t="s">
        <v>23</v>
      </c>
      <c r="E106" t="s">
        <v>24</v>
      </c>
      <c r="F106" t="s">
        <v>25</v>
      </c>
      <c r="H106" s="3">
        <v>46181</v>
      </c>
    </row>
    <row r="107" spans="1:8" ht="14.25">
      <c r="A107">
        <v>25</v>
      </c>
      <c r="B107" t="s">
        <v>22</v>
      </c>
      <c r="C107" t="s">
        <v>193</v>
      </c>
      <c r="D107" t="s">
        <v>23</v>
      </c>
      <c r="E107" t="s">
        <v>24</v>
      </c>
      <c r="F107" t="s">
        <v>27</v>
      </c>
      <c r="G107">
        <v>8</v>
      </c>
      <c r="H107" s="3">
        <v>46181</v>
      </c>
    </row>
    <row r="108" spans="1:8" ht="14.25">
      <c r="A108">
        <v>1257</v>
      </c>
      <c r="B108" t="s">
        <v>194</v>
      </c>
      <c r="C108" t="s">
        <v>150</v>
      </c>
      <c r="D108" t="s">
        <v>54</v>
      </c>
      <c r="E108" t="s">
        <v>24</v>
      </c>
      <c r="F108" t="s">
        <v>25</v>
      </c>
      <c r="H108" s="3">
        <v>46181</v>
      </c>
    </row>
    <row r="109" spans="1:8" ht="14.25">
      <c r="A109">
        <v>415</v>
      </c>
      <c r="B109" t="s">
        <v>195</v>
      </c>
      <c r="C109" t="s">
        <v>196</v>
      </c>
      <c r="D109" t="s">
        <v>23</v>
      </c>
      <c r="E109" t="s">
        <v>24</v>
      </c>
      <c r="F109" t="s">
        <v>27</v>
      </c>
      <c r="G109">
        <v>6</v>
      </c>
      <c r="H109" s="3">
        <v>46181</v>
      </c>
    </row>
    <row r="110" spans="1:8" ht="14.25">
      <c r="A110">
        <v>1144</v>
      </c>
      <c r="B110" t="s">
        <v>195</v>
      </c>
      <c r="C110" t="s">
        <v>197</v>
      </c>
      <c r="D110" t="s">
        <v>54</v>
      </c>
      <c r="E110" t="s">
        <v>24</v>
      </c>
      <c r="F110" t="s">
        <v>188</v>
      </c>
      <c r="H110" s="3">
        <v>46181</v>
      </c>
    </row>
    <row r="111" spans="1:8" ht="14.25">
      <c r="A111">
        <v>1292</v>
      </c>
      <c r="B111" t="s">
        <v>198</v>
      </c>
      <c r="C111" t="s">
        <v>199</v>
      </c>
      <c r="D111" t="s">
        <v>23</v>
      </c>
      <c r="E111" t="s">
        <v>30</v>
      </c>
      <c r="F111" t="s">
        <v>25</v>
      </c>
      <c r="H111" s="3">
        <v>46181</v>
      </c>
    </row>
    <row r="112" spans="1:8" ht="14.25">
      <c r="A112">
        <v>203</v>
      </c>
      <c r="B112" t="s">
        <v>200</v>
      </c>
      <c r="C112" t="s">
        <v>201</v>
      </c>
      <c r="D112" t="s">
        <v>23</v>
      </c>
      <c r="E112" t="s">
        <v>24</v>
      </c>
      <c r="F112" t="s">
        <v>27</v>
      </c>
      <c r="G112">
        <v>9</v>
      </c>
      <c r="H112" s="3">
        <v>46181</v>
      </c>
    </row>
    <row r="113" spans="1:8" ht="14.25">
      <c r="A113">
        <v>956</v>
      </c>
      <c r="B113" t="s">
        <v>202</v>
      </c>
      <c r="C113" t="s">
        <v>94</v>
      </c>
      <c r="D113" t="s">
        <v>23</v>
      </c>
      <c r="E113" t="s">
        <v>24</v>
      </c>
      <c r="F113" t="s">
        <v>27</v>
      </c>
      <c r="G113">
        <v>13</v>
      </c>
      <c r="H113" s="3">
        <v>46181</v>
      </c>
    </row>
    <row r="114" spans="1:8" ht="14.25">
      <c r="A114">
        <v>1273</v>
      </c>
      <c r="B114" t="s">
        <v>203</v>
      </c>
      <c r="C114" t="s">
        <v>204</v>
      </c>
      <c r="D114" t="s">
        <v>23</v>
      </c>
      <c r="E114" t="s">
        <v>30</v>
      </c>
      <c r="F114" t="s">
        <v>27</v>
      </c>
      <c r="G114">
        <v>22</v>
      </c>
      <c r="H114" s="3">
        <v>46181</v>
      </c>
    </row>
    <row r="115" spans="1:8" ht="14.25">
      <c r="A115">
        <v>1272</v>
      </c>
      <c r="B115" t="s">
        <v>203</v>
      </c>
      <c r="C115" t="s">
        <v>205</v>
      </c>
      <c r="D115" t="s">
        <v>23</v>
      </c>
      <c r="E115" t="s">
        <v>24</v>
      </c>
      <c r="F115" t="s">
        <v>27</v>
      </c>
      <c r="G115">
        <v>24</v>
      </c>
      <c r="H115" s="3">
        <v>46181</v>
      </c>
    </row>
    <row r="116" spans="1:8" ht="14.25">
      <c r="A116">
        <v>846</v>
      </c>
      <c r="B116" t="s">
        <v>206</v>
      </c>
      <c r="C116" t="s">
        <v>207</v>
      </c>
      <c r="D116" t="s">
        <v>23</v>
      </c>
      <c r="E116" t="s">
        <v>24</v>
      </c>
      <c r="F116" t="s">
        <v>27</v>
      </c>
      <c r="G116">
        <v>17</v>
      </c>
      <c r="H116" s="3">
        <v>46181</v>
      </c>
    </row>
    <row r="117" spans="1:8" ht="14.25">
      <c r="A117">
        <v>1162</v>
      </c>
      <c r="B117" t="s">
        <v>208</v>
      </c>
      <c r="C117" t="s">
        <v>150</v>
      </c>
      <c r="D117" t="s">
        <v>23</v>
      </c>
      <c r="E117" t="s">
        <v>24</v>
      </c>
      <c r="F117" t="s">
        <v>25</v>
      </c>
      <c r="H117" s="3">
        <v>46181</v>
      </c>
    </row>
    <row r="118" spans="1:8" ht="14.25">
      <c r="A118">
        <v>1244</v>
      </c>
      <c r="B118" t="s">
        <v>209</v>
      </c>
      <c r="C118" t="s">
        <v>94</v>
      </c>
      <c r="D118" t="s">
        <v>23</v>
      </c>
      <c r="E118" t="s">
        <v>24</v>
      </c>
      <c r="F118" t="s">
        <v>27</v>
      </c>
      <c r="G118">
        <v>2</v>
      </c>
      <c r="H118" s="3">
        <v>46181</v>
      </c>
    </row>
    <row r="119" spans="1:8" ht="14.25">
      <c r="A119">
        <v>1379</v>
      </c>
      <c r="B119" t="s">
        <v>209</v>
      </c>
      <c r="C119" t="s">
        <v>210</v>
      </c>
      <c r="D119" t="s">
        <v>23</v>
      </c>
      <c r="E119" t="s">
        <v>30</v>
      </c>
      <c r="F119" t="s">
        <v>25</v>
      </c>
      <c r="H119" s="3">
        <v>46181</v>
      </c>
    </row>
    <row r="120" spans="1:8" ht="14.25">
      <c r="A120">
        <v>1362</v>
      </c>
      <c r="B120" t="s">
        <v>211</v>
      </c>
      <c r="C120" t="s">
        <v>212</v>
      </c>
      <c r="D120" t="s">
        <v>23</v>
      </c>
      <c r="E120" t="s">
        <v>30</v>
      </c>
      <c r="F120" t="s">
        <v>27</v>
      </c>
      <c r="G120">
        <v>22</v>
      </c>
      <c r="H120" s="3">
        <v>46181</v>
      </c>
    </row>
    <row r="121" spans="1:8" ht="14.25">
      <c r="A121">
        <v>1403</v>
      </c>
      <c r="B121" t="s">
        <v>213</v>
      </c>
      <c r="C121" t="s">
        <v>214</v>
      </c>
      <c r="D121" t="s">
        <v>23</v>
      </c>
      <c r="E121" t="s">
        <v>24</v>
      </c>
      <c r="F121" t="s">
        <v>27</v>
      </c>
      <c r="G121">
        <v>8</v>
      </c>
      <c r="H121" s="3">
        <v>46181</v>
      </c>
    </row>
    <row r="122" spans="1:8" ht="14.25">
      <c r="A122">
        <v>1404</v>
      </c>
      <c r="B122" t="s">
        <v>213</v>
      </c>
      <c r="C122" t="s">
        <v>215</v>
      </c>
      <c r="D122" t="s">
        <v>23</v>
      </c>
      <c r="E122" t="s">
        <v>30</v>
      </c>
      <c r="F122" t="s">
        <v>25</v>
      </c>
      <c r="H122" s="3">
        <v>46181</v>
      </c>
    </row>
    <row r="123" spans="1:8" ht="14.25">
      <c r="A123">
        <v>1229</v>
      </c>
      <c r="B123" t="s">
        <v>216</v>
      </c>
      <c r="C123" t="s">
        <v>217</v>
      </c>
      <c r="D123" t="s">
        <v>23</v>
      </c>
      <c r="E123" t="s">
        <v>30</v>
      </c>
      <c r="F123" t="s">
        <v>25</v>
      </c>
      <c r="H123" s="3">
        <v>46181</v>
      </c>
    </row>
    <row r="124" spans="1:8" ht="14.25">
      <c r="A124">
        <v>1408</v>
      </c>
      <c r="B124" t="s">
        <v>218</v>
      </c>
      <c r="C124" t="s">
        <v>219</v>
      </c>
      <c r="D124" t="s">
        <v>23</v>
      </c>
      <c r="E124" t="s">
        <v>24</v>
      </c>
      <c r="F124" t="s">
        <v>27</v>
      </c>
      <c r="G124">
        <v>20</v>
      </c>
      <c r="H124" s="3">
        <v>46181</v>
      </c>
    </row>
    <row r="125" spans="1:8" ht="14.25">
      <c r="A125">
        <v>1409</v>
      </c>
      <c r="B125" t="s">
        <v>218</v>
      </c>
      <c r="C125" t="s">
        <v>220</v>
      </c>
      <c r="D125" t="s">
        <v>23</v>
      </c>
      <c r="E125" t="s">
        <v>30</v>
      </c>
      <c r="F125" t="s">
        <v>27</v>
      </c>
      <c r="G125">
        <v>15</v>
      </c>
      <c r="H125" s="3">
        <v>46181</v>
      </c>
    </row>
    <row r="126" spans="1:8" ht="14.25">
      <c r="A126">
        <v>1198</v>
      </c>
      <c r="B126" t="s">
        <v>221</v>
      </c>
      <c r="C126" t="s">
        <v>222</v>
      </c>
      <c r="D126" t="s">
        <v>23</v>
      </c>
      <c r="E126" t="s">
        <v>24</v>
      </c>
      <c r="F126" t="s">
        <v>27</v>
      </c>
      <c r="G126">
        <v>5</v>
      </c>
      <c r="H126" s="3">
        <v>46181</v>
      </c>
    </row>
    <row r="127" spans="1:8" ht="14.25">
      <c r="A127">
        <v>1260</v>
      </c>
      <c r="B127" t="s">
        <v>223</v>
      </c>
      <c r="C127" t="s">
        <v>82</v>
      </c>
      <c r="D127" t="s">
        <v>23</v>
      </c>
      <c r="E127" t="s">
        <v>30</v>
      </c>
      <c r="F127" t="s">
        <v>27</v>
      </c>
      <c r="G127">
        <v>15</v>
      </c>
      <c r="H127" s="3">
        <v>46181</v>
      </c>
    </row>
    <row r="128" spans="1:8" ht="14.25">
      <c r="A128">
        <v>1361</v>
      </c>
      <c r="B128" t="s">
        <v>224</v>
      </c>
      <c r="C128" t="s">
        <v>225</v>
      </c>
      <c r="D128" t="s">
        <v>23</v>
      </c>
      <c r="E128" t="s">
        <v>24</v>
      </c>
      <c r="F128" t="s">
        <v>27</v>
      </c>
      <c r="G128">
        <v>16</v>
      </c>
      <c r="H128" s="3">
        <v>46181</v>
      </c>
    </row>
    <row r="129" spans="1:8" ht="14.25">
      <c r="A129">
        <v>1100</v>
      </c>
      <c r="B129" t="s">
        <v>226</v>
      </c>
      <c r="C129" t="s">
        <v>34</v>
      </c>
      <c r="D129" t="s">
        <v>23</v>
      </c>
      <c r="E129" t="s">
        <v>24</v>
      </c>
      <c r="F129" t="s">
        <v>27</v>
      </c>
      <c r="G129">
        <v>13</v>
      </c>
      <c r="H129" s="3">
        <v>46181</v>
      </c>
    </row>
    <row r="130" spans="1:8" ht="14.25">
      <c r="A130">
        <v>1385</v>
      </c>
      <c r="B130" t="s">
        <v>227</v>
      </c>
      <c r="C130" t="s">
        <v>228</v>
      </c>
      <c r="D130" t="s">
        <v>23</v>
      </c>
      <c r="E130" t="s">
        <v>24</v>
      </c>
      <c r="F130" t="s">
        <v>25</v>
      </c>
      <c r="H130" s="3">
        <v>46181</v>
      </c>
    </row>
    <row r="131" spans="1:8" ht="14.25">
      <c r="A131">
        <v>1394</v>
      </c>
      <c r="B131" t="s">
        <v>227</v>
      </c>
      <c r="C131" t="s">
        <v>229</v>
      </c>
      <c r="D131" t="s">
        <v>23</v>
      </c>
      <c r="E131" t="s">
        <v>24</v>
      </c>
      <c r="F131" t="s">
        <v>35</v>
      </c>
      <c r="H131" s="3">
        <v>46181</v>
      </c>
    </row>
    <row r="132" spans="1:8" ht="14.25">
      <c r="A132">
        <v>1419</v>
      </c>
      <c r="B132" t="s">
        <v>230</v>
      </c>
      <c r="C132" t="s">
        <v>231</v>
      </c>
      <c r="D132" t="s">
        <v>23</v>
      </c>
      <c r="E132" t="s">
        <v>24</v>
      </c>
      <c r="F132" t="s">
        <v>25</v>
      </c>
      <c r="H132" s="3">
        <v>46181</v>
      </c>
    </row>
    <row r="133" spans="1:8" ht="14.25">
      <c r="A133">
        <v>967</v>
      </c>
      <c r="B133" t="s">
        <v>232</v>
      </c>
      <c r="C133" t="s">
        <v>152</v>
      </c>
      <c r="D133" t="s">
        <v>23</v>
      </c>
      <c r="E133" t="s">
        <v>24</v>
      </c>
      <c r="F133" t="s">
        <v>27</v>
      </c>
      <c r="G133">
        <v>5</v>
      </c>
      <c r="H133" s="3">
        <v>46181</v>
      </c>
    </row>
    <row r="134" spans="1:8" ht="14.25">
      <c r="A134">
        <v>1373</v>
      </c>
      <c r="B134" t="s">
        <v>233</v>
      </c>
      <c r="C134" t="s">
        <v>234</v>
      </c>
      <c r="D134" t="s">
        <v>23</v>
      </c>
      <c r="E134" t="s">
        <v>24</v>
      </c>
      <c r="F134" t="s">
        <v>27</v>
      </c>
      <c r="G134">
        <v>10</v>
      </c>
      <c r="H134" s="3">
        <v>46181</v>
      </c>
    </row>
    <row r="135" spans="1:8" ht="14.25">
      <c r="A135">
        <v>1045</v>
      </c>
      <c r="B135" t="s">
        <v>235</v>
      </c>
      <c r="C135" t="s">
        <v>236</v>
      </c>
      <c r="D135" t="s">
        <v>23</v>
      </c>
      <c r="E135" t="s">
        <v>30</v>
      </c>
      <c r="F135" t="s">
        <v>27</v>
      </c>
      <c r="G135">
        <v>5</v>
      </c>
      <c r="H135" s="3">
        <v>46181</v>
      </c>
    </row>
    <row r="136" spans="1:8" ht="14.25">
      <c r="A136">
        <v>1046</v>
      </c>
      <c r="B136" t="s">
        <v>235</v>
      </c>
      <c r="C136" t="s">
        <v>237</v>
      </c>
      <c r="D136" t="s">
        <v>23</v>
      </c>
      <c r="E136" t="s">
        <v>24</v>
      </c>
      <c r="F136" t="s">
        <v>27</v>
      </c>
      <c r="G136">
        <v>35</v>
      </c>
      <c r="H136" s="3">
        <v>46181</v>
      </c>
    </row>
    <row r="137" spans="1:8" ht="14.25">
      <c r="A137">
        <v>1396</v>
      </c>
      <c r="B137" t="s">
        <v>238</v>
      </c>
      <c r="C137" t="s">
        <v>59</v>
      </c>
      <c r="D137" t="s">
        <v>23</v>
      </c>
      <c r="E137" t="s">
        <v>24</v>
      </c>
      <c r="F137" t="s">
        <v>25</v>
      </c>
      <c r="H137" s="3">
        <v>46181</v>
      </c>
    </row>
    <row r="138" spans="1:8" ht="14.25">
      <c r="A138">
        <v>1397</v>
      </c>
      <c r="B138" t="s">
        <v>238</v>
      </c>
      <c r="C138" t="s">
        <v>239</v>
      </c>
      <c r="D138" t="s">
        <v>23</v>
      </c>
      <c r="E138" t="s">
        <v>30</v>
      </c>
      <c r="F138" t="s">
        <v>25</v>
      </c>
      <c r="H138" s="3">
        <v>46181</v>
      </c>
    </row>
    <row r="139" spans="1:8" ht="14.25">
      <c r="A139">
        <v>1398</v>
      </c>
      <c r="B139" t="s">
        <v>238</v>
      </c>
      <c r="C139" t="s">
        <v>49</v>
      </c>
      <c r="D139" t="s">
        <v>23</v>
      </c>
      <c r="E139" t="s">
        <v>24</v>
      </c>
      <c r="F139" t="s">
        <v>35</v>
      </c>
      <c r="H139" s="3">
        <v>46181</v>
      </c>
    </row>
    <row r="140" spans="1:8" ht="14.25">
      <c r="A140">
        <v>1399</v>
      </c>
      <c r="B140" t="s">
        <v>238</v>
      </c>
      <c r="C140" t="s">
        <v>131</v>
      </c>
      <c r="D140" t="s">
        <v>23</v>
      </c>
      <c r="E140" t="s">
        <v>30</v>
      </c>
      <c r="F140" t="s">
        <v>35</v>
      </c>
      <c r="H140" s="3">
        <v>46181</v>
      </c>
    </row>
    <row r="141" spans="1:8" ht="14.25">
      <c r="A141">
        <v>771</v>
      </c>
      <c r="B141" t="s">
        <v>240</v>
      </c>
      <c r="C141" t="s">
        <v>241</v>
      </c>
      <c r="D141" t="s">
        <v>23</v>
      </c>
      <c r="E141" t="s">
        <v>24</v>
      </c>
      <c r="F141" t="s">
        <v>27</v>
      </c>
      <c r="G141">
        <v>14</v>
      </c>
      <c r="H141" s="3">
        <v>46181</v>
      </c>
    </row>
    <row r="142" spans="1:8" ht="14.25">
      <c r="A142">
        <v>1265</v>
      </c>
      <c r="B142" t="s">
        <v>242</v>
      </c>
      <c r="C142" t="s">
        <v>243</v>
      </c>
      <c r="D142" t="s">
        <v>23</v>
      </c>
      <c r="E142" t="s">
        <v>24</v>
      </c>
      <c r="F142" t="s">
        <v>27</v>
      </c>
      <c r="G142">
        <v>20</v>
      </c>
      <c r="H142" s="3">
        <v>46181</v>
      </c>
    </row>
    <row r="143" spans="1:8" ht="14.25">
      <c r="A143">
        <v>532</v>
      </c>
      <c r="B143" t="s">
        <v>244</v>
      </c>
      <c r="C143" t="s">
        <v>243</v>
      </c>
      <c r="D143" t="s">
        <v>23</v>
      </c>
      <c r="E143" t="s">
        <v>24</v>
      </c>
      <c r="F143" t="s">
        <v>27</v>
      </c>
      <c r="G143">
        <v>13</v>
      </c>
      <c r="H143" s="3">
        <v>46181</v>
      </c>
    </row>
    <row r="144" spans="1:8" ht="14.25">
      <c r="A144">
        <v>1388</v>
      </c>
      <c r="B144" t="s">
        <v>193</v>
      </c>
      <c r="C144" t="s">
        <v>245</v>
      </c>
      <c r="D144" t="s">
        <v>23</v>
      </c>
      <c r="E144" t="s">
        <v>30</v>
      </c>
      <c r="F144" t="s">
        <v>25</v>
      </c>
      <c r="H144" s="3">
        <v>46181</v>
      </c>
    </row>
    <row r="145" spans="1:8" ht="14.25">
      <c r="A145">
        <v>742</v>
      </c>
      <c r="B145" t="s">
        <v>246</v>
      </c>
      <c r="C145" t="s">
        <v>156</v>
      </c>
      <c r="D145" t="s">
        <v>23</v>
      </c>
      <c r="E145" t="s">
        <v>30</v>
      </c>
      <c r="F145" t="s">
        <v>27</v>
      </c>
      <c r="G145">
        <v>2</v>
      </c>
      <c r="H145" s="3">
        <v>46181</v>
      </c>
    </row>
    <row r="146" spans="1:8" ht="14.25">
      <c r="A146">
        <v>741</v>
      </c>
      <c r="B146" t="s">
        <v>246</v>
      </c>
      <c r="C146" t="s">
        <v>247</v>
      </c>
      <c r="D146" t="s">
        <v>23</v>
      </c>
      <c r="E146" t="s">
        <v>24</v>
      </c>
      <c r="F146" t="s">
        <v>27</v>
      </c>
      <c r="G146">
        <v>4</v>
      </c>
      <c r="H146" s="3">
        <v>46181</v>
      </c>
    </row>
    <row r="147" spans="1:8" ht="14.25">
      <c r="A147">
        <v>1298</v>
      </c>
      <c r="B147" t="s">
        <v>246</v>
      </c>
      <c r="C147" t="s">
        <v>132</v>
      </c>
      <c r="D147" t="s">
        <v>23</v>
      </c>
      <c r="E147" t="s">
        <v>30</v>
      </c>
      <c r="F147" t="s">
        <v>27</v>
      </c>
      <c r="G147">
        <v>13</v>
      </c>
      <c r="H147" s="3">
        <v>46181</v>
      </c>
    </row>
    <row r="148" spans="1:8" ht="14.25">
      <c r="A148">
        <v>747</v>
      </c>
      <c r="B148" t="s">
        <v>246</v>
      </c>
      <c r="C148" t="s">
        <v>22</v>
      </c>
      <c r="D148" t="s">
        <v>23</v>
      </c>
      <c r="E148" t="s">
        <v>24</v>
      </c>
      <c r="F148" t="s">
        <v>27</v>
      </c>
      <c r="G148">
        <v>1</v>
      </c>
      <c r="H148" s="3">
        <v>46181</v>
      </c>
    </row>
    <row r="149" spans="1:8" ht="14.25">
      <c r="A149">
        <v>1386</v>
      </c>
      <c r="B149" t="s">
        <v>246</v>
      </c>
      <c r="C149" t="s">
        <v>248</v>
      </c>
      <c r="D149" t="s">
        <v>23</v>
      </c>
      <c r="E149" t="s">
        <v>30</v>
      </c>
      <c r="F149" t="s">
        <v>35</v>
      </c>
      <c r="H149" s="3">
        <v>46181</v>
      </c>
    </row>
    <row r="150" spans="1:8" ht="14.25">
      <c r="A150">
        <v>1221</v>
      </c>
      <c r="B150" t="s">
        <v>249</v>
      </c>
      <c r="C150" t="s">
        <v>234</v>
      </c>
      <c r="D150" t="s">
        <v>23</v>
      </c>
      <c r="E150" t="s">
        <v>24</v>
      </c>
      <c r="F150" t="s">
        <v>25</v>
      </c>
      <c r="H150" s="3">
        <v>46181</v>
      </c>
    </row>
    <row r="151" spans="1:8" ht="14.25">
      <c r="A151">
        <v>564</v>
      </c>
      <c r="B151" t="s">
        <v>250</v>
      </c>
      <c r="C151" t="s">
        <v>34</v>
      </c>
      <c r="D151" t="s">
        <v>23</v>
      </c>
      <c r="E151" t="s">
        <v>24</v>
      </c>
      <c r="F151" t="s">
        <v>27</v>
      </c>
      <c r="G151">
        <v>7</v>
      </c>
      <c r="H151" s="3">
        <v>46181</v>
      </c>
    </row>
    <row r="152" spans="1:8" ht="14.25">
      <c r="A152">
        <v>1165</v>
      </c>
      <c r="B152" t="s">
        <v>251</v>
      </c>
      <c r="C152" t="s">
        <v>177</v>
      </c>
      <c r="D152" t="s">
        <v>23</v>
      </c>
      <c r="E152" t="s">
        <v>24</v>
      </c>
      <c r="F152" t="s">
        <v>27</v>
      </c>
      <c r="G152">
        <v>10</v>
      </c>
      <c r="H152" s="3">
        <v>46181</v>
      </c>
    </row>
    <row r="153" spans="1:8" ht="14.25">
      <c r="A153">
        <v>405</v>
      </c>
      <c r="B153" t="s">
        <v>252</v>
      </c>
      <c r="C153" t="s">
        <v>243</v>
      </c>
      <c r="D153" t="s">
        <v>23</v>
      </c>
      <c r="E153" t="s">
        <v>24</v>
      </c>
      <c r="F153" t="s">
        <v>27</v>
      </c>
      <c r="G153">
        <v>18</v>
      </c>
      <c r="H153" s="3">
        <v>46181</v>
      </c>
    </row>
    <row r="154" spans="1:8" ht="14.25">
      <c r="A154">
        <v>1346</v>
      </c>
      <c r="B154" t="s">
        <v>253</v>
      </c>
      <c r="C154" t="s">
        <v>254</v>
      </c>
      <c r="D154" t="s">
        <v>23</v>
      </c>
      <c r="E154" t="s">
        <v>24</v>
      </c>
      <c r="F154" t="s">
        <v>27</v>
      </c>
      <c r="G154">
        <v>20</v>
      </c>
      <c r="H154" s="3">
        <v>46181</v>
      </c>
    </row>
    <row r="155" spans="1:8" ht="14.25">
      <c r="A155">
        <v>1192</v>
      </c>
      <c r="B155" t="s">
        <v>255</v>
      </c>
      <c r="C155" t="s">
        <v>256</v>
      </c>
      <c r="D155" t="s">
        <v>23</v>
      </c>
      <c r="E155" t="s">
        <v>24</v>
      </c>
      <c r="F155" t="s">
        <v>27</v>
      </c>
      <c r="G155">
        <v>10</v>
      </c>
      <c r="H155" s="3">
        <v>46181</v>
      </c>
    </row>
    <row r="156" spans="1:8" ht="14.25">
      <c r="A156">
        <v>1157</v>
      </c>
      <c r="B156" t="s">
        <v>257</v>
      </c>
      <c r="C156" t="s">
        <v>100</v>
      </c>
      <c r="D156" t="s">
        <v>23</v>
      </c>
      <c r="E156" t="s">
        <v>24</v>
      </c>
      <c r="F156" t="s">
        <v>25</v>
      </c>
      <c r="H156" s="3">
        <v>46181</v>
      </c>
    </row>
    <row r="157" spans="1:8" ht="14.25">
      <c r="A157">
        <v>1359</v>
      </c>
      <c r="B157" t="s">
        <v>258</v>
      </c>
      <c r="C157" t="s">
        <v>49</v>
      </c>
      <c r="D157" t="s">
        <v>23</v>
      </c>
      <c r="E157" t="s">
        <v>24</v>
      </c>
      <c r="F157" t="s">
        <v>188</v>
      </c>
      <c r="H157" s="3">
        <v>46181</v>
      </c>
    </row>
    <row r="158" spans="1:8" ht="14.25">
      <c r="A158">
        <v>1360</v>
      </c>
      <c r="B158" t="s">
        <v>258</v>
      </c>
      <c r="C158" t="s">
        <v>259</v>
      </c>
      <c r="D158" t="s">
        <v>23</v>
      </c>
      <c r="E158" t="s">
        <v>30</v>
      </c>
      <c r="F158" t="s">
        <v>35</v>
      </c>
      <c r="H158" s="3">
        <v>46181</v>
      </c>
    </row>
    <row r="159" spans="1:8" ht="14.25">
      <c r="A159">
        <v>1357</v>
      </c>
      <c r="B159" t="s">
        <v>258</v>
      </c>
      <c r="C159" t="s">
        <v>34</v>
      </c>
      <c r="D159" t="s">
        <v>23</v>
      </c>
      <c r="E159" t="s">
        <v>24</v>
      </c>
      <c r="F159" t="s">
        <v>27</v>
      </c>
      <c r="G159">
        <v>5</v>
      </c>
      <c r="H159" s="3">
        <v>46181</v>
      </c>
    </row>
    <row r="160" spans="1:8" ht="14.25">
      <c r="A160">
        <v>1358</v>
      </c>
      <c r="B160" t="s">
        <v>258</v>
      </c>
      <c r="C160" t="s">
        <v>260</v>
      </c>
      <c r="D160" t="s">
        <v>23</v>
      </c>
      <c r="E160" t="s">
        <v>30</v>
      </c>
      <c r="F160" t="s">
        <v>27</v>
      </c>
      <c r="G160">
        <v>7</v>
      </c>
      <c r="H160" s="3">
        <v>46181</v>
      </c>
    </row>
    <row r="161" spans="1:8" ht="14.25">
      <c r="A161">
        <v>1390</v>
      </c>
      <c r="B161" t="s">
        <v>261</v>
      </c>
      <c r="C161" t="s">
        <v>262</v>
      </c>
      <c r="D161" t="s">
        <v>23</v>
      </c>
      <c r="E161" t="s">
        <v>24</v>
      </c>
      <c r="F161" t="s">
        <v>25</v>
      </c>
      <c r="H161" s="3">
        <v>46181</v>
      </c>
    </row>
    <row r="162" spans="1:8" ht="14.25">
      <c r="A162">
        <v>1107</v>
      </c>
      <c r="B162" t="s">
        <v>263</v>
      </c>
      <c r="C162" t="s">
        <v>264</v>
      </c>
      <c r="D162" t="s">
        <v>23</v>
      </c>
      <c r="E162" t="s">
        <v>30</v>
      </c>
      <c r="F162" t="s">
        <v>25</v>
      </c>
      <c r="H162" s="3">
        <v>46181</v>
      </c>
    </row>
    <row r="163" spans="1:8" ht="14.25">
      <c r="A163">
        <v>35</v>
      </c>
      <c r="B163" t="s">
        <v>265</v>
      </c>
      <c r="C163" t="s">
        <v>266</v>
      </c>
      <c r="D163" t="s">
        <v>23</v>
      </c>
      <c r="E163" t="s">
        <v>24</v>
      </c>
      <c r="F163" t="s">
        <v>27</v>
      </c>
      <c r="G163">
        <v>3</v>
      </c>
      <c r="H163" s="3">
        <v>46181</v>
      </c>
    </row>
    <row r="164" spans="1:8" ht="14.25">
      <c r="A164">
        <v>1094</v>
      </c>
      <c r="B164" t="s">
        <v>267</v>
      </c>
      <c r="C164" t="s">
        <v>268</v>
      </c>
      <c r="D164" t="s">
        <v>23</v>
      </c>
      <c r="E164" t="s">
        <v>24</v>
      </c>
      <c r="F164" t="s">
        <v>27</v>
      </c>
      <c r="G164">
        <v>12</v>
      </c>
      <c r="H164" s="3">
        <v>46181</v>
      </c>
    </row>
    <row r="165" spans="1:8" ht="14.25">
      <c r="A165">
        <v>1325</v>
      </c>
      <c r="B165" t="s">
        <v>269</v>
      </c>
      <c r="C165" t="s">
        <v>270</v>
      </c>
      <c r="D165" t="s">
        <v>23</v>
      </c>
      <c r="E165" t="s">
        <v>24</v>
      </c>
      <c r="F165" t="s">
        <v>27</v>
      </c>
      <c r="G165">
        <v>3</v>
      </c>
      <c r="H165" s="3">
        <v>46181</v>
      </c>
    </row>
    <row r="166" spans="1:8" ht="14.25">
      <c r="A166">
        <v>1143</v>
      </c>
      <c r="B166" t="s">
        <v>271</v>
      </c>
      <c r="C166" t="s">
        <v>247</v>
      </c>
      <c r="D166" t="s">
        <v>23</v>
      </c>
      <c r="E166" t="s">
        <v>24</v>
      </c>
      <c r="F166" t="s">
        <v>27</v>
      </c>
      <c r="G166">
        <v>3</v>
      </c>
      <c r="H166" s="3">
        <v>46181</v>
      </c>
    </row>
    <row r="167" spans="1:8" ht="14.25">
      <c r="A167">
        <v>1401</v>
      </c>
      <c r="B167" t="s">
        <v>272</v>
      </c>
      <c r="C167" t="s">
        <v>273</v>
      </c>
      <c r="D167" t="s">
        <v>23</v>
      </c>
      <c r="E167" t="s">
        <v>30</v>
      </c>
      <c r="F167" t="s">
        <v>25</v>
      </c>
      <c r="H167" s="3">
        <v>46181</v>
      </c>
    </row>
    <row r="168" spans="1:8" ht="14.25">
      <c r="A168">
        <v>1285</v>
      </c>
      <c r="B168" t="s">
        <v>274</v>
      </c>
      <c r="C168" t="s">
        <v>100</v>
      </c>
      <c r="D168" t="s">
        <v>23</v>
      </c>
      <c r="E168" t="s">
        <v>24</v>
      </c>
      <c r="F168" t="s">
        <v>25</v>
      </c>
      <c r="H168" s="3">
        <v>46181</v>
      </c>
    </row>
    <row r="169" spans="1:8" ht="14.25">
      <c r="A169">
        <v>38</v>
      </c>
      <c r="B169" t="s">
        <v>275</v>
      </c>
      <c r="C169" t="s">
        <v>276</v>
      </c>
      <c r="D169" t="s">
        <v>23</v>
      </c>
      <c r="E169" t="s">
        <v>24</v>
      </c>
      <c r="F169" t="s">
        <v>27</v>
      </c>
      <c r="G169">
        <v>13</v>
      </c>
      <c r="H169" s="3">
        <v>46181</v>
      </c>
    </row>
    <row r="170" spans="1:8" ht="14.25">
      <c r="A170">
        <v>245</v>
      </c>
      <c r="B170" t="s">
        <v>277</v>
      </c>
      <c r="C170" t="s">
        <v>234</v>
      </c>
      <c r="D170" t="s">
        <v>23</v>
      </c>
      <c r="E170" t="s">
        <v>24</v>
      </c>
      <c r="F170" t="s">
        <v>27</v>
      </c>
      <c r="G170">
        <v>10</v>
      </c>
      <c r="H170" s="3">
        <v>46181</v>
      </c>
    </row>
    <row r="171" spans="1:8" ht="14.25">
      <c r="A171">
        <v>39</v>
      </c>
      <c r="B171" t="s">
        <v>277</v>
      </c>
      <c r="C171" t="s">
        <v>278</v>
      </c>
      <c r="D171" t="s">
        <v>23</v>
      </c>
      <c r="E171" t="s">
        <v>24</v>
      </c>
      <c r="F171" t="s">
        <v>27</v>
      </c>
      <c r="G171">
        <v>43</v>
      </c>
      <c r="H171" s="3">
        <v>46181</v>
      </c>
    </row>
    <row r="172" spans="1:8" ht="14.25">
      <c r="A172">
        <v>508</v>
      </c>
      <c r="B172" t="s">
        <v>279</v>
      </c>
      <c r="C172" t="s">
        <v>59</v>
      </c>
      <c r="D172" t="s">
        <v>23</v>
      </c>
      <c r="E172" t="s">
        <v>24</v>
      </c>
      <c r="F172" t="s">
        <v>27</v>
      </c>
      <c r="G172">
        <v>31</v>
      </c>
      <c r="H172" s="3">
        <v>46181</v>
      </c>
    </row>
    <row r="173" spans="1:8" ht="14.25">
      <c r="A173">
        <v>1025</v>
      </c>
      <c r="B173" t="s">
        <v>280</v>
      </c>
      <c r="C173" t="s">
        <v>281</v>
      </c>
      <c r="D173" t="s">
        <v>23</v>
      </c>
      <c r="E173" t="s">
        <v>24</v>
      </c>
      <c r="F173" t="s">
        <v>35</v>
      </c>
      <c r="H173" s="3">
        <v>46181</v>
      </c>
    </row>
    <row r="174" spans="1:8" ht="14.25">
      <c r="A174">
        <v>1024</v>
      </c>
      <c r="B174" t="s">
        <v>280</v>
      </c>
      <c r="C174" t="s">
        <v>282</v>
      </c>
      <c r="D174" t="s">
        <v>23</v>
      </c>
      <c r="E174" t="s">
        <v>24</v>
      </c>
      <c r="F174" t="s">
        <v>188</v>
      </c>
      <c r="H174" s="3">
        <v>46181</v>
      </c>
    </row>
    <row r="175" spans="1:8" ht="14.25">
      <c r="A175">
        <v>1023</v>
      </c>
      <c r="B175" t="s">
        <v>280</v>
      </c>
      <c r="C175" t="s">
        <v>39</v>
      </c>
      <c r="D175" t="s">
        <v>23</v>
      </c>
      <c r="E175" t="s">
        <v>24</v>
      </c>
      <c r="F175" t="s">
        <v>25</v>
      </c>
      <c r="H175" s="3">
        <v>46181</v>
      </c>
    </row>
    <row r="176" spans="1:8" ht="14.25">
      <c r="A176">
        <v>1232</v>
      </c>
      <c r="B176" t="s">
        <v>280</v>
      </c>
      <c r="C176" t="s">
        <v>283</v>
      </c>
      <c r="D176" t="s">
        <v>23</v>
      </c>
      <c r="E176" t="s">
        <v>30</v>
      </c>
      <c r="F176" t="s">
        <v>27</v>
      </c>
      <c r="G176">
        <v>4</v>
      </c>
      <c r="H176" s="3">
        <v>46181</v>
      </c>
    </row>
    <row r="177" spans="1:8" ht="14.25">
      <c r="A177">
        <v>1392</v>
      </c>
      <c r="B177" t="s">
        <v>284</v>
      </c>
      <c r="C177" t="s">
        <v>285</v>
      </c>
      <c r="D177" t="s">
        <v>23</v>
      </c>
      <c r="E177" t="s">
        <v>30</v>
      </c>
      <c r="F177" t="s">
        <v>25</v>
      </c>
      <c r="H177" s="3">
        <v>46181</v>
      </c>
    </row>
    <row r="178" spans="1:8" ht="14.25">
      <c r="A178">
        <v>1141</v>
      </c>
      <c r="B178" t="s">
        <v>286</v>
      </c>
      <c r="C178" t="s">
        <v>287</v>
      </c>
      <c r="D178" t="s">
        <v>23</v>
      </c>
      <c r="E178" t="s">
        <v>30</v>
      </c>
      <c r="F178" t="s">
        <v>27</v>
      </c>
      <c r="G178">
        <v>15</v>
      </c>
      <c r="H178" s="3">
        <v>46181</v>
      </c>
    </row>
    <row r="179" spans="1:8" ht="14.25">
      <c r="A179">
        <v>891</v>
      </c>
      <c r="B179" t="s">
        <v>288</v>
      </c>
      <c r="C179" t="s">
        <v>289</v>
      </c>
      <c r="D179" t="s">
        <v>23</v>
      </c>
      <c r="E179" t="s">
        <v>30</v>
      </c>
      <c r="F179" t="s">
        <v>25</v>
      </c>
      <c r="H179" s="3">
        <v>46181</v>
      </c>
    </row>
    <row r="180" spans="1:8" ht="14.25">
      <c r="A180">
        <v>1352</v>
      </c>
      <c r="B180" t="s">
        <v>290</v>
      </c>
      <c r="C180" t="s">
        <v>34</v>
      </c>
      <c r="D180" t="s">
        <v>23</v>
      </c>
      <c r="E180" t="s">
        <v>24</v>
      </c>
      <c r="F180" t="s">
        <v>27</v>
      </c>
      <c r="G180">
        <v>11</v>
      </c>
      <c r="H180" s="3">
        <v>46181</v>
      </c>
    </row>
    <row r="181" spans="1:8" ht="14.25">
      <c r="A181">
        <v>1339</v>
      </c>
      <c r="B181" t="s">
        <v>291</v>
      </c>
      <c r="C181" t="s">
        <v>292</v>
      </c>
      <c r="D181" t="s">
        <v>23</v>
      </c>
      <c r="E181" t="s">
        <v>24</v>
      </c>
      <c r="F181" t="s">
        <v>25</v>
      </c>
      <c r="H181" s="3">
        <v>46181</v>
      </c>
    </row>
    <row r="182" spans="1:8" ht="14.25">
      <c r="A182">
        <v>914</v>
      </c>
      <c r="B182" t="s">
        <v>293</v>
      </c>
      <c r="C182" t="s">
        <v>153</v>
      </c>
      <c r="D182" t="s">
        <v>23</v>
      </c>
      <c r="E182" t="s">
        <v>24</v>
      </c>
      <c r="F182" t="s">
        <v>27</v>
      </c>
      <c r="G182">
        <v>14</v>
      </c>
      <c r="H182" s="3">
        <v>46181</v>
      </c>
    </row>
    <row r="183" spans="1:8" ht="14.25">
      <c r="A183">
        <v>597</v>
      </c>
      <c r="B183" t="s">
        <v>294</v>
      </c>
      <c r="C183" t="s">
        <v>295</v>
      </c>
      <c r="D183" t="s">
        <v>23</v>
      </c>
      <c r="E183" t="s">
        <v>24</v>
      </c>
      <c r="F183" t="s">
        <v>27</v>
      </c>
      <c r="G183">
        <v>36</v>
      </c>
      <c r="H183" s="3">
        <v>46181</v>
      </c>
    </row>
    <row r="184" spans="1:8" ht="14.25">
      <c r="A184">
        <v>1038</v>
      </c>
      <c r="B184" t="s">
        <v>293</v>
      </c>
      <c r="C184" t="s">
        <v>51</v>
      </c>
      <c r="D184" t="s">
        <v>23</v>
      </c>
      <c r="E184" t="s">
        <v>24</v>
      </c>
      <c r="F184" t="s">
        <v>27</v>
      </c>
      <c r="G184">
        <v>12</v>
      </c>
      <c r="H184" s="3">
        <v>46181</v>
      </c>
    </row>
    <row r="185" spans="1:8" ht="14.25">
      <c r="A185">
        <v>1347</v>
      </c>
      <c r="B185" t="s">
        <v>296</v>
      </c>
      <c r="C185" t="s">
        <v>104</v>
      </c>
      <c r="D185" t="s">
        <v>23</v>
      </c>
      <c r="E185" t="s">
        <v>24</v>
      </c>
      <c r="F185" t="s">
        <v>25</v>
      </c>
      <c r="H185" s="3">
        <v>46181</v>
      </c>
    </row>
    <row r="186" spans="1:8" ht="14.25">
      <c r="A186">
        <v>1242</v>
      </c>
      <c r="B186" t="s">
        <v>297</v>
      </c>
      <c r="C186" t="s">
        <v>190</v>
      </c>
      <c r="D186" t="s">
        <v>23</v>
      </c>
      <c r="E186" t="s">
        <v>24</v>
      </c>
      <c r="F186" t="s">
        <v>27</v>
      </c>
      <c r="G186">
        <v>15</v>
      </c>
      <c r="H186" s="3">
        <v>46181</v>
      </c>
    </row>
    <row r="187" spans="1:8" ht="14.25">
      <c r="A187">
        <v>1048</v>
      </c>
      <c r="B187" t="s">
        <v>298</v>
      </c>
      <c r="C187" t="s">
        <v>268</v>
      </c>
      <c r="D187" t="s">
        <v>23</v>
      </c>
      <c r="E187" t="s">
        <v>24</v>
      </c>
      <c r="F187" t="s">
        <v>27</v>
      </c>
      <c r="G187">
        <v>16</v>
      </c>
      <c r="H187" s="3">
        <v>46181</v>
      </c>
    </row>
    <row r="188" spans="1:8" ht="14.25">
      <c r="A188">
        <v>1055</v>
      </c>
      <c r="B188" t="s">
        <v>298</v>
      </c>
      <c r="C188" t="s">
        <v>299</v>
      </c>
      <c r="D188" t="s">
        <v>23</v>
      </c>
      <c r="E188" t="s">
        <v>24</v>
      </c>
      <c r="F188" t="s">
        <v>27</v>
      </c>
      <c r="G188">
        <v>1</v>
      </c>
      <c r="H188" s="3">
        <v>46181</v>
      </c>
    </row>
    <row r="189" spans="1:8" ht="14.25">
      <c r="A189">
        <v>1095</v>
      </c>
      <c r="B189" t="s">
        <v>298</v>
      </c>
      <c r="C189" t="s">
        <v>300</v>
      </c>
      <c r="D189" t="s">
        <v>23</v>
      </c>
      <c r="E189" t="s">
        <v>24</v>
      </c>
      <c r="F189" t="s">
        <v>27</v>
      </c>
      <c r="G189">
        <v>33</v>
      </c>
      <c r="H189" s="3">
        <v>46181</v>
      </c>
    </row>
    <row r="190" spans="1:8" ht="14.25">
      <c r="A190">
        <v>820</v>
      </c>
      <c r="B190" t="s">
        <v>298</v>
      </c>
      <c r="C190" t="s">
        <v>139</v>
      </c>
      <c r="D190" t="s">
        <v>23</v>
      </c>
      <c r="E190" t="s">
        <v>30</v>
      </c>
      <c r="F190" t="s">
        <v>27</v>
      </c>
      <c r="G190">
        <v>6</v>
      </c>
      <c r="H190" s="3">
        <v>46181</v>
      </c>
    </row>
    <row r="191" spans="1:8" ht="14.25">
      <c r="A191">
        <v>687</v>
      </c>
      <c r="B191" t="s">
        <v>298</v>
      </c>
      <c r="C191" t="s">
        <v>301</v>
      </c>
      <c r="D191" t="s">
        <v>23</v>
      </c>
      <c r="E191" t="s">
        <v>24</v>
      </c>
      <c r="F191" t="s">
        <v>27</v>
      </c>
      <c r="G191">
        <v>7</v>
      </c>
      <c r="H191" s="3">
        <v>46181</v>
      </c>
    </row>
    <row r="192" spans="1:8" ht="14.25">
      <c r="A192">
        <v>1420</v>
      </c>
      <c r="B192" t="s">
        <v>302</v>
      </c>
      <c r="C192" t="s">
        <v>212</v>
      </c>
      <c r="D192" t="s">
        <v>23</v>
      </c>
      <c r="E192" t="s">
        <v>30</v>
      </c>
      <c r="F192" t="s">
        <v>27</v>
      </c>
      <c r="G192">
        <v>15</v>
      </c>
      <c r="H192" s="3">
        <v>46181</v>
      </c>
    </row>
    <row r="193" spans="1:8" ht="14.25">
      <c r="A193">
        <v>1410</v>
      </c>
      <c r="B193" t="s">
        <v>104</v>
      </c>
      <c r="C193" t="s">
        <v>303</v>
      </c>
      <c r="D193" t="s">
        <v>23</v>
      </c>
      <c r="E193" t="s">
        <v>24</v>
      </c>
      <c r="F193" t="s">
        <v>25</v>
      </c>
      <c r="H193" s="3">
        <v>46181</v>
      </c>
    </row>
    <row r="194" spans="1:8" ht="14.25">
      <c r="A194">
        <v>1161</v>
      </c>
      <c r="B194" t="s">
        <v>304</v>
      </c>
      <c r="C194" t="s">
        <v>305</v>
      </c>
      <c r="D194" t="s">
        <v>23</v>
      </c>
      <c r="E194" t="s">
        <v>24</v>
      </c>
      <c r="F194" t="s">
        <v>25</v>
      </c>
      <c r="H194" s="3">
        <v>46181</v>
      </c>
    </row>
    <row r="195" spans="1:8" ht="14.25">
      <c r="A195">
        <v>890</v>
      </c>
      <c r="B195" t="s">
        <v>306</v>
      </c>
      <c r="C195" t="s">
        <v>307</v>
      </c>
      <c r="D195" t="s">
        <v>54</v>
      </c>
      <c r="E195" t="s">
        <v>24</v>
      </c>
      <c r="F195" t="s">
        <v>27</v>
      </c>
      <c r="G195">
        <v>23</v>
      </c>
      <c r="H195" s="3">
        <v>46181</v>
      </c>
    </row>
    <row r="196" spans="1:8" ht="14.25">
      <c r="A196">
        <v>1166</v>
      </c>
      <c r="B196" t="s">
        <v>308</v>
      </c>
      <c r="C196" t="s">
        <v>143</v>
      </c>
      <c r="D196" t="s">
        <v>54</v>
      </c>
      <c r="E196" t="s">
        <v>24</v>
      </c>
      <c r="F196" t="s">
        <v>27</v>
      </c>
      <c r="G196">
        <v>5</v>
      </c>
      <c r="H196" s="3">
        <v>46181</v>
      </c>
    </row>
    <row r="197" spans="1:8" ht="14.25">
      <c r="A197">
        <v>45</v>
      </c>
      <c r="B197" t="s">
        <v>309</v>
      </c>
      <c r="C197" t="s">
        <v>310</v>
      </c>
      <c r="D197" t="s">
        <v>23</v>
      </c>
      <c r="E197" t="s">
        <v>24</v>
      </c>
      <c r="F197" t="s">
        <v>27</v>
      </c>
      <c r="G197">
        <v>20</v>
      </c>
      <c r="H197" s="3">
        <v>46181</v>
      </c>
    </row>
    <row r="198" spans="1:8" ht="14.25">
      <c r="A198">
        <v>1160</v>
      </c>
      <c r="B198" t="s">
        <v>311</v>
      </c>
      <c r="C198" t="s">
        <v>312</v>
      </c>
      <c r="D198" t="s">
        <v>23</v>
      </c>
      <c r="E198" t="s">
        <v>24</v>
      </c>
      <c r="F198" t="s">
        <v>25</v>
      </c>
      <c r="H198" s="3">
        <v>46181</v>
      </c>
    </row>
    <row r="199" spans="1:8" ht="14.25">
      <c r="A199">
        <v>945</v>
      </c>
      <c r="B199" t="s">
        <v>313</v>
      </c>
      <c r="C199" t="s">
        <v>49</v>
      </c>
      <c r="D199" t="s">
        <v>23</v>
      </c>
      <c r="E199" t="s">
        <v>24</v>
      </c>
      <c r="F199" t="s">
        <v>25</v>
      </c>
      <c r="H199" s="3">
        <v>46181</v>
      </c>
    </row>
    <row r="200" spans="1:8" ht="14.25">
      <c r="A200">
        <v>813</v>
      </c>
      <c r="B200" t="s">
        <v>313</v>
      </c>
      <c r="C200" t="s">
        <v>289</v>
      </c>
      <c r="D200" t="s">
        <v>23</v>
      </c>
      <c r="E200" t="s">
        <v>30</v>
      </c>
      <c r="F200" t="s">
        <v>27</v>
      </c>
      <c r="G200">
        <v>7</v>
      </c>
      <c r="H200" s="3">
        <v>46181</v>
      </c>
    </row>
    <row r="201" spans="1:8" ht="14.25">
      <c r="A201">
        <v>812</v>
      </c>
      <c r="B201" t="s">
        <v>313</v>
      </c>
      <c r="C201" t="s">
        <v>170</v>
      </c>
      <c r="D201" t="s">
        <v>23</v>
      </c>
      <c r="E201" t="s">
        <v>24</v>
      </c>
      <c r="F201" t="s">
        <v>27</v>
      </c>
      <c r="G201">
        <v>9</v>
      </c>
      <c r="H201" s="3">
        <v>46181</v>
      </c>
    </row>
    <row r="202" spans="1:8" ht="14.25">
      <c r="A202">
        <v>1129</v>
      </c>
      <c r="B202" t="s">
        <v>314</v>
      </c>
      <c r="C202" t="s">
        <v>315</v>
      </c>
      <c r="D202" t="s">
        <v>23</v>
      </c>
      <c r="E202" t="s">
        <v>24</v>
      </c>
      <c r="F202" t="s">
        <v>27</v>
      </c>
      <c r="G202">
        <v>12</v>
      </c>
      <c r="H202" s="3">
        <v>46181</v>
      </c>
    </row>
    <row r="203" spans="1:8" ht="14.25">
      <c r="A203">
        <v>915</v>
      </c>
      <c r="B203" t="s">
        <v>316</v>
      </c>
      <c r="C203" t="s">
        <v>241</v>
      </c>
      <c r="D203" t="s">
        <v>23</v>
      </c>
      <c r="E203" t="s">
        <v>24</v>
      </c>
      <c r="F203" t="s">
        <v>27</v>
      </c>
      <c r="G203">
        <v>8</v>
      </c>
      <c r="H203" s="3">
        <v>46181</v>
      </c>
    </row>
    <row r="204" spans="1:8" ht="14.25">
      <c r="A204">
        <v>1356</v>
      </c>
      <c r="B204" t="s">
        <v>317</v>
      </c>
      <c r="C204" t="s">
        <v>318</v>
      </c>
      <c r="D204" t="s">
        <v>54</v>
      </c>
      <c r="E204" t="s">
        <v>24</v>
      </c>
      <c r="F204" t="s">
        <v>27</v>
      </c>
      <c r="G204">
        <v>15</v>
      </c>
      <c r="H204" s="3">
        <v>46181</v>
      </c>
    </row>
    <row r="205" spans="1:8" ht="14.25">
      <c r="A205">
        <v>1422</v>
      </c>
      <c r="B205" t="s">
        <v>319</v>
      </c>
      <c r="C205" t="s">
        <v>320</v>
      </c>
      <c r="D205" t="s">
        <v>54</v>
      </c>
      <c r="E205" t="s">
        <v>30</v>
      </c>
      <c r="F205" t="s">
        <v>25</v>
      </c>
      <c r="H205" s="3">
        <v>46181</v>
      </c>
    </row>
    <row r="206" spans="1:8" ht="14.25">
      <c r="A206">
        <v>860</v>
      </c>
      <c r="B206" t="s">
        <v>321</v>
      </c>
      <c r="C206" t="s">
        <v>215</v>
      </c>
      <c r="D206" t="s">
        <v>23</v>
      </c>
      <c r="E206" t="s">
        <v>30</v>
      </c>
      <c r="F206" t="s">
        <v>25</v>
      </c>
      <c r="H206" s="3">
        <v>46181</v>
      </c>
    </row>
    <row r="207" spans="1:8" ht="14.25">
      <c r="A207">
        <v>756</v>
      </c>
      <c r="B207" t="s">
        <v>321</v>
      </c>
      <c r="C207" t="s">
        <v>322</v>
      </c>
      <c r="D207" t="s">
        <v>23</v>
      </c>
      <c r="E207" t="s">
        <v>24</v>
      </c>
      <c r="F207" t="s">
        <v>25</v>
      </c>
      <c r="H207" s="3">
        <v>46181</v>
      </c>
    </row>
    <row r="208" spans="1:8" ht="14.25">
      <c r="A208">
        <v>407</v>
      </c>
      <c r="B208" t="s">
        <v>321</v>
      </c>
      <c r="C208" t="s">
        <v>323</v>
      </c>
      <c r="D208" t="s">
        <v>23</v>
      </c>
      <c r="E208" t="s">
        <v>24</v>
      </c>
      <c r="F208" t="s">
        <v>27</v>
      </c>
      <c r="G208">
        <v>5</v>
      </c>
      <c r="H208" s="3">
        <v>46181</v>
      </c>
    </row>
    <row r="209" spans="1:8" ht="14.25">
      <c r="A209">
        <v>1428</v>
      </c>
      <c r="B209" t="s">
        <v>324</v>
      </c>
      <c r="C209" t="s">
        <v>325</v>
      </c>
      <c r="D209" t="s">
        <v>23</v>
      </c>
      <c r="E209" t="s">
        <v>24</v>
      </c>
      <c r="F209" t="s">
        <v>35</v>
      </c>
      <c r="H209" s="3">
        <v>46181</v>
      </c>
    </row>
    <row r="210" spans="1:8" ht="14.25">
      <c r="A210">
        <v>1423</v>
      </c>
      <c r="B210" t="s">
        <v>326</v>
      </c>
      <c r="C210" t="s">
        <v>83</v>
      </c>
      <c r="D210" t="s">
        <v>23</v>
      </c>
      <c r="E210" t="s">
        <v>24</v>
      </c>
      <c r="F210" t="s">
        <v>25</v>
      </c>
      <c r="H210" s="3">
        <v>46181</v>
      </c>
    </row>
    <row r="211" spans="1:8" ht="14.25">
      <c r="A211">
        <v>1424</v>
      </c>
      <c r="B211" t="s">
        <v>326</v>
      </c>
      <c r="C211" t="s">
        <v>259</v>
      </c>
      <c r="D211" t="s">
        <v>23</v>
      </c>
      <c r="E211" t="s">
        <v>30</v>
      </c>
      <c r="F211" t="s">
        <v>25</v>
      </c>
      <c r="H211" s="3">
        <v>46181</v>
      </c>
    </row>
    <row r="212" spans="1:8" ht="14.25">
      <c r="A212">
        <v>1425</v>
      </c>
      <c r="B212" t="s">
        <v>326</v>
      </c>
      <c r="C212" t="s">
        <v>327</v>
      </c>
      <c r="D212" t="s">
        <v>23</v>
      </c>
      <c r="E212" t="s">
        <v>24</v>
      </c>
      <c r="F212" t="s">
        <v>35</v>
      </c>
      <c r="H212" s="3">
        <v>46181</v>
      </c>
    </row>
    <row r="213" spans="1:8" ht="14.25">
      <c r="A213">
        <v>1426</v>
      </c>
      <c r="B213" t="s">
        <v>326</v>
      </c>
      <c r="C213" t="s">
        <v>328</v>
      </c>
      <c r="D213" t="s">
        <v>23</v>
      </c>
      <c r="E213" t="s">
        <v>30</v>
      </c>
      <c r="F213" t="s">
        <v>35</v>
      </c>
      <c r="H213" s="3">
        <v>46181</v>
      </c>
    </row>
    <row r="214" spans="1:8" ht="14.25">
      <c r="A214">
        <v>1312</v>
      </c>
      <c r="B214" t="s">
        <v>329</v>
      </c>
      <c r="C214" t="s">
        <v>287</v>
      </c>
      <c r="D214" t="s">
        <v>23</v>
      </c>
      <c r="E214" t="s">
        <v>30</v>
      </c>
      <c r="F214" t="s">
        <v>27</v>
      </c>
      <c r="G214">
        <v>35</v>
      </c>
      <c r="H214" s="3">
        <v>46181</v>
      </c>
    </row>
    <row r="215" spans="1:8" ht="14.25">
      <c r="A215">
        <v>935</v>
      </c>
      <c r="B215" t="s">
        <v>330</v>
      </c>
      <c r="C215" t="s">
        <v>245</v>
      </c>
      <c r="D215" t="s">
        <v>23</v>
      </c>
      <c r="E215" t="s">
        <v>30</v>
      </c>
      <c r="F215" t="s">
        <v>25</v>
      </c>
      <c r="H215" s="3">
        <v>46181</v>
      </c>
    </row>
    <row r="216" spans="1:8" ht="14.25">
      <c r="A216">
        <v>999</v>
      </c>
      <c r="B216" t="s">
        <v>330</v>
      </c>
      <c r="C216" t="s">
        <v>331</v>
      </c>
      <c r="D216" t="s">
        <v>23</v>
      </c>
      <c r="E216" t="s">
        <v>30</v>
      </c>
      <c r="F216" t="s">
        <v>25</v>
      </c>
      <c r="H216" s="3">
        <v>46181</v>
      </c>
    </row>
    <row r="217" spans="1:8" ht="14.25">
      <c r="A217">
        <v>998</v>
      </c>
      <c r="B217" t="s">
        <v>330</v>
      </c>
      <c r="C217" t="s">
        <v>332</v>
      </c>
      <c r="D217" t="s">
        <v>23</v>
      </c>
      <c r="E217" t="s">
        <v>30</v>
      </c>
      <c r="F217" t="s">
        <v>27</v>
      </c>
      <c r="G217">
        <v>5</v>
      </c>
      <c r="H217" s="3">
        <v>46181</v>
      </c>
    </row>
    <row r="218" spans="1:8" ht="14.25">
      <c r="A218">
        <v>616</v>
      </c>
      <c r="B218" t="s">
        <v>330</v>
      </c>
      <c r="C218" t="s">
        <v>41</v>
      </c>
      <c r="D218" t="s">
        <v>23</v>
      </c>
      <c r="E218" t="s">
        <v>24</v>
      </c>
      <c r="F218" t="s">
        <v>27</v>
      </c>
      <c r="G218">
        <v>7</v>
      </c>
      <c r="H218" s="3">
        <v>46181</v>
      </c>
    </row>
    <row r="219" spans="1:8" ht="14.25">
      <c r="A219">
        <v>558</v>
      </c>
      <c r="B219" t="s">
        <v>333</v>
      </c>
      <c r="C219" t="s">
        <v>334</v>
      </c>
      <c r="D219" t="s">
        <v>23</v>
      </c>
      <c r="E219" t="s">
        <v>24</v>
      </c>
      <c r="F219" t="s">
        <v>27</v>
      </c>
      <c r="G219">
        <v>15</v>
      </c>
      <c r="H219" s="3">
        <v>46181</v>
      </c>
    </row>
    <row r="220" spans="1:8" ht="14.25">
      <c r="A220">
        <v>991</v>
      </c>
      <c r="B220" t="s">
        <v>335</v>
      </c>
      <c r="C220" t="s">
        <v>184</v>
      </c>
      <c r="D220" t="s">
        <v>23</v>
      </c>
      <c r="E220" t="s">
        <v>30</v>
      </c>
      <c r="F220" t="s">
        <v>35</v>
      </c>
      <c r="H220" s="3">
        <v>46181</v>
      </c>
    </row>
    <row r="221" spans="1:8" ht="14.25">
      <c r="A221">
        <v>359</v>
      </c>
      <c r="B221" t="s">
        <v>336</v>
      </c>
      <c r="C221" t="s">
        <v>26</v>
      </c>
      <c r="D221" t="s">
        <v>23</v>
      </c>
      <c r="E221" t="s">
        <v>24</v>
      </c>
      <c r="F221" t="s">
        <v>27</v>
      </c>
      <c r="G221">
        <v>24</v>
      </c>
      <c r="H221" s="3">
        <v>46181</v>
      </c>
    </row>
    <row r="222" spans="1:8" ht="14.25">
      <c r="A222">
        <v>1310</v>
      </c>
      <c r="B222" t="s">
        <v>337</v>
      </c>
      <c r="C222" t="s">
        <v>311</v>
      </c>
      <c r="D222" t="s">
        <v>23</v>
      </c>
      <c r="E222" t="s">
        <v>24</v>
      </c>
      <c r="F222" t="s">
        <v>25</v>
      </c>
      <c r="H222" s="3">
        <v>46181</v>
      </c>
    </row>
    <row r="223" spans="1:8" ht="14.25">
      <c r="A223">
        <v>1200</v>
      </c>
      <c r="B223" t="s">
        <v>338</v>
      </c>
      <c r="C223" t="s">
        <v>339</v>
      </c>
      <c r="D223" t="s">
        <v>23</v>
      </c>
      <c r="E223" t="s">
        <v>24</v>
      </c>
      <c r="F223" t="s">
        <v>27</v>
      </c>
      <c r="G223">
        <v>6</v>
      </c>
      <c r="H223" s="3">
        <v>46181</v>
      </c>
    </row>
    <row r="224" spans="1:8" ht="14.25">
      <c r="A224">
        <v>1411</v>
      </c>
      <c r="B224" t="s">
        <v>338</v>
      </c>
      <c r="C224" t="s">
        <v>72</v>
      </c>
      <c r="D224" t="s">
        <v>23</v>
      </c>
      <c r="E224" t="s">
        <v>30</v>
      </c>
      <c r="F224" t="s">
        <v>27</v>
      </c>
      <c r="G224">
        <v>3</v>
      </c>
      <c r="H224" s="3">
        <v>46181</v>
      </c>
    </row>
    <row r="225" spans="1:8" ht="14.25">
      <c r="A225">
        <v>1412</v>
      </c>
      <c r="B225" t="s">
        <v>338</v>
      </c>
      <c r="C225" t="s">
        <v>340</v>
      </c>
      <c r="D225" t="s">
        <v>23</v>
      </c>
      <c r="E225" t="s">
        <v>30</v>
      </c>
      <c r="F225" t="s">
        <v>188</v>
      </c>
      <c r="H225" s="3">
        <v>46181</v>
      </c>
    </row>
    <row r="226" spans="1:8" ht="14.25">
      <c r="A226">
        <v>1413</v>
      </c>
      <c r="B226" t="s">
        <v>338</v>
      </c>
      <c r="C226" t="s">
        <v>214</v>
      </c>
      <c r="D226" t="s">
        <v>23</v>
      </c>
      <c r="E226" t="s">
        <v>24</v>
      </c>
      <c r="F226" t="s">
        <v>188</v>
      </c>
      <c r="H226" s="3">
        <v>46181</v>
      </c>
    </row>
    <row r="227" spans="1:8" ht="14.25">
      <c r="A227">
        <v>1376</v>
      </c>
      <c r="B227" t="s">
        <v>192</v>
      </c>
      <c r="C227" t="s">
        <v>127</v>
      </c>
      <c r="D227" t="s">
        <v>23</v>
      </c>
      <c r="E227" t="s">
        <v>30</v>
      </c>
      <c r="F227" t="s">
        <v>25</v>
      </c>
      <c r="H227" s="3">
        <v>46181</v>
      </c>
    </row>
    <row r="228" spans="1:8" ht="14.25">
      <c r="A228">
        <v>1140</v>
      </c>
      <c r="B228" t="s">
        <v>341</v>
      </c>
      <c r="C228" t="s">
        <v>243</v>
      </c>
      <c r="D228" t="s">
        <v>23</v>
      </c>
      <c r="E228" t="s">
        <v>24</v>
      </c>
      <c r="F228" t="s">
        <v>25</v>
      </c>
      <c r="H228" s="3">
        <v>46181</v>
      </c>
    </row>
    <row r="229" spans="1:8" ht="14.25">
      <c r="A229">
        <v>989</v>
      </c>
      <c r="B229" t="s">
        <v>342</v>
      </c>
      <c r="C229" t="s">
        <v>343</v>
      </c>
      <c r="D229" t="s">
        <v>23</v>
      </c>
      <c r="E229" t="s">
        <v>24</v>
      </c>
      <c r="F229" t="s">
        <v>27</v>
      </c>
      <c r="G229">
        <v>3</v>
      </c>
      <c r="H229" s="3">
        <v>46181</v>
      </c>
    </row>
    <row r="230" spans="1:8" ht="14.25">
      <c r="A230">
        <v>1417</v>
      </c>
      <c r="B230" t="s">
        <v>344</v>
      </c>
      <c r="C230" t="s">
        <v>345</v>
      </c>
      <c r="D230" t="s">
        <v>23</v>
      </c>
      <c r="E230" t="s">
        <v>30</v>
      </c>
      <c r="F230" t="s">
        <v>27</v>
      </c>
      <c r="G230">
        <v>17</v>
      </c>
      <c r="H230" s="3">
        <v>46181</v>
      </c>
    </row>
    <row r="231" spans="1:8" ht="14.25">
      <c r="A231">
        <v>52</v>
      </c>
      <c r="B231" t="s">
        <v>346</v>
      </c>
      <c r="C231" t="s">
        <v>192</v>
      </c>
      <c r="D231" t="s">
        <v>23</v>
      </c>
      <c r="E231" t="s">
        <v>24</v>
      </c>
      <c r="F231" t="s">
        <v>25</v>
      </c>
      <c r="H231" s="3">
        <v>46181</v>
      </c>
    </row>
    <row r="232" spans="1:8" ht="14.25">
      <c r="A232">
        <v>62</v>
      </c>
      <c r="B232" t="s">
        <v>344</v>
      </c>
      <c r="C232" t="s">
        <v>234</v>
      </c>
      <c r="D232" t="s">
        <v>23</v>
      </c>
      <c r="E232" t="s">
        <v>24</v>
      </c>
      <c r="F232" t="s">
        <v>27</v>
      </c>
      <c r="G232">
        <v>4</v>
      </c>
      <c r="H232" s="3">
        <v>46181</v>
      </c>
    </row>
    <row r="233" spans="1:8" ht="14.25">
      <c r="A233">
        <v>930</v>
      </c>
      <c r="B233" t="s">
        <v>347</v>
      </c>
      <c r="C233" t="s">
        <v>348</v>
      </c>
      <c r="D233" t="s">
        <v>23</v>
      </c>
      <c r="E233" t="s">
        <v>30</v>
      </c>
      <c r="F233" t="s">
        <v>27</v>
      </c>
      <c r="G233">
        <v>6</v>
      </c>
      <c r="H233" s="3">
        <v>46181</v>
      </c>
    </row>
    <row r="234" spans="1:8" ht="14.25">
      <c r="A234">
        <v>1254</v>
      </c>
      <c r="B234" t="s">
        <v>349</v>
      </c>
      <c r="C234" t="s">
        <v>51</v>
      </c>
      <c r="D234" t="s">
        <v>23</v>
      </c>
      <c r="E234" t="s">
        <v>24</v>
      </c>
      <c r="F234" t="s">
        <v>27</v>
      </c>
      <c r="G234">
        <v>21</v>
      </c>
      <c r="H234" s="3">
        <v>46181</v>
      </c>
    </row>
    <row r="235" spans="1:8" ht="14.25">
      <c r="A235">
        <v>744</v>
      </c>
      <c r="B235" t="s">
        <v>350</v>
      </c>
      <c r="C235" t="s">
        <v>351</v>
      </c>
      <c r="D235" t="s">
        <v>23</v>
      </c>
      <c r="E235" t="s">
        <v>24</v>
      </c>
      <c r="F235" t="s">
        <v>27</v>
      </c>
      <c r="G235">
        <v>28</v>
      </c>
      <c r="H235" s="3">
        <v>46181</v>
      </c>
    </row>
    <row r="236" spans="1:8" ht="14.25">
      <c r="A236">
        <v>337</v>
      </c>
      <c r="B236" t="s">
        <v>352</v>
      </c>
      <c r="C236" t="s">
        <v>179</v>
      </c>
      <c r="D236" t="s">
        <v>23</v>
      </c>
      <c r="E236" t="s">
        <v>30</v>
      </c>
      <c r="F236" t="s">
        <v>27</v>
      </c>
      <c r="G236">
        <v>21</v>
      </c>
      <c r="H236" s="3">
        <v>46181</v>
      </c>
    </row>
  </sheetData>
  <pageMargins left="0.70078740157480324" right="0.70078740157480324" top="0.75196850393700787" bottom="0.75196850393700787"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5E53B-7E10-444C-8FFA-D272238B59DD}">
  <dimension ref="A1:H238"/>
  <sheetViews>
    <sheetView workbookViewId="0"/>
    <sheetView workbookViewId="1"/>
  </sheetViews>
  <sheetFormatPr defaultColWidth="9" defaultRowHeight="14.25"/>
  <cols>
    <col min="1" max="7" width="9" style="63"/>
    <col min="8" max="8" width="18.33203125" style="63" customWidth="1"/>
    <col min="9" max="16384" width="9" style="63"/>
  </cols>
  <sheetData>
    <row r="1" spans="1:8">
      <c r="A1" s="63" t="s">
        <v>13</v>
      </c>
      <c r="B1" s="63" t="s">
        <v>14</v>
      </c>
      <c r="C1" s="63" t="s">
        <v>15</v>
      </c>
      <c r="D1" s="63" t="s">
        <v>16</v>
      </c>
      <c r="E1" s="63" t="s">
        <v>17</v>
      </c>
      <c r="F1" s="63" t="s">
        <v>18</v>
      </c>
      <c r="G1" s="63" t="s">
        <v>19</v>
      </c>
      <c r="H1" s="63" t="s">
        <v>20</v>
      </c>
    </row>
    <row r="2" spans="1:8">
      <c r="A2" s="63">
        <v>1327</v>
      </c>
      <c r="B2" s="63" t="s">
        <v>21</v>
      </c>
      <c r="C2" s="63" t="s">
        <v>22</v>
      </c>
      <c r="D2" s="63" t="s">
        <v>23</v>
      </c>
      <c r="E2" s="63" t="b">
        <v>0</v>
      </c>
      <c r="F2" s="63" t="s">
        <v>25</v>
      </c>
      <c r="H2" s="64">
        <v>46196</v>
      </c>
    </row>
    <row r="3" spans="1:8">
      <c r="A3" s="63">
        <v>1237</v>
      </c>
      <c r="B3" s="63" t="s">
        <v>21</v>
      </c>
      <c r="C3" s="63" t="s">
        <v>26</v>
      </c>
      <c r="D3" s="63" t="s">
        <v>23</v>
      </c>
      <c r="E3" s="63" t="b">
        <v>0</v>
      </c>
      <c r="F3" s="63" t="s">
        <v>27</v>
      </c>
      <c r="G3" s="63">
        <v>1</v>
      </c>
      <c r="H3" s="64">
        <v>46196</v>
      </c>
    </row>
    <row r="4" spans="1:8">
      <c r="A4" s="63">
        <v>819</v>
      </c>
      <c r="B4" s="63" t="s">
        <v>28</v>
      </c>
      <c r="C4" s="63" t="s">
        <v>29</v>
      </c>
      <c r="D4" s="63" t="s">
        <v>23</v>
      </c>
      <c r="E4" s="63" t="b">
        <v>1</v>
      </c>
      <c r="F4" s="63" t="s">
        <v>27</v>
      </c>
      <c r="G4" s="63">
        <v>23</v>
      </c>
      <c r="H4" s="64">
        <v>46196</v>
      </c>
    </row>
    <row r="5" spans="1:8">
      <c r="A5" s="63">
        <v>2</v>
      </c>
      <c r="B5" s="63" t="s">
        <v>31</v>
      </c>
      <c r="C5" s="63" t="s">
        <v>32</v>
      </c>
      <c r="D5" s="63" t="s">
        <v>23</v>
      </c>
      <c r="E5" s="63" t="b">
        <v>0</v>
      </c>
      <c r="F5" s="63" t="s">
        <v>27</v>
      </c>
      <c r="G5" s="63">
        <v>21</v>
      </c>
      <c r="H5" s="64">
        <v>46196</v>
      </c>
    </row>
    <row r="6" spans="1:8">
      <c r="A6" s="63">
        <v>1370</v>
      </c>
      <c r="B6" s="63" t="s">
        <v>33</v>
      </c>
      <c r="C6" s="63" t="s">
        <v>34</v>
      </c>
      <c r="D6" s="63" t="s">
        <v>23</v>
      </c>
      <c r="E6" s="63" t="b">
        <v>0</v>
      </c>
      <c r="F6" s="63" t="s">
        <v>27</v>
      </c>
      <c r="G6" s="63">
        <v>4</v>
      </c>
      <c r="H6" s="64">
        <v>46196</v>
      </c>
    </row>
    <row r="7" spans="1:8">
      <c r="A7" s="63">
        <v>1415</v>
      </c>
      <c r="B7" s="63" t="s">
        <v>33</v>
      </c>
      <c r="C7" s="63" t="s">
        <v>22</v>
      </c>
      <c r="D7" s="63" t="s">
        <v>23</v>
      </c>
      <c r="E7" s="63" t="b">
        <v>0</v>
      </c>
      <c r="F7" s="63" t="s">
        <v>35</v>
      </c>
      <c r="H7" s="64">
        <v>46196</v>
      </c>
    </row>
    <row r="8" spans="1:8">
      <c r="A8" s="63">
        <v>1286</v>
      </c>
      <c r="B8" s="63" t="s">
        <v>36</v>
      </c>
      <c r="C8" s="63" t="s">
        <v>34</v>
      </c>
      <c r="D8" s="63" t="s">
        <v>23</v>
      </c>
      <c r="E8" s="63" t="b">
        <v>0</v>
      </c>
      <c r="F8" s="63" t="s">
        <v>27</v>
      </c>
      <c r="G8" s="63">
        <v>13</v>
      </c>
      <c r="H8" s="64">
        <v>46196</v>
      </c>
    </row>
    <row r="9" spans="1:8">
      <c r="A9" s="63">
        <v>1381</v>
      </c>
      <c r="B9" s="63" t="s">
        <v>36</v>
      </c>
      <c r="C9" s="63" t="s">
        <v>37</v>
      </c>
      <c r="D9" s="63" t="s">
        <v>23</v>
      </c>
      <c r="E9" s="63" t="b">
        <v>0</v>
      </c>
      <c r="F9" s="63" t="s">
        <v>25</v>
      </c>
      <c r="H9" s="64">
        <v>46196</v>
      </c>
    </row>
    <row r="10" spans="1:8">
      <c r="A10" s="63">
        <v>1112</v>
      </c>
      <c r="B10" s="63" t="s">
        <v>38</v>
      </c>
      <c r="C10" s="63" t="s">
        <v>39</v>
      </c>
      <c r="D10" s="63" t="s">
        <v>23</v>
      </c>
      <c r="E10" s="63" t="b">
        <v>0</v>
      </c>
      <c r="F10" s="63" t="s">
        <v>27</v>
      </c>
      <c r="G10" s="63">
        <v>16</v>
      </c>
      <c r="H10" s="64">
        <v>46196</v>
      </c>
    </row>
    <row r="11" spans="1:8">
      <c r="A11" s="63">
        <v>1135</v>
      </c>
      <c r="B11" s="63" t="s">
        <v>40</v>
      </c>
      <c r="C11" s="63" t="s">
        <v>41</v>
      </c>
      <c r="D11" s="63" t="s">
        <v>23</v>
      </c>
      <c r="E11" s="63" t="b">
        <v>0</v>
      </c>
      <c r="F11" s="63" t="s">
        <v>27</v>
      </c>
      <c r="G11" s="63">
        <v>1</v>
      </c>
      <c r="H11" s="64">
        <v>46196</v>
      </c>
    </row>
    <row r="12" spans="1:8">
      <c r="A12" s="63">
        <v>1430</v>
      </c>
      <c r="B12" s="63" t="s">
        <v>42</v>
      </c>
      <c r="C12" s="63" t="s">
        <v>39</v>
      </c>
      <c r="D12" s="63" t="s">
        <v>23</v>
      </c>
      <c r="E12" s="63" t="b">
        <v>0</v>
      </c>
      <c r="F12" s="63" t="s">
        <v>27</v>
      </c>
      <c r="G12" s="63">
        <v>4</v>
      </c>
      <c r="H12" s="64">
        <v>46196</v>
      </c>
    </row>
    <row r="13" spans="1:8">
      <c r="A13" s="63">
        <v>982</v>
      </c>
      <c r="B13" s="63" t="s">
        <v>42</v>
      </c>
      <c r="C13" s="63" t="s">
        <v>32</v>
      </c>
      <c r="D13" s="63" t="s">
        <v>23</v>
      </c>
      <c r="E13" s="63" t="b">
        <v>0</v>
      </c>
      <c r="F13" s="63" t="s">
        <v>27</v>
      </c>
      <c r="G13" s="63">
        <v>22</v>
      </c>
      <c r="H13" s="64">
        <v>46196</v>
      </c>
    </row>
    <row r="14" spans="1:8">
      <c r="A14" s="63">
        <v>1328</v>
      </c>
      <c r="B14" s="63" t="s">
        <v>43</v>
      </c>
      <c r="C14" s="63" t="s">
        <v>44</v>
      </c>
      <c r="D14" s="63" t="s">
        <v>23</v>
      </c>
      <c r="E14" s="63" t="b">
        <v>0</v>
      </c>
      <c r="F14" s="63" t="s">
        <v>27</v>
      </c>
      <c r="G14" s="63">
        <v>4</v>
      </c>
      <c r="H14" s="64">
        <v>46196</v>
      </c>
    </row>
    <row r="15" spans="1:8">
      <c r="A15" s="63">
        <v>369</v>
      </c>
      <c r="B15" s="63" t="s">
        <v>45</v>
      </c>
      <c r="C15" s="63" t="s">
        <v>46</v>
      </c>
      <c r="D15" s="63" t="s">
        <v>23</v>
      </c>
      <c r="E15" s="63" t="b">
        <v>0</v>
      </c>
      <c r="F15" s="63" t="s">
        <v>27</v>
      </c>
      <c r="G15" s="63">
        <v>8</v>
      </c>
      <c r="H15" s="64">
        <v>46196</v>
      </c>
    </row>
    <row r="16" spans="1:8">
      <c r="A16" s="63">
        <v>7</v>
      </c>
      <c r="B16" s="63" t="s">
        <v>45</v>
      </c>
      <c r="C16" s="63" t="s">
        <v>47</v>
      </c>
      <c r="D16" s="63" t="s">
        <v>48</v>
      </c>
      <c r="E16" s="63" t="b">
        <v>0</v>
      </c>
      <c r="F16" s="63" t="s">
        <v>27</v>
      </c>
      <c r="G16" s="63">
        <v>32</v>
      </c>
      <c r="H16" s="64">
        <v>46196</v>
      </c>
    </row>
    <row r="17" spans="1:8">
      <c r="A17" s="63">
        <v>473</v>
      </c>
      <c r="B17" s="63" t="s">
        <v>45</v>
      </c>
      <c r="C17" s="63" t="s">
        <v>49</v>
      </c>
      <c r="D17" s="63" t="s">
        <v>48</v>
      </c>
      <c r="E17" s="63" t="b">
        <v>0</v>
      </c>
      <c r="F17" s="63" t="s">
        <v>27</v>
      </c>
      <c r="G17" s="63">
        <v>33</v>
      </c>
      <c r="H17" s="64">
        <v>46196</v>
      </c>
    </row>
    <row r="18" spans="1:8">
      <c r="A18" s="63">
        <v>1384</v>
      </c>
      <c r="B18" s="63" t="s">
        <v>50</v>
      </c>
      <c r="C18" s="63" t="s">
        <v>51</v>
      </c>
      <c r="D18" s="63" t="s">
        <v>23</v>
      </c>
      <c r="E18" s="63" t="b">
        <v>0</v>
      </c>
      <c r="F18" s="63" t="s">
        <v>27</v>
      </c>
      <c r="G18" s="63">
        <v>30</v>
      </c>
      <c r="H18" s="64">
        <v>46196</v>
      </c>
    </row>
    <row r="19" spans="1:8">
      <c r="A19" s="63">
        <v>1348</v>
      </c>
      <c r="B19" s="63" t="s">
        <v>52</v>
      </c>
      <c r="C19" s="63" t="s">
        <v>53</v>
      </c>
      <c r="D19" s="63" t="s">
        <v>54</v>
      </c>
      <c r="E19" s="63" t="b">
        <v>1</v>
      </c>
      <c r="F19" s="63" t="s">
        <v>25</v>
      </c>
      <c r="H19" s="64">
        <v>46196</v>
      </c>
    </row>
    <row r="20" spans="1:8">
      <c r="A20" s="63">
        <v>1275</v>
      </c>
      <c r="B20" s="63" t="s">
        <v>52</v>
      </c>
      <c r="C20" s="63" t="s">
        <v>55</v>
      </c>
      <c r="D20" s="63" t="s">
        <v>23</v>
      </c>
      <c r="E20" s="63" t="b">
        <v>1</v>
      </c>
      <c r="F20" s="63" t="s">
        <v>35</v>
      </c>
      <c r="H20" s="64">
        <v>46196</v>
      </c>
    </row>
    <row r="21" spans="1:8">
      <c r="A21" s="63">
        <v>68</v>
      </c>
      <c r="B21" s="63" t="s">
        <v>56</v>
      </c>
      <c r="C21" s="63" t="s">
        <v>57</v>
      </c>
      <c r="D21" s="63" t="s">
        <v>48</v>
      </c>
      <c r="E21" s="63" t="b">
        <v>0</v>
      </c>
      <c r="F21" s="63" t="s">
        <v>27</v>
      </c>
      <c r="G21" s="63">
        <v>35</v>
      </c>
      <c r="H21" s="64">
        <v>46196</v>
      </c>
    </row>
    <row r="22" spans="1:8">
      <c r="A22" s="63">
        <v>1035</v>
      </c>
      <c r="B22" s="63" t="s">
        <v>58</v>
      </c>
      <c r="C22" s="63" t="s">
        <v>59</v>
      </c>
      <c r="D22" s="63" t="s">
        <v>23</v>
      </c>
      <c r="E22" s="63" t="b">
        <v>0</v>
      </c>
      <c r="F22" s="63" t="s">
        <v>27</v>
      </c>
      <c r="G22" s="63">
        <v>6</v>
      </c>
      <c r="H22" s="64">
        <v>46196</v>
      </c>
    </row>
    <row r="23" spans="1:8">
      <c r="A23" s="63">
        <v>1416</v>
      </c>
      <c r="B23" s="63" t="s">
        <v>60</v>
      </c>
      <c r="C23" s="63" t="s">
        <v>61</v>
      </c>
      <c r="D23" s="63" t="s">
        <v>23</v>
      </c>
      <c r="E23" s="63" t="b">
        <v>0</v>
      </c>
      <c r="F23" s="63" t="s">
        <v>25</v>
      </c>
      <c r="H23" s="64">
        <v>46196</v>
      </c>
    </row>
    <row r="24" spans="1:8">
      <c r="A24" s="63">
        <v>1326</v>
      </c>
      <c r="B24" s="63" t="s">
        <v>62</v>
      </c>
      <c r="C24" s="63" t="s">
        <v>63</v>
      </c>
      <c r="D24" s="63" t="s">
        <v>23</v>
      </c>
      <c r="E24" s="63" t="b">
        <v>1</v>
      </c>
      <c r="F24" s="63" t="s">
        <v>25</v>
      </c>
      <c r="H24" s="64">
        <v>46196</v>
      </c>
    </row>
    <row r="25" spans="1:8">
      <c r="A25" s="63">
        <v>1431</v>
      </c>
      <c r="B25" s="63" t="s">
        <v>596</v>
      </c>
      <c r="C25" s="63" t="s">
        <v>595</v>
      </c>
      <c r="D25" s="63" t="s">
        <v>23</v>
      </c>
      <c r="E25" s="63" t="b">
        <v>1</v>
      </c>
      <c r="F25" s="63" t="s">
        <v>27</v>
      </c>
      <c r="G25" s="63">
        <v>11</v>
      </c>
      <c r="H25" s="64">
        <v>46196</v>
      </c>
    </row>
    <row r="26" spans="1:8">
      <c r="A26" s="63">
        <v>477</v>
      </c>
      <c r="B26" s="63" t="s">
        <v>64</v>
      </c>
      <c r="C26" s="63" t="s">
        <v>65</v>
      </c>
      <c r="D26" s="63" t="s">
        <v>23</v>
      </c>
      <c r="E26" s="63" t="b">
        <v>1</v>
      </c>
      <c r="F26" s="63" t="s">
        <v>27</v>
      </c>
      <c r="G26" s="63">
        <v>34</v>
      </c>
      <c r="H26" s="64">
        <v>46196</v>
      </c>
    </row>
    <row r="27" spans="1:8">
      <c r="A27" s="63">
        <v>10</v>
      </c>
      <c r="B27" s="63" t="s">
        <v>64</v>
      </c>
      <c r="C27" s="63" t="s">
        <v>66</v>
      </c>
      <c r="D27" s="63" t="s">
        <v>48</v>
      </c>
      <c r="E27" s="63" t="b">
        <v>0</v>
      </c>
      <c r="F27" s="63" t="s">
        <v>27</v>
      </c>
      <c r="G27" s="63">
        <v>35</v>
      </c>
      <c r="H27" s="64">
        <v>46196</v>
      </c>
    </row>
    <row r="28" spans="1:8">
      <c r="A28" s="63">
        <v>1414</v>
      </c>
      <c r="B28" s="63" t="s">
        <v>67</v>
      </c>
      <c r="C28" s="63" t="s">
        <v>36</v>
      </c>
      <c r="D28" s="63" t="s">
        <v>23</v>
      </c>
      <c r="E28" s="63" t="b">
        <v>0</v>
      </c>
      <c r="F28" s="63" t="s">
        <v>27</v>
      </c>
      <c r="G28" s="63">
        <v>13</v>
      </c>
      <c r="H28" s="64">
        <v>46196</v>
      </c>
    </row>
    <row r="29" spans="1:8">
      <c r="A29" s="63">
        <v>1029</v>
      </c>
      <c r="B29" s="63" t="s">
        <v>68</v>
      </c>
      <c r="C29" s="63" t="s">
        <v>69</v>
      </c>
      <c r="D29" s="63" t="s">
        <v>23</v>
      </c>
      <c r="E29" s="63" t="b">
        <v>0</v>
      </c>
      <c r="F29" s="63" t="s">
        <v>27</v>
      </c>
      <c r="G29" s="63">
        <v>28</v>
      </c>
      <c r="H29" s="64">
        <v>46196</v>
      </c>
    </row>
    <row r="30" spans="1:8">
      <c r="A30" s="63">
        <v>13</v>
      </c>
      <c r="B30" s="63" t="s">
        <v>70</v>
      </c>
      <c r="C30" s="63" t="s">
        <v>51</v>
      </c>
      <c r="D30" s="63" t="s">
        <v>23</v>
      </c>
      <c r="E30" s="63" t="b">
        <v>0</v>
      </c>
      <c r="F30" s="63" t="s">
        <v>27</v>
      </c>
      <c r="G30" s="63">
        <v>28</v>
      </c>
      <c r="H30" s="64">
        <v>46196</v>
      </c>
    </row>
    <row r="31" spans="1:8">
      <c r="A31" s="63">
        <v>1255</v>
      </c>
      <c r="B31" s="63" t="s">
        <v>71</v>
      </c>
      <c r="C31" s="63" t="s">
        <v>72</v>
      </c>
      <c r="D31" s="63" t="s">
        <v>23</v>
      </c>
      <c r="E31" s="63" t="b">
        <v>1</v>
      </c>
      <c r="F31" s="63" t="s">
        <v>27</v>
      </c>
      <c r="G31" s="63">
        <v>13</v>
      </c>
      <c r="H31" s="64">
        <v>46196</v>
      </c>
    </row>
    <row r="32" spans="1:8">
      <c r="A32" s="63">
        <v>1405</v>
      </c>
      <c r="B32" s="63" t="s">
        <v>73</v>
      </c>
      <c r="C32" s="63" t="s">
        <v>74</v>
      </c>
      <c r="D32" s="63" t="s">
        <v>23</v>
      </c>
      <c r="E32" s="63" t="b">
        <v>1</v>
      </c>
      <c r="F32" s="63" t="s">
        <v>35</v>
      </c>
      <c r="H32" s="64">
        <v>46196</v>
      </c>
    </row>
    <row r="33" spans="1:8">
      <c r="A33" s="63">
        <v>1421</v>
      </c>
      <c r="B33" s="63" t="s">
        <v>75</v>
      </c>
      <c r="C33" s="63" t="s">
        <v>76</v>
      </c>
      <c r="D33" s="63" t="s">
        <v>23</v>
      </c>
      <c r="E33" s="63" t="b">
        <v>1</v>
      </c>
      <c r="F33" s="63" t="s">
        <v>27</v>
      </c>
      <c r="G33" s="63">
        <v>12</v>
      </c>
      <c r="H33" s="64">
        <v>46196</v>
      </c>
    </row>
    <row r="34" spans="1:8">
      <c r="A34" s="63">
        <v>1418</v>
      </c>
      <c r="B34" s="63" t="s">
        <v>75</v>
      </c>
      <c r="C34" s="63" t="s">
        <v>22</v>
      </c>
      <c r="D34" s="63" t="s">
        <v>23</v>
      </c>
      <c r="E34" s="63" t="b">
        <v>0</v>
      </c>
      <c r="F34" s="63" t="s">
        <v>25</v>
      </c>
      <c r="H34" s="64">
        <v>46196</v>
      </c>
    </row>
    <row r="35" spans="1:8">
      <c r="A35" s="63">
        <v>919</v>
      </c>
      <c r="B35" s="63" t="s">
        <v>77</v>
      </c>
      <c r="C35" s="63" t="s">
        <v>51</v>
      </c>
      <c r="D35" s="63" t="s">
        <v>23</v>
      </c>
      <c r="E35" s="63" t="b">
        <v>0</v>
      </c>
      <c r="F35" s="63" t="s">
        <v>27</v>
      </c>
      <c r="G35" s="63">
        <v>16</v>
      </c>
      <c r="H35" s="64">
        <v>46196</v>
      </c>
    </row>
    <row r="36" spans="1:8">
      <c r="A36" s="63">
        <v>1319</v>
      </c>
      <c r="B36" s="63" t="s">
        <v>78</v>
      </c>
      <c r="C36" s="63" t="s">
        <v>32</v>
      </c>
      <c r="D36" s="63" t="s">
        <v>23</v>
      </c>
      <c r="E36" s="63" t="b">
        <v>0</v>
      </c>
      <c r="F36" s="63" t="s">
        <v>27</v>
      </c>
      <c r="G36" s="63">
        <v>9</v>
      </c>
      <c r="H36" s="64">
        <v>46196</v>
      </c>
    </row>
    <row r="37" spans="1:8">
      <c r="A37" s="63">
        <v>1389</v>
      </c>
      <c r="B37" s="63" t="s">
        <v>79</v>
      </c>
      <c r="C37" s="63" t="s">
        <v>80</v>
      </c>
      <c r="D37" s="63" t="s">
        <v>23</v>
      </c>
      <c r="E37" s="63" t="b">
        <v>0</v>
      </c>
      <c r="F37" s="63" t="s">
        <v>25</v>
      </c>
      <c r="H37" s="64">
        <v>46196</v>
      </c>
    </row>
    <row r="38" spans="1:8">
      <c r="A38" s="63">
        <v>940</v>
      </c>
      <c r="B38" s="63" t="s">
        <v>81</v>
      </c>
      <c r="C38" s="63" t="s">
        <v>82</v>
      </c>
      <c r="D38" s="63" t="s">
        <v>23</v>
      </c>
      <c r="E38" s="63" t="b">
        <v>1</v>
      </c>
      <c r="F38" s="63" t="s">
        <v>27</v>
      </c>
      <c r="G38" s="63">
        <v>9</v>
      </c>
      <c r="H38" s="64">
        <v>46196</v>
      </c>
    </row>
    <row r="39" spans="1:8">
      <c r="A39" s="63">
        <v>806</v>
      </c>
      <c r="B39" s="63" t="s">
        <v>81</v>
      </c>
      <c r="C39" s="63" t="s">
        <v>83</v>
      </c>
      <c r="D39" s="63" t="s">
        <v>23</v>
      </c>
      <c r="E39" s="63" t="b">
        <v>0</v>
      </c>
      <c r="F39" s="63" t="s">
        <v>27</v>
      </c>
      <c r="G39" s="63">
        <v>11</v>
      </c>
      <c r="H39" s="64">
        <v>46196</v>
      </c>
    </row>
    <row r="40" spans="1:8">
      <c r="A40" s="63">
        <v>482</v>
      </c>
      <c r="B40" s="63" t="s">
        <v>84</v>
      </c>
      <c r="C40" s="63" t="s">
        <v>85</v>
      </c>
      <c r="D40" s="63" t="s">
        <v>23</v>
      </c>
      <c r="E40" s="63" t="b">
        <v>0</v>
      </c>
      <c r="F40" s="63" t="s">
        <v>27</v>
      </c>
      <c r="G40" s="63">
        <v>13</v>
      </c>
      <c r="H40" s="64">
        <v>46196</v>
      </c>
    </row>
    <row r="41" spans="1:8">
      <c r="A41" s="63">
        <v>674</v>
      </c>
      <c r="B41" s="63" t="s">
        <v>86</v>
      </c>
      <c r="C41" s="63" t="s">
        <v>87</v>
      </c>
      <c r="D41" s="63" t="s">
        <v>54</v>
      </c>
      <c r="E41" s="63" t="b">
        <v>1</v>
      </c>
      <c r="F41" s="63" t="s">
        <v>27</v>
      </c>
      <c r="G41" s="63">
        <v>23</v>
      </c>
      <c r="H41" s="64">
        <v>46196</v>
      </c>
    </row>
    <row r="42" spans="1:8">
      <c r="A42" s="63">
        <v>1061</v>
      </c>
      <c r="B42" s="63" t="s">
        <v>88</v>
      </c>
      <c r="C42" s="63" t="s">
        <v>89</v>
      </c>
      <c r="D42" s="63" t="s">
        <v>23</v>
      </c>
      <c r="E42" s="63" t="b">
        <v>0</v>
      </c>
      <c r="F42" s="63" t="s">
        <v>27</v>
      </c>
      <c r="G42" s="63">
        <v>19</v>
      </c>
      <c r="H42" s="64">
        <v>46196</v>
      </c>
    </row>
    <row r="43" spans="1:8">
      <c r="A43" s="63">
        <v>763</v>
      </c>
      <c r="B43" s="63" t="s">
        <v>90</v>
      </c>
      <c r="C43" s="63" t="s">
        <v>59</v>
      </c>
      <c r="D43" s="63" t="s">
        <v>23</v>
      </c>
      <c r="E43" s="63" t="b">
        <v>0</v>
      </c>
      <c r="F43" s="63" t="s">
        <v>27</v>
      </c>
      <c r="G43" s="63">
        <v>17</v>
      </c>
      <c r="H43" s="64">
        <v>46196</v>
      </c>
    </row>
    <row r="44" spans="1:8">
      <c r="A44" s="63">
        <v>1227</v>
      </c>
      <c r="B44" s="63" t="s">
        <v>91</v>
      </c>
      <c r="C44" s="63" t="s">
        <v>92</v>
      </c>
      <c r="D44" s="63" t="s">
        <v>23</v>
      </c>
      <c r="E44" s="63" t="b">
        <v>1</v>
      </c>
      <c r="F44" s="63" t="s">
        <v>27</v>
      </c>
      <c r="G44" s="63">
        <v>8</v>
      </c>
      <c r="H44" s="64">
        <v>46196</v>
      </c>
    </row>
    <row r="45" spans="1:8">
      <c r="A45" s="63">
        <v>715</v>
      </c>
      <c r="B45" s="63" t="s">
        <v>93</v>
      </c>
      <c r="C45" s="63" t="s">
        <v>94</v>
      </c>
      <c r="D45" s="63" t="s">
        <v>23</v>
      </c>
      <c r="E45" s="63" t="b">
        <v>0</v>
      </c>
      <c r="F45" s="63" t="s">
        <v>27</v>
      </c>
      <c r="G45" s="63">
        <v>5</v>
      </c>
      <c r="H45" s="64">
        <v>46196</v>
      </c>
    </row>
    <row r="46" spans="1:8">
      <c r="A46" s="63">
        <v>567</v>
      </c>
      <c r="B46" s="63" t="s">
        <v>95</v>
      </c>
      <c r="C46" s="63" t="s">
        <v>96</v>
      </c>
      <c r="D46" s="63" t="s">
        <v>23</v>
      </c>
      <c r="E46" s="63" t="b">
        <v>0</v>
      </c>
      <c r="F46" s="63" t="s">
        <v>27</v>
      </c>
      <c r="G46" s="63">
        <v>7</v>
      </c>
      <c r="H46" s="64">
        <v>46196</v>
      </c>
    </row>
    <row r="47" spans="1:8">
      <c r="A47" s="63">
        <v>1391</v>
      </c>
      <c r="B47" s="63" t="s">
        <v>97</v>
      </c>
      <c r="C47" s="63" t="s">
        <v>98</v>
      </c>
      <c r="D47" s="63" t="s">
        <v>23</v>
      </c>
      <c r="E47" s="63" t="b">
        <v>1</v>
      </c>
      <c r="F47" s="63" t="s">
        <v>25</v>
      </c>
      <c r="H47" s="64">
        <v>46196</v>
      </c>
    </row>
    <row r="48" spans="1:8">
      <c r="A48" s="63">
        <v>704</v>
      </c>
      <c r="B48" s="63" t="s">
        <v>99</v>
      </c>
      <c r="C48" s="63" t="s">
        <v>100</v>
      </c>
      <c r="D48" s="63" t="s">
        <v>23</v>
      </c>
      <c r="E48" s="63" t="b">
        <v>0</v>
      </c>
      <c r="F48" s="63" t="s">
        <v>27</v>
      </c>
      <c r="G48" s="63">
        <v>21</v>
      </c>
      <c r="H48" s="64">
        <v>46196</v>
      </c>
    </row>
    <row r="49" spans="1:8">
      <c r="A49" s="63">
        <v>1283</v>
      </c>
      <c r="B49" s="63" t="s">
        <v>101</v>
      </c>
      <c r="C49" s="63" t="s">
        <v>102</v>
      </c>
      <c r="D49" s="63" t="s">
        <v>23</v>
      </c>
      <c r="E49" s="63" t="b">
        <v>0</v>
      </c>
      <c r="F49" s="63" t="s">
        <v>27</v>
      </c>
      <c r="G49" s="63">
        <v>18</v>
      </c>
      <c r="H49" s="64">
        <v>46196</v>
      </c>
    </row>
    <row r="50" spans="1:8">
      <c r="A50" s="63">
        <v>295</v>
      </c>
      <c r="B50" s="63" t="s">
        <v>103</v>
      </c>
      <c r="C50" s="63" t="s">
        <v>104</v>
      </c>
      <c r="D50" s="63" t="s">
        <v>23</v>
      </c>
      <c r="E50" s="63" t="b">
        <v>0</v>
      </c>
      <c r="F50" s="63" t="s">
        <v>27</v>
      </c>
      <c r="G50" s="63">
        <v>15</v>
      </c>
      <c r="H50" s="64">
        <v>46196</v>
      </c>
    </row>
    <row r="51" spans="1:8">
      <c r="A51" s="63">
        <v>1226</v>
      </c>
      <c r="B51" s="63" t="s">
        <v>105</v>
      </c>
      <c r="C51" s="63" t="s">
        <v>106</v>
      </c>
      <c r="D51" s="63" t="s">
        <v>23</v>
      </c>
      <c r="E51" s="63" t="b">
        <v>1</v>
      </c>
      <c r="F51" s="63" t="s">
        <v>25</v>
      </c>
      <c r="H51" s="64">
        <v>46196</v>
      </c>
    </row>
    <row r="52" spans="1:8">
      <c r="A52" s="63">
        <v>1333</v>
      </c>
      <c r="B52" s="63" t="s">
        <v>107</v>
      </c>
      <c r="C52" s="63" t="s">
        <v>108</v>
      </c>
      <c r="D52" s="63" t="s">
        <v>23</v>
      </c>
      <c r="E52" s="63" t="b">
        <v>0</v>
      </c>
      <c r="F52" s="63" t="s">
        <v>27</v>
      </c>
      <c r="G52" s="63">
        <v>3</v>
      </c>
      <c r="H52" s="64">
        <v>46196</v>
      </c>
    </row>
    <row r="53" spans="1:8">
      <c r="A53" s="63">
        <v>1185</v>
      </c>
      <c r="B53" s="63" t="s">
        <v>109</v>
      </c>
      <c r="C53" s="63" t="s">
        <v>110</v>
      </c>
      <c r="D53" s="63" t="s">
        <v>23</v>
      </c>
      <c r="E53" s="63" t="b">
        <v>1</v>
      </c>
      <c r="F53" s="63" t="s">
        <v>35</v>
      </c>
      <c r="H53" s="64">
        <v>46196</v>
      </c>
    </row>
    <row r="54" spans="1:8">
      <c r="A54" s="63">
        <v>1065</v>
      </c>
      <c r="B54" s="63" t="s">
        <v>109</v>
      </c>
      <c r="C54" s="63" t="s">
        <v>41</v>
      </c>
      <c r="D54" s="63" t="s">
        <v>23</v>
      </c>
      <c r="E54" s="63" t="b">
        <v>0</v>
      </c>
      <c r="F54" s="63" t="s">
        <v>27</v>
      </c>
      <c r="G54" s="63">
        <v>1</v>
      </c>
      <c r="H54" s="64">
        <v>46196</v>
      </c>
    </row>
    <row r="55" spans="1:8">
      <c r="A55" s="63">
        <v>1407</v>
      </c>
      <c r="B55" s="63" t="s">
        <v>111</v>
      </c>
      <c r="C55" s="63" t="s">
        <v>112</v>
      </c>
      <c r="D55" s="63" t="s">
        <v>23</v>
      </c>
      <c r="E55" s="63" t="b">
        <v>0</v>
      </c>
      <c r="F55" s="63" t="s">
        <v>25</v>
      </c>
      <c r="H55" s="64">
        <v>46196</v>
      </c>
    </row>
    <row r="56" spans="1:8">
      <c r="A56" s="63">
        <v>1096</v>
      </c>
      <c r="B56" s="63" t="s">
        <v>113</v>
      </c>
      <c r="C56" s="63" t="s">
        <v>114</v>
      </c>
      <c r="D56" s="63" t="s">
        <v>23</v>
      </c>
      <c r="E56" s="63" t="b">
        <v>0</v>
      </c>
      <c r="F56" s="63" t="s">
        <v>35</v>
      </c>
      <c r="H56" s="64">
        <v>46196</v>
      </c>
    </row>
    <row r="57" spans="1:8">
      <c r="A57" s="63">
        <v>1236</v>
      </c>
      <c r="B57" s="63" t="s">
        <v>113</v>
      </c>
      <c r="C57" s="63" t="s">
        <v>115</v>
      </c>
      <c r="D57" s="63" t="s">
        <v>23</v>
      </c>
      <c r="E57" s="63" t="b">
        <v>1</v>
      </c>
      <c r="F57" s="63" t="s">
        <v>27</v>
      </c>
      <c r="G57" s="63">
        <v>5</v>
      </c>
      <c r="H57" s="64">
        <v>46196</v>
      </c>
    </row>
    <row r="58" spans="1:8">
      <c r="A58" s="63">
        <v>699</v>
      </c>
      <c r="B58" s="63" t="s">
        <v>113</v>
      </c>
      <c r="C58" s="63" t="s">
        <v>116</v>
      </c>
      <c r="D58" s="63" t="s">
        <v>23</v>
      </c>
      <c r="E58" s="63" t="b">
        <v>0</v>
      </c>
      <c r="F58" s="63" t="s">
        <v>27</v>
      </c>
      <c r="G58" s="63">
        <v>5</v>
      </c>
      <c r="H58" s="64">
        <v>46196</v>
      </c>
    </row>
    <row r="59" spans="1:8">
      <c r="A59" s="63">
        <v>1288</v>
      </c>
      <c r="B59" s="63" t="s">
        <v>117</v>
      </c>
      <c r="C59" s="63" t="s">
        <v>118</v>
      </c>
      <c r="D59" s="63" t="s">
        <v>23</v>
      </c>
      <c r="E59" s="63" t="b">
        <v>0</v>
      </c>
      <c r="F59" s="63" t="s">
        <v>35</v>
      </c>
      <c r="H59" s="64">
        <v>46196</v>
      </c>
    </row>
    <row r="60" spans="1:8">
      <c r="A60" s="63">
        <v>1429</v>
      </c>
      <c r="B60" s="63" t="s">
        <v>117</v>
      </c>
      <c r="C60" s="63" t="s">
        <v>119</v>
      </c>
      <c r="D60" s="63" t="s">
        <v>23</v>
      </c>
      <c r="E60" s="63" t="b">
        <v>0</v>
      </c>
      <c r="F60" s="63" t="s">
        <v>35</v>
      </c>
      <c r="H60" s="64">
        <v>46196</v>
      </c>
    </row>
    <row r="61" spans="1:8">
      <c r="A61" s="63">
        <v>1000</v>
      </c>
      <c r="B61" s="63" t="s">
        <v>120</v>
      </c>
      <c r="C61" s="63" t="s">
        <v>121</v>
      </c>
      <c r="D61" s="63" t="s">
        <v>23</v>
      </c>
      <c r="E61" s="63" t="b">
        <v>0</v>
      </c>
      <c r="F61" s="63" t="s">
        <v>25</v>
      </c>
      <c r="H61" s="64">
        <v>46196</v>
      </c>
    </row>
    <row r="62" spans="1:8">
      <c r="A62" s="63">
        <v>1332</v>
      </c>
      <c r="B62" s="63" t="s">
        <v>122</v>
      </c>
      <c r="C62" s="63" t="s">
        <v>123</v>
      </c>
      <c r="D62" s="63" t="s">
        <v>23</v>
      </c>
      <c r="E62" s="63" t="b">
        <v>1</v>
      </c>
      <c r="F62" s="63" t="s">
        <v>25</v>
      </c>
      <c r="H62" s="64">
        <v>46196</v>
      </c>
    </row>
    <row r="63" spans="1:8">
      <c r="A63" s="63">
        <v>682</v>
      </c>
      <c r="B63" s="63" t="s">
        <v>124</v>
      </c>
      <c r="C63" s="63" t="s">
        <v>125</v>
      </c>
      <c r="D63" s="63" t="s">
        <v>23</v>
      </c>
      <c r="E63" s="63" t="b">
        <v>0</v>
      </c>
      <c r="F63" s="63" t="s">
        <v>27</v>
      </c>
      <c r="G63" s="63">
        <v>11</v>
      </c>
      <c r="H63" s="64">
        <v>46196</v>
      </c>
    </row>
    <row r="64" spans="1:8">
      <c r="A64" s="63">
        <v>1393</v>
      </c>
      <c r="B64" s="63" t="s">
        <v>126</v>
      </c>
      <c r="C64" s="63" t="s">
        <v>127</v>
      </c>
      <c r="D64" s="63" t="s">
        <v>23</v>
      </c>
      <c r="E64" s="63" t="b">
        <v>1</v>
      </c>
      <c r="F64" s="63" t="s">
        <v>27</v>
      </c>
      <c r="G64" s="63">
        <v>10</v>
      </c>
      <c r="H64" s="64">
        <v>46196</v>
      </c>
    </row>
    <row r="65" spans="1:8">
      <c r="A65" s="63">
        <v>1355</v>
      </c>
      <c r="B65" s="63" t="s">
        <v>128</v>
      </c>
      <c r="C65" s="63" t="s">
        <v>129</v>
      </c>
      <c r="D65" s="63" t="s">
        <v>23</v>
      </c>
      <c r="E65" s="63" t="b">
        <v>0</v>
      </c>
      <c r="F65" s="63" t="s">
        <v>35</v>
      </c>
      <c r="H65" s="64">
        <v>46196</v>
      </c>
    </row>
    <row r="66" spans="1:8">
      <c r="A66" s="63">
        <v>1164</v>
      </c>
      <c r="B66" s="63" t="s">
        <v>130</v>
      </c>
      <c r="C66" s="63" t="s">
        <v>131</v>
      </c>
      <c r="D66" s="63" t="s">
        <v>54</v>
      </c>
      <c r="E66" s="63" t="b">
        <v>1</v>
      </c>
      <c r="F66" s="63" t="s">
        <v>25</v>
      </c>
      <c r="H66" s="64">
        <v>46196</v>
      </c>
    </row>
    <row r="67" spans="1:8">
      <c r="A67" s="63">
        <v>1062</v>
      </c>
      <c r="B67" s="63" t="s">
        <v>130</v>
      </c>
      <c r="C67" s="63" t="s">
        <v>83</v>
      </c>
      <c r="D67" s="63" t="s">
        <v>23</v>
      </c>
      <c r="E67" s="63" t="b">
        <v>0</v>
      </c>
      <c r="F67" s="63" t="s">
        <v>27</v>
      </c>
      <c r="G67" s="63">
        <v>9</v>
      </c>
      <c r="H67" s="64">
        <v>46196</v>
      </c>
    </row>
    <row r="68" spans="1:8">
      <c r="A68" s="63">
        <v>938</v>
      </c>
      <c r="B68" s="63" t="s">
        <v>130</v>
      </c>
      <c r="C68" s="63" t="s">
        <v>132</v>
      </c>
      <c r="D68" s="63" t="s">
        <v>23</v>
      </c>
      <c r="E68" s="63" t="b">
        <v>1</v>
      </c>
      <c r="F68" s="63" t="s">
        <v>27</v>
      </c>
      <c r="G68" s="63">
        <v>7</v>
      </c>
      <c r="H68" s="64">
        <v>46196</v>
      </c>
    </row>
    <row r="69" spans="1:8">
      <c r="A69" s="63">
        <v>1427</v>
      </c>
      <c r="B69" s="63" t="s">
        <v>130</v>
      </c>
      <c r="C69" s="63" t="s">
        <v>133</v>
      </c>
      <c r="D69" s="63" t="s">
        <v>23</v>
      </c>
      <c r="E69" s="63" t="b">
        <v>1</v>
      </c>
      <c r="F69" s="63" t="s">
        <v>27</v>
      </c>
      <c r="G69" s="63">
        <v>16</v>
      </c>
      <c r="H69" s="64">
        <v>46196</v>
      </c>
    </row>
    <row r="70" spans="1:8">
      <c r="A70" s="63">
        <v>1034</v>
      </c>
      <c r="B70" s="63" t="s">
        <v>134</v>
      </c>
      <c r="C70" s="63" t="s">
        <v>83</v>
      </c>
      <c r="D70" s="63" t="s">
        <v>23</v>
      </c>
      <c r="E70" s="63" t="b">
        <v>0</v>
      </c>
      <c r="F70" s="63" t="s">
        <v>25</v>
      </c>
      <c r="H70" s="64">
        <v>46196</v>
      </c>
    </row>
    <row r="71" spans="1:8">
      <c r="A71" s="63">
        <v>1402</v>
      </c>
      <c r="B71" s="63" t="s">
        <v>135</v>
      </c>
      <c r="C71" s="63" t="s">
        <v>136</v>
      </c>
      <c r="D71" s="63" t="s">
        <v>23</v>
      </c>
      <c r="E71" s="63" t="b">
        <v>0</v>
      </c>
      <c r="F71" s="63" t="s">
        <v>27</v>
      </c>
      <c r="G71" s="63">
        <v>7</v>
      </c>
      <c r="H71" s="64">
        <v>46196</v>
      </c>
    </row>
    <row r="72" spans="1:8">
      <c r="A72" s="63">
        <v>939</v>
      </c>
      <c r="B72" s="63" t="s">
        <v>137</v>
      </c>
      <c r="C72" s="63" t="s">
        <v>127</v>
      </c>
      <c r="D72" s="63" t="s">
        <v>23</v>
      </c>
      <c r="E72" s="63" t="b">
        <v>1</v>
      </c>
      <c r="F72" s="63" t="s">
        <v>27</v>
      </c>
      <c r="G72" s="63">
        <v>12</v>
      </c>
      <c r="H72" s="64">
        <v>46196</v>
      </c>
    </row>
    <row r="73" spans="1:8">
      <c r="A73" s="63">
        <v>1377</v>
      </c>
      <c r="B73" s="63" t="s">
        <v>138</v>
      </c>
      <c r="C73" s="63" t="s">
        <v>139</v>
      </c>
      <c r="D73" s="63" t="s">
        <v>23</v>
      </c>
      <c r="E73" s="63" t="b">
        <v>1</v>
      </c>
      <c r="F73" s="63" t="s">
        <v>27</v>
      </c>
      <c r="G73" s="63">
        <v>12</v>
      </c>
      <c r="H73" s="64">
        <v>46196</v>
      </c>
    </row>
    <row r="74" spans="1:8">
      <c r="A74" s="63">
        <v>1281</v>
      </c>
      <c r="B74" s="63" t="s">
        <v>140</v>
      </c>
      <c r="C74" s="63" t="s">
        <v>141</v>
      </c>
      <c r="D74" s="63" t="s">
        <v>23</v>
      </c>
      <c r="E74" s="63" t="b">
        <v>0</v>
      </c>
      <c r="F74" s="63" t="s">
        <v>27</v>
      </c>
      <c r="G74" s="63">
        <v>19</v>
      </c>
      <c r="H74" s="64">
        <v>46196</v>
      </c>
    </row>
    <row r="75" spans="1:8">
      <c r="A75" s="63">
        <v>933</v>
      </c>
      <c r="B75" s="63" t="s">
        <v>142</v>
      </c>
      <c r="C75" s="63" t="s">
        <v>143</v>
      </c>
      <c r="D75" s="63" t="s">
        <v>23</v>
      </c>
      <c r="E75" s="63" t="b">
        <v>0</v>
      </c>
      <c r="F75" s="63" t="s">
        <v>25</v>
      </c>
      <c r="H75" s="64">
        <v>46196</v>
      </c>
    </row>
    <row r="76" spans="1:8">
      <c r="A76" s="63">
        <v>1274</v>
      </c>
      <c r="B76" s="63" t="s">
        <v>144</v>
      </c>
      <c r="C76" s="63" t="s">
        <v>145</v>
      </c>
      <c r="D76" s="63" t="s">
        <v>23</v>
      </c>
      <c r="E76" s="63" t="b">
        <v>1</v>
      </c>
      <c r="F76" s="63" t="s">
        <v>25</v>
      </c>
      <c r="H76" s="64">
        <v>46196</v>
      </c>
    </row>
    <row r="77" spans="1:8">
      <c r="A77" s="63">
        <v>493</v>
      </c>
      <c r="B77" s="63" t="s">
        <v>146</v>
      </c>
      <c r="C77" s="63" t="s">
        <v>49</v>
      </c>
      <c r="D77" s="63" t="s">
        <v>48</v>
      </c>
      <c r="E77" s="63" t="b">
        <v>0</v>
      </c>
      <c r="F77" s="63" t="s">
        <v>27</v>
      </c>
      <c r="G77" s="63">
        <v>37</v>
      </c>
      <c r="H77" s="64">
        <v>46196</v>
      </c>
    </row>
    <row r="78" spans="1:8">
      <c r="A78" s="63">
        <v>1279</v>
      </c>
      <c r="B78" s="63" t="s">
        <v>147</v>
      </c>
      <c r="C78" s="63" t="s">
        <v>148</v>
      </c>
      <c r="D78" s="63" t="s">
        <v>23</v>
      </c>
      <c r="E78" s="63" t="b">
        <v>0</v>
      </c>
      <c r="F78" s="63" t="s">
        <v>27</v>
      </c>
      <c r="G78" s="63">
        <v>4</v>
      </c>
      <c r="H78" s="64">
        <v>46196</v>
      </c>
    </row>
    <row r="79" spans="1:8">
      <c r="A79" s="63">
        <v>1193</v>
      </c>
      <c r="B79" s="63" t="s">
        <v>149</v>
      </c>
      <c r="C79" s="63" t="s">
        <v>150</v>
      </c>
      <c r="D79" s="63" t="s">
        <v>23</v>
      </c>
      <c r="E79" s="63" t="b">
        <v>0</v>
      </c>
      <c r="F79" s="63" t="s">
        <v>25</v>
      </c>
      <c r="H79" s="64">
        <v>46196</v>
      </c>
    </row>
    <row r="80" spans="1:8">
      <c r="A80" s="63">
        <v>1194</v>
      </c>
      <c r="B80" s="63" t="s">
        <v>149</v>
      </c>
      <c r="C80" s="63" t="s">
        <v>151</v>
      </c>
      <c r="D80" s="63" t="s">
        <v>23</v>
      </c>
      <c r="E80" s="63" t="b">
        <v>1</v>
      </c>
      <c r="F80" s="63" t="s">
        <v>25</v>
      </c>
      <c r="H80" s="64">
        <v>46196</v>
      </c>
    </row>
    <row r="81" spans="1:8">
      <c r="A81" s="63">
        <v>1196</v>
      </c>
      <c r="B81" s="63" t="s">
        <v>149</v>
      </c>
      <c r="C81" s="63" t="s">
        <v>152</v>
      </c>
      <c r="D81" s="63" t="s">
        <v>23</v>
      </c>
      <c r="E81" s="63" t="b">
        <v>0</v>
      </c>
      <c r="F81" s="63" t="s">
        <v>35</v>
      </c>
      <c r="H81" s="64">
        <v>46196</v>
      </c>
    </row>
    <row r="82" spans="1:8">
      <c r="A82" s="63">
        <v>1195</v>
      </c>
      <c r="B82" s="63" t="s">
        <v>149</v>
      </c>
      <c r="C82" s="63" t="s">
        <v>153</v>
      </c>
      <c r="D82" s="63" t="s">
        <v>23</v>
      </c>
      <c r="E82" s="63" t="b">
        <v>0</v>
      </c>
      <c r="F82" s="63" t="s">
        <v>35</v>
      </c>
      <c r="H82" s="64">
        <v>46196</v>
      </c>
    </row>
    <row r="83" spans="1:8">
      <c r="A83" s="63">
        <v>1176</v>
      </c>
      <c r="B83" s="63" t="s">
        <v>154</v>
      </c>
      <c r="C83" s="63" t="s">
        <v>155</v>
      </c>
      <c r="D83" s="63" t="s">
        <v>23</v>
      </c>
      <c r="E83" s="63" t="b">
        <v>0</v>
      </c>
      <c r="F83" s="63" t="s">
        <v>35</v>
      </c>
      <c r="H83" s="64">
        <v>46196</v>
      </c>
    </row>
    <row r="84" spans="1:8">
      <c r="A84" s="63">
        <v>1174</v>
      </c>
      <c r="B84" s="63" t="s">
        <v>154</v>
      </c>
      <c r="C84" s="63" t="s">
        <v>156</v>
      </c>
      <c r="D84" s="63" t="s">
        <v>23</v>
      </c>
      <c r="E84" s="63" t="b">
        <v>1</v>
      </c>
      <c r="F84" s="63" t="s">
        <v>27</v>
      </c>
      <c r="G84" s="63">
        <v>6</v>
      </c>
      <c r="H84" s="64">
        <v>46196</v>
      </c>
    </row>
    <row r="85" spans="1:8">
      <c r="A85" s="63">
        <v>1175</v>
      </c>
      <c r="B85" s="63" t="s">
        <v>154</v>
      </c>
      <c r="C85" s="63" t="s">
        <v>150</v>
      </c>
      <c r="D85" s="63" t="s">
        <v>23</v>
      </c>
      <c r="E85" s="63" t="b">
        <v>0</v>
      </c>
      <c r="F85" s="63" t="s">
        <v>27</v>
      </c>
      <c r="G85" s="63">
        <v>12</v>
      </c>
      <c r="H85" s="64">
        <v>46196</v>
      </c>
    </row>
    <row r="86" spans="1:8">
      <c r="A86" s="63">
        <v>1109</v>
      </c>
      <c r="B86" s="63" t="s">
        <v>157</v>
      </c>
      <c r="C86" s="63" t="s">
        <v>104</v>
      </c>
      <c r="D86" s="63" t="s">
        <v>23</v>
      </c>
      <c r="E86" s="63" t="b">
        <v>0</v>
      </c>
      <c r="F86" s="63" t="s">
        <v>25</v>
      </c>
      <c r="H86" s="64">
        <v>46196</v>
      </c>
    </row>
    <row r="87" spans="1:8">
      <c r="A87" s="63">
        <v>1073</v>
      </c>
      <c r="B87" s="63" t="s">
        <v>158</v>
      </c>
      <c r="C87" s="63" t="s">
        <v>150</v>
      </c>
      <c r="D87" s="63" t="s">
        <v>23</v>
      </c>
      <c r="E87" s="63" t="b">
        <v>0</v>
      </c>
      <c r="F87" s="63" t="s">
        <v>27</v>
      </c>
      <c r="G87" s="63">
        <v>3</v>
      </c>
      <c r="H87" s="64">
        <v>46196</v>
      </c>
    </row>
    <row r="88" spans="1:8">
      <c r="A88" s="63">
        <v>1400</v>
      </c>
      <c r="B88" s="63" t="s">
        <v>159</v>
      </c>
      <c r="C88" s="63" t="s">
        <v>160</v>
      </c>
      <c r="D88" s="63" t="s">
        <v>23</v>
      </c>
      <c r="E88" s="63" t="b">
        <v>0</v>
      </c>
      <c r="F88" s="63" t="s">
        <v>25</v>
      </c>
      <c r="H88" s="64">
        <v>46196</v>
      </c>
    </row>
    <row r="89" spans="1:8">
      <c r="A89" s="63">
        <v>1367</v>
      </c>
      <c r="B89" s="63" t="s">
        <v>161</v>
      </c>
      <c r="C89" s="63" t="s">
        <v>152</v>
      </c>
      <c r="D89" s="63" t="s">
        <v>23</v>
      </c>
      <c r="E89" s="63" t="b">
        <v>0</v>
      </c>
      <c r="F89" s="63" t="s">
        <v>35</v>
      </c>
      <c r="H89" s="64">
        <v>46196</v>
      </c>
    </row>
    <row r="90" spans="1:8">
      <c r="A90" s="63">
        <v>1366</v>
      </c>
      <c r="B90" s="63" t="s">
        <v>161</v>
      </c>
      <c r="C90" s="63" t="s">
        <v>162</v>
      </c>
      <c r="D90" s="63" t="s">
        <v>23</v>
      </c>
      <c r="E90" s="63" t="b">
        <v>1</v>
      </c>
      <c r="F90" s="63" t="s">
        <v>25</v>
      </c>
      <c r="H90" s="64">
        <v>46196</v>
      </c>
    </row>
    <row r="91" spans="1:8">
      <c r="A91" s="63">
        <v>1365</v>
      </c>
      <c r="B91" s="63" t="s">
        <v>161</v>
      </c>
      <c r="C91" s="63" t="s">
        <v>163</v>
      </c>
      <c r="D91" s="63" t="s">
        <v>23</v>
      </c>
      <c r="E91" s="63" t="b">
        <v>1</v>
      </c>
      <c r="F91" s="63" t="s">
        <v>27</v>
      </c>
      <c r="G91" s="63">
        <v>7</v>
      </c>
      <c r="H91" s="64">
        <v>46196</v>
      </c>
    </row>
    <row r="92" spans="1:8">
      <c r="A92" s="63">
        <v>897</v>
      </c>
      <c r="B92" s="63" t="s">
        <v>161</v>
      </c>
      <c r="C92" s="63" t="s">
        <v>164</v>
      </c>
      <c r="D92" s="63" t="s">
        <v>23</v>
      </c>
      <c r="E92" s="63" t="b">
        <v>0</v>
      </c>
      <c r="F92" s="63" t="s">
        <v>27</v>
      </c>
      <c r="G92" s="63">
        <v>13</v>
      </c>
      <c r="H92" s="64">
        <v>46196</v>
      </c>
    </row>
    <row r="93" spans="1:8">
      <c r="A93" s="63">
        <v>1308</v>
      </c>
      <c r="B93" s="63" t="s">
        <v>165</v>
      </c>
      <c r="C93" s="63" t="s">
        <v>166</v>
      </c>
      <c r="D93" s="63" t="s">
        <v>23</v>
      </c>
      <c r="E93" s="63" t="b">
        <v>1</v>
      </c>
      <c r="F93" s="63" t="s">
        <v>27</v>
      </c>
      <c r="G93" s="63">
        <v>2</v>
      </c>
      <c r="H93" s="64">
        <v>46196</v>
      </c>
    </row>
    <row r="94" spans="1:8">
      <c r="A94" s="63">
        <v>1206</v>
      </c>
      <c r="B94" s="63" t="s">
        <v>167</v>
      </c>
      <c r="C94" s="63" t="s">
        <v>168</v>
      </c>
      <c r="D94" s="63" t="s">
        <v>23</v>
      </c>
      <c r="E94" s="63" t="b">
        <v>1</v>
      </c>
      <c r="F94" s="63" t="s">
        <v>27</v>
      </c>
      <c r="G94" s="63">
        <v>8</v>
      </c>
      <c r="H94" s="64">
        <v>46196</v>
      </c>
    </row>
    <row r="95" spans="1:8">
      <c r="A95" s="63">
        <v>1205</v>
      </c>
      <c r="B95" s="63" t="s">
        <v>167</v>
      </c>
      <c r="C95" s="63" t="s">
        <v>66</v>
      </c>
      <c r="D95" s="63" t="s">
        <v>23</v>
      </c>
      <c r="E95" s="63" t="b">
        <v>0</v>
      </c>
      <c r="F95" s="63" t="s">
        <v>27</v>
      </c>
      <c r="G95" s="63">
        <v>14</v>
      </c>
      <c r="H95" s="64">
        <v>46196</v>
      </c>
    </row>
    <row r="96" spans="1:8">
      <c r="A96" s="63">
        <v>1406</v>
      </c>
      <c r="B96" s="63" t="s">
        <v>169</v>
      </c>
      <c r="C96" s="63" t="s">
        <v>170</v>
      </c>
      <c r="D96" s="63" t="s">
        <v>23</v>
      </c>
      <c r="E96" s="63" t="b">
        <v>0</v>
      </c>
      <c r="F96" s="63" t="s">
        <v>27</v>
      </c>
      <c r="G96" s="63">
        <v>9</v>
      </c>
      <c r="H96" s="64">
        <v>46196</v>
      </c>
    </row>
    <row r="97" spans="1:8">
      <c r="A97" s="63">
        <v>1182</v>
      </c>
      <c r="B97" s="63" t="s">
        <v>171</v>
      </c>
      <c r="C97" s="63" t="s">
        <v>136</v>
      </c>
      <c r="D97" s="63" t="s">
        <v>23</v>
      </c>
      <c r="E97" s="63" t="b">
        <v>0</v>
      </c>
      <c r="F97" s="63" t="s">
        <v>27</v>
      </c>
      <c r="G97" s="63">
        <v>8</v>
      </c>
      <c r="H97" s="64">
        <v>46196</v>
      </c>
    </row>
    <row r="98" spans="1:8">
      <c r="A98" s="63">
        <v>1340</v>
      </c>
      <c r="B98" s="63" t="s">
        <v>172</v>
      </c>
      <c r="C98" s="63" t="s">
        <v>173</v>
      </c>
      <c r="D98" s="63" t="s">
        <v>23</v>
      </c>
      <c r="E98" s="63" t="b">
        <v>0</v>
      </c>
      <c r="F98" s="63" t="s">
        <v>27</v>
      </c>
      <c r="G98" s="63">
        <v>8</v>
      </c>
      <c r="H98" s="64">
        <v>46196</v>
      </c>
    </row>
    <row r="99" spans="1:8">
      <c r="A99" s="63">
        <v>21</v>
      </c>
      <c r="B99" s="63" t="s">
        <v>174</v>
      </c>
      <c r="C99" s="63" t="s">
        <v>175</v>
      </c>
      <c r="D99" s="63" t="s">
        <v>23</v>
      </c>
      <c r="E99" s="63" t="b">
        <v>0</v>
      </c>
      <c r="F99" s="63" t="s">
        <v>25</v>
      </c>
      <c r="H99" s="64">
        <v>46196</v>
      </c>
    </row>
    <row r="100" spans="1:8">
      <c r="A100" s="63">
        <v>1049</v>
      </c>
      <c r="B100" s="63" t="s">
        <v>176</v>
      </c>
      <c r="C100" s="63" t="s">
        <v>177</v>
      </c>
      <c r="D100" s="63" t="s">
        <v>23</v>
      </c>
      <c r="E100" s="63" t="b">
        <v>0</v>
      </c>
      <c r="F100" s="63" t="s">
        <v>27</v>
      </c>
      <c r="G100" s="63">
        <v>19</v>
      </c>
      <c r="H100" s="64">
        <v>46196</v>
      </c>
    </row>
    <row r="101" spans="1:8">
      <c r="A101" s="63">
        <v>120</v>
      </c>
      <c r="B101" s="63" t="s">
        <v>178</v>
      </c>
      <c r="C101" s="63" t="s">
        <v>179</v>
      </c>
      <c r="D101" s="63" t="s">
        <v>23</v>
      </c>
      <c r="E101" s="63" t="b">
        <v>1</v>
      </c>
      <c r="F101" s="63" t="s">
        <v>27</v>
      </c>
      <c r="G101" s="63">
        <v>12</v>
      </c>
      <c r="H101" s="64">
        <v>46196</v>
      </c>
    </row>
    <row r="102" spans="1:8">
      <c r="A102" s="63">
        <v>990</v>
      </c>
      <c r="B102" s="63" t="s">
        <v>180</v>
      </c>
      <c r="C102" s="63" t="s">
        <v>87</v>
      </c>
      <c r="D102" s="63" t="s">
        <v>23</v>
      </c>
      <c r="E102" s="63" t="b">
        <v>1</v>
      </c>
      <c r="F102" s="63" t="s">
        <v>27</v>
      </c>
      <c r="G102" s="63">
        <v>10</v>
      </c>
      <c r="H102" s="64">
        <v>46196</v>
      </c>
    </row>
    <row r="103" spans="1:8">
      <c r="A103" s="63">
        <v>1395</v>
      </c>
      <c r="B103" s="63" t="s">
        <v>181</v>
      </c>
      <c r="C103" s="63" t="s">
        <v>182</v>
      </c>
      <c r="D103" s="63" t="s">
        <v>23</v>
      </c>
      <c r="E103" s="63" t="b">
        <v>1</v>
      </c>
      <c r="F103" s="63" t="s">
        <v>35</v>
      </c>
      <c r="H103" s="64">
        <v>46196</v>
      </c>
    </row>
    <row r="104" spans="1:8">
      <c r="A104" s="63">
        <v>1158</v>
      </c>
      <c r="B104" s="63" t="s">
        <v>183</v>
      </c>
      <c r="C104" s="63" t="s">
        <v>184</v>
      </c>
      <c r="D104" s="63" t="s">
        <v>23</v>
      </c>
      <c r="E104" s="63" t="b">
        <v>1</v>
      </c>
      <c r="F104" s="63" t="s">
        <v>25</v>
      </c>
      <c r="H104" s="64">
        <v>46196</v>
      </c>
    </row>
    <row r="105" spans="1:8">
      <c r="A105" s="63">
        <v>23</v>
      </c>
      <c r="B105" s="63" t="s">
        <v>185</v>
      </c>
      <c r="C105" s="63" t="s">
        <v>100</v>
      </c>
      <c r="D105" s="63" t="s">
        <v>23</v>
      </c>
      <c r="E105" s="63" t="b">
        <v>0</v>
      </c>
      <c r="F105" s="63" t="s">
        <v>27</v>
      </c>
      <c r="G105" s="63">
        <v>10</v>
      </c>
      <c r="H105" s="64">
        <v>46196</v>
      </c>
    </row>
    <row r="106" spans="1:8">
      <c r="A106" s="63">
        <v>1152</v>
      </c>
      <c r="B106" s="63" t="s">
        <v>186</v>
      </c>
      <c r="C106" s="63" t="s">
        <v>187</v>
      </c>
      <c r="D106" s="63" t="s">
        <v>54</v>
      </c>
      <c r="E106" s="63" t="b">
        <v>1</v>
      </c>
      <c r="F106" s="63" t="s">
        <v>188</v>
      </c>
      <c r="H106" s="64">
        <v>46196</v>
      </c>
    </row>
    <row r="107" spans="1:8">
      <c r="A107" s="63">
        <v>581</v>
      </c>
      <c r="B107" s="63" t="s">
        <v>189</v>
      </c>
      <c r="C107" s="63" t="s">
        <v>190</v>
      </c>
      <c r="D107" s="63" t="s">
        <v>23</v>
      </c>
      <c r="E107" s="63" t="b">
        <v>0</v>
      </c>
      <c r="F107" s="63" t="s">
        <v>27</v>
      </c>
      <c r="G107" s="63">
        <v>13</v>
      </c>
      <c r="H107" s="64">
        <v>46196</v>
      </c>
    </row>
    <row r="108" spans="1:8">
      <c r="A108" s="63">
        <v>1374</v>
      </c>
      <c r="B108" s="63" t="s">
        <v>191</v>
      </c>
      <c r="C108" s="63" t="s">
        <v>192</v>
      </c>
      <c r="D108" s="63" t="s">
        <v>23</v>
      </c>
      <c r="E108" s="63" t="b">
        <v>0</v>
      </c>
      <c r="F108" s="63" t="s">
        <v>25</v>
      </c>
      <c r="H108" s="64">
        <v>46196</v>
      </c>
    </row>
    <row r="109" spans="1:8">
      <c r="A109" s="63">
        <v>25</v>
      </c>
      <c r="B109" s="63" t="s">
        <v>22</v>
      </c>
      <c r="C109" s="63" t="s">
        <v>193</v>
      </c>
      <c r="D109" s="63" t="s">
        <v>23</v>
      </c>
      <c r="E109" s="63" t="b">
        <v>0</v>
      </c>
      <c r="F109" s="63" t="s">
        <v>27</v>
      </c>
      <c r="G109" s="63">
        <v>8</v>
      </c>
      <c r="H109" s="64">
        <v>46196</v>
      </c>
    </row>
    <row r="110" spans="1:8">
      <c r="A110" s="63">
        <v>1257</v>
      </c>
      <c r="B110" s="63" t="s">
        <v>194</v>
      </c>
      <c r="C110" s="63" t="s">
        <v>150</v>
      </c>
      <c r="D110" s="63" t="s">
        <v>54</v>
      </c>
      <c r="E110" s="63" t="b">
        <v>0</v>
      </c>
      <c r="F110" s="63" t="s">
        <v>25</v>
      </c>
      <c r="H110" s="64">
        <v>46196</v>
      </c>
    </row>
    <row r="111" spans="1:8">
      <c r="A111" s="63">
        <v>415</v>
      </c>
      <c r="B111" s="63" t="s">
        <v>195</v>
      </c>
      <c r="C111" s="63" t="s">
        <v>196</v>
      </c>
      <c r="D111" s="63" t="s">
        <v>23</v>
      </c>
      <c r="E111" s="63" t="b">
        <v>0</v>
      </c>
      <c r="F111" s="63" t="s">
        <v>27</v>
      </c>
      <c r="G111" s="63">
        <v>6</v>
      </c>
      <c r="H111" s="64">
        <v>46196</v>
      </c>
    </row>
    <row r="112" spans="1:8">
      <c r="A112" s="63">
        <v>1144</v>
      </c>
      <c r="B112" s="63" t="s">
        <v>195</v>
      </c>
      <c r="C112" s="63" t="s">
        <v>197</v>
      </c>
      <c r="D112" s="63" t="s">
        <v>54</v>
      </c>
      <c r="E112" s="63" t="b">
        <v>0</v>
      </c>
      <c r="F112" s="63" t="s">
        <v>188</v>
      </c>
      <c r="H112" s="64">
        <v>46196</v>
      </c>
    </row>
    <row r="113" spans="1:8">
      <c r="A113" s="63">
        <v>1292</v>
      </c>
      <c r="B113" s="63" t="s">
        <v>198</v>
      </c>
      <c r="C113" s="63" t="s">
        <v>199</v>
      </c>
      <c r="D113" s="63" t="s">
        <v>23</v>
      </c>
      <c r="E113" s="63" t="b">
        <v>1</v>
      </c>
      <c r="F113" s="63" t="s">
        <v>25</v>
      </c>
      <c r="H113" s="64">
        <v>46196</v>
      </c>
    </row>
    <row r="114" spans="1:8">
      <c r="A114" s="63">
        <v>203</v>
      </c>
      <c r="B114" s="63" t="s">
        <v>200</v>
      </c>
      <c r="C114" s="63" t="s">
        <v>201</v>
      </c>
      <c r="D114" s="63" t="s">
        <v>23</v>
      </c>
      <c r="E114" s="63" t="b">
        <v>0</v>
      </c>
      <c r="F114" s="63" t="s">
        <v>27</v>
      </c>
      <c r="G114" s="63">
        <v>9</v>
      </c>
      <c r="H114" s="64">
        <v>46196</v>
      </c>
    </row>
    <row r="115" spans="1:8">
      <c r="A115" s="63">
        <v>956</v>
      </c>
      <c r="B115" s="63" t="s">
        <v>202</v>
      </c>
      <c r="C115" s="63" t="s">
        <v>94</v>
      </c>
      <c r="D115" s="63" t="s">
        <v>23</v>
      </c>
      <c r="E115" s="63" t="b">
        <v>0</v>
      </c>
      <c r="F115" s="63" t="s">
        <v>27</v>
      </c>
      <c r="G115" s="63">
        <v>13</v>
      </c>
      <c r="H115" s="64">
        <v>46196</v>
      </c>
    </row>
    <row r="116" spans="1:8">
      <c r="A116" s="63">
        <v>1273</v>
      </c>
      <c r="B116" s="63" t="s">
        <v>203</v>
      </c>
      <c r="C116" s="63" t="s">
        <v>204</v>
      </c>
      <c r="D116" s="63" t="s">
        <v>23</v>
      </c>
      <c r="E116" s="63" t="b">
        <v>1</v>
      </c>
      <c r="F116" s="63" t="s">
        <v>27</v>
      </c>
      <c r="G116" s="63">
        <v>22</v>
      </c>
      <c r="H116" s="64">
        <v>46196</v>
      </c>
    </row>
    <row r="117" spans="1:8">
      <c r="A117" s="63">
        <v>1272</v>
      </c>
      <c r="B117" s="63" t="s">
        <v>203</v>
      </c>
      <c r="C117" s="63" t="s">
        <v>205</v>
      </c>
      <c r="D117" s="63" t="s">
        <v>23</v>
      </c>
      <c r="E117" s="63" t="b">
        <v>0</v>
      </c>
      <c r="F117" s="63" t="s">
        <v>27</v>
      </c>
      <c r="G117" s="63">
        <v>24</v>
      </c>
      <c r="H117" s="64">
        <v>46196</v>
      </c>
    </row>
    <row r="118" spans="1:8">
      <c r="A118" s="63">
        <v>846</v>
      </c>
      <c r="B118" s="63" t="s">
        <v>206</v>
      </c>
      <c r="C118" s="63" t="s">
        <v>207</v>
      </c>
      <c r="D118" s="63" t="s">
        <v>23</v>
      </c>
      <c r="E118" s="63" t="b">
        <v>0</v>
      </c>
      <c r="F118" s="63" t="s">
        <v>27</v>
      </c>
      <c r="G118" s="63">
        <v>17</v>
      </c>
      <c r="H118" s="64">
        <v>46196</v>
      </c>
    </row>
    <row r="119" spans="1:8">
      <c r="A119" s="63">
        <v>1162</v>
      </c>
      <c r="B119" s="63" t="s">
        <v>208</v>
      </c>
      <c r="C119" s="63" t="s">
        <v>150</v>
      </c>
      <c r="D119" s="63" t="s">
        <v>23</v>
      </c>
      <c r="E119" s="63" t="b">
        <v>0</v>
      </c>
      <c r="F119" s="63" t="s">
        <v>25</v>
      </c>
      <c r="H119" s="64">
        <v>46196</v>
      </c>
    </row>
    <row r="120" spans="1:8">
      <c r="A120" s="63">
        <v>1244</v>
      </c>
      <c r="B120" s="63" t="s">
        <v>209</v>
      </c>
      <c r="C120" s="63" t="s">
        <v>94</v>
      </c>
      <c r="D120" s="63" t="s">
        <v>23</v>
      </c>
      <c r="E120" s="63" t="b">
        <v>0</v>
      </c>
      <c r="F120" s="63" t="s">
        <v>27</v>
      </c>
      <c r="G120" s="63">
        <v>2</v>
      </c>
      <c r="H120" s="64">
        <v>46196</v>
      </c>
    </row>
    <row r="121" spans="1:8">
      <c r="A121" s="63">
        <v>1379</v>
      </c>
      <c r="B121" s="63" t="s">
        <v>209</v>
      </c>
      <c r="C121" s="63" t="s">
        <v>210</v>
      </c>
      <c r="D121" s="63" t="s">
        <v>23</v>
      </c>
      <c r="E121" s="63" t="b">
        <v>1</v>
      </c>
      <c r="F121" s="63" t="s">
        <v>25</v>
      </c>
      <c r="H121" s="64">
        <v>46196</v>
      </c>
    </row>
    <row r="122" spans="1:8">
      <c r="A122" s="63">
        <v>1362</v>
      </c>
      <c r="B122" s="63" t="s">
        <v>211</v>
      </c>
      <c r="C122" s="63" t="s">
        <v>212</v>
      </c>
      <c r="D122" s="63" t="s">
        <v>23</v>
      </c>
      <c r="E122" s="63" t="b">
        <v>1</v>
      </c>
      <c r="F122" s="63" t="s">
        <v>27</v>
      </c>
      <c r="G122" s="63">
        <v>22</v>
      </c>
      <c r="H122" s="64">
        <v>46196</v>
      </c>
    </row>
    <row r="123" spans="1:8">
      <c r="A123" s="63">
        <v>1403</v>
      </c>
      <c r="B123" s="63" t="s">
        <v>213</v>
      </c>
      <c r="C123" s="63" t="s">
        <v>214</v>
      </c>
      <c r="D123" s="63" t="s">
        <v>23</v>
      </c>
      <c r="E123" s="63" t="b">
        <v>0</v>
      </c>
      <c r="F123" s="63" t="s">
        <v>27</v>
      </c>
      <c r="G123" s="63">
        <v>8</v>
      </c>
      <c r="H123" s="64">
        <v>46196</v>
      </c>
    </row>
    <row r="124" spans="1:8">
      <c r="A124" s="63">
        <v>1404</v>
      </c>
      <c r="B124" s="63" t="s">
        <v>213</v>
      </c>
      <c r="C124" s="63" t="s">
        <v>215</v>
      </c>
      <c r="D124" s="63" t="s">
        <v>23</v>
      </c>
      <c r="E124" s="63" t="b">
        <v>1</v>
      </c>
      <c r="F124" s="63" t="s">
        <v>25</v>
      </c>
      <c r="H124" s="64">
        <v>46196</v>
      </c>
    </row>
    <row r="125" spans="1:8">
      <c r="A125" s="63">
        <v>1229</v>
      </c>
      <c r="B125" s="63" t="s">
        <v>216</v>
      </c>
      <c r="C125" s="63" t="s">
        <v>217</v>
      </c>
      <c r="D125" s="63" t="s">
        <v>23</v>
      </c>
      <c r="E125" s="63" t="b">
        <v>1</v>
      </c>
      <c r="F125" s="63" t="s">
        <v>25</v>
      </c>
      <c r="H125" s="64">
        <v>46196</v>
      </c>
    </row>
    <row r="126" spans="1:8">
      <c r="A126" s="63">
        <v>1408</v>
      </c>
      <c r="B126" s="63" t="s">
        <v>218</v>
      </c>
      <c r="C126" s="63" t="s">
        <v>219</v>
      </c>
      <c r="D126" s="63" t="s">
        <v>23</v>
      </c>
      <c r="E126" s="63" t="b">
        <v>0</v>
      </c>
      <c r="F126" s="63" t="s">
        <v>27</v>
      </c>
      <c r="G126" s="63">
        <v>20</v>
      </c>
      <c r="H126" s="64">
        <v>46196</v>
      </c>
    </row>
    <row r="127" spans="1:8">
      <c r="A127" s="63">
        <v>1409</v>
      </c>
      <c r="B127" s="63" t="s">
        <v>218</v>
      </c>
      <c r="C127" s="63" t="s">
        <v>220</v>
      </c>
      <c r="D127" s="63" t="s">
        <v>23</v>
      </c>
      <c r="E127" s="63" t="b">
        <v>1</v>
      </c>
      <c r="F127" s="63" t="s">
        <v>27</v>
      </c>
      <c r="G127" s="63">
        <v>15</v>
      </c>
      <c r="H127" s="64">
        <v>46196</v>
      </c>
    </row>
    <row r="128" spans="1:8">
      <c r="A128" s="63">
        <v>1198</v>
      </c>
      <c r="B128" s="63" t="s">
        <v>221</v>
      </c>
      <c r="C128" s="63" t="s">
        <v>222</v>
      </c>
      <c r="D128" s="63" t="s">
        <v>23</v>
      </c>
      <c r="E128" s="63" t="b">
        <v>0</v>
      </c>
      <c r="F128" s="63" t="s">
        <v>27</v>
      </c>
      <c r="G128" s="63">
        <v>5</v>
      </c>
      <c r="H128" s="64">
        <v>46196</v>
      </c>
    </row>
    <row r="129" spans="1:8">
      <c r="A129" s="63">
        <v>1260</v>
      </c>
      <c r="B129" s="63" t="s">
        <v>223</v>
      </c>
      <c r="C129" s="63" t="s">
        <v>82</v>
      </c>
      <c r="D129" s="63" t="s">
        <v>23</v>
      </c>
      <c r="E129" s="63" t="b">
        <v>1</v>
      </c>
      <c r="F129" s="63" t="s">
        <v>27</v>
      </c>
      <c r="G129" s="63">
        <v>15</v>
      </c>
      <c r="H129" s="64">
        <v>46196</v>
      </c>
    </row>
    <row r="130" spans="1:8">
      <c r="A130" s="63">
        <v>1361</v>
      </c>
      <c r="B130" s="63" t="s">
        <v>224</v>
      </c>
      <c r="C130" s="63" t="s">
        <v>225</v>
      </c>
      <c r="D130" s="63" t="s">
        <v>23</v>
      </c>
      <c r="E130" s="63" t="b">
        <v>0</v>
      </c>
      <c r="F130" s="63" t="s">
        <v>27</v>
      </c>
      <c r="G130" s="63">
        <v>16</v>
      </c>
      <c r="H130" s="64">
        <v>46196</v>
      </c>
    </row>
    <row r="131" spans="1:8">
      <c r="A131" s="63">
        <v>1100</v>
      </c>
      <c r="B131" s="63" t="s">
        <v>226</v>
      </c>
      <c r="C131" s="63" t="s">
        <v>34</v>
      </c>
      <c r="D131" s="63" t="s">
        <v>23</v>
      </c>
      <c r="E131" s="63" t="b">
        <v>0</v>
      </c>
      <c r="F131" s="63" t="s">
        <v>27</v>
      </c>
      <c r="G131" s="63">
        <v>13</v>
      </c>
      <c r="H131" s="64">
        <v>46196</v>
      </c>
    </row>
    <row r="132" spans="1:8">
      <c r="A132" s="63">
        <v>1385</v>
      </c>
      <c r="B132" s="63" t="s">
        <v>227</v>
      </c>
      <c r="C132" s="63" t="s">
        <v>228</v>
      </c>
      <c r="D132" s="63" t="s">
        <v>23</v>
      </c>
      <c r="E132" s="63" t="b">
        <v>0</v>
      </c>
      <c r="F132" s="63" t="s">
        <v>25</v>
      </c>
      <c r="H132" s="64">
        <v>46196</v>
      </c>
    </row>
    <row r="133" spans="1:8">
      <c r="A133" s="63">
        <v>1394</v>
      </c>
      <c r="B133" s="63" t="s">
        <v>227</v>
      </c>
      <c r="C133" s="63" t="s">
        <v>229</v>
      </c>
      <c r="D133" s="63" t="s">
        <v>23</v>
      </c>
      <c r="E133" s="63" t="b">
        <v>0</v>
      </c>
      <c r="F133" s="63" t="s">
        <v>35</v>
      </c>
      <c r="H133" s="64">
        <v>46196</v>
      </c>
    </row>
    <row r="134" spans="1:8">
      <c r="A134" s="63">
        <v>1419</v>
      </c>
      <c r="B134" s="63" t="s">
        <v>230</v>
      </c>
      <c r="C134" s="63" t="s">
        <v>231</v>
      </c>
      <c r="D134" s="63" t="s">
        <v>23</v>
      </c>
      <c r="E134" s="63" t="b">
        <v>0</v>
      </c>
      <c r="F134" s="63" t="s">
        <v>25</v>
      </c>
      <c r="H134" s="64">
        <v>46196</v>
      </c>
    </row>
    <row r="135" spans="1:8">
      <c r="A135" s="63">
        <v>967</v>
      </c>
      <c r="B135" s="63" t="s">
        <v>232</v>
      </c>
      <c r="C135" s="63" t="s">
        <v>152</v>
      </c>
      <c r="D135" s="63" t="s">
        <v>23</v>
      </c>
      <c r="E135" s="63" t="b">
        <v>0</v>
      </c>
      <c r="F135" s="63" t="s">
        <v>27</v>
      </c>
      <c r="G135" s="63">
        <v>5</v>
      </c>
      <c r="H135" s="64">
        <v>46196</v>
      </c>
    </row>
    <row r="136" spans="1:8">
      <c r="A136" s="63">
        <v>1373</v>
      </c>
      <c r="B136" s="63" t="s">
        <v>233</v>
      </c>
      <c r="C136" s="63" t="s">
        <v>234</v>
      </c>
      <c r="D136" s="63" t="s">
        <v>23</v>
      </c>
      <c r="E136" s="63" t="b">
        <v>0</v>
      </c>
      <c r="F136" s="63" t="s">
        <v>27</v>
      </c>
      <c r="G136" s="63">
        <v>10</v>
      </c>
      <c r="H136" s="64">
        <v>46196</v>
      </c>
    </row>
    <row r="137" spans="1:8">
      <c r="A137" s="63">
        <v>1045</v>
      </c>
      <c r="B137" s="63" t="s">
        <v>235</v>
      </c>
      <c r="C137" s="63" t="s">
        <v>236</v>
      </c>
      <c r="D137" s="63" t="s">
        <v>23</v>
      </c>
      <c r="E137" s="63" t="b">
        <v>1</v>
      </c>
      <c r="F137" s="63" t="s">
        <v>27</v>
      </c>
      <c r="G137" s="63">
        <v>5</v>
      </c>
      <c r="H137" s="64">
        <v>46196</v>
      </c>
    </row>
    <row r="138" spans="1:8">
      <c r="A138" s="63">
        <v>1046</v>
      </c>
      <c r="B138" s="63" t="s">
        <v>235</v>
      </c>
      <c r="C138" s="63" t="s">
        <v>237</v>
      </c>
      <c r="D138" s="63" t="s">
        <v>23</v>
      </c>
      <c r="E138" s="63" t="b">
        <v>0</v>
      </c>
      <c r="F138" s="63" t="s">
        <v>27</v>
      </c>
      <c r="G138" s="63">
        <v>35</v>
      </c>
      <c r="H138" s="64">
        <v>46196</v>
      </c>
    </row>
    <row r="139" spans="1:8">
      <c r="A139" s="63">
        <v>1396</v>
      </c>
      <c r="B139" s="63" t="s">
        <v>238</v>
      </c>
      <c r="C139" s="63" t="s">
        <v>59</v>
      </c>
      <c r="D139" s="63" t="s">
        <v>23</v>
      </c>
      <c r="E139" s="63" t="b">
        <v>0</v>
      </c>
      <c r="F139" s="63" t="s">
        <v>25</v>
      </c>
      <c r="H139" s="64">
        <v>46196</v>
      </c>
    </row>
    <row r="140" spans="1:8">
      <c r="A140" s="63">
        <v>1397</v>
      </c>
      <c r="B140" s="63" t="s">
        <v>238</v>
      </c>
      <c r="C140" s="63" t="s">
        <v>239</v>
      </c>
      <c r="D140" s="63" t="s">
        <v>23</v>
      </c>
      <c r="E140" s="63" t="b">
        <v>1</v>
      </c>
      <c r="F140" s="63" t="s">
        <v>25</v>
      </c>
      <c r="H140" s="64">
        <v>46196</v>
      </c>
    </row>
    <row r="141" spans="1:8">
      <c r="A141" s="63">
        <v>1398</v>
      </c>
      <c r="B141" s="63" t="s">
        <v>238</v>
      </c>
      <c r="C141" s="63" t="s">
        <v>49</v>
      </c>
      <c r="D141" s="63" t="s">
        <v>23</v>
      </c>
      <c r="E141" s="63" t="b">
        <v>0</v>
      </c>
      <c r="F141" s="63" t="s">
        <v>35</v>
      </c>
      <c r="H141" s="64">
        <v>46196</v>
      </c>
    </row>
    <row r="142" spans="1:8">
      <c r="A142" s="63">
        <v>1399</v>
      </c>
      <c r="B142" s="63" t="s">
        <v>238</v>
      </c>
      <c r="C142" s="63" t="s">
        <v>131</v>
      </c>
      <c r="D142" s="63" t="s">
        <v>23</v>
      </c>
      <c r="E142" s="63" t="b">
        <v>1</v>
      </c>
      <c r="F142" s="63" t="s">
        <v>35</v>
      </c>
      <c r="H142" s="64">
        <v>46196</v>
      </c>
    </row>
    <row r="143" spans="1:8">
      <c r="A143" s="63">
        <v>771</v>
      </c>
      <c r="B143" s="63" t="s">
        <v>240</v>
      </c>
      <c r="C143" s="63" t="s">
        <v>241</v>
      </c>
      <c r="D143" s="63" t="s">
        <v>23</v>
      </c>
      <c r="E143" s="63" t="b">
        <v>0</v>
      </c>
      <c r="F143" s="63" t="s">
        <v>27</v>
      </c>
      <c r="G143" s="63">
        <v>14</v>
      </c>
      <c r="H143" s="64">
        <v>46196</v>
      </c>
    </row>
    <row r="144" spans="1:8">
      <c r="A144" s="63">
        <v>1265</v>
      </c>
      <c r="B144" s="63" t="s">
        <v>242</v>
      </c>
      <c r="C144" s="63" t="s">
        <v>243</v>
      </c>
      <c r="D144" s="63" t="s">
        <v>23</v>
      </c>
      <c r="E144" s="63" t="b">
        <v>0</v>
      </c>
      <c r="F144" s="63" t="s">
        <v>27</v>
      </c>
      <c r="G144" s="63">
        <v>20</v>
      </c>
      <c r="H144" s="64">
        <v>46196</v>
      </c>
    </row>
    <row r="145" spans="1:8">
      <c r="A145" s="63">
        <v>532</v>
      </c>
      <c r="B145" s="63" t="s">
        <v>244</v>
      </c>
      <c r="C145" s="63" t="s">
        <v>243</v>
      </c>
      <c r="D145" s="63" t="s">
        <v>23</v>
      </c>
      <c r="E145" s="63" t="b">
        <v>0</v>
      </c>
      <c r="F145" s="63" t="s">
        <v>27</v>
      </c>
      <c r="G145" s="63">
        <v>13</v>
      </c>
      <c r="H145" s="64">
        <v>46196</v>
      </c>
    </row>
    <row r="146" spans="1:8">
      <c r="A146" s="63">
        <v>1388</v>
      </c>
      <c r="B146" s="63" t="s">
        <v>193</v>
      </c>
      <c r="C146" s="63" t="s">
        <v>245</v>
      </c>
      <c r="D146" s="63" t="s">
        <v>23</v>
      </c>
      <c r="E146" s="63" t="b">
        <v>1</v>
      </c>
      <c r="F146" s="63" t="s">
        <v>25</v>
      </c>
      <c r="H146" s="64">
        <v>46196</v>
      </c>
    </row>
    <row r="147" spans="1:8">
      <c r="A147" s="63">
        <v>742</v>
      </c>
      <c r="B147" s="63" t="s">
        <v>246</v>
      </c>
      <c r="C147" s="63" t="s">
        <v>156</v>
      </c>
      <c r="D147" s="63" t="s">
        <v>23</v>
      </c>
      <c r="E147" s="63" t="b">
        <v>1</v>
      </c>
      <c r="F147" s="63" t="s">
        <v>27</v>
      </c>
      <c r="G147" s="63">
        <v>2</v>
      </c>
      <c r="H147" s="64">
        <v>46196</v>
      </c>
    </row>
    <row r="148" spans="1:8">
      <c r="A148" s="63">
        <v>741</v>
      </c>
      <c r="B148" s="63" t="s">
        <v>246</v>
      </c>
      <c r="C148" s="63" t="s">
        <v>247</v>
      </c>
      <c r="D148" s="63" t="s">
        <v>23</v>
      </c>
      <c r="E148" s="63" t="b">
        <v>0</v>
      </c>
      <c r="F148" s="63" t="s">
        <v>27</v>
      </c>
      <c r="G148" s="63">
        <v>4</v>
      </c>
      <c r="H148" s="64">
        <v>46196</v>
      </c>
    </row>
    <row r="149" spans="1:8">
      <c r="A149" s="63">
        <v>1298</v>
      </c>
      <c r="B149" s="63" t="s">
        <v>246</v>
      </c>
      <c r="C149" s="63" t="s">
        <v>132</v>
      </c>
      <c r="D149" s="63" t="s">
        <v>23</v>
      </c>
      <c r="E149" s="63" t="b">
        <v>1</v>
      </c>
      <c r="F149" s="63" t="s">
        <v>27</v>
      </c>
      <c r="G149" s="63">
        <v>13</v>
      </c>
      <c r="H149" s="64">
        <v>46196</v>
      </c>
    </row>
    <row r="150" spans="1:8">
      <c r="A150" s="63">
        <v>747</v>
      </c>
      <c r="B150" s="63" t="s">
        <v>246</v>
      </c>
      <c r="C150" s="63" t="s">
        <v>22</v>
      </c>
      <c r="D150" s="63" t="s">
        <v>23</v>
      </c>
      <c r="E150" s="63" t="b">
        <v>0</v>
      </c>
      <c r="F150" s="63" t="s">
        <v>27</v>
      </c>
      <c r="G150" s="63">
        <v>1</v>
      </c>
      <c r="H150" s="64">
        <v>46196</v>
      </c>
    </row>
    <row r="151" spans="1:8">
      <c r="A151" s="63">
        <v>1386</v>
      </c>
      <c r="B151" s="63" t="s">
        <v>246</v>
      </c>
      <c r="C151" s="63" t="s">
        <v>248</v>
      </c>
      <c r="D151" s="63" t="s">
        <v>23</v>
      </c>
      <c r="E151" s="63" t="b">
        <v>1</v>
      </c>
      <c r="F151" s="63" t="s">
        <v>35</v>
      </c>
      <c r="H151" s="64">
        <v>46196</v>
      </c>
    </row>
    <row r="152" spans="1:8">
      <c r="A152" s="63">
        <v>1221</v>
      </c>
      <c r="B152" s="63" t="s">
        <v>249</v>
      </c>
      <c r="C152" s="63" t="s">
        <v>234</v>
      </c>
      <c r="D152" s="63" t="s">
        <v>23</v>
      </c>
      <c r="E152" s="63" t="b">
        <v>0</v>
      </c>
      <c r="F152" s="63" t="s">
        <v>25</v>
      </c>
      <c r="H152" s="64">
        <v>46196</v>
      </c>
    </row>
    <row r="153" spans="1:8">
      <c r="A153" s="63">
        <v>564</v>
      </c>
      <c r="B153" s="63" t="s">
        <v>250</v>
      </c>
      <c r="C153" s="63" t="s">
        <v>34</v>
      </c>
      <c r="D153" s="63" t="s">
        <v>23</v>
      </c>
      <c r="E153" s="63" t="b">
        <v>0</v>
      </c>
      <c r="F153" s="63" t="s">
        <v>27</v>
      </c>
      <c r="G153" s="63">
        <v>7</v>
      </c>
      <c r="H153" s="64">
        <v>46196</v>
      </c>
    </row>
    <row r="154" spans="1:8">
      <c r="A154" s="63">
        <v>1165</v>
      </c>
      <c r="B154" s="63" t="s">
        <v>251</v>
      </c>
      <c r="C154" s="63" t="s">
        <v>177</v>
      </c>
      <c r="D154" s="63" t="s">
        <v>23</v>
      </c>
      <c r="E154" s="63" t="b">
        <v>0</v>
      </c>
      <c r="F154" s="63" t="s">
        <v>27</v>
      </c>
      <c r="G154" s="63">
        <v>10</v>
      </c>
      <c r="H154" s="64">
        <v>46196</v>
      </c>
    </row>
    <row r="155" spans="1:8">
      <c r="A155" s="63">
        <v>405</v>
      </c>
      <c r="B155" s="63" t="s">
        <v>252</v>
      </c>
      <c r="C155" s="63" t="s">
        <v>243</v>
      </c>
      <c r="D155" s="63" t="s">
        <v>23</v>
      </c>
      <c r="E155" s="63" t="b">
        <v>0</v>
      </c>
      <c r="F155" s="63" t="s">
        <v>27</v>
      </c>
      <c r="G155" s="63">
        <v>18</v>
      </c>
      <c r="H155" s="64">
        <v>46196</v>
      </c>
    </row>
    <row r="156" spans="1:8">
      <c r="A156" s="63">
        <v>1346</v>
      </c>
      <c r="B156" s="63" t="s">
        <v>253</v>
      </c>
      <c r="C156" s="63" t="s">
        <v>254</v>
      </c>
      <c r="D156" s="63" t="s">
        <v>23</v>
      </c>
      <c r="E156" s="63" t="b">
        <v>0</v>
      </c>
      <c r="F156" s="63" t="s">
        <v>27</v>
      </c>
      <c r="G156" s="63">
        <v>20</v>
      </c>
      <c r="H156" s="64">
        <v>46196</v>
      </c>
    </row>
    <row r="157" spans="1:8">
      <c r="A157" s="63">
        <v>1192</v>
      </c>
      <c r="B157" s="63" t="s">
        <v>255</v>
      </c>
      <c r="C157" s="63" t="s">
        <v>256</v>
      </c>
      <c r="D157" s="63" t="s">
        <v>23</v>
      </c>
      <c r="E157" s="63" t="b">
        <v>0</v>
      </c>
      <c r="F157" s="63" t="s">
        <v>27</v>
      </c>
      <c r="G157" s="63">
        <v>10</v>
      </c>
      <c r="H157" s="64">
        <v>46196</v>
      </c>
    </row>
    <row r="158" spans="1:8">
      <c r="A158" s="63">
        <v>1157</v>
      </c>
      <c r="B158" s="63" t="s">
        <v>257</v>
      </c>
      <c r="C158" s="63" t="s">
        <v>100</v>
      </c>
      <c r="D158" s="63" t="s">
        <v>23</v>
      </c>
      <c r="E158" s="63" t="b">
        <v>0</v>
      </c>
      <c r="F158" s="63" t="s">
        <v>25</v>
      </c>
      <c r="H158" s="64">
        <v>46196</v>
      </c>
    </row>
    <row r="159" spans="1:8">
      <c r="A159" s="63">
        <v>1359</v>
      </c>
      <c r="B159" s="63" t="s">
        <v>258</v>
      </c>
      <c r="C159" s="63" t="s">
        <v>49</v>
      </c>
      <c r="D159" s="63" t="s">
        <v>23</v>
      </c>
      <c r="E159" s="63" t="b">
        <v>0</v>
      </c>
      <c r="F159" s="63" t="s">
        <v>188</v>
      </c>
      <c r="H159" s="64">
        <v>46196</v>
      </c>
    </row>
    <row r="160" spans="1:8">
      <c r="A160" s="63">
        <v>1360</v>
      </c>
      <c r="B160" s="63" t="s">
        <v>258</v>
      </c>
      <c r="C160" s="63" t="s">
        <v>259</v>
      </c>
      <c r="D160" s="63" t="s">
        <v>23</v>
      </c>
      <c r="E160" s="63" t="b">
        <v>1</v>
      </c>
      <c r="F160" s="63" t="s">
        <v>35</v>
      </c>
      <c r="H160" s="64">
        <v>46196</v>
      </c>
    </row>
    <row r="161" spans="1:8">
      <c r="A161" s="63">
        <v>1357</v>
      </c>
      <c r="B161" s="63" t="s">
        <v>258</v>
      </c>
      <c r="C161" s="63" t="s">
        <v>34</v>
      </c>
      <c r="D161" s="63" t="s">
        <v>23</v>
      </c>
      <c r="E161" s="63" t="b">
        <v>0</v>
      </c>
      <c r="F161" s="63" t="s">
        <v>27</v>
      </c>
      <c r="G161" s="63">
        <v>5</v>
      </c>
      <c r="H161" s="64">
        <v>46196</v>
      </c>
    </row>
    <row r="162" spans="1:8">
      <c r="A162" s="63">
        <v>1358</v>
      </c>
      <c r="B162" s="63" t="s">
        <v>258</v>
      </c>
      <c r="C162" s="63" t="s">
        <v>260</v>
      </c>
      <c r="D162" s="63" t="s">
        <v>23</v>
      </c>
      <c r="E162" s="63" t="b">
        <v>1</v>
      </c>
      <c r="F162" s="63" t="s">
        <v>27</v>
      </c>
      <c r="G162" s="63">
        <v>7</v>
      </c>
      <c r="H162" s="64">
        <v>46196</v>
      </c>
    </row>
    <row r="163" spans="1:8">
      <c r="A163" s="63">
        <v>1390</v>
      </c>
      <c r="B163" s="63" t="s">
        <v>261</v>
      </c>
      <c r="C163" s="63" t="s">
        <v>262</v>
      </c>
      <c r="D163" s="63" t="s">
        <v>23</v>
      </c>
      <c r="E163" s="63" t="b">
        <v>0</v>
      </c>
      <c r="F163" s="63" t="s">
        <v>25</v>
      </c>
      <c r="H163" s="64">
        <v>46196</v>
      </c>
    </row>
    <row r="164" spans="1:8">
      <c r="A164" s="63">
        <v>1107</v>
      </c>
      <c r="B164" s="63" t="s">
        <v>263</v>
      </c>
      <c r="C164" s="63" t="s">
        <v>264</v>
      </c>
      <c r="D164" s="63" t="s">
        <v>23</v>
      </c>
      <c r="E164" s="63" t="b">
        <v>1</v>
      </c>
      <c r="F164" s="63" t="s">
        <v>25</v>
      </c>
      <c r="H164" s="64">
        <v>46196</v>
      </c>
    </row>
    <row r="165" spans="1:8">
      <c r="A165" s="63">
        <v>35</v>
      </c>
      <c r="B165" s="63" t="s">
        <v>265</v>
      </c>
      <c r="C165" s="63" t="s">
        <v>266</v>
      </c>
      <c r="D165" s="63" t="s">
        <v>23</v>
      </c>
      <c r="E165" s="63" t="b">
        <v>0</v>
      </c>
      <c r="F165" s="63" t="s">
        <v>27</v>
      </c>
      <c r="G165" s="63">
        <v>3</v>
      </c>
      <c r="H165" s="64">
        <v>46196</v>
      </c>
    </row>
    <row r="166" spans="1:8">
      <c r="A166" s="63">
        <v>1094</v>
      </c>
      <c r="B166" s="63" t="s">
        <v>267</v>
      </c>
      <c r="C166" s="63" t="s">
        <v>268</v>
      </c>
      <c r="D166" s="63" t="s">
        <v>23</v>
      </c>
      <c r="E166" s="63" t="b">
        <v>0</v>
      </c>
      <c r="F166" s="63" t="s">
        <v>27</v>
      </c>
      <c r="G166" s="63">
        <v>12</v>
      </c>
      <c r="H166" s="64">
        <v>46196</v>
      </c>
    </row>
    <row r="167" spans="1:8">
      <c r="A167" s="63">
        <v>1325</v>
      </c>
      <c r="B167" s="63" t="s">
        <v>269</v>
      </c>
      <c r="C167" s="63" t="s">
        <v>270</v>
      </c>
      <c r="D167" s="63" t="s">
        <v>23</v>
      </c>
      <c r="E167" s="63" t="b">
        <v>0</v>
      </c>
      <c r="F167" s="63" t="s">
        <v>27</v>
      </c>
      <c r="G167" s="63">
        <v>3</v>
      </c>
      <c r="H167" s="64">
        <v>46196</v>
      </c>
    </row>
    <row r="168" spans="1:8">
      <c r="A168" s="63">
        <v>1143</v>
      </c>
      <c r="B168" s="63" t="s">
        <v>271</v>
      </c>
      <c r="C168" s="63" t="s">
        <v>247</v>
      </c>
      <c r="D168" s="63" t="s">
        <v>23</v>
      </c>
      <c r="E168" s="63" t="b">
        <v>0</v>
      </c>
      <c r="F168" s="63" t="s">
        <v>27</v>
      </c>
      <c r="G168" s="63">
        <v>3</v>
      </c>
      <c r="H168" s="64">
        <v>46196</v>
      </c>
    </row>
    <row r="169" spans="1:8">
      <c r="A169" s="63">
        <v>1401</v>
      </c>
      <c r="B169" s="63" t="s">
        <v>272</v>
      </c>
      <c r="C169" s="63" t="s">
        <v>273</v>
      </c>
      <c r="D169" s="63" t="s">
        <v>23</v>
      </c>
      <c r="E169" s="63" t="b">
        <v>1</v>
      </c>
      <c r="F169" s="63" t="s">
        <v>25</v>
      </c>
      <c r="H169" s="64">
        <v>46196</v>
      </c>
    </row>
    <row r="170" spans="1:8">
      <c r="A170" s="63">
        <v>1285</v>
      </c>
      <c r="B170" s="63" t="s">
        <v>274</v>
      </c>
      <c r="C170" s="63" t="s">
        <v>100</v>
      </c>
      <c r="D170" s="63" t="s">
        <v>23</v>
      </c>
      <c r="E170" s="63" t="b">
        <v>0</v>
      </c>
      <c r="F170" s="63" t="s">
        <v>25</v>
      </c>
      <c r="H170" s="64">
        <v>46196</v>
      </c>
    </row>
    <row r="171" spans="1:8">
      <c r="A171" s="63">
        <v>38</v>
      </c>
      <c r="B171" s="63" t="s">
        <v>275</v>
      </c>
      <c r="C171" s="63" t="s">
        <v>276</v>
      </c>
      <c r="D171" s="63" t="s">
        <v>23</v>
      </c>
      <c r="E171" s="63" t="b">
        <v>0</v>
      </c>
      <c r="F171" s="63" t="s">
        <v>27</v>
      </c>
      <c r="G171" s="63">
        <v>13</v>
      </c>
      <c r="H171" s="64">
        <v>46196</v>
      </c>
    </row>
    <row r="172" spans="1:8">
      <c r="A172" s="63">
        <v>245</v>
      </c>
      <c r="B172" s="63" t="s">
        <v>277</v>
      </c>
      <c r="C172" s="63" t="s">
        <v>234</v>
      </c>
      <c r="D172" s="63" t="s">
        <v>23</v>
      </c>
      <c r="E172" s="63" t="b">
        <v>0</v>
      </c>
      <c r="F172" s="63" t="s">
        <v>27</v>
      </c>
      <c r="G172" s="63">
        <v>10</v>
      </c>
      <c r="H172" s="64">
        <v>46196</v>
      </c>
    </row>
    <row r="173" spans="1:8">
      <c r="A173" s="63">
        <v>39</v>
      </c>
      <c r="B173" s="63" t="s">
        <v>277</v>
      </c>
      <c r="C173" s="63" t="s">
        <v>278</v>
      </c>
      <c r="D173" s="63" t="s">
        <v>23</v>
      </c>
      <c r="E173" s="63" t="b">
        <v>0</v>
      </c>
      <c r="F173" s="63" t="s">
        <v>27</v>
      </c>
      <c r="G173" s="63">
        <v>43</v>
      </c>
      <c r="H173" s="64">
        <v>46196</v>
      </c>
    </row>
    <row r="174" spans="1:8">
      <c r="A174" s="63">
        <v>508</v>
      </c>
      <c r="B174" s="63" t="s">
        <v>279</v>
      </c>
      <c r="C174" s="63" t="s">
        <v>59</v>
      </c>
      <c r="D174" s="63" t="s">
        <v>23</v>
      </c>
      <c r="E174" s="63" t="b">
        <v>0</v>
      </c>
      <c r="F174" s="63" t="s">
        <v>27</v>
      </c>
      <c r="G174" s="63">
        <v>31</v>
      </c>
      <c r="H174" s="64">
        <v>46196</v>
      </c>
    </row>
    <row r="175" spans="1:8">
      <c r="A175" s="63">
        <v>1025</v>
      </c>
      <c r="B175" s="63" t="s">
        <v>280</v>
      </c>
      <c r="C175" s="63" t="s">
        <v>281</v>
      </c>
      <c r="D175" s="63" t="s">
        <v>23</v>
      </c>
      <c r="E175" s="63" t="b">
        <v>0</v>
      </c>
      <c r="F175" s="63" t="s">
        <v>35</v>
      </c>
      <c r="H175" s="64">
        <v>46196</v>
      </c>
    </row>
    <row r="176" spans="1:8">
      <c r="A176" s="63">
        <v>1024</v>
      </c>
      <c r="B176" s="63" t="s">
        <v>280</v>
      </c>
      <c r="C176" s="63" t="s">
        <v>282</v>
      </c>
      <c r="D176" s="63" t="s">
        <v>23</v>
      </c>
      <c r="E176" s="63" t="b">
        <v>0</v>
      </c>
      <c r="F176" s="63" t="s">
        <v>188</v>
      </c>
      <c r="H176" s="64">
        <v>46196</v>
      </c>
    </row>
    <row r="177" spans="1:8">
      <c r="A177" s="63">
        <v>1023</v>
      </c>
      <c r="B177" s="63" t="s">
        <v>280</v>
      </c>
      <c r="C177" s="63" t="s">
        <v>39</v>
      </c>
      <c r="D177" s="63" t="s">
        <v>23</v>
      </c>
      <c r="E177" s="63" t="b">
        <v>0</v>
      </c>
      <c r="F177" s="63" t="s">
        <v>25</v>
      </c>
      <c r="H177" s="64">
        <v>46196</v>
      </c>
    </row>
    <row r="178" spans="1:8">
      <c r="A178" s="63">
        <v>1232</v>
      </c>
      <c r="B178" s="63" t="s">
        <v>280</v>
      </c>
      <c r="C178" s="63" t="s">
        <v>283</v>
      </c>
      <c r="D178" s="63" t="s">
        <v>23</v>
      </c>
      <c r="E178" s="63" t="b">
        <v>1</v>
      </c>
      <c r="F178" s="63" t="s">
        <v>27</v>
      </c>
      <c r="G178" s="63">
        <v>4</v>
      </c>
      <c r="H178" s="64">
        <v>46196</v>
      </c>
    </row>
    <row r="179" spans="1:8">
      <c r="A179" s="63">
        <v>1392</v>
      </c>
      <c r="B179" s="63" t="s">
        <v>284</v>
      </c>
      <c r="C179" s="63" t="s">
        <v>285</v>
      </c>
      <c r="D179" s="63" t="s">
        <v>23</v>
      </c>
      <c r="E179" s="63" t="b">
        <v>1</v>
      </c>
      <c r="F179" s="63" t="s">
        <v>25</v>
      </c>
      <c r="H179" s="64">
        <v>46196</v>
      </c>
    </row>
    <row r="180" spans="1:8">
      <c r="A180" s="63">
        <v>1141</v>
      </c>
      <c r="B180" s="63" t="s">
        <v>286</v>
      </c>
      <c r="C180" s="63" t="s">
        <v>287</v>
      </c>
      <c r="D180" s="63" t="s">
        <v>23</v>
      </c>
      <c r="E180" s="63" t="b">
        <v>1</v>
      </c>
      <c r="F180" s="63" t="s">
        <v>27</v>
      </c>
      <c r="G180" s="63">
        <v>15</v>
      </c>
      <c r="H180" s="64">
        <v>46196</v>
      </c>
    </row>
    <row r="181" spans="1:8">
      <c r="A181" s="63">
        <v>891</v>
      </c>
      <c r="B181" s="63" t="s">
        <v>288</v>
      </c>
      <c r="C181" s="63" t="s">
        <v>289</v>
      </c>
      <c r="D181" s="63" t="s">
        <v>23</v>
      </c>
      <c r="E181" s="63" t="b">
        <v>1</v>
      </c>
      <c r="F181" s="63" t="s">
        <v>25</v>
      </c>
      <c r="H181" s="64">
        <v>46196</v>
      </c>
    </row>
    <row r="182" spans="1:8">
      <c r="A182" s="63">
        <v>1352</v>
      </c>
      <c r="B182" s="63" t="s">
        <v>290</v>
      </c>
      <c r="C182" s="63" t="s">
        <v>34</v>
      </c>
      <c r="D182" s="63" t="s">
        <v>23</v>
      </c>
      <c r="E182" s="63" t="b">
        <v>0</v>
      </c>
      <c r="F182" s="63" t="s">
        <v>27</v>
      </c>
      <c r="G182" s="63">
        <v>11</v>
      </c>
      <c r="H182" s="64">
        <v>46196</v>
      </c>
    </row>
    <row r="183" spans="1:8">
      <c r="A183" s="63">
        <v>1339</v>
      </c>
      <c r="B183" s="63" t="s">
        <v>291</v>
      </c>
      <c r="C183" s="63" t="s">
        <v>292</v>
      </c>
      <c r="D183" s="63" t="s">
        <v>23</v>
      </c>
      <c r="E183" s="63" t="b">
        <v>0</v>
      </c>
      <c r="F183" s="63" t="s">
        <v>25</v>
      </c>
      <c r="H183" s="64">
        <v>46196</v>
      </c>
    </row>
    <row r="184" spans="1:8">
      <c r="A184" s="63">
        <v>914</v>
      </c>
      <c r="B184" s="63" t="s">
        <v>293</v>
      </c>
      <c r="C184" s="63" t="s">
        <v>153</v>
      </c>
      <c r="D184" s="63" t="s">
        <v>23</v>
      </c>
      <c r="E184" s="63" t="b">
        <v>0</v>
      </c>
      <c r="F184" s="63" t="s">
        <v>27</v>
      </c>
      <c r="G184" s="63">
        <v>14</v>
      </c>
      <c r="H184" s="64">
        <v>46196</v>
      </c>
    </row>
    <row r="185" spans="1:8">
      <c r="A185" s="63">
        <v>597</v>
      </c>
      <c r="B185" s="63" t="s">
        <v>294</v>
      </c>
      <c r="C185" s="63" t="s">
        <v>295</v>
      </c>
      <c r="D185" s="63" t="s">
        <v>23</v>
      </c>
      <c r="E185" s="63" t="b">
        <v>0</v>
      </c>
      <c r="F185" s="63" t="s">
        <v>27</v>
      </c>
      <c r="G185" s="63">
        <v>36</v>
      </c>
      <c r="H185" s="64">
        <v>46196</v>
      </c>
    </row>
    <row r="186" spans="1:8">
      <c r="A186" s="63">
        <v>1038</v>
      </c>
      <c r="B186" s="63" t="s">
        <v>293</v>
      </c>
      <c r="C186" s="63" t="s">
        <v>51</v>
      </c>
      <c r="D186" s="63" t="s">
        <v>23</v>
      </c>
      <c r="E186" s="63" t="b">
        <v>0</v>
      </c>
      <c r="F186" s="63" t="s">
        <v>27</v>
      </c>
      <c r="G186" s="63">
        <v>12</v>
      </c>
      <c r="H186" s="64">
        <v>46196</v>
      </c>
    </row>
    <row r="187" spans="1:8">
      <c r="A187" s="63">
        <v>1347</v>
      </c>
      <c r="B187" s="63" t="s">
        <v>296</v>
      </c>
      <c r="C187" s="63" t="s">
        <v>104</v>
      </c>
      <c r="D187" s="63" t="s">
        <v>23</v>
      </c>
      <c r="E187" s="63" t="b">
        <v>0</v>
      </c>
      <c r="F187" s="63" t="s">
        <v>25</v>
      </c>
      <c r="H187" s="64">
        <v>46196</v>
      </c>
    </row>
    <row r="188" spans="1:8">
      <c r="A188" s="63">
        <v>1242</v>
      </c>
      <c r="B188" s="63" t="s">
        <v>297</v>
      </c>
      <c r="C188" s="63" t="s">
        <v>190</v>
      </c>
      <c r="D188" s="63" t="s">
        <v>23</v>
      </c>
      <c r="E188" s="63" t="b">
        <v>0</v>
      </c>
      <c r="F188" s="63" t="s">
        <v>27</v>
      </c>
      <c r="G188" s="63">
        <v>15</v>
      </c>
      <c r="H188" s="64">
        <v>46196</v>
      </c>
    </row>
    <row r="189" spans="1:8">
      <c r="A189" s="63">
        <v>1048</v>
      </c>
      <c r="B189" s="63" t="s">
        <v>298</v>
      </c>
      <c r="C189" s="63" t="s">
        <v>268</v>
      </c>
      <c r="D189" s="63" t="s">
        <v>23</v>
      </c>
      <c r="E189" s="63" t="b">
        <v>0</v>
      </c>
      <c r="F189" s="63" t="s">
        <v>27</v>
      </c>
      <c r="G189" s="63">
        <v>16</v>
      </c>
      <c r="H189" s="64">
        <v>46196</v>
      </c>
    </row>
    <row r="190" spans="1:8">
      <c r="A190" s="63">
        <v>1055</v>
      </c>
      <c r="B190" s="63" t="s">
        <v>298</v>
      </c>
      <c r="C190" s="63" t="s">
        <v>299</v>
      </c>
      <c r="D190" s="63" t="s">
        <v>23</v>
      </c>
      <c r="E190" s="63" t="b">
        <v>0</v>
      </c>
      <c r="F190" s="63" t="s">
        <v>27</v>
      </c>
      <c r="G190" s="63">
        <v>1</v>
      </c>
      <c r="H190" s="64">
        <v>46196</v>
      </c>
    </row>
    <row r="191" spans="1:8">
      <c r="A191" s="63">
        <v>1095</v>
      </c>
      <c r="B191" s="63" t="s">
        <v>298</v>
      </c>
      <c r="C191" s="63" t="s">
        <v>300</v>
      </c>
      <c r="D191" s="63" t="s">
        <v>23</v>
      </c>
      <c r="E191" s="63" t="b">
        <v>0</v>
      </c>
      <c r="F191" s="63" t="s">
        <v>27</v>
      </c>
      <c r="G191" s="63">
        <v>33</v>
      </c>
      <c r="H191" s="64">
        <v>46196</v>
      </c>
    </row>
    <row r="192" spans="1:8">
      <c r="A192" s="63">
        <v>820</v>
      </c>
      <c r="B192" s="63" t="s">
        <v>298</v>
      </c>
      <c r="C192" s="63" t="s">
        <v>139</v>
      </c>
      <c r="D192" s="63" t="s">
        <v>23</v>
      </c>
      <c r="E192" s="63" t="b">
        <v>1</v>
      </c>
      <c r="F192" s="63" t="s">
        <v>27</v>
      </c>
      <c r="G192" s="63">
        <v>6</v>
      </c>
      <c r="H192" s="64">
        <v>46196</v>
      </c>
    </row>
    <row r="193" spans="1:8">
      <c r="A193" s="63">
        <v>687</v>
      </c>
      <c r="B193" s="63" t="s">
        <v>298</v>
      </c>
      <c r="C193" s="63" t="s">
        <v>301</v>
      </c>
      <c r="D193" s="63" t="s">
        <v>23</v>
      </c>
      <c r="E193" s="63" t="b">
        <v>0</v>
      </c>
      <c r="F193" s="63" t="s">
        <v>27</v>
      </c>
      <c r="G193" s="63">
        <v>7</v>
      </c>
      <c r="H193" s="64">
        <v>46196</v>
      </c>
    </row>
    <row r="194" spans="1:8">
      <c r="A194" s="63">
        <v>1420</v>
      </c>
      <c r="B194" s="63" t="s">
        <v>302</v>
      </c>
      <c r="C194" s="63" t="s">
        <v>212</v>
      </c>
      <c r="D194" s="63" t="s">
        <v>23</v>
      </c>
      <c r="E194" s="63" t="b">
        <v>1</v>
      </c>
      <c r="F194" s="63" t="s">
        <v>27</v>
      </c>
      <c r="G194" s="63">
        <v>15</v>
      </c>
      <c r="H194" s="64">
        <v>46196</v>
      </c>
    </row>
    <row r="195" spans="1:8">
      <c r="A195" s="63">
        <v>1410</v>
      </c>
      <c r="B195" s="63" t="s">
        <v>104</v>
      </c>
      <c r="C195" s="63" t="s">
        <v>303</v>
      </c>
      <c r="D195" s="63" t="s">
        <v>23</v>
      </c>
      <c r="E195" s="63" t="b">
        <v>0</v>
      </c>
      <c r="F195" s="63" t="s">
        <v>25</v>
      </c>
      <c r="H195" s="64">
        <v>46196</v>
      </c>
    </row>
    <row r="196" spans="1:8">
      <c r="A196" s="63">
        <v>1161</v>
      </c>
      <c r="B196" s="63" t="s">
        <v>304</v>
      </c>
      <c r="C196" s="63" t="s">
        <v>305</v>
      </c>
      <c r="D196" s="63" t="s">
        <v>23</v>
      </c>
      <c r="E196" s="63" t="b">
        <v>0</v>
      </c>
      <c r="F196" s="63" t="s">
        <v>25</v>
      </c>
      <c r="H196" s="64">
        <v>46196</v>
      </c>
    </row>
    <row r="197" spans="1:8">
      <c r="A197" s="63">
        <v>890</v>
      </c>
      <c r="B197" s="63" t="s">
        <v>306</v>
      </c>
      <c r="C197" s="63" t="s">
        <v>307</v>
      </c>
      <c r="D197" s="63" t="s">
        <v>54</v>
      </c>
      <c r="E197" s="63" t="b">
        <v>0</v>
      </c>
      <c r="F197" s="63" t="s">
        <v>27</v>
      </c>
      <c r="G197" s="63">
        <v>23</v>
      </c>
      <c r="H197" s="64">
        <v>46196</v>
      </c>
    </row>
    <row r="198" spans="1:8">
      <c r="A198" s="63">
        <v>1166</v>
      </c>
      <c r="B198" s="63" t="s">
        <v>308</v>
      </c>
      <c r="C198" s="63" t="s">
        <v>143</v>
      </c>
      <c r="D198" s="63" t="s">
        <v>54</v>
      </c>
      <c r="E198" s="63" t="b">
        <v>0</v>
      </c>
      <c r="F198" s="63" t="s">
        <v>27</v>
      </c>
      <c r="G198" s="63">
        <v>5</v>
      </c>
      <c r="H198" s="64">
        <v>46196</v>
      </c>
    </row>
    <row r="199" spans="1:8">
      <c r="A199" s="63">
        <v>45</v>
      </c>
      <c r="B199" s="63" t="s">
        <v>309</v>
      </c>
      <c r="C199" s="63" t="s">
        <v>310</v>
      </c>
      <c r="D199" s="63" t="s">
        <v>23</v>
      </c>
      <c r="E199" s="63" t="b">
        <v>0</v>
      </c>
      <c r="F199" s="63" t="s">
        <v>27</v>
      </c>
      <c r="G199" s="63">
        <v>20</v>
      </c>
      <c r="H199" s="64">
        <v>46196</v>
      </c>
    </row>
    <row r="200" spans="1:8">
      <c r="A200" s="63">
        <v>1160</v>
      </c>
      <c r="B200" s="63" t="s">
        <v>311</v>
      </c>
      <c r="C200" s="63" t="s">
        <v>312</v>
      </c>
      <c r="D200" s="63" t="s">
        <v>23</v>
      </c>
      <c r="E200" s="63" t="b">
        <v>0</v>
      </c>
      <c r="F200" s="63" t="s">
        <v>25</v>
      </c>
      <c r="H200" s="64">
        <v>46196</v>
      </c>
    </row>
    <row r="201" spans="1:8">
      <c r="A201" s="63">
        <v>945</v>
      </c>
      <c r="B201" s="63" t="s">
        <v>313</v>
      </c>
      <c r="C201" s="63" t="s">
        <v>49</v>
      </c>
      <c r="D201" s="63" t="s">
        <v>23</v>
      </c>
      <c r="E201" s="63" t="b">
        <v>0</v>
      </c>
      <c r="F201" s="63" t="s">
        <v>25</v>
      </c>
      <c r="H201" s="64">
        <v>46196</v>
      </c>
    </row>
    <row r="202" spans="1:8">
      <c r="A202" s="63">
        <v>813</v>
      </c>
      <c r="B202" s="63" t="s">
        <v>313</v>
      </c>
      <c r="C202" s="63" t="s">
        <v>289</v>
      </c>
      <c r="D202" s="63" t="s">
        <v>23</v>
      </c>
      <c r="E202" s="63" t="b">
        <v>1</v>
      </c>
      <c r="F202" s="63" t="s">
        <v>27</v>
      </c>
      <c r="G202" s="63">
        <v>7</v>
      </c>
      <c r="H202" s="64">
        <v>46196</v>
      </c>
    </row>
    <row r="203" spans="1:8">
      <c r="A203" s="63">
        <v>812</v>
      </c>
      <c r="B203" s="63" t="s">
        <v>313</v>
      </c>
      <c r="C203" s="63" t="s">
        <v>170</v>
      </c>
      <c r="D203" s="63" t="s">
        <v>23</v>
      </c>
      <c r="E203" s="63" t="b">
        <v>0</v>
      </c>
      <c r="F203" s="63" t="s">
        <v>27</v>
      </c>
      <c r="G203" s="63">
        <v>9</v>
      </c>
      <c r="H203" s="64">
        <v>46196</v>
      </c>
    </row>
    <row r="204" spans="1:8">
      <c r="A204" s="63">
        <v>1129</v>
      </c>
      <c r="B204" s="63" t="s">
        <v>314</v>
      </c>
      <c r="C204" s="63" t="s">
        <v>315</v>
      </c>
      <c r="D204" s="63" t="s">
        <v>23</v>
      </c>
      <c r="E204" s="63" t="b">
        <v>0</v>
      </c>
      <c r="F204" s="63" t="s">
        <v>27</v>
      </c>
      <c r="G204" s="63">
        <v>12</v>
      </c>
      <c r="H204" s="64">
        <v>46196</v>
      </c>
    </row>
    <row r="205" spans="1:8">
      <c r="A205" s="63">
        <v>915</v>
      </c>
      <c r="B205" s="63" t="s">
        <v>316</v>
      </c>
      <c r="C205" s="63" t="s">
        <v>241</v>
      </c>
      <c r="D205" s="63" t="s">
        <v>23</v>
      </c>
      <c r="E205" s="63" t="b">
        <v>0</v>
      </c>
      <c r="F205" s="63" t="s">
        <v>27</v>
      </c>
      <c r="G205" s="63">
        <v>8</v>
      </c>
      <c r="H205" s="64">
        <v>46196</v>
      </c>
    </row>
    <row r="206" spans="1:8">
      <c r="A206" s="63">
        <v>1356</v>
      </c>
      <c r="B206" s="63" t="s">
        <v>317</v>
      </c>
      <c r="C206" s="63" t="s">
        <v>318</v>
      </c>
      <c r="D206" s="63" t="s">
        <v>54</v>
      </c>
      <c r="E206" s="63" t="b">
        <v>0</v>
      </c>
      <c r="F206" s="63" t="s">
        <v>27</v>
      </c>
      <c r="G206" s="63">
        <v>15</v>
      </c>
      <c r="H206" s="64">
        <v>46196</v>
      </c>
    </row>
    <row r="207" spans="1:8">
      <c r="A207" s="63">
        <v>1422</v>
      </c>
      <c r="B207" s="63" t="s">
        <v>319</v>
      </c>
      <c r="C207" s="63" t="s">
        <v>320</v>
      </c>
      <c r="D207" s="63" t="s">
        <v>54</v>
      </c>
      <c r="E207" s="63" t="b">
        <v>1</v>
      </c>
      <c r="F207" s="63" t="s">
        <v>25</v>
      </c>
      <c r="H207" s="64">
        <v>46196</v>
      </c>
    </row>
    <row r="208" spans="1:8">
      <c r="A208" s="63">
        <v>860</v>
      </c>
      <c r="B208" s="63" t="s">
        <v>321</v>
      </c>
      <c r="C208" s="63" t="s">
        <v>215</v>
      </c>
      <c r="D208" s="63" t="s">
        <v>23</v>
      </c>
      <c r="E208" s="63" t="b">
        <v>1</v>
      </c>
      <c r="F208" s="63" t="s">
        <v>25</v>
      </c>
      <c r="H208" s="64">
        <v>46196</v>
      </c>
    </row>
    <row r="209" spans="1:8">
      <c r="A209" s="63">
        <v>756</v>
      </c>
      <c r="B209" s="63" t="s">
        <v>321</v>
      </c>
      <c r="C209" s="63" t="s">
        <v>322</v>
      </c>
      <c r="D209" s="63" t="s">
        <v>23</v>
      </c>
      <c r="E209" s="63" t="b">
        <v>0</v>
      </c>
      <c r="F209" s="63" t="s">
        <v>25</v>
      </c>
      <c r="H209" s="64">
        <v>46196</v>
      </c>
    </row>
    <row r="210" spans="1:8">
      <c r="A210" s="63">
        <v>407</v>
      </c>
      <c r="B210" s="63" t="s">
        <v>321</v>
      </c>
      <c r="C210" s="63" t="s">
        <v>323</v>
      </c>
      <c r="D210" s="63" t="s">
        <v>23</v>
      </c>
      <c r="E210" s="63" t="b">
        <v>0</v>
      </c>
      <c r="F210" s="63" t="s">
        <v>27</v>
      </c>
      <c r="G210" s="63">
        <v>5</v>
      </c>
      <c r="H210" s="64">
        <v>46196</v>
      </c>
    </row>
    <row r="211" spans="1:8">
      <c r="A211" s="63">
        <v>1428</v>
      </c>
      <c r="B211" s="63" t="s">
        <v>324</v>
      </c>
      <c r="C211" s="63" t="s">
        <v>325</v>
      </c>
      <c r="D211" s="63" t="s">
        <v>23</v>
      </c>
      <c r="E211" s="63" t="b">
        <v>0</v>
      </c>
      <c r="F211" s="63" t="s">
        <v>35</v>
      </c>
      <c r="H211" s="64">
        <v>46196</v>
      </c>
    </row>
    <row r="212" spans="1:8">
      <c r="A212" s="63">
        <v>1423</v>
      </c>
      <c r="B212" s="63" t="s">
        <v>326</v>
      </c>
      <c r="C212" s="63" t="s">
        <v>83</v>
      </c>
      <c r="D212" s="63" t="s">
        <v>23</v>
      </c>
      <c r="E212" s="63" t="b">
        <v>0</v>
      </c>
      <c r="F212" s="63" t="s">
        <v>25</v>
      </c>
      <c r="H212" s="64">
        <v>46196</v>
      </c>
    </row>
    <row r="213" spans="1:8">
      <c r="A213" s="63">
        <v>1424</v>
      </c>
      <c r="B213" s="63" t="s">
        <v>326</v>
      </c>
      <c r="C213" s="63" t="s">
        <v>259</v>
      </c>
      <c r="D213" s="63" t="s">
        <v>23</v>
      </c>
      <c r="E213" s="63" t="b">
        <v>1</v>
      </c>
      <c r="F213" s="63" t="s">
        <v>25</v>
      </c>
      <c r="H213" s="64">
        <v>46196</v>
      </c>
    </row>
    <row r="214" spans="1:8">
      <c r="A214" s="63">
        <v>1425</v>
      </c>
      <c r="B214" s="63" t="s">
        <v>326</v>
      </c>
      <c r="C214" s="63" t="s">
        <v>327</v>
      </c>
      <c r="D214" s="63" t="s">
        <v>23</v>
      </c>
      <c r="E214" s="63" t="b">
        <v>0</v>
      </c>
      <c r="F214" s="63" t="s">
        <v>35</v>
      </c>
      <c r="H214" s="64">
        <v>46196</v>
      </c>
    </row>
    <row r="215" spans="1:8">
      <c r="A215" s="63">
        <v>1426</v>
      </c>
      <c r="B215" s="63" t="s">
        <v>326</v>
      </c>
      <c r="C215" s="63" t="s">
        <v>328</v>
      </c>
      <c r="D215" s="63" t="s">
        <v>23</v>
      </c>
      <c r="E215" s="63" t="b">
        <v>1</v>
      </c>
      <c r="F215" s="63" t="s">
        <v>35</v>
      </c>
      <c r="H215" s="64">
        <v>46196</v>
      </c>
    </row>
    <row r="216" spans="1:8">
      <c r="A216" s="63">
        <v>1312</v>
      </c>
      <c r="B216" s="63" t="s">
        <v>329</v>
      </c>
      <c r="C216" s="63" t="s">
        <v>287</v>
      </c>
      <c r="D216" s="63" t="s">
        <v>23</v>
      </c>
      <c r="E216" s="63" t="b">
        <v>1</v>
      </c>
      <c r="F216" s="63" t="s">
        <v>27</v>
      </c>
      <c r="G216" s="63">
        <v>35</v>
      </c>
      <c r="H216" s="64">
        <v>46196</v>
      </c>
    </row>
    <row r="217" spans="1:8">
      <c r="A217" s="63">
        <v>935</v>
      </c>
      <c r="B217" s="63" t="s">
        <v>330</v>
      </c>
      <c r="C217" s="63" t="s">
        <v>245</v>
      </c>
      <c r="D217" s="63" t="s">
        <v>23</v>
      </c>
      <c r="E217" s="63" t="b">
        <v>1</v>
      </c>
      <c r="F217" s="63" t="s">
        <v>25</v>
      </c>
      <c r="H217" s="64">
        <v>46196</v>
      </c>
    </row>
    <row r="218" spans="1:8">
      <c r="A218" s="63">
        <v>999</v>
      </c>
      <c r="B218" s="63" t="s">
        <v>330</v>
      </c>
      <c r="C218" s="63" t="s">
        <v>331</v>
      </c>
      <c r="D218" s="63" t="s">
        <v>23</v>
      </c>
      <c r="E218" s="63" t="b">
        <v>1</v>
      </c>
      <c r="F218" s="63" t="s">
        <v>25</v>
      </c>
      <c r="H218" s="64">
        <v>46196</v>
      </c>
    </row>
    <row r="219" spans="1:8">
      <c r="A219" s="63">
        <v>998</v>
      </c>
      <c r="B219" s="63" t="s">
        <v>330</v>
      </c>
      <c r="C219" s="63" t="s">
        <v>332</v>
      </c>
      <c r="D219" s="63" t="s">
        <v>23</v>
      </c>
      <c r="E219" s="63" t="b">
        <v>1</v>
      </c>
      <c r="F219" s="63" t="s">
        <v>27</v>
      </c>
      <c r="G219" s="63">
        <v>5</v>
      </c>
      <c r="H219" s="64">
        <v>46196</v>
      </c>
    </row>
    <row r="220" spans="1:8">
      <c r="A220" s="63">
        <v>616</v>
      </c>
      <c r="B220" s="63" t="s">
        <v>330</v>
      </c>
      <c r="C220" s="63" t="s">
        <v>41</v>
      </c>
      <c r="D220" s="63" t="s">
        <v>23</v>
      </c>
      <c r="E220" s="63" t="b">
        <v>0</v>
      </c>
      <c r="F220" s="63" t="s">
        <v>27</v>
      </c>
      <c r="G220" s="63">
        <v>7</v>
      </c>
      <c r="H220" s="64">
        <v>46196</v>
      </c>
    </row>
    <row r="221" spans="1:8">
      <c r="A221" s="63">
        <v>558</v>
      </c>
      <c r="B221" s="63" t="s">
        <v>333</v>
      </c>
      <c r="C221" s="63" t="s">
        <v>334</v>
      </c>
      <c r="D221" s="63" t="s">
        <v>23</v>
      </c>
      <c r="E221" s="63" t="b">
        <v>0</v>
      </c>
      <c r="F221" s="63" t="s">
        <v>27</v>
      </c>
      <c r="G221" s="63">
        <v>15</v>
      </c>
      <c r="H221" s="64">
        <v>46196</v>
      </c>
    </row>
    <row r="222" spans="1:8">
      <c r="A222" s="63">
        <v>991</v>
      </c>
      <c r="B222" s="63" t="s">
        <v>335</v>
      </c>
      <c r="C222" s="63" t="s">
        <v>184</v>
      </c>
      <c r="D222" s="63" t="s">
        <v>23</v>
      </c>
      <c r="E222" s="63" t="b">
        <v>1</v>
      </c>
      <c r="F222" s="63" t="s">
        <v>35</v>
      </c>
      <c r="H222" s="64">
        <v>46196</v>
      </c>
    </row>
    <row r="223" spans="1:8">
      <c r="A223" s="63">
        <v>359</v>
      </c>
      <c r="B223" s="63" t="s">
        <v>336</v>
      </c>
      <c r="C223" s="63" t="s">
        <v>26</v>
      </c>
      <c r="D223" s="63" t="s">
        <v>23</v>
      </c>
      <c r="E223" s="63" t="b">
        <v>0</v>
      </c>
      <c r="F223" s="63" t="s">
        <v>27</v>
      </c>
      <c r="G223" s="63">
        <v>24</v>
      </c>
      <c r="H223" s="64">
        <v>46196</v>
      </c>
    </row>
    <row r="224" spans="1:8">
      <c r="A224" s="63">
        <v>1310</v>
      </c>
      <c r="B224" s="63" t="s">
        <v>337</v>
      </c>
      <c r="C224" s="63" t="s">
        <v>311</v>
      </c>
      <c r="D224" s="63" t="s">
        <v>23</v>
      </c>
      <c r="E224" s="63" t="b">
        <v>0</v>
      </c>
      <c r="F224" s="63" t="s">
        <v>25</v>
      </c>
      <c r="H224" s="64">
        <v>46196</v>
      </c>
    </row>
    <row r="225" spans="1:8">
      <c r="A225" s="63">
        <v>1200</v>
      </c>
      <c r="B225" s="63" t="s">
        <v>338</v>
      </c>
      <c r="C225" s="63" t="s">
        <v>339</v>
      </c>
      <c r="D225" s="63" t="s">
        <v>23</v>
      </c>
      <c r="E225" s="63" t="b">
        <v>0</v>
      </c>
      <c r="F225" s="63" t="s">
        <v>27</v>
      </c>
      <c r="G225" s="63">
        <v>6</v>
      </c>
      <c r="H225" s="64">
        <v>46196</v>
      </c>
    </row>
    <row r="226" spans="1:8">
      <c r="A226" s="63">
        <v>1411</v>
      </c>
      <c r="B226" s="63" t="s">
        <v>338</v>
      </c>
      <c r="C226" s="63" t="s">
        <v>72</v>
      </c>
      <c r="D226" s="63" t="s">
        <v>23</v>
      </c>
      <c r="E226" s="63" t="b">
        <v>1</v>
      </c>
      <c r="F226" s="63" t="s">
        <v>27</v>
      </c>
      <c r="G226" s="63">
        <v>3</v>
      </c>
      <c r="H226" s="64">
        <v>46196</v>
      </c>
    </row>
    <row r="227" spans="1:8">
      <c r="A227" s="63">
        <v>1412</v>
      </c>
      <c r="B227" s="63" t="s">
        <v>338</v>
      </c>
      <c r="C227" s="63" t="s">
        <v>340</v>
      </c>
      <c r="D227" s="63" t="s">
        <v>23</v>
      </c>
      <c r="E227" s="63" t="b">
        <v>1</v>
      </c>
      <c r="F227" s="63" t="s">
        <v>188</v>
      </c>
      <c r="H227" s="64">
        <v>46196</v>
      </c>
    </row>
    <row r="228" spans="1:8">
      <c r="A228" s="63">
        <v>1413</v>
      </c>
      <c r="B228" s="63" t="s">
        <v>338</v>
      </c>
      <c r="C228" s="63" t="s">
        <v>214</v>
      </c>
      <c r="D228" s="63" t="s">
        <v>23</v>
      </c>
      <c r="E228" s="63" t="b">
        <v>0</v>
      </c>
      <c r="F228" s="63" t="s">
        <v>188</v>
      </c>
      <c r="H228" s="64">
        <v>46196</v>
      </c>
    </row>
    <row r="229" spans="1:8">
      <c r="A229" s="63">
        <v>1376</v>
      </c>
      <c r="B229" s="63" t="s">
        <v>192</v>
      </c>
      <c r="C229" s="63" t="s">
        <v>127</v>
      </c>
      <c r="D229" s="63" t="s">
        <v>23</v>
      </c>
      <c r="E229" s="63" t="b">
        <v>1</v>
      </c>
      <c r="F229" s="63" t="s">
        <v>25</v>
      </c>
      <c r="H229" s="64">
        <v>46196</v>
      </c>
    </row>
    <row r="230" spans="1:8">
      <c r="A230" s="63">
        <v>1140</v>
      </c>
      <c r="B230" s="63" t="s">
        <v>341</v>
      </c>
      <c r="C230" s="63" t="s">
        <v>243</v>
      </c>
      <c r="D230" s="63" t="s">
        <v>23</v>
      </c>
      <c r="E230" s="63" t="b">
        <v>0</v>
      </c>
      <c r="F230" s="63" t="s">
        <v>25</v>
      </c>
      <c r="H230" s="64">
        <v>46196</v>
      </c>
    </row>
    <row r="231" spans="1:8">
      <c r="A231" s="63">
        <v>989</v>
      </c>
      <c r="B231" s="63" t="s">
        <v>342</v>
      </c>
      <c r="C231" s="63" t="s">
        <v>343</v>
      </c>
      <c r="D231" s="63" t="s">
        <v>23</v>
      </c>
      <c r="E231" s="63" t="b">
        <v>0</v>
      </c>
      <c r="F231" s="63" t="s">
        <v>27</v>
      </c>
      <c r="G231" s="63">
        <v>3</v>
      </c>
      <c r="H231" s="64">
        <v>46196</v>
      </c>
    </row>
    <row r="232" spans="1:8">
      <c r="A232" s="63">
        <v>1417</v>
      </c>
      <c r="B232" s="63" t="s">
        <v>344</v>
      </c>
      <c r="C232" s="63" t="s">
        <v>345</v>
      </c>
      <c r="D232" s="63" t="s">
        <v>23</v>
      </c>
      <c r="E232" s="63" t="b">
        <v>1</v>
      </c>
      <c r="F232" s="63" t="s">
        <v>27</v>
      </c>
      <c r="G232" s="63">
        <v>17</v>
      </c>
      <c r="H232" s="64">
        <v>46196</v>
      </c>
    </row>
    <row r="233" spans="1:8">
      <c r="A233" s="63">
        <v>52</v>
      </c>
      <c r="B233" s="63" t="s">
        <v>346</v>
      </c>
      <c r="C233" s="63" t="s">
        <v>192</v>
      </c>
      <c r="D233" s="63" t="s">
        <v>23</v>
      </c>
      <c r="E233" s="63" t="b">
        <v>0</v>
      </c>
      <c r="F233" s="63" t="s">
        <v>25</v>
      </c>
      <c r="H233" s="64">
        <v>46196</v>
      </c>
    </row>
    <row r="234" spans="1:8">
      <c r="A234" s="63">
        <v>62</v>
      </c>
      <c r="B234" s="63" t="s">
        <v>344</v>
      </c>
      <c r="C234" s="63" t="s">
        <v>234</v>
      </c>
      <c r="D234" s="63" t="s">
        <v>23</v>
      </c>
      <c r="E234" s="63" t="b">
        <v>0</v>
      </c>
      <c r="F234" s="63" t="s">
        <v>27</v>
      </c>
      <c r="G234" s="63">
        <v>4</v>
      </c>
      <c r="H234" s="64">
        <v>46196</v>
      </c>
    </row>
    <row r="235" spans="1:8">
      <c r="A235" s="63">
        <v>930</v>
      </c>
      <c r="B235" s="63" t="s">
        <v>347</v>
      </c>
      <c r="C235" s="63" t="s">
        <v>348</v>
      </c>
      <c r="D235" s="63" t="s">
        <v>23</v>
      </c>
      <c r="E235" s="63" t="b">
        <v>1</v>
      </c>
      <c r="F235" s="63" t="s">
        <v>27</v>
      </c>
      <c r="G235" s="63">
        <v>6</v>
      </c>
      <c r="H235" s="64">
        <v>46196</v>
      </c>
    </row>
    <row r="236" spans="1:8">
      <c r="A236" s="63">
        <v>1254</v>
      </c>
      <c r="B236" s="63" t="s">
        <v>349</v>
      </c>
      <c r="C236" s="63" t="s">
        <v>51</v>
      </c>
      <c r="D236" s="63" t="s">
        <v>23</v>
      </c>
      <c r="E236" s="63" t="b">
        <v>0</v>
      </c>
      <c r="F236" s="63" t="s">
        <v>27</v>
      </c>
      <c r="G236" s="63">
        <v>21</v>
      </c>
      <c r="H236" s="64">
        <v>46196</v>
      </c>
    </row>
    <row r="237" spans="1:8">
      <c r="A237" s="63">
        <v>744</v>
      </c>
      <c r="B237" s="63" t="s">
        <v>350</v>
      </c>
      <c r="C237" s="63" t="s">
        <v>351</v>
      </c>
      <c r="D237" s="63" t="s">
        <v>23</v>
      </c>
      <c r="E237" s="63" t="b">
        <v>0</v>
      </c>
      <c r="F237" s="63" t="s">
        <v>27</v>
      </c>
      <c r="G237" s="63">
        <v>28</v>
      </c>
      <c r="H237" s="64">
        <v>46196</v>
      </c>
    </row>
    <row r="238" spans="1:8">
      <c r="A238" s="63">
        <v>337</v>
      </c>
      <c r="B238" s="63" t="s">
        <v>352</v>
      </c>
      <c r="C238" s="63" t="s">
        <v>179</v>
      </c>
      <c r="D238" s="63" t="s">
        <v>23</v>
      </c>
      <c r="E238" s="63" t="b">
        <v>1</v>
      </c>
      <c r="F238" s="63" t="s">
        <v>27</v>
      </c>
      <c r="G238" s="63">
        <v>21</v>
      </c>
      <c r="H238" s="64">
        <v>46196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56C0-AACA-418A-8ABE-C257E8B5253D}">
  <dimension ref="A1:H243"/>
  <sheetViews>
    <sheetView workbookViewId="0"/>
    <sheetView workbookViewId="1"/>
  </sheetViews>
  <sheetFormatPr defaultColWidth="9" defaultRowHeight="14.25"/>
  <cols>
    <col min="1" max="7" width="9" style="67"/>
    <col min="8" max="8" width="10.19921875" style="67" bestFit="1" customWidth="1"/>
    <col min="9" max="16384" width="9" style="67"/>
  </cols>
  <sheetData>
    <row r="1" spans="1:8">
      <c r="A1" s="67" t="s">
        <v>13</v>
      </c>
      <c r="B1" s="67" t="s">
        <v>14</v>
      </c>
      <c r="C1" s="67" t="s">
        <v>15</v>
      </c>
      <c r="D1" s="67" t="s">
        <v>16</v>
      </c>
      <c r="E1" s="67" t="s">
        <v>17</v>
      </c>
      <c r="F1" s="67" t="s">
        <v>18</v>
      </c>
      <c r="G1" s="67" t="s">
        <v>19</v>
      </c>
      <c r="H1" s="67" t="s">
        <v>20</v>
      </c>
    </row>
    <row r="2" spans="1:8">
      <c r="A2" s="67">
        <v>1327</v>
      </c>
      <c r="B2" s="67" t="s">
        <v>21</v>
      </c>
      <c r="C2" s="67" t="s">
        <v>22</v>
      </c>
      <c r="D2" s="67" t="s">
        <v>23</v>
      </c>
      <c r="E2" s="67" t="b">
        <v>0</v>
      </c>
      <c r="F2" s="67" t="s">
        <v>25</v>
      </c>
      <c r="H2" s="68">
        <v>46216</v>
      </c>
    </row>
    <row r="3" spans="1:8">
      <c r="A3" s="67">
        <v>1237</v>
      </c>
      <c r="B3" s="67" t="s">
        <v>21</v>
      </c>
      <c r="C3" s="67" t="s">
        <v>26</v>
      </c>
      <c r="D3" s="67" t="s">
        <v>23</v>
      </c>
      <c r="E3" s="67" t="b">
        <v>0</v>
      </c>
      <c r="F3" s="67" t="s">
        <v>27</v>
      </c>
      <c r="G3" s="67">
        <v>1</v>
      </c>
      <c r="H3" s="68">
        <v>46216</v>
      </c>
    </row>
    <row r="4" spans="1:8">
      <c r="A4" s="67">
        <v>819</v>
      </c>
      <c r="B4" s="67" t="s">
        <v>28</v>
      </c>
      <c r="C4" s="67" t="s">
        <v>29</v>
      </c>
      <c r="D4" s="67" t="s">
        <v>23</v>
      </c>
      <c r="E4" s="67" t="b">
        <v>1</v>
      </c>
      <c r="F4" s="67" t="s">
        <v>27</v>
      </c>
      <c r="G4" s="67">
        <v>23</v>
      </c>
      <c r="H4" s="68">
        <v>46216</v>
      </c>
    </row>
    <row r="5" spans="1:8">
      <c r="A5" s="67">
        <v>2</v>
      </c>
      <c r="B5" s="67" t="s">
        <v>31</v>
      </c>
      <c r="C5" s="67" t="s">
        <v>32</v>
      </c>
      <c r="D5" s="67" t="s">
        <v>23</v>
      </c>
      <c r="E5" s="67" t="b">
        <v>0</v>
      </c>
      <c r="F5" s="67" t="s">
        <v>27</v>
      </c>
      <c r="G5" s="67">
        <v>21</v>
      </c>
      <c r="H5" s="68">
        <v>46216</v>
      </c>
    </row>
    <row r="6" spans="1:8">
      <c r="A6" s="67">
        <v>1370</v>
      </c>
      <c r="B6" s="67" t="s">
        <v>33</v>
      </c>
      <c r="C6" s="67" t="s">
        <v>34</v>
      </c>
      <c r="D6" s="67" t="s">
        <v>23</v>
      </c>
      <c r="E6" s="67" t="b">
        <v>0</v>
      </c>
      <c r="F6" s="67" t="s">
        <v>27</v>
      </c>
      <c r="G6" s="67">
        <v>4</v>
      </c>
      <c r="H6" s="68">
        <v>46216</v>
      </c>
    </row>
    <row r="7" spans="1:8">
      <c r="A7" s="67">
        <v>1415</v>
      </c>
      <c r="B7" s="67" t="s">
        <v>33</v>
      </c>
      <c r="C7" s="67" t="s">
        <v>22</v>
      </c>
      <c r="D7" s="67" t="s">
        <v>23</v>
      </c>
      <c r="E7" s="67" t="b">
        <v>0</v>
      </c>
      <c r="F7" s="67" t="s">
        <v>35</v>
      </c>
      <c r="H7" s="68">
        <v>46216</v>
      </c>
    </row>
    <row r="8" spans="1:8">
      <c r="A8" s="67">
        <v>1286</v>
      </c>
      <c r="B8" s="67" t="s">
        <v>36</v>
      </c>
      <c r="C8" s="67" t="s">
        <v>34</v>
      </c>
      <c r="D8" s="67" t="s">
        <v>23</v>
      </c>
      <c r="E8" s="67" t="b">
        <v>0</v>
      </c>
      <c r="F8" s="67" t="s">
        <v>27</v>
      </c>
      <c r="G8" s="67">
        <v>13</v>
      </c>
      <c r="H8" s="68">
        <v>46216</v>
      </c>
    </row>
    <row r="9" spans="1:8">
      <c r="A9" s="67">
        <v>1381</v>
      </c>
      <c r="B9" s="67" t="s">
        <v>36</v>
      </c>
      <c r="C9" s="67" t="s">
        <v>37</v>
      </c>
      <c r="D9" s="67" t="s">
        <v>23</v>
      </c>
      <c r="E9" s="67" t="b">
        <v>0</v>
      </c>
      <c r="F9" s="67" t="s">
        <v>25</v>
      </c>
      <c r="H9" s="68">
        <v>46216</v>
      </c>
    </row>
    <row r="10" spans="1:8">
      <c r="A10" s="67">
        <v>1112</v>
      </c>
      <c r="B10" s="67" t="s">
        <v>38</v>
      </c>
      <c r="C10" s="67" t="s">
        <v>39</v>
      </c>
      <c r="D10" s="67" t="s">
        <v>23</v>
      </c>
      <c r="E10" s="67" t="b">
        <v>0</v>
      </c>
      <c r="F10" s="67" t="s">
        <v>27</v>
      </c>
      <c r="G10" s="67">
        <v>16</v>
      </c>
      <c r="H10" s="68">
        <v>46216</v>
      </c>
    </row>
    <row r="11" spans="1:8">
      <c r="A11" s="67">
        <v>1135</v>
      </c>
      <c r="B11" s="67" t="s">
        <v>40</v>
      </c>
      <c r="C11" s="67" t="s">
        <v>41</v>
      </c>
      <c r="D11" s="67" t="s">
        <v>23</v>
      </c>
      <c r="E11" s="67" t="b">
        <v>0</v>
      </c>
      <c r="F11" s="67" t="s">
        <v>27</v>
      </c>
      <c r="G11" s="67">
        <v>1</v>
      </c>
      <c r="H11" s="68">
        <v>46216</v>
      </c>
    </row>
    <row r="12" spans="1:8">
      <c r="A12" s="67">
        <v>1430</v>
      </c>
      <c r="B12" s="67" t="s">
        <v>42</v>
      </c>
      <c r="C12" s="67" t="s">
        <v>39</v>
      </c>
      <c r="D12" s="67" t="s">
        <v>23</v>
      </c>
      <c r="E12" s="67" t="b">
        <v>0</v>
      </c>
      <c r="F12" s="67" t="s">
        <v>27</v>
      </c>
      <c r="G12" s="67">
        <v>4</v>
      </c>
      <c r="H12" s="68">
        <v>46216</v>
      </c>
    </row>
    <row r="13" spans="1:8">
      <c r="A13" s="67">
        <v>982</v>
      </c>
      <c r="B13" s="67" t="s">
        <v>42</v>
      </c>
      <c r="C13" s="67" t="s">
        <v>32</v>
      </c>
      <c r="D13" s="67" t="s">
        <v>23</v>
      </c>
      <c r="E13" s="67" t="b">
        <v>0</v>
      </c>
      <c r="F13" s="67" t="s">
        <v>27</v>
      </c>
      <c r="G13" s="67">
        <v>22</v>
      </c>
      <c r="H13" s="68">
        <v>46216</v>
      </c>
    </row>
    <row r="14" spans="1:8">
      <c r="A14" s="67">
        <v>1328</v>
      </c>
      <c r="B14" s="67" t="s">
        <v>43</v>
      </c>
      <c r="C14" s="67" t="s">
        <v>44</v>
      </c>
      <c r="D14" s="67" t="s">
        <v>23</v>
      </c>
      <c r="E14" s="67" t="b">
        <v>0</v>
      </c>
      <c r="F14" s="67" t="s">
        <v>27</v>
      </c>
      <c r="G14" s="67">
        <v>4</v>
      </c>
      <c r="H14" s="68">
        <v>46216</v>
      </c>
    </row>
    <row r="15" spans="1:8">
      <c r="A15" s="67">
        <v>369</v>
      </c>
      <c r="B15" s="67" t="s">
        <v>45</v>
      </c>
      <c r="C15" s="67" t="s">
        <v>46</v>
      </c>
      <c r="D15" s="67" t="s">
        <v>23</v>
      </c>
      <c r="E15" s="67" t="b">
        <v>0</v>
      </c>
      <c r="F15" s="67" t="s">
        <v>27</v>
      </c>
      <c r="G15" s="67">
        <v>8</v>
      </c>
      <c r="H15" s="68">
        <v>46216</v>
      </c>
    </row>
    <row r="16" spans="1:8">
      <c r="A16" s="67">
        <v>7</v>
      </c>
      <c r="B16" s="67" t="s">
        <v>45</v>
      </c>
      <c r="C16" s="67" t="s">
        <v>47</v>
      </c>
      <c r="D16" s="67" t="s">
        <v>48</v>
      </c>
      <c r="E16" s="67" t="b">
        <v>0</v>
      </c>
      <c r="F16" s="67" t="s">
        <v>27</v>
      </c>
      <c r="G16" s="67">
        <v>32</v>
      </c>
      <c r="H16" s="68">
        <v>46216</v>
      </c>
    </row>
    <row r="17" spans="1:8">
      <c r="A17" s="67">
        <v>473</v>
      </c>
      <c r="B17" s="67" t="s">
        <v>45</v>
      </c>
      <c r="C17" s="67" t="s">
        <v>49</v>
      </c>
      <c r="D17" s="67" t="s">
        <v>48</v>
      </c>
      <c r="E17" s="67" t="b">
        <v>0</v>
      </c>
      <c r="F17" s="67" t="s">
        <v>27</v>
      </c>
      <c r="G17" s="67">
        <v>33</v>
      </c>
      <c r="H17" s="68">
        <v>46216</v>
      </c>
    </row>
    <row r="18" spans="1:8">
      <c r="A18" s="67">
        <v>1384</v>
      </c>
      <c r="B18" s="67" t="s">
        <v>50</v>
      </c>
      <c r="C18" s="67" t="s">
        <v>51</v>
      </c>
      <c r="D18" s="67" t="s">
        <v>23</v>
      </c>
      <c r="E18" s="67" t="b">
        <v>0</v>
      </c>
      <c r="F18" s="67" t="s">
        <v>27</v>
      </c>
      <c r="G18" s="67">
        <v>30</v>
      </c>
      <c r="H18" s="68">
        <v>46216</v>
      </c>
    </row>
    <row r="19" spans="1:8">
      <c r="A19" s="67">
        <v>1348</v>
      </c>
      <c r="B19" s="67" t="s">
        <v>52</v>
      </c>
      <c r="C19" s="67" t="s">
        <v>53</v>
      </c>
      <c r="D19" s="67" t="s">
        <v>54</v>
      </c>
      <c r="E19" s="67" t="b">
        <v>1</v>
      </c>
      <c r="F19" s="67" t="s">
        <v>25</v>
      </c>
      <c r="H19" s="68">
        <v>46216</v>
      </c>
    </row>
    <row r="20" spans="1:8">
      <c r="A20" s="67">
        <v>1275</v>
      </c>
      <c r="B20" s="67" t="s">
        <v>52</v>
      </c>
      <c r="C20" s="67" t="s">
        <v>55</v>
      </c>
      <c r="D20" s="67" t="s">
        <v>23</v>
      </c>
      <c r="E20" s="67" t="b">
        <v>1</v>
      </c>
      <c r="F20" s="67" t="s">
        <v>35</v>
      </c>
      <c r="H20" s="68">
        <v>46216</v>
      </c>
    </row>
    <row r="21" spans="1:8">
      <c r="A21" s="67">
        <v>68</v>
      </c>
      <c r="B21" s="67" t="s">
        <v>56</v>
      </c>
      <c r="C21" s="67" t="s">
        <v>57</v>
      </c>
      <c r="D21" s="67" t="s">
        <v>48</v>
      </c>
      <c r="E21" s="67" t="b">
        <v>0</v>
      </c>
      <c r="F21" s="67" t="s">
        <v>27</v>
      </c>
      <c r="G21" s="67">
        <v>35</v>
      </c>
      <c r="H21" s="68">
        <v>46216</v>
      </c>
    </row>
    <row r="22" spans="1:8">
      <c r="A22" s="67">
        <v>1035</v>
      </c>
      <c r="B22" s="67" t="s">
        <v>58</v>
      </c>
      <c r="C22" s="67" t="s">
        <v>59</v>
      </c>
      <c r="D22" s="67" t="s">
        <v>23</v>
      </c>
      <c r="E22" s="67" t="b">
        <v>0</v>
      </c>
      <c r="F22" s="67" t="s">
        <v>27</v>
      </c>
      <c r="G22" s="67">
        <v>6</v>
      </c>
      <c r="H22" s="68">
        <v>46216</v>
      </c>
    </row>
    <row r="23" spans="1:8">
      <c r="A23" s="67">
        <v>1416</v>
      </c>
      <c r="B23" s="67" t="s">
        <v>60</v>
      </c>
      <c r="C23" s="67" t="s">
        <v>61</v>
      </c>
      <c r="D23" s="67" t="s">
        <v>23</v>
      </c>
      <c r="E23" s="67" t="b">
        <v>0</v>
      </c>
      <c r="F23" s="67" t="s">
        <v>25</v>
      </c>
      <c r="H23" s="68">
        <v>46216</v>
      </c>
    </row>
    <row r="24" spans="1:8">
      <c r="A24" s="67">
        <v>1326</v>
      </c>
      <c r="B24" s="67" t="s">
        <v>62</v>
      </c>
      <c r="C24" s="67" t="s">
        <v>63</v>
      </c>
      <c r="D24" s="67" t="s">
        <v>23</v>
      </c>
      <c r="E24" s="67" t="b">
        <v>1</v>
      </c>
      <c r="F24" s="67" t="s">
        <v>25</v>
      </c>
      <c r="H24" s="68">
        <v>46216</v>
      </c>
    </row>
    <row r="25" spans="1:8">
      <c r="A25" s="67">
        <v>1431</v>
      </c>
      <c r="B25" s="67" t="s">
        <v>596</v>
      </c>
      <c r="C25" s="67" t="s">
        <v>595</v>
      </c>
      <c r="D25" s="67" t="s">
        <v>23</v>
      </c>
      <c r="E25" s="67" t="b">
        <v>1</v>
      </c>
      <c r="F25" s="67" t="s">
        <v>27</v>
      </c>
      <c r="G25" s="67">
        <v>11</v>
      </c>
      <c r="H25" s="68">
        <v>46216</v>
      </c>
    </row>
    <row r="26" spans="1:8">
      <c r="A26" s="67">
        <v>477</v>
      </c>
      <c r="B26" s="67" t="s">
        <v>64</v>
      </c>
      <c r="C26" s="67" t="s">
        <v>65</v>
      </c>
      <c r="D26" s="67" t="s">
        <v>23</v>
      </c>
      <c r="E26" s="67" t="b">
        <v>1</v>
      </c>
      <c r="F26" s="67" t="s">
        <v>27</v>
      </c>
      <c r="G26" s="67">
        <v>34</v>
      </c>
      <c r="H26" s="68">
        <v>46216</v>
      </c>
    </row>
    <row r="27" spans="1:8">
      <c r="A27" s="67">
        <v>10</v>
      </c>
      <c r="B27" s="67" t="s">
        <v>64</v>
      </c>
      <c r="C27" s="67" t="s">
        <v>66</v>
      </c>
      <c r="D27" s="67" t="s">
        <v>48</v>
      </c>
      <c r="E27" s="67" t="b">
        <v>0</v>
      </c>
      <c r="F27" s="67" t="s">
        <v>27</v>
      </c>
      <c r="G27" s="67">
        <v>35</v>
      </c>
      <c r="H27" s="68">
        <v>46216</v>
      </c>
    </row>
    <row r="28" spans="1:8">
      <c r="A28" s="67">
        <v>1414</v>
      </c>
      <c r="B28" s="67" t="s">
        <v>67</v>
      </c>
      <c r="C28" s="67" t="s">
        <v>36</v>
      </c>
      <c r="D28" s="67" t="s">
        <v>23</v>
      </c>
      <c r="E28" s="67" t="b">
        <v>0</v>
      </c>
      <c r="F28" s="67" t="s">
        <v>27</v>
      </c>
      <c r="G28" s="67">
        <v>13</v>
      </c>
      <c r="H28" s="68">
        <v>46216</v>
      </c>
    </row>
    <row r="29" spans="1:8">
      <c r="A29" s="67">
        <v>1029</v>
      </c>
      <c r="B29" s="67" t="s">
        <v>68</v>
      </c>
      <c r="C29" s="67" t="s">
        <v>69</v>
      </c>
      <c r="D29" s="67" t="s">
        <v>23</v>
      </c>
      <c r="E29" s="67" t="b">
        <v>0</v>
      </c>
      <c r="F29" s="67" t="s">
        <v>27</v>
      </c>
      <c r="G29" s="67">
        <v>28</v>
      </c>
      <c r="H29" s="68">
        <v>46216</v>
      </c>
    </row>
    <row r="30" spans="1:8">
      <c r="A30" s="67">
        <v>13</v>
      </c>
      <c r="B30" s="67" t="s">
        <v>70</v>
      </c>
      <c r="C30" s="67" t="s">
        <v>51</v>
      </c>
      <c r="D30" s="67" t="s">
        <v>23</v>
      </c>
      <c r="E30" s="67" t="b">
        <v>0</v>
      </c>
      <c r="F30" s="67" t="s">
        <v>27</v>
      </c>
      <c r="G30" s="67">
        <v>28</v>
      </c>
      <c r="H30" s="68">
        <v>46216</v>
      </c>
    </row>
    <row r="31" spans="1:8">
      <c r="A31" s="67">
        <v>1255</v>
      </c>
      <c r="B31" s="67" t="s">
        <v>71</v>
      </c>
      <c r="C31" s="67" t="s">
        <v>72</v>
      </c>
      <c r="D31" s="67" t="s">
        <v>23</v>
      </c>
      <c r="E31" s="67" t="b">
        <v>1</v>
      </c>
      <c r="F31" s="67" t="s">
        <v>27</v>
      </c>
      <c r="G31" s="67">
        <v>13</v>
      </c>
      <c r="H31" s="68">
        <v>46216</v>
      </c>
    </row>
    <row r="32" spans="1:8">
      <c r="A32" s="67">
        <v>1405</v>
      </c>
      <c r="B32" s="67" t="s">
        <v>73</v>
      </c>
      <c r="C32" s="67" t="s">
        <v>74</v>
      </c>
      <c r="D32" s="67" t="s">
        <v>23</v>
      </c>
      <c r="E32" s="67" t="b">
        <v>1</v>
      </c>
      <c r="F32" s="67" t="s">
        <v>35</v>
      </c>
      <c r="H32" s="68">
        <v>46216</v>
      </c>
    </row>
    <row r="33" spans="1:8">
      <c r="A33" s="67">
        <v>1421</v>
      </c>
      <c r="B33" s="67" t="s">
        <v>75</v>
      </c>
      <c r="C33" s="67" t="s">
        <v>76</v>
      </c>
      <c r="D33" s="67" t="s">
        <v>23</v>
      </c>
      <c r="E33" s="67" t="b">
        <v>1</v>
      </c>
      <c r="F33" s="67" t="s">
        <v>27</v>
      </c>
      <c r="G33" s="67">
        <v>12</v>
      </c>
      <c r="H33" s="68">
        <v>46216</v>
      </c>
    </row>
    <row r="34" spans="1:8">
      <c r="A34" s="67">
        <v>1418</v>
      </c>
      <c r="B34" s="67" t="s">
        <v>75</v>
      </c>
      <c r="C34" s="67" t="s">
        <v>22</v>
      </c>
      <c r="D34" s="67" t="s">
        <v>23</v>
      </c>
      <c r="E34" s="67" t="b">
        <v>0</v>
      </c>
      <c r="F34" s="67" t="s">
        <v>25</v>
      </c>
      <c r="H34" s="68">
        <v>46216</v>
      </c>
    </row>
    <row r="35" spans="1:8">
      <c r="A35" s="67">
        <v>919</v>
      </c>
      <c r="B35" s="67" t="s">
        <v>77</v>
      </c>
      <c r="C35" s="67" t="s">
        <v>51</v>
      </c>
      <c r="D35" s="67" t="s">
        <v>23</v>
      </c>
      <c r="E35" s="67" t="b">
        <v>0</v>
      </c>
      <c r="F35" s="67" t="s">
        <v>27</v>
      </c>
      <c r="G35" s="67">
        <v>16</v>
      </c>
      <c r="H35" s="68">
        <v>46216</v>
      </c>
    </row>
    <row r="36" spans="1:8">
      <c r="A36" s="67">
        <v>1319</v>
      </c>
      <c r="B36" s="67" t="s">
        <v>78</v>
      </c>
      <c r="C36" s="67" t="s">
        <v>32</v>
      </c>
      <c r="D36" s="67" t="s">
        <v>23</v>
      </c>
      <c r="E36" s="67" t="b">
        <v>0</v>
      </c>
      <c r="F36" s="67" t="s">
        <v>27</v>
      </c>
      <c r="G36" s="67">
        <v>9</v>
      </c>
      <c r="H36" s="68">
        <v>46216</v>
      </c>
    </row>
    <row r="37" spans="1:8">
      <c r="A37" s="67">
        <v>1190</v>
      </c>
      <c r="B37" s="67" t="s">
        <v>700</v>
      </c>
      <c r="C37" s="67" t="s">
        <v>702</v>
      </c>
      <c r="D37" s="67" t="s">
        <v>23</v>
      </c>
      <c r="E37" s="67" t="b">
        <v>0</v>
      </c>
      <c r="F37" s="67" t="s">
        <v>35</v>
      </c>
      <c r="H37" s="68">
        <v>46216</v>
      </c>
    </row>
    <row r="38" spans="1:8">
      <c r="A38" s="67">
        <v>1189</v>
      </c>
      <c r="B38" s="67" t="s">
        <v>700</v>
      </c>
      <c r="C38" s="67" t="s">
        <v>701</v>
      </c>
      <c r="D38" s="67" t="s">
        <v>23</v>
      </c>
      <c r="E38" s="67" t="b">
        <v>0</v>
      </c>
      <c r="F38" s="67" t="s">
        <v>35</v>
      </c>
      <c r="H38" s="68">
        <v>46216</v>
      </c>
    </row>
    <row r="39" spans="1:8">
      <c r="A39" s="67">
        <v>735</v>
      </c>
      <c r="B39" s="67" t="s">
        <v>700</v>
      </c>
      <c r="C39" s="67" t="s">
        <v>278</v>
      </c>
      <c r="D39" s="67" t="s">
        <v>54</v>
      </c>
      <c r="E39" s="67" t="b">
        <v>0</v>
      </c>
      <c r="F39" s="67" t="s">
        <v>25</v>
      </c>
      <c r="H39" s="68">
        <v>46216</v>
      </c>
    </row>
    <row r="40" spans="1:8">
      <c r="A40" s="67">
        <v>1389</v>
      </c>
      <c r="B40" s="67" t="s">
        <v>79</v>
      </c>
      <c r="C40" s="67" t="s">
        <v>80</v>
      </c>
      <c r="D40" s="67" t="s">
        <v>23</v>
      </c>
      <c r="E40" s="67" t="b">
        <v>0</v>
      </c>
      <c r="F40" s="67" t="s">
        <v>25</v>
      </c>
      <c r="H40" s="68">
        <v>46216</v>
      </c>
    </row>
    <row r="41" spans="1:8">
      <c r="A41" s="67">
        <v>940</v>
      </c>
      <c r="B41" s="67" t="s">
        <v>81</v>
      </c>
      <c r="C41" s="67" t="s">
        <v>82</v>
      </c>
      <c r="D41" s="67" t="s">
        <v>23</v>
      </c>
      <c r="E41" s="67" t="b">
        <v>1</v>
      </c>
      <c r="F41" s="67" t="s">
        <v>27</v>
      </c>
      <c r="G41" s="67">
        <v>9</v>
      </c>
      <c r="H41" s="68">
        <v>46216</v>
      </c>
    </row>
    <row r="42" spans="1:8">
      <c r="A42" s="67">
        <v>806</v>
      </c>
      <c r="B42" s="67" t="s">
        <v>81</v>
      </c>
      <c r="C42" s="67" t="s">
        <v>83</v>
      </c>
      <c r="D42" s="67" t="s">
        <v>23</v>
      </c>
      <c r="E42" s="67" t="b">
        <v>0</v>
      </c>
      <c r="F42" s="67" t="s">
        <v>27</v>
      </c>
      <c r="G42" s="67">
        <v>11</v>
      </c>
      <c r="H42" s="68">
        <v>46216</v>
      </c>
    </row>
    <row r="43" spans="1:8">
      <c r="A43" s="67">
        <v>482</v>
      </c>
      <c r="B43" s="67" t="s">
        <v>84</v>
      </c>
      <c r="C43" s="67" t="s">
        <v>85</v>
      </c>
      <c r="D43" s="67" t="s">
        <v>23</v>
      </c>
      <c r="E43" s="67" t="b">
        <v>0</v>
      </c>
      <c r="F43" s="67" t="s">
        <v>27</v>
      </c>
      <c r="G43" s="67">
        <v>13</v>
      </c>
      <c r="H43" s="68">
        <v>46216</v>
      </c>
    </row>
    <row r="44" spans="1:8">
      <c r="A44" s="67">
        <v>674</v>
      </c>
      <c r="B44" s="67" t="s">
        <v>86</v>
      </c>
      <c r="C44" s="67" t="s">
        <v>87</v>
      </c>
      <c r="D44" s="67" t="s">
        <v>54</v>
      </c>
      <c r="E44" s="67" t="b">
        <v>1</v>
      </c>
      <c r="F44" s="67" t="s">
        <v>27</v>
      </c>
      <c r="G44" s="67">
        <v>23</v>
      </c>
      <c r="H44" s="68">
        <v>46216</v>
      </c>
    </row>
    <row r="45" spans="1:8">
      <c r="A45" s="67">
        <v>1061</v>
      </c>
      <c r="B45" s="67" t="s">
        <v>88</v>
      </c>
      <c r="C45" s="67" t="s">
        <v>89</v>
      </c>
      <c r="D45" s="67" t="s">
        <v>23</v>
      </c>
      <c r="E45" s="67" t="b">
        <v>0</v>
      </c>
      <c r="F45" s="67" t="s">
        <v>27</v>
      </c>
      <c r="G45" s="67">
        <v>19</v>
      </c>
      <c r="H45" s="68">
        <v>46216</v>
      </c>
    </row>
    <row r="46" spans="1:8">
      <c r="A46" s="67">
        <v>763</v>
      </c>
      <c r="B46" s="67" t="s">
        <v>90</v>
      </c>
      <c r="C46" s="67" t="s">
        <v>59</v>
      </c>
      <c r="D46" s="67" t="s">
        <v>23</v>
      </c>
      <c r="E46" s="67" t="b">
        <v>0</v>
      </c>
      <c r="F46" s="67" t="s">
        <v>27</v>
      </c>
      <c r="G46" s="67">
        <v>17</v>
      </c>
      <c r="H46" s="68">
        <v>46216</v>
      </c>
    </row>
    <row r="47" spans="1:8">
      <c r="A47" s="67">
        <v>1227</v>
      </c>
      <c r="B47" s="67" t="s">
        <v>91</v>
      </c>
      <c r="C47" s="67" t="s">
        <v>92</v>
      </c>
      <c r="D47" s="67" t="s">
        <v>23</v>
      </c>
      <c r="E47" s="67" t="b">
        <v>1</v>
      </c>
      <c r="F47" s="67" t="s">
        <v>27</v>
      </c>
      <c r="G47" s="67">
        <v>8</v>
      </c>
      <c r="H47" s="68">
        <v>46216</v>
      </c>
    </row>
    <row r="48" spans="1:8">
      <c r="A48" s="67">
        <v>715</v>
      </c>
      <c r="B48" s="67" t="s">
        <v>93</v>
      </c>
      <c r="C48" s="67" t="s">
        <v>94</v>
      </c>
      <c r="D48" s="67" t="s">
        <v>23</v>
      </c>
      <c r="E48" s="67" t="b">
        <v>0</v>
      </c>
      <c r="F48" s="67" t="s">
        <v>27</v>
      </c>
      <c r="G48" s="67">
        <v>5</v>
      </c>
      <c r="H48" s="68">
        <v>46216</v>
      </c>
    </row>
    <row r="49" spans="1:8">
      <c r="A49" s="67">
        <v>567</v>
      </c>
      <c r="B49" s="67" t="s">
        <v>95</v>
      </c>
      <c r="C49" s="67" t="s">
        <v>96</v>
      </c>
      <c r="D49" s="67" t="s">
        <v>23</v>
      </c>
      <c r="E49" s="67" t="b">
        <v>0</v>
      </c>
      <c r="F49" s="67" t="s">
        <v>27</v>
      </c>
      <c r="G49" s="67">
        <v>7</v>
      </c>
      <c r="H49" s="68">
        <v>46216</v>
      </c>
    </row>
    <row r="50" spans="1:8">
      <c r="A50" s="67">
        <v>1391</v>
      </c>
      <c r="B50" s="67" t="s">
        <v>97</v>
      </c>
      <c r="C50" s="67" t="s">
        <v>98</v>
      </c>
      <c r="D50" s="67" t="s">
        <v>54</v>
      </c>
      <c r="E50" s="67" t="b">
        <v>1</v>
      </c>
      <c r="F50" s="67" t="s">
        <v>25</v>
      </c>
      <c r="H50" s="68">
        <v>46216</v>
      </c>
    </row>
    <row r="51" spans="1:8">
      <c r="A51" s="67">
        <v>704</v>
      </c>
      <c r="B51" s="67" t="s">
        <v>99</v>
      </c>
      <c r="C51" s="67" t="s">
        <v>100</v>
      </c>
      <c r="D51" s="67" t="s">
        <v>23</v>
      </c>
      <c r="E51" s="67" t="b">
        <v>0</v>
      </c>
      <c r="F51" s="67" t="s">
        <v>27</v>
      </c>
      <c r="G51" s="67">
        <v>21</v>
      </c>
      <c r="H51" s="68">
        <v>46216</v>
      </c>
    </row>
    <row r="52" spans="1:8">
      <c r="A52" s="67">
        <v>1283</v>
      </c>
      <c r="B52" s="67" t="s">
        <v>101</v>
      </c>
      <c r="C52" s="67" t="s">
        <v>102</v>
      </c>
      <c r="D52" s="67" t="s">
        <v>23</v>
      </c>
      <c r="E52" s="67" t="b">
        <v>0</v>
      </c>
      <c r="F52" s="67" t="s">
        <v>27</v>
      </c>
      <c r="G52" s="67">
        <v>18</v>
      </c>
      <c r="H52" s="68">
        <v>46216</v>
      </c>
    </row>
    <row r="53" spans="1:8">
      <c r="A53" s="67">
        <v>295</v>
      </c>
      <c r="B53" s="67" t="s">
        <v>103</v>
      </c>
      <c r="C53" s="67" t="s">
        <v>104</v>
      </c>
      <c r="D53" s="67" t="s">
        <v>23</v>
      </c>
      <c r="E53" s="67" t="b">
        <v>0</v>
      </c>
      <c r="F53" s="67" t="s">
        <v>27</v>
      </c>
      <c r="G53" s="67">
        <v>15</v>
      </c>
      <c r="H53" s="68">
        <v>46216</v>
      </c>
    </row>
    <row r="54" spans="1:8">
      <c r="A54" s="67">
        <v>1226</v>
      </c>
      <c r="B54" s="67" t="s">
        <v>105</v>
      </c>
      <c r="C54" s="67" t="s">
        <v>106</v>
      </c>
      <c r="D54" s="67" t="s">
        <v>23</v>
      </c>
      <c r="E54" s="67" t="b">
        <v>1</v>
      </c>
      <c r="F54" s="67" t="s">
        <v>25</v>
      </c>
      <c r="H54" s="68">
        <v>46216</v>
      </c>
    </row>
    <row r="55" spans="1:8">
      <c r="A55" s="67">
        <v>1333</v>
      </c>
      <c r="B55" s="67" t="s">
        <v>107</v>
      </c>
      <c r="C55" s="67" t="s">
        <v>108</v>
      </c>
      <c r="D55" s="67" t="s">
        <v>23</v>
      </c>
      <c r="E55" s="67" t="b">
        <v>0</v>
      </c>
      <c r="F55" s="67" t="s">
        <v>27</v>
      </c>
      <c r="G55" s="67">
        <v>3</v>
      </c>
      <c r="H55" s="68">
        <v>46216</v>
      </c>
    </row>
    <row r="56" spans="1:8">
      <c r="A56" s="67">
        <v>1185</v>
      </c>
      <c r="B56" s="67" t="s">
        <v>109</v>
      </c>
      <c r="C56" s="67" t="s">
        <v>110</v>
      </c>
      <c r="D56" s="67" t="s">
        <v>23</v>
      </c>
      <c r="E56" s="67" t="b">
        <v>1</v>
      </c>
      <c r="F56" s="67" t="s">
        <v>35</v>
      </c>
      <c r="H56" s="68">
        <v>46216</v>
      </c>
    </row>
    <row r="57" spans="1:8">
      <c r="A57" s="67">
        <v>1065</v>
      </c>
      <c r="B57" s="67" t="s">
        <v>109</v>
      </c>
      <c r="C57" s="67" t="s">
        <v>41</v>
      </c>
      <c r="D57" s="67" t="s">
        <v>23</v>
      </c>
      <c r="E57" s="67" t="b">
        <v>0</v>
      </c>
      <c r="F57" s="67" t="s">
        <v>27</v>
      </c>
      <c r="G57" s="67">
        <v>1</v>
      </c>
      <c r="H57" s="68">
        <v>46216</v>
      </c>
    </row>
    <row r="58" spans="1:8">
      <c r="A58" s="67">
        <v>1407</v>
      </c>
      <c r="B58" s="67" t="s">
        <v>111</v>
      </c>
      <c r="C58" s="67" t="s">
        <v>112</v>
      </c>
      <c r="D58" s="67" t="s">
        <v>23</v>
      </c>
      <c r="E58" s="67" t="b">
        <v>0</v>
      </c>
      <c r="F58" s="67" t="s">
        <v>25</v>
      </c>
      <c r="H58" s="68">
        <v>46216</v>
      </c>
    </row>
    <row r="59" spans="1:8">
      <c r="A59" s="67">
        <v>1096</v>
      </c>
      <c r="B59" s="67" t="s">
        <v>113</v>
      </c>
      <c r="C59" s="67" t="s">
        <v>114</v>
      </c>
      <c r="D59" s="67" t="s">
        <v>23</v>
      </c>
      <c r="E59" s="67" t="b">
        <v>0</v>
      </c>
      <c r="F59" s="67" t="s">
        <v>35</v>
      </c>
      <c r="H59" s="68">
        <v>46216</v>
      </c>
    </row>
    <row r="60" spans="1:8">
      <c r="A60" s="67">
        <v>1236</v>
      </c>
      <c r="B60" s="67" t="s">
        <v>113</v>
      </c>
      <c r="C60" s="67" t="s">
        <v>115</v>
      </c>
      <c r="D60" s="67" t="s">
        <v>23</v>
      </c>
      <c r="E60" s="67" t="b">
        <v>1</v>
      </c>
      <c r="F60" s="67" t="s">
        <v>27</v>
      </c>
      <c r="G60" s="67">
        <v>5</v>
      </c>
      <c r="H60" s="68">
        <v>46216</v>
      </c>
    </row>
    <row r="61" spans="1:8">
      <c r="A61" s="67">
        <v>699</v>
      </c>
      <c r="B61" s="67" t="s">
        <v>113</v>
      </c>
      <c r="C61" s="67" t="s">
        <v>116</v>
      </c>
      <c r="D61" s="67" t="s">
        <v>23</v>
      </c>
      <c r="E61" s="67" t="b">
        <v>0</v>
      </c>
      <c r="F61" s="67" t="s">
        <v>27</v>
      </c>
      <c r="G61" s="67">
        <v>5</v>
      </c>
      <c r="H61" s="68">
        <v>46216</v>
      </c>
    </row>
    <row r="62" spans="1:8">
      <c r="A62" s="67">
        <v>1288</v>
      </c>
      <c r="B62" s="67" t="s">
        <v>117</v>
      </c>
      <c r="C62" s="67" t="s">
        <v>118</v>
      </c>
      <c r="D62" s="67" t="s">
        <v>23</v>
      </c>
      <c r="E62" s="67" t="b">
        <v>0</v>
      </c>
      <c r="F62" s="67" t="s">
        <v>35</v>
      </c>
      <c r="H62" s="68">
        <v>46216</v>
      </c>
    </row>
    <row r="63" spans="1:8">
      <c r="A63" s="67">
        <v>1429</v>
      </c>
      <c r="B63" s="67" t="s">
        <v>117</v>
      </c>
      <c r="C63" s="67" t="s">
        <v>119</v>
      </c>
      <c r="D63" s="67" t="s">
        <v>23</v>
      </c>
      <c r="E63" s="67" t="b">
        <v>0</v>
      </c>
      <c r="F63" s="67" t="s">
        <v>35</v>
      </c>
      <c r="H63" s="68">
        <v>46216</v>
      </c>
    </row>
    <row r="64" spans="1:8">
      <c r="A64" s="67">
        <v>1000</v>
      </c>
      <c r="B64" s="67" t="s">
        <v>120</v>
      </c>
      <c r="C64" s="67" t="s">
        <v>121</v>
      </c>
      <c r="D64" s="67" t="s">
        <v>23</v>
      </c>
      <c r="E64" s="67" t="b">
        <v>0</v>
      </c>
      <c r="F64" s="67" t="s">
        <v>25</v>
      </c>
      <c r="H64" s="68">
        <v>46216</v>
      </c>
    </row>
    <row r="65" spans="1:8">
      <c r="A65" s="67">
        <v>1332</v>
      </c>
      <c r="B65" s="67" t="s">
        <v>122</v>
      </c>
      <c r="C65" s="67" t="s">
        <v>123</v>
      </c>
      <c r="D65" s="67" t="s">
        <v>23</v>
      </c>
      <c r="E65" s="67" t="b">
        <v>1</v>
      </c>
      <c r="F65" s="67" t="s">
        <v>25</v>
      </c>
      <c r="H65" s="68">
        <v>46216</v>
      </c>
    </row>
    <row r="66" spans="1:8">
      <c r="A66" s="67">
        <v>682</v>
      </c>
      <c r="B66" s="67" t="s">
        <v>124</v>
      </c>
      <c r="C66" s="67" t="s">
        <v>125</v>
      </c>
      <c r="D66" s="67" t="s">
        <v>23</v>
      </c>
      <c r="E66" s="67" t="b">
        <v>0</v>
      </c>
      <c r="F66" s="67" t="s">
        <v>27</v>
      </c>
      <c r="G66" s="67">
        <v>11</v>
      </c>
      <c r="H66" s="68">
        <v>46216</v>
      </c>
    </row>
    <row r="67" spans="1:8">
      <c r="A67" s="67">
        <v>1393</v>
      </c>
      <c r="B67" s="67" t="s">
        <v>126</v>
      </c>
      <c r="C67" s="67" t="s">
        <v>127</v>
      </c>
      <c r="D67" s="67" t="s">
        <v>23</v>
      </c>
      <c r="E67" s="67" t="b">
        <v>1</v>
      </c>
      <c r="F67" s="67" t="s">
        <v>27</v>
      </c>
      <c r="G67" s="67">
        <v>10</v>
      </c>
      <c r="H67" s="68">
        <v>46216</v>
      </c>
    </row>
    <row r="68" spans="1:8">
      <c r="A68" s="67">
        <v>1355</v>
      </c>
      <c r="B68" s="67" t="s">
        <v>128</v>
      </c>
      <c r="C68" s="67" t="s">
        <v>129</v>
      </c>
      <c r="D68" s="67" t="s">
        <v>23</v>
      </c>
      <c r="E68" s="67" t="b">
        <v>0</v>
      </c>
      <c r="F68" s="67" t="s">
        <v>35</v>
      </c>
      <c r="H68" s="68">
        <v>46216</v>
      </c>
    </row>
    <row r="69" spans="1:8">
      <c r="A69" s="67">
        <v>1164</v>
      </c>
      <c r="B69" s="67" t="s">
        <v>130</v>
      </c>
      <c r="C69" s="67" t="s">
        <v>131</v>
      </c>
      <c r="D69" s="67" t="s">
        <v>54</v>
      </c>
      <c r="E69" s="67" t="b">
        <v>1</v>
      </c>
      <c r="F69" s="67" t="s">
        <v>25</v>
      </c>
      <c r="H69" s="68">
        <v>46216</v>
      </c>
    </row>
    <row r="70" spans="1:8">
      <c r="A70" s="67">
        <v>1062</v>
      </c>
      <c r="B70" s="67" t="s">
        <v>130</v>
      </c>
      <c r="C70" s="67" t="s">
        <v>83</v>
      </c>
      <c r="D70" s="67" t="s">
        <v>23</v>
      </c>
      <c r="E70" s="67" t="b">
        <v>0</v>
      </c>
      <c r="F70" s="67" t="s">
        <v>27</v>
      </c>
      <c r="G70" s="67">
        <v>9</v>
      </c>
      <c r="H70" s="68">
        <v>46216</v>
      </c>
    </row>
    <row r="71" spans="1:8">
      <c r="A71" s="67">
        <v>938</v>
      </c>
      <c r="B71" s="67" t="s">
        <v>130</v>
      </c>
      <c r="C71" s="67" t="s">
        <v>132</v>
      </c>
      <c r="D71" s="67" t="s">
        <v>23</v>
      </c>
      <c r="E71" s="67" t="b">
        <v>1</v>
      </c>
      <c r="F71" s="67" t="s">
        <v>27</v>
      </c>
      <c r="G71" s="67">
        <v>7</v>
      </c>
      <c r="H71" s="68">
        <v>46216</v>
      </c>
    </row>
    <row r="72" spans="1:8">
      <c r="A72" s="67">
        <v>1427</v>
      </c>
      <c r="B72" s="67" t="s">
        <v>130</v>
      </c>
      <c r="C72" s="67" t="s">
        <v>133</v>
      </c>
      <c r="D72" s="67" t="s">
        <v>23</v>
      </c>
      <c r="E72" s="67" t="b">
        <v>1</v>
      </c>
      <c r="F72" s="67" t="s">
        <v>27</v>
      </c>
      <c r="G72" s="67">
        <v>16</v>
      </c>
      <c r="H72" s="68">
        <v>46216</v>
      </c>
    </row>
    <row r="73" spans="1:8">
      <c r="A73" s="67">
        <v>1034</v>
      </c>
      <c r="B73" s="67" t="s">
        <v>134</v>
      </c>
      <c r="C73" s="67" t="s">
        <v>83</v>
      </c>
      <c r="D73" s="67" t="s">
        <v>23</v>
      </c>
      <c r="E73" s="67" t="b">
        <v>0</v>
      </c>
      <c r="F73" s="67" t="s">
        <v>25</v>
      </c>
      <c r="H73" s="68">
        <v>46216</v>
      </c>
    </row>
    <row r="74" spans="1:8">
      <c r="A74" s="67">
        <v>1402</v>
      </c>
      <c r="B74" s="67" t="s">
        <v>135</v>
      </c>
      <c r="C74" s="67" t="s">
        <v>136</v>
      </c>
      <c r="D74" s="67" t="s">
        <v>23</v>
      </c>
      <c r="E74" s="67" t="b">
        <v>0</v>
      </c>
      <c r="F74" s="67" t="s">
        <v>27</v>
      </c>
      <c r="G74" s="67">
        <v>7</v>
      </c>
      <c r="H74" s="68">
        <v>46216</v>
      </c>
    </row>
    <row r="75" spans="1:8">
      <c r="A75" s="67">
        <v>939</v>
      </c>
      <c r="B75" s="67" t="s">
        <v>137</v>
      </c>
      <c r="C75" s="67" t="s">
        <v>127</v>
      </c>
      <c r="D75" s="67" t="s">
        <v>23</v>
      </c>
      <c r="E75" s="67" t="b">
        <v>1</v>
      </c>
      <c r="F75" s="67" t="s">
        <v>27</v>
      </c>
      <c r="G75" s="67">
        <v>12</v>
      </c>
      <c r="H75" s="68">
        <v>46216</v>
      </c>
    </row>
    <row r="76" spans="1:8">
      <c r="A76" s="67">
        <v>1377</v>
      </c>
      <c r="B76" s="67" t="s">
        <v>138</v>
      </c>
      <c r="C76" s="67" t="s">
        <v>139</v>
      </c>
      <c r="D76" s="67" t="s">
        <v>23</v>
      </c>
      <c r="E76" s="67" t="b">
        <v>1</v>
      </c>
      <c r="F76" s="67" t="s">
        <v>27</v>
      </c>
      <c r="G76" s="67">
        <v>12</v>
      </c>
      <c r="H76" s="68">
        <v>46216</v>
      </c>
    </row>
    <row r="77" spans="1:8">
      <c r="A77" s="67">
        <v>1281</v>
      </c>
      <c r="B77" s="67" t="s">
        <v>140</v>
      </c>
      <c r="C77" s="67" t="s">
        <v>141</v>
      </c>
      <c r="D77" s="67" t="s">
        <v>23</v>
      </c>
      <c r="E77" s="67" t="b">
        <v>0</v>
      </c>
      <c r="F77" s="67" t="s">
        <v>27</v>
      </c>
      <c r="G77" s="67">
        <v>19</v>
      </c>
      <c r="H77" s="68">
        <v>46216</v>
      </c>
    </row>
    <row r="78" spans="1:8">
      <c r="A78" s="67">
        <v>933</v>
      </c>
      <c r="B78" s="67" t="s">
        <v>142</v>
      </c>
      <c r="C78" s="67" t="s">
        <v>143</v>
      </c>
      <c r="D78" s="67" t="s">
        <v>23</v>
      </c>
      <c r="E78" s="67" t="b">
        <v>0</v>
      </c>
      <c r="F78" s="67" t="s">
        <v>25</v>
      </c>
      <c r="H78" s="68">
        <v>46216</v>
      </c>
    </row>
    <row r="79" spans="1:8">
      <c r="A79" s="67">
        <v>1274</v>
      </c>
      <c r="B79" s="67" t="s">
        <v>144</v>
      </c>
      <c r="C79" s="67" t="s">
        <v>145</v>
      </c>
      <c r="D79" s="67" t="s">
        <v>23</v>
      </c>
      <c r="E79" s="67" t="b">
        <v>1</v>
      </c>
      <c r="F79" s="67" t="s">
        <v>25</v>
      </c>
      <c r="H79" s="68">
        <v>46216</v>
      </c>
    </row>
    <row r="80" spans="1:8">
      <c r="A80" s="67">
        <v>493</v>
      </c>
      <c r="B80" s="67" t="s">
        <v>146</v>
      </c>
      <c r="C80" s="67" t="s">
        <v>49</v>
      </c>
      <c r="D80" s="67" t="s">
        <v>48</v>
      </c>
      <c r="E80" s="67" t="b">
        <v>0</v>
      </c>
      <c r="F80" s="67" t="s">
        <v>27</v>
      </c>
      <c r="G80" s="67">
        <v>37</v>
      </c>
      <c r="H80" s="68">
        <v>46216</v>
      </c>
    </row>
    <row r="81" spans="1:8">
      <c r="A81" s="67">
        <v>1279</v>
      </c>
      <c r="B81" s="67" t="s">
        <v>147</v>
      </c>
      <c r="C81" s="67" t="s">
        <v>148</v>
      </c>
      <c r="D81" s="67" t="s">
        <v>23</v>
      </c>
      <c r="E81" s="67" t="b">
        <v>0</v>
      </c>
      <c r="F81" s="67" t="s">
        <v>27</v>
      </c>
      <c r="G81" s="67">
        <v>4</v>
      </c>
      <c r="H81" s="68">
        <v>46216</v>
      </c>
    </row>
    <row r="82" spans="1:8">
      <c r="A82" s="67">
        <v>1193</v>
      </c>
      <c r="B82" s="67" t="s">
        <v>149</v>
      </c>
      <c r="C82" s="67" t="s">
        <v>150</v>
      </c>
      <c r="D82" s="67" t="s">
        <v>23</v>
      </c>
      <c r="E82" s="67" t="b">
        <v>0</v>
      </c>
      <c r="F82" s="67" t="s">
        <v>25</v>
      </c>
      <c r="H82" s="68">
        <v>46216</v>
      </c>
    </row>
    <row r="83" spans="1:8">
      <c r="A83" s="67">
        <v>1194</v>
      </c>
      <c r="B83" s="67" t="s">
        <v>149</v>
      </c>
      <c r="C83" s="67" t="s">
        <v>151</v>
      </c>
      <c r="D83" s="67" t="s">
        <v>23</v>
      </c>
      <c r="E83" s="67" t="b">
        <v>1</v>
      </c>
      <c r="F83" s="67" t="s">
        <v>25</v>
      </c>
      <c r="H83" s="68">
        <v>46216</v>
      </c>
    </row>
    <row r="84" spans="1:8">
      <c r="A84" s="67">
        <v>1196</v>
      </c>
      <c r="B84" s="67" t="s">
        <v>149</v>
      </c>
      <c r="C84" s="67" t="s">
        <v>152</v>
      </c>
      <c r="D84" s="67" t="s">
        <v>23</v>
      </c>
      <c r="E84" s="67" t="b">
        <v>0</v>
      </c>
      <c r="F84" s="67" t="s">
        <v>35</v>
      </c>
      <c r="H84" s="68">
        <v>46216</v>
      </c>
    </row>
    <row r="85" spans="1:8">
      <c r="A85" s="67">
        <v>1195</v>
      </c>
      <c r="B85" s="67" t="s">
        <v>149</v>
      </c>
      <c r="C85" s="67" t="s">
        <v>153</v>
      </c>
      <c r="D85" s="67" t="s">
        <v>23</v>
      </c>
      <c r="E85" s="67" t="b">
        <v>0</v>
      </c>
      <c r="F85" s="67" t="s">
        <v>35</v>
      </c>
      <c r="H85" s="68">
        <v>46216</v>
      </c>
    </row>
    <row r="86" spans="1:8">
      <c r="A86" s="67">
        <v>1176</v>
      </c>
      <c r="B86" s="67" t="s">
        <v>154</v>
      </c>
      <c r="C86" s="67" t="s">
        <v>155</v>
      </c>
      <c r="D86" s="67" t="s">
        <v>23</v>
      </c>
      <c r="E86" s="67" t="b">
        <v>0</v>
      </c>
      <c r="F86" s="67" t="s">
        <v>35</v>
      </c>
      <c r="H86" s="68">
        <v>46216</v>
      </c>
    </row>
    <row r="87" spans="1:8">
      <c r="A87" s="67">
        <v>1174</v>
      </c>
      <c r="B87" s="67" t="s">
        <v>154</v>
      </c>
      <c r="C87" s="67" t="s">
        <v>156</v>
      </c>
      <c r="D87" s="67" t="s">
        <v>23</v>
      </c>
      <c r="E87" s="67" t="b">
        <v>1</v>
      </c>
      <c r="F87" s="67" t="s">
        <v>27</v>
      </c>
      <c r="G87" s="67">
        <v>6</v>
      </c>
      <c r="H87" s="68">
        <v>46216</v>
      </c>
    </row>
    <row r="88" spans="1:8">
      <c r="A88" s="67">
        <v>1175</v>
      </c>
      <c r="B88" s="67" t="s">
        <v>154</v>
      </c>
      <c r="C88" s="67" t="s">
        <v>150</v>
      </c>
      <c r="D88" s="67" t="s">
        <v>23</v>
      </c>
      <c r="E88" s="67" t="b">
        <v>0</v>
      </c>
      <c r="F88" s="67" t="s">
        <v>27</v>
      </c>
      <c r="G88" s="67">
        <v>12</v>
      </c>
      <c r="H88" s="68">
        <v>46216</v>
      </c>
    </row>
    <row r="89" spans="1:8">
      <c r="A89" s="67">
        <v>1109</v>
      </c>
      <c r="B89" s="67" t="s">
        <v>157</v>
      </c>
      <c r="C89" s="67" t="s">
        <v>104</v>
      </c>
      <c r="D89" s="67" t="s">
        <v>23</v>
      </c>
      <c r="E89" s="67" t="b">
        <v>0</v>
      </c>
      <c r="F89" s="67" t="s">
        <v>25</v>
      </c>
      <c r="H89" s="68">
        <v>46216</v>
      </c>
    </row>
    <row r="90" spans="1:8">
      <c r="A90" s="67">
        <v>1073</v>
      </c>
      <c r="B90" s="67" t="s">
        <v>158</v>
      </c>
      <c r="C90" s="67" t="s">
        <v>150</v>
      </c>
      <c r="D90" s="67" t="s">
        <v>23</v>
      </c>
      <c r="E90" s="67" t="b">
        <v>0</v>
      </c>
      <c r="F90" s="67" t="s">
        <v>27</v>
      </c>
      <c r="G90" s="67">
        <v>3</v>
      </c>
      <c r="H90" s="68">
        <v>46216</v>
      </c>
    </row>
    <row r="91" spans="1:8">
      <c r="A91" s="67">
        <v>1400</v>
      </c>
      <c r="B91" s="67" t="s">
        <v>159</v>
      </c>
      <c r="C91" s="67" t="s">
        <v>160</v>
      </c>
      <c r="D91" s="67" t="s">
        <v>23</v>
      </c>
      <c r="E91" s="67" t="b">
        <v>0</v>
      </c>
      <c r="F91" s="67" t="s">
        <v>25</v>
      </c>
      <c r="H91" s="68">
        <v>46216</v>
      </c>
    </row>
    <row r="92" spans="1:8">
      <c r="A92" s="67">
        <v>1367</v>
      </c>
      <c r="B92" s="67" t="s">
        <v>161</v>
      </c>
      <c r="C92" s="67" t="s">
        <v>152</v>
      </c>
      <c r="D92" s="67" t="s">
        <v>23</v>
      </c>
      <c r="E92" s="67" t="b">
        <v>0</v>
      </c>
      <c r="F92" s="67" t="s">
        <v>35</v>
      </c>
      <c r="H92" s="68">
        <v>46216</v>
      </c>
    </row>
    <row r="93" spans="1:8">
      <c r="A93" s="67">
        <v>1366</v>
      </c>
      <c r="B93" s="67" t="s">
        <v>161</v>
      </c>
      <c r="C93" s="67" t="s">
        <v>162</v>
      </c>
      <c r="D93" s="67" t="s">
        <v>23</v>
      </c>
      <c r="E93" s="67" t="b">
        <v>1</v>
      </c>
      <c r="F93" s="67" t="s">
        <v>25</v>
      </c>
      <c r="H93" s="68">
        <v>46216</v>
      </c>
    </row>
    <row r="94" spans="1:8">
      <c r="A94" s="67">
        <v>1365</v>
      </c>
      <c r="B94" s="67" t="s">
        <v>161</v>
      </c>
      <c r="C94" s="67" t="s">
        <v>163</v>
      </c>
      <c r="D94" s="67" t="s">
        <v>23</v>
      </c>
      <c r="E94" s="67" t="b">
        <v>1</v>
      </c>
      <c r="F94" s="67" t="s">
        <v>27</v>
      </c>
      <c r="G94" s="67">
        <v>7</v>
      </c>
      <c r="H94" s="68">
        <v>46216</v>
      </c>
    </row>
    <row r="95" spans="1:8">
      <c r="A95" s="67">
        <v>897</v>
      </c>
      <c r="B95" s="67" t="s">
        <v>161</v>
      </c>
      <c r="C95" s="67" t="s">
        <v>164</v>
      </c>
      <c r="D95" s="67" t="s">
        <v>23</v>
      </c>
      <c r="E95" s="67" t="b">
        <v>0</v>
      </c>
      <c r="F95" s="67" t="s">
        <v>27</v>
      </c>
      <c r="G95" s="67">
        <v>13</v>
      </c>
      <c r="H95" s="68">
        <v>46216</v>
      </c>
    </row>
    <row r="96" spans="1:8">
      <c r="A96" s="67">
        <v>1308</v>
      </c>
      <c r="B96" s="67" t="s">
        <v>165</v>
      </c>
      <c r="C96" s="67" t="s">
        <v>166</v>
      </c>
      <c r="D96" s="67" t="s">
        <v>23</v>
      </c>
      <c r="E96" s="67" t="b">
        <v>1</v>
      </c>
      <c r="F96" s="67" t="s">
        <v>27</v>
      </c>
      <c r="G96" s="67">
        <v>2</v>
      </c>
      <c r="H96" s="68">
        <v>46216</v>
      </c>
    </row>
    <row r="97" spans="1:8">
      <c r="A97" s="67">
        <v>1206</v>
      </c>
      <c r="B97" s="67" t="s">
        <v>167</v>
      </c>
      <c r="C97" s="67" t="s">
        <v>168</v>
      </c>
      <c r="D97" s="67" t="s">
        <v>23</v>
      </c>
      <c r="E97" s="67" t="b">
        <v>1</v>
      </c>
      <c r="F97" s="67" t="s">
        <v>27</v>
      </c>
      <c r="G97" s="67">
        <v>8</v>
      </c>
      <c r="H97" s="68">
        <v>46216</v>
      </c>
    </row>
    <row r="98" spans="1:8">
      <c r="A98" s="67">
        <v>1205</v>
      </c>
      <c r="B98" s="67" t="s">
        <v>167</v>
      </c>
      <c r="C98" s="67" t="s">
        <v>66</v>
      </c>
      <c r="D98" s="67" t="s">
        <v>23</v>
      </c>
      <c r="E98" s="67" t="b">
        <v>0</v>
      </c>
      <c r="F98" s="67" t="s">
        <v>27</v>
      </c>
      <c r="G98" s="67">
        <v>14</v>
      </c>
      <c r="H98" s="68">
        <v>46216</v>
      </c>
    </row>
    <row r="99" spans="1:8">
      <c r="A99" s="67">
        <v>1406</v>
      </c>
      <c r="B99" s="67" t="s">
        <v>169</v>
      </c>
      <c r="C99" s="67" t="s">
        <v>170</v>
      </c>
      <c r="D99" s="67" t="s">
        <v>23</v>
      </c>
      <c r="E99" s="67" t="b">
        <v>0</v>
      </c>
      <c r="F99" s="67" t="s">
        <v>27</v>
      </c>
      <c r="G99" s="67">
        <v>9</v>
      </c>
      <c r="H99" s="68">
        <v>46216</v>
      </c>
    </row>
    <row r="100" spans="1:8">
      <c r="A100" s="67">
        <v>1182</v>
      </c>
      <c r="B100" s="67" t="s">
        <v>171</v>
      </c>
      <c r="C100" s="67" t="s">
        <v>136</v>
      </c>
      <c r="D100" s="67" t="s">
        <v>23</v>
      </c>
      <c r="E100" s="67" t="b">
        <v>0</v>
      </c>
      <c r="F100" s="67" t="s">
        <v>27</v>
      </c>
      <c r="G100" s="67">
        <v>8</v>
      </c>
      <c r="H100" s="68">
        <v>46216</v>
      </c>
    </row>
    <row r="101" spans="1:8">
      <c r="A101" s="67">
        <v>1340</v>
      </c>
      <c r="B101" s="67" t="s">
        <v>172</v>
      </c>
      <c r="C101" s="67" t="s">
        <v>173</v>
      </c>
      <c r="D101" s="67" t="s">
        <v>23</v>
      </c>
      <c r="E101" s="67" t="b">
        <v>0</v>
      </c>
      <c r="F101" s="67" t="s">
        <v>27</v>
      </c>
      <c r="G101" s="67">
        <v>8</v>
      </c>
      <c r="H101" s="68">
        <v>46216</v>
      </c>
    </row>
    <row r="102" spans="1:8">
      <c r="A102" s="67">
        <v>21</v>
      </c>
      <c r="B102" s="67" t="s">
        <v>174</v>
      </c>
      <c r="C102" s="67" t="s">
        <v>175</v>
      </c>
      <c r="D102" s="67" t="s">
        <v>23</v>
      </c>
      <c r="E102" s="67" t="b">
        <v>0</v>
      </c>
      <c r="F102" s="67" t="s">
        <v>25</v>
      </c>
      <c r="H102" s="68">
        <v>46216</v>
      </c>
    </row>
    <row r="103" spans="1:8">
      <c r="A103" s="67">
        <v>1049</v>
      </c>
      <c r="B103" s="67" t="s">
        <v>176</v>
      </c>
      <c r="C103" s="67" t="s">
        <v>177</v>
      </c>
      <c r="D103" s="67" t="s">
        <v>23</v>
      </c>
      <c r="E103" s="67" t="b">
        <v>0</v>
      </c>
      <c r="F103" s="67" t="s">
        <v>27</v>
      </c>
      <c r="G103" s="67">
        <v>19</v>
      </c>
      <c r="H103" s="68">
        <v>46216</v>
      </c>
    </row>
    <row r="104" spans="1:8">
      <c r="A104" s="67">
        <v>120</v>
      </c>
      <c r="B104" s="67" t="s">
        <v>178</v>
      </c>
      <c r="C104" s="67" t="s">
        <v>179</v>
      </c>
      <c r="D104" s="67" t="s">
        <v>23</v>
      </c>
      <c r="E104" s="67" t="b">
        <v>1</v>
      </c>
      <c r="F104" s="67" t="s">
        <v>27</v>
      </c>
      <c r="G104" s="67">
        <v>12</v>
      </c>
      <c r="H104" s="68">
        <v>46216</v>
      </c>
    </row>
    <row r="105" spans="1:8">
      <c r="A105" s="67">
        <v>990</v>
      </c>
      <c r="B105" s="67" t="s">
        <v>180</v>
      </c>
      <c r="C105" s="67" t="s">
        <v>615</v>
      </c>
      <c r="D105" s="67" t="s">
        <v>23</v>
      </c>
      <c r="E105" s="67" t="b">
        <v>1</v>
      </c>
      <c r="F105" s="67" t="s">
        <v>27</v>
      </c>
      <c r="G105" s="67">
        <v>10</v>
      </c>
      <c r="H105" s="68">
        <v>46216</v>
      </c>
    </row>
    <row r="106" spans="1:8">
      <c r="A106" s="67">
        <v>1395</v>
      </c>
      <c r="B106" s="67" t="s">
        <v>181</v>
      </c>
      <c r="C106" s="67" t="s">
        <v>182</v>
      </c>
      <c r="D106" s="67" t="s">
        <v>23</v>
      </c>
      <c r="E106" s="67" t="b">
        <v>1</v>
      </c>
      <c r="F106" s="67" t="s">
        <v>35</v>
      </c>
      <c r="H106" s="68">
        <v>46216</v>
      </c>
    </row>
    <row r="107" spans="1:8">
      <c r="A107" s="67">
        <v>1158</v>
      </c>
      <c r="B107" s="67" t="s">
        <v>183</v>
      </c>
      <c r="C107" s="67" t="s">
        <v>184</v>
      </c>
      <c r="D107" s="67" t="s">
        <v>23</v>
      </c>
      <c r="E107" s="67" t="b">
        <v>1</v>
      </c>
      <c r="F107" s="67" t="s">
        <v>25</v>
      </c>
      <c r="H107" s="68">
        <v>46216</v>
      </c>
    </row>
    <row r="108" spans="1:8">
      <c r="A108" s="67">
        <v>1432</v>
      </c>
      <c r="B108" s="67" t="s">
        <v>699</v>
      </c>
      <c r="C108" s="67" t="s">
        <v>698</v>
      </c>
      <c r="D108" s="67" t="s">
        <v>23</v>
      </c>
      <c r="E108" s="67" t="b">
        <v>0</v>
      </c>
      <c r="F108" s="67" t="s">
        <v>25</v>
      </c>
      <c r="H108" s="68">
        <v>46216</v>
      </c>
    </row>
    <row r="109" spans="1:8">
      <c r="A109" s="67">
        <v>23</v>
      </c>
      <c r="B109" s="67" t="s">
        <v>185</v>
      </c>
      <c r="C109" s="67" t="s">
        <v>100</v>
      </c>
      <c r="D109" s="67" t="s">
        <v>23</v>
      </c>
      <c r="E109" s="67" t="b">
        <v>0</v>
      </c>
      <c r="F109" s="67" t="s">
        <v>27</v>
      </c>
      <c r="G109" s="67">
        <v>10</v>
      </c>
      <c r="H109" s="68">
        <v>46216</v>
      </c>
    </row>
    <row r="110" spans="1:8">
      <c r="A110" s="67">
        <v>1152</v>
      </c>
      <c r="B110" s="67" t="s">
        <v>186</v>
      </c>
      <c r="C110" s="67" t="s">
        <v>187</v>
      </c>
      <c r="D110" s="67" t="s">
        <v>54</v>
      </c>
      <c r="E110" s="67" t="b">
        <v>1</v>
      </c>
      <c r="F110" s="67" t="s">
        <v>188</v>
      </c>
      <c r="H110" s="68">
        <v>46216</v>
      </c>
    </row>
    <row r="111" spans="1:8">
      <c r="A111" s="67">
        <v>581</v>
      </c>
      <c r="B111" s="67" t="s">
        <v>189</v>
      </c>
      <c r="C111" s="67" t="s">
        <v>190</v>
      </c>
      <c r="D111" s="67" t="s">
        <v>23</v>
      </c>
      <c r="E111" s="67" t="b">
        <v>0</v>
      </c>
      <c r="F111" s="67" t="s">
        <v>27</v>
      </c>
      <c r="G111" s="67">
        <v>13</v>
      </c>
      <c r="H111" s="68">
        <v>46216</v>
      </c>
    </row>
    <row r="112" spans="1:8">
      <c r="A112" s="67">
        <v>1374</v>
      </c>
      <c r="B112" s="67" t="s">
        <v>191</v>
      </c>
      <c r="C112" s="67" t="s">
        <v>192</v>
      </c>
      <c r="D112" s="67" t="s">
        <v>23</v>
      </c>
      <c r="E112" s="67" t="b">
        <v>0</v>
      </c>
      <c r="F112" s="67" t="s">
        <v>25</v>
      </c>
      <c r="H112" s="68">
        <v>46216</v>
      </c>
    </row>
    <row r="113" spans="1:8">
      <c r="A113" s="67">
        <v>25</v>
      </c>
      <c r="B113" s="67" t="s">
        <v>22</v>
      </c>
      <c r="C113" s="67" t="s">
        <v>193</v>
      </c>
      <c r="D113" s="67" t="s">
        <v>23</v>
      </c>
      <c r="E113" s="67" t="b">
        <v>0</v>
      </c>
      <c r="F113" s="67" t="s">
        <v>27</v>
      </c>
      <c r="G113" s="67">
        <v>8</v>
      </c>
      <c r="H113" s="68">
        <v>46216</v>
      </c>
    </row>
    <row r="114" spans="1:8">
      <c r="A114" s="67">
        <v>1257</v>
      </c>
      <c r="B114" s="67" t="s">
        <v>194</v>
      </c>
      <c r="C114" s="67" t="s">
        <v>150</v>
      </c>
      <c r="D114" s="67" t="s">
        <v>54</v>
      </c>
      <c r="E114" s="67" t="b">
        <v>0</v>
      </c>
      <c r="F114" s="67" t="s">
        <v>25</v>
      </c>
      <c r="H114" s="68">
        <v>46216</v>
      </c>
    </row>
    <row r="115" spans="1:8">
      <c r="A115" s="67">
        <v>415</v>
      </c>
      <c r="B115" s="67" t="s">
        <v>195</v>
      </c>
      <c r="C115" s="67" t="s">
        <v>196</v>
      </c>
      <c r="D115" s="67" t="s">
        <v>23</v>
      </c>
      <c r="E115" s="67" t="b">
        <v>0</v>
      </c>
      <c r="F115" s="67" t="s">
        <v>27</v>
      </c>
      <c r="G115" s="67">
        <v>6</v>
      </c>
      <c r="H115" s="68">
        <v>46216</v>
      </c>
    </row>
    <row r="116" spans="1:8">
      <c r="A116" s="67">
        <v>1144</v>
      </c>
      <c r="B116" s="67" t="s">
        <v>195</v>
      </c>
      <c r="C116" s="67" t="s">
        <v>197</v>
      </c>
      <c r="D116" s="67" t="s">
        <v>54</v>
      </c>
      <c r="E116" s="67" t="b">
        <v>0</v>
      </c>
      <c r="F116" s="67" t="s">
        <v>188</v>
      </c>
      <c r="H116" s="68">
        <v>46216</v>
      </c>
    </row>
    <row r="117" spans="1:8">
      <c r="A117" s="67">
        <v>1292</v>
      </c>
      <c r="B117" s="67" t="s">
        <v>198</v>
      </c>
      <c r="C117" s="67" t="s">
        <v>199</v>
      </c>
      <c r="D117" s="67" t="s">
        <v>23</v>
      </c>
      <c r="E117" s="67" t="b">
        <v>1</v>
      </c>
      <c r="F117" s="67" t="s">
        <v>25</v>
      </c>
      <c r="H117" s="68">
        <v>46216</v>
      </c>
    </row>
    <row r="118" spans="1:8">
      <c r="A118" s="67">
        <v>203</v>
      </c>
      <c r="B118" s="67" t="s">
        <v>200</v>
      </c>
      <c r="C118" s="67" t="s">
        <v>201</v>
      </c>
      <c r="D118" s="67" t="s">
        <v>23</v>
      </c>
      <c r="E118" s="67" t="b">
        <v>0</v>
      </c>
      <c r="F118" s="67" t="s">
        <v>27</v>
      </c>
      <c r="G118" s="67">
        <v>9</v>
      </c>
      <c r="H118" s="68">
        <v>46216</v>
      </c>
    </row>
    <row r="119" spans="1:8">
      <c r="A119" s="67">
        <v>956</v>
      </c>
      <c r="B119" s="67" t="s">
        <v>202</v>
      </c>
      <c r="C119" s="67" t="s">
        <v>94</v>
      </c>
      <c r="D119" s="67" t="s">
        <v>23</v>
      </c>
      <c r="E119" s="67" t="b">
        <v>0</v>
      </c>
      <c r="F119" s="67" t="s">
        <v>27</v>
      </c>
      <c r="G119" s="67">
        <v>13</v>
      </c>
      <c r="H119" s="68">
        <v>46216</v>
      </c>
    </row>
    <row r="120" spans="1:8">
      <c r="A120" s="67">
        <v>1273</v>
      </c>
      <c r="B120" s="67" t="s">
        <v>203</v>
      </c>
      <c r="C120" s="67" t="s">
        <v>204</v>
      </c>
      <c r="D120" s="67" t="s">
        <v>23</v>
      </c>
      <c r="E120" s="67" t="b">
        <v>1</v>
      </c>
      <c r="F120" s="67" t="s">
        <v>27</v>
      </c>
      <c r="G120" s="67">
        <v>22</v>
      </c>
      <c r="H120" s="68">
        <v>46216</v>
      </c>
    </row>
    <row r="121" spans="1:8">
      <c r="A121" s="67">
        <v>1272</v>
      </c>
      <c r="B121" s="67" t="s">
        <v>203</v>
      </c>
      <c r="C121" s="67" t="s">
        <v>205</v>
      </c>
      <c r="D121" s="67" t="s">
        <v>23</v>
      </c>
      <c r="E121" s="67" t="b">
        <v>0</v>
      </c>
      <c r="F121" s="67" t="s">
        <v>27</v>
      </c>
      <c r="G121" s="67">
        <v>24</v>
      </c>
      <c r="H121" s="68">
        <v>46216</v>
      </c>
    </row>
    <row r="122" spans="1:8">
      <c r="A122" s="67">
        <v>846</v>
      </c>
      <c r="B122" s="67" t="s">
        <v>206</v>
      </c>
      <c r="C122" s="67" t="s">
        <v>207</v>
      </c>
      <c r="D122" s="67" t="s">
        <v>23</v>
      </c>
      <c r="E122" s="67" t="b">
        <v>0</v>
      </c>
      <c r="F122" s="67" t="s">
        <v>27</v>
      </c>
      <c r="G122" s="67">
        <v>17</v>
      </c>
      <c r="H122" s="68">
        <v>46216</v>
      </c>
    </row>
    <row r="123" spans="1:8">
      <c r="A123" s="67">
        <v>1162</v>
      </c>
      <c r="B123" s="67" t="s">
        <v>208</v>
      </c>
      <c r="C123" s="67" t="s">
        <v>150</v>
      </c>
      <c r="D123" s="67" t="s">
        <v>23</v>
      </c>
      <c r="E123" s="67" t="b">
        <v>0</v>
      </c>
      <c r="F123" s="67" t="s">
        <v>25</v>
      </c>
      <c r="H123" s="68">
        <v>46216</v>
      </c>
    </row>
    <row r="124" spans="1:8">
      <c r="A124" s="67">
        <v>1244</v>
      </c>
      <c r="B124" s="67" t="s">
        <v>209</v>
      </c>
      <c r="C124" s="67" t="s">
        <v>94</v>
      </c>
      <c r="D124" s="67" t="s">
        <v>23</v>
      </c>
      <c r="E124" s="67" t="b">
        <v>0</v>
      </c>
      <c r="F124" s="67" t="s">
        <v>27</v>
      </c>
      <c r="G124" s="67">
        <v>2</v>
      </c>
      <c r="H124" s="68">
        <v>46216</v>
      </c>
    </row>
    <row r="125" spans="1:8">
      <c r="A125" s="67">
        <v>1379</v>
      </c>
      <c r="B125" s="67" t="s">
        <v>209</v>
      </c>
      <c r="C125" s="67" t="s">
        <v>210</v>
      </c>
      <c r="D125" s="67" t="s">
        <v>23</v>
      </c>
      <c r="E125" s="67" t="b">
        <v>1</v>
      </c>
      <c r="F125" s="67" t="s">
        <v>25</v>
      </c>
      <c r="H125" s="68">
        <v>46216</v>
      </c>
    </row>
    <row r="126" spans="1:8">
      <c r="A126" s="67">
        <v>1362</v>
      </c>
      <c r="B126" s="67" t="s">
        <v>211</v>
      </c>
      <c r="C126" s="67" t="s">
        <v>212</v>
      </c>
      <c r="D126" s="67" t="s">
        <v>23</v>
      </c>
      <c r="E126" s="67" t="b">
        <v>1</v>
      </c>
      <c r="F126" s="67" t="s">
        <v>27</v>
      </c>
      <c r="G126" s="67">
        <v>22</v>
      </c>
      <c r="H126" s="68">
        <v>46216</v>
      </c>
    </row>
    <row r="127" spans="1:8">
      <c r="A127" s="67">
        <v>1403</v>
      </c>
      <c r="B127" s="67" t="s">
        <v>213</v>
      </c>
      <c r="C127" s="67" t="s">
        <v>214</v>
      </c>
      <c r="D127" s="67" t="s">
        <v>23</v>
      </c>
      <c r="E127" s="67" t="b">
        <v>0</v>
      </c>
      <c r="F127" s="67" t="s">
        <v>27</v>
      </c>
      <c r="G127" s="67">
        <v>8</v>
      </c>
      <c r="H127" s="68">
        <v>46216</v>
      </c>
    </row>
    <row r="128" spans="1:8">
      <c r="A128" s="67">
        <v>1404</v>
      </c>
      <c r="B128" s="67" t="s">
        <v>213</v>
      </c>
      <c r="C128" s="67" t="s">
        <v>215</v>
      </c>
      <c r="D128" s="67" t="s">
        <v>23</v>
      </c>
      <c r="E128" s="67" t="b">
        <v>1</v>
      </c>
      <c r="F128" s="67" t="s">
        <v>25</v>
      </c>
      <c r="H128" s="68">
        <v>46216</v>
      </c>
    </row>
    <row r="129" spans="1:8">
      <c r="A129" s="67">
        <v>1229</v>
      </c>
      <c r="B129" s="67" t="s">
        <v>216</v>
      </c>
      <c r="C129" s="67" t="s">
        <v>217</v>
      </c>
      <c r="D129" s="67" t="s">
        <v>23</v>
      </c>
      <c r="E129" s="67" t="b">
        <v>1</v>
      </c>
      <c r="F129" s="67" t="s">
        <v>25</v>
      </c>
      <c r="H129" s="68">
        <v>46216</v>
      </c>
    </row>
    <row r="130" spans="1:8">
      <c r="A130" s="67">
        <v>1408</v>
      </c>
      <c r="B130" s="67" t="s">
        <v>218</v>
      </c>
      <c r="C130" s="67" t="s">
        <v>219</v>
      </c>
      <c r="D130" s="67" t="s">
        <v>23</v>
      </c>
      <c r="E130" s="67" t="b">
        <v>0</v>
      </c>
      <c r="F130" s="67" t="s">
        <v>27</v>
      </c>
      <c r="G130" s="67">
        <v>20</v>
      </c>
      <c r="H130" s="68">
        <v>46216</v>
      </c>
    </row>
    <row r="131" spans="1:8">
      <c r="A131" s="67">
        <v>1409</v>
      </c>
      <c r="B131" s="67" t="s">
        <v>218</v>
      </c>
      <c r="C131" s="67" t="s">
        <v>220</v>
      </c>
      <c r="D131" s="67" t="s">
        <v>23</v>
      </c>
      <c r="E131" s="67" t="b">
        <v>1</v>
      </c>
      <c r="F131" s="67" t="s">
        <v>27</v>
      </c>
      <c r="G131" s="67">
        <v>15</v>
      </c>
      <c r="H131" s="68">
        <v>46216</v>
      </c>
    </row>
    <row r="132" spans="1:8">
      <c r="A132" s="67">
        <v>1198</v>
      </c>
      <c r="B132" s="67" t="s">
        <v>221</v>
      </c>
      <c r="C132" s="67" t="s">
        <v>222</v>
      </c>
      <c r="D132" s="67" t="s">
        <v>23</v>
      </c>
      <c r="E132" s="67" t="b">
        <v>0</v>
      </c>
      <c r="F132" s="67" t="s">
        <v>27</v>
      </c>
      <c r="G132" s="67">
        <v>5</v>
      </c>
      <c r="H132" s="68">
        <v>46216</v>
      </c>
    </row>
    <row r="133" spans="1:8">
      <c r="A133" s="67">
        <v>1260</v>
      </c>
      <c r="B133" s="67" t="s">
        <v>223</v>
      </c>
      <c r="C133" s="67" t="s">
        <v>82</v>
      </c>
      <c r="D133" s="67" t="s">
        <v>23</v>
      </c>
      <c r="E133" s="67" t="b">
        <v>1</v>
      </c>
      <c r="F133" s="67" t="s">
        <v>27</v>
      </c>
      <c r="G133" s="67">
        <v>15</v>
      </c>
      <c r="H133" s="68">
        <v>46216</v>
      </c>
    </row>
    <row r="134" spans="1:8">
      <c r="A134" s="67">
        <v>1361</v>
      </c>
      <c r="B134" s="67" t="s">
        <v>224</v>
      </c>
      <c r="C134" s="67" t="s">
        <v>225</v>
      </c>
      <c r="D134" s="67" t="s">
        <v>23</v>
      </c>
      <c r="E134" s="67" t="b">
        <v>0</v>
      </c>
      <c r="F134" s="67" t="s">
        <v>27</v>
      </c>
      <c r="G134" s="67">
        <v>16</v>
      </c>
      <c r="H134" s="68">
        <v>46216</v>
      </c>
    </row>
    <row r="135" spans="1:8">
      <c r="A135" s="67">
        <v>1100</v>
      </c>
      <c r="B135" s="67" t="s">
        <v>226</v>
      </c>
      <c r="C135" s="67" t="s">
        <v>34</v>
      </c>
      <c r="D135" s="67" t="s">
        <v>23</v>
      </c>
      <c r="E135" s="67" t="b">
        <v>0</v>
      </c>
      <c r="F135" s="67" t="s">
        <v>27</v>
      </c>
      <c r="G135" s="67">
        <v>13</v>
      </c>
      <c r="H135" s="68">
        <v>46216</v>
      </c>
    </row>
    <row r="136" spans="1:8">
      <c r="A136" s="67">
        <v>1385</v>
      </c>
      <c r="B136" s="67" t="s">
        <v>227</v>
      </c>
      <c r="C136" s="67" t="s">
        <v>228</v>
      </c>
      <c r="D136" s="67" t="s">
        <v>23</v>
      </c>
      <c r="E136" s="67" t="b">
        <v>0</v>
      </c>
      <c r="F136" s="67" t="s">
        <v>25</v>
      </c>
      <c r="H136" s="68">
        <v>46216</v>
      </c>
    </row>
    <row r="137" spans="1:8">
      <c r="A137" s="67">
        <v>1394</v>
      </c>
      <c r="B137" s="67" t="s">
        <v>227</v>
      </c>
      <c r="C137" s="67" t="s">
        <v>229</v>
      </c>
      <c r="D137" s="67" t="s">
        <v>23</v>
      </c>
      <c r="E137" s="67" t="b">
        <v>0</v>
      </c>
      <c r="F137" s="67" t="s">
        <v>35</v>
      </c>
      <c r="H137" s="68">
        <v>46216</v>
      </c>
    </row>
    <row r="138" spans="1:8">
      <c r="A138" s="67">
        <v>1419</v>
      </c>
      <c r="B138" s="67" t="s">
        <v>230</v>
      </c>
      <c r="C138" s="67" t="s">
        <v>231</v>
      </c>
      <c r="D138" s="67" t="s">
        <v>23</v>
      </c>
      <c r="E138" s="67" t="b">
        <v>0</v>
      </c>
      <c r="F138" s="67" t="s">
        <v>25</v>
      </c>
      <c r="H138" s="68">
        <v>46216</v>
      </c>
    </row>
    <row r="139" spans="1:8">
      <c r="A139" s="67">
        <v>967</v>
      </c>
      <c r="B139" s="67" t="s">
        <v>232</v>
      </c>
      <c r="C139" s="67" t="s">
        <v>152</v>
      </c>
      <c r="D139" s="67" t="s">
        <v>23</v>
      </c>
      <c r="E139" s="67" t="b">
        <v>0</v>
      </c>
      <c r="F139" s="67" t="s">
        <v>27</v>
      </c>
      <c r="G139" s="67">
        <v>5</v>
      </c>
      <c r="H139" s="68">
        <v>46216</v>
      </c>
    </row>
    <row r="140" spans="1:8">
      <c r="A140" s="67">
        <v>1373</v>
      </c>
      <c r="B140" s="67" t="s">
        <v>233</v>
      </c>
      <c r="C140" s="67" t="s">
        <v>234</v>
      </c>
      <c r="D140" s="67" t="s">
        <v>23</v>
      </c>
      <c r="E140" s="67" t="b">
        <v>0</v>
      </c>
      <c r="F140" s="67" t="s">
        <v>27</v>
      </c>
      <c r="G140" s="67">
        <v>10</v>
      </c>
      <c r="H140" s="68">
        <v>46216</v>
      </c>
    </row>
    <row r="141" spans="1:8">
      <c r="A141" s="67">
        <v>1045</v>
      </c>
      <c r="B141" s="67" t="s">
        <v>235</v>
      </c>
      <c r="C141" s="67" t="s">
        <v>236</v>
      </c>
      <c r="D141" s="67" t="s">
        <v>23</v>
      </c>
      <c r="E141" s="67" t="b">
        <v>1</v>
      </c>
      <c r="F141" s="67" t="s">
        <v>27</v>
      </c>
      <c r="G141" s="67">
        <v>5</v>
      </c>
      <c r="H141" s="68">
        <v>46216</v>
      </c>
    </row>
    <row r="142" spans="1:8">
      <c r="A142" s="67">
        <v>1046</v>
      </c>
      <c r="B142" s="67" t="s">
        <v>235</v>
      </c>
      <c r="C142" s="67" t="s">
        <v>237</v>
      </c>
      <c r="D142" s="67" t="s">
        <v>23</v>
      </c>
      <c r="E142" s="67" t="b">
        <v>0</v>
      </c>
      <c r="F142" s="67" t="s">
        <v>27</v>
      </c>
      <c r="G142" s="67">
        <v>35</v>
      </c>
      <c r="H142" s="68">
        <v>46216</v>
      </c>
    </row>
    <row r="143" spans="1:8">
      <c r="A143" s="67">
        <v>1396</v>
      </c>
      <c r="B143" s="67" t="s">
        <v>238</v>
      </c>
      <c r="C143" s="67" t="s">
        <v>59</v>
      </c>
      <c r="D143" s="67" t="s">
        <v>23</v>
      </c>
      <c r="E143" s="67" t="b">
        <v>0</v>
      </c>
      <c r="F143" s="67" t="s">
        <v>25</v>
      </c>
      <c r="H143" s="68">
        <v>46216</v>
      </c>
    </row>
    <row r="144" spans="1:8">
      <c r="A144" s="67">
        <v>1397</v>
      </c>
      <c r="B144" s="67" t="s">
        <v>238</v>
      </c>
      <c r="C144" s="67" t="s">
        <v>239</v>
      </c>
      <c r="D144" s="67" t="s">
        <v>23</v>
      </c>
      <c r="E144" s="67" t="b">
        <v>1</v>
      </c>
      <c r="F144" s="67" t="s">
        <v>25</v>
      </c>
      <c r="H144" s="68">
        <v>46216</v>
      </c>
    </row>
    <row r="145" spans="1:8">
      <c r="A145" s="67">
        <v>1398</v>
      </c>
      <c r="B145" s="67" t="s">
        <v>238</v>
      </c>
      <c r="C145" s="67" t="s">
        <v>49</v>
      </c>
      <c r="D145" s="67" t="s">
        <v>23</v>
      </c>
      <c r="E145" s="67" t="b">
        <v>0</v>
      </c>
      <c r="F145" s="67" t="s">
        <v>35</v>
      </c>
      <c r="H145" s="68">
        <v>46216</v>
      </c>
    </row>
    <row r="146" spans="1:8">
      <c r="A146" s="67">
        <v>1399</v>
      </c>
      <c r="B146" s="67" t="s">
        <v>238</v>
      </c>
      <c r="C146" s="67" t="s">
        <v>131</v>
      </c>
      <c r="D146" s="67" t="s">
        <v>23</v>
      </c>
      <c r="E146" s="67" t="b">
        <v>1</v>
      </c>
      <c r="F146" s="67" t="s">
        <v>35</v>
      </c>
      <c r="H146" s="68">
        <v>46216</v>
      </c>
    </row>
    <row r="147" spans="1:8">
      <c r="A147" s="67">
        <v>771</v>
      </c>
      <c r="B147" s="67" t="s">
        <v>240</v>
      </c>
      <c r="C147" s="67" t="s">
        <v>241</v>
      </c>
      <c r="D147" s="67" t="s">
        <v>23</v>
      </c>
      <c r="E147" s="67" t="b">
        <v>0</v>
      </c>
      <c r="F147" s="67" t="s">
        <v>27</v>
      </c>
      <c r="G147" s="67">
        <v>14</v>
      </c>
      <c r="H147" s="68">
        <v>46216</v>
      </c>
    </row>
    <row r="148" spans="1:8">
      <c r="A148" s="67">
        <v>1265</v>
      </c>
      <c r="B148" s="67" t="s">
        <v>242</v>
      </c>
      <c r="C148" s="67" t="s">
        <v>243</v>
      </c>
      <c r="D148" s="67" t="s">
        <v>23</v>
      </c>
      <c r="E148" s="67" t="b">
        <v>0</v>
      </c>
      <c r="F148" s="67" t="s">
        <v>27</v>
      </c>
      <c r="G148" s="67">
        <v>20</v>
      </c>
      <c r="H148" s="68">
        <v>46216</v>
      </c>
    </row>
    <row r="149" spans="1:8">
      <c r="A149" s="67">
        <v>532</v>
      </c>
      <c r="B149" s="67" t="s">
        <v>244</v>
      </c>
      <c r="C149" s="67" t="s">
        <v>243</v>
      </c>
      <c r="D149" s="67" t="s">
        <v>23</v>
      </c>
      <c r="E149" s="67" t="b">
        <v>0</v>
      </c>
      <c r="F149" s="67" t="s">
        <v>27</v>
      </c>
      <c r="G149" s="67">
        <v>13</v>
      </c>
      <c r="H149" s="68">
        <v>46216</v>
      </c>
    </row>
    <row r="150" spans="1:8">
      <c r="A150" s="67">
        <v>1388</v>
      </c>
      <c r="B150" s="67" t="s">
        <v>193</v>
      </c>
      <c r="C150" s="67" t="s">
        <v>245</v>
      </c>
      <c r="D150" s="67" t="s">
        <v>23</v>
      </c>
      <c r="E150" s="67" t="b">
        <v>1</v>
      </c>
      <c r="F150" s="67" t="s">
        <v>25</v>
      </c>
      <c r="H150" s="68">
        <v>46216</v>
      </c>
    </row>
    <row r="151" spans="1:8">
      <c r="A151" s="67">
        <v>742</v>
      </c>
      <c r="B151" s="67" t="s">
        <v>246</v>
      </c>
      <c r="C151" s="67" t="s">
        <v>156</v>
      </c>
      <c r="D151" s="67" t="s">
        <v>23</v>
      </c>
      <c r="E151" s="67" t="b">
        <v>1</v>
      </c>
      <c r="F151" s="67" t="s">
        <v>27</v>
      </c>
      <c r="G151" s="67">
        <v>2</v>
      </c>
      <c r="H151" s="68">
        <v>46216</v>
      </c>
    </row>
    <row r="152" spans="1:8">
      <c r="A152" s="67">
        <v>741</v>
      </c>
      <c r="B152" s="67" t="s">
        <v>246</v>
      </c>
      <c r="C152" s="67" t="s">
        <v>247</v>
      </c>
      <c r="D152" s="67" t="s">
        <v>23</v>
      </c>
      <c r="E152" s="67" t="b">
        <v>0</v>
      </c>
      <c r="F152" s="67" t="s">
        <v>27</v>
      </c>
      <c r="G152" s="67">
        <v>4</v>
      </c>
      <c r="H152" s="68">
        <v>46216</v>
      </c>
    </row>
    <row r="153" spans="1:8">
      <c r="A153" s="67">
        <v>1298</v>
      </c>
      <c r="B153" s="67" t="s">
        <v>246</v>
      </c>
      <c r="C153" s="67" t="s">
        <v>132</v>
      </c>
      <c r="D153" s="67" t="s">
        <v>23</v>
      </c>
      <c r="E153" s="67" t="b">
        <v>1</v>
      </c>
      <c r="F153" s="67" t="s">
        <v>27</v>
      </c>
      <c r="G153" s="67">
        <v>13</v>
      </c>
      <c r="H153" s="68">
        <v>46216</v>
      </c>
    </row>
    <row r="154" spans="1:8">
      <c r="A154" s="67">
        <v>747</v>
      </c>
      <c r="B154" s="67" t="s">
        <v>246</v>
      </c>
      <c r="C154" s="67" t="s">
        <v>22</v>
      </c>
      <c r="D154" s="67" t="s">
        <v>23</v>
      </c>
      <c r="E154" s="67" t="b">
        <v>0</v>
      </c>
      <c r="F154" s="67" t="s">
        <v>27</v>
      </c>
      <c r="G154" s="67">
        <v>1</v>
      </c>
      <c r="H154" s="68">
        <v>46216</v>
      </c>
    </row>
    <row r="155" spans="1:8">
      <c r="A155" s="67">
        <v>1386</v>
      </c>
      <c r="B155" s="67" t="s">
        <v>246</v>
      </c>
      <c r="C155" s="67" t="s">
        <v>248</v>
      </c>
      <c r="D155" s="67" t="s">
        <v>23</v>
      </c>
      <c r="E155" s="67" t="b">
        <v>1</v>
      </c>
      <c r="F155" s="67" t="s">
        <v>35</v>
      </c>
      <c r="H155" s="68">
        <v>46216</v>
      </c>
    </row>
    <row r="156" spans="1:8">
      <c r="A156" s="67">
        <v>1221</v>
      </c>
      <c r="B156" s="67" t="s">
        <v>249</v>
      </c>
      <c r="C156" s="67" t="s">
        <v>234</v>
      </c>
      <c r="D156" s="67" t="s">
        <v>23</v>
      </c>
      <c r="E156" s="67" t="b">
        <v>0</v>
      </c>
      <c r="F156" s="67" t="s">
        <v>25</v>
      </c>
      <c r="H156" s="68">
        <v>46216</v>
      </c>
    </row>
    <row r="157" spans="1:8">
      <c r="A157" s="67">
        <v>564</v>
      </c>
      <c r="B157" s="67" t="s">
        <v>250</v>
      </c>
      <c r="C157" s="67" t="s">
        <v>34</v>
      </c>
      <c r="D157" s="67" t="s">
        <v>23</v>
      </c>
      <c r="E157" s="67" t="b">
        <v>0</v>
      </c>
      <c r="F157" s="67" t="s">
        <v>27</v>
      </c>
      <c r="G157" s="67">
        <v>7</v>
      </c>
      <c r="H157" s="68">
        <v>46216</v>
      </c>
    </row>
    <row r="158" spans="1:8">
      <c r="A158" s="67">
        <v>1165</v>
      </c>
      <c r="B158" s="67" t="s">
        <v>251</v>
      </c>
      <c r="C158" s="67" t="s">
        <v>177</v>
      </c>
      <c r="D158" s="67" t="s">
        <v>23</v>
      </c>
      <c r="E158" s="67" t="b">
        <v>0</v>
      </c>
      <c r="F158" s="67" t="s">
        <v>27</v>
      </c>
      <c r="G158" s="67">
        <v>10</v>
      </c>
      <c r="H158" s="68">
        <v>46216</v>
      </c>
    </row>
    <row r="159" spans="1:8">
      <c r="A159" s="67">
        <v>405</v>
      </c>
      <c r="B159" s="67" t="s">
        <v>252</v>
      </c>
      <c r="C159" s="67" t="s">
        <v>243</v>
      </c>
      <c r="D159" s="67" t="s">
        <v>23</v>
      </c>
      <c r="E159" s="67" t="b">
        <v>0</v>
      </c>
      <c r="F159" s="67" t="s">
        <v>27</v>
      </c>
      <c r="G159" s="67">
        <v>18</v>
      </c>
      <c r="H159" s="68">
        <v>46216</v>
      </c>
    </row>
    <row r="160" spans="1:8">
      <c r="A160" s="67">
        <v>1346</v>
      </c>
      <c r="B160" s="67" t="s">
        <v>253</v>
      </c>
      <c r="C160" s="67" t="s">
        <v>254</v>
      </c>
      <c r="D160" s="67" t="s">
        <v>23</v>
      </c>
      <c r="E160" s="67" t="b">
        <v>0</v>
      </c>
      <c r="F160" s="67" t="s">
        <v>27</v>
      </c>
      <c r="G160" s="67">
        <v>20</v>
      </c>
      <c r="H160" s="68">
        <v>46216</v>
      </c>
    </row>
    <row r="161" spans="1:8">
      <c r="A161" s="67">
        <v>1192</v>
      </c>
      <c r="B161" s="67" t="s">
        <v>255</v>
      </c>
      <c r="C161" s="67" t="s">
        <v>256</v>
      </c>
      <c r="D161" s="67" t="s">
        <v>23</v>
      </c>
      <c r="E161" s="67" t="b">
        <v>0</v>
      </c>
      <c r="F161" s="67" t="s">
        <v>27</v>
      </c>
      <c r="G161" s="67">
        <v>10</v>
      </c>
      <c r="H161" s="68">
        <v>46216</v>
      </c>
    </row>
    <row r="162" spans="1:8">
      <c r="A162" s="67">
        <v>1157</v>
      </c>
      <c r="B162" s="67" t="s">
        <v>257</v>
      </c>
      <c r="C162" s="67" t="s">
        <v>100</v>
      </c>
      <c r="D162" s="67" t="s">
        <v>23</v>
      </c>
      <c r="E162" s="67" t="b">
        <v>0</v>
      </c>
      <c r="F162" s="67" t="s">
        <v>25</v>
      </c>
      <c r="H162" s="68">
        <v>46216</v>
      </c>
    </row>
    <row r="163" spans="1:8">
      <c r="A163" s="67">
        <v>1359</v>
      </c>
      <c r="B163" s="67" t="s">
        <v>258</v>
      </c>
      <c r="C163" s="67" t="s">
        <v>49</v>
      </c>
      <c r="D163" s="67" t="s">
        <v>23</v>
      </c>
      <c r="E163" s="67" t="b">
        <v>0</v>
      </c>
      <c r="F163" s="67" t="s">
        <v>188</v>
      </c>
      <c r="H163" s="68">
        <v>46216</v>
      </c>
    </row>
    <row r="164" spans="1:8">
      <c r="A164" s="67">
        <v>1360</v>
      </c>
      <c r="B164" s="67" t="s">
        <v>258</v>
      </c>
      <c r="C164" s="67" t="s">
        <v>259</v>
      </c>
      <c r="D164" s="67" t="s">
        <v>23</v>
      </c>
      <c r="E164" s="67" t="b">
        <v>1</v>
      </c>
      <c r="F164" s="67" t="s">
        <v>35</v>
      </c>
      <c r="H164" s="68">
        <v>46216</v>
      </c>
    </row>
    <row r="165" spans="1:8">
      <c r="A165" s="67">
        <v>1357</v>
      </c>
      <c r="B165" s="67" t="s">
        <v>258</v>
      </c>
      <c r="C165" s="67" t="s">
        <v>34</v>
      </c>
      <c r="D165" s="67" t="s">
        <v>23</v>
      </c>
      <c r="E165" s="67" t="b">
        <v>0</v>
      </c>
      <c r="F165" s="67" t="s">
        <v>27</v>
      </c>
      <c r="G165" s="67">
        <v>5</v>
      </c>
      <c r="H165" s="68">
        <v>46216</v>
      </c>
    </row>
    <row r="166" spans="1:8">
      <c r="A166" s="67">
        <v>1358</v>
      </c>
      <c r="B166" s="67" t="s">
        <v>258</v>
      </c>
      <c r="C166" s="67" t="s">
        <v>260</v>
      </c>
      <c r="D166" s="67" t="s">
        <v>23</v>
      </c>
      <c r="E166" s="67" t="b">
        <v>1</v>
      </c>
      <c r="F166" s="67" t="s">
        <v>27</v>
      </c>
      <c r="G166" s="67">
        <v>7</v>
      </c>
      <c r="H166" s="68">
        <v>46216</v>
      </c>
    </row>
    <row r="167" spans="1:8">
      <c r="A167" s="67">
        <v>1390</v>
      </c>
      <c r="B167" s="67" t="s">
        <v>261</v>
      </c>
      <c r="C167" s="67" t="s">
        <v>262</v>
      </c>
      <c r="D167" s="67" t="s">
        <v>23</v>
      </c>
      <c r="E167" s="67" t="b">
        <v>0</v>
      </c>
      <c r="F167" s="67" t="s">
        <v>25</v>
      </c>
      <c r="H167" s="68">
        <v>46216</v>
      </c>
    </row>
    <row r="168" spans="1:8">
      <c r="A168" s="67">
        <v>1107</v>
      </c>
      <c r="B168" s="67" t="s">
        <v>263</v>
      </c>
      <c r="C168" s="67" t="s">
        <v>264</v>
      </c>
      <c r="D168" s="67" t="s">
        <v>23</v>
      </c>
      <c r="E168" s="67" t="b">
        <v>1</v>
      </c>
      <c r="F168" s="67" t="s">
        <v>25</v>
      </c>
      <c r="H168" s="68">
        <v>46216</v>
      </c>
    </row>
    <row r="169" spans="1:8">
      <c r="A169" s="67">
        <v>35</v>
      </c>
      <c r="B169" s="67" t="s">
        <v>265</v>
      </c>
      <c r="C169" s="67" t="s">
        <v>266</v>
      </c>
      <c r="D169" s="67" t="s">
        <v>23</v>
      </c>
      <c r="E169" s="67" t="b">
        <v>0</v>
      </c>
      <c r="F169" s="67" t="s">
        <v>27</v>
      </c>
      <c r="G169" s="67">
        <v>3</v>
      </c>
      <c r="H169" s="68">
        <v>46216</v>
      </c>
    </row>
    <row r="170" spans="1:8">
      <c r="A170" s="67">
        <v>1094</v>
      </c>
      <c r="B170" s="67" t="s">
        <v>267</v>
      </c>
      <c r="C170" s="67" t="s">
        <v>268</v>
      </c>
      <c r="D170" s="67" t="s">
        <v>23</v>
      </c>
      <c r="E170" s="67" t="b">
        <v>0</v>
      </c>
      <c r="F170" s="67" t="s">
        <v>27</v>
      </c>
      <c r="G170" s="67">
        <v>12</v>
      </c>
      <c r="H170" s="68">
        <v>46216</v>
      </c>
    </row>
    <row r="171" spans="1:8">
      <c r="A171" s="67">
        <v>1325</v>
      </c>
      <c r="B171" s="67" t="s">
        <v>269</v>
      </c>
      <c r="C171" s="67" t="s">
        <v>270</v>
      </c>
      <c r="D171" s="67" t="s">
        <v>23</v>
      </c>
      <c r="E171" s="67" t="b">
        <v>0</v>
      </c>
      <c r="F171" s="67" t="s">
        <v>27</v>
      </c>
      <c r="G171" s="67">
        <v>3</v>
      </c>
      <c r="H171" s="68">
        <v>46216</v>
      </c>
    </row>
    <row r="172" spans="1:8">
      <c r="A172" s="67">
        <v>1143</v>
      </c>
      <c r="B172" s="67" t="s">
        <v>271</v>
      </c>
      <c r="C172" s="67" t="s">
        <v>247</v>
      </c>
      <c r="D172" s="67" t="s">
        <v>23</v>
      </c>
      <c r="E172" s="67" t="b">
        <v>0</v>
      </c>
      <c r="F172" s="67" t="s">
        <v>27</v>
      </c>
      <c r="G172" s="67">
        <v>3</v>
      </c>
      <c r="H172" s="68">
        <v>46216</v>
      </c>
    </row>
    <row r="173" spans="1:8">
      <c r="A173" s="67">
        <v>1401</v>
      </c>
      <c r="B173" s="67" t="s">
        <v>272</v>
      </c>
      <c r="C173" s="67" t="s">
        <v>273</v>
      </c>
      <c r="D173" s="67" t="s">
        <v>23</v>
      </c>
      <c r="E173" s="67" t="b">
        <v>1</v>
      </c>
      <c r="F173" s="67" t="s">
        <v>25</v>
      </c>
      <c r="H173" s="68">
        <v>46216</v>
      </c>
    </row>
    <row r="174" spans="1:8">
      <c r="A174" s="67">
        <v>1285</v>
      </c>
      <c r="B174" s="67" t="s">
        <v>274</v>
      </c>
      <c r="C174" s="67" t="s">
        <v>100</v>
      </c>
      <c r="D174" s="67" t="s">
        <v>23</v>
      </c>
      <c r="E174" s="67" t="b">
        <v>0</v>
      </c>
      <c r="F174" s="67" t="s">
        <v>25</v>
      </c>
      <c r="H174" s="68">
        <v>46216</v>
      </c>
    </row>
    <row r="175" spans="1:8">
      <c r="A175" s="67">
        <v>38</v>
      </c>
      <c r="B175" s="67" t="s">
        <v>275</v>
      </c>
      <c r="C175" s="67" t="s">
        <v>276</v>
      </c>
      <c r="D175" s="67" t="s">
        <v>23</v>
      </c>
      <c r="E175" s="67" t="b">
        <v>0</v>
      </c>
      <c r="F175" s="67" t="s">
        <v>27</v>
      </c>
      <c r="G175" s="67">
        <v>13</v>
      </c>
      <c r="H175" s="68">
        <v>46216</v>
      </c>
    </row>
    <row r="176" spans="1:8">
      <c r="A176" s="67">
        <v>245</v>
      </c>
      <c r="B176" s="67" t="s">
        <v>277</v>
      </c>
      <c r="C176" s="67" t="s">
        <v>234</v>
      </c>
      <c r="D176" s="67" t="s">
        <v>23</v>
      </c>
      <c r="E176" s="67" t="b">
        <v>0</v>
      </c>
      <c r="F176" s="67" t="s">
        <v>27</v>
      </c>
      <c r="G176" s="67">
        <v>10</v>
      </c>
      <c r="H176" s="68">
        <v>46216</v>
      </c>
    </row>
    <row r="177" spans="1:8">
      <c r="A177" s="67">
        <v>39</v>
      </c>
      <c r="B177" s="67" t="s">
        <v>277</v>
      </c>
      <c r="C177" s="67" t="s">
        <v>278</v>
      </c>
      <c r="D177" s="67" t="s">
        <v>23</v>
      </c>
      <c r="E177" s="67" t="b">
        <v>0</v>
      </c>
      <c r="F177" s="67" t="s">
        <v>27</v>
      </c>
      <c r="G177" s="67">
        <v>43</v>
      </c>
      <c r="H177" s="68">
        <v>46216</v>
      </c>
    </row>
    <row r="178" spans="1:8">
      <c r="A178" s="67">
        <v>508</v>
      </c>
      <c r="B178" s="67" t="s">
        <v>279</v>
      </c>
      <c r="C178" s="67" t="s">
        <v>59</v>
      </c>
      <c r="D178" s="67" t="s">
        <v>23</v>
      </c>
      <c r="E178" s="67" t="b">
        <v>0</v>
      </c>
      <c r="F178" s="67" t="s">
        <v>27</v>
      </c>
      <c r="G178" s="67">
        <v>31</v>
      </c>
      <c r="H178" s="68">
        <v>46216</v>
      </c>
    </row>
    <row r="179" spans="1:8">
      <c r="A179" s="67">
        <v>1025</v>
      </c>
      <c r="B179" s="67" t="s">
        <v>280</v>
      </c>
      <c r="C179" s="67" t="s">
        <v>281</v>
      </c>
      <c r="D179" s="67" t="s">
        <v>23</v>
      </c>
      <c r="E179" s="67" t="b">
        <v>0</v>
      </c>
      <c r="F179" s="67" t="s">
        <v>35</v>
      </c>
      <c r="H179" s="68">
        <v>46216</v>
      </c>
    </row>
    <row r="180" spans="1:8">
      <c r="A180" s="67">
        <v>1024</v>
      </c>
      <c r="B180" s="67" t="s">
        <v>280</v>
      </c>
      <c r="C180" s="67" t="s">
        <v>282</v>
      </c>
      <c r="D180" s="67" t="s">
        <v>23</v>
      </c>
      <c r="E180" s="67" t="b">
        <v>0</v>
      </c>
      <c r="F180" s="67" t="s">
        <v>188</v>
      </c>
      <c r="H180" s="68">
        <v>46216</v>
      </c>
    </row>
    <row r="181" spans="1:8">
      <c r="A181" s="67">
        <v>1023</v>
      </c>
      <c r="B181" s="67" t="s">
        <v>280</v>
      </c>
      <c r="C181" s="67" t="s">
        <v>39</v>
      </c>
      <c r="D181" s="67" t="s">
        <v>23</v>
      </c>
      <c r="E181" s="67" t="b">
        <v>0</v>
      </c>
      <c r="F181" s="67" t="s">
        <v>25</v>
      </c>
      <c r="H181" s="68">
        <v>46216</v>
      </c>
    </row>
    <row r="182" spans="1:8">
      <c r="A182" s="67">
        <v>1232</v>
      </c>
      <c r="B182" s="67" t="s">
        <v>280</v>
      </c>
      <c r="C182" s="67" t="s">
        <v>283</v>
      </c>
      <c r="D182" s="67" t="s">
        <v>23</v>
      </c>
      <c r="E182" s="67" t="b">
        <v>1</v>
      </c>
      <c r="F182" s="67" t="s">
        <v>27</v>
      </c>
      <c r="G182" s="67">
        <v>4</v>
      </c>
      <c r="H182" s="68">
        <v>46216</v>
      </c>
    </row>
    <row r="183" spans="1:8">
      <c r="A183" s="67">
        <v>1392</v>
      </c>
      <c r="B183" s="67" t="s">
        <v>284</v>
      </c>
      <c r="C183" s="67" t="s">
        <v>285</v>
      </c>
      <c r="D183" s="67" t="s">
        <v>23</v>
      </c>
      <c r="E183" s="67" t="b">
        <v>1</v>
      </c>
      <c r="F183" s="67" t="s">
        <v>25</v>
      </c>
      <c r="H183" s="68">
        <v>46216</v>
      </c>
    </row>
    <row r="184" spans="1:8">
      <c r="A184" s="67">
        <v>1141</v>
      </c>
      <c r="B184" s="67" t="s">
        <v>286</v>
      </c>
      <c r="C184" s="67" t="s">
        <v>287</v>
      </c>
      <c r="D184" s="67" t="s">
        <v>23</v>
      </c>
      <c r="E184" s="67" t="b">
        <v>1</v>
      </c>
      <c r="F184" s="67" t="s">
        <v>27</v>
      </c>
      <c r="G184" s="67">
        <v>15</v>
      </c>
      <c r="H184" s="68">
        <v>46216</v>
      </c>
    </row>
    <row r="185" spans="1:8">
      <c r="A185" s="67">
        <v>891</v>
      </c>
      <c r="B185" s="67" t="s">
        <v>288</v>
      </c>
      <c r="C185" s="67" t="s">
        <v>289</v>
      </c>
      <c r="D185" s="67" t="s">
        <v>23</v>
      </c>
      <c r="E185" s="67" t="b">
        <v>1</v>
      </c>
      <c r="F185" s="67" t="s">
        <v>25</v>
      </c>
      <c r="H185" s="68">
        <v>46216</v>
      </c>
    </row>
    <row r="186" spans="1:8">
      <c r="A186" s="67">
        <v>1352</v>
      </c>
      <c r="B186" s="67" t="s">
        <v>290</v>
      </c>
      <c r="C186" s="67" t="s">
        <v>34</v>
      </c>
      <c r="D186" s="67" t="s">
        <v>23</v>
      </c>
      <c r="E186" s="67" t="b">
        <v>0</v>
      </c>
      <c r="F186" s="67" t="s">
        <v>27</v>
      </c>
      <c r="G186" s="67">
        <v>11</v>
      </c>
      <c r="H186" s="68">
        <v>46216</v>
      </c>
    </row>
    <row r="187" spans="1:8">
      <c r="A187" s="67">
        <v>1339</v>
      </c>
      <c r="B187" s="67" t="s">
        <v>291</v>
      </c>
      <c r="C187" s="67" t="s">
        <v>292</v>
      </c>
      <c r="D187" s="67" t="s">
        <v>23</v>
      </c>
      <c r="E187" s="67" t="b">
        <v>0</v>
      </c>
      <c r="F187" s="67" t="s">
        <v>25</v>
      </c>
      <c r="H187" s="68">
        <v>46216</v>
      </c>
    </row>
    <row r="188" spans="1:8">
      <c r="A188" s="67">
        <v>914</v>
      </c>
      <c r="B188" s="67" t="s">
        <v>293</v>
      </c>
      <c r="C188" s="67" t="s">
        <v>153</v>
      </c>
      <c r="D188" s="67" t="s">
        <v>23</v>
      </c>
      <c r="E188" s="67" t="b">
        <v>0</v>
      </c>
      <c r="F188" s="67" t="s">
        <v>27</v>
      </c>
      <c r="G188" s="67">
        <v>14</v>
      </c>
      <c r="H188" s="68">
        <v>46216</v>
      </c>
    </row>
    <row r="189" spans="1:8">
      <c r="A189" s="67">
        <v>597</v>
      </c>
      <c r="B189" s="67" t="s">
        <v>294</v>
      </c>
      <c r="C189" s="67" t="s">
        <v>295</v>
      </c>
      <c r="D189" s="67" t="s">
        <v>23</v>
      </c>
      <c r="E189" s="67" t="b">
        <v>0</v>
      </c>
      <c r="F189" s="67" t="s">
        <v>27</v>
      </c>
      <c r="G189" s="67">
        <v>36</v>
      </c>
      <c r="H189" s="68">
        <v>46216</v>
      </c>
    </row>
    <row r="190" spans="1:8">
      <c r="A190" s="67">
        <v>1038</v>
      </c>
      <c r="B190" s="67" t="s">
        <v>293</v>
      </c>
      <c r="C190" s="67" t="s">
        <v>51</v>
      </c>
      <c r="D190" s="67" t="s">
        <v>23</v>
      </c>
      <c r="E190" s="67" t="b">
        <v>0</v>
      </c>
      <c r="F190" s="67" t="s">
        <v>27</v>
      </c>
      <c r="G190" s="67">
        <v>12</v>
      </c>
      <c r="H190" s="68">
        <v>46216</v>
      </c>
    </row>
    <row r="191" spans="1:8">
      <c r="A191" s="67">
        <v>1347</v>
      </c>
      <c r="B191" s="67" t="s">
        <v>296</v>
      </c>
      <c r="C191" s="67" t="s">
        <v>104</v>
      </c>
      <c r="D191" s="67" t="s">
        <v>23</v>
      </c>
      <c r="E191" s="67" t="b">
        <v>0</v>
      </c>
      <c r="F191" s="67" t="s">
        <v>25</v>
      </c>
      <c r="H191" s="68">
        <v>46216</v>
      </c>
    </row>
    <row r="192" spans="1:8">
      <c r="A192" s="67">
        <v>1242</v>
      </c>
      <c r="B192" s="67" t="s">
        <v>297</v>
      </c>
      <c r="C192" s="67" t="s">
        <v>190</v>
      </c>
      <c r="D192" s="67" t="s">
        <v>23</v>
      </c>
      <c r="E192" s="67" t="b">
        <v>0</v>
      </c>
      <c r="F192" s="67" t="s">
        <v>27</v>
      </c>
      <c r="G192" s="67">
        <v>15</v>
      </c>
      <c r="H192" s="68">
        <v>46216</v>
      </c>
    </row>
    <row r="193" spans="1:8">
      <c r="A193" s="67">
        <v>1048</v>
      </c>
      <c r="B193" s="67" t="s">
        <v>298</v>
      </c>
      <c r="C193" s="67" t="s">
        <v>268</v>
      </c>
      <c r="D193" s="67" t="s">
        <v>23</v>
      </c>
      <c r="E193" s="67" t="b">
        <v>0</v>
      </c>
      <c r="F193" s="67" t="s">
        <v>27</v>
      </c>
      <c r="G193" s="67">
        <v>16</v>
      </c>
      <c r="H193" s="68">
        <v>46216</v>
      </c>
    </row>
    <row r="194" spans="1:8">
      <c r="A194" s="67">
        <v>1055</v>
      </c>
      <c r="B194" s="67" t="s">
        <v>298</v>
      </c>
      <c r="C194" s="67" t="s">
        <v>299</v>
      </c>
      <c r="D194" s="67" t="s">
        <v>23</v>
      </c>
      <c r="E194" s="67" t="b">
        <v>0</v>
      </c>
      <c r="F194" s="67" t="s">
        <v>27</v>
      </c>
      <c r="G194" s="67">
        <v>1</v>
      </c>
      <c r="H194" s="68">
        <v>46216</v>
      </c>
    </row>
    <row r="195" spans="1:8">
      <c r="A195" s="67">
        <v>1095</v>
      </c>
      <c r="B195" s="67" t="s">
        <v>298</v>
      </c>
      <c r="C195" s="67" t="s">
        <v>300</v>
      </c>
      <c r="D195" s="67" t="s">
        <v>23</v>
      </c>
      <c r="E195" s="67" t="b">
        <v>0</v>
      </c>
      <c r="F195" s="67" t="s">
        <v>27</v>
      </c>
      <c r="G195" s="67">
        <v>33</v>
      </c>
      <c r="H195" s="68">
        <v>46216</v>
      </c>
    </row>
    <row r="196" spans="1:8">
      <c r="A196" s="67">
        <v>820</v>
      </c>
      <c r="B196" s="67" t="s">
        <v>298</v>
      </c>
      <c r="C196" s="67" t="s">
        <v>139</v>
      </c>
      <c r="D196" s="67" t="s">
        <v>23</v>
      </c>
      <c r="E196" s="67" t="b">
        <v>1</v>
      </c>
      <c r="F196" s="67" t="s">
        <v>27</v>
      </c>
      <c r="G196" s="67">
        <v>6</v>
      </c>
      <c r="H196" s="68">
        <v>46216</v>
      </c>
    </row>
    <row r="197" spans="1:8">
      <c r="A197" s="67">
        <v>687</v>
      </c>
      <c r="B197" s="67" t="s">
        <v>298</v>
      </c>
      <c r="C197" s="67" t="s">
        <v>301</v>
      </c>
      <c r="D197" s="67" t="s">
        <v>23</v>
      </c>
      <c r="E197" s="67" t="b">
        <v>0</v>
      </c>
      <c r="F197" s="67" t="s">
        <v>27</v>
      </c>
      <c r="G197" s="67">
        <v>7</v>
      </c>
      <c r="H197" s="68">
        <v>46216</v>
      </c>
    </row>
    <row r="198" spans="1:8">
      <c r="A198" s="67">
        <v>1420</v>
      </c>
      <c r="B198" s="67" t="s">
        <v>302</v>
      </c>
      <c r="C198" s="67" t="s">
        <v>212</v>
      </c>
      <c r="D198" s="67" t="s">
        <v>23</v>
      </c>
      <c r="E198" s="67" t="b">
        <v>1</v>
      </c>
      <c r="F198" s="67" t="s">
        <v>27</v>
      </c>
      <c r="G198" s="67">
        <v>15</v>
      </c>
      <c r="H198" s="68">
        <v>46216</v>
      </c>
    </row>
    <row r="199" spans="1:8">
      <c r="A199" s="67">
        <v>1410</v>
      </c>
      <c r="B199" s="67" t="s">
        <v>104</v>
      </c>
      <c r="C199" s="67" t="s">
        <v>303</v>
      </c>
      <c r="D199" s="67" t="s">
        <v>23</v>
      </c>
      <c r="E199" s="67" t="b">
        <v>0</v>
      </c>
      <c r="F199" s="67" t="s">
        <v>25</v>
      </c>
      <c r="H199" s="68">
        <v>46216</v>
      </c>
    </row>
    <row r="200" spans="1:8">
      <c r="A200" s="67">
        <v>1161</v>
      </c>
      <c r="B200" s="67" t="s">
        <v>304</v>
      </c>
      <c r="C200" s="67" t="s">
        <v>305</v>
      </c>
      <c r="D200" s="67" t="s">
        <v>23</v>
      </c>
      <c r="E200" s="67" t="b">
        <v>0</v>
      </c>
      <c r="F200" s="67" t="s">
        <v>25</v>
      </c>
      <c r="H200" s="68">
        <v>46216</v>
      </c>
    </row>
    <row r="201" spans="1:8">
      <c r="A201" s="67">
        <v>890</v>
      </c>
      <c r="B201" s="67" t="s">
        <v>306</v>
      </c>
      <c r="C201" s="67" t="s">
        <v>307</v>
      </c>
      <c r="D201" s="67" t="s">
        <v>54</v>
      </c>
      <c r="E201" s="67" t="b">
        <v>0</v>
      </c>
      <c r="F201" s="67" t="s">
        <v>27</v>
      </c>
      <c r="G201" s="67">
        <v>23</v>
      </c>
      <c r="H201" s="68">
        <v>46216</v>
      </c>
    </row>
    <row r="202" spans="1:8">
      <c r="A202" s="67">
        <v>1166</v>
      </c>
      <c r="B202" s="67" t="s">
        <v>308</v>
      </c>
      <c r="C202" s="67" t="s">
        <v>143</v>
      </c>
      <c r="D202" s="67" t="s">
        <v>54</v>
      </c>
      <c r="E202" s="67" t="b">
        <v>0</v>
      </c>
      <c r="F202" s="67" t="s">
        <v>27</v>
      </c>
      <c r="G202" s="67">
        <v>5</v>
      </c>
      <c r="H202" s="68">
        <v>46216</v>
      </c>
    </row>
    <row r="203" spans="1:8">
      <c r="A203" s="67">
        <v>45</v>
      </c>
      <c r="B203" s="67" t="s">
        <v>309</v>
      </c>
      <c r="C203" s="67" t="s">
        <v>310</v>
      </c>
      <c r="D203" s="67" t="s">
        <v>23</v>
      </c>
      <c r="E203" s="67" t="b">
        <v>0</v>
      </c>
      <c r="F203" s="67" t="s">
        <v>27</v>
      </c>
      <c r="G203" s="67">
        <v>20</v>
      </c>
      <c r="H203" s="68">
        <v>46216</v>
      </c>
    </row>
    <row r="204" spans="1:8">
      <c r="A204" s="67">
        <v>1160</v>
      </c>
      <c r="B204" s="67" t="s">
        <v>311</v>
      </c>
      <c r="C204" s="67" t="s">
        <v>312</v>
      </c>
      <c r="D204" s="67" t="s">
        <v>23</v>
      </c>
      <c r="E204" s="67" t="b">
        <v>0</v>
      </c>
      <c r="F204" s="67" t="s">
        <v>25</v>
      </c>
      <c r="H204" s="68">
        <v>46216</v>
      </c>
    </row>
    <row r="205" spans="1:8">
      <c r="A205" s="67">
        <v>945</v>
      </c>
      <c r="B205" s="67" t="s">
        <v>313</v>
      </c>
      <c r="C205" s="67" t="s">
        <v>49</v>
      </c>
      <c r="D205" s="67" t="s">
        <v>23</v>
      </c>
      <c r="E205" s="67" t="b">
        <v>0</v>
      </c>
      <c r="F205" s="67" t="s">
        <v>25</v>
      </c>
      <c r="H205" s="68">
        <v>46216</v>
      </c>
    </row>
    <row r="206" spans="1:8">
      <c r="A206" s="67">
        <v>813</v>
      </c>
      <c r="B206" s="67" t="s">
        <v>313</v>
      </c>
      <c r="C206" s="67" t="s">
        <v>289</v>
      </c>
      <c r="D206" s="67" t="s">
        <v>23</v>
      </c>
      <c r="E206" s="67" t="b">
        <v>1</v>
      </c>
      <c r="F206" s="67" t="s">
        <v>27</v>
      </c>
      <c r="G206" s="67">
        <v>7</v>
      </c>
      <c r="H206" s="68">
        <v>46216</v>
      </c>
    </row>
    <row r="207" spans="1:8">
      <c r="A207" s="67">
        <v>812</v>
      </c>
      <c r="B207" s="67" t="s">
        <v>313</v>
      </c>
      <c r="C207" s="67" t="s">
        <v>170</v>
      </c>
      <c r="D207" s="67" t="s">
        <v>23</v>
      </c>
      <c r="E207" s="67" t="b">
        <v>0</v>
      </c>
      <c r="F207" s="67" t="s">
        <v>27</v>
      </c>
      <c r="G207" s="67">
        <v>9</v>
      </c>
      <c r="H207" s="68">
        <v>46216</v>
      </c>
    </row>
    <row r="208" spans="1:8">
      <c r="A208" s="67">
        <v>1129</v>
      </c>
      <c r="B208" s="67" t="s">
        <v>314</v>
      </c>
      <c r="C208" s="67" t="s">
        <v>315</v>
      </c>
      <c r="D208" s="67" t="s">
        <v>23</v>
      </c>
      <c r="E208" s="67" t="b">
        <v>0</v>
      </c>
      <c r="F208" s="67" t="s">
        <v>27</v>
      </c>
      <c r="G208" s="67">
        <v>12</v>
      </c>
      <c r="H208" s="68">
        <v>46216</v>
      </c>
    </row>
    <row r="209" spans="1:8">
      <c r="A209" s="67">
        <v>915</v>
      </c>
      <c r="B209" s="67" t="s">
        <v>316</v>
      </c>
      <c r="C209" s="67" t="s">
        <v>241</v>
      </c>
      <c r="D209" s="67" t="s">
        <v>23</v>
      </c>
      <c r="E209" s="67" t="b">
        <v>0</v>
      </c>
      <c r="F209" s="67" t="s">
        <v>27</v>
      </c>
      <c r="G209" s="67">
        <v>8</v>
      </c>
      <c r="H209" s="68">
        <v>46216</v>
      </c>
    </row>
    <row r="210" spans="1:8">
      <c r="A210" s="67">
        <v>1356</v>
      </c>
      <c r="B210" s="67" t="s">
        <v>317</v>
      </c>
      <c r="C210" s="67" t="s">
        <v>318</v>
      </c>
      <c r="D210" s="67" t="s">
        <v>54</v>
      </c>
      <c r="E210" s="67" t="b">
        <v>0</v>
      </c>
      <c r="F210" s="67" t="s">
        <v>27</v>
      </c>
      <c r="G210" s="67">
        <v>15</v>
      </c>
      <c r="H210" s="68">
        <v>46216</v>
      </c>
    </row>
    <row r="211" spans="1:8">
      <c r="A211" s="67">
        <v>1422</v>
      </c>
      <c r="B211" s="67" t="s">
        <v>319</v>
      </c>
      <c r="C211" s="67" t="s">
        <v>320</v>
      </c>
      <c r="D211" s="67" t="s">
        <v>54</v>
      </c>
      <c r="E211" s="67" t="b">
        <v>1</v>
      </c>
      <c r="F211" s="67" t="s">
        <v>25</v>
      </c>
      <c r="H211" s="68">
        <v>46216</v>
      </c>
    </row>
    <row r="212" spans="1:8">
      <c r="A212" s="67">
        <v>860</v>
      </c>
      <c r="B212" s="67" t="s">
        <v>321</v>
      </c>
      <c r="C212" s="67" t="s">
        <v>215</v>
      </c>
      <c r="D212" s="67" t="s">
        <v>23</v>
      </c>
      <c r="E212" s="67" t="b">
        <v>1</v>
      </c>
      <c r="F212" s="67" t="s">
        <v>25</v>
      </c>
      <c r="H212" s="68">
        <v>46216</v>
      </c>
    </row>
    <row r="213" spans="1:8">
      <c r="A213" s="67">
        <v>756</v>
      </c>
      <c r="B213" s="67" t="s">
        <v>321</v>
      </c>
      <c r="C213" s="67" t="s">
        <v>322</v>
      </c>
      <c r="D213" s="67" t="s">
        <v>23</v>
      </c>
      <c r="E213" s="67" t="b">
        <v>0</v>
      </c>
      <c r="F213" s="67" t="s">
        <v>25</v>
      </c>
      <c r="H213" s="68">
        <v>46216</v>
      </c>
    </row>
    <row r="214" spans="1:8">
      <c r="A214" s="67">
        <v>407</v>
      </c>
      <c r="B214" s="67" t="s">
        <v>321</v>
      </c>
      <c r="C214" s="67" t="s">
        <v>323</v>
      </c>
      <c r="D214" s="67" t="s">
        <v>23</v>
      </c>
      <c r="E214" s="67" t="b">
        <v>0</v>
      </c>
      <c r="F214" s="67" t="s">
        <v>27</v>
      </c>
      <c r="G214" s="67">
        <v>5</v>
      </c>
      <c r="H214" s="68">
        <v>46216</v>
      </c>
    </row>
    <row r="215" spans="1:8">
      <c r="A215" s="67">
        <v>1428</v>
      </c>
      <c r="B215" s="67" t="s">
        <v>324</v>
      </c>
      <c r="C215" s="67" t="s">
        <v>325</v>
      </c>
      <c r="D215" s="67" t="s">
        <v>23</v>
      </c>
      <c r="E215" s="67" t="b">
        <v>0</v>
      </c>
      <c r="F215" s="67" t="s">
        <v>35</v>
      </c>
      <c r="H215" s="68">
        <v>46216</v>
      </c>
    </row>
    <row r="216" spans="1:8">
      <c r="A216" s="67">
        <v>1423</v>
      </c>
      <c r="B216" s="67" t="s">
        <v>326</v>
      </c>
      <c r="C216" s="67" t="s">
        <v>83</v>
      </c>
      <c r="D216" s="67" t="s">
        <v>23</v>
      </c>
      <c r="E216" s="67" t="b">
        <v>0</v>
      </c>
      <c r="F216" s="67" t="s">
        <v>25</v>
      </c>
      <c r="H216" s="68">
        <v>46216</v>
      </c>
    </row>
    <row r="217" spans="1:8">
      <c r="A217" s="67">
        <v>1424</v>
      </c>
      <c r="B217" s="67" t="s">
        <v>326</v>
      </c>
      <c r="C217" s="67" t="s">
        <v>259</v>
      </c>
      <c r="D217" s="67" t="s">
        <v>23</v>
      </c>
      <c r="E217" s="67" t="b">
        <v>1</v>
      </c>
      <c r="F217" s="67" t="s">
        <v>25</v>
      </c>
      <c r="H217" s="68">
        <v>46216</v>
      </c>
    </row>
    <row r="218" spans="1:8">
      <c r="A218" s="67">
        <v>1425</v>
      </c>
      <c r="B218" s="67" t="s">
        <v>326</v>
      </c>
      <c r="C218" s="67" t="s">
        <v>327</v>
      </c>
      <c r="D218" s="67" t="s">
        <v>23</v>
      </c>
      <c r="E218" s="67" t="b">
        <v>0</v>
      </c>
      <c r="F218" s="67" t="s">
        <v>35</v>
      </c>
      <c r="H218" s="68">
        <v>46216</v>
      </c>
    </row>
    <row r="219" spans="1:8">
      <c r="A219" s="67">
        <v>1426</v>
      </c>
      <c r="B219" s="67" t="s">
        <v>326</v>
      </c>
      <c r="C219" s="67" t="s">
        <v>328</v>
      </c>
      <c r="D219" s="67" t="s">
        <v>23</v>
      </c>
      <c r="E219" s="67" t="b">
        <v>1</v>
      </c>
      <c r="F219" s="67" t="s">
        <v>35</v>
      </c>
      <c r="H219" s="68">
        <v>46216</v>
      </c>
    </row>
    <row r="220" spans="1:8">
      <c r="A220" s="67">
        <v>1312</v>
      </c>
      <c r="B220" s="67" t="s">
        <v>329</v>
      </c>
      <c r="C220" s="67" t="s">
        <v>287</v>
      </c>
      <c r="D220" s="67" t="s">
        <v>23</v>
      </c>
      <c r="E220" s="67" t="b">
        <v>1</v>
      </c>
      <c r="F220" s="67" t="s">
        <v>27</v>
      </c>
      <c r="G220" s="67">
        <v>35</v>
      </c>
      <c r="H220" s="68">
        <v>46216</v>
      </c>
    </row>
    <row r="221" spans="1:8">
      <c r="A221" s="67">
        <v>935</v>
      </c>
      <c r="B221" s="67" t="s">
        <v>330</v>
      </c>
      <c r="C221" s="67" t="s">
        <v>245</v>
      </c>
      <c r="D221" s="67" t="s">
        <v>23</v>
      </c>
      <c r="E221" s="67" t="b">
        <v>1</v>
      </c>
      <c r="F221" s="67" t="s">
        <v>25</v>
      </c>
      <c r="H221" s="68">
        <v>46216</v>
      </c>
    </row>
    <row r="222" spans="1:8">
      <c r="A222" s="67">
        <v>999</v>
      </c>
      <c r="B222" s="67" t="s">
        <v>330</v>
      </c>
      <c r="C222" s="67" t="s">
        <v>331</v>
      </c>
      <c r="D222" s="67" t="s">
        <v>23</v>
      </c>
      <c r="E222" s="67" t="b">
        <v>1</v>
      </c>
      <c r="F222" s="67" t="s">
        <v>25</v>
      </c>
      <c r="H222" s="68">
        <v>46216</v>
      </c>
    </row>
    <row r="223" spans="1:8">
      <c r="A223" s="67">
        <v>998</v>
      </c>
      <c r="B223" s="67" t="s">
        <v>330</v>
      </c>
      <c r="C223" s="67" t="s">
        <v>332</v>
      </c>
      <c r="D223" s="67" t="s">
        <v>23</v>
      </c>
      <c r="E223" s="67" t="b">
        <v>1</v>
      </c>
      <c r="F223" s="67" t="s">
        <v>27</v>
      </c>
      <c r="G223" s="67">
        <v>5</v>
      </c>
      <c r="H223" s="68">
        <v>46216</v>
      </c>
    </row>
    <row r="224" spans="1:8">
      <c r="A224" s="67">
        <v>616</v>
      </c>
      <c r="B224" s="67" t="s">
        <v>330</v>
      </c>
      <c r="C224" s="67" t="s">
        <v>41</v>
      </c>
      <c r="D224" s="67" t="s">
        <v>23</v>
      </c>
      <c r="E224" s="67" t="b">
        <v>0</v>
      </c>
      <c r="F224" s="67" t="s">
        <v>27</v>
      </c>
      <c r="G224" s="67">
        <v>7</v>
      </c>
      <c r="H224" s="68">
        <v>46216</v>
      </c>
    </row>
    <row r="225" spans="1:8">
      <c r="A225" s="67">
        <v>558</v>
      </c>
      <c r="B225" s="67" t="s">
        <v>333</v>
      </c>
      <c r="C225" s="67" t="s">
        <v>334</v>
      </c>
      <c r="D225" s="67" t="s">
        <v>23</v>
      </c>
      <c r="E225" s="67" t="b">
        <v>0</v>
      </c>
      <c r="F225" s="67" t="s">
        <v>27</v>
      </c>
      <c r="G225" s="67">
        <v>15</v>
      </c>
      <c r="H225" s="68">
        <v>46216</v>
      </c>
    </row>
    <row r="226" spans="1:8">
      <c r="A226" s="67">
        <v>991</v>
      </c>
      <c r="B226" s="67" t="s">
        <v>335</v>
      </c>
      <c r="C226" s="67" t="s">
        <v>184</v>
      </c>
      <c r="D226" s="67" t="s">
        <v>23</v>
      </c>
      <c r="E226" s="67" t="b">
        <v>1</v>
      </c>
      <c r="F226" s="67" t="s">
        <v>35</v>
      </c>
      <c r="H226" s="68">
        <v>46216</v>
      </c>
    </row>
    <row r="227" spans="1:8">
      <c r="A227" s="67">
        <v>707</v>
      </c>
      <c r="B227" s="67" t="s">
        <v>697</v>
      </c>
      <c r="C227" s="67" t="s">
        <v>102</v>
      </c>
      <c r="D227" s="67" t="s">
        <v>23</v>
      </c>
      <c r="E227" s="67" t="b">
        <v>0</v>
      </c>
      <c r="F227" s="67" t="s">
        <v>27</v>
      </c>
      <c r="G227" s="67">
        <v>13</v>
      </c>
      <c r="H227" s="68">
        <v>46216</v>
      </c>
    </row>
    <row r="228" spans="1:8">
      <c r="A228" s="67">
        <v>359</v>
      </c>
      <c r="B228" s="67" t="s">
        <v>336</v>
      </c>
      <c r="C228" s="67" t="s">
        <v>26</v>
      </c>
      <c r="D228" s="67" t="s">
        <v>23</v>
      </c>
      <c r="E228" s="67" t="b">
        <v>0</v>
      </c>
      <c r="F228" s="67" t="s">
        <v>27</v>
      </c>
      <c r="G228" s="67">
        <v>24</v>
      </c>
      <c r="H228" s="68">
        <v>46216</v>
      </c>
    </row>
    <row r="229" spans="1:8">
      <c r="A229" s="67">
        <v>1310</v>
      </c>
      <c r="B229" s="67" t="s">
        <v>337</v>
      </c>
      <c r="C229" s="67" t="s">
        <v>311</v>
      </c>
      <c r="D229" s="67" t="s">
        <v>23</v>
      </c>
      <c r="E229" s="67" t="b">
        <v>0</v>
      </c>
      <c r="F229" s="67" t="s">
        <v>25</v>
      </c>
      <c r="H229" s="68">
        <v>46216</v>
      </c>
    </row>
    <row r="230" spans="1:8">
      <c r="A230" s="67">
        <v>1200</v>
      </c>
      <c r="B230" s="67" t="s">
        <v>338</v>
      </c>
      <c r="C230" s="67" t="s">
        <v>339</v>
      </c>
      <c r="D230" s="67" t="s">
        <v>23</v>
      </c>
      <c r="E230" s="67" t="b">
        <v>0</v>
      </c>
      <c r="F230" s="67" t="s">
        <v>27</v>
      </c>
      <c r="G230" s="67">
        <v>6</v>
      </c>
      <c r="H230" s="68">
        <v>46216</v>
      </c>
    </row>
    <row r="231" spans="1:8">
      <c r="A231" s="67">
        <v>1411</v>
      </c>
      <c r="B231" s="67" t="s">
        <v>338</v>
      </c>
      <c r="C231" s="67" t="s">
        <v>72</v>
      </c>
      <c r="D231" s="67" t="s">
        <v>23</v>
      </c>
      <c r="E231" s="67" t="b">
        <v>1</v>
      </c>
      <c r="F231" s="67" t="s">
        <v>27</v>
      </c>
      <c r="G231" s="67">
        <v>3</v>
      </c>
      <c r="H231" s="68">
        <v>46216</v>
      </c>
    </row>
    <row r="232" spans="1:8">
      <c r="A232" s="67">
        <v>1412</v>
      </c>
      <c r="B232" s="67" t="s">
        <v>338</v>
      </c>
      <c r="C232" s="67" t="s">
        <v>340</v>
      </c>
      <c r="D232" s="67" t="s">
        <v>23</v>
      </c>
      <c r="E232" s="67" t="b">
        <v>1</v>
      </c>
      <c r="F232" s="67" t="s">
        <v>188</v>
      </c>
      <c r="H232" s="68">
        <v>46216</v>
      </c>
    </row>
    <row r="233" spans="1:8">
      <c r="A233" s="67">
        <v>1413</v>
      </c>
      <c r="B233" s="67" t="s">
        <v>338</v>
      </c>
      <c r="C233" s="67" t="s">
        <v>214</v>
      </c>
      <c r="D233" s="67" t="s">
        <v>23</v>
      </c>
      <c r="E233" s="67" t="b">
        <v>0</v>
      </c>
      <c r="F233" s="67" t="s">
        <v>188</v>
      </c>
      <c r="H233" s="68">
        <v>46216</v>
      </c>
    </row>
    <row r="234" spans="1:8">
      <c r="A234" s="67">
        <v>1376</v>
      </c>
      <c r="B234" s="67" t="s">
        <v>192</v>
      </c>
      <c r="C234" s="67" t="s">
        <v>127</v>
      </c>
      <c r="D234" s="67" t="s">
        <v>23</v>
      </c>
      <c r="E234" s="67" t="b">
        <v>1</v>
      </c>
      <c r="F234" s="67" t="s">
        <v>25</v>
      </c>
      <c r="H234" s="68">
        <v>46216</v>
      </c>
    </row>
    <row r="235" spans="1:8">
      <c r="A235" s="67">
        <v>1140</v>
      </c>
      <c r="B235" s="67" t="s">
        <v>341</v>
      </c>
      <c r="C235" s="67" t="s">
        <v>243</v>
      </c>
      <c r="D235" s="67" t="s">
        <v>23</v>
      </c>
      <c r="E235" s="67" t="b">
        <v>0</v>
      </c>
      <c r="F235" s="67" t="s">
        <v>25</v>
      </c>
      <c r="H235" s="68">
        <v>46216</v>
      </c>
    </row>
    <row r="236" spans="1:8">
      <c r="A236" s="67">
        <v>989</v>
      </c>
      <c r="B236" s="67" t="s">
        <v>342</v>
      </c>
      <c r="C236" s="67" t="s">
        <v>343</v>
      </c>
      <c r="D236" s="67" t="s">
        <v>23</v>
      </c>
      <c r="E236" s="67" t="b">
        <v>0</v>
      </c>
      <c r="F236" s="67" t="s">
        <v>27</v>
      </c>
      <c r="G236" s="67">
        <v>3</v>
      </c>
      <c r="H236" s="68">
        <v>46216</v>
      </c>
    </row>
    <row r="237" spans="1:8">
      <c r="A237" s="67">
        <v>1417</v>
      </c>
      <c r="B237" s="67" t="s">
        <v>344</v>
      </c>
      <c r="C237" s="67" t="s">
        <v>345</v>
      </c>
      <c r="D237" s="67" t="s">
        <v>23</v>
      </c>
      <c r="E237" s="67" t="b">
        <v>1</v>
      </c>
      <c r="F237" s="67" t="s">
        <v>27</v>
      </c>
      <c r="G237" s="67">
        <v>17</v>
      </c>
      <c r="H237" s="68">
        <v>46216</v>
      </c>
    </row>
    <row r="238" spans="1:8">
      <c r="A238" s="67">
        <v>52</v>
      </c>
      <c r="B238" s="67" t="s">
        <v>346</v>
      </c>
      <c r="C238" s="67" t="s">
        <v>192</v>
      </c>
      <c r="D238" s="67" t="s">
        <v>23</v>
      </c>
      <c r="E238" s="67" t="b">
        <v>0</v>
      </c>
      <c r="F238" s="67" t="s">
        <v>25</v>
      </c>
      <c r="H238" s="68">
        <v>46216</v>
      </c>
    </row>
    <row r="239" spans="1:8">
      <c r="A239" s="67">
        <v>62</v>
      </c>
      <c r="B239" s="67" t="s">
        <v>344</v>
      </c>
      <c r="C239" s="67" t="s">
        <v>234</v>
      </c>
      <c r="D239" s="67" t="s">
        <v>23</v>
      </c>
      <c r="E239" s="67" t="b">
        <v>0</v>
      </c>
      <c r="F239" s="67" t="s">
        <v>27</v>
      </c>
      <c r="G239" s="67">
        <v>4</v>
      </c>
      <c r="H239" s="68">
        <v>46216</v>
      </c>
    </row>
    <row r="240" spans="1:8">
      <c r="A240" s="67">
        <v>930</v>
      </c>
      <c r="B240" s="67" t="s">
        <v>347</v>
      </c>
      <c r="C240" s="67" t="s">
        <v>348</v>
      </c>
      <c r="D240" s="67" t="s">
        <v>23</v>
      </c>
      <c r="E240" s="67" t="b">
        <v>1</v>
      </c>
      <c r="F240" s="67" t="s">
        <v>27</v>
      </c>
      <c r="G240" s="67">
        <v>6</v>
      </c>
      <c r="H240" s="68">
        <v>46216</v>
      </c>
    </row>
    <row r="241" spans="1:8">
      <c r="A241" s="67">
        <v>1254</v>
      </c>
      <c r="B241" s="67" t="s">
        <v>349</v>
      </c>
      <c r="C241" s="67" t="s">
        <v>51</v>
      </c>
      <c r="D241" s="67" t="s">
        <v>23</v>
      </c>
      <c r="E241" s="67" t="b">
        <v>0</v>
      </c>
      <c r="F241" s="67" t="s">
        <v>27</v>
      </c>
      <c r="G241" s="67">
        <v>21</v>
      </c>
      <c r="H241" s="68">
        <v>46216</v>
      </c>
    </row>
    <row r="242" spans="1:8">
      <c r="A242" s="67">
        <v>744</v>
      </c>
      <c r="B242" s="67" t="s">
        <v>350</v>
      </c>
      <c r="C242" s="67" t="s">
        <v>351</v>
      </c>
      <c r="D242" s="67" t="s">
        <v>23</v>
      </c>
      <c r="E242" s="67" t="b">
        <v>0</v>
      </c>
      <c r="F242" s="67" t="s">
        <v>27</v>
      </c>
      <c r="G242" s="67">
        <v>28</v>
      </c>
      <c r="H242" s="68">
        <v>46216</v>
      </c>
    </row>
    <row r="243" spans="1:8">
      <c r="A243" s="67">
        <v>337</v>
      </c>
      <c r="B243" s="67" t="s">
        <v>352</v>
      </c>
      <c r="C243" s="67" t="s">
        <v>179</v>
      </c>
      <c r="D243" s="67" t="s">
        <v>23</v>
      </c>
      <c r="E243" s="67" t="b">
        <v>1</v>
      </c>
      <c r="F243" s="67" t="s">
        <v>27</v>
      </c>
      <c r="G243" s="67">
        <v>21</v>
      </c>
      <c r="H243" s="68">
        <v>46216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C0BCD-7B7E-4D61-B2BA-6F57918E2B7D}">
  <dimension ref="A1:H249"/>
  <sheetViews>
    <sheetView workbookViewId="0"/>
    <sheetView workbookViewId="1"/>
  </sheetViews>
  <sheetFormatPr defaultColWidth="9" defaultRowHeight="14.25"/>
  <cols>
    <col min="1" max="7" width="9" style="70"/>
    <col min="8" max="8" width="10.19921875" style="70" bestFit="1" customWidth="1"/>
    <col min="9" max="16384" width="9" style="70"/>
  </cols>
  <sheetData>
    <row r="1" spans="1:8">
      <c r="A1" s="70" t="s">
        <v>13</v>
      </c>
      <c r="B1" s="70" t="s">
        <v>14</v>
      </c>
      <c r="C1" s="70" t="s">
        <v>15</v>
      </c>
      <c r="D1" s="70" t="s">
        <v>16</v>
      </c>
      <c r="E1" s="70" t="s">
        <v>17</v>
      </c>
      <c r="F1" s="70" t="s">
        <v>18</v>
      </c>
      <c r="G1" s="70" t="s">
        <v>19</v>
      </c>
      <c r="H1" s="70" t="s">
        <v>20</v>
      </c>
    </row>
    <row r="2" spans="1:8">
      <c r="A2" s="70">
        <v>1327</v>
      </c>
      <c r="B2" s="70" t="s">
        <v>21</v>
      </c>
      <c r="C2" s="70" t="s">
        <v>22</v>
      </c>
      <c r="D2" s="70" t="s">
        <v>23</v>
      </c>
      <c r="E2" s="70" t="b">
        <v>0</v>
      </c>
      <c r="F2" s="70" t="s">
        <v>25</v>
      </c>
      <c r="H2" s="71">
        <v>46236</v>
      </c>
    </row>
    <row r="3" spans="1:8">
      <c r="A3" s="70">
        <v>1237</v>
      </c>
      <c r="B3" s="70" t="s">
        <v>21</v>
      </c>
      <c r="C3" s="70" t="s">
        <v>26</v>
      </c>
      <c r="D3" s="70" t="s">
        <v>23</v>
      </c>
      <c r="E3" s="70" t="b">
        <v>0</v>
      </c>
      <c r="F3" s="70" t="s">
        <v>27</v>
      </c>
      <c r="G3" s="70">
        <v>1</v>
      </c>
      <c r="H3" s="71">
        <v>46236</v>
      </c>
    </row>
    <row r="4" spans="1:8">
      <c r="A4" s="70">
        <v>819</v>
      </c>
      <c r="B4" s="70" t="s">
        <v>28</v>
      </c>
      <c r="C4" s="70" t="s">
        <v>29</v>
      </c>
      <c r="D4" s="70" t="s">
        <v>23</v>
      </c>
      <c r="E4" s="70" t="b">
        <v>1</v>
      </c>
      <c r="F4" s="70" t="s">
        <v>27</v>
      </c>
      <c r="G4" s="70">
        <v>23</v>
      </c>
      <c r="H4" s="71">
        <v>46236</v>
      </c>
    </row>
    <row r="5" spans="1:8">
      <c r="A5" s="70">
        <v>2</v>
      </c>
      <c r="B5" s="70" t="s">
        <v>31</v>
      </c>
      <c r="C5" s="70" t="s">
        <v>32</v>
      </c>
      <c r="D5" s="70" t="s">
        <v>23</v>
      </c>
      <c r="E5" s="70" t="b">
        <v>0</v>
      </c>
      <c r="F5" s="70" t="s">
        <v>27</v>
      </c>
      <c r="G5" s="70">
        <v>21</v>
      </c>
      <c r="H5" s="71">
        <v>46236</v>
      </c>
    </row>
    <row r="6" spans="1:8">
      <c r="A6" s="70">
        <v>1370</v>
      </c>
      <c r="B6" s="70" t="s">
        <v>33</v>
      </c>
      <c r="C6" s="70" t="s">
        <v>34</v>
      </c>
      <c r="D6" s="70" t="s">
        <v>23</v>
      </c>
      <c r="E6" s="70" t="b">
        <v>0</v>
      </c>
      <c r="F6" s="70" t="s">
        <v>27</v>
      </c>
      <c r="G6" s="70">
        <v>4</v>
      </c>
      <c r="H6" s="71">
        <v>46236</v>
      </c>
    </row>
    <row r="7" spans="1:8">
      <c r="A7" s="70">
        <v>1415</v>
      </c>
      <c r="B7" s="70" t="s">
        <v>33</v>
      </c>
      <c r="C7" s="70" t="s">
        <v>22</v>
      </c>
      <c r="D7" s="70" t="s">
        <v>23</v>
      </c>
      <c r="E7" s="70" t="b">
        <v>0</v>
      </c>
      <c r="F7" s="70" t="s">
        <v>35</v>
      </c>
      <c r="H7" s="71">
        <v>46236</v>
      </c>
    </row>
    <row r="8" spans="1:8">
      <c r="A8" s="70">
        <v>1286</v>
      </c>
      <c r="B8" s="70" t="s">
        <v>36</v>
      </c>
      <c r="C8" s="70" t="s">
        <v>34</v>
      </c>
      <c r="D8" s="70" t="s">
        <v>23</v>
      </c>
      <c r="E8" s="70" t="b">
        <v>0</v>
      </c>
      <c r="F8" s="70" t="s">
        <v>27</v>
      </c>
      <c r="G8" s="70">
        <v>13</v>
      </c>
      <c r="H8" s="71">
        <v>46236</v>
      </c>
    </row>
    <row r="9" spans="1:8">
      <c r="A9" s="70">
        <v>1381</v>
      </c>
      <c r="B9" s="70" t="s">
        <v>36</v>
      </c>
      <c r="C9" s="70" t="s">
        <v>37</v>
      </c>
      <c r="D9" s="70" t="s">
        <v>23</v>
      </c>
      <c r="E9" s="70" t="b">
        <v>0</v>
      </c>
      <c r="F9" s="70" t="s">
        <v>25</v>
      </c>
      <c r="H9" s="71">
        <v>46236</v>
      </c>
    </row>
    <row r="10" spans="1:8">
      <c r="A10" s="70">
        <v>1112</v>
      </c>
      <c r="B10" s="70" t="s">
        <v>38</v>
      </c>
      <c r="C10" s="70" t="s">
        <v>39</v>
      </c>
      <c r="D10" s="70" t="s">
        <v>23</v>
      </c>
      <c r="E10" s="70" t="b">
        <v>0</v>
      </c>
      <c r="F10" s="70" t="s">
        <v>27</v>
      </c>
      <c r="G10" s="70">
        <v>16</v>
      </c>
      <c r="H10" s="71">
        <v>46236</v>
      </c>
    </row>
    <row r="11" spans="1:8">
      <c r="A11" s="70">
        <v>1135</v>
      </c>
      <c r="B11" s="70" t="s">
        <v>40</v>
      </c>
      <c r="C11" s="70" t="s">
        <v>41</v>
      </c>
      <c r="D11" s="70" t="s">
        <v>23</v>
      </c>
      <c r="E11" s="70" t="b">
        <v>0</v>
      </c>
      <c r="F11" s="70" t="s">
        <v>27</v>
      </c>
      <c r="G11" s="70">
        <v>1</v>
      </c>
      <c r="H11" s="71">
        <v>46236</v>
      </c>
    </row>
    <row r="12" spans="1:8">
      <c r="A12" s="70">
        <v>1430</v>
      </c>
      <c r="B12" s="70" t="s">
        <v>42</v>
      </c>
      <c r="C12" s="70" t="s">
        <v>39</v>
      </c>
      <c r="D12" s="70" t="s">
        <v>23</v>
      </c>
      <c r="E12" s="70" t="b">
        <v>0</v>
      </c>
      <c r="F12" s="70" t="s">
        <v>27</v>
      </c>
      <c r="G12" s="70">
        <v>4</v>
      </c>
      <c r="H12" s="71">
        <v>46236</v>
      </c>
    </row>
    <row r="13" spans="1:8">
      <c r="A13" s="70">
        <v>982</v>
      </c>
      <c r="B13" s="70" t="s">
        <v>42</v>
      </c>
      <c r="C13" s="70" t="s">
        <v>32</v>
      </c>
      <c r="D13" s="70" t="s">
        <v>23</v>
      </c>
      <c r="E13" s="70" t="b">
        <v>0</v>
      </c>
      <c r="F13" s="70" t="s">
        <v>27</v>
      </c>
      <c r="G13" s="70">
        <v>22</v>
      </c>
      <c r="H13" s="71">
        <v>46236</v>
      </c>
    </row>
    <row r="14" spans="1:8">
      <c r="A14" s="70">
        <v>1328</v>
      </c>
      <c r="B14" s="70" t="s">
        <v>43</v>
      </c>
      <c r="C14" s="70" t="s">
        <v>44</v>
      </c>
      <c r="D14" s="70" t="s">
        <v>23</v>
      </c>
      <c r="E14" s="70" t="b">
        <v>0</v>
      </c>
      <c r="F14" s="70" t="s">
        <v>27</v>
      </c>
      <c r="G14" s="70">
        <v>4</v>
      </c>
      <c r="H14" s="71">
        <v>46236</v>
      </c>
    </row>
    <row r="15" spans="1:8">
      <c r="A15" s="70">
        <v>369</v>
      </c>
      <c r="B15" s="70" t="s">
        <v>45</v>
      </c>
      <c r="C15" s="70" t="s">
        <v>46</v>
      </c>
      <c r="D15" s="70" t="s">
        <v>23</v>
      </c>
      <c r="E15" s="70" t="b">
        <v>0</v>
      </c>
      <c r="F15" s="70" t="s">
        <v>27</v>
      </c>
      <c r="G15" s="70">
        <v>8</v>
      </c>
      <c r="H15" s="71">
        <v>46236</v>
      </c>
    </row>
    <row r="16" spans="1:8">
      <c r="A16" s="70">
        <v>7</v>
      </c>
      <c r="B16" s="70" t="s">
        <v>45</v>
      </c>
      <c r="C16" s="70" t="s">
        <v>47</v>
      </c>
      <c r="D16" s="70" t="s">
        <v>48</v>
      </c>
      <c r="E16" s="70" t="b">
        <v>0</v>
      </c>
      <c r="F16" s="70" t="s">
        <v>27</v>
      </c>
      <c r="G16" s="70">
        <v>32</v>
      </c>
      <c r="H16" s="71">
        <v>46236</v>
      </c>
    </row>
    <row r="17" spans="1:8">
      <c r="A17" s="70">
        <v>473</v>
      </c>
      <c r="B17" s="70" t="s">
        <v>45</v>
      </c>
      <c r="C17" s="70" t="s">
        <v>49</v>
      </c>
      <c r="D17" s="70" t="s">
        <v>48</v>
      </c>
      <c r="E17" s="70" t="b">
        <v>0</v>
      </c>
      <c r="F17" s="70" t="s">
        <v>27</v>
      </c>
      <c r="G17" s="70">
        <v>33</v>
      </c>
      <c r="H17" s="71">
        <v>46236</v>
      </c>
    </row>
    <row r="18" spans="1:8">
      <c r="A18" s="70">
        <v>1384</v>
      </c>
      <c r="B18" s="70" t="s">
        <v>50</v>
      </c>
      <c r="C18" s="70" t="s">
        <v>51</v>
      </c>
      <c r="D18" s="70" t="s">
        <v>23</v>
      </c>
      <c r="E18" s="70" t="b">
        <v>0</v>
      </c>
      <c r="F18" s="70" t="s">
        <v>27</v>
      </c>
      <c r="G18" s="70">
        <v>30</v>
      </c>
      <c r="H18" s="71">
        <v>46236</v>
      </c>
    </row>
    <row r="19" spans="1:8">
      <c r="A19" s="70">
        <v>1348</v>
      </c>
      <c r="B19" s="70" t="s">
        <v>52</v>
      </c>
      <c r="C19" s="70" t="s">
        <v>53</v>
      </c>
      <c r="D19" s="70" t="s">
        <v>54</v>
      </c>
      <c r="E19" s="70" t="b">
        <v>1</v>
      </c>
      <c r="F19" s="70" t="s">
        <v>25</v>
      </c>
      <c r="H19" s="71">
        <v>46236</v>
      </c>
    </row>
    <row r="20" spans="1:8">
      <c r="A20" s="70">
        <v>1275</v>
      </c>
      <c r="B20" s="70" t="s">
        <v>52</v>
      </c>
      <c r="C20" s="70" t="s">
        <v>55</v>
      </c>
      <c r="D20" s="70" t="s">
        <v>23</v>
      </c>
      <c r="E20" s="70" t="b">
        <v>1</v>
      </c>
      <c r="F20" s="70" t="s">
        <v>35</v>
      </c>
      <c r="H20" s="71">
        <v>46236</v>
      </c>
    </row>
    <row r="21" spans="1:8">
      <c r="A21" s="70">
        <v>68</v>
      </c>
      <c r="B21" s="70" t="s">
        <v>56</v>
      </c>
      <c r="C21" s="70" t="s">
        <v>57</v>
      </c>
      <c r="D21" s="70" t="s">
        <v>48</v>
      </c>
      <c r="E21" s="70" t="b">
        <v>0</v>
      </c>
      <c r="F21" s="70" t="s">
        <v>27</v>
      </c>
      <c r="G21" s="70">
        <v>35</v>
      </c>
      <c r="H21" s="71">
        <v>46236</v>
      </c>
    </row>
    <row r="22" spans="1:8">
      <c r="A22" s="70">
        <v>1035</v>
      </c>
      <c r="B22" s="70" t="s">
        <v>58</v>
      </c>
      <c r="C22" s="70" t="s">
        <v>59</v>
      </c>
      <c r="D22" s="70" t="s">
        <v>23</v>
      </c>
      <c r="E22" s="70" t="b">
        <v>0</v>
      </c>
      <c r="F22" s="70" t="s">
        <v>27</v>
      </c>
      <c r="G22" s="70">
        <v>6</v>
      </c>
      <c r="H22" s="71">
        <v>46236</v>
      </c>
    </row>
    <row r="23" spans="1:8">
      <c r="A23" s="70">
        <v>1416</v>
      </c>
      <c r="B23" s="70" t="s">
        <v>60</v>
      </c>
      <c r="C23" s="70" t="s">
        <v>61</v>
      </c>
      <c r="D23" s="70" t="s">
        <v>23</v>
      </c>
      <c r="E23" s="70" t="b">
        <v>0</v>
      </c>
      <c r="F23" s="70" t="s">
        <v>25</v>
      </c>
      <c r="H23" s="71">
        <v>46236</v>
      </c>
    </row>
    <row r="24" spans="1:8">
      <c r="A24" s="70">
        <v>1326</v>
      </c>
      <c r="B24" s="70" t="s">
        <v>62</v>
      </c>
      <c r="C24" s="70" t="s">
        <v>63</v>
      </c>
      <c r="D24" s="70" t="s">
        <v>23</v>
      </c>
      <c r="E24" s="70" t="b">
        <v>1</v>
      </c>
      <c r="F24" s="70" t="s">
        <v>25</v>
      </c>
      <c r="H24" s="71">
        <v>46236</v>
      </c>
    </row>
    <row r="25" spans="1:8">
      <c r="A25" s="70">
        <v>1431</v>
      </c>
      <c r="B25" s="70" t="s">
        <v>596</v>
      </c>
      <c r="C25" s="70" t="s">
        <v>595</v>
      </c>
      <c r="D25" s="70" t="s">
        <v>23</v>
      </c>
      <c r="E25" s="70" t="b">
        <v>1</v>
      </c>
      <c r="F25" s="70" t="s">
        <v>27</v>
      </c>
      <c r="G25" s="70">
        <v>11</v>
      </c>
      <c r="H25" s="71">
        <v>46236</v>
      </c>
    </row>
    <row r="26" spans="1:8">
      <c r="A26" s="70">
        <v>477</v>
      </c>
      <c r="B26" s="70" t="s">
        <v>64</v>
      </c>
      <c r="C26" s="70" t="s">
        <v>65</v>
      </c>
      <c r="D26" s="70" t="s">
        <v>23</v>
      </c>
      <c r="E26" s="70" t="b">
        <v>1</v>
      </c>
      <c r="F26" s="70" t="s">
        <v>27</v>
      </c>
      <c r="G26" s="70">
        <v>34</v>
      </c>
      <c r="H26" s="71">
        <v>46236</v>
      </c>
    </row>
    <row r="27" spans="1:8">
      <c r="A27" s="70">
        <v>10</v>
      </c>
      <c r="B27" s="70" t="s">
        <v>64</v>
      </c>
      <c r="C27" s="70" t="s">
        <v>66</v>
      </c>
      <c r="D27" s="70" t="s">
        <v>48</v>
      </c>
      <c r="E27" s="70" t="b">
        <v>0</v>
      </c>
      <c r="F27" s="70" t="s">
        <v>27</v>
      </c>
      <c r="G27" s="70">
        <v>35</v>
      </c>
      <c r="H27" s="71">
        <v>46236</v>
      </c>
    </row>
    <row r="28" spans="1:8">
      <c r="A28" s="70">
        <v>1414</v>
      </c>
      <c r="B28" s="70" t="s">
        <v>67</v>
      </c>
      <c r="C28" s="70" t="s">
        <v>36</v>
      </c>
      <c r="D28" s="70" t="s">
        <v>23</v>
      </c>
      <c r="E28" s="70" t="b">
        <v>0</v>
      </c>
      <c r="F28" s="70" t="s">
        <v>27</v>
      </c>
      <c r="G28" s="70">
        <v>13</v>
      </c>
      <c r="H28" s="71">
        <v>46236</v>
      </c>
    </row>
    <row r="29" spans="1:8">
      <c r="A29" s="70">
        <v>1029</v>
      </c>
      <c r="B29" s="70" t="s">
        <v>68</v>
      </c>
      <c r="C29" s="70" t="s">
        <v>69</v>
      </c>
      <c r="D29" s="70" t="s">
        <v>23</v>
      </c>
      <c r="E29" s="70" t="b">
        <v>0</v>
      </c>
      <c r="F29" s="70" t="s">
        <v>27</v>
      </c>
      <c r="G29" s="70">
        <v>28</v>
      </c>
      <c r="H29" s="71">
        <v>46236</v>
      </c>
    </row>
    <row r="30" spans="1:8">
      <c r="A30" s="70">
        <v>13</v>
      </c>
      <c r="B30" s="70" t="s">
        <v>70</v>
      </c>
      <c r="C30" s="70" t="s">
        <v>51</v>
      </c>
      <c r="D30" s="70" t="s">
        <v>23</v>
      </c>
      <c r="E30" s="70" t="b">
        <v>0</v>
      </c>
      <c r="F30" s="70" t="s">
        <v>27</v>
      </c>
      <c r="G30" s="70">
        <v>28</v>
      </c>
      <c r="H30" s="71">
        <v>46236</v>
      </c>
    </row>
    <row r="31" spans="1:8">
      <c r="A31" s="70">
        <v>1255</v>
      </c>
      <c r="B31" s="70" t="s">
        <v>71</v>
      </c>
      <c r="C31" s="70" t="s">
        <v>72</v>
      </c>
      <c r="D31" s="70" t="s">
        <v>23</v>
      </c>
      <c r="E31" s="70" t="b">
        <v>1</v>
      </c>
      <c r="F31" s="70" t="s">
        <v>27</v>
      </c>
      <c r="G31" s="70">
        <v>13</v>
      </c>
      <c r="H31" s="71">
        <v>46236</v>
      </c>
    </row>
    <row r="32" spans="1:8">
      <c r="A32" s="70">
        <v>1405</v>
      </c>
      <c r="B32" s="70" t="s">
        <v>73</v>
      </c>
      <c r="C32" s="70" t="s">
        <v>74</v>
      </c>
      <c r="D32" s="70" t="s">
        <v>23</v>
      </c>
      <c r="E32" s="70" t="b">
        <v>1</v>
      </c>
      <c r="F32" s="70" t="s">
        <v>35</v>
      </c>
      <c r="H32" s="71">
        <v>46236</v>
      </c>
    </row>
    <row r="33" spans="1:8">
      <c r="A33" s="70">
        <v>1421</v>
      </c>
      <c r="B33" s="70" t="s">
        <v>75</v>
      </c>
      <c r="C33" s="70" t="s">
        <v>76</v>
      </c>
      <c r="D33" s="70" t="s">
        <v>23</v>
      </c>
      <c r="E33" s="70" t="b">
        <v>1</v>
      </c>
      <c r="F33" s="70" t="s">
        <v>27</v>
      </c>
      <c r="G33" s="70">
        <v>12</v>
      </c>
      <c r="H33" s="71">
        <v>46236</v>
      </c>
    </row>
    <row r="34" spans="1:8">
      <c r="A34" s="70">
        <v>1418</v>
      </c>
      <c r="B34" s="70" t="s">
        <v>75</v>
      </c>
      <c r="C34" s="70" t="s">
        <v>22</v>
      </c>
      <c r="D34" s="70" t="s">
        <v>23</v>
      </c>
      <c r="E34" s="70" t="b">
        <v>0</v>
      </c>
      <c r="F34" s="70" t="s">
        <v>25</v>
      </c>
      <c r="H34" s="71">
        <v>46236</v>
      </c>
    </row>
    <row r="35" spans="1:8">
      <c r="A35" s="70">
        <v>919</v>
      </c>
      <c r="B35" s="70" t="s">
        <v>77</v>
      </c>
      <c r="C35" s="70" t="s">
        <v>51</v>
      </c>
      <c r="D35" s="70" t="s">
        <v>23</v>
      </c>
      <c r="E35" s="70" t="b">
        <v>0</v>
      </c>
      <c r="F35" s="70" t="s">
        <v>27</v>
      </c>
      <c r="G35" s="70">
        <v>16</v>
      </c>
      <c r="H35" s="71">
        <v>46236</v>
      </c>
    </row>
    <row r="36" spans="1:8">
      <c r="A36" s="70">
        <v>1436</v>
      </c>
      <c r="B36" s="70" t="s">
        <v>768</v>
      </c>
      <c r="C36" s="70" t="s">
        <v>44</v>
      </c>
      <c r="D36" s="70" t="s">
        <v>23</v>
      </c>
      <c r="E36" s="70" t="b">
        <v>0</v>
      </c>
      <c r="F36" s="70" t="s">
        <v>27</v>
      </c>
      <c r="G36" s="70">
        <v>14</v>
      </c>
      <c r="H36" s="71">
        <v>46236</v>
      </c>
    </row>
    <row r="37" spans="1:8">
      <c r="A37" s="70">
        <v>1319</v>
      </c>
      <c r="B37" s="70" t="s">
        <v>78</v>
      </c>
      <c r="C37" s="70" t="s">
        <v>32</v>
      </c>
      <c r="D37" s="70" t="s">
        <v>23</v>
      </c>
      <c r="E37" s="70" t="b">
        <v>0</v>
      </c>
      <c r="F37" s="70" t="s">
        <v>27</v>
      </c>
      <c r="G37" s="70">
        <v>9</v>
      </c>
      <c r="H37" s="71">
        <v>46236</v>
      </c>
    </row>
    <row r="38" spans="1:8">
      <c r="A38" s="70">
        <v>1190</v>
      </c>
      <c r="B38" s="70" t="s">
        <v>700</v>
      </c>
      <c r="C38" s="70" t="s">
        <v>702</v>
      </c>
      <c r="D38" s="70" t="s">
        <v>23</v>
      </c>
      <c r="E38" s="70" t="b">
        <v>0</v>
      </c>
      <c r="F38" s="70" t="s">
        <v>35</v>
      </c>
      <c r="H38" s="71">
        <v>46236</v>
      </c>
    </row>
    <row r="39" spans="1:8">
      <c r="A39" s="70">
        <v>1189</v>
      </c>
      <c r="B39" s="70" t="s">
        <v>700</v>
      </c>
      <c r="C39" s="70" t="s">
        <v>701</v>
      </c>
      <c r="D39" s="70" t="s">
        <v>23</v>
      </c>
      <c r="E39" s="70" t="b">
        <v>0</v>
      </c>
      <c r="F39" s="70" t="s">
        <v>35</v>
      </c>
      <c r="H39" s="71">
        <v>46236</v>
      </c>
    </row>
    <row r="40" spans="1:8">
      <c r="A40" s="70">
        <v>735</v>
      </c>
      <c r="B40" s="70" t="s">
        <v>700</v>
      </c>
      <c r="C40" s="70" t="s">
        <v>278</v>
      </c>
      <c r="D40" s="70" t="s">
        <v>54</v>
      </c>
      <c r="E40" s="70" t="b">
        <v>0</v>
      </c>
      <c r="F40" s="70" t="s">
        <v>25</v>
      </c>
      <c r="H40" s="71">
        <v>46236</v>
      </c>
    </row>
    <row r="41" spans="1:8">
      <c r="A41" s="70">
        <v>1389</v>
      </c>
      <c r="B41" s="70" t="s">
        <v>79</v>
      </c>
      <c r="C41" s="70" t="s">
        <v>80</v>
      </c>
      <c r="D41" s="70" t="s">
        <v>23</v>
      </c>
      <c r="E41" s="70" t="b">
        <v>0</v>
      </c>
      <c r="F41" s="70" t="s">
        <v>25</v>
      </c>
      <c r="H41" s="71">
        <v>46236</v>
      </c>
    </row>
    <row r="42" spans="1:8">
      <c r="A42" s="70">
        <v>940</v>
      </c>
      <c r="B42" s="70" t="s">
        <v>81</v>
      </c>
      <c r="C42" s="70" t="s">
        <v>82</v>
      </c>
      <c r="D42" s="70" t="s">
        <v>23</v>
      </c>
      <c r="E42" s="70" t="b">
        <v>1</v>
      </c>
      <c r="F42" s="70" t="s">
        <v>27</v>
      </c>
      <c r="G42" s="70">
        <v>9</v>
      </c>
      <c r="H42" s="71">
        <v>46236</v>
      </c>
    </row>
    <row r="43" spans="1:8">
      <c r="A43" s="70">
        <v>806</v>
      </c>
      <c r="B43" s="70" t="s">
        <v>81</v>
      </c>
      <c r="C43" s="70" t="s">
        <v>83</v>
      </c>
      <c r="D43" s="70" t="s">
        <v>23</v>
      </c>
      <c r="E43" s="70" t="b">
        <v>0</v>
      </c>
      <c r="F43" s="70" t="s">
        <v>27</v>
      </c>
      <c r="G43" s="70">
        <v>11</v>
      </c>
      <c r="H43" s="71">
        <v>46236</v>
      </c>
    </row>
    <row r="44" spans="1:8">
      <c r="A44" s="70">
        <v>482</v>
      </c>
      <c r="B44" s="70" t="s">
        <v>84</v>
      </c>
      <c r="C44" s="70" t="s">
        <v>85</v>
      </c>
      <c r="D44" s="70" t="s">
        <v>23</v>
      </c>
      <c r="E44" s="70" t="b">
        <v>0</v>
      </c>
      <c r="F44" s="70" t="s">
        <v>27</v>
      </c>
      <c r="G44" s="70">
        <v>13</v>
      </c>
      <c r="H44" s="71">
        <v>46236</v>
      </c>
    </row>
    <row r="45" spans="1:8">
      <c r="A45" s="70">
        <v>674</v>
      </c>
      <c r="B45" s="70" t="s">
        <v>86</v>
      </c>
      <c r="C45" s="70" t="s">
        <v>87</v>
      </c>
      <c r="D45" s="70" t="s">
        <v>54</v>
      </c>
      <c r="E45" s="70" t="b">
        <v>1</v>
      </c>
      <c r="F45" s="70" t="s">
        <v>27</v>
      </c>
      <c r="G45" s="70">
        <v>23</v>
      </c>
      <c r="H45" s="71">
        <v>46236</v>
      </c>
    </row>
    <row r="46" spans="1:8">
      <c r="A46" s="70">
        <v>1061</v>
      </c>
      <c r="B46" s="70" t="s">
        <v>88</v>
      </c>
      <c r="C46" s="70" t="s">
        <v>89</v>
      </c>
      <c r="D46" s="70" t="s">
        <v>23</v>
      </c>
      <c r="E46" s="70" t="b">
        <v>0</v>
      </c>
      <c r="F46" s="70" t="s">
        <v>27</v>
      </c>
      <c r="G46" s="70">
        <v>19</v>
      </c>
      <c r="H46" s="71">
        <v>46236</v>
      </c>
    </row>
    <row r="47" spans="1:8">
      <c r="A47" s="70">
        <v>763</v>
      </c>
      <c r="B47" s="70" t="s">
        <v>90</v>
      </c>
      <c r="C47" s="70" t="s">
        <v>59</v>
      </c>
      <c r="D47" s="70" t="s">
        <v>23</v>
      </c>
      <c r="E47" s="70" t="b">
        <v>0</v>
      </c>
      <c r="F47" s="70" t="s">
        <v>27</v>
      </c>
      <c r="G47" s="70">
        <v>17</v>
      </c>
      <c r="H47" s="71">
        <v>46236</v>
      </c>
    </row>
    <row r="48" spans="1:8">
      <c r="A48" s="70">
        <v>1227</v>
      </c>
      <c r="B48" s="70" t="s">
        <v>91</v>
      </c>
      <c r="C48" s="70" t="s">
        <v>92</v>
      </c>
      <c r="D48" s="70" t="s">
        <v>23</v>
      </c>
      <c r="E48" s="70" t="b">
        <v>1</v>
      </c>
      <c r="F48" s="70" t="s">
        <v>27</v>
      </c>
      <c r="G48" s="70">
        <v>8</v>
      </c>
      <c r="H48" s="71">
        <v>46236</v>
      </c>
    </row>
    <row r="49" spans="1:8">
      <c r="A49" s="70">
        <v>715</v>
      </c>
      <c r="B49" s="70" t="s">
        <v>93</v>
      </c>
      <c r="C49" s="70" t="s">
        <v>94</v>
      </c>
      <c r="D49" s="70" t="s">
        <v>23</v>
      </c>
      <c r="E49" s="70" t="b">
        <v>0</v>
      </c>
      <c r="F49" s="70" t="s">
        <v>27</v>
      </c>
      <c r="G49" s="70">
        <v>5</v>
      </c>
      <c r="H49" s="71">
        <v>46236</v>
      </c>
    </row>
    <row r="50" spans="1:8">
      <c r="A50" s="70">
        <v>567</v>
      </c>
      <c r="B50" s="70" t="s">
        <v>95</v>
      </c>
      <c r="C50" s="70" t="s">
        <v>96</v>
      </c>
      <c r="D50" s="70" t="s">
        <v>23</v>
      </c>
      <c r="E50" s="70" t="b">
        <v>0</v>
      </c>
      <c r="F50" s="70" t="s">
        <v>27</v>
      </c>
      <c r="G50" s="70">
        <v>7</v>
      </c>
      <c r="H50" s="71">
        <v>46236</v>
      </c>
    </row>
    <row r="51" spans="1:8">
      <c r="A51" s="70">
        <v>1391</v>
      </c>
      <c r="B51" s="70" t="s">
        <v>97</v>
      </c>
      <c r="C51" s="70" t="s">
        <v>98</v>
      </c>
      <c r="D51" s="70" t="s">
        <v>54</v>
      </c>
      <c r="E51" s="70" t="b">
        <v>1</v>
      </c>
      <c r="F51" s="70" t="s">
        <v>25</v>
      </c>
      <c r="H51" s="71">
        <v>46236</v>
      </c>
    </row>
    <row r="52" spans="1:8">
      <c r="A52" s="70">
        <v>704</v>
      </c>
      <c r="B52" s="70" t="s">
        <v>99</v>
      </c>
      <c r="C52" s="70" t="s">
        <v>100</v>
      </c>
      <c r="D52" s="70" t="s">
        <v>23</v>
      </c>
      <c r="E52" s="70" t="b">
        <v>0</v>
      </c>
      <c r="F52" s="70" t="s">
        <v>27</v>
      </c>
      <c r="G52" s="70">
        <v>21</v>
      </c>
      <c r="H52" s="71">
        <v>46236</v>
      </c>
    </row>
    <row r="53" spans="1:8">
      <c r="A53" s="70">
        <v>1283</v>
      </c>
      <c r="B53" s="70" t="s">
        <v>101</v>
      </c>
      <c r="C53" s="70" t="s">
        <v>102</v>
      </c>
      <c r="D53" s="70" t="s">
        <v>23</v>
      </c>
      <c r="E53" s="70" t="b">
        <v>0</v>
      </c>
      <c r="F53" s="70" t="s">
        <v>27</v>
      </c>
      <c r="G53" s="70">
        <v>18</v>
      </c>
      <c r="H53" s="71">
        <v>46236</v>
      </c>
    </row>
    <row r="54" spans="1:8">
      <c r="A54" s="70">
        <v>295</v>
      </c>
      <c r="B54" s="70" t="s">
        <v>103</v>
      </c>
      <c r="C54" s="70" t="s">
        <v>104</v>
      </c>
      <c r="D54" s="70" t="s">
        <v>23</v>
      </c>
      <c r="E54" s="70" t="b">
        <v>0</v>
      </c>
      <c r="F54" s="70" t="s">
        <v>27</v>
      </c>
      <c r="G54" s="70">
        <v>15</v>
      </c>
      <c r="H54" s="71">
        <v>46236</v>
      </c>
    </row>
    <row r="55" spans="1:8">
      <c r="A55" s="70">
        <v>1226</v>
      </c>
      <c r="B55" s="70" t="s">
        <v>105</v>
      </c>
      <c r="C55" s="70" t="s">
        <v>106</v>
      </c>
      <c r="D55" s="70" t="s">
        <v>23</v>
      </c>
      <c r="E55" s="70" t="b">
        <v>1</v>
      </c>
      <c r="F55" s="70" t="s">
        <v>25</v>
      </c>
      <c r="H55" s="71">
        <v>46236</v>
      </c>
    </row>
    <row r="56" spans="1:8">
      <c r="A56" s="70">
        <v>1333</v>
      </c>
      <c r="B56" s="70" t="s">
        <v>107</v>
      </c>
      <c r="C56" s="70" t="s">
        <v>108</v>
      </c>
      <c r="D56" s="70" t="s">
        <v>23</v>
      </c>
      <c r="E56" s="70" t="b">
        <v>0</v>
      </c>
      <c r="F56" s="70" t="s">
        <v>27</v>
      </c>
      <c r="G56" s="70">
        <v>3</v>
      </c>
      <c r="H56" s="71">
        <v>46236</v>
      </c>
    </row>
    <row r="57" spans="1:8">
      <c r="A57" s="70">
        <v>1185</v>
      </c>
      <c r="B57" s="70" t="s">
        <v>109</v>
      </c>
      <c r="C57" s="70" t="s">
        <v>110</v>
      </c>
      <c r="D57" s="70" t="s">
        <v>23</v>
      </c>
      <c r="E57" s="70" t="b">
        <v>1</v>
      </c>
      <c r="F57" s="70" t="s">
        <v>35</v>
      </c>
      <c r="H57" s="71">
        <v>46236</v>
      </c>
    </row>
    <row r="58" spans="1:8">
      <c r="A58" s="70">
        <v>1065</v>
      </c>
      <c r="B58" s="70" t="s">
        <v>109</v>
      </c>
      <c r="C58" s="70" t="s">
        <v>41</v>
      </c>
      <c r="D58" s="70" t="s">
        <v>23</v>
      </c>
      <c r="E58" s="70" t="b">
        <v>0</v>
      </c>
      <c r="F58" s="70" t="s">
        <v>27</v>
      </c>
      <c r="G58" s="70">
        <v>1</v>
      </c>
      <c r="H58" s="71">
        <v>46236</v>
      </c>
    </row>
    <row r="59" spans="1:8">
      <c r="A59" s="70">
        <v>1407</v>
      </c>
      <c r="B59" s="70" t="s">
        <v>111</v>
      </c>
      <c r="C59" s="70" t="s">
        <v>112</v>
      </c>
      <c r="D59" s="70" t="s">
        <v>23</v>
      </c>
      <c r="E59" s="70" t="b">
        <v>0</v>
      </c>
      <c r="F59" s="70" t="s">
        <v>25</v>
      </c>
      <c r="H59" s="71">
        <v>46236</v>
      </c>
    </row>
    <row r="60" spans="1:8">
      <c r="A60" s="70">
        <v>701</v>
      </c>
      <c r="B60" s="70" t="s">
        <v>767</v>
      </c>
      <c r="C60" s="70" t="s">
        <v>136</v>
      </c>
      <c r="D60" s="70" t="s">
        <v>23</v>
      </c>
      <c r="E60" s="70" t="b">
        <v>0</v>
      </c>
      <c r="F60" s="70" t="s">
        <v>27</v>
      </c>
      <c r="G60" s="70">
        <v>4</v>
      </c>
      <c r="H60" s="71">
        <v>46236</v>
      </c>
    </row>
    <row r="61" spans="1:8">
      <c r="A61" s="70">
        <v>1096</v>
      </c>
      <c r="B61" s="70" t="s">
        <v>113</v>
      </c>
      <c r="C61" s="70" t="s">
        <v>114</v>
      </c>
      <c r="D61" s="70" t="s">
        <v>23</v>
      </c>
      <c r="E61" s="70" t="b">
        <v>0</v>
      </c>
      <c r="F61" s="70" t="s">
        <v>35</v>
      </c>
      <c r="H61" s="71">
        <v>46236</v>
      </c>
    </row>
    <row r="62" spans="1:8">
      <c r="A62" s="70">
        <v>1236</v>
      </c>
      <c r="B62" s="70" t="s">
        <v>113</v>
      </c>
      <c r="C62" s="70" t="s">
        <v>115</v>
      </c>
      <c r="D62" s="70" t="s">
        <v>23</v>
      </c>
      <c r="E62" s="70" t="b">
        <v>1</v>
      </c>
      <c r="F62" s="70" t="s">
        <v>27</v>
      </c>
      <c r="G62" s="70">
        <v>5</v>
      </c>
      <c r="H62" s="71">
        <v>46236</v>
      </c>
    </row>
    <row r="63" spans="1:8">
      <c r="A63" s="70">
        <v>699</v>
      </c>
      <c r="B63" s="70" t="s">
        <v>113</v>
      </c>
      <c r="C63" s="70" t="s">
        <v>116</v>
      </c>
      <c r="D63" s="70" t="s">
        <v>23</v>
      </c>
      <c r="E63" s="70" t="b">
        <v>0</v>
      </c>
      <c r="F63" s="70" t="s">
        <v>27</v>
      </c>
      <c r="G63" s="70">
        <v>5</v>
      </c>
      <c r="H63" s="71">
        <v>46236</v>
      </c>
    </row>
    <row r="64" spans="1:8">
      <c r="A64" s="70">
        <v>1288</v>
      </c>
      <c r="B64" s="70" t="s">
        <v>117</v>
      </c>
      <c r="C64" s="70" t="s">
        <v>118</v>
      </c>
      <c r="D64" s="70" t="s">
        <v>23</v>
      </c>
      <c r="E64" s="70" t="b">
        <v>0</v>
      </c>
      <c r="F64" s="70" t="s">
        <v>35</v>
      </c>
      <c r="H64" s="71">
        <v>46236</v>
      </c>
    </row>
    <row r="65" spans="1:8">
      <c r="A65" s="70">
        <v>1429</v>
      </c>
      <c r="B65" s="70" t="s">
        <v>117</v>
      </c>
      <c r="C65" s="70" t="s">
        <v>119</v>
      </c>
      <c r="D65" s="70" t="s">
        <v>23</v>
      </c>
      <c r="E65" s="70" t="b">
        <v>0</v>
      </c>
      <c r="F65" s="70" t="s">
        <v>35</v>
      </c>
      <c r="H65" s="71">
        <v>46236</v>
      </c>
    </row>
    <row r="66" spans="1:8">
      <c r="A66" s="70">
        <v>1000</v>
      </c>
      <c r="B66" s="70" t="s">
        <v>120</v>
      </c>
      <c r="C66" s="70" t="s">
        <v>121</v>
      </c>
      <c r="D66" s="70" t="s">
        <v>23</v>
      </c>
      <c r="E66" s="70" t="b">
        <v>0</v>
      </c>
      <c r="F66" s="70" t="s">
        <v>25</v>
      </c>
      <c r="H66" s="71">
        <v>46236</v>
      </c>
    </row>
    <row r="67" spans="1:8">
      <c r="A67" s="70">
        <v>1332</v>
      </c>
      <c r="B67" s="70" t="s">
        <v>122</v>
      </c>
      <c r="C67" s="70" t="s">
        <v>123</v>
      </c>
      <c r="D67" s="70" t="s">
        <v>23</v>
      </c>
      <c r="E67" s="70" t="b">
        <v>1</v>
      </c>
      <c r="F67" s="70" t="s">
        <v>25</v>
      </c>
      <c r="H67" s="71">
        <v>46236</v>
      </c>
    </row>
    <row r="68" spans="1:8">
      <c r="A68" s="70">
        <v>682</v>
      </c>
      <c r="B68" s="70" t="s">
        <v>124</v>
      </c>
      <c r="C68" s="70" t="s">
        <v>125</v>
      </c>
      <c r="D68" s="70" t="s">
        <v>23</v>
      </c>
      <c r="E68" s="70" t="b">
        <v>0</v>
      </c>
      <c r="F68" s="70" t="s">
        <v>27</v>
      </c>
      <c r="G68" s="70">
        <v>11</v>
      </c>
      <c r="H68" s="71">
        <v>46236</v>
      </c>
    </row>
    <row r="69" spans="1:8">
      <c r="A69" s="70">
        <v>1393</v>
      </c>
      <c r="B69" s="70" t="s">
        <v>126</v>
      </c>
      <c r="C69" s="70" t="s">
        <v>127</v>
      </c>
      <c r="D69" s="70" t="s">
        <v>23</v>
      </c>
      <c r="E69" s="70" t="b">
        <v>1</v>
      </c>
      <c r="F69" s="70" t="s">
        <v>27</v>
      </c>
      <c r="G69" s="70">
        <v>10</v>
      </c>
      <c r="H69" s="71">
        <v>46236</v>
      </c>
    </row>
    <row r="70" spans="1:8">
      <c r="A70" s="70">
        <v>1355</v>
      </c>
      <c r="B70" s="70" t="s">
        <v>128</v>
      </c>
      <c r="C70" s="70" t="s">
        <v>129</v>
      </c>
      <c r="D70" s="70" t="s">
        <v>23</v>
      </c>
      <c r="E70" s="70" t="b">
        <v>0</v>
      </c>
      <c r="F70" s="70" t="s">
        <v>35</v>
      </c>
      <c r="H70" s="71">
        <v>46236</v>
      </c>
    </row>
    <row r="71" spans="1:8">
      <c r="A71" s="70">
        <v>1164</v>
      </c>
      <c r="B71" s="70" t="s">
        <v>130</v>
      </c>
      <c r="C71" s="70" t="s">
        <v>131</v>
      </c>
      <c r="D71" s="70" t="s">
        <v>54</v>
      </c>
      <c r="E71" s="70" t="b">
        <v>1</v>
      </c>
      <c r="F71" s="70" t="s">
        <v>25</v>
      </c>
      <c r="H71" s="71">
        <v>46236</v>
      </c>
    </row>
    <row r="72" spans="1:8">
      <c r="A72" s="70">
        <v>1062</v>
      </c>
      <c r="B72" s="70" t="s">
        <v>130</v>
      </c>
      <c r="C72" s="70" t="s">
        <v>83</v>
      </c>
      <c r="D72" s="70" t="s">
        <v>23</v>
      </c>
      <c r="E72" s="70" t="b">
        <v>0</v>
      </c>
      <c r="F72" s="70" t="s">
        <v>27</v>
      </c>
      <c r="G72" s="70">
        <v>9</v>
      </c>
      <c r="H72" s="71">
        <v>46236</v>
      </c>
    </row>
    <row r="73" spans="1:8">
      <c r="A73" s="70">
        <v>938</v>
      </c>
      <c r="B73" s="70" t="s">
        <v>130</v>
      </c>
      <c r="C73" s="70" t="s">
        <v>132</v>
      </c>
      <c r="D73" s="70" t="s">
        <v>23</v>
      </c>
      <c r="E73" s="70" t="b">
        <v>1</v>
      </c>
      <c r="F73" s="70" t="s">
        <v>27</v>
      </c>
      <c r="G73" s="70">
        <v>7</v>
      </c>
      <c r="H73" s="71">
        <v>46236</v>
      </c>
    </row>
    <row r="74" spans="1:8">
      <c r="A74" s="70">
        <v>1427</v>
      </c>
      <c r="B74" s="70" t="s">
        <v>130</v>
      </c>
      <c r="C74" s="70" t="s">
        <v>133</v>
      </c>
      <c r="D74" s="70" t="s">
        <v>23</v>
      </c>
      <c r="E74" s="70" t="b">
        <v>1</v>
      </c>
      <c r="F74" s="70" t="s">
        <v>27</v>
      </c>
      <c r="G74" s="70">
        <v>16</v>
      </c>
      <c r="H74" s="71">
        <v>46236</v>
      </c>
    </row>
    <row r="75" spans="1:8">
      <c r="A75" s="70">
        <v>1034</v>
      </c>
      <c r="B75" s="70" t="s">
        <v>134</v>
      </c>
      <c r="C75" s="70" t="s">
        <v>83</v>
      </c>
      <c r="D75" s="70" t="s">
        <v>23</v>
      </c>
      <c r="E75" s="70" t="b">
        <v>0</v>
      </c>
      <c r="F75" s="70" t="s">
        <v>25</v>
      </c>
      <c r="H75" s="71">
        <v>46236</v>
      </c>
    </row>
    <row r="76" spans="1:8">
      <c r="A76" s="70">
        <v>1402</v>
      </c>
      <c r="B76" s="70" t="s">
        <v>135</v>
      </c>
      <c r="C76" s="70" t="s">
        <v>136</v>
      </c>
      <c r="D76" s="70" t="s">
        <v>23</v>
      </c>
      <c r="E76" s="70" t="b">
        <v>0</v>
      </c>
      <c r="F76" s="70" t="s">
        <v>27</v>
      </c>
      <c r="G76" s="70">
        <v>7</v>
      </c>
      <c r="H76" s="71">
        <v>46236</v>
      </c>
    </row>
    <row r="77" spans="1:8">
      <c r="A77" s="70">
        <v>939</v>
      </c>
      <c r="B77" s="70" t="s">
        <v>137</v>
      </c>
      <c r="C77" s="70" t="s">
        <v>127</v>
      </c>
      <c r="D77" s="70" t="s">
        <v>23</v>
      </c>
      <c r="E77" s="70" t="b">
        <v>1</v>
      </c>
      <c r="F77" s="70" t="s">
        <v>27</v>
      </c>
      <c r="G77" s="70">
        <v>12</v>
      </c>
      <c r="H77" s="71">
        <v>46236</v>
      </c>
    </row>
    <row r="78" spans="1:8">
      <c r="A78" s="70">
        <v>1377</v>
      </c>
      <c r="B78" s="70" t="s">
        <v>138</v>
      </c>
      <c r="C78" s="70" t="s">
        <v>139</v>
      </c>
      <c r="D78" s="70" t="s">
        <v>23</v>
      </c>
      <c r="E78" s="70" t="b">
        <v>1</v>
      </c>
      <c r="F78" s="70" t="s">
        <v>27</v>
      </c>
      <c r="G78" s="70">
        <v>12</v>
      </c>
      <c r="H78" s="71">
        <v>46236</v>
      </c>
    </row>
    <row r="79" spans="1:8">
      <c r="A79" s="70">
        <v>1281</v>
      </c>
      <c r="B79" s="70" t="s">
        <v>140</v>
      </c>
      <c r="C79" s="70" t="s">
        <v>141</v>
      </c>
      <c r="D79" s="70" t="s">
        <v>23</v>
      </c>
      <c r="E79" s="70" t="b">
        <v>0</v>
      </c>
      <c r="F79" s="70" t="s">
        <v>27</v>
      </c>
      <c r="G79" s="70">
        <v>19</v>
      </c>
      <c r="H79" s="71">
        <v>46236</v>
      </c>
    </row>
    <row r="80" spans="1:8">
      <c r="A80" s="70">
        <v>933</v>
      </c>
      <c r="B80" s="70" t="s">
        <v>142</v>
      </c>
      <c r="C80" s="70" t="s">
        <v>143</v>
      </c>
      <c r="D80" s="70" t="s">
        <v>23</v>
      </c>
      <c r="E80" s="70" t="b">
        <v>0</v>
      </c>
      <c r="F80" s="70" t="s">
        <v>25</v>
      </c>
      <c r="H80" s="71">
        <v>46236</v>
      </c>
    </row>
    <row r="81" spans="1:8">
      <c r="A81" s="70">
        <v>1274</v>
      </c>
      <c r="B81" s="70" t="s">
        <v>144</v>
      </c>
      <c r="C81" s="70" t="s">
        <v>145</v>
      </c>
      <c r="D81" s="70" t="s">
        <v>23</v>
      </c>
      <c r="E81" s="70" t="b">
        <v>1</v>
      </c>
      <c r="F81" s="70" t="s">
        <v>25</v>
      </c>
      <c r="H81" s="71">
        <v>46236</v>
      </c>
    </row>
    <row r="82" spans="1:8">
      <c r="A82" s="70">
        <v>493</v>
      </c>
      <c r="B82" s="70" t="s">
        <v>146</v>
      </c>
      <c r="C82" s="70" t="s">
        <v>49</v>
      </c>
      <c r="D82" s="70" t="s">
        <v>48</v>
      </c>
      <c r="E82" s="70" t="b">
        <v>0</v>
      </c>
      <c r="F82" s="70" t="s">
        <v>27</v>
      </c>
      <c r="G82" s="70">
        <v>37</v>
      </c>
      <c r="H82" s="71">
        <v>46236</v>
      </c>
    </row>
    <row r="83" spans="1:8">
      <c r="A83" s="70">
        <v>1279</v>
      </c>
      <c r="B83" s="70" t="s">
        <v>147</v>
      </c>
      <c r="C83" s="70" t="s">
        <v>148</v>
      </c>
      <c r="D83" s="70" t="s">
        <v>23</v>
      </c>
      <c r="E83" s="70" t="b">
        <v>0</v>
      </c>
      <c r="F83" s="70" t="s">
        <v>27</v>
      </c>
      <c r="G83" s="70">
        <v>4</v>
      </c>
      <c r="H83" s="71">
        <v>46236</v>
      </c>
    </row>
    <row r="84" spans="1:8">
      <c r="A84" s="70">
        <v>1193</v>
      </c>
      <c r="B84" s="70" t="s">
        <v>149</v>
      </c>
      <c r="C84" s="70" t="s">
        <v>150</v>
      </c>
      <c r="D84" s="70" t="s">
        <v>23</v>
      </c>
      <c r="E84" s="70" t="b">
        <v>0</v>
      </c>
      <c r="F84" s="70" t="s">
        <v>25</v>
      </c>
      <c r="H84" s="71">
        <v>46236</v>
      </c>
    </row>
    <row r="85" spans="1:8">
      <c r="A85" s="70">
        <v>1194</v>
      </c>
      <c r="B85" s="70" t="s">
        <v>149</v>
      </c>
      <c r="C85" s="70" t="s">
        <v>151</v>
      </c>
      <c r="D85" s="70" t="s">
        <v>23</v>
      </c>
      <c r="E85" s="70" t="b">
        <v>1</v>
      </c>
      <c r="F85" s="70" t="s">
        <v>25</v>
      </c>
      <c r="H85" s="71">
        <v>46236</v>
      </c>
    </row>
    <row r="86" spans="1:8">
      <c r="A86" s="70">
        <v>1196</v>
      </c>
      <c r="B86" s="70" t="s">
        <v>149</v>
      </c>
      <c r="C86" s="70" t="s">
        <v>152</v>
      </c>
      <c r="D86" s="70" t="s">
        <v>23</v>
      </c>
      <c r="E86" s="70" t="b">
        <v>0</v>
      </c>
      <c r="F86" s="70" t="s">
        <v>35</v>
      </c>
      <c r="H86" s="71">
        <v>46236</v>
      </c>
    </row>
    <row r="87" spans="1:8">
      <c r="A87" s="70">
        <v>1195</v>
      </c>
      <c r="B87" s="70" t="s">
        <v>149</v>
      </c>
      <c r="C87" s="70" t="s">
        <v>153</v>
      </c>
      <c r="D87" s="70" t="s">
        <v>23</v>
      </c>
      <c r="E87" s="70" t="b">
        <v>0</v>
      </c>
      <c r="F87" s="70" t="s">
        <v>35</v>
      </c>
      <c r="H87" s="71">
        <v>46236</v>
      </c>
    </row>
    <row r="88" spans="1:8">
      <c r="A88" s="70">
        <v>1176</v>
      </c>
      <c r="B88" s="70" t="s">
        <v>154</v>
      </c>
      <c r="C88" s="70" t="s">
        <v>155</v>
      </c>
      <c r="D88" s="70" t="s">
        <v>23</v>
      </c>
      <c r="E88" s="70" t="b">
        <v>0</v>
      </c>
      <c r="F88" s="70" t="s">
        <v>35</v>
      </c>
      <c r="H88" s="71">
        <v>46236</v>
      </c>
    </row>
    <row r="89" spans="1:8">
      <c r="A89" s="70">
        <v>1174</v>
      </c>
      <c r="B89" s="70" t="s">
        <v>154</v>
      </c>
      <c r="C89" s="70" t="s">
        <v>156</v>
      </c>
      <c r="D89" s="70" t="s">
        <v>23</v>
      </c>
      <c r="E89" s="70" t="b">
        <v>1</v>
      </c>
      <c r="F89" s="70" t="s">
        <v>27</v>
      </c>
      <c r="G89" s="70">
        <v>6</v>
      </c>
      <c r="H89" s="71">
        <v>46236</v>
      </c>
    </row>
    <row r="90" spans="1:8">
      <c r="A90" s="70">
        <v>1175</v>
      </c>
      <c r="B90" s="70" t="s">
        <v>154</v>
      </c>
      <c r="C90" s="70" t="s">
        <v>150</v>
      </c>
      <c r="D90" s="70" t="s">
        <v>23</v>
      </c>
      <c r="E90" s="70" t="b">
        <v>0</v>
      </c>
      <c r="F90" s="70" t="s">
        <v>27</v>
      </c>
      <c r="G90" s="70">
        <v>12</v>
      </c>
      <c r="H90" s="71">
        <v>46236</v>
      </c>
    </row>
    <row r="91" spans="1:8">
      <c r="A91" s="70">
        <v>1109</v>
      </c>
      <c r="B91" s="70" t="s">
        <v>157</v>
      </c>
      <c r="C91" s="70" t="s">
        <v>104</v>
      </c>
      <c r="D91" s="70" t="s">
        <v>23</v>
      </c>
      <c r="E91" s="70" t="b">
        <v>0</v>
      </c>
      <c r="F91" s="70" t="s">
        <v>25</v>
      </c>
      <c r="H91" s="71">
        <v>46236</v>
      </c>
    </row>
    <row r="92" spans="1:8">
      <c r="A92" s="70">
        <v>1073</v>
      </c>
      <c r="B92" s="70" t="s">
        <v>158</v>
      </c>
      <c r="C92" s="70" t="s">
        <v>150</v>
      </c>
      <c r="D92" s="70" t="s">
        <v>23</v>
      </c>
      <c r="E92" s="70" t="b">
        <v>0</v>
      </c>
      <c r="F92" s="70" t="s">
        <v>27</v>
      </c>
      <c r="G92" s="70">
        <v>3</v>
      </c>
      <c r="H92" s="71">
        <v>46236</v>
      </c>
    </row>
    <row r="93" spans="1:8">
      <c r="A93" s="70">
        <v>1400</v>
      </c>
      <c r="B93" s="70" t="s">
        <v>159</v>
      </c>
      <c r="C93" s="70" t="s">
        <v>160</v>
      </c>
      <c r="D93" s="70" t="s">
        <v>23</v>
      </c>
      <c r="E93" s="70" t="b">
        <v>0</v>
      </c>
      <c r="F93" s="70" t="s">
        <v>25</v>
      </c>
      <c r="H93" s="71">
        <v>46236</v>
      </c>
    </row>
    <row r="94" spans="1:8">
      <c r="A94" s="70">
        <v>1367</v>
      </c>
      <c r="B94" s="70" t="s">
        <v>161</v>
      </c>
      <c r="C94" s="70" t="s">
        <v>152</v>
      </c>
      <c r="D94" s="70" t="s">
        <v>23</v>
      </c>
      <c r="E94" s="70" t="b">
        <v>0</v>
      </c>
      <c r="F94" s="70" t="s">
        <v>35</v>
      </c>
      <c r="H94" s="71">
        <v>46236</v>
      </c>
    </row>
    <row r="95" spans="1:8">
      <c r="A95" s="70">
        <v>1366</v>
      </c>
      <c r="B95" s="70" t="s">
        <v>161</v>
      </c>
      <c r="C95" s="70" t="s">
        <v>162</v>
      </c>
      <c r="D95" s="70" t="s">
        <v>23</v>
      </c>
      <c r="E95" s="70" t="b">
        <v>1</v>
      </c>
      <c r="F95" s="70" t="s">
        <v>25</v>
      </c>
      <c r="H95" s="71">
        <v>46236</v>
      </c>
    </row>
    <row r="96" spans="1:8">
      <c r="A96" s="70">
        <v>1365</v>
      </c>
      <c r="B96" s="70" t="s">
        <v>161</v>
      </c>
      <c r="C96" s="70" t="s">
        <v>163</v>
      </c>
      <c r="D96" s="70" t="s">
        <v>23</v>
      </c>
      <c r="E96" s="70" t="b">
        <v>1</v>
      </c>
      <c r="F96" s="70" t="s">
        <v>27</v>
      </c>
      <c r="G96" s="70">
        <v>7</v>
      </c>
      <c r="H96" s="71">
        <v>46236</v>
      </c>
    </row>
    <row r="97" spans="1:8">
      <c r="A97" s="70">
        <v>897</v>
      </c>
      <c r="B97" s="70" t="s">
        <v>161</v>
      </c>
      <c r="C97" s="70" t="s">
        <v>164</v>
      </c>
      <c r="D97" s="70" t="s">
        <v>23</v>
      </c>
      <c r="E97" s="70" t="b">
        <v>0</v>
      </c>
      <c r="F97" s="70" t="s">
        <v>27</v>
      </c>
      <c r="G97" s="70">
        <v>13</v>
      </c>
      <c r="H97" s="71">
        <v>46236</v>
      </c>
    </row>
    <row r="98" spans="1:8">
      <c r="A98" s="70">
        <v>1308</v>
      </c>
      <c r="B98" s="70" t="s">
        <v>165</v>
      </c>
      <c r="C98" s="70" t="s">
        <v>166</v>
      </c>
      <c r="D98" s="70" t="s">
        <v>23</v>
      </c>
      <c r="E98" s="70" t="b">
        <v>1</v>
      </c>
      <c r="F98" s="70" t="s">
        <v>27</v>
      </c>
      <c r="G98" s="70">
        <v>2</v>
      </c>
      <c r="H98" s="71">
        <v>46236</v>
      </c>
    </row>
    <row r="99" spans="1:8">
      <c r="A99" s="70">
        <v>1206</v>
      </c>
      <c r="B99" s="70" t="s">
        <v>167</v>
      </c>
      <c r="C99" s="70" t="s">
        <v>168</v>
      </c>
      <c r="D99" s="70" t="s">
        <v>23</v>
      </c>
      <c r="E99" s="70" t="b">
        <v>1</v>
      </c>
      <c r="F99" s="70" t="s">
        <v>27</v>
      </c>
      <c r="G99" s="70">
        <v>8</v>
      </c>
      <c r="H99" s="71">
        <v>46236</v>
      </c>
    </row>
    <row r="100" spans="1:8">
      <c r="A100" s="70">
        <v>1205</v>
      </c>
      <c r="B100" s="70" t="s">
        <v>167</v>
      </c>
      <c r="C100" s="70" t="s">
        <v>66</v>
      </c>
      <c r="D100" s="70" t="s">
        <v>23</v>
      </c>
      <c r="E100" s="70" t="b">
        <v>0</v>
      </c>
      <c r="F100" s="70" t="s">
        <v>27</v>
      </c>
      <c r="G100" s="70">
        <v>14</v>
      </c>
      <c r="H100" s="71">
        <v>46236</v>
      </c>
    </row>
    <row r="101" spans="1:8">
      <c r="A101" s="70">
        <v>1406</v>
      </c>
      <c r="B101" s="70" t="s">
        <v>169</v>
      </c>
      <c r="C101" s="70" t="s">
        <v>170</v>
      </c>
      <c r="D101" s="70" t="s">
        <v>23</v>
      </c>
      <c r="E101" s="70" t="b">
        <v>0</v>
      </c>
      <c r="F101" s="70" t="s">
        <v>27</v>
      </c>
      <c r="G101" s="70">
        <v>9</v>
      </c>
      <c r="H101" s="71">
        <v>46236</v>
      </c>
    </row>
    <row r="102" spans="1:8">
      <c r="A102" s="70">
        <v>1182</v>
      </c>
      <c r="B102" s="70" t="s">
        <v>171</v>
      </c>
      <c r="C102" s="70" t="s">
        <v>136</v>
      </c>
      <c r="D102" s="70" t="s">
        <v>23</v>
      </c>
      <c r="E102" s="70" t="b">
        <v>0</v>
      </c>
      <c r="F102" s="70" t="s">
        <v>27</v>
      </c>
      <c r="G102" s="70">
        <v>8</v>
      </c>
      <c r="H102" s="71">
        <v>46236</v>
      </c>
    </row>
    <row r="103" spans="1:8">
      <c r="A103" s="70">
        <v>1340</v>
      </c>
      <c r="B103" s="70" t="s">
        <v>172</v>
      </c>
      <c r="C103" s="70" t="s">
        <v>173</v>
      </c>
      <c r="D103" s="70" t="s">
        <v>23</v>
      </c>
      <c r="E103" s="70" t="b">
        <v>0</v>
      </c>
      <c r="F103" s="70" t="s">
        <v>27</v>
      </c>
      <c r="G103" s="70">
        <v>8</v>
      </c>
      <c r="H103" s="71">
        <v>46236</v>
      </c>
    </row>
    <row r="104" spans="1:8">
      <c r="A104" s="70">
        <v>21</v>
      </c>
      <c r="B104" s="70" t="s">
        <v>174</v>
      </c>
      <c r="C104" s="70" t="s">
        <v>175</v>
      </c>
      <c r="D104" s="70" t="s">
        <v>23</v>
      </c>
      <c r="E104" s="70" t="b">
        <v>0</v>
      </c>
      <c r="F104" s="70" t="s">
        <v>25</v>
      </c>
      <c r="H104" s="71">
        <v>46236</v>
      </c>
    </row>
    <row r="105" spans="1:8">
      <c r="A105" s="70">
        <v>1049</v>
      </c>
      <c r="B105" s="70" t="s">
        <v>176</v>
      </c>
      <c r="C105" s="70" t="s">
        <v>177</v>
      </c>
      <c r="D105" s="70" t="s">
        <v>23</v>
      </c>
      <c r="E105" s="70" t="b">
        <v>0</v>
      </c>
      <c r="F105" s="70" t="s">
        <v>27</v>
      </c>
      <c r="G105" s="70">
        <v>19</v>
      </c>
      <c r="H105" s="71">
        <v>46236</v>
      </c>
    </row>
    <row r="106" spans="1:8">
      <c r="A106" s="70">
        <v>120</v>
      </c>
      <c r="B106" s="70" t="s">
        <v>178</v>
      </c>
      <c r="C106" s="70" t="s">
        <v>179</v>
      </c>
      <c r="D106" s="70" t="s">
        <v>23</v>
      </c>
      <c r="E106" s="70" t="b">
        <v>1</v>
      </c>
      <c r="F106" s="70" t="s">
        <v>27</v>
      </c>
      <c r="G106" s="70">
        <v>12</v>
      </c>
      <c r="H106" s="71">
        <v>46236</v>
      </c>
    </row>
    <row r="107" spans="1:8">
      <c r="A107" s="70">
        <v>990</v>
      </c>
      <c r="B107" s="70" t="s">
        <v>180</v>
      </c>
      <c r="C107" s="70" t="s">
        <v>615</v>
      </c>
      <c r="D107" s="70" t="s">
        <v>23</v>
      </c>
      <c r="E107" s="70" t="b">
        <v>1</v>
      </c>
      <c r="F107" s="70" t="s">
        <v>27</v>
      </c>
      <c r="G107" s="70">
        <v>10</v>
      </c>
      <c r="H107" s="71">
        <v>46236</v>
      </c>
    </row>
    <row r="108" spans="1:8">
      <c r="A108" s="70">
        <v>1395</v>
      </c>
      <c r="B108" s="70" t="s">
        <v>181</v>
      </c>
      <c r="C108" s="70" t="s">
        <v>182</v>
      </c>
      <c r="D108" s="70" t="s">
        <v>23</v>
      </c>
      <c r="E108" s="70" t="b">
        <v>1</v>
      </c>
      <c r="F108" s="70" t="s">
        <v>35</v>
      </c>
      <c r="H108" s="71">
        <v>46236</v>
      </c>
    </row>
    <row r="109" spans="1:8">
      <c r="A109" s="70">
        <v>1158</v>
      </c>
      <c r="B109" s="70" t="s">
        <v>183</v>
      </c>
      <c r="C109" s="70" t="s">
        <v>184</v>
      </c>
      <c r="D109" s="70" t="s">
        <v>23</v>
      </c>
      <c r="E109" s="70" t="b">
        <v>1</v>
      </c>
      <c r="F109" s="70" t="s">
        <v>25</v>
      </c>
      <c r="H109" s="71">
        <v>46236</v>
      </c>
    </row>
    <row r="110" spans="1:8">
      <c r="A110" s="70">
        <v>1432</v>
      </c>
      <c r="B110" s="70" t="s">
        <v>699</v>
      </c>
      <c r="C110" s="70" t="s">
        <v>698</v>
      </c>
      <c r="D110" s="70" t="s">
        <v>23</v>
      </c>
      <c r="E110" s="70" t="b">
        <v>0</v>
      </c>
      <c r="F110" s="70" t="s">
        <v>25</v>
      </c>
      <c r="H110" s="71">
        <v>46236</v>
      </c>
    </row>
    <row r="111" spans="1:8">
      <c r="A111" s="70">
        <v>23</v>
      </c>
      <c r="B111" s="70" t="s">
        <v>185</v>
      </c>
      <c r="C111" s="70" t="s">
        <v>100</v>
      </c>
      <c r="D111" s="70" t="s">
        <v>23</v>
      </c>
      <c r="E111" s="70" t="b">
        <v>0</v>
      </c>
      <c r="F111" s="70" t="s">
        <v>27</v>
      </c>
      <c r="G111" s="70">
        <v>10</v>
      </c>
      <c r="H111" s="71">
        <v>46236</v>
      </c>
    </row>
    <row r="112" spans="1:8">
      <c r="A112" s="70">
        <v>1152</v>
      </c>
      <c r="B112" s="70" t="s">
        <v>186</v>
      </c>
      <c r="C112" s="70" t="s">
        <v>187</v>
      </c>
      <c r="D112" s="70" t="s">
        <v>54</v>
      </c>
      <c r="E112" s="70" t="b">
        <v>1</v>
      </c>
      <c r="F112" s="70" t="s">
        <v>188</v>
      </c>
      <c r="H112" s="71">
        <v>46236</v>
      </c>
    </row>
    <row r="113" spans="1:8">
      <c r="A113" s="70">
        <v>581</v>
      </c>
      <c r="B113" s="70" t="s">
        <v>189</v>
      </c>
      <c r="C113" s="70" t="s">
        <v>190</v>
      </c>
      <c r="D113" s="70" t="s">
        <v>23</v>
      </c>
      <c r="E113" s="70" t="b">
        <v>0</v>
      </c>
      <c r="F113" s="70" t="s">
        <v>27</v>
      </c>
      <c r="G113" s="70">
        <v>13</v>
      </c>
      <c r="H113" s="71">
        <v>46236</v>
      </c>
    </row>
    <row r="114" spans="1:8">
      <c r="A114" s="70">
        <v>1374</v>
      </c>
      <c r="B114" s="70" t="s">
        <v>191</v>
      </c>
      <c r="C114" s="70" t="s">
        <v>192</v>
      </c>
      <c r="D114" s="70" t="s">
        <v>23</v>
      </c>
      <c r="E114" s="70" t="b">
        <v>0</v>
      </c>
      <c r="F114" s="70" t="s">
        <v>25</v>
      </c>
      <c r="H114" s="71">
        <v>46236</v>
      </c>
    </row>
    <row r="115" spans="1:8">
      <c r="A115" s="70">
        <v>25</v>
      </c>
      <c r="B115" s="70" t="s">
        <v>22</v>
      </c>
      <c r="C115" s="70" t="s">
        <v>193</v>
      </c>
      <c r="D115" s="70" t="s">
        <v>23</v>
      </c>
      <c r="E115" s="70" t="b">
        <v>0</v>
      </c>
      <c r="F115" s="70" t="s">
        <v>27</v>
      </c>
      <c r="G115" s="70">
        <v>8</v>
      </c>
      <c r="H115" s="71">
        <v>46236</v>
      </c>
    </row>
    <row r="116" spans="1:8">
      <c r="A116" s="70">
        <v>1257</v>
      </c>
      <c r="B116" s="70" t="s">
        <v>194</v>
      </c>
      <c r="C116" s="70" t="s">
        <v>150</v>
      </c>
      <c r="D116" s="70" t="s">
        <v>54</v>
      </c>
      <c r="E116" s="70" t="b">
        <v>0</v>
      </c>
      <c r="F116" s="70" t="s">
        <v>25</v>
      </c>
      <c r="H116" s="71">
        <v>46236</v>
      </c>
    </row>
    <row r="117" spans="1:8">
      <c r="A117" s="70">
        <v>415</v>
      </c>
      <c r="B117" s="70" t="s">
        <v>195</v>
      </c>
      <c r="C117" s="70" t="s">
        <v>196</v>
      </c>
      <c r="D117" s="70" t="s">
        <v>23</v>
      </c>
      <c r="E117" s="70" t="b">
        <v>0</v>
      </c>
      <c r="F117" s="70" t="s">
        <v>27</v>
      </c>
      <c r="G117" s="70">
        <v>6</v>
      </c>
      <c r="H117" s="71">
        <v>46236</v>
      </c>
    </row>
    <row r="118" spans="1:8">
      <c r="A118" s="70">
        <v>1144</v>
      </c>
      <c r="B118" s="70" t="s">
        <v>195</v>
      </c>
      <c r="C118" s="70" t="s">
        <v>197</v>
      </c>
      <c r="D118" s="70" t="s">
        <v>54</v>
      </c>
      <c r="E118" s="70" t="b">
        <v>0</v>
      </c>
      <c r="F118" s="70" t="s">
        <v>188</v>
      </c>
      <c r="H118" s="71">
        <v>46236</v>
      </c>
    </row>
    <row r="119" spans="1:8">
      <c r="A119" s="70">
        <v>1292</v>
      </c>
      <c r="B119" s="70" t="s">
        <v>198</v>
      </c>
      <c r="C119" s="70" t="s">
        <v>199</v>
      </c>
      <c r="D119" s="70" t="s">
        <v>23</v>
      </c>
      <c r="E119" s="70" t="b">
        <v>1</v>
      </c>
      <c r="F119" s="70" t="s">
        <v>25</v>
      </c>
      <c r="H119" s="71">
        <v>46236</v>
      </c>
    </row>
    <row r="120" spans="1:8">
      <c r="A120" s="70">
        <v>203</v>
      </c>
      <c r="B120" s="70" t="s">
        <v>200</v>
      </c>
      <c r="C120" s="70" t="s">
        <v>201</v>
      </c>
      <c r="D120" s="70" t="s">
        <v>23</v>
      </c>
      <c r="E120" s="70" t="b">
        <v>0</v>
      </c>
      <c r="F120" s="70" t="s">
        <v>27</v>
      </c>
      <c r="G120" s="70">
        <v>9</v>
      </c>
      <c r="H120" s="71">
        <v>46236</v>
      </c>
    </row>
    <row r="121" spans="1:8">
      <c r="A121" s="70">
        <v>956</v>
      </c>
      <c r="B121" s="70" t="s">
        <v>202</v>
      </c>
      <c r="C121" s="70" t="s">
        <v>94</v>
      </c>
      <c r="D121" s="70" t="s">
        <v>23</v>
      </c>
      <c r="E121" s="70" t="b">
        <v>0</v>
      </c>
      <c r="F121" s="70" t="s">
        <v>27</v>
      </c>
      <c r="G121" s="70">
        <v>13</v>
      </c>
      <c r="H121" s="71">
        <v>46236</v>
      </c>
    </row>
    <row r="122" spans="1:8">
      <c r="A122" s="70">
        <v>1273</v>
      </c>
      <c r="B122" s="70" t="s">
        <v>203</v>
      </c>
      <c r="C122" s="70" t="s">
        <v>204</v>
      </c>
      <c r="D122" s="70" t="s">
        <v>23</v>
      </c>
      <c r="E122" s="70" t="b">
        <v>1</v>
      </c>
      <c r="F122" s="70" t="s">
        <v>27</v>
      </c>
      <c r="G122" s="70">
        <v>22</v>
      </c>
      <c r="H122" s="71">
        <v>46236</v>
      </c>
    </row>
    <row r="123" spans="1:8">
      <c r="A123" s="70">
        <v>1272</v>
      </c>
      <c r="B123" s="70" t="s">
        <v>203</v>
      </c>
      <c r="C123" s="70" t="s">
        <v>205</v>
      </c>
      <c r="D123" s="70" t="s">
        <v>23</v>
      </c>
      <c r="E123" s="70" t="b">
        <v>0</v>
      </c>
      <c r="F123" s="70" t="s">
        <v>27</v>
      </c>
      <c r="G123" s="70">
        <v>24</v>
      </c>
      <c r="H123" s="71">
        <v>46236</v>
      </c>
    </row>
    <row r="124" spans="1:8">
      <c r="A124" s="70">
        <v>846</v>
      </c>
      <c r="B124" s="70" t="s">
        <v>206</v>
      </c>
      <c r="C124" s="70" t="s">
        <v>207</v>
      </c>
      <c r="D124" s="70" t="s">
        <v>23</v>
      </c>
      <c r="E124" s="70" t="b">
        <v>0</v>
      </c>
      <c r="F124" s="70" t="s">
        <v>27</v>
      </c>
      <c r="G124" s="70">
        <v>17</v>
      </c>
      <c r="H124" s="71">
        <v>46236</v>
      </c>
    </row>
    <row r="125" spans="1:8">
      <c r="A125" s="70">
        <v>1162</v>
      </c>
      <c r="B125" s="70" t="s">
        <v>208</v>
      </c>
      <c r="C125" s="70" t="s">
        <v>150</v>
      </c>
      <c r="D125" s="70" t="s">
        <v>23</v>
      </c>
      <c r="E125" s="70" t="b">
        <v>0</v>
      </c>
      <c r="F125" s="70" t="s">
        <v>25</v>
      </c>
      <c r="H125" s="71">
        <v>46236</v>
      </c>
    </row>
    <row r="126" spans="1:8">
      <c r="A126" s="70">
        <v>1244</v>
      </c>
      <c r="B126" s="70" t="s">
        <v>209</v>
      </c>
      <c r="C126" s="70" t="s">
        <v>94</v>
      </c>
      <c r="D126" s="70" t="s">
        <v>23</v>
      </c>
      <c r="E126" s="70" t="b">
        <v>0</v>
      </c>
      <c r="F126" s="70" t="s">
        <v>27</v>
      </c>
      <c r="G126" s="70">
        <v>2</v>
      </c>
      <c r="H126" s="71">
        <v>46236</v>
      </c>
    </row>
    <row r="127" spans="1:8">
      <c r="A127" s="70">
        <v>1379</v>
      </c>
      <c r="B127" s="70" t="s">
        <v>209</v>
      </c>
      <c r="C127" s="70" t="s">
        <v>210</v>
      </c>
      <c r="D127" s="70" t="s">
        <v>23</v>
      </c>
      <c r="E127" s="70" t="b">
        <v>1</v>
      </c>
      <c r="F127" s="70" t="s">
        <v>25</v>
      </c>
      <c r="H127" s="71">
        <v>46236</v>
      </c>
    </row>
    <row r="128" spans="1:8">
      <c r="A128" s="70">
        <v>1362</v>
      </c>
      <c r="B128" s="70" t="s">
        <v>211</v>
      </c>
      <c r="C128" s="70" t="s">
        <v>212</v>
      </c>
      <c r="D128" s="70" t="s">
        <v>23</v>
      </c>
      <c r="E128" s="70" t="b">
        <v>1</v>
      </c>
      <c r="F128" s="70" t="s">
        <v>27</v>
      </c>
      <c r="G128" s="70">
        <v>22</v>
      </c>
      <c r="H128" s="71">
        <v>46236</v>
      </c>
    </row>
    <row r="129" spans="1:8">
      <c r="A129" s="70">
        <v>1403</v>
      </c>
      <c r="B129" s="70" t="s">
        <v>213</v>
      </c>
      <c r="C129" s="70" t="s">
        <v>214</v>
      </c>
      <c r="D129" s="70" t="s">
        <v>23</v>
      </c>
      <c r="E129" s="70" t="b">
        <v>0</v>
      </c>
      <c r="F129" s="70" t="s">
        <v>27</v>
      </c>
      <c r="G129" s="70">
        <v>8</v>
      </c>
      <c r="H129" s="71">
        <v>46236</v>
      </c>
    </row>
    <row r="130" spans="1:8">
      <c r="A130" s="70">
        <v>1404</v>
      </c>
      <c r="B130" s="70" t="s">
        <v>213</v>
      </c>
      <c r="C130" s="70" t="s">
        <v>215</v>
      </c>
      <c r="D130" s="70" t="s">
        <v>23</v>
      </c>
      <c r="E130" s="70" t="b">
        <v>1</v>
      </c>
      <c r="F130" s="70" t="s">
        <v>25</v>
      </c>
      <c r="H130" s="71">
        <v>46236</v>
      </c>
    </row>
    <row r="131" spans="1:8">
      <c r="A131" s="70">
        <v>1229</v>
      </c>
      <c r="B131" s="70" t="s">
        <v>216</v>
      </c>
      <c r="C131" s="70" t="s">
        <v>217</v>
      </c>
      <c r="D131" s="70" t="s">
        <v>23</v>
      </c>
      <c r="E131" s="70" t="b">
        <v>1</v>
      </c>
      <c r="F131" s="70" t="s">
        <v>25</v>
      </c>
      <c r="H131" s="71">
        <v>46236</v>
      </c>
    </row>
    <row r="132" spans="1:8">
      <c r="A132" s="70">
        <v>1408</v>
      </c>
      <c r="B132" s="70" t="s">
        <v>218</v>
      </c>
      <c r="C132" s="70" t="s">
        <v>219</v>
      </c>
      <c r="D132" s="70" t="s">
        <v>23</v>
      </c>
      <c r="E132" s="70" t="b">
        <v>0</v>
      </c>
      <c r="F132" s="70" t="s">
        <v>27</v>
      </c>
      <c r="G132" s="70">
        <v>20</v>
      </c>
      <c r="H132" s="71">
        <v>46236</v>
      </c>
    </row>
    <row r="133" spans="1:8">
      <c r="A133" s="70">
        <v>1409</v>
      </c>
      <c r="B133" s="70" t="s">
        <v>218</v>
      </c>
      <c r="C133" s="70" t="s">
        <v>220</v>
      </c>
      <c r="D133" s="70" t="s">
        <v>23</v>
      </c>
      <c r="E133" s="70" t="b">
        <v>1</v>
      </c>
      <c r="F133" s="70" t="s">
        <v>27</v>
      </c>
      <c r="G133" s="70">
        <v>15</v>
      </c>
      <c r="H133" s="71">
        <v>46236</v>
      </c>
    </row>
    <row r="134" spans="1:8">
      <c r="A134" s="70">
        <v>1198</v>
      </c>
      <c r="B134" s="70" t="s">
        <v>221</v>
      </c>
      <c r="C134" s="70" t="s">
        <v>222</v>
      </c>
      <c r="D134" s="70" t="s">
        <v>23</v>
      </c>
      <c r="E134" s="70" t="b">
        <v>0</v>
      </c>
      <c r="F134" s="70" t="s">
        <v>27</v>
      </c>
      <c r="G134" s="70">
        <v>5</v>
      </c>
      <c r="H134" s="71">
        <v>46236</v>
      </c>
    </row>
    <row r="135" spans="1:8">
      <c r="A135" s="70">
        <v>1435</v>
      </c>
      <c r="B135" s="70" t="s">
        <v>766</v>
      </c>
      <c r="C135" s="70" t="s">
        <v>46</v>
      </c>
      <c r="D135" s="70" t="s">
        <v>23</v>
      </c>
      <c r="E135" s="70" t="b">
        <v>0</v>
      </c>
      <c r="F135" s="70" t="s">
        <v>27</v>
      </c>
      <c r="G135" s="70">
        <v>10</v>
      </c>
      <c r="H135" s="71">
        <v>46236</v>
      </c>
    </row>
    <row r="136" spans="1:8">
      <c r="A136" s="70">
        <v>1260</v>
      </c>
      <c r="B136" s="70" t="s">
        <v>223</v>
      </c>
      <c r="C136" s="70" t="s">
        <v>82</v>
      </c>
      <c r="D136" s="70" t="s">
        <v>23</v>
      </c>
      <c r="E136" s="70" t="b">
        <v>1</v>
      </c>
      <c r="F136" s="70" t="s">
        <v>27</v>
      </c>
      <c r="G136" s="70">
        <v>15</v>
      </c>
      <c r="H136" s="71">
        <v>46236</v>
      </c>
    </row>
    <row r="137" spans="1:8">
      <c r="A137" s="70">
        <v>1361</v>
      </c>
      <c r="B137" s="70" t="s">
        <v>224</v>
      </c>
      <c r="C137" s="70" t="s">
        <v>225</v>
      </c>
      <c r="D137" s="70" t="s">
        <v>23</v>
      </c>
      <c r="E137" s="70" t="b">
        <v>0</v>
      </c>
      <c r="F137" s="70" t="s">
        <v>27</v>
      </c>
      <c r="G137" s="70">
        <v>16</v>
      </c>
      <c r="H137" s="71">
        <v>46236</v>
      </c>
    </row>
    <row r="138" spans="1:8">
      <c r="A138" s="70">
        <v>1100</v>
      </c>
      <c r="B138" s="70" t="s">
        <v>226</v>
      </c>
      <c r="C138" s="70" t="s">
        <v>34</v>
      </c>
      <c r="D138" s="70" t="s">
        <v>23</v>
      </c>
      <c r="E138" s="70" t="b">
        <v>0</v>
      </c>
      <c r="F138" s="70" t="s">
        <v>27</v>
      </c>
      <c r="G138" s="70">
        <v>13</v>
      </c>
      <c r="H138" s="71">
        <v>46236</v>
      </c>
    </row>
    <row r="139" spans="1:8">
      <c r="A139" s="70">
        <v>1385</v>
      </c>
      <c r="B139" s="70" t="s">
        <v>227</v>
      </c>
      <c r="C139" s="70" t="s">
        <v>228</v>
      </c>
      <c r="D139" s="70" t="s">
        <v>23</v>
      </c>
      <c r="E139" s="70" t="b">
        <v>0</v>
      </c>
      <c r="F139" s="70" t="s">
        <v>25</v>
      </c>
      <c r="H139" s="71">
        <v>46236</v>
      </c>
    </row>
    <row r="140" spans="1:8">
      <c r="A140" s="70">
        <v>1394</v>
      </c>
      <c r="B140" s="70" t="s">
        <v>227</v>
      </c>
      <c r="C140" s="70" t="s">
        <v>229</v>
      </c>
      <c r="D140" s="70" t="s">
        <v>23</v>
      </c>
      <c r="E140" s="70" t="b">
        <v>0</v>
      </c>
      <c r="F140" s="70" t="s">
        <v>35</v>
      </c>
      <c r="H140" s="71">
        <v>46236</v>
      </c>
    </row>
    <row r="141" spans="1:8">
      <c r="A141" s="70">
        <v>1419</v>
      </c>
      <c r="B141" s="70" t="s">
        <v>230</v>
      </c>
      <c r="C141" s="70" t="s">
        <v>231</v>
      </c>
      <c r="D141" s="70" t="s">
        <v>23</v>
      </c>
      <c r="E141" s="70" t="b">
        <v>0</v>
      </c>
      <c r="F141" s="70" t="s">
        <v>25</v>
      </c>
      <c r="H141" s="71">
        <v>46236</v>
      </c>
    </row>
    <row r="142" spans="1:8">
      <c r="A142" s="70">
        <v>967</v>
      </c>
      <c r="B142" s="70" t="s">
        <v>232</v>
      </c>
      <c r="C142" s="70" t="s">
        <v>152</v>
      </c>
      <c r="D142" s="70" t="s">
        <v>23</v>
      </c>
      <c r="E142" s="70" t="b">
        <v>0</v>
      </c>
      <c r="F142" s="70" t="s">
        <v>27</v>
      </c>
      <c r="G142" s="70">
        <v>5</v>
      </c>
      <c r="H142" s="71">
        <v>46236</v>
      </c>
    </row>
    <row r="143" spans="1:8">
      <c r="A143" s="70">
        <v>1373</v>
      </c>
      <c r="B143" s="70" t="s">
        <v>233</v>
      </c>
      <c r="C143" s="70" t="s">
        <v>234</v>
      </c>
      <c r="D143" s="70" t="s">
        <v>23</v>
      </c>
      <c r="E143" s="70" t="b">
        <v>0</v>
      </c>
      <c r="F143" s="70" t="s">
        <v>27</v>
      </c>
      <c r="G143" s="70">
        <v>10</v>
      </c>
      <c r="H143" s="71">
        <v>46236</v>
      </c>
    </row>
    <row r="144" spans="1:8">
      <c r="A144" s="70">
        <v>1045</v>
      </c>
      <c r="B144" s="70" t="s">
        <v>235</v>
      </c>
      <c r="C144" s="70" t="s">
        <v>236</v>
      </c>
      <c r="D144" s="70" t="s">
        <v>23</v>
      </c>
      <c r="E144" s="70" t="b">
        <v>1</v>
      </c>
      <c r="F144" s="70" t="s">
        <v>27</v>
      </c>
      <c r="G144" s="70">
        <v>5</v>
      </c>
      <c r="H144" s="71">
        <v>46236</v>
      </c>
    </row>
    <row r="145" spans="1:8">
      <c r="A145" s="70">
        <v>1046</v>
      </c>
      <c r="B145" s="70" t="s">
        <v>235</v>
      </c>
      <c r="C145" s="70" t="s">
        <v>237</v>
      </c>
      <c r="D145" s="70" t="s">
        <v>23</v>
      </c>
      <c r="E145" s="70" t="b">
        <v>0</v>
      </c>
      <c r="F145" s="70" t="s">
        <v>27</v>
      </c>
      <c r="G145" s="70">
        <v>35</v>
      </c>
      <c r="H145" s="71">
        <v>46236</v>
      </c>
    </row>
    <row r="146" spans="1:8">
      <c r="A146" s="70">
        <v>1396</v>
      </c>
      <c r="B146" s="70" t="s">
        <v>238</v>
      </c>
      <c r="C146" s="70" t="s">
        <v>59</v>
      </c>
      <c r="D146" s="70" t="s">
        <v>23</v>
      </c>
      <c r="E146" s="70" t="b">
        <v>0</v>
      </c>
      <c r="F146" s="70" t="s">
        <v>25</v>
      </c>
      <c r="H146" s="71">
        <v>46236</v>
      </c>
    </row>
    <row r="147" spans="1:8">
      <c r="A147" s="70">
        <v>1397</v>
      </c>
      <c r="B147" s="70" t="s">
        <v>238</v>
      </c>
      <c r="C147" s="70" t="s">
        <v>239</v>
      </c>
      <c r="D147" s="70" t="s">
        <v>23</v>
      </c>
      <c r="E147" s="70" t="b">
        <v>1</v>
      </c>
      <c r="F147" s="70" t="s">
        <v>25</v>
      </c>
      <c r="H147" s="71">
        <v>46236</v>
      </c>
    </row>
    <row r="148" spans="1:8">
      <c r="A148" s="70">
        <v>1398</v>
      </c>
      <c r="B148" s="70" t="s">
        <v>238</v>
      </c>
      <c r="C148" s="70" t="s">
        <v>49</v>
      </c>
      <c r="D148" s="70" t="s">
        <v>23</v>
      </c>
      <c r="E148" s="70" t="b">
        <v>0</v>
      </c>
      <c r="F148" s="70" t="s">
        <v>35</v>
      </c>
      <c r="H148" s="71">
        <v>46236</v>
      </c>
    </row>
    <row r="149" spans="1:8">
      <c r="A149" s="70">
        <v>1399</v>
      </c>
      <c r="B149" s="70" t="s">
        <v>238</v>
      </c>
      <c r="C149" s="70" t="s">
        <v>131</v>
      </c>
      <c r="D149" s="70" t="s">
        <v>23</v>
      </c>
      <c r="E149" s="70" t="b">
        <v>1</v>
      </c>
      <c r="F149" s="70" t="s">
        <v>35</v>
      </c>
      <c r="H149" s="71">
        <v>46236</v>
      </c>
    </row>
    <row r="150" spans="1:8">
      <c r="A150" s="70">
        <v>771</v>
      </c>
      <c r="B150" s="70" t="s">
        <v>240</v>
      </c>
      <c r="C150" s="70" t="s">
        <v>241</v>
      </c>
      <c r="D150" s="70" t="s">
        <v>23</v>
      </c>
      <c r="E150" s="70" t="b">
        <v>0</v>
      </c>
      <c r="F150" s="70" t="s">
        <v>27</v>
      </c>
      <c r="G150" s="70">
        <v>14</v>
      </c>
      <c r="H150" s="71">
        <v>46236</v>
      </c>
    </row>
    <row r="151" spans="1:8">
      <c r="A151" s="70">
        <v>1265</v>
      </c>
      <c r="B151" s="70" t="s">
        <v>242</v>
      </c>
      <c r="C151" s="70" t="s">
        <v>243</v>
      </c>
      <c r="D151" s="70" t="s">
        <v>23</v>
      </c>
      <c r="E151" s="70" t="b">
        <v>0</v>
      </c>
      <c r="F151" s="70" t="s">
        <v>27</v>
      </c>
      <c r="G151" s="70">
        <v>20</v>
      </c>
      <c r="H151" s="71">
        <v>46236</v>
      </c>
    </row>
    <row r="152" spans="1:8">
      <c r="A152" s="70">
        <v>532</v>
      </c>
      <c r="B152" s="70" t="s">
        <v>244</v>
      </c>
      <c r="C152" s="70" t="s">
        <v>243</v>
      </c>
      <c r="D152" s="70" t="s">
        <v>23</v>
      </c>
      <c r="E152" s="70" t="b">
        <v>0</v>
      </c>
      <c r="F152" s="70" t="s">
        <v>27</v>
      </c>
      <c r="G152" s="70">
        <v>13</v>
      </c>
      <c r="H152" s="71">
        <v>46236</v>
      </c>
    </row>
    <row r="153" spans="1:8">
      <c r="A153" s="70">
        <v>1388</v>
      </c>
      <c r="B153" s="70" t="s">
        <v>193</v>
      </c>
      <c r="C153" s="70" t="s">
        <v>245</v>
      </c>
      <c r="D153" s="70" t="s">
        <v>23</v>
      </c>
      <c r="E153" s="70" t="b">
        <v>1</v>
      </c>
      <c r="F153" s="70" t="s">
        <v>25</v>
      </c>
      <c r="H153" s="71">
        <v>46236</v>
      </c>
    </row>
    <row r="154" spans="1:8">
      <c r="A154" s="70">
        <v>742</v>
      </c>
      <c r="B154" s="70" t="s">
        <v>246</v>
      </c>
      <c r="C154" s="70" t="s">
        <v>156</v>
      </c>
      <c r="D154" s="70" t="s">
        <v>23</v>
      </c>
      <c r="E154" s="70" t="b">
        <v>1</v>
      </c>
      <c r="F154" s="70" t="s">
        <v>27</v>
      </c>
      <c r="G154" s="70">
        <v>2</v>
      </c>
      <c r="H154" s="71">
        <v>46236</v>
      </c>
    </row>
    <row r="155" spans="1:8">
      <c r="A155" s="70">
        <v>741</v>
      </c>
      <c r="B155" s="70" t="s">
        <v>246</v>
      </c>
      <c r="C155" s="70" t="s">
        <v>247</v>
      </c>
      <c r="D155" s="70" t="s">
        <v>23</v>
      </c>
      <c r="E155" s="70" t="b">
        <v>0</v>
      </c>
      <c r="F155" s="70" t="s">
        <v>27</v>
      </c>
      <c r="G155" s="70">
        <v>4</v>
      </c>
      <c r="H155" s="71">
        <v>46236</v>
      </c>
    </row>
    <row r="156" spans="1:8">
      <c r="A156" s="70">
        <v>1298</v>
      </c>
      <c r="B156" s="70" t="s">
        <v>246</v>
      </c>
      <c r="C156" s="70" t="s">
        <v>132</v>
      </c>
      <c r="D156" s="70" t="s">
        <v>23</v>
      </c>
      <c r="E156" s="70" t="b">
        <v>1</v>
      </c>
      <c r="F156" s="70" t="s">
        <v>27</v>
      </c>
      <c r="G156" s="70">
        <v>13</v>
      </c>
      <c r="H156" s="71">
        <v>46236</v>
      </c>
    </row>
    <row r="157" spans="1:8">
      <c r="A157" s="70">
        <v>747</v>
      </c>
      <c r="B157" s="70" t="s">
        <v>246</v>
      </c>
      <c r="C157" s="70" t="s">
        <v>22</v>
      </c>
      <c r="D157" s="70" t="s">
        <v>23</v>
      </c>
      <c r="E157" s="70" t="b">
        <v>0</v>
      </c>
      <c r="F157" s="70" t="s">
        <v>27</v>
      </c>
      <c r="G157" s="70">
        <v>1</v>
      </c>
      <c r="H157" s="71">
        <v>46236</v>
      </c>
    </row>
    <row r="158" spans="1:8">
      <c r="A158" s="70">
        <v>1386</v>
      </c>
      <c r="B158" s="70" t="s">
        <v>246</v>
      </c>
      <c r="C158" s="70" t="s">
        <v>248</v>
      </c>
      <c r="D158" s="70" t="s">
        <v>23</v>
      </c>
      <c r="E158" s="70" t="b">
        <v>1</v>
      </c>
      <c r="F158" s="70" t="s">
        <v>35</v>
      </c>
      <c r="H158" s="71">
        <v>46236</v>
      </c>
    </row>
    <row r="159" spans="1:8">
      <c r="A159" s="70">
        <v>1221</v>
      </c>
      <c r="B159" s="70" t="s">
        <v>249</v>
      </c>
      <c r="C159" s="70" t="s">
        <v>234</v>
      </c>
      <c r="D159" s="70" t="s">
        <v>23</v>
      </c>
      <c r="E159" s="70" t="b">
        <v>0</v>
      </c>
      <c r="F159" s="70" t="s">
        <v>25</v>
      </c>
      <c r="H159" s="71">
        <v>46236</v>
      </c>
    </row>
    <row r="160" spans="1:8">
      <c r="A160" s="70">
        <v>564</v>
      </c>
      <c r="B160" s="70" t="s">
        <v>250</v>
      </c>
      <c r="C160" s="70" t="s">
        <v>34</v>
      </c>
      <c r="D160" s="70" t="s">
        <v>23</v>
      </c>
      <c r="E160" s="70" t="b">
        <v>0</v>
      </c>
      <c r="F160" s="70" t="s">
        <v>27</v>
      </c>
      <c r="G160" s="70">
        <v>7</v>
      </c>
      <c r="H160" s="71">
        <v>46236</v>
      </c>
    </row>
    <row r="161" spans="1:8">
      <c r="A161" s="70">
        <v>1165</v>
      </c>
      <c r="B161" s="70" t="s">
        <v>251</v>
      </c>
      <c r="C161" s="70" t="s">
        <v>177</v>
      </c>
      <c r="D161" s="70" t="s">
        <v>23</v>
      </c>
      <c r="E161" s="70" t="b">
        <v>0</v>
      </c>
      <c r="F161" s="70" t="s">
        <v>27</v>
      </c>
      <c r="G161" s="70">
        <v>10</v>
      </c>
      <c r="H161" s="71">
        <v>46236</v>
      </c>
    </row>
    <row r="162" spans="1:8">
      <c r="A162" s="70">
        <v>405</v>
      </c>
      <c r="B162" s="70" t="s">
        <v>252</v>
      </c>
      <c r="C162" s="70" t="s">
        <v>243</v>
      </c>
      <c r="D162" s="70" t="s">
        <v>23</v>
      </c>
      <c r="E162" s="70" t="b">
        <v>0</v>
      </c>
      <c r="F162" s="70" t="s">
        <v>27</v>
      </c>
      <c r="G162" s="70">
        <v>18</v>
      </c>
      <c r="H162" s="71">
        <v>46236</v>
      </c>
    </row>
    <row r="163" spans="1:8">
      <c r="A163" s="70">
        <v>1346</v>
      </c>
      <c r="B163" s="70" t="s">
        <v>253</v>
      </c>
      <c r="C163" s="70" t="s">
        <v>254</v>
      </c>
      <c r="D163" s="70" t="s">
        <v>23</v>
      </c>
      <c r="E163" s="70" t="b">
        <v>0</v>
      </c>
      <c r="F163" s="70" t="s">
        <v>27</v>
      </c>
      <c r="G163" s="70">
        <v>20</v>
      </c>
      <c r="H163" s="71">
        <v>46236</v>
      </c>
    </row>
    <row r="164" spans="1:8">
      <c r="A164" s="70">
        <v>1192</v>
      </c>
      <c r="B164" s="70" t="s">
        <v>255</v>
      </c>
      <c r="C164" s="70" t="s">
        <v>256</v>
      </c>
      <c r="D164" s="70" t="s">
        <v>23</v>
      </c>
      <c r="E164" s="70" t="b">
        <v>0</v>
      </c>
      <c r="F164" s="70" t="s">
        <v>27</v>
      </c>
      <c r="G164" s="70">
        <v>10</v>
      </c>
      <c r="H164" s="71">
        <v>46236</v>
      </c>
    </row>
    <row r="165" spans="1:8">
      <c r="A165" s="70">
        <v>1434</v>
      </c>
      <c r="B165" s="70" t="s">
        <v>765</v>
      </c>
      <c r="C165" s="70" t="s">
        <v>104</v>
      </c>
      <c r="D165" s="70" t="s">
        <v>23</v>
      </c>
      <c r="E165" s="70" t="b">
        <v>0</v>
      </c>
      <c r="F165" s="70" t="s">
        <v>27</v>
      </c>
      <c r="G165" s="70">
        <v>13</v>
      </c>
      <c r="H165" s="71">
        <v>46236</v>
      </c>
    </row>
    <row r="166" spans="1:8">
      <c r="A166" s="70">
        <v>1157</v>
      </c>
      <c r="B166" s="70" t="s">
        <v>257</v>
      </c>
      <c r="C166" s="70" t="s">
        <v>100</v>
      </c>
      <c r="D166" s="70" t="s">
        <v>23</v>
      </c>
      <c r="E166" s="70" t="b">
        <v>0</v>
      </c>
      <c r="F166" s="70" t="s">
        <v>25</v>
      </c>
      <c r="H166" s="71">
        <v>46236</v>
      </c>
    </row>
    <row r="167" spans="1:8">
      <c r="A167" s="70">
        <v>1359</v>
      </c>
      <c r="B167" s="70" t="s">
        <v>258</v>
      </c>
      <c r="C167" s="70" t="s">
        <v>49</v>
      </c>
      <c r="D167" s="70" t="s">
        <v>23</v>
      </c>
      <c r="E167" s="70" t="b">
        <v>0</v>
      </c>
      <c r="F167" s="70" t="s">
        <v>188</v>
      </c>
      <c r="H167" s="71">
        <v>46236</v>
      </c>
    </row>
    <row r="168" spans="1:8">
      <c r="A168" s="70">
        <v>1360</v>
      </c>
      <c r="B168" s="70" t="s">
        <v>258</v>
      </c>
      <c r="C168" s="70" t="s">
        <v>259</v>
      </c>
      <c r="D168" s="70" t="s">
        <v>23</v>
      </c>
      <c r="E168" s="70" t="b">
        <v>1</v>
      </c>
      <c r="F168" s="70" t="s">
        <v>35</v>
      </c>
      <c r="H168" s="71">
        <v>46236</v>
      </c>
    </row>
    <row r="169" spans="1:8">
      <c r="A169" s="70">
        <v>1357</v>
      </c>
      <c r="B169" s="70" t="s">
        <v>258</v>
      </c>
      <c r="C169" s="70" t="s">
        <v>34</v>
      </c>
      <c r="D169" s="70" t="s">
        <v>23</v>
      </c>
      <c r="E169" s="70" t="b">
        <v>0</v>
      </c>
      <c r="F169" s="70" t="s">
        <v>27</v>
      </c>
      <c r="G169" s="70">
        <v>5</v>
      </c>
      <c r="H169" s="71">
        <v>46236</v>
      </c>
    </row>
    <row r="170" spans="1:8">
      <c r="A170" s="70">
        <v>1358</v>
      </c>
      <c r="B170" s="70" t="s">
        <v>258</v>
      </c>
      <c r="C170" s="70" t="s">
        <v>260</v>
      </c>
      <c r="D170" s="70" t="s">
        <v>23</v>
      </c>
      <c r="E170" s="70" t="b">
        <v>1</v>
      </c>
      <c r="F170" s="70" t="s">
        <v>27</v>
      </c>
      <c r="G170" s="70">
        <v>7</v>
      </c>
      <c r="H170" s="71">
        <v>46236</v>
      </c>
    </row>
    <row r="171" spans="1:8">
      <c r="A171" s="70">
        <v>1390</v>
      </c>
      <c r="B171" s="70" t="s">
        <v>261</v>
      </c>
      <c r="C171" s="70" t="s">
        <v>262</v>
      </c>
      <c r="D171" s="70" t="s">
        <v>23</v>
      </c>
      <c r="E171" s="70" t="b">
        <v>0</v>
      </c>
      <c r="F171" s="70" t="s">
        <v>25</v>
      </c>
      <c r="H171" s="71">
        <v>46236</v>
      </c>
    </row>
    <row r="172" spans="1:8">
      <c r="A172" s="70">
        <v>1437</v>
      </c>
      <c r="B172" s="70" t="s">
        <v>764</v>
      </c>
      <c r="C172" s="70" t="s">
        <v>34</v>
      </c>
      <c r="D172" s="70" t="s">
        <v>23</v>
      </c>
      <c r="E172" s="70" t="b">
        <v>0</v>
      </c>
      <c r="F172" s="70" t="s">
        <v>27</v>
      </c>
      <c r="G172" s="70">
        <v>8</v>
      </c>
      <c r="H172" s="71">
        <v>46236</v>
      </c>
    </row>
    <row r="173" spans="1:8">
      <c r="A173" s="70">
        <v>1433</v>
      </c>
      <c r="B173" s="70" t="s">
        <v>764</v>
      </c>
      <c r="C173" s="70" t="s">
        <v>320</v>
      </c>
      <c r="D173" s="70" t="s">
        <v>23</v>
      </c>
      <c r="E173" s="70" t="b">
        <v>1</v>
      </c>
      <c r="F173" s="70" t="s">
        <v>27</v>
      </c>
      <c r="G173" s="70">
        <v>14</v>
      </c>
      <c r="H173" s="71">
        <v>46236</v>
      </c>
    </row>
    <row r="174" spans="1:8">
      <c r="A174" s="70">
        <v>1107</v>
      </c>
      <c r="B174" s="70" t="s">
        <v>263</v>
      </c>
      <c r="C174" s="70" t="s">
        <v>264</v>
      </c>
      <c r="D174" s="70" t="s">
        <v>23</v>
      </c>
      <c r="E174" s="70" t="b">
        <v>1</v>
      </c>
      <c r="F174" s="70" t="s">
        <v>25</v>
      </c>
      <c r="H174" s="71">
        <v>46236</v>
      </c>
    </row>
    <row r="175" spans="1:8">
      <c r="A175" s="70">
        <v>35</v>
      </c>
      <c r="B175" s="70" t="s">
        <v>265</v>
      </c>
      <c r="C175" s="70" t="s">
        <v>266</v>
      </c>
      <c r="D175" s="70" t="s">
        <v>23</v>
      </c>
      <c r="E175" s="70" t="b">
        <v>0</v>
      </c>
      <c r="F175" s="70" t="s">
        <v>27</v>
      </c>
      <c r="G175" s="70">
        <v>3</v>
      </c>
      <c r="H175" s="71">
        <v>46236</v>
      </c>
    </row>
    <row r="176" spans="1:8">
      <c r="A176" s="70">
        <v>1094</v>
      </c>
      <c r="B176" s="70" t="s">
        <v>267</v>
      </c>
      <c r="C176" s="70" t="s">
        <v>268</v>
      </c>
      <c r="D176" s="70" t="s">
        <v>23</v>
      </c>
      <c r="E176" s="70" t="b">
        <v>0</v>
      </c>
      <c r="F176" s="70" t="s">
        <v>27</v>
      </c>
      <c r="G176" s="70">
        <v>12</v>
      </c>
      <c r="H176" s="71">
        <v>46236</v>
      </c>
    </row>
    <row r="177" spans="1:8">
      <c r="A177" s="70">
        <v>1325</v>
      </c>
      <c r="B177" s="70" t="s">
        <v>269</v>
      </c>
      <c r="C177" s="70" t="s">
        <v>270</v>
      </c>
      <c r="D177" s="70" t="s">
        <v>23</v>
      </c>
      <c r="E177" s="70" t="b">
        <v>0</v>
      </c>
      <c r="F177" s="70" t="s">
        <v>27</v>
      </c>
      <c r="G177" s="70">
        <v>3</v>
      </c>
      <c r="H177" s="71">
        <v>46236</v>
      </c>
    </row>
    <row r="178" spans="1:8">
      <c r="A178" s="70">
        <v>1143</v>
      </c>
      <c r="B178" s="70" t="s">
        <v>271</v>
      </c>
      <c r="C178" s="70" t="s">
        <v>247</v>
      </c>
      <c r="D178" s="70" t="s">
        <v>23</v>
      </c>
      <c r="E178" s="70" t="b">
        <v>0</v>
      </c>
      <c r="F178" s="70" t="s">
        <v>27</v>
      </c>
      <c r="G178" s="70">
        <v>3</v>
      </c>
      <c r="H178" s="71">
        <v>46236</v>
      </c>
    </row>
    <row r="179" spans="1:8">
      <c r="A179" s="70">
        <v>1401</v>
      </c>
      <c r="B179" s="70" t="s">
        <v>272</v>
      </c>
      <c r="C179" s="70" t="s">
        <v>273</v>
      </c>
      <c r="D179" s="70" t="s">
        <v>23</v>
      </c>
      <c r="E179" s="70" t="b">
        <v>1</v>
      </c>
      <c r="F179" s="70" t="s">
        <v>25</v>
      </c>
      <c r="H179" s="71">
        <v>46236</v>
      </c>
    </row>
    <row r="180" spans="1:8">
      <c r="A180" s="70">
        <v>1285</v>
      </c>
      <c r="B180" s="70" t="s">
        <v>274</v>
      </c>
      <c r="C180" s="70" t="s">
        <v>100</v>
      </c>
      <c r="D180" s="70" t="s">
        <v>23</v>
      </c>
      <c r="E180" s="70" t="b">
        <v>0</v>
      </c>
      <c r="F180" s="70" t="s">
        <v>25</v>
      </c>
      <c r="H180" s="71">
        <v>46236</v>
      </c>
    </row>
    <row r="181" spans="1:8">
      <c r="A181" s="70">
        <v>38</v>
      </c>
      <c r="B181" s="70" t="s">
        <v>275</v>
      </c>
      <c r="C181" s="70" t="s">
        <v>276</v>
      </c>
      <c r="D181" s="70" t="s">
        <v>23</v>
      </c>
      <c r="E181" s="70" t="b">
        <v>0</v>
      </c>
      <c r="F181" s="70" t="s">
        <v>27</v>
      </c>
      <c r="G181" s="70">
        <v>13</v>
      </c>
      <c r="H181" s="71">
        <v>46236</v>
      </c>
    </row>
    <row r="182" spans="1:8">
      <c r="A182" s="70">
        <v>245</v>
      </c>
      <c r="B182" s="70" t="s">
        <v>277</v>
      </c>
      <c r="C182" s="70" t="s">
        <v>234</v>
      </c>
      <c r="D182" s="70" t="s">
        <v>23</v>
      </c>
      <c r="E182" s="70" t="b">
        <v>0</v>
      </c>
      <c r="F182" s="70" t="s">
        <v>27</v>
      </c>
      <c r="G182" s="70">
        <v>10</v>
      </c>
      <c r="H182" s="71">
        <v>46236</v>
      </c>
    </row>
    <row r="183" spans="1:8">
      <c r="A183" s="70">
        <v>39</v>
      </c>
      <c r="B183" s="70" t="s">
        <v>277</v>
      </c>
      <c r="C183" s="70" t="s">
        <v>278</v>
      </c>
      <c r="D183" s="70" t="s">
        <v>23</v>
      </c>
      <c r="E183" s="70" t="b">
        <v>0</v>
      </c>
      <c r="F183" s="70" t="s">
        <v>27</v>
      </c>
      <c r="G183" s="70">
        <v>43</v>
      </c>
      <c r="H183" s="71">
        <v>46236</v>
      </c>
    </row>
    <row r="184" spans="1:8">
      <c r="A184" s="70">
        <v>508</v>
      </c>
      <c r="B184" s="70" t="s">
        <v>279</v>
      </c>
      <c r="C184" s="70" t="s">
        <v>59</v>
      </c>
      <c r="D184" s="70" t="s">
        <v>23</v>
      </c>
      <c r="E184" s="70" t="b">
        <v>0</v>
      </c>
      <c r="F184" s="70" t="s">
        <v>27</v>
      </c>
      <c r="G184" s="70">
        <v>31</v>
      </c>
      <c r="H184" s="71">
        <v>46236</v>
      </c>
    </row>
    <row r="185" spans="1:8">
      <c r="A185" s="70">
        <v>1025</v>
      </c>
      <c r="B185" s="70" t="s">
        <v>280</v>
      </c>
      <c r="C185" s="70" t="s">
        <v>281</v>
      </c>
      <c r="D185" s="70" t="s">
        <v>23</v>
      </c>
      <c r="E185" s="70" t="b">
        <v>0</v>
      </c>
      <c r="F185" s="70" t="s">
        <v>35</v>
      </c>
      <c r="H185" s="71">
        <v>46236</v>
      </c>
    </row>
    <row r="186" spans="1:8">
      <c r="A186" s="70">
        <v>1024</v>
      </c>
      <c r="B186" s="70" t="s">
        <v>280</v>
      </c>
      <c r="C186" s="70" t="s">
        <v>282</v>
      </c>
      <c r="D186" s="70" t="s">
        <v>23</v>
      </c>
      <c r="E186" s="70" t="b">
        <v>0</v>
      </c>
      <c r="F186" s="70" t="s">
        <v>188</v>
      </c>
      <c r="H186" s="71">
        <v>46236</v>
      </c>
    </row>
    <row r="187" spans="1:8">
      <c r="A187" s="70">
        <v>1023</v>
      </c>
      <c r="B187" s="70" t="s">
        <v>280</v>
      </c>
      <c r="C187" s="70" t="s">
        <v>39</v>
      </c>
      <c r="D187" s="70" t="s">
        <v>23</v>
      </c>
      <c r="E187" s="70" t="b">
        <v>0</v>
      </c>
      <c r="F187" s="70" t="s">
        <v>25</v>
      </c>
      <c r="H187" s="71">
        <v>46236</v>
      </c>
    </row>
    <row r="188" spans="1:8">
      <c r="A188" s="70">
        <v>1232</v>
      </c>
      <c r="B188" s="70" t="s">
        <v>280</v>
      </c>
      <c r="C188" s="70" t="s">
        <v>283</v>
      </c>
      <c r="D188" s="70" t="s">
        <v>23</v>
      </c>
      <c r="E188" s="70" t="b">
        <v>1</v>
      </c>
      <c r="F188" s="70" t="s">
        <v>27</v>
      </c>
      <c r="G188" s="70">
        <v>4</v>
      </c>
      <c r="H188" s="71">
        <v>46236</v>
      </c>
    </row>
    <row r="189" spans="1:8">
      <c r="A189" s="70">
        <v>1392</v>
      </c>
      <c r="B189" s="70" t="s">
        <v>284</v>
      </c>
      <c r="C189" s="70" t="s">
        <v>285</v>
      </c>
      <c r="D189" s="70" t="s">
        <v>23</v>
      </c>
      <c r="E189" s="70" t="b">
        <v>1</v>
      </c>
      <c r="F189" s="70" t="s">
        <v>25</v>
      </c>
      <c r="H189" s="71">
        <v>46236</v>
      </c>
    </row>
    <row r="190" spans="1:8">
      <c r="A190" s="70">
        <v>1141</v>
      </c>
      <c r="B190" s="70" t="s">
        <v>286</v>
      </c>
      <c r="C190" s="70" t="s">
        <v>287</v>
      </c>
      <c r="D190" s="70" t="s">
        <v>23</v>
      </c>
      <c r="E190" s="70" t="b">
        <v>1</v>
      </c>
      <c r="F190" s="70" t="s">
        <v>27</v>
      </c>
      <c r="G190" s="70">
        <v>15</v>
      </c>
      <c r="H190" s="71">
        <v>46236</v>
      </c>
    </row>
    <row r="191" spans="1:8">
      <c r="A191" s="70">
        <v>891</v>
      </c>
      <c r="B191" s="70" t="s">
        <v>288</v>
      </c>
      <c r="C191" s="70" t="s">
        <v>289</v>
      </c>
      <c r="D191" s="70" t="s">
        <v>23</v>
      </c>
      <c r="E191" s="70" t="b">
        <v>1</v>
      </c>
      <c r="F191" s="70" t="s">
        <v>25</v>
      </c>
      <c r="H191" s="71">
        <v>46236</v>
      </c>
    </row>
    <row r="192" spans="1:8">
      <c r="A192" s="70">
        <v>1352</v>
      </c>
      <c r="B192" s="70" t="s">
        <v>290</v>
      </c>
      <c r="C192" s="70" t="s">
        <v>34</v>
      </c>
      <c r="D192" s="70" t="s">
        <v>23</v>
      </c>
      <c r="E192" s="70" t="b">
        <v>0</v>
      </c>
      <c r="F192" s="70" t="s">
        <v>27</v>
      </c>
      <c r="G192" s="70">
        <v>11</v>
      </c>
      <c r="H192" s="71">
        <v>46236</v>
      </c>
    </row>
    <row r="193" spans="1:8">
      <c r="A193" s="70">
        <v>1339</v>
      </c>
      <c r="B193" s="70" t="s">
        <v>291</v>
      </c>
      <c r="C193" s="70" t="s">
        <v>292</v>
      </c>
      <c r="D193" s="70" t="s">
        <v>23</v>
      </c>
      <c r="E193" s="70" t="b">
        <v>0</v>
      </c>
      <c r="F193" s="70" t="s">
        <v>25</v>
      </c>
      <c r="H193" s="71">
        <v>46236</v>
      </c>
    </row>
    <row r="194" spans="1:8">
      <c r="A194" s="70">
        <v>914</v>
      </c>
      <c r="B194" s="70" t="s">
        <v>293</v>
      </c>
      <c r="C194" s="70" t="s">
        <v>153</v>
      </c>
      <c r="D194" s="70" t="s">
        <v>23</v>
      </c>
      <c r="E194" s="70" t="b">
        <v>0</v>
      </c>
      <c r="F194" s="70" t="s">
        <v>27</v>
      </c>
      <c r="G194" s="70">
        <v>14</v>
      </c>
      <c r="H194" s="71">
        <v>46236</v>
      </c>
    </row>
    <row r="195" spans="1:8">
      <c r="A195" s="70">
        <v>597</v>
      </c>
      <c r="B195" s="70" t="s">
        <v>294</v>
      </c>
      <c r="C195" s="70" t="s">
        <v>295</v>
      </c>
      <c r="D195" s="70" t="s">
        <v>23</v>
      </c>
      <c r="E195" s="70" t="b">
        <v>0</v>
      </c>
      <c r="F195" s="70" t="s">
        <v>27</v>
      </c>
      <c r="G195" s="70">
        <v>36</v>
      </c>
      <c r="H195" s="71">
        <v>46236</v>
      </c>
    </row>
    <row r="196" spans="1:8">
      <c r="A196" s="70">
        <v>1038</v>
      </c>
      <c r="B196" s="70" t="s">
        <v>293</v>
      </c>
      <c r="C196" s="70" t="s">
        <v>51</v>
      </c>
      <c r="D196" s="70" t="s">
        <v>23</v>
      </c>
      <c r="E196" s="70" t="b">
        <v>0</v>
      </c>
      <c r="F196" s="70" t="s">
        <v>27</v>
      </c>
      <c r="G196" s="70">
        <v>12</v>
      </c>
      <c r="H196" s="71">
        <v>46236</v>
      </c>
    </row>
    <row r="197" spans="1:8">
      <c r="A197" s="70">
        <v>1347</v>
      </c>
      <c r="B197" s="70" t="s">
        <v>296</v>
      </c>
      <c r="C197" s="70" t="s">
        <v>104</v>
      </c>
      <c r="D197" s="70" t="s">
        <v>23</v>
      </c>
      <c r="E197" s="70" t="b">
        <v>0</v>
      </c>
      <c r="F197" s="70" t="s">
        <v>25</v>
      </c>
      <c r="H197" s="71">
        <v>46236</v>
      </c>
    </row>
    <row r="198" spans="1:8">
      <c r="A198" s="70">
        <v>1242</v>
      </c>
      <c r="B198" s="70" t="s">
        <v>297</v>
      </c>
      <c r="C198" s="70" t="s">
        <v>190</v>
      </c>
      <c r="D198" s="70" t="s">
        <v>23</v>
      </c>
      <c r="E198" s="70" t="b">
        <v>0</v>
      </c>
      <c r="F198" s="70" t="s">
        <v>27</v>
      </c>
      <c r="G198" s="70">
        <v>15</v>
      </c>
      <c r="H198" s="71">
        <v>46236</v>
      </c>
    </row>
    <row r="199" spans="1:8">
      <c r="A199" s="70">
        <v>1048</v>
      </c>
      <c r="B199" s="70" t="s">
        <v>298</v>
      </c>
      <c r="C199" s="70" t="s">
        <v>268</v>
      </c>
      <c r="D199" s="70" t="s">
        <v>23</v>
      </c>
      <c r="E199" s="70" t="b">
        <v>0</v>
      </c>
      <c r="F199" s="70" t="s">
        <v>27</v>
      </c>
      <c r="G199" s="70">
        <v>16</v>
      </c>
      <c r="H199" s="71">
        <v>46236</v>
      </c>
    </row>
    <row r="200" spans="1:8">
      <c r="A200" s="70">
        <v>1055</v>
      </c>
      <c r="B200" s="70" t="s">
        <v>298</v>
      </c>
      <c r="C200" s="70" t="s">
        <v>299</v>
      </c>
      <c r="D200" s="70" t="s">
        <v>23</v>
      </c>
      <c r="E200" s="70" t="b">
        <v>0</v>
      </c>
      <c r="F200" s="70" t="s">
        <v>27</v>
      </c>
      <c r="G200" s="70">
        <v>1</v>
      </c>
      <c r="H200" s="71">
        <v>46236</v>
      </c>
    </row>
    <row r="201" spans="1:8">
      <c r="A201" s="70">
        <v>1095</v>
      </c>
      <c r="B201" s="70" t="s">
        <v>298</v>
      </c>
      <c r="C201" s="70" t="s">
        <v>300</v>
      </c>
      <c r="D201" s="70" t="s">
        <v>23</v>
      </c>
      <c r="E201" s="70" t="b">
        <v>0</v>
      </c>
      <c r="F201" s="70" t="s">
        <v>27</v>
      </c>
      <c r="G201" s="70">
        <v>33</v>
      </c>
      <c r="H201" s="71">
        <v>46236</v>
      </c>
    </row>
    <row r="202" spans="1:8">
      <c r="A202" s="70">
        <v>820</v>
      </c>
      <c r="B202" s="70" t="s">
        <v>298</v>
      </c>
      <c r="C202" s="70" t="s">
        <v>139</v>
      </c>
      <c r="D202" s="70" t="s">
        <v>23</v>
      </c>
      <c r="E202" s="70" t="b">
        <v>1</v>
      </c>
      <c r="F202" s="70" t="s">
        <v>27</v>
      </c>
      <c r="G202" s="70">
        <v>6</v>
      </c>
      <c r="H202" s="71">
        <v>46236</v>
      </c>
    </row>
    <row r="203" spans="1:8">
      <c r="A203" s="70">
        <v>687</v>
      </c>
      <c r="B203" s="70" t="s">
        <v>298</v>
      </c>
      <c r="C203" s="70" t="s">
        <v>301</v>
      </c>
      <c r="D203" s="70" t="s">
        <v>23</v>
      </c>
      <c r="E203" s="70" t="b">
        <v>0</v>
      </c>
      <c r="F203" s="70" t="s">
        <v>27</v>
      </c>
      <c r="G203" s="70">
        <v>7</v>
      </c>
      <c r="H203" s="71">
        <v>46236</v>
      </c>
    </row>
    <row r="204" spans="1:8">
      <c r="A204" s="70">
        <v>1420</v>
      </c>
      <c r="B204" s="70" t="s">
        <v>302</v>
      </c>
      <c r="C204" s="70" t="s">
        <v>212</v>
      </c>
      <c r="D204" s="70" t="s">
        <v>23</v>
      </c>
      <c r="E204" s="70" t="b">
        <v>1</v>
      </c>
      <c r="F204" s="70" t="s">
        <v>27</v>
      </c>
      <c r="G204" s="70">
        <v>15</v>
      </c>
      <c r="H204" s="71">
        <v>46236</v>
      </c>
    </row>
    <row r="205" spans="1:8">
      <c r="A205" s="70">
        <v>1410</v>
      </c>
      <c r="B205" s="70" t="s">
        <v>104</v>
      </c>
      <c r="C205" s="70" t="s">
        <v>303</v>
      </c>
      <c r="D205" s="70" t="s">
        <v>23</v>
      </c>
      <c r="E205" s="70" t="b">
        <v>0</v>
      </c>
      <c r="F205" s="70" t="s">
        <v>25</v>
      </c>
      <c r="H205" s="71">
        <v>46236</v>
      </c>
    </row>
    <row r="206" spans="1:8">
      <c r="A206" s="70">
        <v>1161</v>
      </c>
      <c r="B206" s="70" t="s">
        <v>304</v>
      </c>
      <c r="C206" s="70" t="s">
        <v>305</v>
      </c>
      <c r="D206" s="70" t="s">
        <v>23</v>
      </c>
      <c r="E206" s="70" t="b">
        <v>0</v>
      </c>
      <c r="F206" s="70" t="s">
        <v>25</v>
      </c>
      <c r="H206" s="71">
        <v>46236</v>
      </c>
    </row>
    <row r="207" spans="1:8">
      <c r="A207" s="70">
        <v>890</v>
      </c>
      <c r="B207" s="70" t="s">
        <v>306</v>
      </c>
      <c r="C207" s="70" t="s">
        <v>307</v>
      </c>
      <c r="D207" s="70" t="s">
        <v>54</v>
      </c>
      <c r="E207" s="70" t="b">
        <v>0</v>
      </c>
      <c r="F207" s="70" t="s">
        <v>27</v>
      </c>
      <c r="G207" s="70">
        <v>23</v>
      </c>
      <c r="H207" s="71">
        <v>46236</v>
      </c>
    </row>
    <row r="208" spans="1:8">
      <c r="A208" s="70">
        <v>1166</v>
      </c>
      <c r="B208" s="70" t="s">
        <v>308</v>
      </c>
      <c r="C208" s="70" t="s">
        <v>143</v>
      </c>
      <c r="D208" s="70" t="s">
        <v>54</v>
      </c>
      <c r="E208" s="70" t="b">
        <v>0</v>
      </c>
      <c r="F208" s="70" t="s">
        <v>27</v>
      </c>
      <c r="G208" s="70">
        <v>5</v>
      </c>
      <c r="H208" s="71">
        <v>46236</v>
      </c>
    </row>
    <row r="209" spans="1:8">
      <c r="A209" s="70">
        <v>45</v>
      </c>
      <c r="B209" s="70" t="s">
        <v>309</v>
      </c>
      <c r="C209" s="70" t="s">
        <v>310</v>
      </c>
      <c r="D209" s="70" t="s">
        <v>23</v>
      </c>
      <c r="E209" s="70" t="b">
        <v>0</v>
      </c>
      <c r="F209" s="70" t="s">
        <v>27</v>
      </c>
      <c r="G209" s="70">
        <v>20</v>
      </c>
      <c r="H209" s="71">
        <v>46236</v>
      </c>
    </row>
    <row r="210" spans="1:8">
      <c r="A210" s="70">
        <v>1160</v>
      </c>
      <c r="B210" s="70" t="s">
        <v>311</v>
      </c>
      <c r="C210" s="70" t="s">
        <v>312</v>
      </c>
      <c r="D210" s="70" t="s">
        <v>23</v>
      </c>
      <c r="E210" s="70" t="b">
        <v>0</v>
      </c>
      <c r="F210" s="70" t="s">
        <v>25</v>
      </c>
      <c r="H210" s="71">
        <v>46236</v>
      </c>
    </row>
    <row r="211" spans="1:8">
      <c r="A211" s="70">
        <v>945</v>
      </c>
      <c r="B211" s="70" t="s">
        <v>313</v>
      </c>
      <c r="C211" s="70" t="s">
        <v>49</v>
      </c>
      <c r="D211" s="70" t="s">
        <v>23</v>
      </c>
      <c r="E211" s="70" t="b">
        <v>0</v>
      </c>
      <c r="F211" s="70" t="s">
        <v>25</v>
      </c>
      <c r="H211" s="71">
        <v>46236</v>
      </c>
    </row>
    <row r="212" spans="1:8">
      <c r="A212" s="70">
        <v>813</v>
      </c>
      <c r="B212" s="70" t="s">
        <v>313</v>
      </c>
      <c r="C212" s="70" t="s">
        <v>289</v>
      </c>
      <c r="D212" s="70" t="s">
        <v>23</v>
      </c>
      <c r="E212" s="70" t="b">
        <v>1</v>
      </c>
      <c r="F212" s="70" t="s">
        <v>27</v>
      </c>
      <c r="G212" s="70">
        <v>7</v>
      </c>
      <c r="H212" s="71">
        <v>46236</v>
      </c>
    </row>
    <row r="213" spans="1:8">
      <c r="A213" s="70">
        <v>812</v>
      </c>
      <c r="B213" s="70" t="s">
        <v>313</v>
      </c>
      <c r="C213" s="70" t="s">
        <v>170</v>
      </c>
      <c r="D213" s="70" t="s">
        <v>23</v>
      </c>
      <c r="E213" s="70" t="b">
        <v>0</v>
      </c>
      <c r="F213" s="70" t="s">
        <v>27</v>
      </c>
      <c r="G213" s="70">
        <v>9</v>
      </c>
      <c r="H213" s="71">
        <v>46236</v>
      </c>
    </row>
    <row r="214" spans="1:8">
      <c r="A214" s="70">
        <v>1129</v>
      </c>
      <c r="B214" s="70" t="s">
        <v>314</v>
      </c>
      <c r="C214" s="70" t="s">
        <v>315</v>
      </c>
      <c r="D214" s="70" t="s">
        <v>23</v>
      </c>
      <c r="E214" s="70" t="b">
        <v>0</v>
      </c>
      <c r="F214" s="70" t="s">
        <v>27</v>
      </c>
      <c r="G214" s="70">
        <v>12</v>
      </c>
      <c r="H214" s="71">
        <v>46236</v>
      </c>
    </row>
    <row r="215" spans="1:8">
      <c r="A215" s="70">
        <v>915</v>
      </c>
      <c r="B215" s="70" t="s">
        <v>316</v>
      </c>
      <c r="C215" s="70" t="s">
        <v>241</v>
      </c>
      <c r="D215" s="70" t="s">
        <v>23</v>
      </c>
      <c r="E215" s="70" t="b">
        <v>0</v>
      </c>
      <c r="F215" s="70" t="s">
        <v>27</v>
      </c>
      <c r="G215" s="70">
        <v>8</v>
      </c>
      <c r="H215" s="71">
        <v>46236</v>
      </c>
    </row>
    <row r="216" spans="1:8">
      <c r="A216" s="70">
        <v>1356</v>
      </c>
      <c r="B216" s="70" t="s">
        <v>317</v>
      </c>
      <c r="C216" s="70" t="s">
        <v>318</v>
      </c>
      <c r="D216" s="70" t="s">
        <v>54</v>
      </c>
      <c r="E216" s="70" t="b">
        <v>0</v>
      </c>
      <c r="F216" s="70" t="s">
        <v>27</v>
      </c>
      <c r="G216" s="70">
        <v>15</v>
      </c>
      <c r="H216" s="71">
        <v>46236</v>
      </c>
    </row>
    <row r="217" spans="1:8">
      <c r="A217" s="70">
        <v>1422</v>
      </c>
      <c r="B217" s="70" t="s">
        <v>319</v>
      </c>
      <c r="C217" s="70" t="s">
        <v>320</v>
      </c>
      <c r="D217" s="70" t="s">
        <v>54</v>
      </c>
      <c r="E217" s="70" t="b">
        <v>1</v>
      </c>
      <c r="F217" s="70" t="s">
        <v>25</v>
      </c>
      <c r="H217" s="71">
        <v>46236</v>
      </c>
    </row>
    <row r="218" spans="1:8">
      <c r="A218" s="70">
        <v>860</v>
      </c>
      <c r="B218" s="70" t="s">
        <v>321</v>
      </c>
      <c r="C218" s="70" t="s">
        <v>215</v>
      </c>
      <c r="D218" s="70" t="s">
        <v>23</v>
      </c>
      <c r="E218" s="70" t="b">
        <v>1</v>
      </c>
      <c r="F218" s="70" t="s">
        <v>25</v>
      </c>
      <c r="H218" s="71">
        <v>46236</v>
      </c>
    </row>
    <row r="219" spans="1:8">
      <c r="A219" s="70">
        <v>756</v>
      </c>
      <c r="B219" s="70" t="s">
        <v>321</v>
      </c>
      <c r="C219" s="70" t="s">
        <v>322</v>
      </c>
      <c r="D219" s="70" t="s">
        <v>23</v>
      </c>
      <c r="E219" s="70" t="b">
        <v>0</v>
      </c>
      <c r="F219" s="70" t="s">
        <v>25</v>
      </c>
      <c r="H219" s="71">
        <v>46236</v>
      </c>
    </row>
    <row r="220" spans="1:8">
      <c r="A220" s="70">
        <v>407</v>
      </c>
      <c r="B220" s="70" t="s">
        <v>321</v>
      </c>
      <c r="C220" s="70" t="s">
        <v>323</v>
      </c>
      <c r="D220" s="70" t="s">
        <v>23</v>
      </c>
      <c r="E220" s="70" t="b">
        <v>0</v>
      </c>
      <c r="F220" s="70" t="s">
        <v>27</v>
      </c>
      <c r="G220" s="70">
        <v>5</v>
      </c>
      <c r="H220" s="71">
        <v>46236</v>
      </c>
    </row>
    <row r="221" spans="1:8">
      <c r="A221" s="70">
        <v>1428</v>
      </c>
      <c r="B221" s="70" t="s">
        <v>324</v>
      </c>
      <c r="C221" s="70" t="s">
        <v>325</v>
      </c>
      <c r="D221" s="70" t="s">
        <v>23</v>
      </c>
      <c r="E221" s="70" t="b">
        <v>0</v>
      </c>
      <c r="F221" s="70" t="s">
        <v>35</v>
      </c>
      <c r="H221" s="71">
        <v>46236</v>
      </c>
    </row>
    <row r="222" spans="1:8">
      <c r="A222" s="70">
        <v>1423</v>
      </c>
      <c r="B222" s="70" t="s">
        <v>326</v>
      </c>
      <c r="C222" s="70" t="s">
        <v>83</v>
      </c>
      <c r="D222" s="70" t="s">
        <v>23</v>
      </c>
      <c r="E222" s="70" t="b">
        <v>0</v>
      </c>
      <c r="F222" s="70" t="s">
        <v>25</v>
      </c>
      <c r="H222" s="71">
        <v>46236</v>
      </c>
    </row>
    <row r="223" spans="1:8">
      <c r="A223" s="70">
        <v>1424</v>
      </c>
      <c r="B223" s="70" t="s">
        <v>326</v>
      </c>
      <c r="C223" s="70" t="s">
        <v>259</v>
      </c>
      <c r="D223" s="70" t="s">
        <v>23</v>
      </c>
      <c r="E223" s="70" t="b">
        <v>1</v>
      </c>
      <c r="F223" s="70" t="s">
        <v>25</v>
      </c>
      <c r="H223" s="71">
        <v>46236</v>
      </c>
    </row>
    <row r="224" spans="1:8">
      <c r="A224" s="70">
        <v>1425</v>
      </c>
      <c r="B224" s="70" t="s">
        <v>326</v>
      </c>
      <c r="C224" s="70" t="s">
        <v>327</v>
      </c>
      <c r="D224" s="70" t="s">
        <v>23</v>
      </c>
      <c r="E224" s="70" t="b">
        <v>0</v>
      </c>
      <c r="F224" s="70" t="s">
        <v>35</v>
      </c>
      <c r="H224" s="71">
        <v>46236</v>
      </c>
    </row>
    <row r="225" spans="1:8">
      <c r="A225" s="70">
        <v>1426</v>
      </c>
      <c r="B225" s="70" t="s">
        <v>326</v>
      </c>
      <c r="C225" s="70" t="s">
        <v>328</v>
      </c>
      <c r="D225" s="70" t="s">
        <v>23</v>
      </c>
      <c r="E225" s="70" t="b">
        <v>1</v>
      </c>
      <c r="F225" s="70" t="s">
        <v>35</v>
      </c>
      <c r="H225" s="71">
        <v>46236</v>
      </c>
    </row>
    <row r="226" spans="1:8">
      <c r="A226" s="70">
        <v>1312</v>
      </c>
      <c r="B226" s="70" t="s">
        <v>329</v>
      </c>
      <c r="C226" s="70" t="s">
        <v>287</v>
      </c>
      <c r="D226" s="70" t="s">
        <v>23</v>
      </c>
      <c r="E226" s="70" t="b">
        <v>1</v>
      </c>
      <c r="F226" s="70" t="s">
        <v>27</v>
      </c>
      <c r="G226" s="70">
        <v>35</v>
      </c>
      <c r="H226" s="71">
        <v>46236</v>
      </c>
    </row>
    <row r="227" spans="1:8">
      <c r="A227" s="70">
        <v>935</v>
      </c>
      <c r="B227" s="70" t="s">
        <v>330</v>
      </c>
      <c r="C227" s="70" t="s">
        <v>245</v>
      </c>
      <c r="D227" s="70" t="s">
        <v>23</v>
      </c>
      <c r="E227" s="70" t="b">
        <v>1</v>
      </c>
      <c r="F227" s="70" t="s">
        <v>25</v>
      </c>
      <c r="H227" s="71">
        <v>46236</v>
      </c>
    </row>
    <row r="228" spans="1:8">
      <c r="A228" s="70">
        <v>999</v>
      </c>
      <c r="B228" s="70" t="s">
        <v>330</v>
      </c>
      <c r="C228" s="70" t="s">
        <v>331</v>
      </c>
      <c r="D228" s="70" t="s">
        <v>23</v>
      </c>
      <c r="E228" s="70" t="b">
        <v>1</v>
      </c>
      <c r="F228" s="70" t="s">
        <v>25</v>
      </c>
      <c r="H228" s="71">
        <v>46236</v>
      </c>
    </row>
    <row r="229" spans="1:8">
      <c r="A229" s="70">
        <v>998</v>
      </c>
      <c r="B229" s="70" t="s">
        <v>330</v>
      </c>
      <c r="C229" s="70" t="s">
        <v>332</v>
      </c>
      <c r="D229" s="70" t="s">
        <v>23</v>
      </c>
      <c r="E229" s="70" t="b">
        <v>1</v>
      </c>
      <c r="F229" s="70" t="s">
        <v>27</v>
      </c>
      <c r="G229" s="70">
        <v>5</v>
      </c>
      <c r="H229" s="71">
        <v>46236</v>
      </c>
    </row>
    <row r="230" spans="1:8">
      <c r="A230" s="70">
        <v>616</v>
      </c>
      <c r="B230" s="70" t="s">
        <v>330</v>
      </c>
      <c r="C230" s="70" t="s">
        <v>41</v>
      </c>
      <c r="D230" s="70" t="s">
        <v>23</v>
      </c>
      <c r="E230" s="70" t="b">
        <v>0</v>
      </c>
      <c r="F230" s="70" t="s">
        <v>27</v>
      </c>
      <c r="G230" s="70">
        <v>7</v>
      </c>
      <c r="H230" s="71">
        <v>46236</v>
      </c>
    </row>
    <row r="231" spans="1:8">
      <c r="A231" s="70">
        <v>558</v>
      </c>
      <c r="B231" s="70" t="s">
        <v>333</v>
      </c>
      <c r="C231" s="70" t="s">
        <v>334</v>
      </c>
      <c r="D231" s="70" t="s">
        <v>23</v>
      </c>
      <c r="E231" s="70" t="b">
        <v>0</v>
      </c>
      <c r="F231" s="70" t="s">
        <v>27</v>
      </c>
      <c r="G231" s="70">
        <v>15</v>
      </c>
      <c r="H231" s="71">
        <v>46236</v>
      </c>
    </row>
    <row r="232" spans="1:8">
      <c r="A232" s="70">
        <v>991</v>
      </c>
      <c r="B232" s="70" t="s">
        <v>335</v>
      </c>
      <c r="C232" s="70" t="s">
        <v>184</v>
      </c>
      <c r="D232" s="70" t="s">
        <v>23</v>
      </c>
      <c r="E232" s="70" t="b">
        <v>1</v>
      </c>
      <c r="F232" s="70" t="s">
        <v>35</v>
      </c>
      <c r="H232" s="71">
        <v>46236</v>
      </c>
    </row>
    <row r="233" spans="1:8">
      <c r="A233" s="70">
        <v>707</v>
      </c>
      <c r="B233" s="70" t="s">
        <v>697</v>
      </c>
      <c r="C233" s="70" t="s">
        <v>102</v>
      </c>
      <c r="D233" s="70" t="s">
        <v>23</v>
      </c>
      <c r="E233" s="70" t="b">
        <v>0</v>
      </c>
      <c r="F233" s="70" t="s">
        <v>27</v>
      </c>
      <c r="G233" s="70">
        <v>13</v>
      </c>
      <c r="H233" s="71">
        <v>46236</v>
      </c>
    </row>
    <row r="234" spans="1:8">
      <c r="A234" s="70">
        <v>359</v>
      </c>
      <c r="B234" s="70" t="s">
        <v>336</v>
      </c>
      <c r="C234" s="70" t="s">
        <v>26</v>
      </c>
      <c r="D234" s="70" t="s">
        <v>23</v>
      </c>
      <c r="E234" s="70" t="b">
        <v>0</v>
      </c>
      <c r="F234" s="70" t="s">
        <v>27</v>
      </c>
      <c r="G234" s="70">
        <v>24</v>
      </c>
      <c r="H234" s="71">
        <v>46236</v>
      </c>
    </row>
    <row r="235" spans="1:8">
      <c r="A235" s="70">
        <v>1310</v>
      </c>
      <c r="B235" s="70" t="s">
        <v>337</v>
      </c>
      <c r="C235" s="70" t="s">
        <v>311</v>
      </c>
      <c r="D235" s="70" t="s">
        <v>23</v>
      </c>
      <c r="E235" s="70" t="b">
        <v>0</v>
      </c>
      <c r="F235" s="70" t="s">
        <v>25</v>
      </c>
      <c r="H235" s="71">
        <v>46236</v>
      </c>
    </row>
    <row r="236" spans="1:8">
      <c r="A236" s="70">
        <v>1200</v>
      </c>
      <c r="B236" s="70" t="s">
        <v>338</v>
      </c>
      <c r="C236" s="70" t="s">
        <v>339</v>
      </c>
      <c r="D236" s="70" t="s">
        <v>23</v>
      </c>
      <c r="E236" s="70" t="b">
        <v>0</v>
      </c>
      <c r="F236" s="70" t="s">
        <v>27</v>
      </c>
      <c r="G236" s="70">
        <v>6</v>
      </c>
      <c r="H236" s="71">
        <v>46236</v>
      </c>
    </row>
    <row r="237" spans="1:8">
      <c r="A237" s="70">
        <v>1411</v>
      </c>
      <c r="B237" s="70" t="s">
        <v>338</v>
      </c>
      <c r="C237" s="70" t="s">
        <v>72</v>
      </c>
      <c r="D237" s="70" t="s">
        <v>23</v>
      </c>
      <c r="E237" s="70" t="b">
        <v>1</v>
      </c>
      <c r="F237" s="70" t="s">
        <v>27</v>
      </c>
      <c r="G237" s="70">
        <v>3</v>
      </c>
      <c r="H237" s="71">
        <v>46236</v>
      </c>
    </row>
    <row r="238" spans="1:8">
      <c r="A238" s="70">
        <v>1412</v>
      </c>
      <c r="B238" s="70" t="s">
        <v>338</v>
      </c>
      <c r="C238" s="70" t="s">
        <v>340</v>
      </c>
      <c r="D238" s="70" t="s">
        <v>23</v>
      </c>
      <c r="E238" s="70" t="b">
        <v>1</v>
      </c>
      <c r="F238" s="70" t="s">
        <v>188</v>
      </c>
      <c r="H238" s="71">
        <v>46236</v>
      </c>
    </row>
    <row r="239" spans="1:8">
      <c r="A239" s="70">
        <v>1413</v>
      </c>
      <c r="B239" s="70" t="s">
        <v>338</v>
      </c>
      <c r="C239" s="70" t="s">
        <v>214</v>
      </c>
      <c r="D239" s="70" t="s">
        <v>23</v>
      </c>
      <c r="E239" s="70" t="b">
        <v>0</v>
      </c>
      <c r="F239" s="70" t="s">
        <v>188</v>
      </c>
      <c r="H239" s="71">
        <v>46236</v>
      </c>
    </row>
    <row r="240" spans="1:8">
      <c r="A240" s="70">
        <v>1376</v>
      </c>
      <c r="B240" s="70" t="s">
        <v>192</v>
      </c>
      <c r="C240" s="70" t="s">
        <v>127</v>
      </c>
      <c r="D240" s="70" t="s">
        <v>23</v>
      </c>
      <c r="E240" s="70" t="b">
        <v>1</v>
      </c>
      <c r="F240" s="70" t="s">
        <v>25</v>
      </c>
      <c r="H240" s="71">
        <v>46236</v>
      </c>
    </row>
    <row r="241" spans="1:8">
      <c r="A241" s="70">
        <v>1140</v>
      </c>
      <c r="B241" s="70" t="s">
        <v>341</v>
      </c>
      <c r="C241" s="70" t="s">
        <v>243</v>
      </c>
      <c r="D241" s="70" t="s">
        <v>23</v>
      </c>
      <c r="E241" s="70" t="b">
        <v>0</v>
      </c>
      <c r="F241" s="70" t="s">
        <v>25</v>
      </c>
      <c r="H241" s="71">
        <v>46236</v>
      </c>
    </row>
    <row r="242" spans="1:8">
      <c r="A242" s="70">
        <v>989</v>
      </c>
      <c r="B242" s="70" t="s">
        <v>342</v>
      </c>
      <c r="C242" s="70" t="s">
        <v>343</v>
      </c>
      <c r="D242" s="70" t="s">
        <v>23</v>
      </c>
      <c r="E242" s="70" t="b">
        <v>0</v>
      </c>
      <c r="F242" s="70" t="s">
        <v>27</v>
      </c>
      <c r="G242" s="70">
        <v>3</v>
      </c>
      <c r="H242" s="71">
        <v>46236</v>
      </c>
    </row>
    <row r="243" spans="1:8">
      <c r="A243" s="70">
        <v>1417</v>
      </c>
      <c r="B243" s="70" t="s">
        <v>344</v>
      </c>
      <c r="C243" s="70" t="s">
        <v>345</v>
      </c>
      <c r="D243" s="70" t="s">
        <v>23</v>
      </c>
      <c r="E243" s="70" t="b">
        <v>1</v>
      </c>
      <c r="F243" s="70" t="s">
        <v>27</v>
      </c>
      <c r="G243" s="70">
        <v>17</v>
      </c>
      <c r="H243" s="71">
        <v>46236</v>
      </c>
    </row>
    <row r="244" spans="1:8">
      <c r="A244" s="70">
        <v>52</v>
      </c>
      <c r="B244" s="70" t="s">
        <v>346</v>
      </c>
      <c r="C244" s="70" t="s">
        <v>192</v>
      </c>
      <c r="D244" s="70" t="s">
        <v>23</v>
      </c>
      <c r="E244" s="70" t="b">
        <v>0</v>
      </c>
      <c r="F244" s="70" t="s">
        <v>25</v>
      </c>
      <c r="H244" s="71">
        <v>46236</v>
      </c>
    </row>
    <row r="245" spans="1:8">
      <c r="A245" s="70">
        <v>62</v>
      </c>
      <c r="B245" s="70" t="s">
        <v>344</v>
      </c>
      <c r="C245" s="70" t="s">
        <v>234</v>
      </c>
      <c r="D245" s="70" t="s">
        <v>23</v>
      </c>
      <c r="E245" s="70" t="b">
        <v>0</v>
      </c>
      <c r="F245" s="70" t="s">
        <v>27</v>
      </c>
      <c r="G245" s="70">
        <v>4</v>
      </c>
      <c r="H245" s="71">
        <v>46236</v>
      </c>
    </row>
    <row r="246" spans="1:8">
      <c r="A246" s="70">
        <v>930</v>
      </c>
      <c r="B246" s="70" t="s">
        <v>347</v>
      </c>
      <c r="C246" s="70" t="s">
        <v>348</v>
      </c>
      <c r="D246" s="70" t="s">
        <v>23</v>
      </c>
      <c r="E246" s="70" t="b">
        <v>1</v>
      </c>
      <c r="F246" s="70" t="s">
        <v>27</v>
      </c>
      <c r="G246" s="70">
        <v>6</v>
      </c>
      <c r="H246" s="71">
        <v>46236</v>
      </c>
    </row>
    <row r="247" spans="1:8">
      <c r="A247" s="70">
        <v>1254</v>
      </c>
      <c r="B247" s="70" t="s">
        <v>349</v>
      </c>
      <c r="C247" s="70" t="s">
        <v>51</v>
      </c>
      <c r="D247" s="70" t="s">
        <v>23</v>
      </c>
      <c r="E247" s="70" t="b">
        <v>0</v>
      </c>
      <c r="F247" s="70" t="s">
        <v>27</v>
      </c>
      <c r="G247" s="70">
        <v>21</v>
      </c>
      <c r="H247" s="71">
        <v>46236</v>
      </c>
    </row>
    <row r="248" spans="1:8">
      <c r="A248" s="70">
        <v>744</v>
      </c>
      <c r="B248" s="70" t="s">
        <v>350</v>
      </c>
      <c r="C248" s="70" t="s">
        <v>351</v>
      </c>
      <c r="D248" s="70" t="s">
        <v>23</v>
      </c>
      <c r="E248" s="70" t="b">
        <v>0</v>
      </c>
      <c r="F248" s="70" t="s">
        <v>27</v>
      </c>
      <c r="G248" s="70">
        <v>28</v>
      </c>
      <c r="H248" s="71">
        <v>46236</v>
      </c>
    </row>
    <row r="249" spans="1:8">
      <c r="A249" s="70">
        <v>337</v>
      </c>
      <c r="B249" s="70" t="s">
        <v>352</v>
      </c>
      <c r="C249" s="70" t="s">
        <v>179</v>
      </c>
      <c r="D249" s="70" t="s">
        <v>23</v>
      </c>
      <c r="E249" s="70" t="b">
        <v>1</v>
      </c>
      <c r="F249" s="70" t="s">
        <v>27</v>
      </c>
      <c r="G249" s="70">
        <v>21</v>
      </c>
      <c r="H249" s="71">
        <v>46236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dimension ref="A1:B402"/>
  <sheetViews>
    <sheetView workbookViewId="0"/>
    <sheetView workbookViewId="1"/>
  </sheetViews>
  <sheetFormatPr defaultRowHeight="12.75"/>
  <cols>
    <col min="2" max="2" width="18.46484375" bestFit="1" customWidth="1"/>
  </cols>
  <sheetData>
    <row r="1" spans="1:2">
      <c r="A1" t="s">
        <v>354</v>
      </c>
      <c r="B1" t="s">
        <v>355</v>
      </c>
    </row>
    <row r="2" spans="1:2">
      <c r="A2">
        <f>IF(ISNUMBER(Competitors!A2),Competitors!A2,"")</f>
        <v>1327</v>
      </c>
      <c r="B2" t="str">
        <f>IF(A2="","",CONCATENATE(VLOOKUP(A2,Competitors!$A$2:$I$650,3,FALSE)," ",VLOOKUP(A2,Competitors!$A$2:$I$650,2,FALSE)))</f>
        <v>James Abbott</v>
      </c>
    </row>
    <row r="3" spans="1:2">
      <c r="A3">
        <f>IF(ISNUMBER(Competitors!A3),Competitors!A3,"")</f>
        <v>1237</v>
      </c>
      <c r="B3" t="str">
        <f>IF(A3="","",CONCATENATE(VLOOKUP(A3,Competitors!$A$2:$I$650,3,FALSE)," ",VLOOKUP(A3,Competitors!$A$2:$I$650,2,FALSE)))</f>
        <v>John Abbott</v>
      </c>
    </row>
    <row r="4" spans="1:2">
      <c r="A4">
        <f>IF(ISNUMBER(Competitors!A4),Competitors!A4,"")</f>
        <v>819</v>
      </c>
      <c r="B4" t="str">
        <f>IF(A4="","",CONCATENATE(VLOOKUP(A4,Competitors!$A$2:$I$650,3,FALSE)," ",VLOOKUP(A4,Competitors!$A$2:$I$650,2,FALSE)))</f>
        <v>Kath Akoslovski</v>
      </c>
    </row>
    <row r="5" spans="1:2">
      <c r="A5">
        <f>IF(ISNUMBER(Competitors!A5),Competitors!A5,"")</f>
        <v>2</v>
      </c>
      <c r="B5" t="str">
        <f>IF(A5="","",CONCATENATE(VLOOKUP(A5,Competitors!$A$2:$I$650,3,FALSE)," ",VLOOKUP(A5,Competitors!$A$2:$I$650,2,FALSE)))</f>
        <v>Steve Alden</v>
      </c>
    </row>
    <row r="6" spans="1:2">
      <c r="A6">
        <f>IF(ISNUMBER(Competitors!A6),Competitors!A6,"")</f>
        <v>1370</v>
      </c>
      <c r="B6" t="str">
        <f>IF(A6="","",CONCATENATE(VLOOKUP(A6,Competitors!$A$2:$I$650,3,FALSE)," ",VLOOKUP(A6,Competitors!$A$2:$I$650,2,FALSE)))</f>
        <v>Ian Aldridge</v>
      </c>
    </row>
    <row r="7" spans="1:2">
      <c r="A7">
        <f>IF(ISNUMBER(Competitors!A7),Competitors!A7,"")</f>
        <v>1415</v>
      </c>
      <c r="B7" t="str">
        <f>IF(A7="","",CONCATENATE(VLOOKUP(A7,Competitors!$A$2:$I$650,3,FALSE)," ",VLOOKUP(A7,Competitors!$A$2:$I$650,2,FALSE)))</f>
        <v>James Aldridge</v>
      </c>
    </row>
    <row r="8" spans="1:2">
      <c r="A8">
        <f>IF(ISNUMBER(Competitors!A8),Competitors!A8,"")</f>
        <v>1286</v>
      </c>
      <c r="B8" t="str">
        <f>IF(A8="","",CONCATENATE(VLOOKUP(A8,Competitors!$A$2:$I$650,3,FALSE)," ",VLOOKUP(A8,Competitors!$A$2:$I$650,2,FALSE)))</f>
        <v>Ian Allen</v>
      </c>
    </row>
    <row r="9" spans="1:2">
      <c r="A9">
        <f>IF(ISNUMBER(Competitors!A9),Competitors!A9,"")</f>
        <v>1381</v>
      </c>
      <c r="B9" t="str">
        <f>IF(A9="","",CONCATENATE(VLOOKUP(A9,Competitors!$A$2:$I$650,3,FALSE)," ",VLOOKUP(A9,Competitors!$A$2:$I$650,2,FALSE)))</f>
        <v>Roland Allen</v>
      </c>
    </row>
    <row r="10" spans="1:2">
      <c r="A10">
        <f>IF(ISNUMBER(Competitors!A10),Competitors!A10,"")</f>
        <v>1112</v>
      </c>
      <c r="B10" t="str">
        <f>IF(A10="","",CONCATENATE(VLOOKUP(A10,Competitors!$A$2:$I$650,3,FALSE)," ",VLOOKUP(A10,Competitors!$A$2:$I$650,2,FALSE)))</f>
        <v>Gary Ashwell</v>
      </c>
    </row>
    <row r="11" spans="1:2">
      <c r="A11">
        <f>IF(ISNUMBER(Competitors!A11),Competitors!A11,"")</f>
        <v>1135</v>
      </c>
      <c r="B11" t="str">
        <f>IF(A11="","",CONCATENATE(VLOOKUP(A11,Competitors!$A$2:$I$650,3,FALSE)," ",VLOOKUP(A11,Competitors!$A$2:$I$650,2,FALSE)))</f>
        <v>Simon Askham</v>
      </c>
    </row>
    <row r="12" spans="1:2">
      <c r="A12">
        <f>IF(ISNUMBER(Competitors!A12),Competitors!A12,"")</f>
        <v>1430</v>
      </c>
      <c r="B12" t="str">
        <f>IF(A12="","",CONCATENATE(VLOOKUP(A12,Competitors!$A$2:$I$650,3,FALSE)," ",VLOOKUP(A12,Competitors!$A$2:$I$650,2,FALSE)))</f>
        <v>Gary Bacon</v>
      </c>
    </row>
    <row r="13" spans="1:2">
      <c r="A13">
        <f>IF(ISNUMBER(Competitors!A13),Competitors!A13,"")</f>
        <v>982</v>
      </c>
      <c r="B13" t="str">
        <f>IF(A13="","",CONCATENATE(VLOOKUP(A13,Competitors!$A$2:$I$650,3,FALSE)," ",VLOOKUP(A13,Competitors!$A$2:$I$650,2,FALSE)))</f>
        <v>Steve Bacon</v>
      </c>
    </row>
    <row r="14" spans="1:2">
      <c r="A14">
        <f>IF(ISNUMBER(Competitors!A14),Competitors!A14,"")</f>
        <v>1328</v>
      </c>
      <c r="B14" t="str">
        <f>IF(A14="","",CONCATENATE(VLOOKUP(A14,Competitors!$A$2:$I$650,3,FALSE)," ",VLOOKUP(A14,Competitors!$A$2:$I$650,2,FALSE)))</f>
        <v>Shaun Bailey</v>
      </c>
    </row>
    <row r="15" spans="1:2">
      <c r="A15">
        <f>IF(ISNUMBER(Competitors!A15),Competitors!A15,"")</f>
        <v>369</v>
      </c>
      <c r="B15" t="str">
        <f>IF(A15="","",CONCATENATE(VLOOKUP(A15,Competitors!$A$2:$I$650,3,FALSE)," ",VLOOKUP(A15,Competitors!$A$2:$I$650,2,FALSE)))</f>
        <v>Dean Barnett</v>
      </c>
    </row>
    <row r="16" spans="1:2">
      <c r="A16">
        <f>IF(ISNUMBER(Competitors!A16),Competitors!A16,"")</f>
        <v>7</v>
      </c>
      <c r="B16" t="str">
        <f>IF(A16="","",CONCATENATE(VLOOKUP(A16,Competitors!$A$2:$I$650,3,FALSE)," ",VLOOKUP(A16,Competitors!$A$2:$I$650,2,FALSE)))</f>
        <v>Vic Barnett</v>
      </c>
    </row>
    <row r="17" spans="1:2">
      <c r="A17">
        <f>IF(ISNUMBER(Competitors!A17),Competitors!A17,"")</f>
        <v>473</v>
      </c>
      <c r="B17" t="str">
        <f>IF(A17="","",CONCATENATE(VLOOKUP(A17,Competitors!$A$2:$I$650,3,FALSE)," ",VLOOKUP(A17,Competitors!$A$2:$I$650,2,FALSE)))</f>
        <v>George Barnett</v>
      </c>
    </row>
    <row r="18" spans="1:2">
      <c r="A18">
        <f>IF(ISNUMBER(Competitors!A18),Competitors!A18,"")</f>
        <v>1384</v>
      </c>
      <c r="B18" t="str">
        <f>IF(A18="","",CONCATENATE(VLOOKUP(A18,Competitors!$A$2:$I$650,3,FALSE)," ",VLOOKUP(A18,Competitors!$A$2:$I$650,2,FALSE)))</f>
        <v>Paul Barrett</v>
      </c>
    </row>
    <row r="19" spans="1:2">
      <c r="A19">
        <f>IF(ISNUMBER(Competitors!A19),Competitors!A19,"")</f>
        <v>1348</v>
      </c>
      <c r="B19" t="str">
        <f>IF(A19="","",CONCATENATE(VLOOKUP(A19,Competitors!$A$2:$I$650,3,FALSE)," ",VLOOKUP(A19,Competitors!$A$2:$I$650,2,FALSE)))</f>
        <v>Lydia Baxter</v>
      </c>
    </row>
    <row r="20" spans="1:2">
      <c r="A20">
        <f>IF(ISNUMBER(Competitors!A20),Competitors!A20,"")</f>
        <v>1275</v>
      </c>
      <c r="B20" t="str">
        <f>IF(A20="","",CONCATENATE(VLOOKUP(A20,Competitors!$A$2:$I$650,3,FALSE)," ",VLOOKUP(A20,Competitors!$A$2:$I$650,2,FALSE)))</f>
        <v>Sylvia Baxter</v>
      </c>
    </row>
    <row r="21" spans="1:2">
      <c r="A21">
        <f>IF(ISNUMBER(Competitors!A21),Competitors!A21,"")</f>
        <v>68</v>
      </c>
      <c r="B21" t="str">
        <f>IF(A21="","",CONCATENATE(VLOOKUP(A21,Competitors!$A$2:$I$650,3,FALSE)," ",VLOOKUP(A21,Competitors!$A$2:$I$650,2,FALSE)))</f>
        <v>Ronald Beach</v>
      </c>
    </row>
    <row r="22" spans="1:2">
      <c r="A22">
        <f>IF(ISNUMBER(Competitors!A22),Competitors!A22,"")</f>
        <v>1035</v>
      </c>
      <c r="B22" t="str">
        <f>IF(A22="","",CONCATENATE(VLOOKUP(A22,Competitors!$A$2:$I$650,3,FALSE)," ",VLOOKUP(A22,Competitors!$A$2:$I$650,2,FALSE)))</f>
        <v>Peter Bell</v>
      </c>
    </row>
    <row r="23" spans="1:2">
      <c r="A23">
        <f>IF(ISNUMBER(Competitors!A23),Competitors!A23,"")</f>
        <v>1416</v>
      </c>
      <c r="B23" t="str">
        <f>IF(A23="","",CONCATENATE(VLOOKUP(A23,Competitors!$A$2:$I$650,3,FALSE)," ",VLOOKUP(A23,Competitors!$A$2:$I$650,2,FALSE)))</f>
        <v>Henry Bellamy</v>
      </c>
    </row>
    <row r="24" spans="1:2">
      <c r="A24">
        <f>IF(ISNUMBER(Competitors!A24),Competitors!A24,"")</f>
        <v>1326</v>
      </c>
      <c r="B24" t="str">
        <f>IF(A24="","",CONCATENATE(VLOOKUP(A24,Competitors!$A$2:$I$650,3,FALSE)," ",VLOOKUP(A24,Competitors!$A$2:$I$650,2,FALSE)))</f>
        <v>Laoise Bennis</v>
      </c>
    </row>
    <row r="25" spans="1:2">
      <c r="A25">
        <f>IF(ISNUMBER(Competitors!A25),Competitors!A25,"")</f>
        <v>1431</v>
      </c>
      <c r="B25" t="str">
        <f>IF(A25="","",CONCATENATE(VLOOKUP(A25,Competitors!$A$2:$I$650,3,FALSE)," ",VLOOKUP(A25,Competitors!$A$2:$I$650,2,FALSE)))</f>
        <v>Angela Bewick</v>
      </c>
    </row>
    <row r="26" spans="1:2">
      <c r="A26">
        <f>IF(ISNUMBER(Competitors!A26),Competitors!A26,"")</f>
        <v>477</v>
      </c>
      <c r="B26" t="str">
        <f>IF(A26="","",CONCATENATE(VLOOKUP(A26,Competitors!$A$2:$I$650,3,FALSE)," ",VLOOKUP(A26,Competitors!$A$2:$I$650,2,FALSE)))</f>
        <v>Carol Birch</v>
      </c>
    </row>
    <row r="27" spans="1:2">
      <c r="A27">
        <f>IF(ISNUMBER(Competitors!A27),Competitors!A27,"")</f>
        <v>10</v>
      </c>
      <c r="B27" t="str">
        <f>IF(A27="","",CONCATENATE(VLOOKUP(A27,Competitors!$A$2:$I$650,3,FALSE)," ",VLOOKUP(A27,Competitors!$A$2:$I$650,2,FALSE)))</f>
        <v>Dave Birch</v>
      </c>
    </row>
    <row r="28" spans="1:2">
      <c r="A28">
        <f>IF(ISNUMBER(Competitors!A28),Competitors!A28,"")</f>
        <v>1414</v>
      </c>
      <c r="B28" t="str">
        <f>IF(A28="","",CONCATENATE(VLOOKUP(A28,Competitors!$A$2:$I$650,3,FALSE)," ",VLOOKUP(A28,Competitors!$A$2:$I$650,2,FALSE)))</f>
        <v>Allen Boney</v>
      </c>
    </row>
    <row r="29" spans="1:2">
      <c r="A29">
        <f>IF(ISNUMBER(Competitors!A29),Competitors!A29,"")</f>
        <v>1029</v>
      </c>
      <c r="B29" t="str">
        <f>IF(A29="","",CONCATENATE(VLOOKUP(A29,Competitors!$A$2:$I$650,3,FALSE)," ",VLOOKUP(A29,Competitors!$A$2:$I$650,2,FALSE)))</f>
        <v>Victor Bowie</v>
      </c>
    </row>
    <row r="30" spans="1:2">
      <c r="A30">
        <f>IF(ISNUMBER(Competitors!A30),Competitors!A30,"")</f>
        <v>13</v>
      </c>
      <c r="B30" t="str">
        <f>IF(A30="","",CONCATENATE(VLOOKUP(A30,Competitors!$A$2:$I$650,3,FALSE)," ",VLOOKUP(A30,Competitors!$A$2:$I$650,2,FALSE)))</f>
        <v>Paul Bramford</v>
      </c>
    </row>
    <row r="31" spans="1:2">
      <c r="A31">
        <f>IF(ISNUMBER(Competitors!A31),Competitors!A31,"")</f>
        <v>1255</v>
      </c>
      <c r="B31" t="str">
        <f>IF(A31="","",CONCATENATE(VLOOKUP(A31,Competitors!$A$2:$I$650,3,FALSE)," ",VLOOKUP(A31,Competitors!$A$2:$I$650,2,FALSE)))</f>
        <v>Anne Bridgstock</v>
      </c>
    </row>
    <row r="32" spans="1:2">
      <c r="A32">
        <f>IF(ISNUMBER(Competitors!A32),Competitors!A32,"")</f>
        <v>1405</v>
      </c>
      <c r="B32" t="str">
        <f>IF(A32="","",CONCATENATE(VLOOKUP(A32,Competitors!$A$2:$I$650,3,FALSE)," ",VLOOKUP(A32,Competitors!$A$2:$I$650,2,FALSE)))</f>
        <v>Elise Brinkman</v>
      </c>
    </row>
    <row r="33" spans="1:2">
      <c r="A33">
        <f>IF(ISNUMBER(Competitors!A33),Competitors!A33,"")</f>
        <v>1421</v>
      </c>
      <c r="B33" t="str">
        <f>IF(A33="","",CONCATENATE(VLOOKUP(A33,Competitors!$A$2:$I$650,3,FALSE)," ",VLOOKUP(A33,Competitors!$A$2:$I$650,2,FALSE)))</f>
        <v>Gill Brown</v>
      </c>
    </row>
    <row r="34" spans="1:2">
      <c r="A34">
        <f>IF(ISNUMBER(Competitors!A34),Competitors!A34,"")</f>
        <v>1418</v>
      </c>
      <c r="B34" t="str">
        <f>IF(A34="","",CONCATENATE(VLOOKUP(A34,Competitors!$A$2:$I$650,3,FALSE)," ",VLOOKUP(A34,Competitors!$A$2:$I$650,2,FALSE)))</f>
        <v>James Brown</v>
      </c>
    </row>
    <row r="35" spans="1:2">
      <c r="A35">
        <f>IF(ISNUMBER(Competitors!A35),Competitors!A35,"")</f>
        <v>919</v>
      </c>
      <c r="B35" t="str">
        <f>IF(A35="","",CONCATENATE(VLOOKUP(A35,Competitors!$A$2:$I$650,3,FALSE)," ",VLOOKUP(A35,Competitors!$A$2:$I$650,2,FALSE)))</f>
        <v>Paul Brundell</v>
      </c>
    </row>
    <row r="36" spans="1:2">
      <c r="A36">
        <f>IF(ISNUMBER(Competitors!A36),Competitors!A36,"")</f>
        <v>1436</v>
      </c>
      <c r="B36" t="str">
        <f>IF(A36="","",CONCATENATE(VLOOKUP(A36,Competitors!$A$2:$I$650,3,FALSE)," ",VLOOKUP(A36,Competitors!$A$2:$I$650,2,FALSE)))</f>
        <v>Shaun Burbery</v>
      </c>
    </row>
    <row r="37" spans="1:2">
      <c r="A37">
        <f>IF(ISNUMBER(Competitors!A37),Competitors!A37,"")</f>
        <v>1319</v>
      </c>
      <c r="B37" t="str">
        <f>IF(A37="","",CONCATENATE(VLOOKUP(A37,Competitors!$A$2:$I$650,3,FALSE)," ",VLOOKUP(A37,Competitors!$A$2:$I$650,2,FALSE)))</f>
        <v>Steve Burgess</v>
      </c>
    </row>
    <row r="38" spans="1:2">
      <c r="A38">
        <f>IF(ISNUMBER(Competitors!A38),Competitors!A38,"")</f>
        <v>1190</v>
      </c>
      <c r="B38" t="str">
        <f>IF(A38="","",CONCATENATE(VLOOKUP(A38,Competitors!$A$2:$I$650,3,FALSE)," ",VLOOKUP(A38,Competitors!$A$2:$I$650,2,FALSE)))</f>
        <v>Jacob Burke</v>
      </c>
    </row>
    <row r="39" spans="1:2">
      <c r="A39">
        <f>IF(ISNUMBER(Competitors!A39),Competitors!A39,"")</f>
        <v>1189</v>
      </c>
      <c r="B39" t="str">
        <f>IF(A39="","",CONCATENATE(VLOOKUP(A39,Competitors!$A$2:$I$650,3,FALSE)," ",VLOOKUP(A39,Competitors!$A$2:$I$650,2,FALSE)))</f>
        <v>Max Burke</v>
      </c>
    </row>
    <row r="40" spans="1:2">
      <c r="A40">
        <f>IF(ISNUMBER(Competitors!A40),Competitors!A40,"")</f>
        <v>735</v>
      </c>
      <c r="B40" t="str">
        <f>IF(A40="","",CONCATENATE(VLOOKUP(A40,Competitors!$A$2:$I$650,3,FALSE)," ",VLOOKUP(A40,Competitors!$A$2:$I$650,2,FALSE)))</f>
        <v>Michael Burke</v>
      </c>
    </row>
    <row r="41" spans="1:2">
      <c r="A41">
        <f>IF(ISNUMBER(Competitors!A41),Competitors!A41,"")</f>
        <v>1389</v>
      </c>
      <c r="B41" t="str">
        <f>IF(A41="","",CONCATENATE(VLOOKUP(A41,Competitors!$A$2:$I$650,3,FALSE)," ",VLOOKUP(A41,Competitors!$A$2:$I$650,2,FALSE)))</f>
        <v>Billy Campbell</v>
      </c>
    </row>
    <row r="42" spans="1:2">
      <c r="A42">
        <f>IF(ISNUMBER(Competitors!A42),Competitors!A42,"")</f>
        <v>940</v>
      </c>
      <c r="B42" t="str">
        <f>IF(A42="","",CONCATENATE(VLOOKUP(A42,Competitors!$A$2:$I$650,3,FALSE)," ",VLOOKUP(A42,Competitors!$A$2:$I$650,2,FALSE)))</f>
        <v>Alison Chapman</v>
      </c>
    </row>
    <row r="43" spans="1:2">
      <c r="A43">
        <f>IF(ISNUMBER(Competitors!A43),Competitors!A43,"")</f>
        <v>806</v>
      </c>
      <c r="B43" t="str">
        <f>IF(A43="","",CONCATENATE(VLOOKUP(A43,Competitors!$A$2:$I$650,3,FALSE)," ",VLOOKUP(A43,Competitors!$A$2:$I$650,2,FALSE)))</f>
        <v>Mark Chapman</v>
      </c>
    </row>
    <row r="44" spans="1:2">
      <c r="A44">
        <f>IF(ISNUMBER(Competitors!A44),Competitors!A44,"")</f>
        <v>482</v>
      </c>
      <c r="B44" t="str">
        <f>IF(A44="","",CONCATENATE(VLOOKUP(A44,Competitors!$A$2:$I$650,3,FALSE)," ",VLOOKUP(A44,Competitors!$A$2:$I$650,2,FALSE)))</f>
        <v>Nick Clarke</v>
      </c>
    </row>
    <row r="45" spans="1:2">
      <c r="A45">
        <f>IF(ISNUMBER(Competitors!A45),Competitors!A45,"")</f>
        <v>674</v>
      </c>
      <c r="B45" t="str">
        <f>IF(A45="","",CONCATENATE(VLOOKUP(A45,Competitors!$A$2:$I$650,3,FALSE)," ",VLOOKUP(A45,Competitors!$A$2:$I$650,2,FALSE)))</f>
        <v>Jennifer Clegg</v>
      </c>
    </row>
    <row r="46" spans="1:2">
      <c r="A46">
        <f>IF(ISNUMBER(Competitors!A46),Competitors!A46,"")</f>
        <v>1061</v>
      </c>
      <c r="B46" t="str">
        <f>IF(A46="","",CONCATENATE(VLOOKUP(A46,Competitors!$A$2:$I$650,3,FALSE)," ",VLOOKUP(A46,Competitors!$A$2:$I$650,2,FALSE)))</f>
        <v>Daryl Collis</v>
      </c>
    </row>
    <row r="47" spans="1:2">
      <c r="A47">
        <f>IF(ISNUMBER(Competitors!A47),Competitors!A47,"")</f>
        <v>763</v>
      </c>
      <c r="B47" t="str">
        <f>IF(A47="","",CONCATENATE(VLOOKUP(A47,Competitors!$A$2:$I$650,3,FALSE)," ",VLOOKUP(A47,Competitors!$A$2:$I$650,2,FALSE)))</f>
        <v>Peter Condon</v>
      </c>
    </row>
    <row r="48" spans="1:2">
      <c r="A48">
        <f>IF(ISNUMBER(Competitors!A48),Competitors!A48,"")</f>
        <v>1227</v>
      </c>
      <c r="B48" t="str">
        <f>IF(A48="","",CONCATENATE(VLOOKUP(A48,Competitors!$A$2:$I$650,3,FALSE)," ",VLOOKUP(A48,Competitors!$A$2:$I$650,2,FALSE)))</f>
        <v>Yvonne Copson</v>
      </c>
    </row>
    <row r="49" spans="1:2">
      <c r="A49">
        <f>IF(ISNUMBER(Competitors!A49),Competitors!A49,"")</f>
        <v>715</v>
      </c>
      <c r="B49" t="str">
        <f>IF(A49="","",CONCATENATE(VLOOKUP(A49,Competitors!$A$2:$I$650,3,FALSE)," ",VLOOKUP(A49,Competitors!$A$2:$I$650,2,FALSE)))</f>
        <v>Steven Coulam</v>
      </c>
    </row>
    <row r="50" spans="1:2">
      <c r="A50">
        <f>IF(ISNUMBER(Competitors!A50),Competitors!A50,"")</f>
        <v>567</v>
      </c>
      <c r="B50" t="str">
        <f>IF(A50="","",CONCATENATE(VLOOKUP(A50,Competitors!$A$2:$I$650,3,FALSE)," ",VLOOKUP(A50,Competitors!$A$2:$I$650,2,FALSE)))</f>
        <v>Lawrence Cox</v>
      </c>
    </row>
    <row r="51" spans="1:2">
      <c r="A51">
        <f>IF(ISNUMBER(Competitors!A51),Competitors!A51,"")</f>
        <v>1391</v>
      </c>
      <c r="B51" t="str">
        <f>IF(A51="","",CONCATENATE(VLOOKUP(A51,Competitors!$A$2:$I$650,3,FALSE)," ",VLOOKUP(A51,Competitors!$A$2:$I$650,2,FALSE)))</f>
        <v>Leah Cuthbertson</v>
      </c>
    </row>
    <row r="52" spans="1:2">
      <c r="A52">
        <f>IF(ISNUMBER(Competitors!A52),Competitors!A52,"")</f>
        <v>704</v>
      </c>
      <c r="B52" t="str">
        <f>IF(A52="","",CONCATENATE(VLOOKUP(A52,Competitors!$A$2:$I$650,3,FALSE)," ",VLOOKUP(A52,Competitors!$A$2:$I$650,2,FALSE)))</f>
        <v>Chris Dainty</v>
      </c>
    </row>
    <row r="53" spans="1:2">
      <c r="A53">
        <f>IF(ISNUMBER(Competitors!A53),Competitors!A53,"")</f>
        <v>1283</v>
      </c>
      <c r="B53" t="str">
        <f>IF(A53="","",CONCATENATE(VLOOKUP(A53,Competitors!$A$2:$I$650,3,FALSE)," ",VLOOKUP(A53,Competitors!$A$2:$I$650,2,FALSE)))</f>
        <v>Martin Dare</v>
      </c>
    </row>
    <row r="54" spans="1:2">
      <c r="A54">
        <f>IF(ISNUMBER(Competitors!A54),Competitors!A54,"")</f>
        <v>295</v>
      </c>
      <c r="B54" t="str">
        <f>IF(A54="","",CONCATENATE(VLOOKUP(A54,Competitors!$A$2:$I$650,3,FALSE)," ",VLOOKUP(A54,Competitors!$A$2:$I$650,2,FALSE)))</f>
        <v>Stuart Dawkins</v>
      </c>
    </row>
    <row r="55" spans="1:2">
      <c r="A55">
        <f>IF(ISNUMBER(Competitors!A55),Competitors!A55,"")</f>
        <v>1226</v>
      </c>
      <c r="B55" t="str">
        <f>IF(A55="","",CONCATENATE(VLOOKUP(A55,Competitors!$A$2:$I$650,3,FALSE)," ",VLOOKUP(A55,Competitors!$A$2:$I$650,2,FALSE)))</f>
        <v>Navpreet Dhillon</v>
      </c>
    </row>
    <row r="56" spans="1:2">
      <c r="A56">
        <f>IF(ISNUMBER(Competitors!A56),Competitors!A56,"")</f>
        <v>1333</v>
      </c>
      <c r="B56" t="str">
        <f>IF(A56="","",CONCATENATE(VLOOKUP(A56,Competitors!$A$2:$I$650,3,FALSE)," ",VLOOKUP(A56,Competitors!$A$2:$I$650,2,FALSE)))</f>
        <v>Graham Dickens</v>
      </c>
    </row>
    <row r="57" spans="1:2">
      <c r="A57">
        <f>IF(ISNUMBER(Competitors!A57),Competitors!A57,"")</f>
        <v>1185</v>
      </c>
      <c r="B57" t="str">
        <f>IF(A57="","",CONCATENATE(VLOOKUP(A57,Competitors!$A$2:$I$650,3,FALSE)," ",VLOOKUP(A57,Competitors!$A$2:$I$650,2,FALSE)))</f>
        <v>Isabelle Dixey</v>
      </c>
    </row>
    <row r="58" spans="1:2">
      <c r="A58">
        <f>IF(ISNUMBER(Competitors!A58),Competitors!A58,"")</f>
        <v>1065</v>
      </c>
      <c r="B58" t="str">
        <f>IF(A58="","",CONCATENATE(VLOOKUP(A58,Competitors!$A$2:$I$650,3,FALSE)," ",VLOOKUP(A58,Competitors!$A$2:$I$650,2,FALSE)))</f>
        <v>Simon Dixey</v>
      </c>
    </row>
    <row r="59" spans="1:2">
      <c r="A59">
        <f>IF(ISNUMBER(Competitors!A59),Competitors!A59,"")</f>
        <v>1407</v>
      </c>
      <c r="B59" t="str">
        <f>IF(A59="","",CONCATENATE(VLOOKUP(A59,Competitors!$A$2:$I$650,3,FALSE)," ",VLOOKUP(A59,Competitors!$A$2:$I$650,2,FALSE)))</f>
        <v>Colin Dobson</v>
      </c>
    </row>
    <row r="60" spans="1:2">
      <c r="A60">
        <f>IF(ISNUMBER(Competitors!A60),Competitors!A60,"")</f>
        <v>701</v>
      </c>
      <c r="B60" t="str">
        <f>IF(A60="","",CONCATENATE(VLOOKUP(A60,Competitors!$A$2:$I$650,3,FALSE)," ",VLOOKUP(A60,Competitors!$A$2:$I$650,2,FALSE)))</f>
        <v>Neil Doherty</v>
      </c>
    </row>
    <row r="61" spans="1:2">
      <c r="A61">
        <f>IF(ISNUMBER(Competitors!A61),Competitors!A61,"")</f>
        <v>1096</v>
      </c>
      <c r="B61" t="str">
        <f>IF(A61="","",CONCATENATE(VLOOKUP(A61,Competitors!$A$2:$I$650,3,FALSE)," ",VLOOKUP(A61,Competitors!$A$2:$I$650,2,FALSE)))</f>
        <v>Nathan Durnin</v>
      </c>
    </row>
    <row r="62" spans="1:2">
      <c r="A62">
        <f>IF(ISNUMBER(Competitors!A62),Competitors!A62,"")</f>
        <v>1236</v>
      </c>
      <c r="B62" t="str">
        <f>IF(A62="","",CONCATENATE(VLOOKUP(A62,Competitors!$A$2:$I$650,3,FALSE)," ",VLOOKUP(A62,Competitors!$A$2:$I$650,2,FALSE)))</f>
        <v>Clare Durnin</v>
      </c>
    </row>
    <row r="63" spans="1:2">
      <c r="A63">
        <f>IF(ISNUMBER(Competitors!A63),Competitors!A63,"")</f>
        <v>699</v>
      </c>
      <c r="B63" t="str">
        <f>IF(A63="","",CONCATENATE(VLOOKUP(A63,Competitors!$A$2:$I$650,3,FALSE)," ",VLOOKUP(A63,Competitors!$A$2:$I$650,2,FALSE)))</f>
        <v>Jonathan Durnin</v>
      </c>
    </row>
    <row r="64" spans="1:2">
      <c r="A64">
        <f>IF(ISNUMBER(Competitors!A64),Competitors!A64,"")</f>
        <v>1288</v>
      </c>
      <c r="B64" t="str">
        <f>IF(A64="","",CONCATENATE(VLOOKUP(A64,Competitors!$A$2:$I$650,3,FALSE)," ",VLOOKUP(A64,Competitors!$A$2:$I$650,2,FALSE)))</f>
        <v>Tyler Dyson</v>
      </c>
    </row>
    <row r="65" spans="1:2">
      <c r="A65">
        <f>IF(ISNUMBER(Competitors!A65),Competitors!A65,"")</f>
        <v>1429</v>
      </c>
      <c r="B65" t="str">
        <f>IF(A65="","",CONCATENATE(VLOOKUP(A65,Competitors!$A$2:$I$650,3,FALSE)," ",VLOOKUP(A65,Competitors!$A$2:$I$650,2,FALSE)))</f>
        <v>Theo Dyson</v>
      </c>
    </row>
    <row r="66" spans="1:2">
      <c r="A66">
        <f>IF(ISNUMBER(Competitors!A66),Competitors!A66,"")</f>
        <v>1000</v>
      </c>
      <c r="B66" t="str">
        <f>IF(A66="","",CONCATENATE(VLOOKUP(A66,Competitors!$A$2:$I$650,3,FALSE)," ",VLOOKUP(A66,Competitors!$A$2:$I$650,2,FALSE)))</f>
        <v>Ashley Easton</v>
      </c>
    </row>
    <row r="67" spans="1:2">
      <c r="A67">
        <f>IF(ISNUMBER(Competitors!A67),Competitors!A67,"")</f>
        <v>1332</v>
      </c>
      <c r="B67" t="str">
        <f>IF(A67="","",CONCATENATE(VLOOKUP(A67,Competitors!$A$2:$I$650,3,FALSE)," ",VLOOKUP(A67,Competitors!$A$2:$I$650,2,FALSE)))</f>
        <v>Jo Eaton</v>
      </c>
    </row>
    <row r="68" spans="1:2">
      <c r="A68">
        <f>IF(ISNUMBER(Competitors!A68),Competitors!A68,"")</f>
        <v>682</v>
      </c>
      <c r="B68" t="str">
        <f>IF(A68="","",CONCATENATE(VLOOKUP(A68,Competitors!$A$2:$I$650,3,FALSE)," ",VLOOKUP(A68,Competitors!$A$2:$I$650,2,FALSE)))</f>
        <v>Lee Edmonds</v>
      </c>
    </row>
    <row r="69" spans="1:2">
      <c r="A69">
        <f>IF(ISNUMBER(Competitors!A69),Competitors!A69,"")</f>
        <v>1393</v>
      </c>
      <c r="B69" t="str">
        <f>IF(A69="","",CONCATENATE(VLOOKUP(A69,Competitors!$A$2:$I$650,3,FALSE)," ",VLOOKUP(A69,Competitors!$A$2:$I$650,2,FALSE)))</f>
        <v>Sally Ellis</v>
      </c>
    </row>
    <row r="70" spans="1:2">
      <c r="A70">
        <f>IF(ISNUMBER(Competitors!A70),Competitors!A70,"")</f>
        <v>1355</v>
      </c>
      <c r="B70" t="str">
        <f>IF(A70="","",CONCATENATE(VLOOKUP(A70,Competitors!$A$2:$I$650,3,FALSE)," ",VLOOKUP(A70,Competitors!$A$2:$I$650,2,FALSE)))</f>
        <v>Aubrey Elmer</v>
      </c>
    </row>
    <row r="71" spans="1:2">
      <c r="A71">
        <f>IF(ISNUMBER(Competitors!A71),Competitors!A71,"")</f>
        <v>1164</v>
      </c>
      <c r="B71" t="str">
        <f>IF(A71="","",CONCATENATE(VLOOKUP(A71,Competitors!$A$2:$I$650,3,FALSE)," ",VLOOKUP(A71,Competitors!$A$2:$I$650,2,FALSE)))</f>
        <v>Harriet Evans</v>
      </c>
    </row>
    <row r="72" spans="1:2">
      <c r="A72">
        <f>IF(ISNUMBER(Competitors!A72),Competitors!A72,"")</f>
        <v>1062</v>
      </c>
      <c r="B72" t="str">
        <f>IF(A72="","",CONCATENATE(VLOOKUP(A72,Competitors!$A$2:$I$650,3,FALSE)," ",VLOOKUP(A72,Competitors!$A$2:$I$650,2,FALSE)))</f>
        <v>Mark Evans</v>
      </c>
    </row>
    <row r="73" spans="1:2">
      <c r="A73">
        <f>IF(ISNUMBER(Competitors!A73),Competitors!A73,"")</f>
        <v>938</v>
      </c>
      <c r="B73" t="str">
        <f>IF(A73="","",CONCATENATE(VLOOKUP(A73,Competitors!$A$2:$I$650,3,FALSE)," ",VLOOKUP(A73,Competitors!$A$2:$I$650,2,FALSE)))</f>
        <v>Jane Evans</v>
      </c>
    </row>
    <row r="74" spans="1:2">
      <c r="A74">
        <f>IF(ISNUMBER(Competitors!A74),Competitors!A74,"")</f>
        <v>1427</v>
      </c>
      <c r="B74" t="str">
        <f>IF(A74="","",CONCATENATE(VLOOKUP(A74,Competitors!$A$2:$I$650,3,FALSE)," ",VLOOKUP(A74,Competitors!$A$2:$I$650,2,FALSE)))</f>
        <v>Ruth Evans</v>
      </c>
    </row>
    <row r="75" spans="1:2">
      <c r="A75">
        <f>IF(ISNUMBER(Competitors!A75),Competitors!A75,"")</f>
        <v>1034</v>
      </c>
      <c r="B75" t="str">
        <f>IF(A75="","",CONCATENATE(VLOOKUP(A75,Competitors!$A$2:$I$650,3,FALSE)," ",VLOOKUP(A75,Competitors!$A$2:$I$650,2,FALSE)))</f>
        <v>Mark Fiddy</v>
      </c>
    </row>
    <row r="76" spans="1:2">
      <c r="A76">
        <f>IF(ISNUMBER(Competitors!A76),Competitors!A76,"")</f>
        <v>1402</v>
      </c>
      <c r="B76" t="str">
        <f>IF(A76="","",CONCATENATE(VLOOKUP(A76,Competitors!$A$2:$I$650,3,FALSE)," ",VLOOKUP(A76,Competitors!$A$2:$I$650,2,FALSE)))</f>
        <v>Neil Fisher</v>
      </c>
    </row>
    <row r="77" spans="1:2">
      <c r="A77">
        <f>IF(ISNUMBER(Competitors!A77),Competitors!A77,"")</f>
        <v>939</v>
      </c>
      <c r="B77" t="str">
        <f>IF(A77="","",CONCATENATE(VLOOKUP(A77,Competitors!$A$2:$I$650,3,FALSE)," ",VLOOKUP(A77,Competitors!$A$2:$I$650,2,FALSE)))</f>
        <v>Sally Foreman</v>
      </c>
    </row>
    <row r="78" spans="1:2">
      <c r="A78">
        <f>IF(ISNUMBER(Competitors!A78),Competitors!A78,"")</f>
        <v>1377</v>
      </c>
      <c r="B78" t="str">
        <f>IF(A78="","",CONCATENATE(VLOOKUP(A78,Competitors!$A$2:$I$650,3,FALSE)," ",VLOOKUP(A78,Competitors!$A$2:$I$650,2,FALSE)))</f>
        <v>Lucy Fraser</v>
      </c>
    </row>
    <row r="79" spans="1:2">
      <c r="A79">
        <f>IF(ISNUMBER(Competitors!A79),Competitors!A79,"")</f>
        <v>1281</v>
      </c>
      <c r="B79" t="str">
        <f>IF(A79="","",CONCATENATE(VLOOKUP(A79,Competitors!$A$2:$I$650,3,FALSE)," ",VLOOKUP(A79,Competitors!$A$2:$I$650,2,FALSE)))</f>
        <v>Gerald Garner</v>
      </c>
    </row>
    <row r="80" spans="1:2">
      <c r="A80">
        <f>IF(ISNUMBER(Competitors!A80),Competitors!A80,"")</f>
        <v>933</v>
      </c>
      <c r="B80" t="str">
        <f>IF(A80="","",CONCATENATE(VLOOKUP(A80,Competitors!$A$2:$I$650,3,FALSE)," ",VLOOKUP(A80,Competitors!$A$2:$I$650,2,FALSE)))</f>
        <v>Ed Grandidge</v>
      </c>
    </row>
    <row r="81" spans="1:2">
      <c r="A81">
        <f>IF(ISNUMBER(Competitors!A81),Competitors!A81,"")</f>
        <v>1274</v>
      </c>
      <c r="B81" t="str">
        <f>IF(A81="","",CONCATENATE(VLOOKUP(A81,Competitors!$A$2:$I$650,3,FALSE)," ",VLOOKUP(A81,Competitors!$A$2:$I$650,2,FALSE)))</f>
        <v>Sophia Gowers</v>
      </c>
    </row>
    <row r="82" spans="1:2">
      <c r="A82">
        <f>IF(ISNUMBER(Competitors!A82),Competitors!A82,"")</f>
        <v>493</v>
      </c>
      <c r="B82" t="str">
        <f>IF(A82="","",CONCATENATE(VLOOKUP(A82,Competitors!$A$2:$I$650,3,FALSE)," ",VLOOKUP(A82,Competitors!$A$2:$I$650,2,FALSE)))</f>
        <v>George Halls</v>
      </c>
    </row>
    <row r="83" spans="1:2">
      <c r="A83">
        <f>IF(ISNUMBER(Competitors!A83),Competitors!A83,"")</f>
        <v>1279</v>
      </c>
      <c r="B83" t="str">
        <f>IF(A83="","",CONCATENATE(VLOOKUP(A83,Competitors!$A$2:$I$650,3,FALSE)," ",VLOOKUP(A83,Competitors!$A$2:$I$650,2,FALSE)))</f>
        <v>Jeffrey Hanner</v>
      </c>
    </row>
    <row r="84" spans="1:2">
      <c r="A84">
        <f>IF(ISNUMBER(Competitors!A84),Competitors!A84,"")</f>
        <v>1193</v>
      </c>
      <c r="B84" t="str">
        <f>IF(A84="","",CONCATENATE(VLOOKUP(A84,Competitors!$A$2:$I$650,3,FALSE)," ",VLOOKUP(A84,Competitors!$A$2:$I$650,2,FALSE)))</f>
        <v>Richard Hardwicke</v>
      </c>
    </row>
    <row r="85" spans="1:2">
      <c r="A85">
        <f>IF(ISNUMBER(Competitors!A85),Competitors!A85,"")</f>
        <v>1194</v>
      </c>
      <c r="B85" t="str">
        <f>IF(A85="","",CONCATENATE(VLOOKUP(A85,Competitors!$A$2:$I$650,3,FALSE)," ",VLOOKUP(A85,Competitors!$A$2:$I$650,2,FALSE)))</f>
        <v>Alex Hardwicke</v>
      </c>
    </row>
    <row r="86" spans="1:2">
      <c r="A86">
        <f>IF(ISNUMBER(Competitors!A86),Competitors!A86,"")</f>
        <v>1196</v>
      </c>
      <c r="B86" t="str">
        <f>IF(A86="","",CONCATENATE(VLOOKUP(A86,Competitors!$A$2:$I$650,3,FALSE)," ",VLOOKUP(A86,Competitors!$A$2:$I$650,2,FALSE)))</f>
        <v>Daniel Hardwicke</v>
      </c>
    </row>
    <row r="87" spans="1:2">
      <c r="A87">
        <f>IF(ISNUMBER(Competitors!A87),Competitors!A87,"")</f>
        <v>1195</v>
      </c>
      <c r="B87" t="str">
        <f>IF(A87="","",CONCATENATE(VLOOKUP(A87,Competitors!$A$2:$I$650,3,FALSE)," ",VLOOKUP(A87,Competitors!$A$2:$I$650,2,FALSE)))</f>
        <v>Charlie Hardwicke</v>
      </c>
    </row>
    <row r="88" spans="1:2">
      <c r="A88">
        <f>IF(ISNUMBER(Competitors!A88),Competitors!A88,"")</f>
        <v>1176</v>
      </c>
      <c r="B88" t="str">
        <f>IF(A88="","",CONCATENATE(VLOOKUP(A88,Competitors!$A$2:$I$650,3,FALSE)," ",VLOOKUP(A88,Competitors!$A$2:$I$650,2,FALSE)))</f>
        <v>Rory Harrison</v>
      </c>
    </row>
    <row r="89" spans="1:2">
      <c r="A89">
        <f>IF(ISNUMBER(Competitors!A89),Competitors!A89,"")</f>
        <v>1174</v>
      </c>
      <c r="B89" t="str">
        <f>IF(A89="","",CONCATENATE(VLOOKUP(A89,Competitors!$A$2:$I$650,3,FALSE)," ",VLOOKUP(A89,Competitors!$A$2:$I$650,2,FALSE)))</f>
        <v>Claire Harrison</v>
      </c>
    </row>
    <row r="90" spans="1:2">
      <c r="A90">
        <f>IF(ISNUMBER(Competitors!A90),Competitors!A90,"")</f>
        <v>1175</v>
      </c>
      <c r="B90" t="str">
        <f>IF(A90="","",CONCATENATE(VLOOKUP(A90,Competitors!$A$2:$I$650,3,FALSE)," ",VLOOKUP(A90,Competitors!$A$2:$I$650,2,FALSE)))</f>
        <v>Richard Harrison</v>
      </c>
    </row>
    <row r="91" spans="1:2">
      <c r="A91">
        <f>IF(ISNUMBER(Competitors!A91),Competitors!A91,"")</f>
        <v>1109</v>
      </c>
      <c r="B91" t="str">
        <f>IF(A91="","",CONCATENATE(VLOOKUP(A91,Competitors!$A$2:$I$650,3,FALSE)," ",VLOOKUP(A91,Competitors!$A$2:$I$650,2,FALSE)))</f>
        <v>Stuart Haycox</v>
      </c>
    </row>
    <row r="92" spans="1:2">
      <c r="A92">
        <f>IF(ISNUMBER(Competitors!A92),Competitors!A92,"")</f>
        <v>1073</v>
      </c>
      <c r="B92" t="str">
        <f>IF(A92="","",CONCATENATE(VLOOKUP(A92,Competitors!$A$2:$I$650,3,FALSE)," ",VLOOKUP(A92,Competitors!$A$2:$I$650,2,FALSE)))</f>
        <v>Richard Heald</v>
      </c>
    </row>
    <row r="93" spans="1:2">
      <c r="A93">
        <f>IF(ISNUMBER(Competitors!A93),Competitors!A93,"")</f>
        <v>1400</v>
      </c>
      <c r="B93" t="str">
        <f>IF(A93="","",CONCATENATE(VLOOKUP(A93,Competitors!$A$2:$I$650,3,FALSE)," ",VLOOKUP(A93,Competitors!$A$2:$I$650,2,FALSE)))</f>
        <v>Elgar Aguilar Hernandez</v>
      </c>
    </row>
    <row r="94" spans="1:2">
      <c r="A94">
        <f>IF(ISNUMBER(Competitors!A94),Competitors!A94,"")</f>
        <v>1367</v>
      </c>
      <c r="B94" t="str">
        <f>IF(A94="","",CONCATENATE(VLOOKUP(A94,Competitors!$A$2:$I$650,3,FALSE)," ",VLOOKUP(A94,Competitors!$A$2:$I$650,2,FALSE)))</f>
        <v>Daniel Henderson</v>
      </c>
    </row>
    <row r="95" spans="1:2">
      <c r="A95">
        <f>IF(ISNUMBER(Competitors!A95),Competitors!A95,"")</f>
        <v>1366</v>
      </c>
      <c r="B95" t="str">
        <f>IF(A95="","",CONCATENATE(VLOOKUP(A95,Competitors!$A$2:$I$650,3,FALSE)," ",VLOOKUP(A95,Competitors!$A$2:$I$650,2,FALSE)))</f>
        <v>Hannah Henderson</v>
      </c>
    </row>
    <row r="96" spans="1:2">
      <c r="A96">
        <f>IF(ISNUMBER(Competitors!A96),Competitors!A96,"")</f>
        <v>1365</v>
      </c>
      <c r="B96" t="str">
        <f>IF(A96="","",CONCATENATE(VLOOKUP(A96,Competitors!$A$2:$I$650,3,FALSE)," ",VLOOKUP(A96,Competitors!$A$2:$I$650,2,FALSE)))</f>
        <v>Helen Henderson</v>
      </c>
    </row>
    <row r="97" spans="1:2">
      <c r="A97">
        <f>IF(ISNUMBER(Competitors!A97),Competitors!A97,"")</f>
        <v>897</v>
      </c>
      <c r="B97" t="str">
        <f>IF(A97="","",CONCATENATE(VLOOKUP(A97,Competitors!$A$2:$I$650,3,FALSE)," ",VLOOKUP(A97,Competitors!$A$2:$I$650,2,FALSE)))</f>
        <v>Marc Henderson</v>
      </c>
    </row>
    <row r="98" spans="1:2">
      <c r="A98">
        <f>IF(ISNUMBER(Competitors!A98),Competitors!A98,"")</f>
        <v>1308</v>
      </c>
      <c r="B98" t="str">
        <f>IF(A98="","",CONCATENATE(VLOOKUP(A98,Competitors!$A$2:$I$650,3,FALSE)," ",VLOOKUP(A98,Competitors!$A$2:$I$650,2,FALSE)))</f>
        <v>Alice Herring</v>
      </c>
    </row>
    <row r="99" spans="1:2">
      <c r="A99">
        <f>IF(ISNUMBER(Competitors!A99),Competitors!A99,"")</f>
        <v>1206</v>
      </c>
      <c r="B99" t="str">
        <f>IF(A99="","",CONCATENATE(VLOOKUP(A99,Competitors!$A$2:$I$650,3,FALSE)," ",VLOOKUP(A99,Competitors!$A$2:$I$650,2,FALSE)))</f>
        <v>Joy Hill</v>
      </c>
    </row>
    <row r="100" spans="1:2">
      <c r="A100">
        <f>IF(ISNUMBER(Competitors!A100),Competitors!A100,"")</f>
        <v>1205</v>
      </c>
      <c r="B100" t="str">
        <f>IF(A100="","",CONCATENATE(VLOOKUP(A100,Competitors!$A$2:$I$650,3,FALSE)," ",VLOOKUP(A100,Competitors!$A$2:$I$650,2,FALSE)))</f>
        <v>Dave Hill</v>
      </c>
    </row>
    <row r="101" spans="1:2">
      <c r="A101">
        <f>IF(ISNUMBER(Competitors!A101),Competitors!A101,"")</f>
        <v>1406</v>
      </c>
      <c r="B101" t="str">
        <f>IF(A101="","",CONCATENATE(VLOOKUP(A101,Competitors!$A$2:$I$650,3,FALSE)," ",VLOOKUP(A101,Competitors!$A$2:$I$650,2,FALSE)))</f>
        <v>Gavin Hinxman</v>
      </c>
    </row>
    <row r="102" spans="1:2">
      <c r="A102">
        <f>IF(ISNUMBER(Competitors!A102),Competitors!A102,"")</f>
        <v>1182</v>
      </c>
      <c r="B102" t="str">
        <f>IF(A102="","",CONCATENATE(VLOOKUP(A102,Competitors!$A$2:$I$650,3,FALSE)," ",VLOOKUP(A102,Competitors!$A$2:$I$650,2,FALSE)))</f>
        <v>Neil Holman</v>
      </c>
    </row>
    <row r="103" spans="1:2">
      <c r="A103">
        <f>IF(ISNUMBER(Competitors!A103),Competitors!A103,"")</f>
        <v>1340</v>
      </c>
      <c r="B103" t="str">
        <f>IF(A103="","",CONCATENATE(VLOOKUP(A103,Competitors!$A$2:$I$650,3,FALSE)," ",VLOOKUP(A103,Competitors!$A$2:$I$650,2,FALSE)))</f>
        <v>Cristian Holmes</v>
      </c>
    </row>
    <row r="104" spans="1:2">
      <c r="A104">
        <f>IF(ISNUMBER(Competitors!A104),Competitors!A104,"")</f>
        <v>21</v>
      </c>
      <c r="B104" t="str">
        <f>IF(A104="","",CONCATENATE(VLOOKUP(A104,Competitors!$A$2:$I$650,3,FALSE)," ",VLOOKUP(A104,Competitors!$A$2:$I$650,2,FALSE)))</f>
        <v>Wayne Holton</v>
      </c>
    </row>
    <row r="105" spans="1:2">
      <c r="A105">
        <f>IF(ISNUMBER(Competitors!A105),Competitors!A105,"")</f>
        <v>1049</v>
      </c>
      <c r="B105" t="str">
        <f>IF(A105="","",CONCATENATE(VLOOKUP(A105,Competitors!$A$2:$I$650,3,FALSE)," ",VLOOKUP(A105,Competitors!$A$2:$I$650,2,FALSE)))</f>
        <v>Duncan Hopwood</v>
      </c>
    </row>
    <row r="106" spans="1:2">
      <c r="A106">
        <f>IF(ISNUMBER(Competitors!A106),Competitors!A106,"")</f>
        <v>120</v>
      </c>
      <c r="B106" t="str">
        <f>IF(A106="","",CONCATENATE(VLOOKUP(A106,Competitors!$A$2:$I$650,3,FALSE)," ",VLOOKUP(A106,Competitors!$A$2:$I$650,2,FALSE)))</f>
        <v>Linda Hubbard</v>
      </c>
    </row>
    <row r="107" spans="1:2">
      <c r="A107">
        <f>IF(ISNUMBER(Competitors!A107),Competitors!A107,"")</f>
        <v>990</v>
      </c>
      <c r="B107" t="str">
        <f>IF(A107="","",CONCATENATE(VLOOKUP(A107,Competitors!$A$2:$I$650,3,FALSE)," ",VLOOKUP(A107,Competitors!$A$2:$I$650,2,FALSE)))</f>
        <v>Jen Hulme</v>
      </c>
    </row>
    <row r="108" spans="1:2">
      <c r="A108">
        <f>IF(ISNUMBER(Competitors!A108),Competitors!A108,"")</f>
        <v>1395</v>
      </c>
      <c r="B108" t="str">
        <f>IF(A108="","",CONCATENATE(VLOOKUP(A108,Competitors!$A$2:$I$650,3,FALSE)," ",VLOOKUP(A108,Competitors!$A$2:$I$650,2,FALSE)))</f>
        <v>Freya Human</v>
      </c>
    </row>
    <row r="109" spans="1:2">
      <c r="A109">
        <f>IF(ISNUMBER(Competitors!A109),Competitors!A109,"")</f>
        <v>1158</v>
      </c>
      <c r="B109" t="str">
        <f>IF(A109="","",CONCATENATE(VLOOKUP(A109,Competitors!$A$2:$I$650,3,FALSE)," ",VLOOKUP(A109,Competitors!$A$2:$I$650,2,FALSE)))</f>
        <v>Eleanor Humphries</v>
      </c>
    </row>
    <row r="110" spans="1:2">
      <c r="A110">
        <f>IF(ISNUMBER(Competitors!A110),Competitors!A110,"")</f>
        <v>1432</v>
      </c>
      <c r="B110" t="str">
        <f>IF(A110="","",CONCATENATE(VLOOKUP(A110,Competitors!$A$2:$I$650,3,FALSE)," ",VLOOKUP(A110,Competitors!$A$2:$I$650,2,FALSE)))</f>
        <v>Levi Hussey</v>
      </c>
    </row>
    <row r="111" spans="1:2">
      <c r="A111">
        <f>IF(ISNUMBER(Competitors!A111),Competitors!A111,"")</f>
        <v>23</v>
      </c>
      <c r="B111" t="str">
        <f>IF(A111="","",CONCATENATE(VLOOKUP(A111,Competitors!$A$2:$I$650,3,FALSE)," ",VLOOKUP(A111,Competitors!$A$2:$I$650,2,FALSE)))</f>
        <v>Chris Hyde</v>
      </c>
    </row>
    <row r="112" spans="1:2">
      <c r="A112">
        <f>IF(ISNUMBER(Competitors!A112),Competitors!A112,"")</f>
        <v>1152</v>
      </c>
      <c r="B112" t="str">
        <f>IF(A112="","",CONCATENATE(VLOOKUP(A112,Competitors!$A$2:$I$650,3,FALSE)," ",VLOOKUP(A112,Competitors!$A$2:$I$650,2,FALSE)))</f>
        <v>Ruby Isaac</v>
      </c>
    </row>
    <row r="113" spans="1:2">
      <c r="A113">
        <f>IF(ISNUMBER(Competitors!A113),Competitors!A113,"")</f>
        <v>581</v>
      </c>
      <c r="B113" t="str">
        <f>IF(A113="","",CONCATENATE(VLOOKUP(A113,Competitors!$A$2:$I$650,3,FALSE)," ",VLOOKUP(A113,Competitors!$A$2:$I$650,2,FALSE)))</f>
        <v>Mike Ives</v>
      </c>
    </row>
    <row r="114" spans="1:2">
      <c r="A114">
        <f>IF(ISNUMBER(Competitors!A114),Competitors!A114,"")</f>
        <v>1374</v>
      </c>
      <c r="B114" t="str">
        <f>IF(A114="","",CONCATENATE(VLOOKUP(A114,Competitors!$A$2:$I$650,3,FALSE)," ",VLOOKUP(A114,Competitors!$A$2:$I$650,2,FALSE)))</f>
        <v>Will Jackson-Bream</v>
      </c>
    </row>
    <row r="115" spans="1:2">
      <c r="A115">
        <f>IF(ISNUMBER(Competitors!A115),Competitors!A115,"")</f>
        <v>25</v>
      </c>
      <c r="B115" t="str">
        <f>IF(A115="","",CONCATENATE(VLOOKUP(A115,Competitors!$A$2:$I$650,3,FALSE)," ",VLOOKUP(A115,Competitors!$A$2:$I$650,2,FALSE)))</f>
        <v>Mitchell James</v>
      </c>
    </row>
    <row r="116" spans="1:2">
      <c r="A116">
        <f>IF(ISNUMBER(Competitors!A116),Competitors!A116,"")</f>
        <v>1257</v>
      </c>
      <c r="B116" t="str">
        <f>IF(A116="","",CONCATENATE(VLOOKUP(A116,Competitors!$A$2:$I$650,3,FALSE)," ",VLOOKUP(A116,Competitors!$A$2:$I$650,2,FALSE)))</f>
        <v>Richard Kendrick</v>
      </c>
    </row>
    <row r="117" spans="1:2">
      <c r="A117">
        <f>IF(ISNUMBER(Competitors!A117),Competitors!A117,"")</f>
        <v>415</v>
      </c>
      <c r="B117" t="str">
        <f>IF(A117="","",CONCATENATE(VLOOKUP(A117,Competitors!$A$2:$I$650,3,FALSE)," ",VLOOKUP(A117,Competitors!$A$2:$I$650,2,FALSE)))</f>
        <v>Nik Kershaw</v>
      </c>
    </row>
    <row r="118" spans="1:2">
      <c r="A118">
        <f>IF(ISNUMBER(Competitors!A118),Competitors!A118,"")</f>
        <v>1144</v>
      </c>
      <c r="B118" t="str">
        <f>IF(A118="","",CONCATENATE(VLOOKUP(A118,Competitors!$A$2:$I$650,3,FALSE)," ",VLOOKUP(A118,Competitors!$A$2:$I$650,2,FALSE)))</f>
        <v>Jamie Kershaw</v>
      </c>
    </row>
    <row r="119" spans="1:2">
      <c r="A119">
        <f>IF(ISNUMBER(Competitors!A119),Competitors!A119,"")</f>
        <v>1292</v>
      </c>
      <c r="B119" t="str">
        <f>IF(A119="","",CONCATENATE(VLOOKUP(A119,Competitors!$A$2:$I$650,3,FALSE)," ",VLOOKUP(A119,Competitors!$A$2:$I$650,2,FALSE)))</f>
        <v>Hazel Keys</v>
      </c>
    </row>
    <row r="120" spans="1:2">
      <c r="A120">
        <f>IF(ISNUMBER(Competitors!A120),Competitors!A120,"")</f>
        <v>203</v>
      </c>
      <c r="B120" t="str">
        <f>IF(A120="","",CONCATENATE(VLOOKUP(A120,Competitors!$A$2:$I$650,3,FALSE)," ",VLOOKUP(A120,Competitors!$A$2:$I$650,2,FALSE)))</f>
        <v>Adrian Killworth</v>
      </c>
    </row>
    <row r="121" spans="1:2">
      <c r="A121">
        <f>IF(ISNUMBER(Competitors!A121),Competitors!A121,"")</f>
        <v>956</v>
      </c>
      <c r="B121" t="str">
        <f>IF(A121="","",CONCATENATE(VLOOKUP(A121,Competitors!$A$2:$I$650,3,FALSE)," ",VLOOKUP(A121,Competitors!$A$2:$I$650,2,FALSE)))</f>
        <v>Steven King</v>
      </c>
    </row>
    <row r="122" spans="1:2">
      <c r="A122">
        <f>IF(ISNUMBER(Competitors!A122),Competitors!A122,"")</f>
        <v>1273</v>
      </c>
      <c r="B122" t="str">
        <f>IF(A122="","",CONCATENATE(VLOOKUP(A122,Competitors!$A$2:$I$650,3,FALSE)," ",VLOOKUP(A122,Competitors!$A$2:$I$650,2,FALSE)))</f>
        <v>Ros Knight</v>
      </c>
    </row>
    <row r="123" spans="1:2">
      <c r="A123">
        <f>IF(ISNUMBER(Competitors!A123),Competitors!A123,"")</f>
        <v>1272</v>
      </c>
      <c r="B123" t="str">
        <f>IF(A123="","",CONCATENATE(VLOOKUP(A123,Competitors!$A$2:$I$650,3,FALSE)," ",VLOOKUP(A123,Competitors!$A$2:$I$650,2,FALSE)))</f>
        <v>Tim Knight</v>
      </c>
    </row>
    <row r="124" spans="1:2">
      <c r="A124">
        <f>IF(ISNUMBER(Competitors!A124),Competitors!A124,"")</f>
        <v>846</v>
      </c>
      <c r="B124" t="str">
        <f>IF(A124="","",CONCATENATE(VLOOKUP(A124,Competitors!$A$2:$I$650,3,FALSE)," ",VLOOKUP(A124,Competitors!$A$2:$I$650,2,FALSE)))</f>
        <v>Roger Kockelbergh</v>
      </c>
    </row>
    <row r="125" spans="1:2">
      <c r="A125">
        <f>IF(ISNUMBER(Competitors!A125),Competitors!A125,"")</f>
        <v>1162</v>
      </c>
      <c r="B125" t="str">
        <f>IF(A125="","",CONCATENATE(VLOOKUP(A125,Competitors!$A$2:$I$650,3,FALSE)," ",VLOOKUP(A125,Competitors!$A$2:$I$650,2,FALSE)))</f>
        <v>Richard Krause</v>
      </c>
    </row>
    <row r="126" spans="1:2">
      <c r="A126">
        <f>IF(ISNUMBER(Competitors!A126),Competitors!A126,"")</f>
        <v>1244</v>
      </c>
      <c r="B126" t="str">
        <f>IF(A126="","",CONCATENATE(VLOOKUP(A126,Competitors!$A$2:$I$650,3,FALSE)," ",VLOOKUP(A126,Competitors!$A$2:$I$650,2,FALSE)))</f>
        <v>Steven Latham</v>
      </c>
    </row>
    <row r="127" spans="1:2">
      <c r="A127">
        <f>IF(ISNUMBER(Competitors!A127),Competitors!A127,"")</f>
        <v>1379</v>
      </c>
      <c r="B127" t="str">
        <f>IF(A127="","",CONCATENATE(VLOOKUP(A127,Competitors!$A$2:$I$650,3,FALSE)," ",VLOOKUP(A127,Competitors!$A$2:$I$650,2,FALSE)))</f>
        <v>Michaela Latham</v>
      </c>
    </row>
    <row r="128" spans="1:2">
      <c r="A128">
        <f>IF(ISNUMBER(Competitors!A128),Competitors!A128,"")</f>
        <v>1362</v>
      </c>
      <c r="B128" t="str">
        <f>IF(A128="","",CONCATENATE(VLOOKUP(A128,Competitors!$A$2:$I$650,3,FALSE)," ",VLOOKUP(A128,Competitors!$A$2:$I$650,2,FALSE)))</f>
        <v>Paula Laws</v>
      </c>
    </row>
    <row r="129" spans="1:2">
      <c r="A129">
        <f>IF(ISNUMBER(Competitors!A129),Competitors!A129,"")</f>
        <v>1403</v>
      </c>
      <c r="B129" t="str">
        <f>IF(A129="","",CONCATENATE(VLOOKUP(A129,Competitors!$A$2:$I$650,3,FALSE)," ",VLOOKUP(A129,Competitors!$A$2:$I$650,2,FALSE)))</f>
        <v>Toby Lenehan</v>
      </c>
    </row>
    <row r="130" spans="1:2">
      <c r="A130">
        <f>IF(ISNUMBER(Competitors!A130),Competitors!A130,"")</f>
        <v>1404</v>
      </c>
      <c r="B130" t="str">
        <f>IF(A130="","",CONCATENATE(VLOOKUP(A130,Competitors!$A$2:$I$650,3,FALSE)," ",VLOOKUP(A130,Competitors!$A$2:$I$650,2,FALSE)))</f>
        <v>Millie Lenehan</v>
      </c>
    </row>
    <row r="131" spans="1:2">
      <c r="A131">
        <f>IF(ISNUMBER(Competitors!A131),Competitors!A131,"")</f>
        <v>1229</v>
      </c>
      <c r="B131" t="str">
        <f>IF(A131="","",CONCATENATE(VLOOKUP(A131,Competitors!$A$2:$I$650,3,FALSE)," ",VLOOKUP(A131,Competitors!$A$2:$I$650,2,FALSE)))</f>
        <v>Kamila Leska</v>
      </c>
    </row>
    <row r="132" spans="1:2">
      <c r="A132">
        <f>IF(ISNUMBER(Competitors!A132),Competitors!A132,"")</f>
        <v>1408</v>
      </c>
      <c r="B132" t="str">
        <f>IF(A132="","",CONCATENATE(VLOOKUP(A132,Competitors!$A$2:$I$650,3,FALSE)," ",VLOOKUP(A132,Competitors!$A$2:$I$650,2,FALSE)))</f>
        <v>Kim Lewington</v>
      </c>
    </row>
    <row r="133" spans="1:2">
      <c r="A133">
        <f>IF(ISNUMBER(Competitors!A133),Competitors!A133,"")</f>
        <v>1409</v>
      </c>
      <c r="B133" t="str">
        <f>IF(A133="","",CONCATENATE(VLOOKUP(A133,Competitors!$A$2:$I$650,3,FALSE)," ",VLOOKUP(A133,Competitors!$A$2:$I$650,2,FALSE)))</f>
        <v>Lynette Lewington</v>
      </c>
    </row>
    <row r="134" spans="1:2">
      <c r="A134">
        <f>IF(ISNUMBER(Competitors!A134),Competitors!A134,"")</f>
        <v>1198</v>
      </c>
      <c r="B134" t="str">
        <f>IF(A134="","",CONCATENATE(VLOOKUP(A134,Competitors!$A$2:$I$650,3,FALSE)," ",VLOOKUP(A134,Competitors!$A$2:$I$650,2,FALSE)))</f>
        <v>Anthony Liot</v>
      </c>
    </row>
    <row r="135" spans="1:2">
      <c r="A135">
        <f>IF(ISNUMBER(Competitors!A135),Competitors!A135,"")</f>
        <v>1435</v>
      </c>
      <c r="B135" t="str">
        <f>IF(A135="","",CONCATENATE(VLOOKUP(A135,Competitors!$A$2:$I$650,3,FALSE)," ",VLOOKUP(A135,Competitors!$A$2:$I$650,2,FALSE)))</f>
        <v>Dean Lippitt</v>
      </c>
    </row>
    <row r="136" spans="1:2">
      <c r="A136">
        <f>IF(ISNUMBER(Competitors!A136),Competitors!A136,"")</f>
        <v>1260</v>
      </c>
      <c r="B136" t="str">
        <f>IF(A136="","",CONCATENATE(VLOOKUP(A136,Competitors!$A$2:$I$650,3,FALSE)," ",VLOOKUP(A136,Competitors!$A$2:$I$650,2,FALSE)))</f>
        <v>Alison Lucas</v>
      </c>
    </row>
    <row r="137" spans="1:2">
      <c r="A137">
        <f>IF(ISNUMBER(Competitors!A137),Competitors!A137,"")</f>
        <v>1361</v>
      </c>
      <c r="B137" t="str">
        <f>IF(A137="","",CONCATENATE(VLOOKUP(A137,Competitors!$A$2:$I$650,3,FALSE)," ",VLOOKUP(A137,Competitors!$A$2:$I$650,2,FALSE)))</f>
        <v>Bruce Main</v>
      </c>
    </row>
    <row r="138" spans="1:2">
      <c r="A138">
        <f>IF(ISNUMBER(Competitors!A138),Competitors!A138,"")</f>
        <v>1100</v>
      </c>
      <c r="B138" t="str">
        <f>IF(A138="","",CONCATENATE(VLOOKUP(A138,Competitors!$A$2:$I$650,3,FALSE)," ",VLOOKUP(A138,Competitors!$A$2:$I$650,2,FALSE)))</f>
        <v>Ian Mansfield</v>
      </c>
    </row>
    <row r="139" spans="1:2">
      <c r="A139">
        <f>IF(ISNUMBER(Competitors!A139),Competitors!A139,"")</f>
        <v>1385</v>
      </c>
      <c r="B139" t="str">
        <f>IF(A139="","",CONCATENATE(VLOOKUP(A139,Competitors!$A$2:$I$650,3,FALSE)," ",VLOOKUP(A139,Competitors!$A$2:$I$650,2,FALSE)))</f>
        <v>Miles Marr</v>
      </c>
    </row>
    <row r="140" spans="1:2">
      <c r="A140">
        <f>IF(ISNUMBER(Competitors!A140),Competitors!A140,"")</f>
        <v>1394</v>
      </c>
      <c r="B140" t="str">
        <f>IF(A140="","",CONCATENATE(VLOOKUP(A140,Competitors!$A$2:$I$650,3,FALSE)," ",VLOOKUP(A140,Competitors!$A$2:$I$650,2,FALSE)))</f>
        <v>Noah Marr</v>
      </c>
    </row>
    <row r="141" spans="1:2">
      <c r="A141">
        <f>IF(ISNUMBER(Competitors!A141),Competitors!A141,"")</f>
        <v>1419</v>
      </c>
      <c r="B141" t="str">
        <f>IF(A141="","",CONCATENATE(VLOOKUP(A141,Competitors!$A$2:$I$650,3,FALSE)," ",VLOOKUP(A141,Competitors!$A$2:$I$650,2,FALSE)))</f>
        <v>Ethan Marsh</v>
      </c>
    </row>
    <row r="142" spans="1:2">
      <c r="A142">
        <f>IF(ISNUMBER(Competitors!A142),Competitors!A142,"")</f>
        <v>967</v>
      </c>
      <c r="B142" t="str">
        <f>IF(A142="","",CONCATENATE(VLOOKUP(A142,Competitors!$A$2:$I$650,3,FALSE)," ",VLOOKUP(A142,Competitors!$A$2:$I$650,2,FALSE)))</f>
        <v>Daniel McDonnell</v>
      </c>
    </row>
    <row r="143" spans="1:2">
      <c r="A143">
        <f>IF(ISNUMBER(Competitors!A143),Competitors!A143,"")</f>
        <v>1373</v>
      </c>
      <c r="B143" t="str">
        <f>IF(A143="","",CONCATENATE(VLOOKUP(A143,Competitors!$A$2:$I$650,3,FALSE)," ",VLOOKUP(A143,Competitors!$A$2:$I$650,2,FALSE)))</f>
        <v>David McGraw</v>
      </c>
    </row>
    <row r="144" spans="1:2">
      <c r="A144">
        <f>IF(ISNUMBER(Competitors!A144),Competitors!A144,"")</f>
        <v>1045</v>
      </c>
      <c r="B144" t="str">
        <f>IF(A144="","",CONCATENATE(VLOOKUP(A144,Competitors!$A$2:$I$650,3,FALSE)," ",VLOOKUP(A144,Competitors!$A$2:$I$650,2,FALSE)))</f>
        <v>Amanda McPherson</v>
      </c>
    </row>
    <row r="145" spans="1:2">
      <c r="A145">
        <f>IF(ISNUMBER(Competitors!A145),Competitors!A145,"")</f>
        <v>1046</v>
      </c>
      <c r="B145" t="str">
        <f>IF(A145="","",CONCATENATE(VLOOKUP(A145,Competitors!$A$2:$I$650,3,FALSE)," ",VLOOKUP(A145,Competitors!$A$2:$I$650,2,FALSE)))</f>
        <v>Jim McPherson</v>
      </c>
    </row>
    <row r="146" spans="1:2">
      <c r="A146">
        <f>IF(ISNUMBER(Competitors!A146),Competitors!A146,"")</f>
        <v>1396</v>
      </c>
      <c r="B146" t="str">
        <f>IF(A146="","",CONCATENATE(VLOOKUP(A146,Competitors!$A$2:$I$650,3,FALSE)," ",VLOOKUP(A146,Competitors!$A$2:$I$650,2,FALSE)))</f>
        <v>Peter Melville</v>
      </c>
    </row>
    <row r="147" spans="1:2">
      <c r="A147">
        <f>IF(ISNUMBER(Competitors!A147),Competitors!A147,"")</f>
        <v>1397</v>
      </c>
      <c r="B147" t="str">
        <f>IF(A147="","",CONCATENATE(VLOOKUP(A147,Competitors!$A$2:$I$650,3,FALSE)," ",VLOOKUP(A147,Competitors!$A$2:$I$650,2,FALSE)))</f>
        <v>Rebecca Melville</v>
      </c>
    </row>
    <row r="148" spans="1:2">
      <c r="A148">
        <f>IF(ISNUMBER(Competitors!A148),Competitors!A148,"")</f>
        <v>1398</v>
      </c>
      <c r="B148" t="str">
        <f>IF(A148="","",CONCATENATE(VLOOKUP(A148,Competitors!$A$2:$I$650,3,FALSE)," ",VLOOKUP(A148,Competitors!$A$2:$I$650,2,FALSE)))</f>
        <v>George Melville</v>
      </c>
    </row>
    <row r="149" spans="1:2">
      <c r="A149">
        <f>IF(ISNUMBER(Competitors!A149),Competitors!A149,"")</f>
        <v>1399</v>
      </c>
      <c r="B149" t="str">
        <f>IF(A149="","",CONCATENATE(VLOOKUP(A149,Competitors!$A$2:$I$650,3,FALSE)," ",VLOOKUP(A149,Competitors!$A$2:$I$650,2,FALSE)))</f>
        <v>Harriet Melville</v>
      </c>
    </row>
    <row r="150" spans="1:2">
      <c r="A150">
        <f>IF(ISNUMBER(Competitors!A150),Competitors!A150,"")</f>
        <v>771</v>
      </c>
      <c r="B150" t="str">
        <f>IF(A150="","",CONCATENATE(VLOOKUP(A150,Competitors!$A$2:$I$650,3,FALSE)," ",VLOOKUP(A150,Competitors!$A$2:$I$650,2,FALSE)))</f>
        <v>Julian Middleton</v>
      </c>
    </row>
    <row r="151" spans="1:2">
      <c r="A151">
        <f>IF(ISNUMBER(Competitors!A151),Competitors!A151,"")</f>
        <v>1265</v>
      </c>
      <c r="B151" t="str">
        <f>IF(A151="","",CONCATENATE(VLOOKUP(A151,Competitors!$A$2:$I$650,3,FALSE)," ",VLOOKUP(A151,Competitors!$A$2:$I$650,2,FALSE)))</f>
        <v>Kevin Millard</v>
      </c>
    </row>
    <row r="152" spans="1:2">
      <c r="A152">
        <f>IF(ISNUMBER(Competitors!A152),Competitors!A152,"")</f>
        <v>532</v>
      </c>
      <c r="B152" t="str">
        <f>IF(A152="","",CONCATENATE(VLOOKUP(A152,Competitors!$A$2:$I$650,3,FALSE)," ",VLOOKUP(A152,Competitors!$A$2:$I$650,2,FALSE)))</f>
        <v>Kevin Mills</v>
      </c>
    </row>
    <row r="153" spans="1:2">
      <c r="A153">
        <f>IF(ISNUMBER(Competitors!A153),Competitors!A153,"")</f>
        <v>1388</v>
      </c>
      <c r="B153" t="str">
        <f>IF(A153="","",CONCATENATE(VLOOKUP(A153,Competitors!$A$2:$I$650,3,FALSE)," ",VLOOKUP(A153,Competitors!$A$2:$I$650,2,FALSE)))</f>
        <v>Sophie Mitchell</v>
      </c>
    </row>
    <row r="154" spans="1:2">
      <c r="A154">
        <f>IF(ISNUMBER(Competitors!A154),Competitors!A154,"")</f>
        <v>742</v>
      </c>
      <c r="B154" t="str">
        <f>IF(A154="","",CONCATENATE(VLOOKUP(A154,Competitors!$A$2:$I$650,3,FALSE)," ",VLOOKUP(A154,Competitors!$A$2:$I$650,2,FALSE)))</f>
        <v>Claire Moore</v>
      </c>
    </row>
    <row r="155" spans="1:2">
      <c r="A155">
        <f>IF(ISNUMBER(Competitors!A155),Competitors!A155,"")</f>
        <v>741</v>
      </c>
      <c r="B155" t="str">
        <f>IF(A155="","",CONCATENATE(VLOOKUP(A155,Competitors!$A$2:$I$650,3,FALSE)," ",VLOOKUP(A155,Competitors!$A$2:$I$650,2,FALSE)))</f>
        <v>Rob Moore</v>
      </c>
    </row>
    <row r="156" spans="1:2">
      <c r="A156">
        <f>IF(ISNUMBER(Competitors!A156),Competitors!A156,"")</f>
        <v>1298</v>
      </c>
      <c r="B156" t="str">
        <f>IF(A156="","",CONCATENATE(VLOOKUP(A156,Competitors!$A$2:$I$650,3,FALSE)," ",VLOOKUP(A156,Competitors!$A$2:$I$650,2,FALSE)))</f>
        <v>Jane Moore</v>
      </c>
    </row>
    <row r="157" spans="1:2">
      <c r="A157">
        <f>IF(ISNUMBER(Competitors!A157),Competitors!A157,"")</f>
        <v>747</v>
      </c>
      <c r="B157" t="str">
        <f>IF(A157="","",CONCATENATE(VLOOKUP(A157,Competitors!$A$2:$I$650,3,FALSE)," ",VLOOKUP(A157,Competitors!$A$2:$I$650,2,FALSE)))</f>
        <v>James Moore</v>
      </c>
    </row>
    <row r="158" spans="1:2">
      <c r="A158">
        <f>IF(ISNUMBER(Competitors!A158),Competitors!A158,"")</f>
        <v>1386</v>
      </c>
      <c r="B158" t="str">
        <f>IF(A158="","",CONCATENATE(VLOOKUP(A158,Competitors!$A$2:$I$650,3,FALSE)," ",VLOOKUP(A158,Competitors!$A$2:$I$650,2,FALSE)))</f>
        <v>Mea Moore</v>
      </c>
    </row>
    <row r="159" spans="1:2">
      <c r="A159">
        <f>IF(ISNUMBER(Competitors!A159),Competitors!A159,"")</f>
        <v>1221</v>
      </c>
      <c r="B159" t="str">
        <f>IF(A159="","",CONCATENATE(VLOOKUP(A159,Competitors!$A$2:$I$650,3,FALSE)," ",VLOOKUP(A159,Competitors!$A$2:$I$650,2,FALSE)))</f>
        <v>David Morgan</v>
      </c>
    </row>
    <row r="160" spans="1:2">
      <c r="A160">
        <f>IF(ISNUMBER(Competitors!A160),Competitors!A160,"")</f>
        <v>564</v>
      </c>
      <c r="B160" t="str">
        <f>IF(A160="","",CONCATENATE(VLOOKUP(A160,Competitors!$A$2:$I$650,3,FALSE)," ",VLOOKUP(A160,Competitors!$A$2:$I$650,2,FALSE)))</f>
        <v>Ian Murdey</v>
      </c>
    </row>
    <row r="161" spans="1:2">
      <c r="A161">
        <f>IF(ISNUMBER(Competitors!A161),Competitors!A161,"")</f>
        <v>1165</v>
      </c>
      <c r="B161" t="str">
        <f>IF(A161="","",CONCATENATE(VLOOKUP(A161,Competitors!$A$2:$I$650,3,FALSE)," ",VLOOKUP(A161,Competitors!$A$2:$I$650,2,FALSE)))</f>
        <v>Duncan Murray</v>
      </c>
    </row>
    <row r="162" spans="1:2">
      <c r="A162">
        <f>IF(ISNUMBER(Competitors!A162),Competitors!A162,"")</f>
        <v>405</v>
      </c>
      <c r="B162" t="str">
        <f>IF(A162="","",CONCATENATE(VLOOKUP(A162,Competitors!$A$2:$I$650,3,FALSE)," ",VLOOKUP(A162,Competitors!$A$2:$I$650,2,FALSE)))</f>
        <v>Kevin Nicholls</v>
      </c>
    </row>
    <row r="163" spans="1:2">
      <c r="A163">
        <f>IF(ISNUMBER(Competitors!A163),Competitors!A163,"")</f>
        <v>1346</v>
      </c>
      <c r="B163" t="str">
        <f>IF(A163="","",CONCATENATE(VLOOKUP(A163,Competitors!$A$2:$I$650,3,FALSE)," ",VLOOKUP(A163,Competitors!$A$2:$I$650,2,FALSE)))</f>
        <v>Stephen Nixon</v>
      </c>
    </row>
    <row r="164" spans="1:2">
      <c r="A164">
        <f>IF(ISNUMBER(Competitors!A164),Competitors!A164,"")</f>
        <v>1192</v>
      </c>
      <c r="B164" t="str">
        <f>IF(A164="","",CONCATENATE(VLOOKUP(A164,Competitors!$A$2:$I$650,3,FALSE)," ",VLOOKUP(A164,Competitors!$A$2:$I$650,2,FALSE)))</f>
        <v>Dale Norris</v>
      </c>
    </row>
    <row r="165" spans="1:2">
      <c r="A165">
        <f>IF(ISNUMBER(Competitors!A165),Competitors!A165,"")</f>
        <v>1434</v>
      </c>
      <c r="B165" t="str">
        <f>IF(A165="","",CONCATENATE(VLOOKUP(A165,Competitors!$A$2:$I$650,3,FALSE)," ",VLOOKUP(A165,Competitors!$A$2:$I$650,2,FALSE)))</f>
        <v>Stuart Nourish</v>
      </c>
    </row>
    <row r="166" spans="1:2">
      <c r="A166">
        <f>IF(ISNUMBER(Competitors!A166),Competitors!A166,"")</f>
        <v>1157</v>
      </c>
      <c r="B166" t="str">
        <f>IF(A166="","",CONCATENATE(VLOOKUP(A166,Competitors!$A$2:$I$650,3,FALSE)," ",VLOOKUP(A166,Competitors!$A$2:$I$650,2,FALSE)))</f>
        <v>Chris Orfeur</v>
      </c>
    </row>
    <row r="167" spans="1:2">
      <c r="A167">
        <f>IF(ISNUMBER(Competitors!A167),Competitors!A167,"")</f>
        <v>1359</v>
      </c>
      <c r="B167" t="str">
        <f>IF(A167="","",CONCATENATE(VLOOKUP(A167,Competitors!$A$2:$I$650,3,FALSE)," ",VLOOKUP(A167,Competitors!$A$2:$I$650,2,FALSE)))</f>
        <v>George Parker</v>
      </c>
    </row>
    <row r="168" spans="1:2">
      <c r="A168">
        <f>IF(ISNUMBER(Competitors!A168),Competitors!A168,"")</f>
        <v>1360</v>
      </c>
      <c r="B168" t="str">
        <f>IF(A168="","",CONCATENATE(VLOOKUP(A168,Competitors!$A$2:$I$650,3,FALSE)," ",VLOOKUP(A168,Competitors!$A$2:$I$650,2,FALSE)))</f>
        <v>Charlotte Parker</v>
      </c>
    </row>
    <row r="169" spans="1:2">
      <c r="A169">
        <f>IF(ISNUMBER(Competitors!A169),Competitors!A169,"")</f>
        <v>1357</v>
      </c>
      <c r="B169" t="str">
        <f>IF(A169="","",CONCATENATE(VLOOKUP(A169,Competitors!$A$2:$I$650,3,FALSE)," ",VLOOKUP(A169,Competitors!$A$2:$I$650,2,FALSE)))</f>
        <v>Ian Parker</v>
      </c>
    </row>
    <row r="170" spans="1:2">
      <c r="A170">
        <f>IF(ISNUMBER(Competitors!A170),Competitors!A170,"")</f>
        <v>1358</v>
      </c>
      <c r="B170" t="str">
        <f>IF(A170="","",CONCATENATE(VLOOKUP(A170,Competitors!$A$2:$I$650,3,FALSE)," ",VLOOKUP(A170,Competitors!$A$2:$I$650,2,FALSE)))</f>
        <v>Mandy Parker</v>
      </c>
    </row>
    <row r="171" spans="1:2">
      <c r="A171">
        <f>IF(ISNUMBER(Competitors!A171),Competitors!A171,"")</f>
        <v>1390</v>
      </c>
      <c r="B171" t="str">
        <f>IF(A171="","",CONCATENATE(VLOOKUP(A171,Competitors!$A$2:$I$650,3,FALSE)," ",VLOOKUP(A171,Competitors!$A$2:$I$650,2,FALSE)))</f>
        <v>Diego Patteri</v>
      </c>
    </row>
    <row r="172" spans="1:2">
      <c r="A172">
        <f>IF(ISNUMBER(Competitors!A172),Competitors!A172,"")</f>
        <v>1437</v>
      </c>
      <c r="B172" t="str">
        <f>IF(A172="","",CONCATENATE(VLOOKUP(A172,Competitors!$A$2:$I$650,3,FALSE)," ",VLOOKUP(A172,Competitors!$A$2:$I$650,2,FALSE)))</f>
        <v>Ian Penrose</v>
      </c>
    </row>
    <row r="173" spans="1:2">
      <c r="A173">
        <f>IF(ISNUMBER(Competitors!A173),Competitors!A173,"")</f>
        <v>1433</v>
      </c>
      <c r="B173" t="str">
        <f>IF(A173="","",CONCATENATE(VLOOKUP(A173,Competitors!$A$2:$I$650,3,FALSE)," ",VLOOKUP(A173,Competitors!$A$2:$I$650,2,FALSE)))</f>
        <v>Laura Penrose</v>
      </c>
    </row>
    <row r="174" spans="1:2">
      <c r="A174">
        <f>IF(ISNUMBER(Competitors!A174),Competitors!A174,"")</f>
        <v>1107</v>
      </c>
      <c r="B174" t="str">
        <f>IF(A174="","",CONCATENATE(VLOOKUP(A174,Competitors!$A$2:$I$650,3,FALSE)," ",VLOOKUP(A174,Competitors!$A$2:$I$650,2,FALSE)))</f>
        <v>Milly Pinnock</v>
      </c>
    </row>
    <row r="175" spans="1:2">
      <c r="A175">
        <f>IF(ISNUMBER(Competitors!A175),Competitors!A175,"")</f>
        <v>35</v>
      </c>
      <c r="B175" t="str">
        <f>IF(A175="","",CONCATENATE(VLOOKUP(A175,Competitors!$A$2:$I$650,3,FALSE)," ",VLOOKUP(A175,Competitors!$A$2:$I$650,2,FALSE)))</f>
        <v>Matt Plews</v>
      </c>
    </row>
    <row r="176" spans="1:2">
      <c r="A176">
        <f>IF(ISNUMBER(Competitors!A176),Competitors!A176,"")</f>
        <v>1094</v>
      </c>
      <c r="B176" t="str">
        <f>IF(A176="","",CONCATENATE(VLOOKUP(A176,Competitors!$A$2:$I$650,3,FALSE)," ",VLOOKUP(A176,Competitors!$A$2:$I$650,2,FALSE)))</f>
        <v>Andy Poulton</v>
      </c>
    </row>
    <row r="177" spans="1:2">
      <c r="A177">
        <f>IF(ISNUMBER(Competitors!A177),Competitors!A177,"")</f>
        <v>1325</v>
      </c>
      <c r="B177" t="str">
        <f>IF(A177="","",CONCATENATE(VLOOKUP(A177,Competitors!$A$2:$I$650,3,FALSE)," ",VLOOKUP(A177,Competitors!$A$2:$I$650,2,FALSE)))</f>
        <v>Greg Prangnell</v>
      </c>
    </row>
    <row r="178" spans="1:2">
      <c r="A178">
        <f>IF(ISNUMBER(Competitors!A178),Competitors!A178,"")</f>
        <v>1143</v>
      </c>
      <c r="B178" t="str">
        <f>IF(A178="","",CONCATENATE(VLOOKUP(A178,Competitors!$A$2:$I$650,3,FALSE)," ",VLOOKUP(A178,Competitors!$A$2:$I$650,2,FALSE)))</f>
        <v>Rob Pullen</v>
      </c>
    </row>
    <row r="179" spans="1:2">
      <c r="A179">
        <f>IF(ISNUMBER(Competitors!A179),Competitors!A179,"")</f>
        <v>1401</v>
      </c>
      <c r="B179" t="str">
        <f>IF(A179="","",CONCATENATE(VLOOKUP(A179,Competitors!$A$2:$I$650,3,FALSE)," ",VLOOKUP(A179,Competitors!$A$2:$I$650,2,FALSE)))</f>
        <v>Catriona Purdon</v>
      </c>
    </row>
    <row r="180" spans="1:2">
      <c r="A180">
        <f>IF(ISNUMBER(Competitors!A180),Competitors!A180,"")</f>
        <v>1285</v>
      </c>
      <c r="B180" t="str">
        <f>IF(A180="","",CONCATENATE(VLOOKUP(A180,Competitors!$A$2:$I$650,3,FALSE)," ",VLOOKUP(A180,Competitors!$A$2:$I$650,2,FALSE)))</f>
        <v>Chris Ramsdale</v>
      </c>
    </row>
    <row r="181" spans="1:2">
      <c r="A181">
        <f>IF(ISNUMBER(Competitors!A181),Competitors!A181,"")</f>
        <v>38</v>
      </c>
      <c r="B181" t="str">
        <f>IF(A181="","",CONCATENATE(VLOOKUP(A181,Competitors!$A$2:$I$650,3,FALSE)," ",VLOOKUP(A181,Competitors!$A$2:$I$650,2,FALSE)))</f>
        <v>Phil Rayner</v>
      </c>
    </row>
    <row r="182" spans="1:2">
      <c r="A182">
        <f>IF(ISNUMBER(Competitors!A182),Competitors!A182,"")</f>
        <v>245</v>
      </c>
      <c r="B182" t="str">
        <f>IF(A182="","",CONCATENATE(VLOOKUP(A182,Competitors!$A$2:$I$650,3,FALSE)," ",VLOOKUP(A182,Competitors!$A$2:$I$650,2,FALSE)))</f>
        <v>David Reay</v>
      </c>
    </row>
    <row r="183" spans="1:2">
      <c r="A183">
        <f>IF(ISNUMBER(Competitors!A183),Competitors!A183,"")</f>
        <v>39</v>
      </c>
      <c r="B183" t="str">
        <f>IF(A183="","",CONCATENATE(VLOOKUP(A183,Competitors!$A$2:$I$650,3,FALSE)," ",VLOOKUP(A183,Competitors!$A$2:$I$650,2,FALSE)))</f>
        <v>Michael Reay</v>
      </c>
    </row>
    <row r="184" spans="1:2">
      <c r="A184">
        <f>IF(ISNUMBER(Competitors!A184),Competitors!A184,"")</f>
        <v>508</v>
      </c>
      <c r="B184" t="str">
        <f>IF(A184="","",CONCATENATE(VLOOKUP(A184,Competitors!$A$2:$I$650,3,FALSE)," ",VLOOKUP(A184,Competitors!$A$2:$I$650,2,FALSE)))</f>
        <v>Peter Riley</v>
      </c>
    </row>
    <row r="185" spans="1:2">
      <c r="A185">
        <f>IF(ISNUMBER(Competitors!A185),Competitors!A185,"")</f>
        <v>1025</v>
      </c>
      <c r="B185" t="str">
        <f>IF(A185="","",CONCATENATE(VLOOKUP(A185,Competitors!$A$2:$I$650,3,FALSE)," ",VLOOKUP(A185,Competitors!$A$2:$I$650,2,FALSE)))</f>
        <v>Leo Roberts</v>
      </c>
    </row>
    <row r="186" spans="1:2">
      <c r="A186">
        <f>IF(ISNUMBER(Competitors!A186),Competitors!A186,"")</f>
        <v>1024</v>
      </c>
      <c r="B186" t="str">
        <f>IF(A186="","",CONCATENATE(VLOOKUP(A186,Competitors!$A$2:$I$650,3,FALSE)," ",VLOOKUP(A186,Competitors!$A$2:$I$650,2,FALSE)))</f>
        <v>Jax Roberts</v>
      </c>
    </row>
    <row r="187" spans="1:2">
      <c r="A187">
        <f>IF(ISNUMBER(Competitors!A187),Competitors!A187,"")</f>
        <v>1023</v>
      </c>
      <c r="B187" t="str">
        <f>IF(A187="","",CONCATENATE(VLOOKUP(A187,Competitors!$A$2:$I$650,3,FALSE)," ",VLOOKUP(A187,Competitors!$A$2:$I$650,2,FALSE)))</f>
        <v>Gary Roberts</v>
      </c>
    </row>
    <row r="188" spans="1:2">
      <c r="A188">
        <f>IF(ISNUMBER(Competitors!A188),Competitors!A188,"")</f>
        <v>1232</v>
      </c>
      <c r="B188" t="str">
        <f>IF(A188="","",CONCATENATE(VLOOKUP(A188,Competitors!$A$2:$I$650,3,FALSE)," ",VLOOKUP(A188,Competitors!$A$2:$I$650,2,FALSE)))</f>
        <v>Anna Roberts</v>
      </c>
    </row>
    <row r="189" spans="1:2">
      <c r="A189">
        <f>IF(ISNUMBER(Competitors!A189),Competitors!A189,"")</f>
        <v>1392</v>
      </c>
      <c r="B189" t="str">
        <f>IF(A189="","",CONCATENATE(VLOOKUP(A189,Competitors!$A$2:$I$650,3,FALSE)," ",VLOOKUP(A189,Competitors!$A$2:$I$650,2,FALSE)))</f>
        <v>Sarah Robinson</v>
      </c>
    </row>
    <row r="190" spans="1:2">
      <c r="A190">
        <f>IF(ISNUMBER(Competitors!A190),Competitors!A190,"")</f>
        <v>1141</v>
      </c>
      <c r="B190" t="str">
        <f>IF(A190="","",CONCATENATE(VLOOKUP(A190,Competitors!$A$2:$I$650,3,FALSE)," ",VLOOKUP(A190,Competitors!$A$2:$I$650,2,FALSE)))</f>
        <v>Judith Rout</v>
      </c>
    </row>
    <row r="191" spans="1:2">
      <c r="A191">
        <f>IF(ISNUMBER(Competitors!A191),Competitors!A191,"")</f>
        <v>891</v>
      </c>
      <c r="B191" t="str">
        <f>IF(A191="","",CONCATENATE(VLOOKUP(A191,Competitors!$A$2:$I$650,3,FALSE)," ",VLOOKUP(A191,Competitors!$A$2:$I$650,2,FALSE)))</f>
        <v>Dawn Russell</v>
      </c>
    </row>
    <row r="192" spans="1:2">
      <c r="A192">
        <f>IF(ISNUMBER(Competitors!A192),Competitors!A192,"")</f>
        <v>1352</v>
      </c>
      <c r="B192" t="str">
        <f>IF(A192="","",CONCATENATE(VLOOKUP(A192,Competitors!$A$2:$I$650,3,FALSE)," ",VLOOKUP(A192,Competitors!$A$2:$I$650,2,FALSE)))</f>
        <v>Ian Scoley</v>
      </c>
    </row>
    <row r="193" spans="1:2">
      <c r="A193">
        <f>IF(ISNUMBER(Competitors!A193),Competitors!A193,"")</f>
        <v>1339</v>
      </c>
      <c r="B193" t="str">
        <f>IF(A193="","",CONCATENATE(VLOOKUP(A193,Competitors!$A$2:$I$650,3,FALSE)," ",VLOOKUP(A193,Competitors!$A$2:$I$650,2,FALSE)))</f>
        <v>Jack Shewring</v>
      </c>
    </row>
    <row r="194" spans="1:2">
      <c r="A194">
        <f>IF(ISNUMBER(Competitors!A194),Competitors!A194,"")</f>
        <v>914</v>
      </c>
      <c r="B194" t="str">
        <f>IF(A194="","",CONCATENATE(VLOOKUP(A194,Competitors!$A$2:$I$650,3,FALSE)," ",VLOOKUP(A194,Competitors!$A$2:$I$650,2,FALSE)))</f>
        <v>Charlie Simpson</v>
      </c>
    </row>
    <row r="195" spans="1:2">
      <c r="A195">
        <f>IF(ISNUMBER(Competitors!A195),Competitors!A195,"")</f>
        <v>597</v>
      </c>
      <c r="B195" t="str">
        <f>IF(A195="","",CONCATENATE(VLOOKUP(A195,Competitors!$A$2:$I$650,3,FALSE)," ",VLOOKUP(A195,Competitors!$A$2:$I$650,2,FALSE)))</f>
        <v>Trevor Shelley</v>
      </c>
    </row>
    <row r="196" spans="1:2">
      <c r="A196">
        <f>IF(ISNUMBER(Competitors!A196),Competitors!A196,"")</f>
        <v>1038</v>
      </c>
      <c r="B196" t="str">
        <f>IF(A196="","",CONCATENATE(VLOOKUP(A196,Competitors!$A$2:$I$650,3,FALSE)," ",VLOOKUP(A196,Competitors!$A$2:$I$650,2,FALSE)))</f>
        <v>Paul Simpson</v>
      </c>
    </row>
    <row r="197" spans="1:2">
      <c r="A197">
        <f>IF(ISNUMBER(Competitors!A197),Competitors!A197,"")</f>
        <v>1347</v>
      </c>
      <c r="B197" t="str">
        <f>IF(A197="","",CONCATENATE(VLOOKUP(A197,Competitors!$A$2:$I$650,3,FALSE)," ",VLOOKUP(A197,Competitors!$A$2:$I$650,2,FALSE)))</f>
        <v>Stuart Simpson-Smith</v>
      </c>
    </row>
    <row r="198" spans="1:2">
      <c r="A198">
        <f>IF(ISNUMBER(Competitors!A198),Competitors!A198,"")</f>
        <v>1242</v>
      </c>
      <c r="B198" t="str">
        <f>IF(A198="","",CONCATENATE(VLOOKUP(A198,Competitors!$A$2:$I$650,3,FALSE)," ",VLOOKUP(A198,Competitors!$A$2:$I$650,2,FALSE)))</f>
        <v>Mike Sirett</v>
      </c>
    </row>
    <row r="199" spans="1:2">
      <c r="A199">
        <f>IF(ISNUMBER(Competitors!A199),Competitors!A199,"")</f>
        <v>1048</v>
      </c>
      <c r="B199" t="str">
        <f>IF(A199="","",CONCATENATE(VLOOKUP(A199,Competitors!$A$2:$I$650,3,FALSE)," ",VLOOKUP(A199,Competitors!$A$2:$I$650,2,FALSE)))</f>
        <v>Andy Smith</v>
      </c>
    </row>
    <row r="200" spans="1:2">
      <c r="A200">
        <f>IF(ISNUMBER(Competitors!A200),Competitors!A200,"")</f>
        <v>1055</v>
      </c>
      <c r="B200" t="str">
        <f>IF(A200="","",CONCATENATE(VLOOKUP(A200,Competitors!$A$2:$I$650,3,FALSE)," ",VLOOKUP(A200,Competitors!$A$2:$I$650,2,FALSE)))</f>
        <v>Austin Smith</v>
      </c>
    </row>
    <row r="201" spans="1:2">
      <c r="A201">
        <f>IF(ISNUMBER(Competitors!A201),Competitors!A201,"")</f>
        <v>1095</v>
      </c>
      <c r="B201" t="str">
        <f>IF(A201="","",CONCATENATE(VLOOKUP(A201,Competitors!$A$2:$I$650,3,FALSE)," ",VLOOKUP(A201,Competitors!$A$2:$I$650,2,FALSE)))</f>
        <v>Denis Smith</v>
      </c>
    </row>
    <row r="202" spans="1:2">
      <c r="A202">
        <f>IF(ISNUMBER(Competitors!A202),Competitors!A202,"")</f>
        <v>820</v>
      </c>
      <c r="B202" t="str">
        <f>IF(A202="","",CONCATENATE(VLOOKUP(A202,Competitors!$A$2:$I$650,3,FALSE)," ",VLOOKUP(A202,Competitors!$A$2:$I$650,2,FALSE)))</f>
        <v>Lucy Smith</v>
      </c>
    </row>
    <row r="203" spans="1:2">
      <c r="A203">
        <f>IF(ISNUMBER(Competitors!A203),Competitors!A203,"")</f>
        <v>687</v>
      </c>
      <c r="B203" t="str">
        <f>IF(A203="","",CONCATENATE(VLOOKUP(A203,Competitors!$A$2:$I$650,3,FALSE)," ",VLOOKUP(A203,Competitors!$A$2:$I$650,2,FALSE)))</f>
        <v>Timothy Smith</v>
      </c>
    </row>
    <row r="204" spans="1:2">
      <c r="A204">
        <f>IF(ISNUMBER(Competitors!A204),Competitors!A204,"")</f>
        <v>1420</v>
      </c>
      <c r="B204" t="str">
        <f>IF(A204="","",CONCATENATE(VLOOKUP(A204,Competitors!$A$2:$I$650,3,FALSE)," ",VLOOKUP(A204,Competitors!$A$2:$I$650,2,FALSE)))</f>
        <v>Paula Stephenson</v>
      </c>
    </row>
    <row r="205" spans="1:2">
      <c r="A205">
        <f>IF(ISNUMBER(Competitors!A205),Competitors!A205,"")</f>
        <v>1410</v>
      </c>
      <c r="B205" t="str">
        <f>IF(A205="","",CONCATENATE(VLOOKUP(A205,Competitors!$A$2:$I$650,3,FALSE)," ",VLOOKUP(A205,Competitors!$A$2:$I$650,2,FALSE)))</f>
        <v>Ryan Stuart</v>
      </c>
    </row>
    <row r="206" spans="1:2">
      <c r="A206">
        <f>IF(ISNUMBER(Competitors!A206),Competitors!A206,"")</f>
        <v>1161</v>
      </c>
      <c r="B206" t="str">
        <f>IF(A206="","",CONCATENATE(VLOOKUP(A206,Competitors!$A$2:$I$650,3,FALSE)," ",VLOOKUP(A206,Competitors!$A$2:$I$650,2,FALSE)))</f>
        <v>Maciej Suchocki</v>
      </c>
    </row>
    <row r="207" spans="1:2">
      <c r="A207">
        <f>IF(ISNUMBER(Competitors!A207),Competitors!A207,"")</f>
        <v>890</v>
      </c>
      <c r="B207" t="str">
        <f>IF(A207="","",CONCATENATE(VLOOKUP(A207,Competitors!$A$2:$I$650,3,FALSE)," ",VLOOKUP(A207,Competitors!$A$2:$I$650,2,FALSE)))</f>
        <v>Rowland Summerlin</v>
      </c>
    </row>
    <row r="208" spans="1:2">
      <c r="A208">
        <f>IF(ISNUMBER(Competitors!A208),Competitors!A208,"")</f>
        <v>1166</v>
      </c>
      <c r="B208" t="str">
        <f>IF(A208="","",CONCATENATE(VLOOKUP(A208,Competitors!$A$2:$I$650,3,FALSE)," ",VLOOKUP(A208,Competitors!$A$2:$I$650,2,FALSE)))</f>
        <v>Ed Tarelli</v>
      </c>
    </row>
    <row r="209" spans="1:2">
      <c r="A209">
        <f>IF(ISNUMBER(Competitors!A209),Competitors!A209,"")</f>
        <v>45</v>
      </c>
      <c r="B209" t="str">
        <f>IF(A209="","",CONCATENATE(VLOOKUP(A209,Competitors!$A$2:$I$650,3,FALSE)," ",VLOOKUP(A209,Competitors!$A$2:$I$650,2,FALSE)))</f>
        <v>Ray Taylor</v>
      </c>
    </row>
    <row r="210" spans="1:2">
      <c r="A210">
        <f>IF(ISNUMBER(Competitors!A210),Competitors!A210,"")</f>
        <v>1160</v>
      </c>
      <c r="B210" t="str">
        <f>IF(A210="","",CONCATENATE(VLOOKUP(A210,Competitors!$A$2:$I$650,3,FALSE)," ",VLOOKUP(A210,Competitors!$A$2:$I$650,2,FALSE)))</f>
        <v>Rhys Thomas</v>
      </c>
    </row>
    <row r="211" spans="1:2">
      <c r="A211">
        <f>IF(ISNUMBER(Competitors!A211),Competitors!A211,"")</f>
        <v>945</v>
      </c>
      <c r="B211" t="str">
        <f>IF(A211="","",CONCATENATE(VLOOKUP(A211,Competitors!$A$2:$I$650,3,FALSE)," ",VLOOKUP(A211,Competitors!$A$2:$I$650,2,FALSE)))</f>
        <v>George Timmins</v>
      </c>
    </row>
    <row r="212" spans="1:2">
      <c r="A212">
        <f>IF(ISNUMBER(Competitors!A212),Competitors!A212,"")</f>
        <v>813</v>
      </c>
      <c r="B212" t="str">
        <f>IF(A212="","",CONCATENATE(VLOOKUP(A212,Competitors!$A$2:$I$650,3,FALSE)," ",VLOOKUP(A212,Competitors!$A$2:$I$650,2,FALSE)))</f>
        <v>Dawn Timmins</v>
      </c>
    </row>
    <row r="213" spans="1:2">
      <c r="A213">
        <f>IF(ISNUMBER(Competitors!A213),Competitors!A213,"")</f>
        <v>812</v>
      </c>
      <c r="B213" t="str">
        <f>IF(A213="","",CONCATENATE(VLOOKUP(A213,Competitors!$A$2:$I$650,3,FALSE)," ",VLOOKUP(A213,Competitors!$A$2:$I$650,2,FALSE)))</f>
        <v>Gavin Timmins</v>
      </c>
    </row>
    <row r="214" spans="1:2">
      <c r="A214">
        <f>IF(ISNUMBER(Competitors!A214),Competitors!A214,"")</f>
        <v>1129</v>
      </c>
      <c r="B214" t="str">
        <f>IF(A214="","",CONCATENATE(VLOOKUP(A214,Competitors!$A$2:$I$650,3,FALSE)," ",VLOOKUP(A214,Competitors!$A$2:$I$650,2,FALSE)))</f>
        <v>Doug Tincello</v>
      </c>
    </row>
    <row r="215" spans="1:2">
      <c r="A215">
        <f>IF(ISNUMBER(Competitors!A215),Competitors!A215,"")</f>
        <v>915</v>
      </c>
      <c r="B215" t="str">
        <f>IF(A215="","",CONCATENATE(VLOOKUP(A215,Competitors!$A$2:$I$650,3,FALSE)," ",VLOOKUP(A215,Competitors!$A$2:$I$650,2,FALSE)))</f>
        <v>Julian Twynham</v>
      </c>
    </row>
    <row r="216" spans="1:2">
      <c r="A216">
        <f>IF(ISNUMBER(Competitors!A216),Competitors!A216,"")</f>
        <v>1356</v>
      </c>
      <c r="B216" t="str">
        <f>IF(A216="","",CONCATENATE(VLOOKUP(A216,Competitors!$A$2:$I$650,3,FALSE)," ",VLOOKUP(A216,Competitors!$A$2:$I$650,2,FALSE)))</f>
        <v>Michiel Vaal</v>
      </c>
    </row>
    <row r="217" spans="1:2">
      <c r="A217">
        <f>IF(ISNUMBER(Competitors!A217),Competitors!A217,"")</f>
        <v>1422</v>
      </c>
      <c r="B217" t="str">
        <f>IF(A217="","",CONCATENATE(VLOOKUP(A217,Competitors!$A$2:$I$650,3,FALSE)," ",VLOOKUP(A217,Competitors!$A$2:$I$650,2,FALSE)))</f>
        <v>Laura Vann-Hopewell</v>
      </c>
    </row>
    <row r="218" spans="1:2">
      <c r="A218">
        <f>IF(ISNUMBER(Competitors!A218),Competitors!A218,"")</f>
        <v>860</v>
      </c>
      <c r="B218" t="str">
        <f>IF(A218="","",CONCATENATE(VLOOKUP(A218,Competitors!$A$2:$I$650,3,FALSE)," ",VLOOKUP(A218,Competitors!$A$2:$I$650,2,FALSE)))</f>
        <v>Millie van Nierop</v>
      </c>
    </row>
    <row r="219" spans="1:2">
      <c r="A219">
        <f>IF(ISNUMBER(Competitors!A219),Competitors!A219,"")</f>
        <v>756</v>
      </c>
      <c r="B219" t="str">
        <f>IF(A219="","",CONCATENATE(VLOOKUP(A219,Competitors!$A$2:$I$650,3,FALSE)," ",VLOOKUP(A219,Competitors!$A$2:$I$650,2,FALSE)))</f>
        <v>Josh van Nierop</v>
      </c>
    </row>
    <row r="220" spans="1:2">
      <c r="A220">
        <f>IF(ISNUMBER(Competitors!A220),Competitors!A220,"")</f>
        <v>407</v>
      </c>
      <c r="B220" t="str">
        <f>IF(A220="","",CONCATENATE(VLOOKUP(A220,Competitors!$A$2:$I$650,3,FALSE)," ",VLOOKUP(A220,Competitors!$A$2:$I$650,2,FALSE)))</f>
        <v>Hans van Nierop</v>
      </c>
    </row>
    <row r="221" spans="1:2">
      <c r="A221">
        <f>IF(ISNUMBER(Competitors!A221),Competitors!A221,"")</f>
        <v>1428</v>
      </c>
      <c r="B221" t="str">
        <f>IF(A221="","",CONCATENATE(VLOOKUP(A221,Competitors!$A$2:$I$650,3,FALSE)," ",VLOOKUP(A221,Competitors!$A$2:$I$650,2,FALSE)))</f>
        <v>Oliver Voice</v>
      </c>
    </row>
    <row r="222" spans="1:2">
      <c r="A222">
        <f>IF(ISNUMBER(Competitors!A222),Competitors!A222,"")</f>
        <v>1423</v>
      </c>
      <c r="B222" t="str">
        <f>IF(A222="","",CONCATENATE(VLOOKUP(A222,Competitors!$A$2:$I$650,3,FALSE)," ",VLOOKUP(A222,Competitors!$A$2:$I$650,2,FALSE)))</f>
        <v>Mark Vowles</v>
      </c>
    </row>
    <row r="223" spans="1:2">
      <c r="A223">
        <f>IF(ISNUMBER(Competitors!A223),Competitors!A223,"")</f>
        <v>1424</v>
      </c>
      <c r="B223" t="str">
        <f>IF(A223="","",CONCATENATE(VLOOKUP(A223,Competitors!$A$2:$I$650,3,FALSE)," ",VLOOKUP(A223,Competitors!$A$2:$I$650,2,FALSE)))</f>
        <v>Charlotte Vowles</v>
      </c>
    </row>
    <row r="224" spans="1:2">
      <c r="A224">
        <f>IF(ISNUMBER(Competitors!A224),Competitors!A224,"")</f>
        <v>1425</v>
      </c>
      <c r="B224" t="str">
        <f>IF(A224="","",CONCATENATE(VLOOKUP(A224,Competitors!$A$2:$I$650,3,FALSE)," ",VLOOKUP(A224,Competitors!$A$2:$I$650,2,FALSE)))</f>
        <v>Jasper Vowles</v>
      </c>
    </row>
    <row r="225" spans="1:2">
      <c r="A225">
        <f>IF(ISNUMBER(Competitors!A225),Competitors!A225,"")</f>
        <v>1426</v>
      </c>
      <c r="B225" t="str">
        <f>IF(A225="","",CONCATENATE(VLOOKUP(A225,Competitors!$A$2:$I$650,3,FALSE)," ",VLOOKUP(A225,Competitors!$A$2:$I$650,2,FALSE)))</f>
        <v>Ione Vowles</v>
      </c>
    </row>
    <row r="226" spans="1:2">
      <c r="A226">
        <f>IF(ISNUMBER(Competitors!A226),Competitors!A226,"")</f>
        <v>1312</v>
      </c>
      <c r="B226" t="str">
        <f>IF(A226="","",CONCATENATE(VLOOKUP(A226,Competitors!$A$2:$I$650,3,FALSE)," ",VLOOKUP(A226,Competitors!$A$2:$I$650,2,FALSE)))</f>
        <v>Judith Waddington</v>
      </c>
    </row>
    <row r="227" spans="1:2">
      <c r="A227">
        <f>IF(ISNUMBER(Competitors!A227),Competitors!A227,"")</f>
        <v>935</v>
      </c>
      <c r="B227" t="str">
        <f>IF(A227="","",CONCATENATE(VLOOKUP(A227,Competitors!$A$2:$I$650,3,FALSE)," ",VLOOKUP(A227,Competitors!$A$2:$I$650,2,FALSE)))</f>
        <v>Sophie Ward</v>
      </c>
    </row>
    <row r="228" spans="1:2">
      <c r="A228">
        <f>IF(ISNUMBER(Competitors!A228),Competitors!A228,"")</f>
        <v>999</v>
      </c>
      <c r="B228" t="str">
        <f>IF(A228="","",CONCATENATE(VLOOKUP(A228,Competitors!$A$2:$I$650,3,FALSE)," ",VLOOKUP(A228,Competitors!$A$2:$I$650,2,FALSE)))</f>
        <v>Abigail Ward</v>
      </c>
    </row>
    <row r="229" spans="1:2">
      <c r="A229">
        <f>IF(ISNUMBER(Competitors!A229),Competitors!A229,"")</f>
        <v>998</v>
      </c>
      <c r="B229" t="str">
        <f>IF(A229="","",CONCATENATE(VLOOKUP(A229,Competitors!$A$2:$I$650,3,FALSE)," ",VLOOKUP(A229,Competitors!$A$2:$I$650,2,FALSE)))</f>
        <v>Debbie Ward</v>
      </c>
    </row>
    <row r="230" spans="1:2">
      <c r="A230">
        <f>IF(ISNUMBER(Competitors!A230),Competitors!A230,"")</f>
        <v>616</v>
      </c>
      <c r="B230" t="str">
        <f>IF(A230="","",CONCATENATE(VLOOKUP(A230,Competitors!$A$2:$I$650,3,FALSE)," ",VLOOKUP(A230,Competitors!$A$2:$I$650,2,FALSE)))</f>
        <v>Simon Ward</v>
      </c>
    </row>
    <row r="231" spans="1:2">
      <c r="A231">
        <f>IF(ISNUMBER(Competitors!A231),Competitors!A231,"")</f>
        <v>558</v>
      </c>
      <c r="B231" t="str">
        <f>IF(A231="","",CONCATENATE(VLOOKUP(A231,Competitors!$A$2:$I$650,3,FALSE)," ",VLOOKUP(A231,Competitors!$A$2:$I$650,2,FALSE)))</f>
        <v>Andrew Weatherby</v>
      </c>
    </row>
    <row r="232" spans="1:2">
      <c r="A232">
        <f>IF(ISNUMBER(Competitors!A232),Competitors!A232,"")</f>
        <v>991</v>
      </c>
      <c r="B232" t="str">
        <f>IF(A232="","",CONCATENATE(VLOOKUP(A232,Competitors!$A$2:$I$650,3,FALSE)," ",VLOOKUP(A232,Competitors!$A$2:$I$650,2,FALSE)))</f>
        <v>Eleanor Webber</v>
      </c>
    </row>
    <row r="233" spans="1:2">
      <c r="A233">
        <f>IF(ISNUMBER(Competitors!A233),Competitors!A233,"")</f>
        <v>707</v>
      </c>
      <c r="B233" t="str">
        <f>IF(A233="","",CONCATENATE(VLOOKUP(A233,Competitors!$A$2:$I$650,3,FALSE)," ",VLOOKUP(A233,Competitors!$A$2:$I$650,2,FALSE)))</f>
        <v>Martin Webster</v>
      </c>
    </row>
    <row r="234" spans="1:2">
      <c r="A234">
        <f>IF(ISNUMBER(Competitors!A234),Competitors!A234,"")</f>
        <v>359</v>
      </c>
      <c r="B234" t="str">
        <f>IF(A234="","",CONCATENATE(VLOOKUP(A234,Competitors!$A$2:$I$650,3,FALSE)," ",VLOOKUP(A234,Competitors!$A$2:$I$650,2,FALSE)))</f>
        <v>John Welsford</v>
      </c>
    </row>
    <row r="235" spans="1:2">
      <c r="A235">
        <f>IF(ISNUMBER(Competitors!A235),Competitors!A235,"")</f>
        <v>1310</v>
      </c>
      <c r="B235" t="str">
        <f>IF(A235="","",CONCATENATE(VLOOKUP(A235,Competitors!$A$2:$I$650,3,FALSE)," ",VLOOKUP(A235,Competitors!$A$2:$I$650,2,FALSE)))</f>
        <v>Thomas Weston</v>
      </c>
    </row>
    <row r="236" spans="1:2">
      <c r="A236">
        <f>IF(ISNUMBER(Competitors!A236),Competitors!A236,"")</f>
        <v>1200</v>
      </c>
      <c r="B236" t="str">
        <f>IF(A236="","",CONCATENATE(VLOOKUP(A236,Competitors!$A$2:$I$650,3,FALSE)," ",VLOOKUP(A236,Competitors!$A$2:$I$650,2,FALSE)))</f>
        <v>Jules Wilks</v>
      </c>
    </row>
    <row r="237" spans="1:2">
      <c r="A237">
        <f>IF(ISNUMBER(Competitors!A237),Competitors!A237,"")</f>
        <v>1411</v>
      </c>
      <c r="B237" t="str">
        <f>IF(A237="","",CONCATENATE(VLOOKUP(A237,Competitors!$A$2:$I$650,3,FALSE)," ",VLOOKUP(A237,Competitors!$A$2:$I$650,2,FALSE)))</f>
        <v>Anne Wilks</v>
      </c>
    </row>
    <row r="238" spans="1:2">
      <c r="A238">
        <f>IF(ISNUMBER(Competitors!A238),Competitors!A238,"")</f>
        <v>1412</v>
      </c>
      <c r="B238" t="str">
        <f>IF(A238="","",CONCATENATE(VLOOKUP(A238,Competitors!$A$2:$I$650,3,FALSE)," ",VLOOKUP(A238,Competitors!$A$2:$I$650,2,FALSE)))</f>
        <v>Fie Wilks</v>
      </c>
    </row>
    <row r="239" spans="1:2">
      <c r="A239">
        <f>IF(ISNUMBER(Competitors!A239),Competitors!A239,"")</f>
        <v>1413</v>
      </c>
      <c r="B239" t="str">
        <f>IF(A239="","",CONCATENATE(VLOOKUP(A239,Competitors!$A$2:$I$650,3,FALSE)," ",VLOOKUP(A239,Competitors!$A$2:$I$650,2,FALSE)))</f>
        <v>Toby Wilks</v>
      </c>
    </row>
    <row r="240" spans="1:2">
      <c r="A240">
        <f>IF(ISNUMBER(Competitors!A240),Competitors!A240,"")</f>
        <v>1376</v>
      </c>
      <c r="B240" t="str">
        <f>IF(A240="","",CONCATENATE(VLOOKUP(A240,Competitors!$A$2:$I$650,3,FALSE)," ",VLOOKUP(A240,Competitors!$A$2:$I$650,2,FALSE)))</f>
        <v>Sally Will</v>
      </c>
    </row>
    <row r="241" spans="1:2">
      <c r="A241">
        <f>IF(ISNUMBER(Competitors!A241),Competitors!A241,"")</f>
        <v>1140</v>
      </c>
      <c r="B241" t="str">
        <f>IF(A241="","",CONCATENATE(VLOOKUP(A241,Competitors!$A$2:$I$650,3,FALSE)," ",VLOOKUP(A241,Competitors!$A$2:$I$650,2,FALSE)))</f>
        <v>Kevin Willett</v>
      </c>
    </row>
    <row r="242" spans="1:2">
      <c r="A242">
        <f>IF(ISNUMBER(Competitors!A242),Competitors!A242,"")</f>
        <v>989</v>
      </c>
      <c r="B242" t="str">
        <f>IF(A242="","",CONCATENATE(VLOOKUP(A242,Competitors!$A$2:$I$650,3,FALSE)," ",VLOOKUP(A242,Competitors!$A$2:$I$650,2,FALSE)))</f>
        <v>Jason Williams</v>
      </c>
    </row>
    <row r="243" spans="1:2">
      <c r="A243">
        <f>IF(ISNUMBER(Competitors!A243),Competitors!A243,"")</f>
        <v>1417</v>
      </c>
      <c r="B243" t="str">
        <f>IF(A243="","",CONCATENATE(VLOOKUP(A243,Competitors!$A$2:$I$650,3,FALSE)," ",VLOOKUP(A243,Competitors!$A$2:$I$650,2,FALSE)))</f>
        <v>Michelle Wilson</v>
      </c>
    </row>
    <row r="244" spans="1:2">
      <c r="A244">
        <f>IF(ISNUMBER(Competitors!A244),Competitors!A244,"")</f>
        <v>52</v>
      </c>
      <c r="B244" t="str">
        <f>IF(A244="","",CONCATENATE(VLOOKUP(A244,Competitors!$A$2:$I$650,3,FALSE)," ",VLOOKUP(A244,Competitors!$A$2:$I$650,2,FALSE)))</f>
        <v>Will Wise</v>
      </c>
    </row>
    <row r="245" spans="1:2">
      <c r="A245">
        <f>IF(ISNUMBER(Competitors!A245),Competitors!A245,"")</f>
        <v>62</v>
      </c>
      <c r="B245" t="str">
        <f>IF(A245="","",CONCATENATE(VLOOKUP(A245,Competitors!$A$2:$I$650,3,FALSE)," ",VLOOKUP(A245,Competitors!$A$2:$I$650,2,FALSE)))</f>
        <v>David Wilson</v>
      </c>
    </row>
    <row r="246" spans="1:2">
      <c r="A246">
        <f>IF(ISNUMBER(Competitors!A246),Competitors!A246,"")</f>
        <v>930</v>
      </c>
      <c r="B246" t="str">
        <f>IF(A246="","",CONCATENATE(VLOOKUP(A246,Competitors!$A$2:$I$650,3,FALSE)," ",VLOOKUP(A246,Competitors!$A$2:$I$650,2,FALSE)))</f>
        <v>Catherine Wintersgill</v>
      </c>
    </row>
    <row r="247" spans="1:2">
      <c r="A247">
        <f>IF(ISNUMBER(Competitors!A247),Competitors!A247,"")</f>
        <v>1254</v>
      </c>
      <c r="B247" t="str">
        <f>IF(A247="","",CONCATENATE(VLOOKUP(A247,Competitors!$A$2:$I$650,3,FALSE)," ",VLOOKUP(A247,Competitors!$A$2:$I$650,2,FALSE)))</f>
        <v>Paul White</v>
      </c>
    </row>
    <row r="248" spans="1:2">
      <c r="A248">
        <f>IF(ISNUMBER(Competitors!A248),Competitors!A248,"")</f>
        <v>744</v>
      </c>
      <c r="B248" t="str">
        <f>IF(A248="","",CONCATENATE(VLOOKUP(A248,Competitors!$A$2:$I$650,3,FALSE)," ",VLOOKUP(A248,Competitors!$A$2:$I$650,2,FALSE)))</f>
        <v>Robert Woodford</v>
      </c>
    </row>
    <row r="249" spans="1:2">
      <c r="A249">
        <f>IF(ISNUMBER(Competitors!A249),Competitors!A249,"")</f>
        <v>337</v>
      </c>
      <c r="B249" t="str">
        <f>IF(A249="","",CONCATENATE(VLOOKUP(A249,Competitors!$A$2:$I$650,3,FALSE)," ",VLOOKUP(A249,Competitors!$A$2:$I$650,2,FALSE)))</f>
        <v>Linda Yarnold</v>
      </c>
    </row>
    <row r="250" spans="1:2">
      <c r="A250" t="str">
        <f>IF(ISNUMBER(Competitors!A250),Competitors!A250,"")</f>
        <v/>
      </c>
      <c r="B250" t="str">
        <f>IF(A250="","",CONCATENATE(VLOOKUP(A250,Competitors!$A$2:$I$650,3,FALSE)," ",VLOOKUP(A250,Competitors!$A$2:$I$650,2,FALSE)))</f>
        <v/>
      </c>
    </row>
    <row r="251" spans="1:2">
      <c r="A251" t="str">
        <f>IF(ISNUMBER(Competitors!A251),Competitors!A251,"")</f>
        <v/>
      </c>
      <c r="B251" t="str">
        <f>IF(A251="","",CONCATENATE(VLOOKUP(A251,Competitors!$A$2:$I$650,3,FALSE)," ",VLOOKUP(A251,Competitors!$A$2:$I$650,2,FALSE)))</f>
        <v/>
      </c>
    </row>
    <row r="252" spans="1:2">
      <c r="A252" t="str">
        <f>IF(ISNUMBER(Competitors!A252),Competitors!A252,"")</f>
        <v/>
      </c>
      <c r="B252" t="str">
        <f>IF(A252="","",CONCATENATE(VLOOKUP(A252,Competitors!$A$2:$I$650,3,FALSE)," ",VLOOKUP(A252,Competitors!$A$2:$I$650,2,FALSE)))</f>
        <v/>
      </c>
    </row>
    <row r="253" spans="1:2">
      <c r="A253" t="str">
        <f>IF(ISNUMBER(Competitors!A253),Competitors!A253,"")</f>
        <v/>
      </c>
      <c r="B253" t="str">
        <f>IF(A253="","",CONCATENATE(VLOOKUP(A253,Competitors!$A$2:$I$650,3,FALSE)," ",VLOOKUP(A253,Competitors!$A$2:$I$650,2,FALSE)))</f>
        <v/>
      </c>
    </row>
    <row r="254" spans="1:2">
      <c r="A254" t="str">
        <f>IF(ISNUMBER(Competitors!A254),Competitors!A254,"")</f>
        <v/>
      </c>
      <c r="B254" t="str">
        <f>IF(A254="","",CONCATENATE(VLOOKUP(A254,Competitors!$A$2:$I$650,3,FALSE)," ",VLOOKUP(A254,Competitors!$A$2:$I$650,2,FALSE)))</f>
        <v/>
      </c>
    </row>
    <row r="255" spans="1:2">
      <c r="A255" t="str">
        <f>IF(ISNUMBER(Competitors!A255),Competitors!A255,"")</f>
        <v/>
      </c>
      <c r="B255" t="str">
        <f>IF(A255="","",CONCATENATE(VLOOKUP(A255,Competitors!$A$2:$I$650,3,FALSE)," ",VLOOKUP(A255,Competitors!$A$2:$I$650,2,FALSE)))</f>
        <v/>
      </c>
    </row>
    <row r="256" spans="1:2">
      <c r="A256" t="str">
        <f>IF(ISNUMBER(Competitors!A256),Competitors!A256,"")</f>
        <v/>
      </c>
      <c r="B256" t="str">
        <f>IF(A256="","",CONCATENATE(VLOOKUP(A256,Competitors!$A$2:$I$650,3,FALSE)," ",VLOOKUP(A256,Competitors!$A$2:$I$650,2,FALSE)))</f>
        <v/>
      </c>
    </row>
    <row r="257" spans="1:2">
      <c r="A257" t="str">
        <f>IF(ISNUMBER(Competitors!A257),Competitors!A257,"")</f>
        <v/>
      </c>
      <c r="B257" t="str">
        <f>IF(A257="","",CONCATENATE(VLOOKUP(A257,Competitors!$A$2:$I$650,3,FALSE)," ",VLOOKUP(A257,Competitors!$A$2:$I$650,2,FALSE)))</f>
        <v/>
      </c>
    </row>
    <row r="258" spans="1:2">
      <c r="A258" t="str">
        <f>IF(ISNUMBER(Competitors!A258),Competitors!A258,"")</f>
        <v/>
      </c>
      <c r="B258" t="str">
        <f>IF(A258="","",CONCATENATE(VLOOKUP(A258,Competitors!$A$2:$I$650,3,FALSE)," ",VLOOKUP(A258,Competitors!$A$2:$I$650,2,FALSE)))</f>
        <v/>
      </c>
    </row>
    <row r="259" spans="1:2">
      <c r="A259" t="str">
        <f>IF(ISNUMBER(Competitors!A259),Competitors!A259,"")</f>
        <v/>
      </c>
      <c r="B259" t="str">
        <f>IF(A259="","",CONCATENATE(VLOOKUP(A259,Competitors!$A$2:$I$650,3,FALSE)," ",VLOOKUP(A259,Competitors!$A$2:$I$650,2,FALSE)))</f>
        <v/>
      </c>
    </row>
    <row r="260" spans="1:2">
      <c r="A260" t="str">
        <f>IF(ISNUMBER(Competitors!A260),Competitors!A260,"")</f>
        <v/>
      </c>
      <c r="B260" t="str">
        <f>IF(A260="","",CONCATENATE(VLOOKUP(A260,Competitors!$A$2:$I$650,3,FALSE)," ",VLOOKUP(A260,Competitors!$A$2:$I$650,2,FALSE)))</f>
        <v/>
      </c>
    </row>
    <row r="261" spans="1:2">
      <c r="A261" t="str">
        <f>IF(ISNUMBER(Competitors!A261),Competitors!A261,"")</f>
        <v/>
      </c>
      <c r="B261" t="str">
        <f>IF(A261="","",CONCATENATE(VLOOKUP(A261,Competitors!$A$2:$I$650,3,FALSE)," ",VLOOKUP(A261,Competitors!$A$2:$I$650,2,FALSE)))</f>
        <v/>
      </c>
    </row>
    <row r="262" spans="1:2">
      <c r="A262" t="str">
        <f>IF(ISNUMBER(Competitors!A262),Competitors!A262,"")</f>
        <v/>
      </c>
      <c r="B262" t="str">
        <f>IF(A262="","",CONCATENATE(VLOOKUP(A262,Competitors!$A$2:$I$650,3,FALSE)," ",VLOOKUP(A262,Competitors!$A$2:$I$650,2,FALSE)))</f>
        <v/>
      </c>
    </row>
    <row r="263" spans="1:2">
      <c r="A263" t="str">
        <f>IF(ISNUMBER(Competitors!A263),Competitors!A263,"")</f>
        <v/>
      </c>
      <c r="B263" t="str">
        <f>IF(A263="","",CONCATENATE(VLOOKUP(A263,Competitors!$A$2:$I$650,3,FALSE)," ",VLOOKUP(A263,Competitors!$A$2:$I$650,2,FALSE)))</f>
        <v/>
      </c>
    </row>
    <row r="264" spans="1:2">
      <c r="A264" t="str">
        <f>IF(ISNUMBER(Competitors!A264),Competitors!A264,"")</f>
        <v/>
      </c>
      <c r="B264" t="str">
        <f>IF(A264="","",CONCATENATE(VLOOKUP(A264,Competitors!$A$2:$I$650,3,FALSE)," ",VLOOKUP(A264,Competitors!$A$2:$I$650,2,FALSE)))</f>
        <v/>
      </c>
    </row>
    <row r="265" spans="1:2">
      <c r="A265" t="str">
        <f>IF(ISNUMBER(Competitors!A265),Competitors!A265,"")</f>
        <v/>
      </c>
      <c r="B265" t="str">
        <f>IF(A265="","",CONCATENATE(VLOOKUP(A265,Competitors!$A$2:$I$650,3,FALSE)," ",VLOOKUP(A265,Competitors!$A$2:$I$650,2,FALSE)))</f>
        <v/>
      </c>
    </row>
    <row r="266" spans="1:2">
      <c r="A266" t="str">
        <f>IF(ISNUMBER(Competitors!A266),Competitors!A266,"")</f>
        <v/>
      </c>
      <c r="B266" t="str">
        <f>IF(A266="","",CONCATENATE(VLOOKUP(A266,Competitors!$A$2:$I$650,3,FALSE)," ",VLOOKUP(A266,Competitors!$A$2:$I$650,2,FALSE)))</f>
        <v/>
      </c>
    </row>
    <row r="267" spans="1:2">
      <c r="A267" t="str">
        <f>IF(ISNUMBER(Competitors!A267),Competitors!A267,"")</f>
        <v/>
      </c>
      <c r="B267" t="str">
        <f>IF(A267="","",CONCATENATE(VLOOKUP(A267,Competitors!$A$2:$I$650,3,FALSE)," ",VLOOKUP(A267,Competitors!$A$2:$I$650,2,FALSE)))</f>
        <v/>
      </c>
    </row>
    <row r="268" spans="1:2">
      <c r="A268" t="str">
        <f>IF(ISNUMBER(Competitors!A268),Competitors!A268,"")</f>
        <v/>
      </c>
      <c r="B268" t="str">
        <f>IF(A268="","",CONCATENATE(VLOOKUP(A268,Competitors!$A$2:$I$650,3,FALSE)," ",VLOOKUP(A268,Competitors!$A$2:$I$650,2,FALSE)))</f>
        <v/>
      </c>
    </row>
    <row r="269" spans="1:2">
      <c r="A269" t="str">
        <f>IF(ISNUMBER(Competitors!A269),Competitors!A269,"")</f>
        <v/>
      </c>
      <c r="B269" t="str">
        <f>IF(A269="","",CONCATENATE(VLOOKUP(A269,Competitors!$A$2:$I$650,3,FALSE)," ",VLOOKUP(A269,Competitors!$A$2:$I$650,2,FALSE)))</f>
        <v/>
      </c>
    </row>
    <row r="270" spans="1:2">
      <c r="A270" t="str">
        <f>IF(ISNUMBER(Competitors!A270),Competitors!A270,"")</f>
        <v/>
      </c>
      <c r="B270" t="str">
        <f>IF(A270="","",CONCATENATE(VLOOKUP(A270,Competitors!$A$2:$I$650,3,FALSE)," ",VLOOKUP(A270,Competitors!$A$2:$I$650,2,FALSE)))</f>
        <v/>
      </c>
    </row>
    <row r="271" spans="1:2">
      <c r="A271" t="str">
        <f>IF(ISNUMBER(Competitors!A271),Competitors!A271,"")</f>
        <v/>
      </c>
      <c r="B271" t="str">
        <f>IF(A271="","",CONCATENATE(VLOOKUP(A271,Competitors!$A$2:$I$650,3,FALSE)," ",VLOOKUP(A271,Competitors!$A$2:$I$650,2,FALSE)))</f>
        <v/>
      </c>
    </row>
    <row r="272" spans="1:2">
      <c r="A272" t="str">
        <f>IF(ISNUMBER(Competitors!A272),Competitors!A272,"")</f>
        <v/>
      </c>
      <c r="B272" t="str">
        <f>IF(A272="","",CONCATENATE(VLOOKUP(A272,Competitors!$A$2:$I$650,3,FALSE)," ",VLOOKUP(A272,Competitors!$A$2:$I$650,2,FALSE)))</f>
        <v/>
      </c>
    </row>
    <row r="273" spans="1:2">
      <c r="A273" t="str">
        <f>IF(ISNUMBER(Competitors!A273),Competitors!A273,"")</f>
        <v/>
      </c>
      <c r="B273" t="str">
        <f>IF(A273="","",CONCATENATE(VLOOKUP(A273,Competitors!$A$2:$I$650,3,FALSE)," ",VLOOKUP(A273,Competitors!$A$2:$I$650,2,FALSE)))</f>
        <v/>
      </c>
    </row>
    <row r="274" spans="1:2">
      <c r="A274" t="str">
        <f>IF(ISNUMBER(Competitors!A274),Competitors!A274,"")</f>
        <v/>
      </c>
      <c r="B274" t="str">
        <f>IF(A274="","",CONCATENATE(VLOOKUP(A274,Competitors!$A$2:$I$650,3,FALSE)," ",VLOOKUP(A274,Competitors!$A$2:$I$650,2,FALSE)))</f>
        <v/>
      </c>
    </row>
    <row r="275" spans="1:2">
      <c r="A275" t="str">
        <f>IF(ISNUMBER(Competitors!A275),Competitors!A275,"")</f>
        <v/>
      </c>
      <c r="B275" t="str">
        <f>IF(A275="","",CONCATENATE(VLOOKUP(A275,Competitors!$A$2:$I$650,3,FALSE)," ",VLOOKUP(A275,Competitors!$A$2:$I$650,2,FALSE)))</f>
        <v/>
      </c>
    </row>
    <row r="276" spans="1:2">
      <c r="A276" t="str">
        <f>IF(ISNUMBER(Competitors!A276),Competitors!A276,"")</f>
        <v/>
      </c>
      <c r="B276" t="str">
        <f>IF(A276="","",CONCATENATE(VLOOKUP(A276,Competitors!$A$2:$I$650,3,FALSE)," ",VLOOKUP(A276,Competitors!$A$2:$I$650,2,FALSE)))</f>
        <v/>
      </c>
    </row>
    <row r="277" spans="1:2">
      <c r="A277" t="str">
        <f>IF(ISNUMBER(Competitors!A277),Competitors!A277,"")</f>
        <v/>
      </c>
      <c r="B277" t="str">
        <f>IF(A277="","",CONCATENATE(VLOOKUP(A277,Competitors!$A$2:$I$650,3,FALSE)," ",VLOOKUP(A277,Competitors!$A$2:$I$650,2,FALSE)))</f>
        <v/>
      </c>
    </row>
    <row r="278" spans="1:2">
      <c r="A278" t="str">
        <f>IF(ISNUMBER(Competitors!A278),Competitors!A278,"")</f>
        <v/>
      </c>
      <c r="B278" t="str">
        <f>IF(A278="","",CONCATENATE(VLOOKUP(A278,Competitors!$A$2:$I$650,3,FALSE)," ",VLOOKUP(A278,Competitors!$A$2:$I$650,2,FALSE)))</f>
        <v/>
      </c>
    </row>
    <row r="279" spans="1:2">
      <c r="A279" t="str">
        <f>IF(ISNUMBER(Competitors!A279),Competitors!A279,"")</f>
        <v/>
      </c>
      <c r="B279" t="str">
        <f>IF(A279="","",CONCATENATE(VLOOKUP(A279,Competitors!$A$2:$I$650,3,FALSE)," ",VLOOKUP(A279,Competitors!$A$2:$I$650,2,FALSE)))</f>
        <v/>
      </c>
    </row>
    <row r="280" spans="1:2">
      <c r="A280" t="str">
        <f>IF(ISNUMBER(Competitors!A280),Competitors!A280,"")</f>
        <v/>
      </c>
      <c r="B280" t="str">
        <f>IF(A280="","",CONCATENATE(VLOOKUP(A280,Competitors!$A$2:$I$650,3,FALSE)," ",VLOOKUP(A280,Competitors!$A$2:$I$650,2,FALSE)))</f>
        <v/>
      </c>
    </row>
    <row r="281" spans="1:2">
      <c r="A281" t="str">
        <f>IF(ISNUMBER(Competitors!A281),Competitors!A281,"")</f>
        <v/>
      </c>
      <c r="B281" t="str">
        <f>IF(A281="","",CONCATENATE(VLOOKUP(A281,Competitors!$A$2:$I$650,3,FALSE)," ",VLOOKUP(A281,Competitors!$A$2:$I$650,2,FALSE)))</f>
        <v/>
      </c>
    </row>
    <row r="282" spans="1:2">
      <c r="A282" t="str">
        <f>IF(ISNUMBER(Competitors!A282),Competitors!A282,"")</f>
        <v/>
      </c>
      <c r="B282" t="str">
        <f>IF(A282="","",CONCATENATE(VLOOKUP(A282,Competitors!$A$2:$I$650,3,FALSE)," ",VLOOKUP(A282,Competitors!$A$2:$I$650,2,FALSE)))</f>
        <v/>
      </c>
    </row>
    <row r="283" spans="1:2">
      <c r="A283" t="str">
        <f>IF(ISNUMBER(Competitors!A283),Competitors!A283,"")</f>
        <v/>
      </c>
      <c r="B283" t="str">
        <f>IF(A283="","",CONCATENATE(VLOOKUP(A283,Competitors!$A$2:$I$650,3,FALSE)," ",VLOOKUP(A283,Competitors!$A$2:$I$650,2,FALSE)))</f>
        <v/>
      </c>
    </row>
    <row r="284" spans="1:2">
      <c r="A284" t="str">
        <f>IF(ISNUMBER(Competitors!A284),Competitors!A284,"")</f>
        <v/>
      </c>
      <c r="B284" t="str">
        <f>IF(A284="","",CONCATENATE(VLOOKUP(A284,Competitors!$A$2:$I$650,3,FALSE)," ",VLOOKUP(A284,Competitors!$A$2:$I$650,2,FALSE)))</f>
        <v/>
      </c>
    </row>
    <row r="285" spans="1:2">
      <c r="A285" t="str">
        <f>IF(ISNUMBER(Competitors!A285),Competitors!A285,"")</f>
        <v/>
      </c>
      <c r="B285" t="str">
        <f>IF(A285="","",CONCATENATE(VLOOKUP(A285,Competitors!$A$2:$I$650,3,FALSE)," ",VLOOKUP(A285,Competitors!$A$2:$I$650,2,FALSE)))</f>
        <v/>
      </c>
    </row>
    <row r="286" spans="1:2">
      <c r="A286" t="str">
        <f>IF(ISNUMBER(Competitors!A286),Competitors!A286,"")</f>
        <v/>
      </c>
      <c r="B286" t="str">
        <f>IF(A286="","",CONCATENATE(VLOOKUP(A286,Competitors!$A$2:$I$650,3,FALSE)," ",VLOOKUP(A286,Competitors!$A$2:$I$650,2,FALSE)))</f>
        <v/>
      </c>
    </row>
    <row r="287" spans="1:2">
      <c r="A287" t="str">
        <f>IF(ISNUMBER(Competitors!A287),Competitors!A287,"")</f>
        <v/>
      </c>
      <c r="B287" t="str">
        <f>IF(A287="","",CONCATENATE(VLOOKUP(A287,Competitors!$A$2:$I$650,3,FALSE)," ",VLOOKUP(A287,Competitors!$A$2:$I$650,2,FALSE)))</f>
        <v/>
      </c>
    </row>
    <row r="288" spans="1:2">
      <c r="A288" t="str">
        <f>IF(ISNUMBER(Competitors!A288),Competitors!A288,"")</f>
        <v/>
      </c>
      <c r="B288" t="str">
        <f>IF(A288="","",CONCATENATE(VLOOKUP(A288,Competitors!$A$2:$I$650,3,FALSE)," ",VLOOKUP(A288,Competitors!$A$2:$I$650,2,FALSE)))</f>
        <v/>
      </c>
    </row>
    <row r="289" spans="1:2">
      <c r="A289" t="str">
        <f>IF(ISNUMBER(Competitors!A289),Competitors!A289,"")</f>
        <v/>
      </c>
      <c r="B289" t="str">
        <f>IF(A289="","",CONCATENATE(VLOOKUP(A289,Competitors!$A$2:$I$650,3,FALSE)," ",VLOOKUP(A289,Competitors!$A$2:$I$650,2,FALSE)))</f>
        <v/>
      </c>
    </row>
    <row r="290" spans="1:2">
      <c r="A290" t="str">
        <f>IF(ISNUMBER(Competitors!A290),Competitors!A290,"")</f>
        <v/>
      </c>
      <c r="B290" t="str">
        <f>IF(A290="","",CONCATENATE(VLOOKUP(A290,Competitors!$A$2:$I$650,3,FALSE)," ",VLOOKUP(A290,Competitors!$A$2:$I$650,2,FALSE)))</f>
        <v/>
      </c>
    </row>
    <row r="291" spans="1:2">
      <c r="A291" t="str">
        <f>IF(ISNUMBER(Competitors!A291),Competitors!A291,"")</f>
        <v/>
      </c>
      <c r="B291" t="str">
        <f>IF(A291="","",CONCATENATE(VLOOKUP(A291,Competitors!$A$2:$I$650,3,FALSE)," ",VLOOKUP(A291,Competitors!$A$2:$I$650,2,FALSE)))</f>
        <v/>
      </c>
    </row>
    <row r="292" spans="1:2">
      <c r="A292" t="str">
        <f>IF(ISNUMBER(Competitors!A292),Competitors!A292,"")</f>
        <v/>
      </c>
      <c r="B292" t="str">
        <f>IF(A292="","",CONCATENATE(VLOOKUP(A292,Competitors!$A$2:$I$650,3,FALSE)," ",VLOOKUP(A292,Competitors!$A$2:$I$650,2,FALSE)))</f>
        <v/>
      </c>
    </row>
    <row r="293" spans="1:2">
      <c r="A293" t="str">
        <f>IF(ISNUMBER(Competitors!A293),Competitors!A293,"")</f>
        <v/>
      </c>
      <c r="B293" t="str">
        <f>IF(A293="","",CONCATENATE(VLOOKUP(A293,Competitors!$A$2:$I$650,3,FALSE)," ",VLOOKUP(A293,Competitors!$A$2:$I$650,2,FALSE)))</f>
        <v/>
      </c>
    </row>
    <row r="294" spans="1:2">
      <c r="A294" t="str">
        <f>IF(ISNUMBER(Competitors!A294),Competitors!A294,"")</f>
        <v/>
      </c>
      <c r="B294" t="str">
        <f>IF(A294="","",CONCATENATE(VLOOKUP(A294,Competitors!$A$2:$I$650,3,FALSE)," ",VLOOKUP(A294,Competitors!$A$2:$I$650,2,FALSE)))</f>
        <v/>
      </c>
    </row>
    <row r="295" spans="1:2">
      <c r="A295" t="str">
        <f>IF(ISNUMBER(Competitors!A295),Competitors!A295,"")</f>
        <v/>
      </c>
      <c r="B295" t="str">
        <f>IF(A295="","",CONCATENATE(VLOOKUP(A295,Competitors!$A$2:$I$650,3,FALSE)," ",VLOOKUP(A295,Competitors!$A$2:$I$650,2,FALSE)))</f>
        <v/>
      </c>
    </row>
    <row r="296" spans="1:2">
      <c r="A296" t="str">
        <f>IF(ISNUMBER(Competitors!A296),Competitors!A296,"")</f>
        <v/>
      </c>
      <c r="B296" t="str">
        <f>IF(A296="","",CONCATENATE(VLOOKUP(A296,Competitors!$A$2:$I$650,3,FALSE)," ",VLOOKUP(A296,Competitors!$A$2:$I$650,2,FALSE)))</f>
        <v/>
      </c>
    </row>
    <row r="297" spans="1:2">
      <c r="A297" t="str">
        <f>IF(ISNUMBER(Competitors!A297),Competitors!A297,"")</f>
        <v/>
      </c>
      <c r="B297" t="str">
        <f>IF(A297="","",CONCATENATE(VLOOKUP(A297,Competitors!$A$2:$I$650,3,FALSE)," ",VLOOKUP(A297,Competitors!$A$2:$I$650,2,FALSE)))</f>
        <v/>
      </c>
    </row>
    <row r="298" spans="1:2">
      <c r="A298" t="str">
        <f>IF(ISNUMBER(Competitors!A298),Competitors!A298,"")</f>
        <v/>
      </c>
      <c r="B298" t="str">
        <f>IF(A298="","",CONCATENATE(VLOOKUP(A298,Competitors!$A$2:$I$650,3,FALSE)," ",VLOOKUP(A298,Competitors!$A$2:$I$650,2,FALSE)))</f>
        <v/>
      </c>
    </row>
    <row r="299" spans="1:2">
      <c r="A299" t="str">
        <f>IF(ISNUMBER(Competitors!A299),Competitors!A299,"")</f>
        <v/>
      </c>
      <c r="B299" t="str">
        <f>IF(A299="","",CONCATENATE(VLOOKUP(A299,Competitors!$A$2:$I$650,3,FALSE)," ",VLOOKUP(A299,Competitors!$A$2:$I$650,2,FALSE)))</f>
        <v/>
      </c>
    </row>
    <row r="300" spans="1:2">
      <c r="A300" t="str">
        <f>IF(ISNUMBER(Competitors!A300),Competitors!A300,"")</f>
        <v/>
      </c>
      <c r="B300" t="str">
        <f>IF(A300="","",CONCATENATE(VLOOKUP(A300,Competitors!$A$2:$I$650,3,FALSE)," ",VLOOKUP(A300,Competitors!$A$2:$I$650,2,FALSE)))</f>
        <v/>
      </c>
    </row>
    <row r="301" spans="1:2">
      <c r="A301" t="str">
        <f>IF(ISNUMBER(Competitors!A301),Competitors!A301,"")</f>
        <v/>
      </c>
      <c r="B301" t="str">
        <f>IF(A301="","",CONCATENATE(VLOOKUP(A301,Competitors!$A$2:$I$650,3,FALSE)," ",VLOOKUP(A301,Competitors!$A$2:$I$650,2,FALSE)))</f>
        <v/>
      </c>
    </row>
    <row r="302" spans="1:2">
      <c r="A302" t="str">
        <f>IF(ISNUMBER(Competitors!A302),Competitors!A302,"")</f>
        <v/>
      </c>
      <c r="B302" t="str">
        <f>IF(A302="","",CONCATENATE(VLOOKUP(A302,Competitors!$A$2:$I$650,3,FALSE)," ",VLOOKUP(A302,Competitors!$A$2:$I$650,2,FALSE)))</f>
        <v/>
      </c>
    </row>
    <row r="303" spans="1:2">
      <c r="A303" t="str">
        <f>IF(ISNUMBER(Competitors!A303),Competitors!A303,"")</f>
        <v/>
      </c>
      <c r="B303" t="str">
        <f>IF(A303="","",CONCATENATE(VLOOKUP(A303,Competitors!$A$2:$I$650,3,FALSE)," ",VLOOKUP(A303,Competitors!$A$2:$I$650,2,FALSE)))</f>
        <v/>
      </c>
    </row>
    <row r="304" spans="1:2">
      <c r="A304" t="str">
        <f>IF(ISNUMBER(Competitors!A304),Competitors!A304,"")</f>
        <v/>
      </c>
      <c r="B304" t="str">
        <f>IF(A304="","",CONCATENATE(VLOOKUP(A304,Competitors!$A$2:$I$650,3,FALSE)," ",VLOOKUP(A304,Competitors!$A$2:$I$650,2,FALSE)))</f>
        <v/>
      </c>
    </row>
    <row r="305" spans="1:2">
      <c r="A305" t="str">
        <f>IF(ISNUMBER(Competitors!A305),Competitors!A305,"")</f>
        <v/>
      </c>
      <c r="B305" t="str">
        <f>IF(A305="","",CONCATENATE(VLOOKUP(A305,Competitors!$A$2:$I$650,3,FALSE)," ",VLOOKUP(A305,Competitors!$A$2:$I$650,2,FALSE)))</f>
        <v/>
      </c>
    </row>
    <row r="306" spans="1:2">
      <c r="A306" t="str">
        <f>IF(ISNUMBER(Competitors!A306),Competitors!A306,"")</f>
        <v/>
      </c>
      <c r="B306" t="str">
        <f>IF(A306="","",CONCATENATE(VLOOKUP(A306,Competitors!$A$2:$I$650,3,FALSE)," ",VLOOKUP(A306,Competitors!$A$2:$I$650,2,FALSE)))</f>
        <v/>
      </c>
    </row>
    <row r="307" spans="1:2">
      <c r="A307" t="str">
        <f>IF(ISNUMBER(Competitors!A307),Competitors!A307,"")</f>
        <v/>
      </c>
      <c r="B307" t="str">
        <f>IF(A307="","",CONCATENATE(VLOOKUP(A307,Competitors!$A$2:$I$650,3,FALSE)," ",VLOOKUP(A307,Competitors!$A$2:$I$650,2,FALSE)))</f>
        <v/>
      </c>
    </row>
    <row r="308" spans="1:2">
      <c r="A308" t="str">
        <f>IF(ISNUMBER(Competitors!A308),Competitors!A308,"")</f>
        <v/>
      </c>
      <c r="B308" t="str">
        <f>IF(A308="","",CONCATENATE(VLOOKUP(A308,Competitors!$A$2:$I$650,3,FALSE)," ",VLOOKUP(A308,Competitors!$A$2:$I$650,2,FALSE)))</f>
        <v/>
      </c>
    </row>
    <row r="309" spans="1:2">
      <c r="A309" t="str">
        <f>IF(ISNUMBER(Competitors!A309),Competitors!A309,"")</f>
        <v/>
      </c>
      <c r="B309" t="str">
        <f>IF(A309="","",CONCATENATE(VLOOKUP(A309,Competitors!$A$2:$I$650,3,FALSE)," ",VLOOKUP(A309,Competitors!$A$2:$I$650,2,FALSE)))</f>
        <v/>
      </c>
    </row>
    <row r="310" spans="1:2">
      <c r="A310" t="str">
        <f>IF(ISNUMBER(Competitors!A310),Competitors!A310,"")</f>
        <v/>
      </c>
      <c r="B310" t="str">
        <f>IF(A310="","",CONCATENATE(VLOOKUP(A310,Competitors!$A$2:$I$650,3,FALSE)," ",VLOOKUP(A310,Competitors!$A$2:$I$650,2,FALSE)))</f>
        <v/>
      </c>
    </row>
    <row r="311" spans="1:2">
      <c r="A311" t="str">
        <f>IF(ISNUMBER(Competitors!A311),Competitors!A311,"")</f>
        <v/>
      </c>
      <c r="B311" t="str">
        <f>IF(A311="","",CONCATENATE(VLOOKUP(A311,Competitors!$A$2:$I$650,3,FALSE)," ",VLOOKUP(A311,Competitors!$A$2:$I$650,2,FALSE)))</f>
        <v/>
      </c>
    </row>
    <row r="312" spans="1:2">
      <c r="A312" t="str">
        <f>IF(ISNUMBER(Competitors!A312),Competitors!A312,"")</f>
        <v/>
      </c>
      <c r="B312" t="str">
        <f>IF(A312="","",CONCATENATE(VLOOKUP(A312,Competitors!$A$2:$I$650,3,FALSE)," ",VLOOKUP(A312,Competitors!$A$2:$I$650,2,FALSE)))</f>
        <v/>
      </c>
    </row>
    <row r="313" spans="1:2">
      <c r="A313" t="str">
        <f>IF(ISNUMBER(Competitors!A313),Competitors!A313,"")</f>
        <v/>
      </c>
      <c r="B313" t="str">
        <f>IF(A313="","",CONCATENATE(VLOOKUP(A313,Competitors!$A$2:$I$650,3,FALSE)," ",VLOOKUP(A313,Competitors!$A$2:$I$650,2,FALSE)))</f>
        <v/>
      </c>
    </row>
    <row r="314" spans="1:2">
      <c r="A314" t="str">
        <f>IF(ISNUMBER(Competitors!A314),Competitors!A314,"")</f>
        <v/>
      </c>
      <c r="B314" t="str">
        <f>IF(A314="","",CONCATENATE(VLOOKUP(A314,Competitors!$A$2:$I$650,3,FALSE)," ",VLOOKUP(A314,Competitors!$A$2:$I$650,2,FALSE)))</f>
        <v/>
      </c>
    </row>
    <row r="315" spans="1:2">
      <c r="A315" t="str">
        <f>IF(ISNUMBER(Competitors!A315),Competitors!A315,"")</f>
        <v/>
      </c>
      <c r="B315" t="str">
        <f>IF(A315="","",CONCATENATE(VLOOKUP(A315,Competitors!$A$2:$I$650,3,FALSE)," ",VLOOKUP(A315,Competitors!$A$2:$I$650,2,FALSE)))</f>
        <v/>
      </c>
    </row>
    <row r="316" spans="1:2">
      <c r="A316" t="str">
        <f>IF(ISNUMBER(Competitors!A316),Competitors!A316,"")</f>
        <v/>
      </c>
      <c r="B316" t="str">
        <f>IF(A316="","",CONCATENATE(VLOOKUP(A316,Competitors!$A$2:$I$650,3,FALSE)," ",VLOOKUP(A316,Competitors!$A$2:$I$650,2,FALSE)))</f>
        <v/>
      </c>
    </row>
    <row r="317" spans="1:2">
      <c r="A317" t="str">
        <f>IF(ISNUMBER(Competitors!A317),Competitors!A317,"")</f>
        <v/>
      </c>
      <c r="B317" t="str">
        <f>IF(A317="","",CONCATENATE(VLOOKUP(A317,Competitors!$A$2:$I$650,3,FALSE)," ",VLOOKUP(A317,Competitors!$A$2:$I$650,2,FALSE)))</f>
        <v/>
      </c>
    </row>
    <row r="318" spans="1:2">
      <c r="A318" t="str">
        <f>IF(ISNUMBER(Competitors!A318),Competitors!A318,"")</f>
        <v/>
      </c>
      <c r="B318" t="str">
        <f>IF(A318="","",CONCATENATE(VLOOKUP(A318,Competitors!$A$2:$I$650,3,FALSE)," ",VLOOKUP(A318,Competitors!$A$2:$I$650,2,FALSE)))</f>
        <v/>
      </c>
    </row>
    <row r="319" spans="1:2">
      <c r="A319" t="str">
        <f>IF(ISNUMBER(Competitors!A319),Competitors!A319,"")</f>
        <v/>
      </c>
      <c r="B319" t="str">
        <f>IF(A319="","",CONCATENATE(VLOOKUP(A319,Competitors!$A$2:$I$650,3,FALSE)," ",VLOOKUP(A319,Competitors!$A$2:$I$650,2,FALSE)))</f>
        <v/>
      </c>
    </row>
    <row r="320" spans="1:2">
      <c r="A320" t="str">
        <f>IF(ISNUMBER(Competitors!A320),Competitors!A320,"")</f>
        <v/>
      </c>
      <c r="B320" t="str">
        <f>IF(A320="","",CONCATENATE(VLOOKUP(A320,Competitors!$A$2:$I$650,3,FALSE)," ",VLOOKUP(A320,Competitors!$A$2:$I$650,2,FALSE)))</f>
        <v/>
      </c>
    </row>
    <row r="321" spans="1:2">
      <c r="A321" t="str">
        <f>IF(ISNUMBER(Competitors!A321),Competitors!A321,"")</f>
        <v/>
      </c>
      <c r="B321" t="str">
        <f>IF(A321="","",CONCATENATE(VLOOKUP(A321,Competitors!$A$2:$I$650,3,FALSE)," ",VLOOKUP(A321,Competitors!$A$2:$I$650,2,FALSE)))</f>
        <v/>
      </c>
    </row>
    <row r="322" spans="1:2">
      <c r="A322" t="str">
        <f>IF(ISNUMBER(Competitors!A322),Competitors!A322,"")</f>
        <v/>
      </c>
      <c r="B322" t="str">
        <f>IF(A322="","",CONCATENATE(VLOOKUP(A322,Competitors!$A$2:$I$650,3,FALSE)," ",VLOOKUP(A322,Competitors!$A$2:$I$650,2,FALSE)))</f>
        <v/>
      </c>
    </row>
    <row r="323" spans="1:2">
      <c r="A323" t="str">
        <f>IF(ISNUMBER(Competitors!A323),Competitors!A323,"")</f>
        <v/>
      </c>
      <c r="B323" t="str">
        <f>IF(A323="","",CONCATENATE(VLOOKUP(A323,Competitors!$A$2:$I$650,3,FALSE)," ",VLOOKUP(A323,Competitors!$A$2:$I$650,2,FALSE)))</f>
        <v/>
      </c>
    </row>
    <row r="324" spans="1:2">
      <c r="A324" t="str">
        <f>IF(ISNUMBER(Competitors!A324),Competitors!A324,"")</f>
        <v/>
      </c>
      <c r="B324" t="str">
        <f>IF(A324="","",CONCATENATE(VLOOKUP(A324,Competitors!$A$2:$I$650,3,FALSE)," ",VLOOKUP(A324,Competitors!$A$2:$I$650,2,FALSE)))</f>
        <v/>
      </c>
    </row>
    <row r="325" spans="1:2">
      <c r="A325" t="str">
        <f>IF(ISNUMBER(Competitors!A325),Competitors!A325,"")</f>
        <v/>
      </c>
      <c r="B325" t="str">
        <f>IF(A325="","",CONCATENATE(VLOOKUP(A325,Competitors!$A$2:$I$650,3,FALSE)," ",VLOOKUP(A325,Competitors!$A$2:$I$650,2,FALSE)))</f>
        <v/>
      </c>
    </row>
    <row r="326" spans="1:2">
      <c r="A326" t="str">
        <f>IF(ISNUMBER(Competitors!A326),Competitors!A326,"")</f>
        <v/>
      </c>
      <c r="B326" t="str">
        <f>IF(A326="","",CONCATENATE(VLOOKUP(A326,Competitors!$A$2:$I$650,3,FALSE)," ",VLOOKUP(A326,Competitors!$A$2:$I$650,2,FALSE)))</f>
        <v/>
      </c>
    </row>
    <row r="327" spans="1:2">
      <c r="A327" t="str">
        <f>IF(ISNUMBER(Competitors!A327),Competitors!A327,"")</f>
        <v/>
      </c>
      <c r="B327" t="str">
        <f>IF(A327="","",CONCATENATE(VLOOKUP(A327,Competitors!$A$2:$I$650,3,FALSE)," ",VLOOKUP(A327,Competitors!$A$2:$I$650,2,FALSE)))</f>
        <v/>
      </c>
    </row>
    <row r="328" spans="1:2">
      <c r="A328" t="str">
        <f>IF(ISNUMBER(Competitors!A328),Competitors!A328,"")</f>
        <v/>
      </c>
      <c r="B328" t="str">
        <f>IF(A328="","",CONCATENATE(VLOOKUP(A328,Competitors!$A$2:$I$650,3,FALSE)," ",VLOOKUP(A328,Competitors!$A$2:$I$650,2,FALSE)))</f>
        <v/>
      </c>
    </row>
    <row r="329" spans="1:2">
      <c r="A329" t="str">
        <f>IF(ISNUMBER(Competitors!A329),Competitors!A329,"")</f>
        <v/>
      </c>
      <c r="B329" t="str">
        <f>IF(A329="","",CONCATENATE(VLOOKUP(A329,Competitors!$A$2:$I$650,3,FALSE)," ",VLOOKUP(A329,Competitors!$A$2:$I$650,2,FALSE)))</f>
        <v/>
      </c>
    </row>
    <row r="330" spans="1:2">
      <c r="A330" t="str">
        <f>IF(ISNUMBER(Competitors!A330),Competitors!A330,"")</f>
        <v/>
      </c>
      <c r="B330" t="str">
        <f>IF(A330="","",CONCATENATE(VLOOKUP(A330,Competitors!$A$2:$I$650,3,FALSE)," ",VLOOKUP(A330,Competitors!$A$2:$I$650,2,FALSE)))</f>
        <v/>
      </c>
    </row>
    <row r="331" spans="1:2">
      <c r="A331" t="str">
        <f>IF(ISNUMBER(Competitors!A331),Competitors!A331,"")</f>
        <v/>
      </c>
      <c r="B331" t="str">
        <f>IF(A331="","",CONCATENATE(VLOOKUP(A331,Competitors!$A$2:$I$650,3,FALSE)," ",VLOOKUP(A331,Competitors!$A$2:$I$650,2,FALSE)))</f>
        <v/>
      </c>
    </row>
    <row r="332" spans="1:2">
      <c r="A332" t="str">
        <f>IF(ISNUMBER(Competitors!A332),Competitors!A332,"")</f>
        <v/>
      </c>
      <c r="B332" t="str">
        <f>IF(A332="","",CONCATENATE(VLOOKUP(A332,Competitors!$A$2:$I$650,3,FALSE)," ",VLOOKUP(A332,Competitors!$A$2:$I$650,2,FALSE)))</f>
        <v/>
      </c>
    </row>
    <row r="333" spans="1:2">
      <c r="A333" t="str">
        <f>IF(ISNUMBER(Competitors!A333),Competitors!A333,"")</f>
        <v/>
      </c>
      <c r="B333" t="str">
        <f>IF(A333="","",CONCATENATE(VLOOKUP(A333,Competitors!$A$2:$I$650,3,FALSE)," ",VLOOKUP(A333,Competitors!$A$2:$I$650,2,FALSE)))</f>
        <v/>
      </c>
    </row>
    <row r="334" spans="1:2">
      <c r="A334" t="str">
        <f>IF(ISNUMBER(Competitors!A334),Competitors!A334,"")</f>
        <v/>
      </c>
      <c r="B334" t="str">
        <f>IF(A334="","",CONCATENATE(VLOOKUP(A334,Competitors!$A$2:$I$650,3,FALSE)," ",VLOOKUP(A334,Competitors!$A$2:$I$650,2,FALSE)))</f>
        <v/>
      </c>
    </row>
    <row r="335" spans="1:2">
      <c r="A335" t="str">
        <f>IF(ISNUMBER(Competitors!A335),Competitors!A335,"")</f>
        <v/>
      </c>
      <c r="B335" t="str">
        <f>IF(A335="","",CONCATENATE(VLOOKUP(A335,Competitors!$A$2:$I$650,3,FALSE)," ",VLOOKUP(A335,Competitors!$A$2:$I$650,2,FALSE)))</f>
        <v/>
      </c>
    </row>
    <row r="336" spans="1:2">
      <c r="A336" t="str">
        <f>IF(ISNUMBER(Competitors!A336),Competitors!A336,"")</f>
        <v/>
      </c>
      <c r="B336" t="str">
        <f>IF(A336="","",CONCATENATE(VLOOKUP(A336,Competitors!$A$2:$I$650,3,FALSE)," ",VLOOKUP(A336,Competitors!$A$2:$I$650,2,FALSE)))</f>
        <v/>
      </c>
    </row>
    <row r="337" spans="1:2">
      <c r="A337" t="str">
        <f>IF(ISNUMBER(Competitors!A337),Competitors!A337,"")</f>
        <v/>
      </c>
      <c r="B337" t="str">
        <f>IF(A337="","",CONCATENATE(VLOOKUP(A337,Competitors!$A$2:$I$650,3,FALSE)," ",VLOOKUP(A337,Competitors!$A$2:$I$650,2,FALSE)))</f>
        <v/>
      </c>
    </row>
    <row r="338" spans="1:2">
      <c r="A338" t="str">
        <f>IF(ISNUMBER(Competitors!A338),Competitors!A338,"")</f>
        <v/>
      </c>
      <c r="B338" t="str">
        <f>IF(A338="","",CONCATENATE(VLOOKUP(A338,Competitors!$A$2:$I$650,3,FALSE)," ",VLOOKUP(A338,Competitors!$A$2:$I$650,2,FALSE)))</f>
        <v/>
      </c>
    </row>
    <row r="339" spans="1:2">
      <c r="A339" t="str">
        <f>IF(ISNUMBER(Competitors!A339),Competitors!A339,"")</f>
        <v/>
      </c>
      <c r="B339" t="str">
        <f>IF(A339="","",CONCATENATE(VLOOKUP(A339,Competitors!$A$2:$I$650,3,FALSE)," ",VLOOKUP(A339,Competitors!$A$2:$I$650,2,FALSE)))</f>
        <v/>
      </c>
    </row>
    <row r="340" spans="1:2">
      <c r="A340" t="str">
        <f>IF(ISNUMBER(Competitors!A340),Competitors!A340,"")</f>
        <v/>
      </c>
      <c r="B340" t="str">
        <f>IF(A340="","",CONCATENATE(VLOOKUP(A340,Competitors!$A$2:$I$650,3,FALSE)," ",VLOOKUP(A340,Competitors!$A$2:$I$650,2,FALSE)))</f>
        <v/>
      </c>
    </row>
    <row r="341" spans="1:2">
      <c r="A341" t="str">
        <f>IF(ISNUMBER(Competitors!A341),Competitors!A341,"")</f>
        <v/>
      </c>
      <c r="B341" t="str">
        <f>IF(A341="","",CONCATENATE(VLOOKUP(A341,Competitors!$A$2:$I$650,3,FALSE)," ",VLOOKUP(A341,Competitors!$A$2:$I$650,2,FALSE)))</f>
        <v/>
      </c>
    </row>
    <row r="342" spans="1:2">
      <c r="A342" t="str">
        <f>IF(ISNUMBER(Competitors!A342),Competitors!A342,"")</f>
        <v/>
      </c>
      <c r="B342" t="str">
        <f>IF(A342="","",CONCATENATE(VLOOKUP(A342,Competitors!$A$2:$I$650,3,FALSE)," ",VLOOKUP(A342,Competitors!$A$2:$I$650,2,FALSE)))</f>
        <v/>
      </c>
    </row>
    <row r="343" spans="1:2">
      <c r="A343" t="str">
        <f>IF(ISNUMBER(Competitors!A343),Competitors!A343,"")</f>
        <v/>
      </c>
      <c r="B343" t="str">
        <f>IF(A343="","",CONCATENATE(VLOOKUP(A343,Competitors!$A$2:$I$650,3,FALSE)," ",VLOOKUP(A343,Competitors!$A$2:$I$650,2,FALSE)))</f>
        <v/>
      </c>
    </row>
    <row r="344" spans="1:2">
      <c r="A344" t="str">
        <f>IF(ISNUMBER(Competitors!A344),Competitors!A344,"")</f>
        <v/>
      </c>
      <c r="B344" t="str">
        <f>IF(A344="","",CONCATENATE(VLOOKUP(A344,Competitors!$A$2:$I$650,3,FALSE)," ",VLOOKUP(A344,Competitors!$A$2:$I$650,2,FALSE)))</f>
        <v/>
      </c>
    </row>
    <row r="345" spans="1:2">
      <c r="A345" t="str">
        <f>IF(ISNUMBER(Competitors!A345),Competitors!A345,"")</f>
        <v/>
      </c>
      <c r="B345" t="str">
        <f>IF(A345="","",CONCATENATE(VLOOKUP(A345,Competitors!$A$2:$I$650,3,FALSE)," ",VLOOKUP(A345,Competitors!$A$2:$I$650,2,FALSE)))</f>
        <v/>
      </c>
    </row>
    <row r="346" spans="1:2">
      <c r="A346" t="str">
        <f>IF(ISNUMBER(Competitors!A346),Competitors!A346,"")</f>
        <v/>
      </c>
      <c r="B346" t="str">
        <f>IF(A346="","",CONCATENATE(VLOOKUP(A346,Competitors!$A$2:$I$650,3,FALSE)," ",VLOOKUP(A346,Competitors!$A$2:$I$650,2,FALSE)))</f>
        <v/>
      </c>
    </row>
    <row r="347" spans="1:2">
      <c r="A347" t="str">
        <f>IF(ISNUMBER(Competitors!A347),Competitors!A347,"")</f>
        <v/>
      </c>
      <c r="B347" t="str">
        <f>IF(A347="","",CONCATENATE(VLOOKUP(A347,Competitors!$A$2:$I$650,3,FALSE)," ",VLOOKUP(A347,Competitors!$A$2:$I$650,2,FALSE)))</f>
        <v/>
      </c>
    </row>
    <row r="348" spans="1:2">
      <c r="A348" t="str">
        <f>IF(ISNUMBER(Competitors!A348),Competitors!A348,"")</f>
        <v/>
      </c>
      <c r="B348" t="str">
        <f>IF(A348="","",CONCATENATE(VLOOKUP(A348,Competitors!$A$2:$I$650,3,FALSE)," ",VLOOKUP(A348,Competitors!$A$2:$I$650,2,FALSE)))</f>
        <v/>
      </c>
    </row>
    <row r="349" spans="1:2">
      <c r="A349" t="str">
        <f>IF(ISNUMBER(Competitors!A349),Competitors!A349,"")</f>
        <v/>
      </c>
      <c r="B349" t="str">
        <f>IF(A349="","",CONCATENATE(VLOOKUP(A349,Competitors!$A$2:$I$650,3,FALSE)," ",VLOOKUP(A349,Competitors!$A$2:$I$650,2,FALSE)))</f>
        <v/>
      </c>
    </row>
    <row r="350" spans="1:2">
      <c r="A350" t="str">
        <f>IF(ISNUMBER(Competitors!A350),Competitors!A350,"")</f>
        <v/>
      </c>
      <c r="B350" t="str">
        <f>IF(A350="","",CONCATENATE(VLOOKUP(A350,Competitors!$A$2:$I$650,3,FALSE)," ",VLOOKUP(A350,Competitors!$A$2:$I$650,2,FALSE)))</f>
        <v/>
      </c>
    </row>
    <row r="351" spans="1:2">
      <c r="A351" t="str">
        <f>IF(ISNUMBER(Competitors!A351),Competitors!A351,"")</f>
        <v/>
      </c>
      <c r="B351" t="str">
        <f>IF(A351="","",CONCATENATE(VLOOKUP(A351,Competitors!$A$2:$I$650,3,FALSE)," ",VLOOKUP(A351,Competitors!$A$2:$I$650,2,FALSE)))</f>
        <v/>
      </c>
    </row>
    <row r="352" spans="1:2">
      <c r="A352" t="str">
        <f>IF(ISNUMBER(Competitors!A352),Competitors!A352,"")</f>
        <v/>
      </c>
      <c r="B352" t="str">
        <f>IF(A352="","",CONCATENATE(VLOOKUP(A352,Competitors!$A$2:$I$650,3,FALSE)," ",VLOOKUP(A352,Competitors!$A$2:$I$650,2,FALSE)))</f>
        <v/>
      </c>
    </row>
    <row r="353" spans="1:2">
      <c r="A353" t="str">
        <f>IF(ISNUMBER(Competitors!A353),Competitors!A353,"")</f>
        <v/>
      </c>
      <c r="B353" t="str">
        <f>IF(A353="","",CONCATENATE(VLOOKUP(A353,Competitors!$A$2:$I$650,3,FALSE)," ",VLOOKUP(A353,Competitors!$A$2:$I$650,2,FALSE)))</f>
        <v/>
      </c>
    </row>
    <row r="354" spans="1:2">
      <c r="A354" t="str">
        <f>IF(ISNUMBER(Competitors!A354),Competitors!A354,"")</f>
        <v/>
      </c>
      <c r="B354" t="str">
        <f>IF(A354="","",CONCATENATE(VLOOKUP(A354,Competitors!$A$2:$I$650,3,FALSE)," ",VLOOKUP(A354,Competitors!$A$2:$I$650,2,FALSE)))</f>
        <v/>
      </c>
    </row>
    <row r="355" spans="1:2">
      <c r="A355" t="str">
        <f>IF(ISNUMBER(Competitors!A355),Competitors!A355,"")</f>
        <v/>
      </c>
      <c r="B355" t="str">
        <f>IF(A355="","",CONCATENATE(VLOOKUP(A355,Competitors!$A$2:$I$650,3,FALSE)," ",VLOOKUP(A355,Competitors!$A$2:$I$650,2,FALSE)))</f>
        <v/>
      </c>
    </row>
    <row r="356" spans="1:2">
      <c r="A356" t="str">
        <f>IF(ISNUMBER(Competitors!A356),Competitors!A356,"")</f>
        <v/>
      </c>
      <c r="B356" t="str">
        <f>IF(A356="","",CONCATENATE(VLOOKUP(A356,Competitors!$A$2:$I$650,3,FALSE)," ",VLOOKUP(A356,Competitors!$A$2:$I$650,2,FALSE)))</f>
        <v/>
      </c>
    </row>
    <row r="357" spans="1:2">
      <c r="A357" t="str">
        <f>IF(ISNUMBER(Competitors!A357),Competitors!A357,"")</f>
        <v/>
      </c>
      <c r="B357" t="str">
        <f>IF(A357="","",CONCATENATE(VLOOKUP(A357,Competitors!$A$2:$I$650,3,FALSE)," ",VLOOKUP(A357,Competitors!$A$2:$I$650,2,FALSE)))</f>
        <v/>
      </c>
    </row>
    <row r="358" spans="1:2">
      <c r="A358" t="str">
        <f>IF(ISNUMBER(Competitors!A358),Competitors!A358,"")</f>
        <v/>
      </c>
      <c r="B358" t="str">
        <f>IF(A358="","",CONCATENATE(VLOOKUP(A358,Competitors!$A$2:$I$650,3,FALSE)," ",VLOOKUP(A358,Competitors!$A$2:$I$650,2,FALSE)))</f>
        <v/>
      </c>
    </row>
    <row r="359" spans="1:2">
      <c r="A359" t="str">
        <f>IF(ISNUMBER(Competitors!A359),Competitors!A359,"")</f>
        <v/>
      </c>
      <c r="B359" t="str">
        <f>IF(A359="","",CONCATENATE(VLOOKUP(A359,Competitors!$A$2:$I$650,3,FALSE)," ",VLOOKUP(A359,Competitors!$A$2:$I$650,2,FALSE)))</f>
        <v/>
      </c>
    </row>
    <row r="360" spans="1:2">
      <c r="A360" t="str">
        <f>IF(ISNUMBER(Competitors!A360),Competitors!A360,"")</f>
        <v/>
      </c>
      <c r="B360" t="str">
        <f>IF(A360="","",CONCATENATE(VLOOKUP(A360,Competitors!$A$2:$I$650,3,FALSE)," ",VLOOKUP(A360,Competitors!$A$2:$I$650,2,FALSE)))</f>
        <v/>
      </c>
    </row>
    <row r="361" spans="1:2">
      <c r="A361" t="str">
        <f>IF(ISNUMBER(Competitors!A361),Competitors!A361,"")</f>
        <v/>
      </c>
      <c r="B361" t="str">
        <f>IF(A361="","",CONCATENATE(VLOOKUP(A361,Competitors!$A$2:$I$650,3,FALSE)," ",VLOOKUP(A361,Competitors!$A$2:$I$650,2,FALSE)))</f>
        <v/>
      </c>
    </row>
    <row r="362" spans="1:2">
      <c r="A362" t="str">
        <f>IF(ISNUMBER(Competitors!A362),Competitors!A362,"")</f>
        <v/>
      </c>
      <c r="B362" t="str">
        <f>IF(A362="","",CONCATENATE(VLOOKUP(A362,Competitors!$A$2:$I$650,3,FALSE)," ",VLOOKUP(A362,Competitors!$A$2:$I$650,2,FALSE)))</f>
        <v/>
      </c>
    </row>
    <row r="363" spans="1:2">
      <c r="A363" t="str">
        <f>IF(ISNUMBER(Competitors!A363),Competitors!A363,"")</f>
        <v/>
      </c>
      <c r="B363" t="str">
        <f>IF(A363="","",CONCATENATE(VLOOKUP(A363,Competitors!$A$2:$I$650,3,FALSE)," ",VLOOKUP(A363,Competitors!$A$2:$I$650,2,FALSE)))</f>
        <v/>
      </c>
    </row>
    <row r="364" spans="1:2">
      <c r="A364" t="str">
        <f>IF(ISNUMBER(Competitors!A364),Competitors!A364,"")</f>
        <v/>
      </c>
      <c r="B364" t="str">
        <f>IF(A364="","",CONCATENATE(VLOOKUP(A364,Competitors!$A$2:$I$650,3,FALSE)," ",VLOOKUP(A364,Competitors!$A$2:$I$650,2,FALSE)))</f>
        <v/>
      </c>
    </row>
    <row r="365" spans="1:2">
      <c r="A365" t="str">
        <f>IF(ISNUMBER(Competitors!A365),Competitors!A365,"")</f>
        <v/>
      </c>
      <c r="B365" t="str">
        <f>IF(A365="","",CONCATENATE(VLOOKUP(A365,Competitors!$A$2:$I$650,3,FALSE)," ",VLOOKUP(A365,Competitors!$A$2:$I$650,2,FALSE)))</f>
        <v/>
      </c>
    </row>
    <row r="366" spans="1:2">
      <c r="A366" t="str">
        <f>IF(ISNUMBER(Competitors!A366),Competitors!A366,"")</f>
        <v/>
      </c>
      <c r="B366" t="str">
        <f>IF(A366="","",CONCATENATE(VLOOKUP(A366,Competitors!$A$2:$I$650,3,FALSE)," ",VLOOKUP(A366,Competitors!$A$2:$I$650,2,FALSE)))</f>
        <v/>
      </c>
    </row>
    <row r="367" spans="1:2">
      <c r="A367" t="str">
        <f>IF(ISNUMBER(Competitors!A367),Competitors!A367,"")</f>
        <v/>
      </c>
      <c r="B367" t="str">
        <f>IF(A367="","",CONCATENATE(VLOOKUP(A367,Competitors!$A$2:$I$650,3,FALSE)," ",VLOOKUP(A367,Competitors!$A$2:$I$650,2,FALSE)))</f>
        <v/>
      </c>
    </row>
    <row r="368" spans="1:2">
      <c r="A368" t="str">
        <f>IF(ISNUMBER(Competitors!A368),Competitors!A368,"")</f>
        <v/>
      </c>
      <c r="B368" t="str">
        <f>IF(A368="","",CONCATENATE(VLOOKUP(A368,Competitors!$A$2:$I$650,3,FALSE)," ",VLOOKUP(A368,Competitors!$A$2:$I$650,2,FALSE)))</f>
        <v/>
      </c>
    </row>
    <row r="369" spans="1:2">
      <c r="A369" t="str">
        <f>IF(ISNUMBER(Competitors!A369),Competitors!A369,"")</f>
        <v/>
      </c>
      <c r="B369" t="str">
        <f>IF(A369="","",CONCATENATE(VLOOKUP(A369,Competitors!$A$2:$I$650,3,FALSE)," ",VLOOKUP(A369,Competitors!$A$2:$I$650,2,FALSE)))</f>
        <v/>
      </c>
    </row>
    <row r="370" spans="1:2">
      <c r="A370" t="str">
        <f>IF(ISNUMBER(Competitors!A370),Competitors!A370,"")</f>
        <v/>
      </c>
      <c r="B370" t="str">
        <f>IF(A370="","",CONCATENATE(VLOOKUP(A370,Competitors!$A$2:$I$650,3,FALSE)," ",VLOOKUP(A370,Competitors!$A$2:$I$650,2,FALSE)))</f>
        <v/>
      </c>
    </row>
    <row r="371" spans="1:2">
      <c r="A371" t="str">
        <f>IF(ISNUMBER(Competitors!A371),Competitors!A371,"")</f>
        <v/>
      </c>
      <c r="B371" t="str">
        <f>IF(A371="","",CONCATENATE(VLOOKUP(A371,Competitors!$A$2:$I$650,3,FALSE)," ",VLOOKUP(A371,Competitors!$A$2:$I$650,2,FALSE)))</f>
        <v/>
      </c>
    </row>
    <row r="372" spans="1:2">
      <c r="A372" t="str">
        <f>IF(ISNUMBER(Competitors!A372),Competitors!A372,"")</f>
        <v/>
      </c>
      <c r="B372" t="str">
        <f>IF(A372="","",CONCATENATE(VLOOKUP(A372,Competitors!$A$2:$I$650,3,FALSE)," ",VLOOKUP(A372,Competitors!$A$2:$I$650,2,FALSE)))</f>
        <v/>
      </c>
    </row>
    <row r="373" spans="1:2">
      <c r="A373" t="str">
        <f>IF(ISNUMBER(Competitors!A373),Competitors!A373,"")</f>
        <v/>
      </c>
      <c r="B373" t="str">
        <f>IF(A373="","",CONCATENATE(VLOOKUP(A373,Competitors!$A$2:$I$650,3,FALSE)," ",VLOOKUP(A373,Competitors!$A$2:$I$650,2,FALSE)))</f>
        <v/>
      </c>
    </row>
    <row r="374" spans="1:2">
      <c r="A374" t="str">
        <f>IF(ISNUMBER(Competitors!A374),Competitors!A374,"")</f>
        <v/>
      </c>
      <c r="B374" t="str">
        <f>IF(A374="","",CONCATENATE(VLOOKUP(A374,Competitors!$A$2:$I$650,3,FALSE)," ",VLOOKUP(A374,Competitors!$A$2:$I$650,2,FALSE)))</f>
        <v/>
      </c>
    </row>
    <row r="375" spans="1:2">
      <c r="A375" t="str">
        <f>IF(ISNUMBER(Competitors!A375),Competitors!A375,"")</f>
        <v/>
      </c>
      <c r="B375" t="str">
        <f>IF(A375="","",CONCATENATE(VLOOKUP(A375,Competitors!$A$2:$I$650,3,FALSE)," ",VLOOKUP(A375,Competitors!$A$2:$I$650,2,FALSE)))</f>
        <v/>
      </c>
    </row>
    <row r="376" spans="1:2">
      <c r="A376" t="str">
        <f>IF(ISNUMBER(Competitors!A376),Competitors!A376,"")</f>
        <v/>
      </c>
      <c r="B376" t="str">
        <f>IF(A376="","",CONCATENATE(VLOOKUP(A376,Competitors!$A$2:$I$650,3,FALSE)," ",VLOOKUP(A376,Competitors!$A$2:$I$650,2,FALSE)))</f>
        <v/>
      </c>
    </row>
    <row r="377" spans="1:2">
      <c r="A377" t="str">
        <f>IF(ISNUMBER(Competitors!A377),Competitors!A377,"")</f>
        <v/>
      </c>
      <c r="B377" t="str">
        <f>IF(A377="","",CONCATENATE(VLOOKUP(A377,Competitors!$A$2:$I$650,3,FALSE)," ",VLOOKUP(A377,Competitors!$A$2:$I$650,2,FALSE)))</f>
        <v/>
      </c>
    </row>
    <row r="378" spans="1:2">
      <c r="A378" t="str">
        <f>IF(ISNUMBER(Competitors!A378),Competitors!A378,"")</f>
        <v/>
      </c>
      <c r="B378" t="str">
        <f>IF(A378="","",CONCATENATE(VLOOKUP(A378,Competitors!$A$2:$I$650,3,FALSE)," ",VLOOKUP(A378,Competitors!$A$2:$I$650,2,FALSE)))</f>
        <v/>
      </c>
    </row>
    <row r="379" spans="1:2">
      <c r="A379" t="str">
        <f>IF(ISNUMBER(Competitors!A379),Competitors!A379,"")</f>
        <v/>
      </c>
      <c r="B379" t="str">
        <f>IF(A379="","",CONCATENATE(VLOOKUP(A379,Competitors!$A$2:$I$650,3,FALSE)," ",VLOOKUP(A379,Competitors!$A$2:$I$650,2,FALSE)))</f>
        <v/>
      </c>
    </row>
    <row r="380" spans="1:2">
      <c r="A380" t="str">
        <f>IF(ISNUMBER(Competitors!A380),Competitors!A380,"")</f>
        <v/>
      </c>
      <c r="B380" t="str">
        <f>IF(A380="","",CONCATENATE(VLOOKUP(A380,Competitors!$A$2:$I$650,3,FALSE)," ",VLOOKUP(A380,Competitors!$A$2:$I$650,2,FALSE)))</f>
        <v/>
      </c>
    </row>
    <row r="381" spans="1:2">
      <c r="A381" t="str">
        <f>IF(ISNUMBER(Competitors!A381),Competitors!A381,"")</f>
        <v/>
      </c>
      <c r="B381" t="str">
        <f>IF(A381="","",CONCATENATE(VLOOKUP(A381,Competitors!$A$2:$I$650,3,FALSE)," ",VLOOKUP(A381,Competitors!$A$2:$I$650,2,FALSE)))</f>
        <v/>
      </c>
    </row>
    <row r="382" spans="1:2">
      <c r="A382" t="str">
        <f>IF(ISNUMBER(Competitors!A382),Competitors!A382,"")</f>
        <v/>
      </c>
      <c r="B382" t="str">
        <f>IF(A382="","",CONCATENATE(VLOOKUP(A382,Competitors!$A$2:$I$650,3,FALSE)," ",VLOOKUP(A382,Competitors!$A$2:$I$650,2,FALSE)))</f>
        <v/>
      </c>
    </row>
    <row r="383" spans="1:2">
      <c r="A383" t="str">
        <f>IF(ISNUMBER(Competitors!A383),Competitors!A383,"")</f>
        <v/>
      </c>
      <c r="B383" t="str">
        <f>IF(A383="","",CONCATENATE(VLOOKUP(A383,Competitors!$A$2:$I$650,3,FALSE)," ",VLOOKUP(A383,Competitors!$A$2:$I$650,2,FALSE)))</f>
        <v/>
      </c>
    </row>
    <row r="384" spans="1:2">
      <c r="A384" t="str">
        <f>IF(ISNUMBER(Competitors!A384),Competitors!A384,"")</f>
        <v/>
      </c>
      <c r="B384" t="str">
        <f>IF(A384="","",CONCATENATE(VLOOKUP(A384,Competitors!$A$2:$I$650,3,FALSE)," ",VLOOKUP(A384,Competitors!$A$2:$I$650,2,FALSE)))</f>
        <v/>
      </c>
    </row>
    <row r="385" spans="1:2">
      <c r="A385" t="str">
        <f>IF(ISNUMBER(Competitors!A385),Competitors!A385,"")</f>
        <v/>
      </c>
      <c r="B385" t="str">
        <f>IF(A385="","",CONCATENATE(VLOOKUP(A385,Competitors!$A$2:$I$650,3,FALSE)," ",VLOOKUP(A385,Competitors!$A$2:$I$650,2,FALSE)))</f>
        <v/>
      </c>
    </row>
    <row r="386" spans="1:2">
      <c r="A386" t="str">
        <f>IF(ISNUMBER(Competitors!A386),Competitors!A386,"")</f>
        <v/>
      </c>
      <c r="B386" t="str">
        <f>IF(A386="","",CONCATENATE(VLOOKUP(A386,Competitors!$A$2:$I$650,3,FALSE)," ",VLOOKUP(A386,Competitors!$A$2:$I$650,2,FALSE)))</f>
        <v/>
      </c>
    </row>
    <row r="387" spans="1:2">
      <c r="A387" t="str">
        <f>IF(ISNUMBER(Competitors!A387),Competitors!A387,"")</f>
        <v/>
      </c>
      <c r="B387" t="str">
        <f>IF(A387="","",CONCATENATE(VLOOKUP(A387,Competitors!$A$2:$I$650,3,FALSE)," ",VLOOKUP(A387,Competitors!$A$2:$I$650,2,FALSE)))</f>
        <v/>
      </c>
    </row>
    <row r="388" spans="1:2">
      <c r="A388" t="str">
        <f>IF(ISNUMBER(Competitors!A388),Competitors!A388,"")</f>
        <v/>
      </c>
      <c r="B388" t="str">
        <f>IF(A388="","",CONCATENATE(VLOOKUP(A388,Competitors!$A$2:$I$650,3,FALSE)," ",VLOOKUP(A388,Competitors!$A$2:$I$650,2,FALSE)))</f>
        <v/>
      </c>
    </row>
    <row r="389" spans="1:2">
      <c r="A389" t="str">
        <f>IF(ISNUMBER(Competitors!A389),Competitors!A389,"")</f>
        <v/>
      </c>
      <c r="B389" t="str">
        <f>IF(A389="","",CONCATENATE(VLOOKUP(A389,Competitors!$A$2:$I$650,3,FALSE)," ",VLOOKUP(A389,Competitors!$A$2:$I$650,2,FALSE)))</f>
        <v/>
      </c>
    </row>
    <row r="390" spans="1:2">
      <c r="A390" t="str">
        <f>IF(ISNUMBER(Competitors!A390),Competitors!A390,"")</f>
        <v/>
      </c>
      <c r="B390" t="str">
        <f>IF(A390="","",CONCATENATE(VLOOKUP(A390,Competitors!$A$2:$I$650,3,FALSE)," ",VLOOKUP(A390,Competitors!$A$2:$I$650,2,FALSE)))</f>
        <v/>
      </c>
    </row>
    <row r="391" spans="1:2">
      <c r="A391" t="str">
        <f>IF(ISNUMBER(Competitors!A391),Competitors!A391,"")</f>
        <v/>
      </c>
      <c r="B391" t="str">
        <f>IF(A391="","",CONCATENATE(VLOOKUP(A391,Competitors!$A$2:$I$650,3,FALSE)," ",VLOOKUP(A391,Competitors!$A$2:$I$650,2,FALSE)))</f>
        <v/>
      </c>
    </row>
    <row r="392" spans="1:2">
      <c r="A392" t="str">
        <f>IF(ISNUMBER(Competitors!A392),Competitors!A392,"")</f>
        <v/>
      </c>
      <c r="B392" t="str">
        <f>IF(A392="","",CONCATENATE(VLOOKUP(A392,Competitors!$A$2:$I$650,3,FALSE)," ",VLOOKUP(A392,Competitors!$A$2:$I$650,2,FALSE)))</f>
        <v/>
      </c>
    </row>
    <row r="393" spans="1:2">
      <c r="A393" t="str">
        <f>IF(ISNUMBER(Competitors!A393),Competitors!A393,"")</f>
        <v/>
      </c>
      <c r="B393" t="str">
        <f>IF(A393="","",CONCATENATE(VLOOKUP(A393,Competitors!$A$2:$I$650,3,FALSE)," ",VLOOKUP(A393,Competitors!$A$2:$I$650,2,FALSE)))</f>
        <v/>
      </c>
    </row>
    <row r="394" spans="1:2">
      <c r="A394" t="str">
        <f>IF(ISNUMBER(Competitors!A394),Competitors!A394,"")</f>
        <v/>
      </c>
      <c r="B394" t="str">
        <f>IF(A394="","",CONCATENATE(VLOOKUP(A394,Competitors!$A$2:$I$650,3,FALSE)," ",VLOOKUP(A394,Competitors!$A$2:$I$650,2,FALSE)))</f>
        <v/>
      </c>
    </row>
    <row r="395" spans="1:2">
      <c r="A395" t="str">
        <f>IF(ISNUMBER(Competitors!A395),Competitors!A395,"")</f>
        <v/>
      </c>
      <c r="B395" t="str">
        <f>IF(A395="","",CONCATENATE(VLOOKUP(A395,Competitors!$A$2:$I$650,3,FALSE)," ",VLOOKUP(A395,Competitors!$A$2:$I$650,2,FALSE)))</f>
        <v/>
      </c>
    </row>
    <row r="396" spans="1:2">
      <c r="A396" t="str">
        <f>IF(ISNUMBER(Competitors!A396),Competitors!A396,"")</f>
        <v/>
      </c>
      <c r="B396" t="str">
        <f>IF(A396="","",CONCATENATE(VLOOKUP(A396,Competitors!$A$2:$I$650,3,FALSE)," ",VLOOKUP(A396,Competitors!$A$2:$I$650,2,FALSE)))</f>
        <v/>
      </c>
    </row>
    <row r="397" spans="1:2">
      <c r="A397" t="str">
        <f>IF(ISNUMBER(Competitors!A397),Competitors!A397,"")</f>
        <v/>
      </c>
      <c r="B397" t="str">
        <f>IF(A397="","",CONCATENATE(VLOOKUP(A397,Competitors!$A$2:$I$650,3,FALSE)," ",VLOOKUP(A397,Competitors!$A$2:$I$650,2,FALSE)))</f>
        <v/>
      </c>
    </row>
    <row r="398" spans="1:2">
      <c r="A398" t="str">
        <f>IF(ISNUMBER(Competitors!A398),Competitors!A398,"")</f>
        <v/>
      </c>
      <c r="B398" t="str">
        <f>IF(A398="","",CONCATENATE(VLOOKUP(A398,Competitors!$A$2:$I$650,3,FALSE)," ",VLOOKUP(A398,Competitors!$A$2:$I$650,2,FALSE)))</f>
        <v/>
      </c>
    </row>
    <row r="399" spans="1:2">
      <c r="A399" t="str">
        <f>IF(ISNUMBER(Competitors!A399),Competitors!A399,"")</f>
        <v/>
      </c>
      <c r="B399" t="str">
        <f>IF(A399="","",CONCATENATE(VLOOKUP(A399,Competitors!$A$2:$I$650,3,FALSE)," ",VLOOKUP(A399,Competitors!$A$2:$I$650,2,FALSE)))</f>
        <v/>
      </c>
    </row>
    <row r="400" spans="1:2">
      <c r="A400" t="str">
        <f>IF(ISNUMBER(Competitors!A400),Competitors!A400,"")</f>
        <v/>
      </c>
      <c r="B400" t="str">
        <f>IF(A400="","",CONCATENATE(VLOOKUP(A400,Competitors!$A$2:$I$650,3,FALSE)," ",VLOOKUP(A400,Competitors!$A$2:$I$650,2,FALSE)))</f>
        <v/>
      </c>
    </row>
    <row r="401" spans="1:2">
      <c r="A401" t="str">
        <f>IF(ISNUMBER(Competitors!A401),Competitors!A401,"")</f>
        <v/>
      </c>
      <c r="B401" t="str">
        <f>IF(A401="","",CONCATENATE(VLOOKUP(A401,Competitors!$A$2:$I$650,3,FALSE)," ",VLOOKUP(A401,Competitors!$A$2:$I$650,2,FALSE)))</f>
        <v/>
      </c>
    </row>
    <row r="402" spans="1:2">
      <c r="A402" t="str">
        <f>IF(ISNUMBER(Competitors!A402),Competitors!A402,"")</f>
        <v/>
      </c>
      <c r="B402" t="str">
        <f>IF(A402="","",CONCATENATE(VLOOKUP(A402,Competitors!$A$2:$I$650,3,FALSE)," ",VLOOKUP(A402,Competitors!$A$2:$I$650,2,FALSE)))</f>
        <v/>
      </c>
    </row>
  </sheetData>
  <pageMargins left="0.70866141732283472" right="0.70866141732283472" top="0.74803149606299213" bottom="0.74803149606299213" header="0.31496062992125984" footer="0.31496062992125984"/>
  <pageSetup paperSize="9" orientation="portrai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
    <pageSetUpPr fitToPage="1"/>
  </sheetPr>
  <dimension ref="A1:Q28"/>
  <sheetViews>
    <sheetView workbookViewId="0">
      <selection activeCell="G30" sqref="G30"/>
    </sheetView>
    <sheetView workbookViewId="1"/>
  </sheetViews>
  <sheetFormatPr defaultColWidth="9.1328125" defaultRowHeight="12.75"/>
  <cols>
    <col min="1" max="1" width="13.33203125" style="19" bestFit="1" customWidth="1"/>
    <col min="2" max="2" width="14.1328125" style="19" customWidth="1"/>
    <col min="3" max="3" width="12.19921875" style="20" customWidth="1"/>
    <col min="4" max="4" width="31.53125" style="18" customWidth="1"/>
    <col min="5" max="5" width="7" style="18" customWidth="1"/>
    <col min="6" max="6" width="7.86328125" style="19" customWidth="1"/>
    <col min="7" max="7" width="19.6640625" style="18" bestFit="1" customWidth="1"/>
    <col min="8" max="8" width="9.46484375" style="18" bestFit="1" customWidth="1"/>
    <col min="9" max="11" width="9.1328125" style="18"/>
    <col min="12" max="12" width="12.53125" style="18" customWidth="1"/>
    <col min="13" max="14" width="9.1328125" style="18"/>
    <col min="15" max="15" width="13.1328125" style="18" bestFit="1" customWidth="1"/>
    <col min="16" max="16" width="10.86328125" style="18" bestFit="1" customWidth="1"/>
    <col min="17" max="16384" width="9.1328125" style="18"/>
  </cols>
  <sheetData>
    <row r="1" spans="1:17" s="21" customFormat="1" ht="39.4">
      <c r="A1" s="22" t="s">
        <v>356</v>
      </c>
      <c r="B1" s="23" t="s">
        <v>357</v>
      </c>
      <c r="C1" s="24" t="s">
        <v>358</v>
      </c>
      <c r="D1" s="21" t="s">
        <v>359</v>
      </c>
      <c r="E1" s="25" t="s">
        <v>360</v>
      </c>
      <c r="F1" s="23" t="s">
        <v>228</v>
      </c>
      <c r="G1" s="21" t="s">
        <v>361</v>
      </c>
      <c r="H1" s="21" t="s">
        <v>362</v>
      </c>
      <c r="I1" s="25" t="s">
        <v>363</v>
      </c>
      <c r="J1" s="25" t="s">
        <v>364</v>
      </c>
      <c r="K1" s="25" t="s">
        <v>365</v>
      </c>
      <c r="L1" s="25" t="s">
        <v>729</v>
      </c>
      <c r="M1" s="25" t="s">
        <v>366</v>
      </c>
      <c r="N1" s="25" t="s">
        <v>367</v>
      </c>
      <c r="O1" s="21" t="s">
        <v>368</v>
      </c>
      <c r="P1" s="26" t="s">
        <v>369</v>
      </c>
      <c r="Q1" s="21" t="s">
        <v>594</v>
      </c>
    </row>
    <row r="2" spans="1:17">
      <c r="A2" s="27">
        <v>1</v>
      </c>
      <c r="B2" s="28">
        <v>46103</v>
      </c>
      <c r="C2" s="29">
        <v>0.41666666666666669</v>
      </c>
      <c r="D2" t="s">
        <v>370</v>
      </c>
      <c r="E2"/>
      <c r="F2">
        <v>9.5</v>
      </c>
      <c r="G2" t="s">
        <v>371</v>
      </c>
      <c r="H2" t="str">
        <f t="shared" ref="H2:H28" si="0">IF($B2="","",IF(ISNUMBER(SEARCH("Hillclimb",$D2)),"Y",""))</f>
        <v/>
      </c>
      <c r="I2" s="30" t="s">
        <v>372</v>
      </c>
      <c r="J2" s="30" t="str">
        <f t="shared" ref="J2:J27" si="1">IF($B2="","",IF(AND(NOT(_xlfn.ISFORMULA($F2)),$F2=10),"","Y"))</f>
        <v>Y</v>
      </c>
      <c r="K2" s="30" t="str">
        <f t="shared" ref="K2:K28" si="2">IF($B2="","",IF(AND(NOT(_xlfn.ISFORMULA($F2)),$F2=10),"Y",""))</f>
        <v/>
      </c>
      <c r="L2" s="30" t="s">
        <v>593</v>
      </c>
      <c r="M2" s="30" t="str">
        <f t="shared" ref="M2:N28" si="3">IF($B2="","",IF(ISNUMBER(SEARCH("Hardride",$D2)),"Y",""))</f>
        <v>Y</v>
      </c>
      <c r="N2" s="30"/>
      <c r="O2" t="str">
        <f t="shared" ref="O2:O28" si="4">"Event_" &amp; TEXT(A2,"00")</f>
        <v>Event_01</v>
      </c>
      <c r="P2" s="30"/>
      <c r="Q2" s="30"/>
    </row>
    <row r="3" spans="1:17">
      <c r="A3" s="27">
        <f t="shared" ref="A3:A28" si="5">A2+1</f>
        <v>2</v>
      </c>
      <c r="B3" s="28">
        <v>46110</v>
      </c>
      <c r="C3" s="29">
        <v>0.41666666666666669</v>
      </c>
      <c r="D3" t="s">
        <v>373</v>
      </c>
      <c r="E3"/>
      <c r="F3">
        <v>19.5</v>
      </c>
      <c r="G3" t="s">
        <v>371</v>
      </c>
      <c r="H3" t="str">
        <f t="shared" si="0"/>
        <v/>
      </c>
      <c r="I3" s="30" t="s">
        <v>372</v>
      </c>
      <c r="J3" s="30" t="str">
        <f t="shared" si="1"/>
        <v>Y</v>
      </c>
      <c r="K3" s="30" t="str">
        <f t="shared" si="2"/>
        <v/>
      </c>
      <c r="L3" s="30" t="s">
        <v>593</v>
      </c>
      <c r="M3" s="30" t="str">
        <f t="shared" si="3"/>
        <v>Y</v>
      </c>
      <c r="N3" s="30"/>
      <c r="O3" t="str">
        <f t="shared" si="4"/>
        <v>Event_02</v>
      </c>
      <c r="P3" s="30"/>
      <c r="Q3" s="30"/>
    </row>
    <row r="4" spans="1:17">
      <c r="A4" s="27">
        <f t="shared" si="5"/>
        <v>3</v>
      </c>
      <c r="B4" s="28">
        <v>46119</v>
      </c>
      <c r="C4" s="29">
        <v>0.77083333333333337</v>
      </c>
      <c r="D4" t="s">
        <v>374</v>
      </c>
      <c r="E4"/>
      <c r="F4">
        <v>10</v>
      </c>
      <c r="G4" t="s">
        <v>375</v>
      </c>
      <c r="H4" t="str">
        <f t="shared" si="0"/>
        <v/>
      </c>
      <c r="I4" s="30" t="s">
        <v>372</v>
      </c>
      <c r="J4" s="30" t="str">
        <f t="shared" si="1"/>
        <v/>
      </c>
      <c r="K4" s="30" t="str">
        <f t="shared" si="2"/>
        <v>Y</v>
      </c>
      <c r="L4" s="30" t="s">
        <v>593</v>
      </c>
      <c r="M4" s="30" t="str">
        <f t="shared" si="3"/>
        <v/>
      </c>
      <c r="N4" s="30" t="str">
        <f t="shared" si="3"/>
        <v/>
      </c>
      <c r="O4" t="str">
        <f t="shared" si="4"/>
        <v>Event_03</v>
      </c>
      <c r="P4" s="30"/>
      <c r="Q4" s="30"/>
    </row>
    <row r="5" spans="1:17">
      <c r="A5" s="27">
        <f t="shared" si="5"/>
        <v>4</v>
      </c>
      <c r="B5" s="28">
        <v>46126</v>
      </c>
      <c r="C5" s="29">
        <v>0.77083333333333337</v>
      </c>
      <c r="D5" t="s">
        <v>374</v>
      </c>
      <c r="E5"/>
      <c r="F5">
        <v>10</v>
      </c>
      <c r="G5" t="s">
        <v>375</v>
      </c>
      <c r="H5" t="str">
        <f t="shared" si="0"/>
        <v/>
      </c>
      <c r="I5" s="30" t="s">
        <v>372</v>
      </c>
      <c r="J5" s="30" t="str">
        <f t="shared" si="1"/>
        <v/>
      </c>
      <c r="K5" s="30" t="str">
        <f t="shared" si="2"/>
        <v>Y</v>
      </c>
      <c r="L5" s="30" t="s">
        <v>593</v>
      </c>
      <c r="M5" s="30" t="str">
        <f t="shared" si="3"/>
        <v/>
      </c>
      <c r="N5" s="30" t="str">
        <f t="shared" si="3"/>
        <v/>
      </c>
      <c r="O5" t="str">
        <f t="shared" si="4"/>
        <v>Event_04</v>
      </c>
      <c r="P5" s="30"/>
      <c r="Q5" s="30"/>
    </row>
    <row r="6" spans="1:17">
      <c r="A6" s="27">
        <f t="shared" si="5"/>
        <v>5</v>
      </c>
      <c r="B6" s="28">
        <v>46133</v>
      </c>
      <c r="C6" s="29">
        <v>0.77083333333333337</v>
      </c>
      <c r="D6" t="s">
        <v>376</v>
      </c>
      <c r="E6"/>
      <c r="F6">
        <v>10</v>
      </c>
      <c r="G6" t="s">
        <v>377</v>
      </c>
      <c r="H6" t="str">
        <f t="shared" si="0"/>
        <v/>
      </c>
      <c r="I6" s="30" t="s">
        <v>372</v>
      </c>
      <c r="J6" s="30" t="str">
        <f t="shared" si="1"/>
        <v/>
      </c>
      <c r="K6" s="30" t="str">
        <f t="shared" si="2"/>
        <v>Y</v>
      </c>
      <c r="L6" s="30" t="s">
        <v>593</v>
      </c>
      <c r="M6" s="30" t="str">
        <f t="shared" si="3"/>
        <v/>
      </c>
      <c r="N6" s="30" t="str">
        <f t="shared" si="3"/>
        <v/>
      </c>
      <c r="O6" t="str">
        <f t="shared" si="4"/>
        <v>Event_05</v>
      </c>
      <c r="P6" s="30"/>
      <c r="Q6" s="30"/>
    </row>
    <row r="7" spans="1:17">
      <c r="A7" s="27">
        <f t="shared" si="5"/>
        <v>6</v>
      </c>
      <c r="B7" s="28">
        <v>46145</v>
      </c>
      <c r="C7" s="29">
        <v>0.33333333333333331</v>
      </c>
      <c r="D7" t="s">
        <v>378</v>
      </c>
      <c r="E7"/>
      <c r="F7">
        <v>25</v>
      </c>
      <c r="G7" t="s">
        <v>379</v>
      </c>
      <c r="H7" t="str">
        <f t="shared" si="0"/>
        <v/>
      </c>
      <c r="I7" s="30" t="s">
        <v>372</v>
      </c>
      <c r="J7" s="30" t="str">
        <f t="shared" si="1"/>
        <v>Y</v>
      </c>
      <c r="K7" s="30" t="str">
        <f t="shared" si="2"/>
        <v/>
      </c>
      <c r="L7" s="30" t="s">
        <v>593</v>
      </c>
      <c r="M7" s="30" t="str">
        <f t="shared" si="3"/>
        <v/>
      </c>
      <c r="N7" s="30" t="str">
        <f t="shared" si="3"/>
        <v/>
      </c>
      <c r="O7" t="str">
        <f t="shared" si="4"/>
        <v>Event_06</v>
      </c>
      <c r="P7" s="30"/>
      <c r="Q7" s="30"/>
    </row>
    <row r="8" spans="1:17">
      <c r="A8" s="27">
        <f t="shared" si="5"/>
        <v>7</v>
      </c>
      <c r="B8" s="28">
        <v>46147</v>
      </c>
      <c r="C8" s="29">
        <v>0.77083333333333337</v>
      </c>
      <c r="D8" t="s">
        <v>380</v>
      </c>
      <c r="E8"/>
      <c r="F8" s="31">
        <f>5+5</f>
        <v>10</v>
      </c>
      <c r="G8" t="s">
        <v>381</v>
      </c>
      <c r="H8" t="str">
        <f t="shared" si="0"/>
        <v/>
      </c>
      <c r="I8" s="30" t="s">
        <v>372</v>
      </c>
      <c r="J8" s="30" t="str">
        <f t="shared" si="1"/>
        <v>Y</v>
      </c>
      <c r="K8" s="30" t="str">
        <f t="shared" si="2"/>
        <v/>
      </c>
      <c r="L8" s="30" t="s">
        <v>593</v>
      </c>
      <c r="M8" s="30" t="str">
        <f t="shared" si="3"/>
        <v/>
      </c>
      <c r="N8" s="30" t="str">
        <f t="shared" si="3"/>
        <v/>
      </c>
      <c r="O8" t="str">
        <f t="shared" si="4"/>
        <v>Event_07</v>
      </c>
      <c r="P8" s="30"/>
      <c r="Q8" s="30"/>
    </row>
    <row r="9" spans="1:17">
      <c r="A9" s="27">
        <f t="shared" si="5"/>
        <v>8</v>
      </c>
      <c r="B9" s="28">
        <v>46161</v>
      </c>
      <c r="C9" s="29">
        <v>0.79166666666666663</v>
      </c>
      <c r="D9" t="s">
        <v>374</v>
      </c>
      <c r="E9"/>
      <c r="F9">
        <v>10</v>
      </c>
      <c r="G9" t="s">
        <v>375</v>
      </c>
      <c r="H9" t="str">
        <f t="shared" si="0"/>
        <v/>
      </c>
      <c r="I9" s="30" t="s">
        <v>372</v>
      </c>
      <c r="J9" s="30" t="str">
        <f t="shared" si="1"/>
        <v/>
      </c>
      <c r="K9" s="30" t="str">
        <f t="shared" si="2"/>
        <v>Y</v>
      </c>
      <c r="L9" s="30" t="s">
        <v>593</v>
      </c>
      <c r="M9" s="30" t="str">
        <f t="shared" si="3"/>
        <v/>
      </c>
      <c r="N9" s="30" t="str">
        <f t="shared" si="3"/>
        <v/>
      </c>
      <c r="O9" t="str">
        <f t="shared" si="4"/>
        <v>Event_08</v>
      </c>
      <c r="P9" s="30"/>
      <c r="Q9" s="30"/>
    </row>
    <row r="10" spans="1:17">
      <c r="A10" s="27">
        <f t="shared" si="5"/>
        <v>9</v>
      </c>
      <c r="B10" s="28">
        <v>46166</v>
      </c>
      <c r="C10" s="29">
        <v>0.33333333333333331</v>
      </c>
      <c r="D10" t="s">
        <v>378</v>
      </c>
      <c r="E10"/>
      <c r="F10">
        <v>25</v>
      </c>
      <c r="G10" t="s">
        <v>379</v>
      </c>
      <c r="H10" t="str">
        <f t="shared" si="0"/>
        <v/>
      </c>
      <c r="I10" s="30" t="s">
        <v>372</v>
      </c>
      <c r="J10" s="30" t="str">
        <f t="shared" si="1"/>
        <v>Y</v>
      </c>
      <c r="K10" s="30" t="str">
        <f t="shared" si="2"/>
        <v/>
      </c>
      <c r="L10" s="30" t="s">
        <v>593</v>
      </c>
      <c r="M10" s="30" t="str">
        <f t="shared" si="3"/>
        <v/>
      </c>
      <c r="N10" s="30" t="str">
        <f t="shared" si="3"/>
        <v/>
      </c>
      <c r="O10" t="str">
        <f t="shared" si="4"/>
        <v>Event_09</v>
      </c>
      <c r="P10" s="30"/>
      <c r="Q10" s="30"/>
    </row>
    <row r="11" spans="1:17">
      <c r="A11" s="27">
        <f t="shared" si="5"/>
        <v>10</v>
      </c>
      <c r="B11" s="28">
        <v>46175</v>
      </c>
      <c r="C11" s="29">
        <v>0.8125</v>
      </c>
      <c r="D11" t="s">
        <v>382</v>
      </c>
      <c r="E11"/>
      <c r="F11">
        <v>10</v>
      </c>
      <c r="G11" t="s">
        <v>379</v>
      </c>
      <c r="H11" t="str">
        <f t="shared" si="0"/>
        <v/>
      </c>
      <c r="I11" s="30" t="s">
        <v>372</v>
      </c>
      <c r="J11" s="30" t="str">
        <f t="shared" si="1"/>
        <v/>
      </c>
      <c r="K11" s="30" t="str">
        <f t="shared" si="2"/>
        <v>Y</v>
      </c>
      <c r="L11" s="30" t="s">
        <v>593</v>
      </c>
      <c r="M11" s="30" t="str">
        <f t="shared" si="3"/>
        <v/>
      </c>
      <c r="N11" s="30" t="str">
        <f t="shared" si="3"/>
        <v/>
      </c>
      <c r="O11" t="str">
        <f t="shared" si="4"/>
        <v>Event_10</v>
      </c>
      <c r="P11" s="30"/>
      <c r="Q11" s="30"/>
    </row>
    <row r="12" spans="1:17">
      <c r="A12" s="27">
        <f t="shared" si="5"/>
        <v>11</v>
      </c>
      <c r="B12" s="28">
        <v>46189</v>
      </c>
      <c r="C12" s="29">
        <v>0.8125</v>
      </c>
      <c r="D12" t="s">
        <v>382</v>
      </c>
      <c r="E12"/>
      <c r="F12">
        <v>10</v>
      </c>
      <c r="G12" t="s">
        <v>379</v>
      </c>
      <c r="H12" t="str">
        <f t="shared" si="0"/>
        <v/>
      </c>
      <c r="I12" s="30" t="s">
        <v>372</v>
      </c>
      <c r="J12" s="30" t="str">
        <f t="shared" si="1"/>
        <v/>
      </c>
      <c r="K12" s="30" t="str">
        <f t="shared" si="2"/>
        <v>Y</v>
      </c>
      <c r="L12" s="30" t="s">
        <v>593</v>
      </c>
      <c r="M12" s="30" t="str">
        <f t="shared" si="3"/>
        <v/>
      </c>
      <c r="N12" s="30" t="str">
        <f t="shared" si="3"/>
        <v/>
      </c>
      <c r="O12" t="str">
        <f t="shared" si="4"/>
        <v>Event_11</v>
      </c>
      <c r="P12" s="30"/>
      <c r="Q12" s="30"/>
    </row>
    <row r="13" spans="1:17">
      <c r="A13" s="27">
        <f t="shared" si="5"/>
        <v>12</v>
      </c>
      <c r="B13" s="28">
        <v>46194</v>
      </c>
      <c r="C13" s="29">
        <v>0.79166666666666663</v>
      </c>
      <c r="D13" t="s">
        <v>383</v>
      </c>
      <c r="E13"/>
      <c r="F13">
        <v>25</v>
      </c>
      <c r="G13" t="s">
        <v>379</v>
      </c>
      <c r="H13" t="str">
        <f t="shared" si="0"/>
        <v/>
      </c>
      <c r="I13" s="30" t="s">
        <v>372</v>
      </c>
      <c r="J13" s="30" t="str">
        <f t="shared" si="1"/>
        <v>Y</v>
      </c>
      <c r="K13" s="30" t="str">
        <f t="shared" si="2"/>
        <v/>
      </c>
      <c r="L13" s="30" t="s">
        <v>593</v>
      </c>
      <c r="M13" s="30" t="str">
        <f t="shared" si="3"/>
        <v/>
      </c>
      <c r="N13" s="30" t="str">
        <f t="shared" si="3"/>
        <v/>
      </c>
      <c r="O13" t="str">
        <f t="shared" si="4"/>
        <v>Event_12</v>
      </c>
      <c r="P13" s="30"/>
      <c r="Q13" s="30"/>
    </row>
    <row r="14" spans="1:17">
      <c r="A14" s="27">
        <f t="shared" si="5"/>
        <v>13</v>
      </c>
      <c r="B14" s="28">
        <v>46203</v>
      </c>
      <c r="C14" s="29">
        <v>0.79166666666666663</v>
      </c>
      <c r="D14" t="s">
        <v>387</v>
      </c>
      <c r="E14" t="s">
        <v>388</v>
      </c>
      <c r="F14">
        <v>10</v>
      </c>
      <c r="G14" t="s">
        <v>389</v>
      </c>
      <c r="H14" t="str">
        <f t="shared" si="0"/>
        <v/>
      </c>
      <c r="I14" s="30" t="s">
        <v>372</v>
      </c>
      <c r="J14" s="30" t="str">
        <f t="shared" si="1"/>
        <v/>
      </c>
      <c r="K14" s="30" t="str">
        <f t="shared" si="2"/>
        <v>Y</v>
      </c>
      <c r="L14" s="30" t="s">
        <v>593</v>
      </c>
      <c r="M14" s="30" t="str">
        <f t="shared" si="3"/>
        <v/>
      </c>
      <c r="N14" s="30" t="s">
        <v>372</v>
      </c>
      <c r="O14" t="str">
        <f t="shared" si="4"/>
        <v>Event_13</v>
      </c>
      <c r="P14" s="30"/>
      <c r="Q14" s="30"/>
    </row>
    <row r="15" spans="1:17">
      <c r="A15" s="27">
        <f t="shared" si="5"/>
        <v>14</v>
      </c>
      <c r="B15" s="28">
        <v>46205</v>
      </c>
      <c r="C15" s="29">
        <v>0.79166666666666663</v>
      </c>
      <c r="D15" t="s">
        <v>390</v>
      </c>
      <c r="E15" t="s">
        <v>391</v>
      </c>
      <c r="F15">
        <v>10</v>
      </c>
      <c r="G15" t="s">
        <v>392</v>
      </c>
      <c r="H15" t="str">
        <f t="shared" si="0"/>
        <v/>
      </c>
      <c r="I15" s="30" t="s">
        <v>372</v>
      </c>
      <c r="J15" s="30" t="str">
        <f t="shared" si="1"/>
        <v/>
      </c>
      <c r="K15" s="30" t="str">
        <f t="shared" si="2"/>
        <v>Y</v>
      </c>
      <c r="L15" s="30" t="s">
        <v>593</v>
      </c>
      <c r="M15" s="30" t="str">
        <f t="shared" si="3"/>
        <v/>
      </c>
      <c r="N15" s="30" t="s">
        <v>372</v>
      </c>
      <c r="O15" t="str">
        <f t="shared" si="4"/>
        <v>Event_14</v>
      </c>
      <c r="P15" s="30"/>
      <c r="Q15" s="30"/>
    </row>
    <row r="16" spans="1:17">
      <c r="A16" s="27">
        <f t="shared" si="5"/>
        <v>15</v>
      </c>
      <c r="B16" s="28">
        <v>46211</v>
      </c>
      <c r="C16" s="29">
        <v>0.79166666666666663</v>
      </c>
      <c r="D16" t="s">
        <v>384</v>
      </c>
      <c r="E16" t="s">
        <v>385</v>
      </c>
      <c r="F16">
        <v>10</v>
      </c>
      <c r="G16" t="s">
        <v>386</v>
      </c>
      <c r="H16" t="str">
        <f t="shared" si="0"/>
        <v/>
      </c>
      <c r="I16" s="30" t="s">
        <v>372</v>
      </c>
      <c r="J16" s="30" t="str">
        <f t="shared" si="1"/>
        <v/>
      </c>
      <c r="K16" s="30" t="str">
        <f t="shared" si="2"/>
        <v>Y</v>
      </c>
      <c r="L16" s="30" t="s">
        <v>593</v>
      </c>
      <c r="M16" s="30" t="str">
        <f t="shared" si="3"/>
        <v/>
      </c>
      <c r="N16" s="30" t="s">
        <v>372</v>
      </c>
      <c r="O16" t="str">
        <f t="shared" si="4"/>
        <v>Event_15</v>
      </c>
      <c r="P16" s="30"/>
      <c r="Q16" s="30"/>
    </row>
    <row r="17" spans="1:17">
      <c r="A17" s="27">
        <f t="shared" si="5"/>
        <v>16</v>
      </c>
      <c r="B17" s="28">
        <v>46214</v>
      </c>
      <c r="C17" s="29">
        <v>0.45833333333333331</v>
      </c>
      <c r="D17" t="s">
        <v>393</v>
      </c>
      <c r="E17" t="s">
        <v>394</v>
      </c>
      <c r="F17" s="69">
        <v>6.35</v>
      </c>
      <c r="G17" t="s">
        <v>395</v>
      </c>
      <c r="H17" t="str">
        <f t="shared" si="0"/>
        <v/>
      </c>
      <c r="I17" s="30" t="s">
        <v>372</v>
      </c>
      <c r="J17" s="30" t="s">
        <v>593</v>
      </c>
      <c r="K17" s="30" t="s">
        <v>372</v>
      </c>
      <c r="L17" s="30" t="s">
        <v>372</v>
      </c>
      <c r="M17" s="30" t="str">
        <f t="shared" si="3"/>
        <v/>
      </c>
      <c r="N17" s="30" t="s">
        <v>372</v>
      </c>
      <c r="O17" t="str">
        <f t="shared" si="4"/>
        <v>Event_16</v>
      </c>
      <c r="P17" s="30"/>
      <c r="Q17" s="30"/>
    </row>
    <row r="18" spans="1:17">
      <c r="A18" s="27">
        <f t="shared" si="5"/>
        <v>17</v>
      </c>
      <c r="B18" s="28">
        <v>46217</v>
      </c>
      <c r="C18" s="29">
        <v>0.79166666666666663</v>
      </c>
      <c r="D18" t="s">
        <v>396</v>
      </c>
      <c r="E18" t="s">
        <v>397</v>
      </c>
      <c r="F18">
        <v>10</v>
      </c>
      <c r="G18" t="s">
        <v>398</v>
      </c>
      <c r="H18" t="str">
        <f>IF($B18="","",IF(ISNUMBER(SEARCH("Hillclimb",#REF!)),"Y",""))</f>
        <v/>
      </c>
      <c r="I18" s="30" t="s">
        <v>372</v>
      </c>
      <c r="J18" s="30" t="str">
        <f t="shared" si="1"/>
        <v/>
      </c>
      <c r="K18" s="30" t="str">
        <f t="shared" si="2"/>
        <v>Y</v>
      </c>
      <c r="L18" s="30" t="s">
        <v>593</v>
      </c>
      <c r="M18" s="30" t="str">
        <f t="shared" si="3"/>
        <v/>
      </c>
      <c r="N18" s="30" t="s">
        <v>372</v>
      </c>
      <c r="O18" t="str">
        <f t="shared" si="4"/>
        <v>Event_17</v>
      </c>
      <c r="P18" s="30"/>
      <c r="Q18" s="30"/>
    </row>
    <row r="19" spans="1:17">
      <c r="A19" s="27">
        <f t="shared" si="5"/>
        <v>18</v>
      </c>
      <c r="B19" s="28">
        <v>46224</v>
      </c>
      <c r="C19" s="29">
        <v>0.79166666666666663</v>
      </c>
      <c r="D19" t="s">
        <v>399</v>
      </c>
      <c r="E19" t="s">
        <v>400</v>
      </c>
      <c r="F19">
        <v>10</v>
      </c>
      <c r="G19" t="s">
        <v>401</v>
      </c>
      <c r="H19" t="str">
        <f t="shared" si="0"/>
        <v/>
      </c>
      <c r="I19" s="30" t="s">
        <v>372</v>
      </c>
      <c r="J19" s="30" t="str">
        <f t="shared" si="1"/>
        <v/>
      </c>
      <c r="K19" s="30" t="str">
        <f t="shared" si="2"/>
        <v>Y</v>
      </c>
      <c r="L19" s="30" t="s">
        <v>593</v>
      </c>
      <c r="M19" s="30" t="str">
        <f t="shared" si="3"/>
        <v/>
      </c>
      <c r="N19" s="30" t="s">
        <v>372</v>
      </c>
      <c r="O19" t="str">
        <f t="shared" si="4"/>
        <v>Event_18</v>
      </c>
      <c r="P19" s="30"/>
      <c r="Q19" s="30"/>
    </row>
    <row r="20" spans="1:17">
      <c r="A20" s="27">
        <f t="shared" si="5"/>
        <v>19</v>
      </c>
      <c r="B20" s="28">
        <v>46228</v>
      </c>
      <c r="C20" s="29">
        <v>0.45833333333333331</v>
      </c>
      <c r="D20" t="s">
        <v>393</v>
      </c>
      <c r="E20" t="s">
        <v>394</v>
      </c>
      <c r="F20">
        <v>10</v>
      </c>
      <c r="G20" t="s">
        <v>395</v>
      </c>
      <c r="H20" t="str">
        <f t="shared" si="0"/>
        <v/>
      </c>
      <c r="I20" s="30" t="s">
        <v>372</v>
      </c>
      <c r="J20" s="30" t="str">
        <f t="shared" si="1"/>
        <v/>
      </c>
      <c r="K20" s="30" t="str">
        <f t="shared" si="2"/>
        <v>Y</v>
      </c>
      <c r="L20" s="30" t="s">
        <v>593</v>
      </c>
      <c r="M20" s="30" t="str">
        <f t="shared" si="3"/>
        <v/>
      </c>
      <c r="N20" s="30" t="s">
        <v>372</v>
      </c>
      <c r="O20" t="str">
        <f t="shared" si="4"/>
        <v>Event_19</v>
      </c>
      <c r="P20" s="30"/>
      <c r="Q20" s="30"/>
    </row>
    <row r="21" spans="1:17">
      <c r="A21" s="27">
        <f t="shared" si="5"/>
        <v>20</v>
      </c>
      <c r="B21" s="28">
        <v>46231</v>
      </c>
      <c r="C21" s="29">
        <v>0.79166666666666663</v>
      </c>
      <c r="D21" t="s">
        <v>396</v>
      </c>
      <c r="E21" t="s">
        <v>397</v>
      </c>
      <c r="F21">
        <v>10</v>
      </c>
      <c r="G21" t="s">
        <v>398</v>
      </c>
      <c r="H21" t="str">
        <f t="shared" si="0"/>
        <v/>
      </c>
      <c r="I21" s="30" t="s">
        <v>372</v>
      </c>
      <c r="J21" s="30" t="str">
        <f t="shared" si="1"/>
        <v/>
      </c>
      <c r="K21" s="30" t="str">
        <f t="shared" si="2"/>
        <v>Y</v>
      </c>
      <c r="L21" s="30" t="s">
        <v>593</v>
      </c>
      <c r="M21" s="30" t="str">
        <f t="shared" si="3"/>
        <v/>
      </c>
      <c r="N21" s="30" t="s">
        <v>372</v>
      </c>
      <c r="O21" t="str">
        <f t="shared" si="4"/>
        <v>Event_20</v>
      </c>
      <c r="P21" s="30"/>
      <c r="Q21" s="30"/>
    </row>
    <row r="22" spans="1:17">
      <c r="A22" s="27">
        <f t="shared" si="5"/>
        <v>21</v>
      </c>
      <c r="B22" s="28">
        <v>46238</v>
      </c>
      <c r="C22" s="29">
        <v>0.79166666666666663</v>
      </c>
      <c r="D22" t="s">
        <v>387</v>
      </c>
      <c r="E22" t="s">
        <v>388</v>
      </c>
      <c r="F22">
        <v>10</v>
      </c>
      <c r="G22" t="s">
        <v>389</v>
      </c>
      <c r="H22" t="str">
        <f t="shared" si="0"/>
        <v/>
      </c>
      <c r="I22" s="30" t="s">
        <v>372</v>
      </c>
      <c r="J22" s="30" t="str">
        <f t="shared" si="1"/>
        <v/>
      </c>
      <c r="K22" s="30" t="str">
        <f t="shared" si="2"/>
        <v>Y</v>
      </c>
      <c r="L22" s="30" t="s">
        <v>593</v>
      </c>
      <c r="M22" s="30" t="str">
        <f t="shared" si="3"/>
        <v/>
      </c>
      <c r="N22" s="30" t="s">
        <v>372</v>
      </c>
      <c r="O22" t="str">
        <f t="shared" si="4"/>
        <v>Event_21</v>
      </c>
      <c r="P22" s="30"/>
      <c r="Q22" s="30"/>
    </row>
    <row r="23" spans="1:17">
      <c r="A23" s="27">
        <f t="shared" si="5"/>
        <v>22</v>
      </c>
      <c r="B23" s="28">
        <v>46247</v>
      </c>
      <c r="C23" s="29">
        <v>0.79166666666666663</v>
      </c>
      <c r="D23" t="s">
        <v>390</v>
      </c>
      <c r="E23" t="s">
        <v>391</v>
      </c>
      <c r="F23">
        <v>10</v>
      </c>
      <c r="G23" t="s">
        <v>392</v>
      </c>
      <c r="H23" t="str">
        <f t="shared" si="0"/>
        <v/>
      </c>
      <c r="I23" s="30" t="s">
        <v>372</v>
      </c>
      <c r="J23" s="30" t="str">
        <f t="shared" si="1"/>
        <v/>
      </c>
      <c r="K23" s="30" t="str">
        <f t="shared" si="2"/>
        <v>Y</v>
      </c>
      <c r="L23" s="30" t="s">
        <v>593</v>
      </c>
      <c r="M23" s="30" t="str">
        <f t="shared" si="3"/>
        <v/>
      </c>
      <c r="N23" s="30" t="s">
        <v>372</v>
      </c>
      <c r="O23" t="str">
        <f t="shared" si="4"/>
        <v>Event_22</v>
      </c>
      <c r="P23" s="30"/>
      <c r="Q23" s="30"/>
    </row>
    <row r="24" spans="1:17">
      <c r="A24" s="27">
        <f t="shared" si="5"/>
        <v>23</v>
      </c>
      <c r="B24" s="28">
        <v>46252</v>
      </c>
      <c r="C24" s="29">
        <v>0.79166666666666663</v>
      </c>
      <c r="D24" t="s">
        <v>399</v>
      </c>
      <c r="E24" t="s">
        <v>400</v>
      </c>
      <c r="F24">
        <v>10</v>
      </c>
      <c r="G24" t="s">
        <v>401</v>
      </c>
      <c r="H24" t="str">
        <f t="shared" si="0"/>
        <v/>
      </c>
      <c r="I24" s="30" t="s">
        <v>372</v>
      </c>
      <c r="J24" s="30" t="str">
        <f t="shared" si="1"/>
        <v/>
      </c>
      <c r="K24" s="30" t="str">
        <f t="shared" si="2"/>
        <v>Y</v>
      </c>
      <c r="L24" s="30" t="s">
        <v>593</v>
      </c>
      <c r="M24" s="30" t="str">
        <f t="shared" si="3"/>
        <v/>
      </c>
      <c r="N24" s="30" t="s">
        <v>372</v>
      </c>
      <c r="O24" t="str">
        <f t="shared" si="4"/>
        <v>Event_23</v>
      </c>
      <c r="P24" s="30"/>
      <c r="Q24" s="30"/>
    </row>
    <row r="25" spans="1:17">
      <c r="A25" s="27">
        <f t="shared" si="5"/>
        <v>24</v>
      </c>
      <c r="B25" s="28">
        <v>46260</v>
      </c>
      <c r="C25" s="29">
        <v>0.80208333333333337</v>
      </c>
      <c r="D25" t="s">
        <v>384</v>
      </c>
      <c r="E25" t="s">
        <v>385</v>
      </c>
      <c r="F25">
        <v>10</v>
      </c>
      <c r="G25" t="s">
        <v>386</v>
      </c>
      <c r="H25" t="str">
        <f t="shared" si="0"/>
        <v/>
      </c>
      <c r="I25" s="30" t="s">
        <v>372</v>
      </c>
      <c r="J25" s="30" t="str">
        <f t="shared" si="1"/>
        <v/>
      </c>
      <c r="K25" s="30" t="str">
        <f t="shared" si="2"/>
        <v>Y</v>
      </c>
      <c r="L25" s="30" t="s">
        <v>593</v>
      </c>
      <c r="M25" s="30" t="str">
        <f t="shared" si="3"/>
        <v/>
      </c>
      <c r="N25" s="30" t="s">
        <v>372</v>
      </c>
      <c r="O25" t="str">
        <f t="shared" si="4"/>
        <v>Event_24</v>
      </c>
      <c r="P25" s="30"/>
      <c r="Q25" s="30"/>
    </row>
    <row r="26" spans="1:17">
      <c r="A26" s="27">
        <f t="shared" si="5"/>
        <v>25</v>
      </c>
      <c r="B26" s="28">
        <v>46264</v>
      </c>
      <c r="C26" s="29">
        <v>0.79166666666666663</v>
      </c>
      <c r="D26" t="s">
        <v>402</v>
      </c>
      <c r="E26"/>
      <c r="F26">
        <v>25</v>
      </c>
      <c r="G26" t="s">
        <v>403</v>
      </c>
      <c r="H26" t="str">
        <f t="shared" si="0"/>
        <v/>
      </c>
      <c r="I26" s="30" t="s">
        <v>372</v>
      </c>
      <c r="J26" s="30" t="str">
        <f t="shared" si="1"/>
        <v>Y</v>
      </c>
      <c r="K26" s="30" t="str">
        <f t="shared" si="2"/>
        <v/>
      </c>
      <c r="L26" s="30" t="s">
        <v>593</v>
      </c>
      <c r="M26" s="30" t="str">
        <f t="shared" si="3"/>
        <v>Y</v>
      </c>
      <c r="N26" s="30"/>
      <c r="O26" t="str">
        <f t="shared" si="4"/>
        <v>Event_25</v>
      </c>
      <c r="P26" s="30" t="s">
        <v>372</v>
      </c>
      <c r="Q26" s="30"/>
    </row>
    <row r="27" spans="1:17">
      <c r="A27" s="27">
        <f t="shared" si="5"/>
        <v>26</v>
      </c>
      <c r="B27" s="28">
        <v>46292</v>
      </c>
      <c r="C27" s="20">
        <v>0.375</v>
      </c>
      <c r="D27" s="18" t="s">
        <v>404</v>
      </c>
      <c r="F27">
        <v>1.24</v>
      </c>
      <c r="G27" s="18" t="s">
        <v>800</v>
      </c>
      <c r="H27" t="str">
        <f t="shared" si="0"/>
        <v>Y</v>
      </c>
      <c r="I27" s="30" t="s">
        <v>372</v>
      </c>
      <c r="J27" s="30" t="str">
        <f t="shared" si="1"/>
        <v>Y</v>
      </c>
      <c r="K27" s="30" t="str">
        <f t="shared" si="2"/>
        <v/>
      </c>
      <c r="L27" s="30" t="s">
        <v>593</v>
      </c>
      <c r="M27" s="30" t="str">
        <f t="shared" si="3"/>
        <v/>
      </c>
      <c r="N27" s="30" t="str">
        <f t="shared" si="3"/>
        <v/>
      </c>
      <c r="O27" t="str">
        <f t="shared" si="4"/>
        <v>Event_26</v>
      </c>
      <c r="P27" s="30"/>
      <c r="Q27" s="30"/>
    </row>
    <row r="28" spans="1:17">
      <c r="A28" s="27">
        <f t="shared" si="5"/>
        <v>27</v>
      </c>
      <c r="B28" s="28">
        <v>46382</v>
      </c>
      <c r="C28" s="20">
        <v>0.41666666666666669</v>
      </c>
      <c r="D28" s="18" t="s">
        <v>405</v>
      </c>
      <c r="F28">
        <v>10</v>
      </c>
      <c r="G28" s="18" t="s">
        <v>375</v>
      </c>
      <c r="H28" t="str">
        <f t="shared" si="0"/>
        <v/>
      </c>
      <c r="I28" s="30"/>
      <c r="J28" s="30" t="str">
        <f>IF($B28="","",IF($F28=10,"","Y"))</f>
        <v/>
      </c>
      <c r="K28" s="30" t="str">
        <f t="shared" si="2"/>
        <v>Y</v>
      </c>
      <c r="L28" s="30" t="s">
        <v>593</v>
      </c>
      <c r="M28" s="30" t="str">
        <f t="shared" si="3"/>
        <v/>
      </c>
      <c r="N28" s="30" t="str">
        <f t="shared" si="3"/>
        <v/>
      </c>
      <c r="O28" t="str">
        <f t="shared" si="4"/>
        <v>Event_27</v>
      </c>
      <c r="P28" s="30"/>
      <c r="Q28" s="30"/>
    </row>
  </sheetData>
  <sheetProtection formatCells="0" formatColumns="0" formatRows="0" insertColumns="0" insertRows="0" insertHyperlinks="0" deleteColumns="0" deleteRows="0" pivotTables="0"/>
  <conditionalFormatting sqref="B2:B28">
    <cfRule type="expression" dxfId="85" priority="2">
      <formula>NOT(YEAR(B2)=CompetitionYear)</formula>
    </cfRule>
  </conditionalFormatting>
  <conditionalFormatting sqref="K2:L30">
    <cfRule type="expression" dxfId="84" priority="1">
      <formula>AND($F2&lt;&gt;10, $K2="Y")</formula>
    </cfRule>
  </conditionalFormatting>
  <printOptions horizontalCentered="1" gridLines="1"/>
  <pageMargins left="0.74803149606299213" right="0.74803149606299213" top="0.98425196850393704" bottom="0.98425196850393704" header="0.51181102362204722" footer="0.51181102362204722"/>
  <pageSetup paperSize="9" scale="75" orientation="landscape"/>
  <headerFooter>
    <oddHeader>&amp;A</oddHeader>
  </headerFooter>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6"/>
  <dimension ref="A1:C101"/>
  <sheetViews>
    <sheetView workbookViewId="0">
      <selection activeCell="B5" sqref="B5"/>
    </sheetView>
    <sheetView workbookViewId="1"/>
  </sheetViews>
  <sheetFormatPr defaultRowHeight="12.75"/>
  <cols>
    <col min="1" max="1" width="11.86328125" bestFit="1" customWidth="1"/>
    <col min="2" max="2" width="23.53125" customWidth="1"/>
    <col min="3" max="3" width="16.1328125" style="32" customWidth="1"/>
  </cols>
  <sheetData>
    <row r="1" spans="1:3" s="33" customFormat="1" ht="13.15">
      <c r="A1" s="33" t="s">
        <v>13</v>
      </c>
      <c r="B1" s="33" t="s">
        <v>406</v>
      </c>
      <c r="C1" s="34" t="s">
        <v>407</v>
      </c>
    </row>
    <row r="2" spans="1:3">
      <c r="A2">
        <f t="shared" ref="A2:A33" si="0">IF(ISBLANK(B2),"",_xlfn.XLOOKUP(B2,ClubNames,ClubNumbers))</f>
        <v>1094</v>
      </c>
      <c r="B2" t="s">
        <v>408</v>
      </c>
      <c r="C2" s="32" t="s">
        <v>409</v>
      </c>
    </row>
    <row r="3" spans="1:3">
      <c r="A3">
        <f t="shared" si="0"/>
        <v>747</v>
      </c>
      <c r="B3" t="s">
        <v>410</v>
      </c>
      <c r="C3" s="32" t="s">
        <v>409</v>
      </c>
    </row>
    <row r="4" spans="1:3">
      <c r="A4">
        <f t="shared" si="0"/>
        <v>407</v>
      </c>
      <c r="B4" t="s">
        <v>411</v>
      </c>
      <c r="C4" s="32" t="s">
        <v>409</v>
      </c>
    </row>
    <row r="5" spans="1:3">
      <c r="A5">
        <f t="shared" si="0"/>
        <v>1144</v>
      </c>
      <c r="B5" t="s">
        <v>412</v>
      </c>
      <c r="C5" s="32" t="s">
        <v>409</v>
      </c>
    </row>
    <row r="6" spans="1:3">
      <c r="A6">
        <f t="shared" si="0"/>
        <v>989</v>
      </c>
      <c r="B6" t="s">
        <v>413</v>
      </c>
      <c r="C6" s="32" t="s">
        <v>409</v>
      </c>
    </row>
    <row r="7" spans="1:3">
      <c r="A7">
        <f t="shared" si="0"/>
        <v>699</v>
      </c>
      <c r="B7" t="s">
        <v>414</v>
      </c>
      <c r="C7" s="32" t="s">
        <v>409</v>
      </c>
    </row>
    <row r="8" spans="1:3">
      <c r="A8">
        <f t="shared" si="0"/>
        <v>1161</v>
      </c>
      <c r="B8" t="s">
        <v>415</v>
      </c>
      <c r="C8" s="32" t="s">
        <v>409</v>
      </c>
    </row>
    <row r="9" spans="1:3">
      <c r="A9">
        <f t="shared" si="0"/>
        <v>38</v>
      </c>
      <c r="B9" t="s">
        <v>416</v>
      </c>
      <c r="C9" s="32" t="s">
        <v>409</v>
      </c>
    </row>
    <row r="10" spans="1:3">
      <c r="A10">
        <f t="shared" si="0"/>
        <v>1152</v>
      </c>
      <c r="B10" t="s">
        <v>417</v>
      </c>
      <c r="C10" s="32" t="s">
        <v>409</v>
      </c>
    </row>
    <row r="11" spans="1:3">
      <c r="A11">
        <f t="shared" si="0"/>
        <v>1355</v>
      </c>
      <c r="B11" s="35" t="s">
        <v>418</v>
      </c>
      <c r="C11" s="32">
        <v>1</v>
      </c>
    </row>
    <row r="12" spans="1:3">
      <c r="A12">
        <f t="shared" si="0"/>
        <v>756</v>
      </c>
      <c r="B12" s="35" t="s">
        <v>419</v>
      </c>
      <c r="C12" s="32">
        <v>1</v>
      </c>
    </row>
    <row r="13" spans="1:3">
      <c r="A13">
        <f t="shared" si="0"/>
        <v>1192</v>
      </c>
      <c r="B13" s="35" t="s">
        <v>420</v>
      </c>
      <c r="C13" s="32">
        <v>1</v>
      </c>
    </row>
    <row r="14" spans="1:3">
      <c r="A14">
        <f t="shared" si="0"/>
        <v>415</v>
      </c>
      <c r="B14" s="35" t="s">
        <v>421</v>
      </c>
      <c r="C14" s="32">
        <v>1</v>
      </c>
    </row>
    <row r="15" spans="1:3">
      <c r="A15">
        <f t="shared" si="0"/>
        <v>1407</v>
      </c>
      <c r="B15" s="35" t="s">
        <v>422</v>
      </c>
      <c r="C15" s="32">
        <v>1</v>
      </c>
    </row>
    <row r="16" spans="1:3">
      <c r="A16">
        <f t="shared" si="0"/>
        <v>35</v>
      </c>
      <c r="B16" s="35" t="s">
        <v>423</v>
      </c>
      <c r="C16" s="32">
        <v>1</v>
      </c>
    </row>
    <row r="17" spans="1:3">
      <c r="A17">
        <f t="shared" si="0"/>
        <v>1024</v>
      </c>
      <c r="B17" s="35" t="s">
        <v>424</v>
      </c>
      <c r="C17" s="32">
        <v>1</v>
      </c>
    </row>
    <row r="18" spans="1:3">
      <c r="A18">
        <f t="shared" si="0"/>
        <v>1418</v>
      </c>
      <c r="B18" s="35" t="s">
        <v>425</v>
      </c>
      <c r="C18" s="32">
        <v>1</v>
      </c>
    </row>
    <row r="19" spans="1:3">
      <c r="A19">
        <f t="shared" si="0"/>
        <v>1055</v>
      </c>
      <c r="B19" s="35" t="s">
        <v>426</v>
      </c>
      <c r="C19" s="32">
        <v>1</v>
      </c>
    </row>
    <row r="20" spans="1:3">
      <c r="A20">
        <f t="shared" si="0"/>
        <v>915</v>
      </c>
      <c r="B20" s="35" t="s">
        <v>427</v>
      </c>
      <c r="C20" s="32">
        <v>1</v>
      </c>
    </row>
    <row r="21" spans="1:3">
      <c r="A21">
        <f t="shared" si="0"/>
        <v>1237</v>
      </c>
      <c r="B21" s="35" t="s">
        <v>428</v>
      </c>
      <c r="C21" s="32">
        <v>2</v>
      </c>
    </row>
    <row r="22" spans="1:3">
      <c r="A22">
        <f t="shared" si="0"/>
        <v>1107</v>
      </c>
      <c r="B22" s="35" t="s">
        <v>429</v>
      </c>
      <c r="C22" s="32">
        <v>2</v>
      </c>
    </row>
    <row r="23" spans="1:3">
      <c r="A23">
        <f t="shared" si="0"/>
        <v>616</v>
      </c>
      <c r="B23" s="35" t="s">
        <v>430</v>
      </c>
      <c r="C23" s="32">
        <v>2</v>
      </c>
    </row>
    <row r="24" spans="1:3">
      <c r="A24">
        <f t="shared" si="0"/>
        <v>1403</v>
      </c>
      <c r="B24" s="35" t="s">
        <v>431</v>
      </c>
      <c r="C24" s="32">
        <v>2</v>
      </c>
    </row>
    <row r="25" spans="1:3">
      <c r="A25">
        <f t="shared" si="0"/>
        <v>1112</v>
      </c>
      <c r="B25" s="35" t="s">
        <v>432</v>
      </c>
      <c r="C25" s="32">
        <v>2</v>
      </c>
    </row>
    <row r="26" spans="1:3">
      <c r="A26">
        <f t="shared" si="0"/>
        <v>1109</v>
      </c>
      <c r="B26" s="35" t="s">
        <v>433</v>
      </c>
      <c r="C26" s="32">
        <v>2</v>
      </c>
    </row>
    <row r="27" spans="1:3">
      <c r="A27">
        <f t="shared" si="0"/>
        <v>1419</v>
      </c>
      <c r="B27" s="35" t="s">
        <v>434</v>
      </c>
      <c r="C27" s="32">
        <v>2</v>
      </c>
    </row>
    <row r="28" spans="1:3">
      <c r="A28">
        <f t="shared" si="0"/>
        <v>846</v>
      </c>
      <c r="B28" s="35" t="s">
        <v>435</v>
      </c>
      <c r="C28" s="32">
        <v>2</v>
      </c>
    </row>
    <row r="29" spans="1:3">
      <c r="A29">
        <f t="shared" si="0"/>
        <v>203</v>
      </c>
      <c r="B29" s="35" t="s">
        <v>436</v>
      </c>
      <c r="C29" s="32">
        <v>2</v>
      </c>
    </row>
    <row r="30" spans="1:3">
      <c r="A30">
        <f t="shared" si="0"/>
        <v>1195</v>
      </c>
      <c r="B30" t="s">
        <v>437</v>
      </c>
      <c r="C30" s="32">
        <v>3</v>
      </c>
    </row>
    <row r="31" spans="1:3">
      <c r="A31">
        <f t="shared" si="0"/>
        <v>704</v>
      </c>
      <c r="B31" t="s">
        <v>438</v>
      </c>
      <c r="C31" s="32">
        <v>3</v>
      </c>
    </row>
    <row r="32" spans="1:3">
      <c r="A32">
        <f t="shared" si="0"/>
        <v>23</v>
      </c>
      <c r="B32" t="s">
        <v>439</v>
      </c>
      <c r="C32" s="32">
        <v>3</v>
      </c>
    </row>
    <row r="33" spans="1:3">
      <c r="A33">
        <f t="shared" si="0"/>
        <v>245</v>
      </c>
      <c r="B33" t="s">
        <v>440</v>
      </c>
      <c r="C33" s="32">
        <v>3</v>
      </c>
    </row>
    <row r="34" spans="1:3">
      <c r="A34">
        <f t="shared" ref="A34:A97" si="1">IF(ISBLANK(B34),"",_xlfn.XLOOKUP(B34,ClubNames,ClubNumbers))</f>
        <v>1254</v>
      </c>
      <c r="B34" t="s">
        <v>441</v>
      </c>
      <c r="C34" s="32">
        <v>3</v>
      </c>
    </row>
    <row r="35" spans="1:3">
      <c r="A35">
        <f t="shared" si="1"/>
        <v>564</v>
      </c>
      <c r="B35" t="s">
        <v>442</v>
      </c>
      <c r="C35" s="32">
        <v>3</v>
      </c>
    </row>
    <row r="36" spans="1:3">
      <c r="A36">
        <f t="shared" si="1"/>
        <v>1193</v>
      </c>
      <c r="B36" t="s">
        <v>443</v>
      </c>
      <c r="C36" s="32">
        <v>3</v>
      </c>
    </row>
    <row r="37" spans="1:3">
      <c r="A37">
        <f t="shared" si="1"/>
        <v>1386</v>
      </c>
      <c r="B37" t="s">
        <v>444</v>
      </c>
      <c r="C37" s="32">
        <v>3</v>
      </c>
    </row>
    <row r="38" spans="1:3">
      <c r="A38">
        <f t="shared" si="1"/>
        <v>1242</v>
      </c>
      <c r="B38" t="s">
        <v>445</v>
      </c>
      <c r="C38" s="32">
        <v>3</v>
      </c>
    </row>
    <row r="39" spans="1:3">
      <c r="A39">
        <f t="shared" si="1"/>
        <v>1379</v>
      </c>
      <c r="B39" t="s">
        <v>446</v>
      </c>
      <c r="C39" s="32">
        <v>3</v>
      </c>
    </row>
    <row r="40" spans="1:3">
      <c r="A40">
        <f t="shared" si="1"/>
        <v>1194</v>
      </c>
      <c r="B40" t="s">
        <v>447</v>
      </c>
      <c r="C40" s="32">
        <v>4</v>
      </c>
    </row>
    <row r="41" spans="1:3">
      <c r="A41">
        <f t="shared" si="1"/>
        <v>1298</v>
      </c>
      <c r="B41" t="s">
        <v>448</v>
      </c>
      <c r="C41" s="32">
        <v>4</v>
      </c>
    </row>
    <row r="42" spans="1:3">
      <c r="A42">
        <f t="shared" si="1"/>
        <v>1332</v>
      </c>
      <c r="B42" t="s">
        <v>449</v>
      </c>
      <c r="C42" s="32">
        <v>4</v>
      </c>
    </row>
    <row r="43" spans="1:3">
      <c r="A43">
        <f t="shared" si="1"/>
        <v>1377</v>
      </c>
      <c r="B43" t="s">
        <v>450</v>
      </c>
      <c r="C43" s="32">
        <v>4</v>
      </c>
    </row>
    <row r="44" spans="1:3">
      <c r="A44">
        <f t="shared" si="1"/>
        <v>1244</v>
      </c>
      <c r="B44" t="s">
        <v>451</v>
      </c>
      <c r="C44" s="32">
        <v>4</v>
      </c>
    </row>
    <row r="45" spans="1:3">
      <c r="A45">
        <f t="shared" si="1"/>
        <v>1404</v>
      </c>
      <c r="B45" t="s">
        <v>452</v>
      </c>
      <c r="C45" s="32">
        <v>4</v>
      </c>
    </row>
    <row r="46" spans="1:3">
      <c r="A46">
        <f t="shared" si="1"/>
        <v>990</v>
      </c>
      <c r="B46" t="s">
        <v>616</v>
      </c>
      <c r="C46" s="32">
        <v>4</v>
      </c>
    </row>
    <row r="47" spans="1:3">
      <c r="A47">
        <f t="shared" si="1"/>
        <v>558</v>
      </c>
      <c r="B47" t="s">
        <v>453</v>
      </c>
      <c r="C47" s="32">
        <v>4</v>
      </c>
    </row>
    <row r="48" spans="1:3">
      <c r="A48">
        <f t="shared" si="1"/>
        <v>45</v>
      </c>
      <c r="B48" t="s">
        <v>454</v>
      </c>
      <c r="C48" s="32">
        <v>4</v>
      </c>
    </row>
    <row r="49" spans="1:3">
      <c r="A49">
        <f t="shared" si="1"/>
        <v>295</v>
      </c>
      <c r="B49" t="s">
        <v>455</v>
      </c>
      <c r="C49" s="32">
        <v>4</v>
      </c>
    </row>
    <row r="50" spans="1:3">
      <c r="A50">
        <f t="shared" si="1"/>
        <v>967</v>
      </c>
      <c r="B50" t="s">
        <v>456</v>
      </c>
      <c r="C50" s="32" t="s">
        <v>409</v>
      </c>
    </row>
    <row r="51" spans="1:3">
      <c r="A51">
        <f t="shared" si="1"/>
        <v>120</v>
      </c>
      <c r="B51" t="s">
        <v>457</v>
      </c>
      <c r="C51" s="32">
        <v>2</v>
      </c>
    </row>
    <row r="52" spans="1:3">
      <c r="A52">
        <f t="shared" si="1"/>
        <v>715</v>
      </c>
      <c r="B52" t="s">
        <v>458</v>
      </c>
      <c r="C52" s="32">
        <v>3</v>
      </c>
    </row>
    <row r="53" spans="1:3">
      <c r="A53">
        <f t="shared" si="1"/>
        <v>742</v>
      </c>
      <c r="B53" t="s">
        <v>459</v>
      </c>
      <c r="C53" s="32">
        <v>4</v>
      </c>
    </row>
    <row r="54" spans="1:3">
      <c r="A54">
        <f t="shared" si="1"/>
        <v>7</v>
      </c>
      <c r="B54" t="s">
        <v>460</v>
      </c>
      <c r="C54" s="32">
        <v>4</v>
      </c>
    </row>
    <row r="55" spans="1:3">
      <c r="A55" t="str">
        <f t="shared" si="1"/>
        <v/>
      </c>
    </row>
    <row r="56" spans="1:3">
      <c r="A56" t="str">
        <f t="shared" si="1"/>
        <v/>
      </c>
    </row>
    <row r="57" spans="1:3">
      <c r="A57" t="str">
        <f t="shared" si="1"/>
        <v/>
      </c>
    </row>
    <row r="58" spans="1:3">
      <c r="A58" t="str">
        <f t="shared" si="1"/>
        <v/>
      </c>
    </row>
    <row r="59" spans="1:3">
      <c r="A59" t="str">
        <f t="shared" si="1"/>
        <v/>
      </c>
    </row>
    <row r="60" spans="1:3">
      <c r="A60" t="str">
        <f t="shared" si="1"/>
        <v/>
      </c>
    </row>
    <row r="61" spans="1:3">
      <c r="A61" t="str">
        <f t="shared" si="1"/>
        <v/>
      </c>
    </row>
    <row r="62" spans="1:3">
      <c r="A62" t="str">
        <f t="shared" si="1"/>
        <v/>
      </c>
    </row>
    <row r="63" spans="1:3">
      <c r="A63" t="str">
        <f t="shared" si="1"/>
        <v/>
      </c>
    </row>
    <row r="64" spans="1:3">
      <c r="A64" t="str">
        <f t="shared" si="1"/>
        <v/>
      </c>
    </row>
    <row r="65" spans="1:1">
      <c r="A65" t="str">
        <f t="shared" si="1"/>
        <v/>
      </c>
    </row>
    <row r="66" spans="1:1">
      <c r="A66" t="str">
        <f t="shared" si="1"/>
        <v/>
      </c>
    </row>
    <row r="67" spans="1:1">
      <c r="A67" t="str">
        <f t="shared" si="1"/>
        <v/>
      </c>
    </row>
    <row r="68" spans="1:1">
      <c r="A68" t="str">
        <f t="shared" si="1"/>
        <v/>
      </c>
    </row>
    <row r="69" spans="1:1">
      <c r="A69" t="str">
        <f t="shared" si="1"/>
        <v/>
      </c>
    </row>
    <row r="70" spans="1:1">
      <c r="A70" t="str">
        <f t="shared" si="1"/>
        <v/>
      </c>
    </row>
    <row r="71" spans="1:1">
      <c r="A71" t="str">
        <f t="shared" si="1"/>
        <v/>
      </c>
    </row>
    <row r="72" spans="1:1">
      <c r="A72" t="str">
        <f t="shared" si="1"/>
        <v/>
      </c>
    </row>
    <row r="73" spans="1:1">
      <c r="A73" t="str">
        <f t="shared" si="1"/>
        <v/>
      </c>
    </row>
    <row r="74" spans="1:1">
      <c r="A74" t="str">
        <f t="shared" si="1"/>
        <v/>
      </c>
    </row>
    <row r="75" spans="1:1">
      <c r="A75" t="str">
        <f t="shared" si="1"/>
        <v/>
      </c>
    </row>
    <row r="76" spans="1:1">
      <c r="A76" t="str">
        <f t="shared" si="1"/>
        <v/>
      </c>
    </row>
    <row r="77" spans="1:1">
      <c r="A77" t="str">
        <f t="shared" si="1"/>
        <v/>
      </c>
    </row>
    <row r="78" spans="1:1">
      <c r="A78" t="str">
        <f t="shared" si="1"/>
        <v/>
      </c>
    </row>
    <row r="79" spans="1:1">
      <c r="A79" t="str">
        <f t="shared" si="1"/>
        <v/>
      </c>
    </row>
    <row r="80" spans="1:1">
      <c r="A80" t="str">
        <f t="shared" si="1"/>
        <v/>
      </c>
    </row>
    <row r="81" spans="1:1">
      <c r="A81" t="str">
        <f t="shared" si="1"/>
        <v/>
      </c>
    </row>
    <row r="82" spans="1:1">
      <c r="A82" t="str">
        <f t="shared" si="1"/>
        <v/>
      </c>
    </row>
    <row r="83" spans="1:1">
      <c r="A83" t="str">
        <f t="shared" si="1"/>
        <v/>
      </c>
    </row>
    <row r="84" spans="1:1">
      <c r="A84" t="str">
        <f t="shared" si="1"/>
        <v/>
      </c>
    </row>
    <row r="85" spans="1:1">
      <c r="A85" t="str">
        <f t="shared" si="1"/>
        <v/>
      </c>
    </row>
    <row r="86" spans="1:1">
      <c r="A86" t="str">
        <f t="shared" si="1"/>
        <v/>
      </c>
    </row>
    <row r="87" spans="1:1">
      <c r="A87" t="str">
        <f t="shared" si="1"/>
        <v/>
      </c>
    </row>
    <row r="88" spans="1:1">
      <c r="A88" t="str">
        <f t="shared" si="1"/>
        <v/>
      </c>
    </row>
    <row r="89" spans="1:1">
      <c r="A89" t="str">
        <f t="shared" si="1"/>
        <v/>
      </c>
    </row>
    <row r="90" spans="1:1">
      <c r="A90" t="str">
        <f t="shared" si="1"/>
        <v/>
      </c>
    </row>
    <row r="91" spans="1:1">
      <c r="A91" t="str">
        <f t="shared" si="1"/>
        <v/>
      </c>
    </row>
    <row r="92" spans="1:1">
      <c r="A92" t="str">
        <f t="shared" si="1"/>
        <v/>
      </c>
    </row>
    <row r="93" spans="1:1">
      <c r="A93" t="str">
        <f t="shared" si="1"/>
        <v/>
      </c>
    </row>
    <row r="94" spans="1:1">
      <c r="A94" t="str">
        <f t="shared" si="1"/>
        <v/>
      </c>
    </row>
    <row r="95" spans="1:1">
      <c r="A95" t="str">
        <f t="shared" si="1"/>
        <v/>
      </c>
    </row>
    <row r="96" spans="1:1">
      <c r="A96" t="str">
        <f t="shared" si="1"/>
        <v/>
      </c>
    </row>
    <row r="97" spans="1:1">
      <c r="A97" t="str">
        <f t="shared" si="1"/>
        <v/>
      </c>
    </row>
    <row r="98" spans="1:1">
      <c r="A98" t="str">
        <f>IF(ISBLANK(B98),"",_xlfn.XLOOKUP(B98,ClubNames,ClubNumbers))</f>
        <v/>
      </c>
    </row>
    <row r="99" spans="1:1">
      <c r="A99" t="str">
        <f>IF(ISBLANK(B99),"",_xlfn.XLOOKUP(B99,ClubNames,ClubNumbers))</f>
        <v/>
      </c>
    </row>
    <row r="100" spans="1:1">
      <c r="A100" t="str">
        <f>IF(ISBLANK(B100),"",_xlfn.XLOOKUP(B100,ClubNames,ClubNumbers))</f>
        <v/>
      </c>
    </row>
    <row r="101" spans="1:1">
      <c r="A101" t="str">
        <f>IF(ISBLANK(B101),"",_xlfn.XLOOKUP(B101,ClubNames,ClubNumbers))</f>
        <v/>
      </c>
    </row>
  </sheetData>
  <pageMargins left="0.7" right="0.7" top="0.75" bottom="0.75" header="0.3" footer="0.3"/>
  <pageSetup paperSize="9"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9"/>
  <dimension ref="A1:H165"/>
  <sheetViews>
    <sheetView tabSelected="1" topLeftCell="A130" workbookViewId="0">
      <selection activeCell="A148" sqref="A148"/>
    </sheetView>
    <sheetView topLeftCell="A135" workbookViewId="1">
      <selection activeCell="C146" sqref="C146"/>
    </sheetView>
  </sheetViews>
  <sheetFormatPr defaultRowHeight="12.75"/>
  <cols>
    <col min="1" max="1" width="36.46484375" bestFit="1" customWidth="1"/>
    <col min="2" max="2" width="19.1328125" customWidth="1"/>
    <col min="3" max="3" width="41.46484375" bestFit="1" customWidth="1"/>
  </cols>
  <sheetData>
    <row r="1" spans="1:8" s="33" customFormat="1" ht="13.15">
      <c r="A1" s="33" t="s">
        <v>461</v>
      </c>
      <c r="B1" s="33" t="s">
        <v>462</v>
      </c>
      <c r="C1" s="33" t="s">
        <v>463</v>
      </c>
      <c r="D1" s="33" t="s">
        <v>17</v>
      </c>
    </row>
    <row r="2" spans="1:8" ht="14.25">
      <c r="A2" t="s">
        <v>464</v>
      </c>
      <c r="B2" t="s">
        <v>465</v>
      </c>
      <c r="C2" s="36" t="str">
        <f>IF(ISBLANK(B2), IF(ISBLANK(A2),"",A2), _xlfn.CONCAT(A2," (",B2,")"))</f>
        <v>Carl Dyson (Aerologic)</v>
      </c>
      <c r="H2" t="s">
        <v>466</v>
      </c>
    </row>
    <row r="3" spans="1:8" ht="14.25">
      <c r="A3" t="s">
        <v>467</v>
      </c>
      <c r="B3" t="s">
        <v>468</v>
      </c>
      <c r="C3" s="36" t="str">
        <f>IF(ISBLANK(B3), IF(ISBLANK(A3),"",A3), _xlfn.CONCAT(A3," (",B3,")"))</f>
        <v>Tommy Nolan (Ashby ICC)</v>
      </c>
      <c r="H3" t="s">
        <v>469</v>
      </c>
    </row>
    <row r="4" spans="1:8" ht="14.25">
      <c r="A4" t="s">
        <v>786</v>
      </c>
      <c r="B4" t="s">
        <v>788</v>
      </c>
      <c r="C4" s="36" t="str">
        <f t="shared" ref="C4:C35" si="0">IF(ISBLANK(B4),IF(ISBLANK(A4),"",A4),_xlfn.CONCAT(A4," (",B4,")"))</f>
        <v>Daniel Town (Beeston CC)</v>
      </c>
      <c r="H4" t="s">
        <v>472</v>
      </c>
    </row>
    <row r="5" spans="1:8" ht="14.25">
      <c r="A5" t="s">
        <v>634</v>
      </c>
      <c r="B5" t="s">
        <v>635</v>
      </c>
      <c r="C5" s="36" t="str">
        <f t="shared" si="0"/>
        <v>Marc Fairclough (Beeston RC)</v>
      </c>
    </row>
    <row r="6" spans="1:8" ht="14.25">
      <c r="A6" t="s">
        <v>470</v>
      </c>
      <c r="B6" t="s">
        <v>471</v>
      </c>
      <c r="C6" s="36" t="str">
        <f t="shared" si="0"/>
        <v>David Marshall (Bluelight CC)</v>
      </c>
    </row>
    <row r="7" spans="1:8" ht="14.25">
      <c r="A7" t="s">
        <v>689</v>
      </c>
      <c r="B7" t="s">
        <v>684</v>
      </c>
      <c r="C7" s="36" t="str">
        <f t="shared" si="0"/>
        <v>Ali Nurgat (BOB CC)</v>
      </c>
    </row>
    <row r="8" spans="1:8" ht="14.25">
      <c r="A8" t="s">
        <v>591</v>
      </c>
      <c r="B8" t="s">
        <v>684</v>
      </c>
      <c r="C8" s="36" t="str">
        <f t="shared" si="0"/>
        <v>Mohammed Nurgat (BOB CC)</v>
      </c>
    </row>
    <row r="9" spans="1:8" ht="14.25">
      <c r="A9" t="s">
        <v>633</v>
      </c>
      <c r="B9" t="s">
        <v>684</v>
      </c>
      <c r="C9" s="36" t="str">
        <f t="shared" si="0"/>
        <v>Shareeq S. Shaikh (BOB CC)</v>
      </c>
    </row>
    <row r="10" spans="1:8" ht="14.25">
      <c r="A10" t="s">
        <v>738</v>
      </c>
      <c r="B10" t="s">
        <v>474</v>
      </c>
      <c r="C10" s="36" t="str">
        <f t="shared" si="0"/>
        <v>Andrea Winkless (Coalville Wheelers)</v>
      </c>
      <c r="D10" t="s">
        <v>372</v>
      </c>
    </row>
    <row r="11" spans="1:8" ht="14.25">
      <c r="A11" t="s">
        <v>743</v>
      </c>
      <c r="B11" t="s">
        <v>474</v>
      </c>
      <c r="C11" s="36" t="str">
        <f t="shared" si="0"/>
        <v>David Alexander (Coalville Wheelers)</v>
      </c>
    </row>
    <row r="12" spans="1:8" ht="14.25">
      <c r="A12" t="s">
        <v>638</v>
      </c>
      <c r="B12" t="s">
        <v>474</v>
      </c>
      <c r="C12" s="36" t="str">
        <f t="shared" si="0"/>
        <v>James Dexter (Coalville Wheelers)</v>
      </c>
    </row>
    <row r="13" spans="1:8" ht="14.25">
      <c r="A13" t="s">
        <v>473</v>
      </c>
      <c r="B13" t="s">
        <v>474</v>
      </c>
      <c r="C13" s="36" t="str">
        <f t="shared" si="0"/>
        <v>John Capel (Coalville Wheelers)</v>
      </c>
    </row>
    <row r="14" spans="1:8" ht="14.25">
      <c r="A14" t="s">
        <v>475</v>
      </c>
      <c r="B14" t="s">
        <v>474</v>
      </c>
      <c r="C14" s="36" t="str">
        <f t="shared" si="0"/>
        <v>Pamela Moore (Coalville Wheelers)</v>
      </c>
      <c r="D14" t="s">
        <v>372</v>
      </c>
    </row>
    <row r="15" spans="1:8" ht="14.25">
      <c r="A15" t="s">
        <v>713</v>
      </c>
      <c r="B15" t="s">
        <v>477</v>
      </c>
      <c r="C15" s="36" t="str">
        <f t="shared" si="0"/>
        <v>Alex Williamson (Cov Tri)</v>
      </c>
    </row>
    <row r="16" spans="1:8" ht="14.25">
      <c r="A16" t="s">
        <v>714</v>
      </c>
      <c r="B16" t="s">
        <v>477</v>
      </c>
      <c r="C16" s="36" t="str">
        <f t="shared" si="0"/>
        <v>David Melhuish (Cov Tri)</v>
      </c>
    </row>
    <row r="17" spans="1:4" ht="14.25">
      <c r="A17" t="s">
        <v>476</v>
      </c>
      <c r="B17" t="s">
        <v>477</v>
      </c>
      <c r="C17" s="36" t="str">
        <f t="shared" si="0"/>
        <v>Jayne Mumford (W) (Cov Tri)</v>
      </c>
      <c r="D17" t="s">
        <v>372</v>
      </c>
    </row>
    <row r="18" spans="1:4" ht="14.25">
      <c r="A18" t="s">
        <v>478</v>
      </c>
      <c r="B18" t="s">
        <v>477</v>
      </c>
      <c r="C18" s="36" t="str">
        <f t="shared" si="0"/>
        <v>Simon Clarke (Cov Tri)</v>
      </c>
    </row>
    <row r="19" spans="1:4" ht="14.25">
      <c r="A19" t="s">
        <v>479</v>
      </c>
      <c r="B19" t="s">
        <v>480</v>
      </c>
      <c r="C19" s="36" t="str">
        <f t="shared" si="0"/>
        <v>Lydia Baxter (FTP Fusion)</v>
      </c>
      <c r="D19" t="s">
        <v>372</v>
      </c>
    </row>
    <row r="20" spans="1:4" ht="14.25">
      <c r="A20" t="s">
        <v>639</v>
      </c>
      <c r="B20" t="s">
        <v>637</v>
      </c>
      <c r="C20" s="36" t="str">
        <f t="shared" si="0"/>
        <v>Muhammad Sheikh (Gapped RT)</v>
      </c>
    </row>
    <row r="21" spans="1:4" ht="14.25">
      <c r="A21" t="s">
        <v>636</v>
      </c>
      <c r="B21" t="s">
        <v>637</v>
      </c>
      <c r="C21" s="36" t="str">
        <f t="shared" si="0"/>
        <v>Umair Nurgat (Gapped RT)</v>
      </c>
    </row>
    <row r="22" spans="1:4" ht="14.25">
      <c r="A22" t="s">
        <v>481</v>
      </c>
      <c r="B22" t="s">
        <v>397</v>
      </c>
      <c r="C22" s="36" t="str">
        <f t="shared" si="0"/>
        <v>Andy Thomas (HCRC)</v>
      </c>
    </row>
    <row r="23" spans="1:4" ht="14.25">
      <c r="A23" t="s">
        <v>482</v>
      </c>
      <c r="B23" t="s">
        <v>397</v>
      </c>
      <c r="C23" s="36" t="str">
        <f t="shared" si="0"/>
        <v>Colin Parkinson (SWRC) (HCRC)</v>
      </c>
    </row>
    <row r="24" spans="1:4" ht="14.25">
      <c r="A24" t="s">
        <v>694</v>
      </c>
      <c r="B24" t="s">
        <v>397</v>
      </c>
      <c r="C24" s="36" t="str">
        <f t="shared" si="0"/>
        <v>Joe Murray (M.I. Racing) (HCRC)</v>
      </c>
    </row>
    <row r="25" spans="1:4" ht="14.25">
      <c r="A25" t="s">
        <v>695</v>
      </c>
      <c r="B25" t="s">
        <v>397</v>
      </c>
      <c r="C25" s="36" t="str">
        <f t="shared" si="0"/>
        <v>Mick Wills (M.I. Racing) (HCRC)</v>
      </c>
    </row>
    <row r="26" spans="1:4" ht="14.25">
      <c r="A26" t="s">
        <v>745</v>
      </c>
      <c r="B26" t="s">
        <v>397</v>
      </c>
      <c r="C26" s="36" t="str">
        <f t="shared" si="0"/>
        <v>Steve Evans (HCRC)</v>
      </c>
    </row>
    <row r="27" spans="1:4" ht="14.25">
      <c r="A27" t="s">
        <v>483</v>
      </c>
      <c r="B27" t="s">
        <v>391</v>
      </c>
      <c r="C27" s="36" t="str">
        <f t="shared" si="0"/>
        <v>Andy King (KCC)</v>
      </c>
    </row>
    <row r="28" spans="1:4" ht="14.25">
      <c r="A28" t="s">
        <v>776</v>
      </c>
      <c r="B28" t="s">
        <v>391</v>
      </c>
      <c r="C28" s="36" t="str">
        <f t="shared" si="0"/>
        <v>Antony Brown (KCC)</v>
      </c>
    </row>
    <row r="29" spans="1:4" ht="14.25">
      <c r="A29" t="s">
        <v>801</v>
      </c>
      <c r="B29" t="s">
        <v>391</v>
      </c>
      <c r="C29" s="36" t="str">
        <f t="shared" si="0"/>
        <v>Damian Ciesielski (KCC)</v>
      </c>
    </row>
    <row r="30" spans="1:4" ht="14.25">
      <c r="A30" s="62" t="s">
        <v>789</v>
      </c>
      <c r="B30" t="s">
        <v>391</v>
      </c>
      <c r="C30" s="36" t="str">
        <f t="shared" si="0"/>
        <v>Evan Collett (George Fox CS) (KCC)</v>
      </c>
    </row>
    <row r="31" spans="1:4" ht="14.25">
      <c r="A31" t="s">
        <v>618</v>
      </c>
      <c r="B31" t="s">
        <v>391</v>
      </c>
      <c r="C31" s="36" t="str">
        <f t="shared" si="0"/>
        <v>Ian Bird (KCC)</v>
      </c>
    </row>
    <row r="32" spans="1:4" ht="14.25">
      <c r="A32" t="s">
        <v>797</v>
      </c>
      <c r="B32" t="s">
        <v>391</v>
      </c>
      <c r="C32" s="36" t="str">
        <f t="shared" si="0"/>
        <v>Jake Bird (Beeston CC) (KCC)</v>
      </c>
    </row>
    <row r="33" spans="1:4" ht="14.25">
      <c r="A33" t="s">
        <v>484</v>
      </c>
      <c r="B33" t="s">
        <v>391</v>
      </c>
      <c r="C33" s="36" t="str">
        <f t="shared" si="0"/>
        <v>Josh Brown (KCC)</v>
      </c>
    </row>
    <row r="34" spans="1:4" ht="14.25">
      <c r="A34" t="s">
        <v>585</v>
      </c>
      <c r="B34" t="s">
        <v>391</v>
      </c>
      <c r="C34" s="36" t="str">
        <f t="shared" si="0"/>
        <v>Maria Cayford (KCC)</v>
      </c>
      <c r="D34" t="s">
        <v>372</v>
      </c>
    </row>
    <row r="35" spans="1:4" ht="14.25">
      <c r="A35" t="s">
        <v>617</v>
      </c>
      <c r="B35" t="s">
        <v>391</v>
      </c>
      <c r="C35" s="36" t="str">
        <f t="shared" si="0"/>
        <v>Michael Wheeler (KCC)</v>
      </c>
    </row>
    <row r="36" spans="1:4" ht="14.25">
      <c r="A36" t="s">
        <v>777</v>
      </c>
      <c r="B36" t="s">
        <v>391</v>
      </c>
      <c r="C36" s="36" t="str">
        <f t="shared" ref="C36:C67" si="1">IF(ISBLANK(B36),IF(ISBLANK(A36),"",A36),_xlfn.CONCAT(A36," (",B36,")"))</f>
        <v>Nick Gallimore (KCC)</v>
      </c>
    </row>
    <row r="37" spans="1:4" ht="14.25">
      <c r="A37" t="s">
        <v>731</v>
      </c>
      <c r="B37" t="s">
        <v>400</v>
      </c>
      <c r="C37" s="36" t="str">
        <f t="shared" si="1"/>
        <v>Dave Tomlinson (LFCC)</v>
      </c>
    </row>
    <row r="38" spans="1:4" ht="14.25">
      <c r="A38" t="s">
        <v>730</v>
      </c>
      <c r="B38" t="s">
        <v>400</v>
      </c>
      <c r="C38" s="36" t="str">
        <f t="shared" si="1"/>
        <v>Eric Fullerton (LFCC)</v>
      </c>
    </row>
    <row r="39" spans="1:4" ht="14.25">
      <c r="A39" t="s">
        <v>787</v>
      </c>
      <c r="B39" t="s">
        <v>400</v>
      </c>
      <c r="C39" s="36" t="str">
        <f t="shared" si="1"/>
        <v>Harriet Hughes (Beeston CC) (LFCC)</v>
      </c>
      <c r="D39" t="s">
        <v>372</v>
      </c>
    </row>
    <row r="40" spans="1:4" ht="14.25">
      <c r="A40" t="s">
        <v>629</v>
      </c>
      <c r="B40" t="s">
        <v>400</v>
      </c>
      <c r="C40" s="36" t="str">
        <f t="shared" si="1"/>
        <v>Jeff Jones (LFCC)</v>
      </c>
    </row>
    <row r="41" spans="1:4" ht="14.25">
      <c r="A41" t="s">
        <v>715</v>
      </c>
      <c r="B41" t="s">
        <v>400</v>
      </c>
      <c r="C41" s="36" t="str">
        <f t="shared" si="1"/>
        <v>Josh Jones (LFCC)</v>
      </c>
    </row>
    <row r="42" spans="1:4" ht="14.25">
      <c r="A42" t="s">
        <v>630</v>
      </c>
      <c r="B42" t="s">
        <v>400</v>
      </c>
      <c r="C42" s="36" t="str">
        <f t="shared" si="1"/>
        <v>Joshua Jones (LFCC)</v>
      </c>
    </row>
    <row r="43" spans="1:4" ht="14.25">
      <c r="A43" t="s">
        <v>485</v>
      </c>
      <c r="B43" t="s">
        <v>400</v>
      </c>
      <c r="C43" s="36" t="str">
        <f t="shared" si="1"/>
        <v>Mat Mabe (LFCC)</v>
      </c>
    </row>
    <row r="44" spans="1:4" ht="14.25">
      <c r="A44" t="s">
        <v>486</v>
      </c>
      <c r="B44" t="s">
        <v>400</v>
      </c>
      <c r="C44" s="36" t="str">
        <f t="shared" si="1"/>
        <v>Matt Finch (LFCC)</v>
      </c>
    </row>
    <row r="45" spans="1:4" ht="14.25">
      <c r="A45" t="s">
        <v>785</v>
      </c>
      <c r="B45" t="s">
        <v>400</v>
      </c>
      <c r="C45" s="36" t="str">
        <f t="shared" si="1"/>
        <v>Matt Law (LFCC)</v>
      </c>
    </row>
    <row r="46" spans="1:4" ht="14.25">
      <c r="A46" t="s">
        <v>487</v>
      </c>
      <c r="B46" t="s">
        <v>400</v>
      </c>
      <c r="C46" s="36" t="str">
        <f t="shared" si="1"/>
        <v>Morris Mabe (LFCC)</v>
      </c>
    </row>
    <row r="47" spans="1:4" ht="14.25">
      <c r="A47" t="s">
        <v>733</v>
      </c>
      <c r="B47" t="s">
        <v>400</v>
      </c>
      <c r="C47" s="36" t="str">
        <f t="shared" si="1"/>
        <v>Pietro Saman (LFCC)</v>
      </c>
    </row>
    <row r="48" spans="1:4" ht="14.25">
      <c r="A48" t="s">
        <v>488</v>
      </c>
      <c r="B48" t="s">
        <v>400</v>
      </c>
      <c r="C48" s="36" t="str">
        <f t="shared" si="1"/>
        <v>Sam Nettel (LFCC)</v>
      </c>
    </row>
    <row r="49" spans="1:4" ht="14.25">
      <c r="A49" t="s">
        <v>631</v>
      </c>
      <c r="B49" t="s">
        <v>400</v>
      </c>
      <c r="C49" s="36" t="str">
        <f t="shared" si="1"/>
        <v>Simon Jones (LFCC)</v>
      </c>
    </row>
    <row r="50" spans="1:4" ht="14.25">
      <c r="A50" t="s">
        <v>685</v>
      </c>
      <c r="B50" t="s">
        <v>400</v>
      </c>
      <c r="C50" s="36" t="str">
        <f t="shared" si="1"/>
        <v>Steve Walsh (LFCC)</v>
      </c>
    </row>
    <row r="51" spans="1:4" ht="14.25">
      <c r="A51" t="s">
        <v>489</v>
      </c>
      <c r="B51" t="s">
        <v>400</v>
      </c>
      <c r="C51" s="36" t="str">
        <f t="shared" si="1"/>
        <v>Talles Medevives (LFCC)</v>
      </c>
    </row>
    <row r="52" spans="1:4" ht="14.25">
      <c r="A52" t="s">
        <v>490</v>
      </c>
      <c r="B52" t="s">
        <v>491</v>
      </c>
      <c r="C52" s="36" t="str">
        <f t="shared" si="1"/>
        <v>Dean Tacey (LRC)</v>
      </c>
    </row>
    <row r="53" spans="1:4" ht="14.25">
      <c r="A53" t="s">
        <v>783</v>
      </c>
      <c r="B53" t="s">
        <v>491</v>
      </c>
      <c r="C53" s="36" t="str">
        <f t="shared" si="1"/>
        <v>Matthew McNamee (LRC)</v>
      </c>
    </row>
    <row r="54" spans="1:4" ht="14.25">
      <c r="A54" t="s">
        <v>716</v>
      </c>
      <c r="B54" t="s">
        <v>696</v>
      </c>
      <c r="C54" s="36" t="str">
        <f t="shared" si="1"/>
        <v>David Mead (M.I. Racing)</v>
      </c>
    </row>
    <row r="55" spans="1:4" ht="14.25">
      <c r="A55" t="s">
        <v>712</v>
      </c>
      <c r="B55" t="s">
        <v>696</v>
      </c>
      <c r="C55" s="36" t="str">
        <f t="shared" si="1"/>
        <v>Mark Wise (M.I. Racing)</v>
      </c>
    </row>
    <row r="56" spans="1:4" ht="14.25">
      <c r="A56" t="s">
        <v>725</v>
      </c>
      <c r="B56" t="s">
        <v>696</v>
      </c>
      <c r="C56" s="36" t="str">
        <f t="shared" si="1"/>
        <v>Simon Law (M.I. Racing)</v>
      </c>
    </row>
    <row r="57" spans="1:4" ht="14.25">
      <c r="A57" t="s">
        <v>693</v>
      </c>
      <c r="B57" t="s">
        <v>696</v>
      </c>
      <c r="C57" s="36" t="str">
        <f t="shared" si="1"/>
        <v>Zoe Shepherd (M.I. Racing)</v>
      </c>
    </row>
    <row r="58" spans="1:4" ht="14.25">
      <c r="A58" t="s">
        <v>492</v>
      </c>
      <c r="B58" t="s">
        <v>493</v>
      </c>
      <c r="C58" s="36" t="str">
        <f t="shared" si="1"/>
        <v>Chris Booth (MOCC)</v>
      </c>
    </row>
    <row r="59" spans="1:4" ht="14.25">
      <c r="A59" t="s">
        <v>494</v>
      </c>
      <c r="B59" t="s">
        <v>493</v>
      </c>
      <c r="C59" s="36" t="str">
        <f t="shared" si="1"/>
        <v>David Cooper (MOCC)</v>
      </c>
    </row>
    <row r="60" spans="1:4" ht="14.25">
      <c r="A60" t="s">
        <v>495</v>
      </c>
      <c r="B60" t="s">
        <v>493</v>
      </c>
      <c r="C60" s="36" t="str">
        <f t="shared" si="1"/>
        <v>Jamie Haines (MOCC)</v>
      </c>
    </row>
    <row r="61" spans="1:4" ht="14.25">
      <c r="A61" t="s">
        <v>735</v>
      </c>
      <c r="B61" t="s">
        <v>493</v>
      </c>
      <c r="C61" s="36" t="str">
        <f t="shared" si="1"/>
        <v>Juraj Rys (MOCC)</v>
      </c>
    </row>
    <row r="62" spans="1:4" ht="14.25">
      <c r="A62" t="s">
        <v>690</v>
      </c>
      <c r="B62" t="s">
        <v>493</v>
      </c>
      <c r="C62" s="36" t="str">
        <f t="shared" si="1"/>
        <v>Laura Ayres (MOCC)</v>
      </c>
      <c r="D62" t="s">
        <v>372</v>
      </c>
    </row>
    <row r="63" spans="1:4" ht="14.25">
      <c r="A63" t="s">
        <v>784</v>
      </c>
      <c r="B63" t="s">
        <v>493</v>
      </c>
      <c r="C63" s="36" t="str">
        <f t="shared" si="1"/>
        <v>Max Wren (MOCC)</v>
      </c>
    </row>
    <row r="64" spans="1:4" ht="14.25">
      <c r="A64" t="s">
        <v>771</v>
      </c>
      <c r="B64" t="s">
        <v>772</v>
      </c>
      <c r="C64" s="36" t="str">
        <f t="shared" si="1"/>
        <v>Joseph Hyde (Numplumz)</v>
      </c>
    </row>
    <row r="65" spans="1:4" ht="14.25">
      <c r="A65" t="s">
        <v>497</v>
      </c>
      <c r="B65" t="s">
        <v>498</v>
      </c>
      <c r="C65" s="36" t="str">
        <f t="shared" si="1"/>
        <v>Lewis Cooper (RAF Tri)</v>
      </c>
    </row>
    <row r="66" spans="1:4" ht="14.25">
      <c r="A66" t="s">
        <v>499</v>
      </c>
      <c r="B66" t="s">
        <v>394</v>
      </c>
      <c r="C66" s="36" t="str">
        <f t="shared" si="1"/>
        <v>Alex Whitmore (Ratae)</v>
      </c>
    </row>
    <row r="67" spans="1:4" ht="14.25">
      <c r="A67" t="s">
        <v>500</v>
      </c>
      <c r="B67" t="s">
        <v>394</v>
      </c>
      <c r="C67" s="36" t="str">
        <f t="shared" si="1"/>
        <v>Brian Lincoln (Ratae)</v>
      </c>
    </row>
    <row r="68" spans="1:4" ht="14.25">
      <c r="A68" t="s">
        <v>653</v>
      </c>
      <c r="B68" t="s">
        <v>394</v>
      </c>
      <c r="C68" s="36" t="str">
        <f t="shared" ref="C68:C99" si="2">IF(ISBLANK(B68),IF(ISBLANK(A68),"",A68),_xlfn.CONCAT(A68," (",B68,")"))</f>
        <v>Brigitte Gaillard (Ratae)</v>
      </c>
      <c r="D68" t="s">
        <v>372</v>
      </c>
    </row>
    <row r="69" spans="1:4" ht="14.25">
      <c r="A69" t="s">
        <v>501</v>
      </c>
      <c r="B69" t="s">
        <v>394</v>
      </c>
      <c r="C69" s="36" t="str">
        <f t="shared" si="2"/>
        <v>Chris Bonsor (Ratae)</v>
      </c>
    </row>
    <row r="70" spans="1:4" ht="14.25">
      <c r="A70" t="s">
        <v>502</v>
      </c>
      <c r="B70" t="s">
        <v>394</v>
      </c>
      <c r="C70" s="36" t="str">
        <f t="shared" si="2"/>
        <v>Chris Spray (Ratae)</v>
      </c>
    </row>
    <row r="71" spans="1:4" ht="14.25">
      <c r="A71" t="s">
        <v>503</v>
      </c>
      <c r="B71" t="s">
        <v>394</v>
      </c>
      <c r="C71" s="36" t="str">
        <f t="shared" si="2"/>
        <v>Debbie Cooper (Ratae)</v>
      </c>
      <c r="D71" t="s">
        <v>372</v>
      </c>
    </row>
    <row r="72" spans="1:4" ht="14.25">
      <c r="A72" t="s">
        <v>504</v>
      </c>
      <c r="B72" t="s">
        <v>394</v>
      </c>
      <c r="C72" s="36" t="str">
        <f t="shared" si="2"/>
        <v>Ed Watson (Ratae)</v>
      </c>
    </row>
    <row r="73" spans="1:4" ht="14.25">
      <c r="A73" t="s">
        <v>780</v>
      </c>
      <c r="B73" s="62" t="s">
        <v>394</v>
      </c>
      <c r="C73" s="36" t="str">
        <f t="shared" si="2"/>
        <v>Geoff Stanbridge (Fenland Clarion) (Ratae)</v>
      </c>
    </row>
    <row r="74" spans="1:4" ht="14.25">
      <c r="A74" t="s">
        <v>736</v>
      </c>
      <c r="B74" t="s">
        <v>394</v>
      </c>
      <c r="C74" s="36" t="str">
        <f t="shared" si="2"/>
        <v>Jim Smith (Ratae)</v>
      </c>
    </row>
    <row r="75" spans="1:4" ht="14.25">
      <c r="A75" t="s">
        <v>505</v>
      </c>
      <c r="B75" t="s">
        <v>394</v>
      </c>
      <c r="C75" s="36" t="str">
        <f t="shared" si="2"/>
        <v>Jonathon Clarke (Ratae)</v>
      </c>
      <c r="D75" s="36"/>
    </row>
    <row r="76" spans="1:4" ht="14.25">
      <c r="A76" t="s">
        <v>640</v>
      </c>
      <c r="B76" t="s">
        <v>394</v>
      </c>
      <c r="C76" s="36" t="str">
        <f t="shared" si="2"/>
        <v>Karl Williams (Ratae)</v>
      </c>
    </row>
    <row r="77" spans="1:4" ht="14.25">
      <c r="A77" t="s">
        <v>506</v>
      </c>
      <c r="B77" t="s">
        <v>394</v>
      </c>
      <c r="C77" s="36" t="str">
        <f t="shared" si="2"/>
        <v>Lesley Allden (Ratae)</v>
      </c>
      <c r="D77" t="s">
        <v>372</v>
      </c>
    </row>
    <row r="78" spans="1:4" ht="14.25">
      <c r="A78" t="s">
        <v>507</v>
      </c>
      <c r="B78" t="s">
        <v>394</v>
      </c>
      <c r="C78" s="36" t="str">
        <f t="shared" si="2"/>
        <v>Lucy Sturgess (Ratae)</v>
      </c>
      <c r="D78" t="s">
        <v>372</v>
      </c>
    </row>
    <row r="79" spans="1:4" ht="14.25">
      <c r="A79" t="s">
        <v>508</v>
      </c>
      <c r="B79" t="s">
        <v>394</v>
      </c>
      <c r="C79" s="36" t="str">
        <f t="shared" si="2"/>
        <v>Mark Marmoy (Ratae)</v>
      </c>
    </row>
    <row r="80" spans="1:4" ht="14.25">
      <c r="A80" t="s">
        <v>509</v>
      </c>
      <c r="B80" t="s">
        <v>394</v>
      </c>
      <c r="C80" s="36" t="str">
        <f t="shared" si="2"/>
        <v>Mark Newton (Ratae)</v>
      </c>
    </row>
    <row r="81" spans="1:4" ht="14.25">
      <c r="A81" t="s">
        <v>510</v>
      </c>
      <c r="B81" t="s">
        <v>394</v>
      </c>
      <c r="C81" s="36" t="str">
        <f t="shared" si="2"/>
        <v>Marshall Briggs (Ratae)</v>
      </c>
    </row>
    <row r="82" spans="1:4" ht="14.25">
      <c r="A82" t="s">
        <v>511</v>
      </c>
      <c r="B82" t="s">
        <v>394</v>
      </c>
      <c r="C82" s="36" t="str">
        <f t="shared" si="2"/>
        <v>Natalie Harris (Ratae)</v>
      </c>
      <c r="D82" t="s">
        <v>372</v>
      </c>
    </row>
    <row r="83" spans="1:4" ht="14.25">
      <c r="A83" t="s">
        <v>769</v>
      </c>
      <c r="B83" t="s">
        <v>394</v>
      </c>
      <c r="C83" s="36" t="str">
        <f t="shared" si="2"/>
        <v>Nikki Allen (Ratae)</v>
      </c>
      <c r="D83" t="s">
        <v>372</v>
      </c>
    </row>
    <row r="84" spans="1:4" ht="14.25">
      <c r="A84" t="s">
        <v>512</v>
      </c>
      <c r="B84" t="s">
        <v>394</v>
      </c>
      <c r="C84" s="36" t="str">
        <f t="shared" si="2"/>
        <v>Paul Eden (Ratae)</v>
      </c>
    </row>
    <row r="85" spans="1:4" ht="14.25">
      <c r="A85" t="s">
        <v>654</v>
      </c>
      <c r="B85" t="s">
        <v>394</v>
      </c>
      <c r="C85" s="36" t="str">
        <f t="shared" si="2"/>
        <v>Peter Kott (Ratae)</v>
      </c>
    </row>
    <row r="86" spans="1:4" ht="14.25">
      <c r="A86" t="s">
        <v>513</v>
      </c>
      <c r="B86" t="s">
        <v>394</v>
      </c>
      <c r="C86" s="36" t="str">
        <f t="shared" si="2"/>
        <v>Sadie Murphy (Ratae)</v>
      </c>
      <c r="D86" t="s">
        <v>372</v>
      </c>
    </row>
    <row r="87" spans="1:4" ht="14.25">
      <c r="A87" s="62" t="s">
        <v>770</v>
      </c>
      <c r="B87" t="s">
        <v>394</v>
      </c>
      <c r="C87" s="36" t="str">
        <f t="shared" si="2"/>
        <v>Sally Richards (Ratae)</v>
      </c>
      <c r="D87" t="s">
        <v>372</v>
      </c>
    </row>
    <row r="88" spans="1:4" ht="14.25">
      <c r="A88" t="s">
        <v>514</v>
      </c>
      <c r="B88" t="s">
        <v>394</v>
      </c>
      <c r="C88" s="36" t="str">
        <f t="shared" si="2"/>
        <v>Steve Pearce (Ratae)</v>
      </c>
    </row>
    <row r="89" spans="1:4" ht="14.25">
      <c r="A89" t="s">
        <v>632</v>
      </c>
      <c r="B89" t="s">
        <v>394</v>
      </c>
      <c r="C89" s="36" t="str">
        <f t="shared" si="2"/>
        <v>Sue Bonsor (Ratae)</v>
      </c>
      <c r="D89" t="s">
        <v>372</v>
      </c>
    </row>
    <row r="90" spans="1:4" ht="14.25">
      <c r="A90" t="s">
        <v>515</v>
      </c>
      <c r="B90" t="s">
        <v>385</v>
      </c>
      <c r="C90" s="36" t="str">
        <f t="shared" si="2"/>
        <v>Adam Wells (RFW)</v>
      </c>
    </row>
    <row r="91" spans="1:4" ht="14.25">
      <c r="A91" t="s">
        <v>589</v>
      </c>
      <c r="B91" t="s">
        <v>385</v>
      </c>
      <c r="C91" s="36" t="str">
        <f t="shared" si="2"/>
        <v>Alex Barrowman (RFW)</v>
      </c>
    </row>
    <row r="92" spans="1:4" ht="14.25">
      <c r="A92" t="s">
        <v>516</v>
      </c>
      <c r="B92" t="s">
        <v>385</v>
      </c>
      <c r="C92" s="36" t="str">
        <f t="shared" si="2"/>
        <v>Anne Gilhespy (RFW)</v>
      </c>
      <c r="D92" t="s">
        <v>372</v>
      </c>
    </row>
    <row r="93" spans="1:4" ht="14.25">
      <c r="A93" t="s">
        <v>517</v>
      </c>
      <c r="B93" t="s">
        <v>385</v>
      </c>
      <c r="C93" s="36" t="str">
        <f t="shared" si="2"/>
        <v>Chris Fowler (RFW)</v>
      </c>
    </row>
    <row r="94" spans="1:4" ht="14.25">
      <c r="A94" t="s">
        <v>518</v>
      </c>
      <c r="B94" t="s">
        <v>385</v>
      </c>
      <c r="C94" s="36" t="str">
        <f t="shared" si="2"/>
        <v>Dan Hempkin (RFW)</v>
      </c>
    </row>
    <row r="95" spans="1:4" ht="14.25">
      <c r="A95" t="s">
        <v>519</v>
      </c>
      <c r="B95" t="s">
        <v>385</v>
      </c>
      <c r="C95" s="36" t="str">
        <f t="shared" si="2"/>
        <v>David Hill (RFW)</v>
      </c>
    </row>
    <row r="96" spans="1:4" ht="14.25">
      <c r="A96" t="s">
        <v>625</v>
      </c>
      <c r="B96" t="s">
        <v>385</v>
      </c>
      <c r="C96" s="36" t="str">
        <f t="shared" si="2"/>
        <v>Ethan Mitchell-Clarke (Team Bottrill Nopinz) (RFW)</v>
      </c>
    </row>
    <row r="97" spans="1:4" ht="14.25">
      <c r="A97" t="s">
        <v>793</v>
      </c>
      <c r="B97" t="s">
        <v>385</v>
      </c>
      <c r="C97" s="36" t="str">
        <f t="shared" si="2"/>
        <v>Giles Brook (RFW)</v>
      </c>
    </row>
    <row r="98" spans="1:4" ht="14.25">
      <c r="A98" t="s">
        <v>520</v>
      </c>
      <c r="B98" t="s">
        <v>385</v>
      </c>
      <c r="C98" s="36" t="str">
        <f t="shared" si="2"/>
        <v>Giles Cooper (RFW)</v>
      </c>
    </row>
    <row r="99" spans="1:4" ht="14.25">
      <c r="A99" t="s">
        <v>584</v>
      </c>
      <c r="B99" t="s">
        <v>385</v>
      </c>
      <c r="C99" s="36" t="str">
        <f t="shared" si="2"/>
        <v>Graeme Hall (RFW)</v>
      </c>
    </row>
    <row r="100" spans="1:4" ht="14.25">
      <c r="A100" t="s">
        <v>521</v>
      </c>
      <c r="B100" t="s">
        <v>385</v>
      </c>
      <c r="C100" s="36" t="str">
        <f t="shared" ref="C100:C131" si="3">IF(ISBLANK(B100),IF(ISBLANK(A100),"",A100),_xlfn.CONCAT(A100," (",B100,")"))</f>
        <v>Gregg Payne (RFW)</v>
      </c>
    </row>
    <row r="101" spans="1:4" ht="14.25">
      <c r="A101" t="s">
        <v>588</v>
      </c>
      <c r="B101" t="s">
        <v>385</v>
      </c>
      <c r="C101" s="36" t="str">
        <f t="shared" si="3"/>
        <v>Hudson Hendry (Ride Revolution) (RFW)</v>
      </c>
    </row>
    <row r="102" spans="1:4" ht="14.25">
      <c r="A102" t="s">
        <v>590</v>
      </c>
      <c r="B102" t="s">
        <v>385</v>
      </c>
      <c r="C102" s="36" t="str">
        <f t="shared" si="3"/>
        <v>Laurence Noble (RFW)</v>
      </c>
    </row>
    <row r="103" spans="1:4" ht="14.25">
      <c r="A103" t="s">
        <v>522</v>
      </c>
      <c r="B103" t="s">
        <v>385</v>
      </c>
      <c r="C103" s="36" t="str">
        <f t="shared" si="3"/>
        <v>Lynne Scofield (RFW)</v>
      </c>
      <c r="D103" t="s">
        <v>372</v>
      </c>
    </row>
    <row r="104" spans="1:4" ht="14.25">
      <c r="A104" t="s">
        <v>523</v>
      </c>
      <c r="B104" t="s">
        <v>385</v>
      </c>
      <c r="C104" s="36" t="str">
        <f t="shared" si="3"/>
        <v>Lynne Wilkinson-Scofield (RFW)</v>
      </c>
      <c r="D104" t="s">
        <v>372</v>
      </c>
    </row>
    <row r="105" spans="1:4" ht="14.25">
      <c r="A105" t="s">
        <v>524</v>
      </c>
      <c r="B105" t="s">
        <v>385</v>
      </c>
      <c r="C105" s="36" t="str">
        <f t="shared" si="3"/>
        <v>Michael Carter (RFW)</v>
      </c>
    </row>
    <row r="106" spans="1:4" ht="14.25">
      <c r="A106" t="s">
        <v>795</v>
      </c>
      <c r="B106" t="s">
        <v>385</v>
      </c>
      <c r="C106" s="36" t="str">
        <f t="shared" si="3"/>
        <v>Michael Weaver (RFW)</v>
      </c>
    </row>
    <row r="107" spans="1:4" ht="14.25">
      <c r="A107" s="62" t="s">
        <v>790</v>
      </c>
      <c r="B107" t="s">
        <v>385</v>
      </c>
      <c r="C107" s="36" t="str">
        <f t="shared" si="3"/>
        <v>Mike Deely (George Fox CS) (RFW)</v>
      </c>
    </row>
    <row r="108" spans="1:4" ht="14.25">
      <c r="A108" t="s">
        <v>803</v>
      </c>
      <c r="B108" t="s">
        <v>385</v>
      </c>
      <c r="C108" s="36" t="str">
        <f t="shared" si="3"/>
        <v>Nigel Tomlinson (RFW)</v>
      </c>
    </row>
    <row r="109" spans="1:4" ht="14.25">
      <c r="A109" t="s">
        <v>512</v>
      </c>
      <c r="B109" t="s">
        <v>385</v>
      </c>
      <c r="C109" s="36" t="str">
        <f t="shared" si="3"/>
        <v>Paul Eden (RFW)</v>
      </c>
    </row>
    <row r="110" spans="1:4" ht="14.25">
      <c r="A110" t="s">
        <v>525</v>
      </c>
      <c r="B110" t="s">
        <v>385</v>
      </c>
      <c r="C110" s="36" t="str">
        <f t="shared" si="3"/>
        <v>Paul Russell (RFW)</v>
      </c>
    </row>
    <row r="111" spans="1:4" ht="14.25">
      <c r="A111" t="s">
        <v>526</v>
      </c>
      <c r="B111" t="s">
        <v>385</v>
      </c>
      <c r="C111" s="36" t="str">
        <f t="shared" si="3"/>
        <v>Paul Ryan (RFW)</v>
      </c>
    </row>
    <row r="112" spans="1:4" ht="14.25">
      <c r="A112" t="s">
        <v>626</v>
      </c>
      <c r="B112" t="s">
        <v>385</v>
      </c>
      <c r="C112" s="36" t="str">
        <f t="shared" si="3"/>
        <v>Pete Bradshaw (RFW)</v>
      </c>
    </row>
    <row r="113" spans="1:3" ht="14.25">
      <c r="A113" t="s">
        <v>527</v>
      </c>
      <c r="B113" t="s">
        <v>385</v>
      </c>
      <c r="C113" s="36" t="str">
        <f t="shared" si="3"/>
        <v>Phil Wilkinson (RFW)</v>
      </c>
    </row>
    <row r="114" spans="1:3" ht="14.25">
      <c r="A114" t="s">
        <v>794</v>
      </c>
      <c r="B114" t="s">
        <v>385</v>
      </c>
      <c r="C114" s="36" t="str">
        <f t="shared" si="3"/>
        <v>Simon Addy (RFW)</v>
      </c>
    </row>
    <row r="115" spans="1:3" ht="14.25">
      <c r="A115" t="s">
        <v>586</v>
      </c>
      <c r="B115" t="s">
        <v>385</v>
      </c>
      <c r="C115" s="36" t="str">
        <f t="shared" si="3"/>
        <v>Steve Coombs (RFW)</v>
      </c>
    </row>
    <row r="116" spans="1:3" ht="14.25">
      <c r="A116" t="s">
        <v>587</v>
      </c>
      <c r="B116" t="s">
        <v>385</v>
      </c>
      <c r="C116" s="36" t="str">
        <f t="shared" si="3"/>
        <v>Steve Wickham (RFW)</v>
      </c>
    </row>
    <row r="117" spans="1:3" ht="14.25">
      <c r="A117" t="s">
        <v>529</v>
      </c>
      <c r="B117" t="s">
        <v>530</v>
      </c>
      <c r="C117" s="36" t="str">
        <f t="shared" si="3"/>
        <v>Adrian James (Rugby RCC)</v>
      </c>
    </row>
    <row r="118" spans="1:3" ht="14.25">
      <c r="A118" t="s">
        <v>742</v>
      </c>
      <c r="B118" t="s">
        <v>530</v>
      </c>
      <c r="C118" s="36" t="str">
        <f t="shared" si="3"/>
        <v>Angus Gordon (Rugby RCC)</v>
      </c>
    </row>
    <row r="119" spans="1:3" ht="14.25">
      <c r="A119" t="s">
        <v>739</v>
      </c>
      <c r="B119" t="s">
        <v>740</v>
      </c>
      <c r="C119" s="36" t="str">
        <f t="shared" si="3"/>
        <v>Tom Swain (Rugby Tri)</v>
      </c>
    </row>
    <row r="120" spans="1:3" ht="14.25">
      <c r="A120" t="s">
        <v>531</v>
      </c>
      <c r="B120" t="s">
        <v>532</v>
      </c>
      <c r="C120" s="36" t="str">
        <f t="shared" si="3"/>
        <v>Carl Shaw (Speedhub)</v>
      </c>
    </row>
    <row r="121" spans="1:3" ht="14.25">
      <c r="A121" t="s">
        <v>686</v>
      </c>
      <c r="B121" t="s">
        <v>532</v>
      </c>
      <c r="C121" s="36" t="str">
        <f t="shared" si="3"/>
        <v>Tom Swan (Speedhub)</v>
      </c>
    </row>
    <row r="122" spans="1:3" ht="14.25">
      <c r="A122" t="s">
        <v>752</v>
      </c>
      <c r="B122" t="s">
        <v>753</v>
      </c>
      <c r="C122" s="36" t="str">
        <f t="shared" si="3"/>
        <v>Andy Logie (SSVC)</v>
      </c>
    </row>
    <row r="123" spans="1:3" ht="14.25">
      <c r="A123" t="s">
        <v>756</v>
      </c>
      <c r="B123" t="s">
        <v>753</v>
      </c>
      <c r="C123" s="36" t="str">
        <f t="shared" si="3"/>
        <v>Simon Thomas (SSVC)</v>
      </c>
    </row>
    <row r="124" spans="1:3" ht="14.25">
      <c r="A124" t="s">
        <v>533</v>
      </c>
      <c r="B124" t="s">
        <v>534</v>
      </c>
      <c r="C124" s="36" t="str">
        <f t="shared" si="3"/>
        <v>Oliver Searle (St Ives CC)</v>
      </c>
    </row>
    <row r="125" spans="1:3" ht="14.25">
      <c r="A125" t="s">
        <v>687</v>
      </c>
      <c r="B125" t="s">
        <v>688</v>
      </c>
      <c r="C125" s="36" t="str">
        <f t="shared" si="3"/>
        <v>Tom Scott-Collins (Velo Elite)</v>
      </c>
    </row>
    <row r="126" spans="1:3" ht="14.25">
      <c r="A126" t="s">
        <v>691</v>
      </c>
      <c r="B126" t="s">
        <v>692</v>
      </c>
      <c r="C126" s="36" t="str">
        <f t="shared" si="3"/>
        <v>Paul Akroyd (VTTA E.Mids)</v>
      </c>
    </row>
    <row r="127" spans="1:3" ht="14.25">
      <c r="A127" t="s">
        <v>773</v>
      </c>
      <c r="B127" t="s">
        <v>774</v>
      </c>
      <c r="C127" s="36" t="str">
        <f t="shared" si="3"/>
        <v>Peter Cowler (Wellingborough AC)</v>
      </c>
    </row>
    <row r="128" spans="1:3" ht="14.25">
      <c r="A128" t="s">
        <v>747</v>
      </c>
      <c r="B128" t="s">
        <v>748</v>
      </c>
      <c r="C128" s="36" t="str">
        <f t="shared" si="3"/>
        <v>Julian Church (Worcester St. Johns CC)</v>
      </c>
    </row>
    <row r="129" spans="1:4" ht="14.25">
      <c r="A129" t="s">
        <v>749</v>
      </c>
      <c r="B129" t="s">
        <v>748</v>
      </c>
      <c r="C129" s="36" t="str">
        <f t="shared" si="3"/>
        <v>Oliver Church (Worcester St. Johns CC)</v>
      </c>
    </row>
    <row r="130" spans="1:4" ht="14.25">
      <c r="A130" t="s">
        <v>623</v>
      </c>
      <c r="B130" t="s">
        <v>388</v>
      </c>
      <c r="C130" s="36" t="str">
        <f t="shared" si="3"/>
        <v>Ed Tarelli (Race Hub) (WVCC)</v>
      </c>
      <c r="D130" s="36"/>
    </row>
    <row r="131" spans="1:4" ht="14.25">
      <c r="A131" t="s">
        <v>622</v>
      </c>
      <c r="B131" t="s">
        <v>388</v>
      </c>
      <c r="C131" s="36" t="str">
        <f t="shared" si="3"/>
        <v>Jamie Kershaw (Beeston CC) (WVCC)</v>
      </c>
    </row>
    <row r="132" spans="1:4" ht="14.25">
      <c r="A132" t="s">
        <v>624</v>
      </c>
      <c r="B132" t="s">
        <v>388</v>
      </c>
      <c r="C132" s="36" t="str">
        <f t="shared" ref="C132:C160" si="4">IF(ISBLANK(B132),IF(ISBLANK(A132),"",A132),_xlfn.CONCAT(A132," (",B132,")"))</f>
        <v>Jennifer Clegg (Team Bottrill Nopinz) (WVCC)</v>
      </c>
      <c r="D132" t="s">
        <v>372</v>
      </c>
    </row>
    <row r="133" spans="1:4" ht="14.25">
      <c r="A133" t="s">
        <v>791</v>
      </c>
      <c r="B133" t="s">
        <v>388</v>
      </c>
      <c r="C133" s="36" t="str">
        <f t="shared" si="4"/>
        <v>Leah Cuthbertson (George Fox CS) (WVCC)</v>
      </c>
      <c r="D133" t="s">
        <v>372</v>
      </c>
    </row>
    <row r="134" spans="1:4" ht="14.25">
      <c r="A134" t="s">
        <v>621</v>
      </c>
      <c r="B134" t="s">
        <v>388</v>
      </c>
      <c r="C134" s="36" t="str">
        <f t="shared" si="4"/>
        <v>Ruby Isaac (CAMS Majaco) (WVCC)</v>
      </c>
      <c r="D134" t="s">
        <v>372</v>
      </c>
    </row>
    <row r="135" spans="1:4" ht="14.25">
      <c r="A135" t="s">
        <v>804</v>
      </c>
      <c r="B135" t="s">
        <v>391</v>
      </c>
      <c r="C135" s="36" t="str">
        <f t="shared" si="4"/>
        <v>James Belton (KCC)</v>
      </c>
    </row>
    <row r="136" spans="1:4" ht="14.25">
      <c r="A136" t="s">
        <v>805</v>
      </c>
      <c r="B136" t="s">
        <v>385</v>
      </c>
      <c r="C136" s="36" t="str">
        <f t="shared" si="4"/>
        <v>Ruth Dempsey (RFW)</v>
      </c>
      <c r="D136" t="s">
        <v>372</v>
      </c>
    </row>
    <row r="137" spans="1:4" ht="14.25">
      <c r="A137" t="s">
        <v>806</v>
      </c>
      <c r="B137" t="s">
        <v>391</v>
      </c>
      <c r="C137" s="36" t="str">
        <f t="shared" si="4"/>
        <v>Michael Cowland (KCC)</v>
      </c>
    </row>
    <row r="138" spans="1:4" ht="14.25">
      <c r="A138" t="s">
        <v>807</v>
      </c>
      <c r="B138" t="s">
        <v>385</v>
      </c>
      <c r="C138" s="36" t="str">
        <f t="shared" si="4"/>
        <v>Peter McDonald (RFW)</v>
      </c>
    </row>
    <row r="139" spans="1:4" ht="14.25">
      <c r="A139" t="s">
        <v>809</v>
      </c>
      <c r="B139" t="s">
        <v>391</v>
      </c>
      <c r="C139" s="36" t="str">
        <f t="shared" si="4"/>
        <v>Dave Cunningham (KCC)</v>
      </c>
    </row>
    <row r="140" spans="1:4" ht="14.25">
      <c r="A140" t="s">
        <v>812</v>
      </c>
      <c r="B140" t="s">
        <v>391</v>
      </c>
      <c r="C140" s="36" t="str">
        <f t="shared" si="4"/>
        <v>Ondrej Humplik (KCC)</v>
      </c>
    </row>
    <row r="141" spans="1:4" ht="14.25">
      <c r="A141" t="s">
        <v>813</v>
      </c>
      <c r="B141" t="s">
        <v>391</v>
      </c>
      <c r="C141" s="36" t="str">
        <f t="shared" si="4"/>
        <v>Andrea Woolcott (KCC)</v>
      </c>
      <c r="D141" t="s">
        <v>372</v>
      </c>
    </row>
    <row r="142" spans="1:4" ht="14.25">
      <c r="A142" t="s">
        <v>816</v>
      </c>
      <c r="B142" t="s">
        <v>391</v>
      </c>
      <c r="C142" s="36" t="str">
        <f t="shared" si="4"/>
        <v>Lukas Humplik (Beeston CC) (KCC)</v>
      </c>
    </row>
    <row r="143" spans="1:4" ht="14.25">
      <c r="A143" t="s">
        <v>817</v>
      </c>
      <c r="B143" t="s">
        <v>385</v>
      </c>
      <c r="C143" s="36" t="str">
        <f t="shared" si="4"/>
        <v>Shay Dempsey (RFW)</v>
      </c>
    </row>
    <row r="144" spans="1:4" ht="14.25">
      <c r="A144" t="s">
        <v>818</v>
      </c>
      <c r="B144" t="s">
        <v>391</v>
      </c>
      <c r="C144" s="36" t="str">
        <f t="shared" si="4"/>
        <v>Tajvinder Badh (KCC)</v>
      </c>
    </row>
    <row r="145" spans="1:4" ht="14.25">
      <c r="A145" t="s">
        <v>820</v>
      </c>
      <c r="B145" t="s">
        <v>391</v>
      </c>
      <c r="C145" s="36" t="str">
        <f t="shared" si="4"/>
        <v>Darren Gillings (KCC)</v>
      </c>
    </row>
    <row r="146" spans="1:4" ht="14.25">
      <c r="A146" t="s">
        <v>821</v>
      </c>
      <c r="B146" t="s">
        <v>391</v>
      </c>
      <c r="C146" s="36" t="str">
        <f t="shared" si="4"/>
        <v>Andrew Brown (KCC)</v>
      </c>
    </row>
    <row r="147" spans="1:4" ht="14.25">
      <c r="A147" t="s">
        <v>822</v>
      </c>
      <c r="B147" t="s">
        <v>388</v>
      </c>
      <c r="C147" s="36" t="str">
        <f t="shared" si="4"/>
        <v>Lydia Baxter (FTP) (WVCC)</v>
      </c>
      <c r="D147" t="s">
        <v>372</v>
      </c>
    </row>
    <row r="148" spans="1:4" ht="14.25">
      <c r="C148" s="36" t="str">
        <f t="shared" si="4"/>
        <v/>
      </c>
    </row>
    <row r="149" spans="1:4" ht="14.25">
      <c r="C149" s="36" t="str">
        <f t="shared" si="4"/>
        <v/>
      </c>
    </row>
    <row r="150" spans="1:4" ht="14.25">
      <c r="C150" s="36" t="str">
        <f t="shared" si="4"/>
        <v/>
      </c>
    </row>
    <row r="151" spans="1:4" ht="14.25">
      <c r="C151" s="36" t="str">
        <f t="shared" si="4"/>
        <v/>
      </c>
    </row>
    <row r="152" spans="1:4" ht="14.25">
      <c r="C152" s="36" t="str">
        <f t="shared" si="4"/>
        <v/>
      </c>
    </row>
    <row r="153" spans="1:4" ht="14.25">
      <c r="C153" s="36" t="str">
        <f t="shared" si="4"/>
        <v/>
      </c>
    </row>
    <row r="154" spans="1:4" ht="14.25">
      <c r="C154" s="36" t="str">
        <f t="shared" si="4"/>
        <v/>
      </c>
    </row>
    <row r="155" spans="1:4" ht="14.25">
      <c r="C155" s="36" t="str">
        <f t="shared" si="4"/>
        <v/>
      </c>
    </row>
    <row r="156" spans="1:4" ht="14.25">
      <c r="C156" s="36" t="str">
        <f t="shared" si="4"/>
        <v/>
      </c>
    </row>
    <row r="157" spans="1:4" ht="14.25">
      <c r="C157" s="36" t="str">
        <f t="shared" si="4"/>
        <v/>
      </c>
    </row>
    <row r="158" spans="1:4" ht="14.25">
      <c r="C158" s="36" t="str">
        <f t="shared" si="4"/>
        <v/>
      </c>
    </row>
    <row r="159" spans="1:4" ht="14.25">
      <c r="C159" s="36" t="str">
        <f t="shared" si="4"/>
        <v/>
      </c>
    </row>
    <row r="160" spans="1:4" ht="14.25">
      <c r="C160" s="36" t="str">
        <f t="shared" si="4"/>
        <v/>
      </c>
    </row>
    <row r="161" spans="3:3" s="37" customFormat="1"/>
    <row r="163" spans="3:3" ht="14.25">
      <c r="C163" s="36"/>
    </row>
    <row r="164" spans="3:3" ht="14.25">
      <c r="C164" s="36"/>
    </row>
    <row r="165" spans="3:3" ht="14.25">
      <c r="C165" s="36"/>
    </row>
  </sheetData>
  <autoFilter ref="A1:D67" xr:uid="{00000000-0001-0000-1100-000000000000}"/>
  <sortState xmlns:xlrd2="http://schemas.microsoft.com/office/spreadsheetml/2017/richdata2" ref="A2:D160">
    <sortCondition ref="B2:B160"/>
    <sortCondition ref="A2:A160"/>
  </sortState>
  <conditionalFormatting sqref="A2:D160">
    <cfRule type="expression" dxfId="83" priority="1">
      <formula>$B2="WVCC"</formula>
    </cfRule>
  </conditionalFormatting>
  <conditionalFormatting sqref="G2:G4">
    <cfRule type="uniqueValues" dxfId="82" priority="2"/>
  </conditionalFormatting>
  <pageMargins left="0.7" right="0.7" top="0.75" bottom="0.75" header="0.3" footer="0.3"/>
  <pageSetup paperSize="9" orientation="portrait"/>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2">
    <pageSetUpPr fitToPage="1"/>
  </sheetPr>
  <dimension ref="A1:J104"/>
  <sheetViews>
    <sheetView workbookViewId="0"/>
    <sheetView workbookViewId="1"/>
  </sheetViews>
  <sheetFormatPr defaultColWidth="9.1328125" defaultRowHeight="12.75"/>
  <cols>
    <col min="1" max="1" width="20.19921875" bestFit="1" customWidth="1"/>
    <col min="2" max="2" width="23.86328125" bestFit="1" customWidth="1"/>
    <col min="3" max="4" width="4.796875" customWidth="1"/>
    <col min="5" max="5" width="7.1328125" customWidth="1"/>
    <col min="6" max="7" width="11.1328125" customWidth="1"/>
    <col min="8" max="8" width="30.53125" bestFit="1"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453</v>
      </c>
      <c r="B2" s="47">
        <v>558</v>
      </c>
      <c r="C2" s="48"/>
      <c r="D2" s="49">
        <v>43</v>
      </c>
      <c r="E2" s="49">
        <v>1</v>
      </c>
      <c r="F2" s="49" t="s">
        <v>544</v>
      </c>
      <c r="G2" s="49"/>
      <c r="H2" s="50" t="str">
        <f>IF($B2="","",IF($J2="X",B2,CONCATENATE(VLOOKUP(B2,Competitors!$A$2:$I$650,3, FALSE)," ",VLOOKUP(B2,Competitors!$A$2:$I$650,2,FALSE))))</f>
        <v>Andrew Weatherby</v>
      </c>
      <c r="I2" s="51">
        <f t="shared" ref="I2:I65" si="0">IF(LEFT($F2,1)="D",UPPER($F2),(C2*3600+D2*60+E2)/86400)</f>
        <v>2.9872685185185186E-2</v>
      </c>
      <c r="J2" t="str">
        <f t="shared" ref="J2:J65" si="1">IF(OR(B2="",ISNUMBER(B2)),"","X")</f>
        <v/>
      </c>
    </row>
    <row r="3" spans="1:10" ht="15">
      <c r="A3" s="46" t="s">
        <v>447</v>
      </c>
      <c r="B3" s="47">
        <v>1194</v>
      </c>
      <c r="C3" s="48"/>
      <c r="D3" s="49">
        <v>33</v>
      </c>
      <c r="E3" s="49">
        <v>41</v>
      </c>
      <c r="F3" s="49" t="s">
        <v>544</v>
      </c>
      <c r="G3" s="49"/>
      <c r="H3" s="50" t="str">
        <f>IF($B3="","",IF($J3="X",B3,CONCATENATE(VLOOKUP(B3,Competitors!$A$2:$I$650,3,FALSE)," ",VLOOKUP(B3,Competitors!$A$2:$I$650,2,FALSE))))</f>
        <v>Alex Hardwicke</v>
      </c>
      <c r="I3" s="51">
        <f t="shared" si="0"/>
        <v>2.3391203703703702E-2</v>
      </c>
      <c r="J3" t="str">
        <f t="shared" si="1"/>
        <v/>
      </c>
    </row>
    <row r="4" spans="1:10" ht="15">
      <c r="A4" s="46" t="s">
        <v>448</v>
      </c>
      <c r="B4" s="47">
        <v>1298</v>
      </c>
      <c r="C4" s="48"/>
      <c r="D4" s="49">
        <v>35</v>
      </c>
      <c r="E4" s="49">
        <v>37</v>
      </c>
      <c r="F4" s="49" t="s">
        <v>544</v>
      </c>
      <c r="G4" s="49"/>
      <c r="H4" s="50" t="str">
        <f>IF($B4="","",IF($J4="X",B4,CONCATENATE(VLOOKUP(B4,Competitors!$A$2:$I$650,3,FALSE)," ",VLOOKUP(B4,Competitors!$A$2:$I$650,2,FALSE))))</f>
        <v>Jane Moore</v>
      </c>
      <c r="I4" s="51">
        <f t="shared" si="0"/>
        <v>2.4733796296296295E-2</v>
      </c>
      <c r="J4" t="str">
        <f t="shared" si="1"/>
        <v/>
      </c>
    </row>
    <row r="5" spans="1:10" ht="15">
      <c r="A5" s="46" t="s">
        <v>423</v>
      </c>
      <c r="B5" s="47">
        <v>35</v>
      </c>
      <c r="C5" s="48"/>
      <c r="D5" s="49">
        <v>27</v>
      </c>
      <c r="E5" s="49">
        <v>42</v>
      </c>
      <c r="F5" s="49"/>
      <c r="G5" s="49"/>
      <c r="H5" s="50" t="str">
        <f>IF($B5="","",IF($J5="X",B5,CONCATENATE(VLOOKUP(B5,Competitors!$A$2:$I$650,3,FALSE)," ",VLOOKUP(B5,Competitors!$A$2:$I$650,2,FALSE))))</f>
        <v>Matt Plews</v>
      </c>
      <c r="I5" s="51">
        <f t="shared" si="0"/>
        <v>1.923611111111111E-2</v>
      </c>
      <c r="J5" t="str">
        <f t="shared" si="1"/>
        <v/>
      </c>
    </row>
    <row r="6" spans="1:10" ht="15">
      <c r="A6" s="46" t="s">
        <v>418</v>
      </c>
      <c r="B6" s="47">
        <v>1355</v>
      </c>
      <c r="C6" s="48"/>
      <c r="D6" s="49">
        <v>26</v>
      </c>
      <c r="E6" s="49">
        <v>29</v>
      </c>
      <c r="F6" s="49" t="s">
        <v>544</v>
      </c>
      <c r="G6" s="49"/>
      <c r="H6" s="50" t="str">
        <f>IF($B6="","",IF($J6="X",B6,CONCATENATE(VLOOKUP(B6,Competitors!$A$2:$I$650,3,FALSE)," ",VLOOKUP(B6,Competitors!$A$2:$I$650,2,FALSE))))</f>
        <v>Aubrey Elmer</v>
      </c>
      <c r="I6" s="51">
        <f t="shared" si="0"/>
        <v>1.8391203703703705E-2</v>
      </c>
      <c r="J6" t="str">
        <f t="shared" si="1"/>
        <v/>
      </c>
    </row>
    <row r="7" spans="1:10" ht="15">
      <c r="A7" s="46" t="s">
        <v>422</v>
      </c>
      <c r="B7" s="47">
        <v>1407</v>
      </c>
      <c r="C7" s="48"/>
      <c r="D7" s="49">
        <v>28</v>
      </c>
      <c r="E7" s="49">
        <v>22</v>
      </c>
      <c r="F7" s="49" t="s">
        <v>544</v>
      </c>
      <c r="G7" s="49"/>
      <c r="H7" s="50" t="str">
        <f>IF($B7="","",IF($J7="X",B7,CONCATENATE(VLOOKUP(B7,Competitors!$A$2:$I$650,3,FALSE)," ",VLOOKUP(B7,Competitors!$A$2:$I$650,2,FALSE))))</f>
        <v>Colin Dobson</v>
      </c>
      <c r="I7" s="51">
        <f t="shared" si="0"/>
        <v>1.9699074074074074E-2</v>
      </c>
      <c r="J7" t="str">
        <f t="shared" si="1"/>
        <v/>
      </c>
    </row>
    <row r="8" spans="1:10" ht="15">
      <c r="A8" s="46" t="s">
        <v>425</v>
      </c>
      <c r="B8" s="47">
        <v>1418</v>
      </c>
      <c r="C8" s="48"/>
      <c r="D8" s="49">
        <v>28</v>
      </c>
      <c r="E8" s="49">
        <v>57</v>
      </c>
      <c r="F8" s="49"/>
      <c r="G8" s="49"/>
      <c r="H8" s="50" t="str">
        <f>IF($B8="","",IF($J8="X",B8,CONCATENATE(VLOOKUP(B8,Competitors!$A$2:$I$650,3,FALSE)," ",VLOOKUP(B8,Competitors!$A$2:$I$650,2,FALSE))))</f>
        <v>James Brown</v>
      </c>
      <c r="I8" s="51">
        <f t="shared" si="0"/>
        <v>2.0104166666666666E-2</v>
      </c>
      <c r="J8" t="str">
        <f t="shared" si="1"/>
        <v/>
      </c>
    </row>
    <row r="9" spans="1:10" ht="15">
      <c r="A9" s="46" t="s">
        <v>429</v>
      </c>
      <c r="B9" s="47">
        <v>1107</v>
      </c>
      <c r="C9" s="48"/>
      <c r="D9" s="49">
        <v>29</v>
      </c>
      <c r="E9" s="49">
        <v>43</v>
      </c>
      <c r="F9" s="49" t="s">
        <v>544</v>
      </c>
      <c r="G9" s="49"/>
      <c r="H9" s="50" t="str">
        <f>IF($B9="","",IF($J9="X",B9,CONCATENATE(VLOOKUP(B9,Competitors!$A$2:$I$650,3,FALSE)," ",VLOOKUP(B9,Competitors!$A$2:$I$650,2,FALSE))))</f>
        <v>Milly Pinnock</v>
      </c>
      <c r="I9" s="51">
        <f t="shared" si="0"/>
        <v>2.0636574074074075E-2</v>
      </c>
      <c r="J9" t="str">
        <f t="shared" si="1"/>
        <v/>
      </c>
    </row>
    <row r="10" spans="1:10" ht="15">
      <c r="A10" s="46" t="s">
        <v>431</v>
      </c>
      <c r="B10" s="47">
        <v>1403</v>
      </c>
      <c r="C10" s="48"/>
      <c r="D10" s="49">
        <v>31</v>
      </c>
      <c r="E10" s="49">
        <v>7</v>
      </c>
      <c r="F10" s="49" t="s">
        <v>544</v>
      </c>
      <c r="G10" s="49"/>
      <c r="H10" s="50" t="str">
        <f>IF($B10="","",IF($J10="X",B10,CONCATENATE(VLOOKUP(B10,Competitors!$A$2:$I$650,3, FALSE)," ",VLOOKUP(B10,Competitors!$A$2:$I$650,2,FALSE))))</f>
        <v>Toby Lenehan</v>
      </c>
      <c r="I10" s="51">
        <f t="shared" si="0"/>
        <v>2.1608796296296296E-2</v>
      </c>
      <c r="J10" t="str">
        <f t="shared" si="1"/>
        <v/>
      </c>
    </row>
    <row r="11" spans="1:10" ht="15">
      <c r="A11" s="46" t="s">
        <v>545</v>
      </c>
      <c r="B11" s="47">
        <v>1385</v>
      </c>
      <c r="C11" s="48"/>
      <c r="D11" s="49"/>
      <c r="E11" s="49"/>
      <c r="F11" s="49" t="s">
        <v>544</v>
      </c>
      <c r="G11" s="49" t="s">
        <v>546</v>
      </c>
      <c r="H11" s="50" t="str">
        <f>IF($B11="","",IF($J11="X",B11,CONCATENATE(VLOOKUP(B11,Competitors!$A$2:$I$650,3,FALSE)," ",VLOOKUP(B11,Competitors!$A$2:$I$650,2,FALSE))))</f>
        <v>Miles Marr</v>
      </c>
      <c r="I11" s="51">
        <f t="shared" si="0"/>
        <v>0</v>
      </c>
      <c r="J11" t="str">
        <f t="shared" si="1"/>
        <v/>
      </c>
    </row>
    <row r="12" spans="1:10" ht="15">
      <c r="A12" s="46" t="s">
        <v>430</v>
      </c>
      <c r="B12" s="47">
        <v>616</v>
      </c>
      <c r="C12" s="48"/>
      <c r="D12" s="49">
        <v>29</v>
      </c>
      <c r="E12" s="49">
        <v>30</v>
      </c>
      <c r="F12" s="49"/>
      <c r="G12" s="49"/>
      <c r="H12" s="50" t="str">
        <f>IF($B12="","",IF($J12="X",B12,CONCATENATE(VLOOKUP(B12,Competitors!$A$2:$I$650,3,FALSE)," ",VLOOKUP(B12,Competitors!$A$2:$I$650,2,FALSE))))</f>
        <v>Simon Ward</v>
      </c>
      <c r="I12" s="51">
        <f t="shared" si="0"/>
        <v>2.0486111111111111E-2</v>
      </c>
      <c r="J12" t="str">
        <f t="shared" si="1"/>
        <v/>
      </c>
    </row>
    <row r="13" spans="1:10" ht="15">
      <c r="A13" s="46" t="s">
        <v>438</v>
      </c>
      <c r="B13" s="47">
        <v>704</v>
      </c>
      <c r="C13" s="48"/>
      <c r="D13" s="49">
        <v>31</v>
      </c>
      <c r="E13" s="49">
        <v>30</v>
      </c>
      <c r="F13" s="49" t="s">
        <v>544</v>
      </c>
      <c r="G13" s="49"/>
      <c r="H13" s="50" t="str">
        <f>IF($B13="","",IF($J13="X",B13,CONCATENATE(VLOOKUP(B13,Competitors!$A$2:$I$650,3,FALSE)," ",VLOOKUP(B13,Competitors!$A$2:$I$650,2,FALSE))))</f>
        <v>Chris Dainty</v>
      </c>
      <c r="I13" s="51">
        <f t="shared" si="0"/>
        <v>2.1874999999999999E-2</v>
      </c>
      <c r="J13" t="str">
        <f t="shared" si="1"/>
        <v/>
      </c>
    </row>
    <row r="14" spans="1:10" ht="15">
      <c r="A14" s="46" t="s">
        <v>547</v>
      </c>
      <c r="B14" s="47">
        <v>1162</v>
      </c>
      <c r="C14" s="48"/>
      <c r="D14" s="49"/>
      <c r="E14" s="49"/>
      <c r="F14" s="49" t="s">
        <v>544</v>
      </c>
      <c r="G14" s="49" t="s">
        <v>546</v>
      </c>
      <c r="H14" s="50" t="str">
        <f>IF($B14="","",IF($J14="X",B14,CONCATENATE(VLOOKUP(B14,Competitors!$A$2:$I$650,3,FALSE)," ",VLOOKUP(B14,Competitors!$A$2:$I$650,2,FALSE))))</f>
        <v>Richard Krause</v>
      </c>
      <c r="I14" s="51">
        <f t="shared" si="0"/>
        <v>0</v>
      </c>
      <c r="J14" t="str">
        <f t="shared" si="1"/>
        <v/>
      </c>
    </row>
    <row r="15" spans="1:10" ht="15">
      <c r="A15" s="46" t="s">
        <v>548</v>
      </c>
      <c r="B15" s="47">
        <v>674</v>
      </c>
      <c r="C15" s="48"/>
      <c r="D15" s="49">
        <v>31</v>
      </c>
      <c r="E15" s="49">
        <v>6</v>
      </c>
      <c r="F15" s="49"/>
      <c r="G15" s="49"/>
      <c r="H15" s="50" t="str">
        <f>IF($B15="","",IF($J15="X",B15,CONCATENATE(VLOOKUP(B15,Competitors!$A$2:$I$650,3,FALSE)," ",VLOOKUP(B15,Competitors!$A$2:$I$650,2,FALSE))))</f>
        <v>Jennifer Clegg</v>
      </c>
      <c r="I15" s="51">
        <f t="shared" si="0"/>
        <v>2.1597222222222223E-2</v>
      </c>
      <c r="J15" t="str">
        <f t="shared" si="1"/>
        <v/>
      </c>
    </row>
    <row r="16" spans="1:10" ht="15">
      <c r="A16" s="46" t="s">
        <v>455</v>
      </c>
      <c r="B16" s="47">
        <v>295</v>
      </c>
      <c r="C16" s="48"/>
      <c r="D16" s="49">
        <v>32</v>
      </c>
      <c r="E16" s="49">
        <v>12</v>
      </c>
      <c r="F16" s="49" t="s">
        <v>544</v>
      </c>
      <c r="G16" s="49"/>
      <c r="H16" s="50" t="str">
        <f>IF($B16="","",IF($J16="X",B16,CONCATENATE(VLOOKUP(B16,Competitors!$A$2:$I$650,3,FALSE)," ",VLOOKUP(B16,Competitors!$A$2:$I$650,2,FALSE))))</f>
        <v>Stuart Dawkins</v>
      </c>
      <c r="I16" s="51">
        <f t="shared" si="0"/>
        <v>2.2361111111111109E-2</v>
      </c>
      <c r="J16" t="str">
        <f t="shared" si="1"/>
        <v/>
      </c>
    </row>
    <row r="17" spans="1:10" ht="15">
      <c r="A17" s="46" t="s">
        <v>415</v>
      </c>
      <c r="B17" s="47">
        <v>1161</v>
      </c>
      <c r="C17" s="48"/>
      <c r="D17" s="49">
        <v>26</v>
      </c>
      <c r="E17" s="49">
        <v>11</v>
      </c>
      <c r="F17" s="49"/>
      <c r="G17" s="49"/>
      <c r="H17" s="50" t="str">
        <f>IF($B17="","",IF($J17="X",B17,CONCATENATE(VLOOKUP(B17,Competitors!$A$2:$I$650,3,FALSE)," ",VLOOKUP(B17,Competitors!$A$2:$I$650,2,FALSE))))</f>
        <v>Maciej Suchocki</v>
      </c>
      <c r="I17" s="51">
        <f t="shared" si="0"/>
        <v>1.818287037037037E-2</v>
      </c>
      <c r="J17" t="str">
        <f t="shared" si="1"/>
        <v/>
      </c>
    </row>
    <row r="18" spans="1:10" ht="15">
      <c r="A18" s="46" t="s">
        <v>416</v>
      </c>
      <c r="B18" s="47">
        <v>38</v>
      </c>
      <c r="C18" s="48"/>
      <c r="D18" s="49">
        <v>28</v>
      </c>
      <c r="E18" s="49">
        <v>41</v>
      </c>
      <c r="F18" s="49" t="s">
        <v>544</v>
      </c>
      <c r="G18" s="49"/>
      <c r="H18" s="50" t="str">
        <f>IF($B18="","",IF($J18="X",B18,CONCATENATE(VLOOKUP(B18,Competitors!$A$2:$I$650,3,FALSE)," ",VLOOKUP(B18,Competitors!$A$2:$I$650,2,FALSE))))</f>
        <v>Phil Rayner</v>
      </c>
      <c r="I18" s="51">
        <f t="shared" si="0"/>
        <v>1.9918981481481482E-2</v>
      </c>
      <c r="J18" t="str">
        <f t="shared" si="1"/>
        <v/>
      </c>
    </row>
    <row r="19" spans="1:10" ht="15">
      <c r="A19" s="46" t="s">
        <v>549</v>
      </c>
      <c r="B19" s="47" t="s">
        <v>549</v>
      </c>
      <c r="C19" s="48"/>
      <c r="D19" s="49">
        <v>22</v>
      </c>
      <c r="E19" s="49">
        <v>25</v>
      </c>
      <c r="F19" s="49"/>
      <c r="G19" s="49"/>
      <c r="H19" s="50" t="str">
        <f>IF($B19="","",IF($J19="X",B19,CONCATENATE(VLOOKUP(B19,Competitors!$A$2:$I$650,3,FALSE)," ",VLOOKUP(B19,Competitors!$A$2:$I$650,2,FALSE))))</f>
        <v>James Bacon</v>
      </c>
      <c r="I19" s="51">
        <f t="shared" si="0"/>
        <v>1.556712962962963E-2</v>
      </c>
      <c r="J19" t="str">
        <f t="shared" si="1"/>
        <v>X</v>
      </c>
    </row>
    <row r="20" spans="1:10" ht="15">
      <c r="A20" s="46" t="s">
        <v>440</v>
      </c>
      <c r="B20" s="47">
        <v>245</v>
      </c>
      <c r="C20" s="48"/>
      <c r="D20" s="49">
        <v>32</v>
      </c>
      <c r="E20" s="49">
        <v>2</v>
      </c>
      <c r="F20" s="49" t="s">
        <v>544</v>
      </c>
      <c r="G20" s="49"/>
      <c r="H20" s="50" t="str">
        <f>IF($B20="","",IF($J20="X",B20,CONCATENATE(VLOOKUP(B20,Competitors!$A$2:$I$650,3,FALSE)," ",VLOOKUP(B20,Competitors!$A$2:$I$650,2,FALSE))))</f>
        <v>David Reay</v>
      </c>
      <c r="I20" s="51">
        <f t="shared" si="0"/>
        <v>2.224537037037037E-2</v>
      </c>
      <c r="J20" t="str">
        <f t="shared" si="1"/>
        <v/>
      </c>
    </row>
    <row r="21" spans="1:10" ht="15">
      <c r="A21" s="46" t="s">
        <v>550</v>
      </c>
      <c r="B21" s="47" t="s">
        <v>550</v>
      </c>
      <c r="C21" s="48"/>
      <c r="D21" s="49">
        <v>26</v>
      </c>
      <c r="E21" s="49">
        <v>17</v>
      </c>
      <c r="F21" s="49"/>
      <c r="G21" s="49"/>
      <c r="H21" s="50" t="str">
        <f>IF($B21="","",IF($J21="X",B21,CONCATENATE(VLOOKUP(B21,Competitors!$A$2:$I$650,3,FALSE)," ",VLOOKUP(B21,Competitors!$A$2:$I$650,2,FALSE))))</f>
        <v>Gareth Winter</v>
      </c>
      <c r="I21" s="51">
        <f t="shared" si="0"/>
        <v>1.8252314814814815E-2</v>
      </c>
      <c r="J21" t="str">
        <f t="shared" si="1"/>
        <v>X</v>
      </c>
    </row>
    <row r="22" spans="1:10" ht="15">
      <c r="A22" s="46"/>
      <c r="B22" s="47" t="str">
        <f t="shared" ref="B22:B85" si="2">IF(A22="","",_xlfn.XLOOKUP(A22,ClubNames,ClubNumbers,_xlfn.XLOOKUP(A22,RoundRobinRiderNames,RoundRobinRiderDecoratedNames,A22)))</f>
        <v/>
      </c>
      <c r="C22" s="48"/>
      <c r="D22" s="49"/>
      <c r="E22" s="49"/>
      <c r="F22" s="49"/>
      <c r="G22" s="49"/>
      <c r="H22" s="50" t="str">
        <f>IF($B22="","",IF($J22="X",B22,CONCATENATE(VLOOKUP(B22,Competitors!$A$2:$I$650,3,FALSE)," ",VLOOKUP(B22,Competitors!$A$2:$I$650,2,FALSE))))</f>
        <v/>
      </c>
      <c r="I22" s="51">
        <f t="shared" si="0"/>
        <v>0</v>
      </c>
      <c r="J22" t="str">
        <f t="shared" si="1"/>
        <v/>
      </c>
    </row>
    <row r="23" spans="1:10" ht="15">
      <c r="A23" s="46"/>
      <c r="B23" s="47" t="str">
        <f t="shared" si="2"/>
        <v/>
      </c>
      <c r="C23" s="48"/>
      <c r="D23" s="49"/>
      <c r="E23" s="49"/>
      <c r="F23" s="49"/>
      <c r="G23" s="49"/>
      <c r="H23" s="50" t="str">
        <f>IF($B23="","",IF($J23="X",B23,CONCATENATE(VLOOKUP(B23,Competitors!$A$2:$I$650,3,FALSE)," ",VLOOKUP(B23,Competitors!$A$2:$I$650,2,FALSE))))</f>
        <v/>
      </c>
      <c r="I23" s="51">
        <f t="shared" si="0"/>
        <v>0</v>
      </c>
      <c r="J23" t="str">
        <f t="shared" si="1"/>
        <v/>
      </c>
    </row>
    <row r="24" spans="1:10" ht="15">
      <c r="A24" s="46"/>
      <c r="B24" s="47" t="str">
        <f t="shared" si="2"/>
        <v/>
      </c>
      <c r="C24" s="48"/>
      <c r="D24" s="49"/>
      <c r="E24" s="49"/>
      <c r="F24" s="49"/>
      <c r="G24" s="49"/>
      <c r="H24" s="50" t="str">
        <f>IF($B24="","",IF($J24="X",B24,CONCATENATE(VLOOKUP(B24,Competitors!$A$2:$I$650,3,FALSE)," ",VLOOKUP(B24,Competitors!$A$2:$I$650,2,FALSE))))</f>
        <v/>
      </c>
      <c r="I24" s="51">
        <f t="shared" si="0"/>
        <v>0</v>
      </c>
      <c r="J24" t="str">
        <f t="shared" si="1"/>
        <v/>
      </c>
    </row>
    <row r="25" spans="1:10" ht="15">
      <c r="A25" s="46"/>
      <c r="B25" s="47" t="str">
        <f t="shared" si="2"/>
        <v/>
      </c>
      <c r="C25" s="48"/>
      <c r="D25" s="49"/>
      <c r="E25" s="49"/>
      <c r="F25" s="49"/>
      <c r="G25" s="49"/>
      <c r="H25" s="50" t="str">
        <f>IF($B25="","",IF($J25="X",B25,CONCATENATE(VLOOKUP(B25,Competitors!$A$2:$I$650,3,FALSE)," ",VLOOKUP(B25,Competitors!$A$2:$I$650,2,FALSE))))</f>
        <v/>
      </c>
      <c r="I25" s="51">
        <f t="shared" si="0"/>
        <v>0</v>
      </c>
      <c r="J25" t="str">
        <f t="shared" si="1"/>
        <v/>
      </c>
    </row>
    <row r="26" spans="1:10" ht="15">
      <c r="A26" s="46"/>
      <c r="B26" s="47" t="str">
        <f t="shared" si="2"/>
        <v/>
      </c>
      <c r="C26" s="48"/>
      <c r="D26" s="49"/>
      <c r="E26" s="49"/>
      <c r="F26" s="49"/>
      <c r="G26" s="49"/>
      <c r="H26" s="50" t="str">
        <f>IF($B26="","",IF($J26="X",B26,CONCATENATE(VLOOKUP(B26,Competitors!$A$2:$I$650,3,FALSE)," ",VLOOKUP(B26,Competitors!$A$2:$I$650,2,FALSE))))</f>
        <v/>
      </c>
      <c r="I26" s="51">
        <f t="shared" si="0"/>
        <v>0</v>
      </c>
      <c r="J26" t="str">
        <f t="shared" si="1"/>
        <v/>
      </c>
    </row>
    <row r="27" spans="1:10" ht="15">
      <c r="A27" s="46"/>
      <c r="B27" s="47" t="str">
        <f t="shared" si="2"/>
        <v/>
      </c>
      <c r="C27" s="48"/>
      <c r="D27" s="49"/>
      <c r="E27" s="49"/>
      <c r="F27" s="49"/>
      <c r="G27" s="49"/>
      <c r="H27" s="50" t="str">
        <f>IF($B27="","",IF($J27="X",B27,CONCATENATE(VLOOKUP(B27,Competitors!$A$2:$I$650,3,FALSE)," ",VLOOKUP(B27,Competitors!$A$2:$I$650,2,FALSE))))</f>
        <v/>
      </c>
      <c r="I27" s="51">
        <f t="shared" si="0"/>
        <v>0</v>
      </c>
      <c r="J27" t="str">
        <f t="shared" si="1"/>
        <v/>
      </c>
    </row>
    <row r="28" spans="1:10" ht="15">
      <c r="A28" s="46"/>
      <c r="B28" s="47" t="str">
        <f t="shared" si="2"/>
        <v/>
      </c>
      <c r="C28" s="48"/>
      <c r="D28" s="49"/>
      <c r="E28" s="49"/>
      <c r="F28" s="49"/>
      <c r="G28" s="49"/>
      <c r="H28" s="50" t="str">
        <f>IF($B28="","",IF($J28="X",B28,CONCATENATE(VLOOKUP(B28,Competitors!$A$2:$I$650,3,FALSE)," ",VLOOKUP(B28,Competitors!$A$2:$I$650,2,FALSE))))</f>
        <v/>
      </c>
      <c r="I28" s="51">
        <f t="shared" si="0"/>
        <v>0</v>
      </c>
      <c r="J28" t="str">
        <f t="shared" si="1"/>
        <v/>
      </c>
    </row>
    <row r="29" spans="1:10" ht="15">
      <c r="A29" s="46"/>
      <c r="B29" s="47" t="str">
        <f t="shared" si="2"/>
        <v/>
      </c>
      <c r="C29" s="48"/>
      <c r="D29" s="49"/>
      <c r="E29" s="49"/>
      <c r="F29" s="49"/>
      <c r="G29" s="49"/>
      <c r="H29" s="50" t="str">
        <f>IF($B29="","",IF($J29="X",B29,CONCATENATE(VLOOKUP(B29,Competitors!$A$2:$I$650,3,FALSE)," ",VLOOKUP(B29,Competitors!$A$2:$I$650,2,FALSE))))</f>
        <v/>
      </c>
      <c r="I29" s="51">
        <f t="shared" si="0"/>
        <v>0</v>
      </c>
      <c r="J29" t="str">
        <f t="shared" si="1"/>
        <v/>
      </c>
    </row>
    <row r="30" spans="1:10" ht="15">
      <c r="A30" s="46"/>
      <c r="B30" s="47" t="str">
        <f t="shared" si="2"/>
        <v/>
      </c>
      <c r="C30" s="48"/>
      <c r="D30" s="49"/>
      <c r="E30" s="49"/>
      <c r="F30" s="49"/>
      <c r="G30" s="49"/>
      <c r="H30" s="50" t="str">
        <f>IF($B30="","",IF($J30="X",B30,CONCATENATE(VLOOKUP(B30,Competitors!$A$2:$I$650,3,FALSE)," ",VLOOKUP(B30,Competitors!$A$2:$I$650,2,FALSE))))</f>
        <v/>
      </c>
      <c r="I30" s="51">
        <f t="shared" si="0"/>
        <v>0</v>
      </c>
      <c r="J30" t="str">
        <f t="shared" si="1"/>
        <v/>
      </c>
    </row>
    <row r="31" spans="1:10" ht="15">
      <c r="A31" s="46"/>
      <c r="B31" s="47" t="str">
        <f t="shared" si="2"/>
        <v/>
      </c>
      <c r="C31" s="48"/>
      <c r="D31" s="49"/>
      <c r="E31" s="49"/>
      <c r="F31" s="49"/>
      <c r="G31" s="49"/>
      <c r="H31" s="50" t="str">
        <f>IF($B31="","",IF($J31="X",B31,CONCATENATE(VLOOKUP(B31,Competitors!$A$2:$I$650,3,FALSE)," ",VLOOKUP(B31,Competitors!$A$2:$I$650,2,FALSE))))</f>
        <v/>
      </c>
      <c r="I31" s="51">
        <f t="shared" si="0"/>
        <v>0</v>
      </c>
      <c r="J31" t="str">
        <f t="shared" si="1"/>
        <v/>
      </c>
    </row>
    <row r="32" spans="1:10" ht="15">
      <c r="A32" s="46"/>
      <c r="B32" s="47" t="str">
        <f t="shared" si="2"/>
        <v/>
      </c>
      <c r="C32" s="48"/>
      <c r="D32" s="49"/>
      <c r="E32" s="49"/>
      <c r="F32" s="49"/>
      <c r="G32" s="49"/>
      <c r="H32" s="50" t="str">
        <f>IF($B32="","",IF($J32="X",B32,CONCATENATE(VLOOKUP(B32,Competitors!$A$2:$I$650,3,FALSE)," ",VLOOKUP(B32,Competitors!$A$2:$I$650,2,FALSE))))</f>
        <v/>
      </c>
      <c r="I32" s="51">
        <f t="shared" si="0"/>
        <v>0</v>
      </c>
      <c r="J32" t="str">
        <f t="shared" si="1"/>
        <v/>
      </c>
    </row>
    <row r="33" spans="1:10" ht="15">
      <c r="A33" s="46"/>
      <c r="B33" s="47" t="str">
        <f t="shared" si="2"/>
        <v/>
      </c>
      <c r="C33" s="48"/>
      <c r="D33" s="49"/>
      <c r="E33" s="49"/>
      <c r="F33" s="49"/>
      <c r="G33" s="49"/>
      <c r="H33" s="50" t="str">
        <f>IF($B33="","",IF($J33="X",B33,CONCATENATE(VLOOKUP(B33,Competitors!$A$2:$I$650,3,FALSE)," ",VLOOKUP(B33,Competitors!$A$2:$I$650,2,FALSE))))</f>
        <v/>
      </c>
      <c r="I33" s="51">
        <f t="shared" si="0"/>
        <v>0</v>
      </c>
      <c r="J33" t="str">
        <f t="shared" si="1"/>
        <v/>
      </c>
    </row>
    <row r="34" spans="1:10" ht="15">
      <c r="A34" s="46"/>
      <c r="B34" s="47" t="str">
        <f t="shared" si="2"/>
        <v/>
      </c>
      <c r="C34" s="48"/>
      <c r="D34" s="49"/>
      <c r="E34" s="49"/>
      <c r="F34" s="49"/>
      <c r="G34" s="49"/>
      <c r="H34" s="50" t="str">
        <f>IF($B34="","",IF($J34="X",B34,CONCATENATE(VLOOKUP(B34,Competitors!$A$2:$I$650,3,FALSE)," ",VLOOKUP(B34,Competitors!$A$2:$I$650,2,FALSE))))</f>
        <v/>
      </c>
      <c r="I34" s="51">
        <f t="shared" si="0"/>
        <v>0</v>
      </c>
      <c r="J34" t="str">
        <f t="shared" si="1"/>
        <v/>
      </c>
    </row>
    <row r="35" spans="1:10" ht="15">
      <c r="A35" s="46"/>
      <c r="B35" s="47" t="str">
        <f t="shared" si="2"/>
        <v/>
      </c>
      <c r="C35" s="48"/>
      <c r="D35" s="49"/>
      <c r="E35" s="49"/>
      <c r="F35" s="49"/>
      <c r="G35" s="49"/>
      <c r="H35" s="50" t="str">
        <f>IF($B35="","",IF($J35="X",B35,CONCATENATE(VLOOKUP(B35,Competitors!$A$2:$I$650,3,FALSE)," ",VLOOKUP(B35,Competitors!$A$2:$I$650,2,FALSE))))</f>
        <v/>
      </c>
      <c r="I35" s="51">
        <f t="shared" si="0"/>
        <v>0</v>
      </c>
      <c r="J35" t="str">
        <f t="shared" si="1"/>
        <v/>
      </c>
    </row>
    <row r="36" spans="1:10" ht="15">
      <c r="A36" s="46"/>
      <c r="B36" s="47" t="str">
        <f t="shared" si="2"/>
        <v/>
      </c>
      <c r="C36" s="48"/>
      <c r="D36" s="49"/>
      <c r="E36" s="49"/>
      <c r="F36" s="49"/>
      <c r="G36" s="49"/>
      <c r="H36" s="50" t="str">
        <f>IF($B36="","",IF($J36="X",B36,CONCATENATE(VLOOKUP(B36,Competitors!$A$2:$I$650,3,FALSE)," ",VLOOKUP(B36,Competitors!$A$2:$I$650,2,FALSE))))</f>
        <v/>
      </c>
      <c r="I36" s="51">
        <f t="shared" si="0"/>
        <v>0</v>
      </c>
      <c r="J36" t="str">
        <f t="shared" si="1"/>
        <v/>
      </c>
    </row>
    <row r="37" spans="1:10" ht="15">
      <c r="A37" s="46"/>
      <c r="B37" s="47" t="str">
        <f t="shared" si="2"/>
        <v/>
      </c>
      <c r="C37" s="48"/>
      <c r="D37" s="49"/>
      <c r="E37" s="49"/>
      <c r="F37" s="49"/>
      <c r="G37" s="49"/>
      <c r="H37" s="50" t="str">
        <f>IF($B37="","",IF($J37="X",B37,CONCATENATE(VLOOKUP(B37,Competitors!$A$2:$I$650,3,FALSE)," ",VLOOKUP(B37,Competitors!$A$2:$I$650,2,FALSE))))</f>
        <v/>
      </c>
      <c r="I37" s="51">
        <f t="shared" si="0"/>
        <v>0</v>
      </c>
      <c r="J37" t="str">
        <f t="shared" si="1"/>
        <v/>
      </c>
    </row>
    <row r="38" spans="1:10" ht="15">
      <c r="A38" s="46"/>
      <c r="B38" s="47" t="str">
        <f t="shared" si="2"/>
        <v/>
      </c>
      <c r="C38" s="48"/>
      <c r="D38" s="49"/>
      <c r="E38" s="49"/>
      <c r="F38" s="49"/>
      <c r="G38" s="49"/>
      <c r="H38" s="50" t="str">
        <f>IF($B38="","",IF($J38="X",B38,CONCATENATE(VLOOKUP(B38,Competitors!$A$2:$I$650,3,FALSE)," ",VLOOKUP(B38,Competitors!$A$2:$I$650,2,FALSE))))</f>
        <v/>
      </c>
      <c r="I38" s="51">
        <f t="shared" si="0"/>
        <v>0</v>
      </c>
      <c r="J38" t="str">
        <f t="shared" si="1"/>
        <v/>
      </c>
    </row>
    <row r="39" spans="1:10" ht="15">
      <c r="A39" s="46"/>
      <c r="B39" s="47" t="str">
        <f t="shared" si="2"/>
        <v/>
      </c>
      <c r="C39" s="48"/>
      <c r="D39" s="49"/>
      <c r="E39" s="49"/>
      <c r="F39" s="49"/>
      <c r="G39" s="49"/>
      <c r="H39" s="50" t="str">
        <f>IF($B39="","",IF($J39="X",B39,CONCATENATE(VLOOKUP(B39,Competitors!$A$2:$I$650,3,FALSE)," ",VLOOKUP(B39,Competitors!$A$2:$I$650,2,FALSE))))</f>
        <v/>
      </c>
      <c r="I39" s="51">
        <f t="shared" si="0"/>
        <v>0</v>
      </c>
      <c r="J39" t="str">
        <f t="shared" si="1"/>
        <v/>
      </c>
    </row>
    <row r="40" spans="1:10" ht="15">
      <c r="A40" s="46"/>
      <c r="B40" s="47" t="str">
        <f t="shared" si="2"/>
        <v/>
      </c>
      <c r="C40" s="48"/>
      <c r="D40" s="49"/>
      <c r="E40" s="49"/>
      <c r="F40" s="49"/>
      <c r="G40" s="49"/>
      <c r="H40" s="50" t="str">
        <f>IF($B40="","",IF($J40="X",B40,CONCATENATE(VLOOKUP(B40,Competitors!$A$2:$I$650,3,FALSE)," ",VLOOKUP(B40,Competitors!$A$2:$I$650,2,FALSE))))</f>
        <v/>
      </c>
      <c r="I40" s="51">
        <f t="shared" si="0"/>
        <v>0</v>
      </c>
      <c r="J40" t="str">
        <f t="shared" si="1"/>
        <v/>
      </c>
    </row>
    <row r="41" spans="1:10" ht="15">
      <c r="A41" s="46"/>
      <c r="B41" s="47" t="str">
        <f t="shared" si="2"/>
        <v/>
      </c>
      <c r="C41" s="48"/>
      <c r="D41" s="49"/>
      <c r="E41" s="49"/>
      <c r="F41" s="49"/>
      <c r="G41" s="49"/>
      <c r="H41" s="50" t="str">
        <f>IF($B41="","",IF($J41="X",B41,CONCATENATE(VLOOKUP(B41,Competitors!$A$2:$I$650,3,FALSE)," ",VLOOKUP(B41,Competitors!$A$2:$I$650,2,FALSE))))</f>
        <v/>
      </c>
      <c r="I41" s="51">
        <f t="shared" si="0"/>
        <v>0</v>
      </c>
      <c r="J41" t="str">
        <f t="shared" si="1"/>
        <v/>
      </c>
    </row>
    <row r="42" spans="1:10" ht="15">
      <c r="A42" s="46"/>
      <c r="B42" s="47" t="str">
        <f t="shared" si="2"/>
        <v/>
      </c>
      <c r="C42" s="48"/>
      <c r="D42" s="49"/>
      <c r="E42" s="49"/>
      <c r="F42" s="49"/>
      <c r="G42" s="49"/>
      <c r="H42" s="50" t="str">
        <f>IF($B42="","",IF($J42="X",B42,CONCATENATE(VLOOKUP(B42,Competitors!$A$2:$I$650,3,FALSE)," ",VLOOKUP(B42,Competitors!$A$2:$I$650,2,FALSE))))</f>
        <v/>
      </c>
      <c r="I42" s="51">
        <f t="shared" si="0"/>
        <v>0</v>
      </c>
      <c r="J42" t="str">
        <f t="shared" si="1"/>
        <v/>
      </c>
    </row>
    <row r="43" spans="1:10" ht="15">
      <c r="A43" s="46"/>
      <c r="B43" s="47" t="str">
        <f t="shared" si="2"/>
        <v/>
      </c>
      <c r="C43" s="48"/>
      <c r="D43" s="49"/>
      <c r="E43" s="49"/>
      <c r="F43" s="49"/>
      <c r="G43" s="49"/>
      <c r="H43" s="50" t="str">
        <f>IF($B43="","",IF($J43="X",B43,CONCATENATE(VLOOKUP(B43,Competitors!$A$2:$I$650,3,FALSE)," ",VLOOKUP(B43,Competitors!$A$2:$I$650,2,FALSE))))</f>
        <v/>
      </c>
      <c r="I43" s="51">
        <f t="shared" si="0"/>
        <v>0</v>
      </c>
      <c r="J43" t="str">
        <f t="shared" si="1"/>
        <v/>
      </c>
    </row>
    <row r="44" spans="1:10" ht="15">
      <c r="A44" s="46"/>
      <c r="B44" s="47" t="str">
        <f t="shared" si="2"/>
        <v/>
      </c>
      <c r="C44" s="48"/>
      <c r="D44" s="49"/>
      <c r="E44" s="49"/>
      <c r="F44" s="49"/>
      <c r="G44" s="49"/>
      <c r="H44" s="50" t="str">
        <f>IF($B44="","",IF($J44="X",B44,CONCATENATE(VLOOKUP(B44,Competitors!$A$2:$I$650,3,FALSE)," ",VLOOKUP(B44,Competitors!$A$2:$I$650,2,FALSE))))</f>
        <v/>
      </c>
      <c r="I44" s="51">
        <f t="shared" si="0"/>
        <v>0</v>
      </c>
      <c r="J44" t="str">
        <f t="shared" si="1"/>
        <v/>
      </c>
    </row>
    <row r="45" spans="1:10" ht="15">
      <c r="A45" s="46"/>
      <c r="B45" s="47" t="str">
        <f t="shared" si="2"/>
        <v/>
      </c>
      <c r="C45" s="48"/>
      <c r="D45" s="49"/>
      <c r="E45" s="49"/>
      <c r="F45" s="49"/>
      <c r="G45" s="49"/>
      <c r="H45" s="50" t="str">
        <f>IF($B45="","",IF($J45="X",B45,CONCATENATE(VLOOKUP(B45,Competitors!$A$2:$I$650,3,FALSE)," ",VLOOKUP(B45,Competitors!$A$2:$I$650,2,FALSE))))</f>
        <v/>
      </c>
      <c r="I45" s="51">
        <f t="shared" si="0"/>
        <v>0</v>
      </c>
      <c r="J45" t="str">
        <f t="shared" si="1"/>
        <v/>
      </c>
    </row>
    <row r="46" spans="1:10" ht="15">
      <c r="A46" s="46"/>
      <c r="B46" s="47" t="str">
        <f t="shared" si="2"/>
        <v/>
      </c>
      <c r="C46" s="48"/>
      <c r="D46" s="49"/>
      <c r="E46" s="49"/>
      <c r="F46" s="49"/>
      <c r="G46" s="49"/>
      <c r="H46" s="50" t="str">
        <f>IF($B46="","",IF($J46="X",B46,CONCATENATE(VLOOKUP(B46,Competitors!$A$2:$I$650,3,FALSE)," ",VLOOKUP(B46,Competitors!$A$2:$I$650,2,FALSE))))</f>
        <v/>
      </c>
      <c r="I46" s="51">
        <f t="shared" si="0"/>
        <v>0</v>
      </c>
      <c r="J46" t="str">
        <f t="shared" si="1"/>
        <v/>
      </c>
    </row>
    <row r="47" spans="1:10" ht="15">
      <c r="A47" s="46"/>
      <c r="B47" s="47" t="str">
        <f t="shared" si="2"/>
        <v/>
      </c>
      <c r="C47" s="48"/>
      <c r="D47" s="49"/>
      <c r="E47" s="49"/>
      <c r="F47" s="49"/>
      <c r="G47" s="49"/>
      <c r="H47" s="50" t="str">
        <f>IF($B47="","",IF($J47="X",B47,CONCATENATE(VLOOKUP(B47,Competitors!$A$2:$I$650,3,FALSE)," ",VLOOKUP(B47,Competitors!$A$2:$I$650,2,FALSE))))</f>
        <v/>
      </c>
      <c r="I47" s="51">
        <f t="shared" si="0"/>
        <v>0</v>
      </c>
      <c r="J47" t="str">
        <f t="shared" si="1"/>
        <v/>
      </c>
    </row>
    <row r="48" spans="1:10" ht="15">
      <c r="A48" s="46"/>
      <c r="B48" s="47" t="str">
        <f t="shared" si="2"/>
        <v/>
      </c>
      <c r="C48" s="48"/>
      <c r="D48" s="49"/>
      <c r="E48" s="49"/>
      <c r="F48" s="49"/>
      <c r="G48" s="49"/>
      <c r="H48" s="50" t="str">
        <f>IF($B48="","",IF($J48="X",B48,CONCATENATE(VLOOKUP(B48,Competitors!$A$2:$I$650,3,FALSE)," ",VLOOKUP(B48,Competitors!$A$2:$I$650,2,FALSE))))</f>
        <v/>
      </c>
      <c r="I48" s="51">
        <f t="shared" si="0"/>
        <v>0</v>
      </c>
      <c r="J48" t="str">
        <f t="shared" si="1"/>
        <v/>
      </c>
    </row>
    <row r="49" spans="1:10" ht="15">
      <c r="A49" s="46"/>
      <c r="B49" s="47" t="str">
        <f t="shared" si="2"/>
        <v/>
      </c>
      <c r="C49" s="48"/>
      <c r="D49" s="49"/>
      <c r="E49" s="49"/>
      <c r="F49" s="49"/>
      <c r="G49" s="49"/>
      <c r="H49" s="50" t="str">
        <f>IF($B49="","",IF($J49="X",B49,CONCATENATE(VLOOKUP(B49,Competitors!$A$2:$I$650,3,FALSE)," ",VLOOKUP(B49,Competitors!$A$2:$I$650,2,FALSE))))</f>
        <v/>
      </c>
      <c r="I49" s="51">
        <f t="shared" si="0"/>
        <v>0</v>
      </c>
      <c r="J49" t="str">
        <f t="shared" si="1"/>
        <v/>
      </c>
    </row>
    <row r="50" spans="1:10" ht="15">
      <c r="A50" s="46"/>
      <c r="B50" s="47" t="str">
        <f t="shared" si="2"/>
        <v/>
      </c>
      <c r="C50" s="48"/>
      <c r="D50" s="49"/>
      <c r="E50" s="49"/>
      <c r="F50" s="49"/>
      <c r="G50" s="49"/>
      <c r="H50" s="50" t="str">
        <f>IF($B50="","",IF($J50="X",B50,CONCATENATE(VLOOKUP(B50,Competitors!$A$2:$I$650,3,FALSE)," ",VLOOKUP(B50,Competitors!$A$2:$I$650,2,FALSE))))</f>
        <v/>
      </c>
      <c r="I50" s="51">
        <f t="shared" si="0"/>
        <v>0</v>
      </c>
      <c r="J50" t="str">
        <f t="shared" si="1"/>
        <v/>
      </c>
    </row>
    <row r="51" spans="1:10" ht="15">
      <c r="A51" s="46"/>
      <c r="B51" s="47" t="str">
        <f t="shared" si="2"/>
        <v/>
      </c>
      <c r="C51" s="48"/>
      <c r="D51" s="49"/>
      <c r="E51" s="49"/>
      <c r="F51" s="49"/>
      <c r="G51" s="49"/>
      <c r="H51" s="50" t="str">
        <f>IF($B51="","",IF($J51="X",B51,CONCATENATE(VLOOKUP(B51,Competitors!$A$2:$I$650,3,FALSE)," ",VLOOKUP(B51,Competitors!$A$2:$I$650,2,FALSE))))</f>
        <v/>
      </c>
      <c r="I51" s="51">
        <f t="shared" si="0"/>
        <v>0</v>
      </c>
      <c r="J51" t="str">
        <f t="shared" si="1"/>
        <v/>
      </c>
    </row>
    <row r="52" spans="1:10" ht="15">
      <c r="A52" s="46"/>
      <c r="B52" s="47" t="str">
        <f t="shared" si="2"/>
        <v/>
      </c>
      <c r="C52" s="48"/>
      <c r="D52" s="49"/>
      <c r="E52" s="49"/>
      <c r="F52" s="49"/>
      <c r="G52" s="49"/>
      <c r="H52" s="50" t="str">
        <f>IF($B52="","",IF($J52="X",B52,CONCATENATE(VLOOKUP(B52,Competitors!$A$2:$I$650,3,FALSE)," ",VLOOKUP(B52,Competitors!$A$2:$I$650,2,FALSE))))</f>
        <v/>
      </c>
      <c r="I52" s="51">
        <f t="shared" si="0"/>
        <v>0</v>
      </c>
      <c r="J52" t="str">
        <f t="shared" si="1"/>
        <v/>
      </c>
    </row>
    <row r="53" spans="1:10" ht="15">
      <c r="A53" s="46"/>
      <c r="B53" s="47" t="str">
        <f t="shared" si="2"/>
        <v/>
      </c>
      <c r="C53" s="48"/>
      <c r="D53" s="49"/>
      <c r="E53" s="49"/>
      <c r="F53" s="49"/>
      <c r="G53" s="49"/>
      <c r="H53" s="50" t="str">
        <f>IF($B53="","",IF($J53="X",B53,CONCATENATE(VLOOKUP(B53,Competitors!$A$2:$I$650,3,FALSE)," ",VLOOKUP(B53,Competitors!$A$2:$I$650,2,FALSE))))</f>
        <v/>
      </c>
      <c r="I53" s="51">
        <f t="shared" si="0"/>
        <v>0</v>
      </c>
      <c r="J53" t="str">
        <f t="shared" si="1"/>
        <v/>
      </c>
    </row>
    <row r="54" spans="1:10" ht="15">
      <c r="A54" s="46"/>
      <c r="B54" s="47" t="str">
        <f t="shared" si="2"/>
        <v/>
      </c>
      <c r="C54" s="48"/>
      <c r="D54" s="49"/>
      <c r="E54" s="49"/>
      <c r="F54" s="49"/>
      <c r="G54" s="49"/>
      <c r="H54" s="50" t="str">
        <f>IF($B54="","",IF($J54="X",B54,CONCATENATE(VLOOKUP(B54,Competitors!$A$2:$I$650,3,FALSE)," ",VLOOKUP(B54,Competitors!$A$2:$I$650,2,FALSE))))</f>
        <v/>
      </c>
      <c r="I54" s="51">
        <f t="shared" si="0"/>
        <v>0</v>
      </c>
      <c r="J54" t="str">
        <f t="shared" si="1"/>
        <v/>
      </c>
    </row>
    <row r="55" spans="1:10" ht="15">
      <c r="A55" s="46"/>
      <c r="B55" s="47" t="str">
        <f t="shared" si="2"/>
        <v/>
      </c>
      <c r="C55" s="48"/>
      <c r="D55" s="49"/>
      <c r="E55" s="49"/>
      <c r="F55" s="49"/>
      <c r="G55" s="49"/>
      <c r="H55" s="50" t="str">
        <f>IF($B55="","",IF($J55="X",B55,CONCATENATE(VLOOKUP(B55,Competitors!$A$2:$I$650,3,FALSE)," ",VLOOKUP(B55,Competitors!$A$2:$I$650,2,FALSE))))</f>
        <v/>
      </c>
      <c r="I55" s="51">
        <f t="shared" si="0"/>
        <v>0</v>
      </c>
      <c r="J55" t="str">
        <f t="shared" si="1"/>
        <v/>
      </c>
    </row>
    <row r="56" spans="1:10" ht="15">
      <c r="A56" s="46"/>
      <c r="B56" s="47" t="str">
        <f t="shared" si="2"/>
        <v/>
      </c>
      <c r="C56" s="48"/>
      <c r="D56" s="49"/>
      <c r="E56" s="49"/>
      <c r="F56" s="49"/>
      <c r="G56" s="49"/>
      <c r="H56" s="50" t="str">
        <f>IF($B56="","",IF($J56="X",B56,CONCATENATE(VLOOKUP(B56,Competitors!$A$2:$I$650,3,FALSE)," ",VLOOKUP(B56,Competitors!$A$2:$I$650,2,FALSE))))</f>
        <v/>
      </c>
      <c r="I56" s="51">
        <f t="shared" si="0"/>
        <v>0</v>
      </c>
      <c r="J56" t="str">
        <f t="shared" si="1"/>
        <v/>
      </c>
    </row>
    <row r="57" spans="1:10" ht="15">
      <c r="A57" s="46"/>
      <c r="B57" s="47" t="str">
        <f t="shared" si="2"/>
        <v/>
      </c>
      <c r="C57" s="48"/>
      <c r="D57" s="49"/>
      <c r="E57" s="49"/>
      <c r="F57" s="49"/>
      <c r="G57" s="49"/>
      <c r="H57" s="50" t="str">
        <f>IF($B57="","",IF($J57="X",B57,CONCATENATE(VLOOKUP(B57,Competitors!$A$2:$I$650,3,FALSE)," ",VLOOKUP(B57,Competitors!$A$2:$I$650,2,FALSE))))</f>
        <v/>
      </c>
      <c r="I57" s="51">
        <f t="shared" si="0"/>
        <v>0</v>
      </c>
      <c r="J57" t="str">
        <f t="shared" si="1"/>
        <v/>
      </c>
    </row>
    <row r="58" spans="1:10" ht="15">
      <c r="A58" s="46"/>
      <c r="B58" s="47" t="str">
        <f t="shared" si="2"/>
        <v/>
      </c>
      <c r="C58" s="48"/>
      <c r="D58" s="49"/>
      <c r="E58" s="49"/>
      <c r="F58" s="49"/>
      <c r="G58" s="49"/>
      <c r="H58" s="50" t="str">
        <f>IF($B58="","",IF($J58="X",B58,CONCATENATE(VLOOKUP(B58,Competitors!$A$2:$I$650,3,FALSE)," ",VLOOKUP(B58,Competitors!$A$2:$I$650,2,FALSE))))</f>
        <v/>
      </c>
      <c r="I58" s="51">
        <f t="shared" si="0"/>
        <v>0</v>
      </c>
      <c r="J58" t="str">
        <f t="shared" si="1"/>
        <v/>
      </c>
    </row>
    <row r="59" spans="1:10" ht="15">
      <c r="A59" s="46"/>
      <c r="B59" s="47" t="str">
        <f t="shared" si="2"/>
        <v/>
      </c>
      <c r="C59" s="48"/>
      <c r="D59" s="49"/>
      <c r="E59" s="49"/>
      <c r="F59" s="49"/>
      <c r="G59" s="49"/>
      <c r="H59" s="50" t="str">
        <f>IF($B59="","",IF($J59="X",B59,CONCATENATE(VLOOKUP(B59,Competitors!$A$2:$I$650,3,FALSE)," ",VLOOKUP(B59,Competitors!$A$2:$I$650,2,FALSE))))</f>
        <v/>
      </c>
      <c r="I59" s="51">
        <f t="shared" si="0"/>
        <v>0</v>
      </c>
      <c r="J59" t="str">
        <f t="shared" si="1"/>
        <v/>
      </c>
    </row>
    <row r="60" spans="1:10" ht="15">
      <c r="A60" s="46"/>
      <c r="B60" s="47" t="str">
        <f t="shared" si="2"/>
        <v/>
      </c>
      <c r="C60" s="48"/>
      <c r="D60" s="49"/>
      <c r="E60" s="49"/>
      <c r="F60" s="49"/>
      <c r="G60" s="49"/>
      <c r="H60" s="50" t="str">
        <f>IF($B60="","",IF($J60="X",B60,CONCATENATE(VLOOKUP(B60,Competitors!$A$2:$I$650,3,FALSE)," ",VLOOKUP(B60,Competitors!$A$2:$I$650,2,FALSE))))</f>
        <v/>
      </c>
      <c r="I60" s="51">
        <f t="shared" si="0"/>
        <v>0</v>
      </c>
      <c r="J60" t="str">
        <f t="shared" si="1"/>
        <v/>
      </c>
    </row>
    <row r="61" spans="1:10" ht="15">
      <c r="A61" s="46"/>
      <c r="B61" s="47" t="str">
        <f t="shared" si="2"/>
        <v/>
      </c>
      <c r="C61" s="48"/>
      <c r="D61" s="49"/>
      <c r="E61" s="49"/>
      <c r="F61" s="49"/>
      <c r="G61" s="49"/>
      <c r="H61" s="50" t="str">
        <f>IF($B61="","",IF($J61="X",B61,CONCATENATE(VLOOKUP(B61,Competitors!$A$2:$I$650,3,FALSE)," ",VLOOKUP(B61,Competitors!$A$2:$I$650,2,FALSE))))</f>
        <v/>
      </c>
      <c r="I61" s="51">
        <f t="shared" si="0"/>
        <v>0</v>
      </c>
      <c r="J61" t="str">
        <f t="shared" si="1"/>
        <v/>
      </c>
    </row>
    <row r="62" spans="1:10" ht="15">
      <c r="A62" s="46"/>
      <c r="B62" s="47" t="str">
        <f t="shared" si="2"/>
        <v/>
      </c>
      <c r="C62" s="48"/>
      <c r="D62" s="49"/>
      <c r="E62" s="49"/>
      <c r="F62" s="49"/>
      <c r="G62" s="49"/>
      <c r="H62" s="50" t="str">
        <f>IF($B62="","",IF($J62="X",B62,CONCATENATE(VLOOKUP(B62,Competitors!$A$2:$I$650,3,FALSE)," ",VLOOKUP(B62,Competitors!$A$2:$I$650,2,FALSE))))</f>
        <v/>
      </c>
      <c r="I62" s="51">
        <f t="shared" si="0"/>
        <v>0</v>
      </c>
      <c r="J62" t="str">
        <f t="shared" si="1"/>
        <v/>
      </c>
    </row>
    <row r="63" spans="1:10" ht="15">
      <c r="A63" s="46"/>
      <c r="B63" s="47" t="str">
        <f t="shared" si="2"/>
        <v/>
      </c>
      <c r="C63" s="48"/>
      <c r="D63" s="49"/>
      <c r="E63" s="49"/>
      <c r="F63" s="49"/>
      <c r="G63" s="49"/>
      <c r="H63" s="50" t="str">
        <f>IF($B63="","",IF($J63="X",B63,CONCATENATE(VLOOKUP(B63,Competitors!$A$2:$I$650,3,FALSE)," ",VLOOKUP(B63,Competitors!$A$2:$I$650,2,FALSE))))</f>
        <v/>
      </c>
      <c r="I63" s="51">
        <f t="shared" si="0"/>
        <v>0</v>
      </c>
      <c r="J63" t="str">
        <f t="shared" si="1"/>
        <v/>
      </c>
    </row>
    <row r="64" spans="1:10" ht="15">
      <c r="A64" s="46"/>
      <c r="B64" s="47" t="str">
        <f t="shared" si="2"/>
        <v/>
      </c>
      <c r="C64" s="48"/>
      <c r="D64" s="49"/>
      <c r="E64" s="49"/>
      <c r="F64" s="49"/>
      <c r="G64" s="49"/>
      <c r="H64" s="50" t="str">
        <f>IF($B64="","",IF($J64="X",B64,CONCATENATE(VLOOKUP(B64,Competitors!$A$2:$I$650,3,FALSE)," ",VLOOKUP(B64,Competitors!$A$2:$I$650,2,FALSE))))</f>
        <v/>
      </c>
      <c r="I64" s="51">
        <f t="shared" si="0"/>
        <v>0</v>
      </c>
      <c r="J64" t="str">
        <f t="shared" si="1"/>
        <v/>
      </c>
    </row>
    <row r="65" spans="1:10" ht="15">
      <c r="A65" s="46"/>
      <c r="B65" s="47" t="str">
        <f t="shared" si="2"/>
        <v/>
      </c>
      <c r="C65" s="48"/>
      <c r="D65" s="49"/>
      <c r="E65" s="49"/>
      <c r="F65" s="49"/>
      <c r="G65" s="49"/>
      <c r="H65" s="50" t="str">
        <f>IF($B65="","",IF($J65="X",B65,CONCATENATE(VLOOKUP(B65,Competitors!$A$2:$I$650,3,FALSE)," ",VLOOKUP(B65,Competitors!$A$2:$I$650,2,FALSE))))</f>
        <v/>
      </c>
      <c r="I65" s="51">
        <f t="shared" si="0"/>
        <v>0</v>
      </c>
      <c r="J65" t="str">
        <f t="shared" si="1"/>
        <v/>
      </c>
    </row>
    <row r="66" spans="1:10" ht="15">
      <c r="A66" s="46"/>
      <c r="B66" s="47" t="str">
        <f t="shared" si="2"/>
        <v/>
      </c>
      <c r="C66" s="48"/>
      <c r="D66" s="49"/>
      <c r="E66" s="49"/>
      <c r="F66" s="49"/>
      <c r="G66" s="49"/>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47" t="str">
        <f t="shared" si="2"/>
        <v/>
      </c>
      <c r="C67" s="48"/>
      <c r="D67" s="49"/>
      <c r="E67" s="49"/>
      <c r="F67" s="49"/>
      <c r="G67" s="49"/>
      <c r="H67" s="50" t="str">
        <f>IF($B67="","",IF($J67="X",B67,CONCATENATE(VLOOKUP(B67,Competitors!$A$2:$I$650,3,FALSE)," ",VLOOKUP(B67,Competitors!$A$2:$I$650,2,FALSE))))</f>
        <v/>
      </c>
      <c r="I67" s="51">
        <f t="shared" si="3"/>
        <v>0</v>
      </c>
      <c r="J67" t="str">
        <f t="shared" si="4"/>
        <v/>
      </c>
    </row>
    <row r="68" spans="1:10" ht="15">
      <c r="A68" s="46"/>
      <c r="B68" s="47" t="str">
        <f t="shared" si="2"/>
        <v/>
      </c>
      <c r="C68" s="48"/>
      <c r="D68" s="49"/>
      <c r="E68" s="49"/>
      <c r="F68" s="49"/>
      <c r="G68" s="49"/>
      <c r="H68" s="50" t="str">
        <f>IF($B68="","",IF($J68="X",B68,CONCATENATE(VLOOKUP(B68,Competitors!$A$2:$I$650,3,FALSE)," ",VLOOKUP(B68,Competitors!$A$2:$I$650,2,FALSE))))</f>
        <v/>
      </c>
      <c r="I68" s="51">
        <f t="shared" si="3"/>
        <v>0</v>
      </c>
      <c r="J68" t="str">
        <f t="shared" si="4"/>
        <v/>
      </c>
    </row>
    <row r="69" spans="1:10" ht="15">
      <c r="A69" s="46"/>
      <c r="B69" s="47" t="str">
        <f t="shared" si="2"/>
        <v/>
      </c>
      <c r="C69" s="48"/>
      <c r="D69" s="49"/>
      <c r="E69" s="49"/>
      <c r="F69" s="49"/>
      <c r="G69" s="49"/>
      <c r="H69" s="50" t="str">
        <f>IF($B69="","",IF($J69="X",B69,CONCATENATE(VLOOKUP(B69,Competitors!$A$2:$I$650,3,FALSE)," ",VLOOKUP(B69,Competitors!$A$2:$I$650,2,FALSE))))</f>
        <v/>
      </c>
      <c r="I69" s="51">
        <f t="shared" si="3"/>
        <v>0</v>
      </c>
      <c r="J69" t="str">
        <f t="shared" si="4"/>
        <v/>
      </c>
    </row>
    <row r="70" spans="1:10" ht="15">
      <c r="A70" s="46"/>
      <c r="B70" s="47" t="str">
        <f t="shared" si="2"/>
        <v/>
      </c>
      <c r="C70" s="48"/>
      <c r="D70" s="49"/>
      <c r="E70" s="49"/>
      <c r="F70" s="49"/>
      <c r="G70" s="49"/>
      <c r="H70" s="50" t="str">
        <f>IF($B70="","",IF($J70="X",B70,CONCATENATE(VLOOKUP(B70,Competitors!$A$2:$I$650,3,FALSE)," ",VLOOKUP(B70,Competitors!$A$2:$I$650,2,FALSE))))</f>
        <v/>
      </c>
      <c r="I70" s="51">
        <f t="shared" si="3"/>
        <v>0</v>
      </c>
      <c r="J70" t="str">
        <f t="shared" si="4"/>
        <v/>
      </c>
    </row>
    <row r="71" spans="1:10" ht="15">
      <c r="A71" s="46"/>
      <c r="B71" s="47" t="str">
        <f t="shared" si="2"/>
        <v/>
      </c>
      <c r="C71" s="48"/>
      <c r="D71" s="49"/>
      <c r="E71" s="49"/>
      <c r="F71" s="49"/>
      <c r="G71" s="49"/>
      <c r="H71" s="50" t="str">
        <f>IF($B71="","",IF($J71="X",B71,CONCATENATE(VLOOKUP(B71,Competitors!$A$2:$I$650,3,FALSE)," ",VLOOKUP(B71,Competitors!$A$2:$I$650,2,FALSE))))</f>
        <v/>
      </c>
      <c r="I71" s="51">
        <f t="shared" si="3"/>
        <v>0</v>
      </c>
      <c r="J71" t="str">
        <f t="shared" si="4"/>
        <v/>
      </c>
    </row>
    <row r="72" spans="1:10" ht="15">
      <c r="A72" s="46"/>
      <c r="B72" s="47" t="str">
        <f t="shared" si="2"/>
        <v/>
      </c>
      <c r="C72" s="48"/>
      <c r="D72" s="49"/>
      <c r="E72" s="49"/>
      <c r="F72" s="49"/>
      <c r="G72" s="49"/>
      <c r="H72" s="50" t="str">
        <f>IF($B72="","",IF($J72="X",B72,CONCATENATE(VLOOKUP(B72,Competitors!$A$2:$I$650,3,FALSE)," ",VLOOKUP(B72,Competitors!$A$2:$I$650,2,FALSE))))</f>
        <v/>
      </c>
      <c r="I72" s="51">
        <f t="shared" si="3"/>
        <v>0</v>
      </c>
      <c r="J72" t="str">
        <f t="shared" si="4"/>
        <v/>
      </c>
    </row>
    <row r="73" spans="1:10" ht="15">
      <c r="A73" s="46"/>
      <c r="B73" s="47" t="str">
        <f t="shared" si="2"/>
        <v/>
      </c>
      <c r="C73" s="48"/>
      <c r="D73" s="49"/>
      <c r="E73" s="49"/>
      <c r="F73" s="49"/>
      <c r="G73" s="49"/>
      <c r="H73" s="50" t="str">
        <f>IF($B73="","",IF($J73="X",B73,CONCATENATE(VLOOKUP(B73,Competitors!$A$2:$I$650,3,FALSE)," ",VLOOKUP(B73,Competitors!$A$2:$I$650,2,FALSE))))</f>
        <v/>
      </c>
      <c r="I73" s="51">
        <f t="shared" si="3"/>
        <v>0</v>
      </c>
      <c r="J73" t="str">
        <f t="shared" si="4"/>
        <v/>
      </c>
    </row>
    <row r="74" spans="1:10" ht="15">
      <c r="A74" s="46"/>
      <c r="B74" s="47" t="str">
        <f t="shared" si="2"/>
        <v/>
      </c>
      <c r="C74" s="48"/>
      <c r="D74" s="49"/>
      <c r="E74" s="49"/>
      <c r="F74" s="49"/>
      <c r="G74" s="49"/>
      <c r="H74" s="50" t="str">
        <f>IF($B74="","",IF($J74="X",B74,CONCATENATE(VLOOKUP(B74,Competitors!$A$2:$I$650,3,FALSE)," ",VLOOKUP(B74,Competitors!$A$2:$I$650,2,FALSE))))</f>
        <v/>
      </c>
      <c r="I74" s="51">
        <f t="shared" si="3"/>
        <v>0</v>
      </c>
      <c r="J74" t="str">
        <f t="shared" si="4"/>
        <v/>
      </c>
    </row>
    <row r="75" spans="1:10" ht="15">
      <c r="A75" s="46"/>
      <c r="B75" s="47" t="str">
        <f t="shared" si="2"/>
        <v/>
      </c>
      <c r="C75" s="48"/>
      <c r="D75" s="49"/>
      <c r="E75" s="49"/>
      <c r="F75" s="49"/>
      <c r="G75" s="49"/>
      <c r="H75" s="50" t="str">
        <f>IF($B75="","",IF($J75="X",B75,CONCATENATE(VLOOKUP(B75,Competitors!$A$2:$I$650,3,FALSE)," ",VLOOKUP(B75,Competitors!$A$2:$I$650,2,FALSE))))</f>
        <v/>
      </c>
      <c r="I75" s="51">
        <f t="shared" si="3"/>
        <v>0</v>
      </c>
      <c r="J75" t="str">
        <f t="shared" si="4"/>
        <v/>
      </c>
    </row>
    <row r="76" spans="1:10" ht="15">
      <c r="A76" s="46"/>
      <c r="B76" s="47" t="str">
        <f t="shared" si="2"/>
        <v/>
      </c>
      <c r="C76" s="48"/>
      <c r="D76" s="49"/>
      <c r="E76" s="49"/>
      <c r="F76" s="49"/>
      <c r="G76" s="49"/>
      <c r="H76" s="50" t="str">
        <f>IF($B76="","",IF($J76="X",B76,CONCATENATE(VLOOKUP(B76,Competitors!$A$2:$I$650,3,FALSE)," ",VLOOKUP(B76,Competitors!$A$2:$I$650,2,FALSE))))</f>
        <v/>
      </c>
      <c r="I76" s="51">
        <f t="shared" si="3"/>
        <v>0</v>
      </c>
      <c r="J76" t="str">
        <f t="shared" si="4"/>
        <v/>
      </c>
    </row>
    <row r="77" spans="1:10" ht="15">
      <c r="A77" s="46"/>
      <c r="B77" s="47" t="str">
        <f t="shared" si="2"/>
        <v/>
      </c>
      <c r="C77" s="48"/>
      <c r="D77" s="49"/>
      <c r="E77" s="49"/>
      <c r="F77" s="49"/>
      <c r="G77" s="49"/>
      <c r="H77" s="50" t="str">
        <f>IF($B77="","",IF($J77="X",B77,CONCATENATE(VLOOKUP(B77,Competitors!$A$2:$I$650,3,FALSE)," ",VLOOKUP(B77,Competitors!$A$2:$I$650,2,FALSE))))</f>
        <v/>
      </c>
      <c r="I77" s="51">
        <f t="shared" si="3"/>
        <v>0</v>
      </c>
      <c r="J77" t="str">
        <f t="shared" si="4"/>
        <v/>
      </c>
    </row>
    <row r="78" spans="1:10" ht="15">
      <c r="A78" s="46"/>
      <c r="B78" s="47" t="str">
        <f t="shared" si="2"/>
        <v/>
      </c>
      <c r="C78" s="48"/>
      <c r="D78" s="49"/>
      <c r="E78" s="49"/>
      <c r="F78" s="49"/>
      <c r="G78" s="49"/>
      <c r="H78" s="50" t="str">
        <f>IF($B78="","",IF($J78="X",B78,CONCATENATE(VLOOKUP(B78,Competitors!$A$2:$I$650,3,FALSE)," ",VLOOKUP(B78,Competitors!$A$2:$I$650,2,FALSE))))</f>
        <v/>
      </c>
      <c r="I78" s="51">
        <f t="shared" si="3"/>
        <v>0</v>
      </c>
      <c r="J78" t="str">
        <f t="shared" si="4"/>
        <v/>
      </c>
    </row>
    <row r="79" spans="1:10" ht="15">
      <c r="A79" s="46"/>
      <c r="B79" s="47" t="str">
        <f t="shared" si="2"/>
        <v/>
      </c>
      <c r="C79" s="48"/>
      <c r="D79" s="49"/>
      <c r="E79" s="49"/>
      <c r="F79" s="49"/>
      <c r="G79" s="49"/>
      <c r="H79" s="50" t="str">
        <f>IF($B79="","",IF($J79="X",B79,CONCATENATE(VLOOKUP(B79,Competitors!$A$2:$I$650,3,FALSE)," ",VLOOKUP(B79,Competitors!$A$2:$I$650,2,FALSE))))</f>
        <v/>
      </c>
      <c r="I79" s="51">
        <f t="shared" si="3"/>
        <v>0</v>
      </c>
      <c r="J79" t="str">
        <f t="shared" si="4"/>
        <v/>
      </c>
    </row>
    <row r="80" spans="1:10" ht="15">
      <c r="A80" s="46"/>
      <c r="B80" s="47" t="str">
        <f t="shared" si="2"/>
        <v/>
      </c>
      <c r="C80" s="48"/>
      <c r="D80" s="49"/>
      <c r="E80" s="49"/>
      <c r="F80" s="49"/>
      <c r="G80" s="49"/>
      <c r="H80" s="50" t="str">
        <f>IF($B80="","",IF($J80="X",B80,CONCATENATE(VLOOKUP(B80,Competitors!$A$2:$I$650,3,FALSE)," ",VLOOKUP(B80,Competitors!$A$2:$I$650,2,FALSE))))</f>
        <v/>
      </c>
      <c r="I80" s="51">
        <f t="shared" si="3"/>
        <v>0</v>
      </c>
      <c r="J80" t="str">
        <f t="shared" si="4"/>
        <v/>
      </c>
    </row>
    <row r="81" spans="1:10" ht="15">
      <c r="A81" s="46"/>
      <c r="B81" s="47" t="str">
        <f t="shared" si="2"/>
        <v/>
      </c>
      <c r="C81" s="48"/>
      <c r="D81" s="49"/>
      <c r="E81" s="49"/>
      <c r="F81" s="49"/>
      <c r="G81" s="49"/>
      <c r="H81" s="50" t="str">
        <f>IF($B81="","",IF($J81="X",B81,CONCATENATE(VLOOKUP(B81,Competitors!$A$2:$I$650,3,FALSE)," ",VLOOKUP(B81,Competitors!$A$2:$I$650,2,FALSE))))</f>
        <v/>
      </c>
      <c r="I81" s="51">
        <f t="shared" si="3"/>
        <v>0</v>
      </c>
      <c r="J81" t="str">
        <f t="shared" si="4"/>
        <v/>
      </c>
    </row>
    <row r="82" spans="1:10" ht="15">
      <c r="A82" s="46"/>
      <c r="B82" s="47" t="str">
        <f t="shared" si="2"/>
        <v/>
      </c>
      <c r="C82" s="48"/>
      <c r="D82" s="49"/>
      <c r="E82" s="49"/>
      <c r="F82" s="49"/>
      <c r="G82" s="49"/>
      <c r="H82" s="50" t="str">
        <f>IF($B82="","",IF($J82="X",B82,CONCATENATE(VLOOKUP(B82,Competitors!$A$2:$I$650,3,FALSE)," ",VLOOKUP(B82,Competitors!$A$2:$I$650,2,FALSE))))</f>
        <v/>
      </c>
      <c r="I82" s="51">
        <f t="shared" si="3"/>
        <v>0</v>
      </c>
      <c r="J82" t="str">
        <f t="shared" si="4"/>
        <v/>
      </c>
    </row>
    <row r="83" spans="1:10" ht="15">
      <c r="A83" s="46"/>
      <c r="B83" s="47" t="str">
        <f t="shared" si="2"/>
        <v/>
      </c>
      <c r="C83" s="48"/>
      <c r="D83" s="49"/>
      <c r="E83" s="49"/>
      <c r="F83" s="49"/>
      <c r="G83" s="49"/>
      <c r="H83" s="50" t="str">
        <f>IF($B83="","",IF($J83="X",B83,CONCATENATE(VLOOKUP(B83,Competitors!$A$2:$I$650,3,FALSE)," ",VLOOKUP(B83,Competitors!$A$2:$I$650,2,FALSE))))</f>
        <v/>
      </c>
      <c r="I83" s="51">
        <f t="shared" si="3"/>
        <v>0</v>
      </c>
      <c r="J83" t="str">
        <f t="shared" si="4"/>
        <v/>
      </c>
    </row>
    <row r="84" spans="1:10" ht="15">
      <c r="A84" s="46"/>
      <c r="B84" s="47" t="str">
        <f t="shared" si="2"/>
        <v/>
      </c>
      <c r="C84" s="48"/>
      <c r="D84" s="49"/>
      <c r="E84" s="49"/>
      <c r="F84" s="49"/>
      <c r="G84" s="49"/>
      <c r="H84" s="50" t="str">
        <f>IF($B84="","",IF($J84="X",B84,CONCATENATE(VLOOKUP(B84,Competitors!$A$2:$I$650,3,FALSE)," ",VLOOKUP(B84,Competitors!$A$2:$I$650,2,FALSE))))</f>
        <v/>
      </c>
      <c r="I84" s="51">
        <f t="shared" si="3"/>
        <v>0</v>
      </c>
      <c r="J84" t="str">
        <f t="shared" si="4"/>
        <v/>
      </c>
    </row>
    <row r="85" spans="1:10" ht="15">
      <c r="A85" s="46"/>
      <c r="B85" s="47" t="str">
        <f t="shared" si="2"/>
        <v/>
      </c>
      <c r="C85" s="48"/>
      <c r="D85" s="49"/>
      <c r="E85" s="49"/>
      <c r="F85" s="49"/>
      <c r="G85" s="49"/>
      <c r="H85" s="50" t="str">
        <f>IF($B85="","",IF($J85="X",B85,CONCATENATE(VLOOKUP(B85,Competitors!$A$2:$I$650,3,FALSE)," ",VLOOKUP(B85,Competitors!$A$2:$I$650,2,FALSE))))</f>
        <v/>
      </c>
      <c r="I85" s="51">
        <f t="shared" si="3"/>
        <v>0</v>
      </c>
      <c r="J85" t="str">
        <f t="shared" si="4"/>
        <v/>
      </c>
    </row>
    <row r="86" spans="1:10" ht="15">
      <c r="A86" s="46"/>
      <c r="B86" s="47" t="str">
        <f t="shared" ref="B86:B101" si="5">IF(A86="","",_xlfn.XLOOKUP(A86,ClubNames,ClubNumbers,_xlfn.XLOOKUP(A86,RoundRobinRiderNames,RoundRobinRiderDecoratedNames,A86)))</f>
        <v/>
      </c>
      <c r="C86" s="48"/>
      <c r="D86" s="49"/>
      <c r="E86" s="49"/>
      <c r="F86" s="49"/>
      <c r="G86" s="49"/>
      <c r="H86" s="50" t="str">
        <f>IF($B86="","",IF($J86="X",B86,CONCATENATE(VLOOKUP(B86,Competitors!$A$2:$I$650,3,FALSE)," ",VLOOKUP(B86,Competitors!$A$2:$I$650,2,FALSE))))</f>
        <v/>
      </c>
      <c r="I86" s="51">
        <f t="shared" si="3"/>
        <v>0</v>
      </c>
      <c r="J86" t="str">
        <f t="shared" si="4"/>
        <v/>
      </c>
    </row>
    <row r="87" spans="1:10" ht="15">
      <c r="A87" s="46"/>
      <c r="B87" s="47" t="str">
        <f t="shared" si="5"/>
        <v/>
      </c>
      <c r="C87" s="48"/>
      <c r="D87" s="49"/>
      <c r="E87" s="49"/>
      <c r="F87" s="49"/>
      <c r="G87" s="49"/>
      <c r="H87" s="50" t="str">
        <f>IF($B87="","",IF($J87="X",B87,CONCATENATE(VLOOKUP(B87,Competitors!$A$2:$I$650,3,FALSE)," ",VLOOKUP(B87,Competitors!$A$2:$I$650,2,FALSE))))</f>
        <v/>
      </c>
      <c r="I87" s="51">
        <f t="shared" si="3"/>
        <v>0</v>
      </c>
      <c r="J87" t="str">
        <f t="shared" si="4"/>
        <v/>
      </c>
    </row>
    <row r="88" spans="1:10" ht="15">
      <c r="A88" s="46"/>
      <c r="B88" s="47" t="str">
        <f t="shared" si="5"/>
        <v/>
      </c>
      <c r="C88" s="48"/>
      <c r="D88" s="49"/>
      <c r="E88" s="49"/>
      <c r="F88" s="49"/>
      <c r="G88" s="49"/>
      <c r="H88" s="50" t="str">
        <f>IF($B88="","",IF($J88="X",B88,CONCATENATE(VLOOKUP(B88,Competitors!$A$2:$I$650,3,FALSE)," ",VLOOKUP(B88,Competitors!$A$2:$I$650,2,FALSE))))</f>
        <v/>
      </c>
      <c r="I88" s="51">
        <f t="shared" si="3"/>
        <v>0</v>
      </c>
      <c r="J88" t="str">
        <f t="shared" si="4"/>
        <v/>
      </c>
    </row>
    <row r="89" spans="1:10" ht="15">
      <c r="A89" s="46"/>
      <c r="B89" s="47" t="str">
        <f t="shared" si="5"/>
        <v/>
      </c>
      <c r="C89" s="48"/>
      <c r="D89" s="49"/>
      <c r="E89" s="49"/>
      <c r="F89" s="49"/>
      <c r="G89" s="49"/>
      <c r="H89" s="50" t="str">
        <f>IF($B89="","",IF($J89="X",B89,CONCATENATE(VLOOKUP(B89,Competitors!$A$2:$I$650,3,FALSE)," ",VLOOKUP(B89,Competitors!$A$2:$I$650,2,FALSE))))</f>
        <v/>
      </c>
      <c r="I89" s="51">
        <f t="shared" si="3"/>
        <v>0</v>
      </c>
      <c r="J89" t="str">
        <f t="shared" si="4"/>
        <v/>
      </c>
    </row>
    <row r="90" spans="1:10" ht="15">
      <c r="A90" s="46"/>
      <c r="B90" s="47" t="str">
        <f t="shared" si="5"/>
        <v/>
      </c>
      <c r="C90" s="48"/>
      <c r="D90" s="49"/>
      <c r="E90" s="49"/>
      <c r="F90" s="49"/>
      <c r="G90" s="49"/>
      <c r="H90" s="50" t="str">
        <f>IF($B90="","",IF($J90="X",B90,CONCATENATE(VLOOKUP(B90,Competitors!$A$2:$I$650,3,FALSE)," ",VLOOKUP(B90,Competitors!$A$2:$I$650,2,FALSE))))</f>
        <v/>
      </c>
      <c r="I90" s="51">
        <f t="shared" si="3"/>
        <v>0</v>
      </c>
      <c r="J90" t="str">
        <f t="shared" si="4"/>
        <v/>
      </c>
    </row>
    <row r="91" spans="1:10" ht="15">
      <c r="A91" s="46"/>
      <c r="B91" s="47" t="str">
        <f t="shared" si="5"/>
        <v/>
      </c>
      <c r="C91" s="48"/>
      <c r="D91" s="49"/>
      <c r="E91" s="49"/>
      <c r="F91" s="49"/>
      <c r="G91" s="49"/>
      <c r="H91" s="50" t="str">
        <f>IF($B91="","",IF($J91="X",B91,CONCATENATE(VLOOKUP(B91,Competitors!$A$2:$I$650,3,FALSE)," ",VLOOKUP(B91,Competitors!$A$2:$I$650,2,FALSE))))</f>
        <v/>
      </c>
      <c r="I91" s="51">
        <f t="shared" si="3"/>
        <v>0</v>
      </c>
      <c r="J91" t="str">
        <f t="shared" si="4"/>
        <v/>
      </c>
    </row>
    <row r="92" spans="1:10" ht="15">
      <c r="A92" s="46"/>
      <c r="B92" s="47" t="str">
        <f t="shared" si="5"/>
        <v/>
      </c>
      <c r="C92" s="48"/>
      <c r="D92" s="49"/>
      <c r="E92" s="49"/>
      <c r="F92" s="49"/>
      <c r="G92" s="49"/>
      <c r="H92" s="50" t="str">
        <f>IF($B92="","",IF($J92="X",B92,CONCATENATE(VLOOKUP(B92,Competitors!$A$2:$I$650,3,FALSE)," ",VLOOKUP(B92,Competitors!$A$2:$I$650,2,FALSE))))</f>
        <v/>
      </c>
      <c r="I92" s="51">
        <f t="shared" si="3"/>
        <v>0</v>
      </c>
      <c r="J92" t="str">
        <f t="shared" si="4"/>
        <v/>
      </c>
    </row>
    <row r="93" spans="1:10" ht="15">
      <c r="A93" s="46"/>
      <c r="B93" s="47" t="str">
        <f t="shared" si="5"/>
        <v/>
      </c>
      <c r="C93" s="48"/>
      <c r="D93" s="49"/>
      <c r="E93" s="49"/>
      <c r="F93" s="49"/>
      <c r="G93" s="49"/>
      <c r="H93" s="50" t="str">
        <f>IF($B93="","",IF($J93="X",B93,CONCATENATE(VLOOKUP(B93,Competitors!$A$2:$I$650,3,FALSE)," ",VLOOKUP(B93,Competitors!$A$2:$I$650,2,FALSE))))</f>
        <v/>
      </c>
      <c r="I93" s="51">
        <f t="shared" si="3"/>
        <v>0</v>
      </c>
      <c r="J93" t="str">
        <f t="shared" si="4"/>
        <v/>
      </c>
    </row>
    <row r="94" spans="1:10" ht="15">
      <c r="A94" s="46"/>
      <c r="B94" s="47" t="str">
        <f t="shared" si="5"/>
        <v/>
      </c>
      <c r="C94" s="48"/>
      <c r="D94" s="49"/>
      <c r="E94" s="49"/>
      <c r="F94" s="49"/>
      <c r="G94" s="49"/>
      <c r="H94" s="50" t="str">
        <f>IF($B94="","",IF($J94="X",B94,CONCATENATE(VLOOKUP(B94,Competitors!$A$2:$I$650,3,FALSE)," ",VLOOKUP(B94,Competitors!$A$2:$I$650,2,FALSE))))</f>
        <v/>
      </c>
      <c r="I94" s="51">
        <f t="shared" si="3"/>
        <v>0</v>
      </c>
      <c r="J94" t="str">
        <f t="shared" si="4"/>
        <v/>
      </c>
    </row>
    <row r="95" spans="1:10" ht="15">
      <c r="A95" s="46"/>
      <c r="B95" s="47" t="str">
        <f t="shared" si="5"/>
        <v/>
      </c>
      <c r="C95" s="48"/>
      <c r="D95" s="49"/>
      <c r="E95" s="49"/>
      <c r="F95" s="49"/>
      <c r="G95" s="49"/>
      <c r="H95" s="50" t="str">
        <f>IF($B95="","",IF($J95="X",B95,CONCATENATE(VLOOKUP(B95,Competitors!$A$2:$I$650,3,FALSE)," ",VLOOKUP(B95,Competitors!$A$2:$I$650,2,FALSE))))</f>
        <v/>
      </c>
      <c r="I95" s="51">
        <f t="shared" si="3"/>
        <v>0</v>
      </c>
      <c r="J95" t="str">
        <f t="shared" si="4"/>
        <v/>
      </c>
    </row>
    <row r="96" spans="1:10" ht="15">
      <c r="A96" s="46"/>
      <c r="B96" s="47" t="str">
        <f t="shared" si="5"/>
        <v/>
      </c>
      <c r="C96" s="48"/>
      <c r="D96" s="49"/>
      <c r="E96" s="49"/>
      <c r="F96" s="49"/>
      <c r="G96" s="49"/>
      <c r="H96" s="50" t="str">
        <f>IF($B96="","",IF($J96="X",B96,CONCATENATE(VLOOKUP(B96,Competitors!$A$2:$I$650,3,FALSE)," ",VLOOKUP(B96,Competitors!$A$2:$I$650,2,FALSE))))</f>
        <v/>
      </c>
      <c r="I96" s="51">
        <f t="shared" si="3"/>
        <v>0</v>
      </c>
      <c r="J96" t="str">
        <f t="shared" si="4"/>
        <v/>
      </c>
    </row>
    <row r="97" spans="1:10" ht="15">
      <c r="A97" s="46"/>
      <c r="B97" s="47" t="str">
        <f t="shared" si="5"/>
        <v/>
      </c>
      <c r="C97" s="48"/>
      <c r="D97" s="49"/>
      <c r="E97" s="49"/>
      <c r="F97" s="49"/>
      <c r="G97" s="49"/>
      <c r="H97" s="50" t="str">
        <f>IF($B97="","",IF($J97="X",B97,CONCATENATE(VLOOKUP(B97,Competitors!$A$2:$I$650,3,FALSE)," ",VLOOKUP(B97,Competitors!$A$2:$I$650,2,FALSE))))</f>
        <v/>
      </c>
      <c r="I97" s="51">
        <f t="shared" si="3"/>
        <v>0</v>
      </c>
      <c r="J97" t="str">
        <f t="shared" si="4"/>
        <v/>
      </c>
    </row>
    <row r="98" spans="1:10" ht="15">
      <c r="A98" s="46"/>
      <c r="B98" s="47" t="str">
        <f t="shared" si="5"/>
        <v/>
      </c>
      <c r="C98" s="48"/>
      <c r="D98" s="49"/>
      <c r="E98" s="49"/>
      <c r="F98" s="49"/>
      <c r="G98" s="49"/>
      <c r="H98" s="50" t="str">
        <f>IF($B98="","",IF($J98="X",B98,CONCATENATE(VLOOKUP(B98,Competitors!$A$2:$I$650,3,FALSE)," ",VLOOKUP(B98,Competitors!$A$2:$I$650,2,FALSE))))</f>
        <v/>
      </c>
      <c r="I98" s="51">
        <f t="shared" si="3"/>
        <v>0</v>
      </c>
      <c r="J98" t="str">
        <f t="shared" si="4"/>
        <v/>
      </c>
    </row>
    <row r="99" spans="1:10" ht="15">
      <c r="A99" s="46"/>
      <c r="B99" s="47" t="str">
        <f t="shared" si="5"/>
        <v/>
      </c>
      <c r="C99" s="48"/>
      <c r="D99" s="49"/>
      <c r="E99" s="49"/>
      <c r="F99" s="49"/>
      <c r="G99" s="49"/>
      <c r="H99" s="50" t="str">
        <f>IF($B99="","",IF($J99="X",B99,CONCATENATE(VLOOKUP(B99,Competitors!$A$2:$I$650,3,FALSE)," ",VLOOKUP(B99,Competitors!$A$2:$I$650,2,FALSE))))</f>
        <v/>
      </c>
      <c r="I99" s="51">
        <f t="shared" si="3"/>
        <v>0</v>
      </c>
      <c r="J99" t="str">
        <f t="shared" si="4"/>
        <v/>
      </c>
    </row>
    <row r="100" spans="1:10" ht="15">
      <c r="A100" s="46"/>
      <c r="B100" s="47" t="str">
        <f t="shared" si="5"/>
        <v/>
      </c>
      <c r="C100" s="48"/>
      <c r="D100" s="49"/>
      <c r="E100" s="49"/>
      <c r="F100" s="49"/>
      <c r="G100" s="49"/>
      <c r="H100" s="50" t="str">
        <f>IF($B100="","",IF($J100="X",B100,CONCATENATE(VLOOKUP(B100,Competitors!$A$2:$I$650,3, FALSE)," ",VLOOKUP(B100,Competitors!$A$2:$I$650,2,FALSE))))</f>
        <v/>
      </c>
      <c r="I100" s="51">
        <f t="shared" si="3"/>
        <v>0</v>
      </c>
      <c r="J100" t="str">
        <f t="shared" si="4"/>
        <v/>
      </c>
    </row>
    <row r="101" spans="1:10" ht="15">
      <c r="A101" s="46"/>
      <c r="B101" s="47" t="str">
        <f t="shared" si="5"/>
        <v/>
      </c>
      <c r="C101" s="48"/>
      <c r="D101" s="49"/>
      <c r="E101" s="49"/>
      <c r="F101" s="49"/>
      <c r="G101" s="49"/>
      <c r="H101" s="50" t="str">
        <f>IF($B101="","",IF($J101="X",B101,CONCATENATE(VLOOKUP(B101,Competitors!$A$2:$I$650,3,FALSE)," ",VLOOKUP(B101,Competitors!$A$2:$I$650,2,FALSE))))</f>
        <v/>
      </c>
      <c r="I101" s="51">
        <f t="shared" si="3"/>
        <v>0</v>
      </c>
      <c r="J101" t="str">
        <f t="shared" si="4"/>
        <v/>
      </c>
    </row>
    <row r="102" spans="1:10" s="52" customFormat="1">
      <c r="I102" s="53"/>
    </row>
    <row r="103" spans="1:10">
      <c r="B103" t="s">
        <v>551</v>
      </c>
      <c r="C103" t="str" cm="1">
        <f t="array" aca="1" ref="C103" ca="1">MID(CELL("filename",B1),FIND("]",CELL("filename",B1))+1,255)</f>
        <v>Event_01</v>
      </c>
    </row>
    <row r="104" spans="1:10">
      <c r="B104" t="s">
        <v>552</v>
      </c>
      <c r="C104" t="str">
        <f ca="1">_xlfn.XLOOKUP(C103,Calendar!O:O,Calendar!H:H,"Event is not in calendar")</f>
        <v/>
      </c>
    </row>
  </sheetData>
  <conditionalFormatting sqref="E2:E101">
    <cfRule type="expression" dxfId="81" priority="3">
      <formula>TEXT($C$104,"@")="Y"</formula>
    </cfRule>
  </conditionalFormatting>
  <conditionalFormatting sqref="H2:I101">
    <cfRule type="expression" dxfId="80" priority="2">
      <formula>$J2="X"</formula>
    </cfRule>
  </conditionalFormatting>
  <conditionalFormatting sqref="I2:I101">
    <cfRule type="expression" dxfId="79"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4">
    <pageSetUpPr fitToPage="1"/>
  </sheetPr>
  <dimension ref="A1:J104"/>
  <sheetViews>
    <sheetView workbookViewId="0"/>
    <sheetView workbookViewId="1"/>
  </sheetViews>
  <sheetFormatPr defaultColWidth="9.1328125" defaultRowHeight="12.75"/>
  <cols>
    <col min="1" max="1" width="20.19921875" bestFit="1" customWidth="1"/>
    <col min="2" max="2" width="23.86328125" bestFit="1" customWidth="1"/>
    <col min="3" max="4" width="4.796875" customWidth="1"/>
    <col min="5" max="5" width="6.19921875"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453</v>
      </c>
      <c r="B2" s="47">
        <v>558</v>
      </c>
      <c r="C2" s="48">
        <v>1</v>
      </c>
      <c r="D2" s="48">
        <v>35</v>
      </c>
      <c r="E2" s="48">
        <v>37</v>
      </c>
      <c r="F2" s="48" t="s">
        <v>544</v>
      </c>
      <c r="G2" s="48"/>
      <c r="H2" s="50" t="str">
        <f>IF($B2="","",IF($J2="X",B2,CONCATENATE(VLOOKUP(B2,Competitors!$A$2:$I$650,3, FALSE)," ",VLOOKUP(B2,Competitors!$A$2:$I$650,2,FALSE))))</f>
        <v>Andrew Weatherby</v>
      </c>
      <c r="I2" s="51">
        <f t="shared" ref="I2:I65" si="0">IF(LEFT($F2,1)="D",UPPER($F2),(C2*3600+D2*60+E2)/86400)</f>
        <v>6.6400462962962967E-2</v>
      </c>
      <c r="J2" t="str">
        <f t="shared" ref="J2:J65" si="1">IF(OR(B2="",ISNUMBER(B2)),"","X")</f>
        <v/>
      </c>
    </row>
    <row r="3" spans="1:10" ht="15">
      <c r="A3" s="46" t="s">
        <v>452</v>
      </c>
      <c r="B3" s="47">
        <v>1404</v>
      </c>
      <c r="C3" s="48">
        <v>1</v>
      </c>
      <c r="D3" s="48">
        <v>16</v>
      </c>
      <c r="E3" s="48">
        <v>16</v>
      </c>
      <c r="F3" s="48"/>
      <c r="G3" s="48"/>
      <c r="H3" s="50" t="str">
        <f>IF($B3="","",IF($J3="X",B3,CONCATENATE(VLOOKUP(B3,Competitors!$A$2:$I$650,3,FALSE)," ",VLOOKUP(B3,Competitors!$A$2:$I$650,2,FALSE))))</f>
        <v>Millie Lenehan</v>
      </c>
      <c r="I3" s="51">
        <f t="shared" si="0"/>
        <v>5.2962962962962962E-2</v>
      </c>
      <c r="J3" t="str">
        <f t="shared" si="1"/>
        <v/>
      </c>
    </row>
    <row r="4" spans="1:10" ht="15">
      <c r="A4" s="46" t="s">
        <v>448</v>
      </c>
      <c r="B4" s="47">
        <v>1298</v>
      </c>
      <c r="C4" s="48">
        <v>1</v>
      </c>
      <c r="D4" s="48">
        <v>19</v>
      </c>
      <c r="E4" s="48">
        <v>14</v>
      </c>
      <c r="F4" s="48" t="s">
        <v>544</v>
      </c>
      <c r="G4" s="48"/>
      <c r="H4" s="50" t="str">
        <f>IF($B4="","",IF($J4="X",B4,CONCATENATE(VLOOKUP(B4,Competitors!$A$2:$I$650,3,FALSE)," ",VLOOKUP(B4,Competitors!$A$2:$I$650,2,FALSE))))</f>
        <v>Jane Moore</v>
      </c>
      <c r="I4" s="51">
        <f t="shared" si="0"/>
        <v>5.5023148148148147E-2</v>
      </c>
      <c r="J4" t="str">
        <f t="shared" si="1"/>
        <v/>
      </c>
    </row>
    <row r="5" spans="1:10" ht="15">
      <c r="A5" s="46" t="s">
        <v>426</v>
      </c>
      <c r="B5" s="47">
        <v>1055</v>
      </c>
      <c r="C5" s="48">
        <v>0</v>
      </c>
      <c r="D5" s="48">
        <v>58</v>
      </c>
      <c r="E5" s="48">
        <v>38</v>
      </c>
      <c r="F5" s="48" t="s">
        <v>544</v>
      </c>
      <c r="G5" s="48"/>
      <c r="H5" s="50" t="str">
        <f>IF($B5="","",IF($J5="X",B5,CONCATENATE(VLOOKUP(B5,Competitors!$A$2:$I$650,3,FALSE)," ",VLOOKUP(B5,Competitors!$A$2:$I$650,2,FALSE))))</f>
        <v>Austin Smith</v>
      </c>
      <c r="I5" s="51">
        <f t="shared" si="0"/>
        <v>4.071759259259259E-2</v>
      </c>
      <c r="J5" t="str">
        <f t="shared" si="1"/>
        <v/>
      </c>
    </row>
    <row r="6" spans="1:10" ht="15">
      <c r="A6" s="46" t="s">
        <v>417</v>
      </c>
      <c r="B6" s="47">
        <v>1152</v>
      </c>
      <c r="C6" s="48">
        <v>0</v>
      </c>
      <c r="D6" s="48">
        <v>57</v>
      </c>
      <c r="E6" s="48">
        <v>56</v>
      </c>
      <c r="F6" s="48" t="s">
        <v>544</v>
      </c>
      <c r="G6" s="48"/>
      <c r="H6" s="50" t="str">
        <f>IF($B6="","",IF($J6="X",B6,CONCATENATE(VLOOKUP(B6,Competitors!$A$2:$I$650,3,FALSE)," ",VLOOKUP(B6,Competitors!$A$2:$I$650,2,FALSE))))</f>
        <v>Ruby Isaac</v>
      </c>
      <c r="I6" s="51">
        <f t="shared" si="0"/>
        <v>4.0231481481481479E-2</v>
      </c>
      <c r="J6" t="str">
        <f t="shared" si="1"/>
        <v/>
      </c>
    </row>
    <row r="7" spans="1:10" ht="15">
      <c r="A7" s="46" t="s">
        <v>422</v>
      </c>
      <c r="B7" s="47">
        <v>1407</v>
      </c>
      <c r="C7" s="48">
        <v>0</v>
      </c>
      <c r="D7" s="48">
        <v>59</v>
      </c>
      <c r="E7" s="48">
        <v>31</v>
      </c>
      <c r="F7" s="48" t="s">
        <v>544</v>
      </c>
      <c r="G7" s="48"/>
      <c r="H7" s="50" t="str">
        <f>IF($B7="","",IF($J7="X",B7,CONCATENATE(VLOOKUP(B7,Competitors!$A$2:$I$650,3,FALSE)," ",VLOOKUP(B7,Competitors!$A$2:$I$650,2,FALSE))))</f>
        <v>Colin Dobson</v>
      </c>
      <c r="I7" s="51">
        <f t="shared" si="0"/>
        <v>4.1331018518518517E-2</v>
      </c>
      <c r="J7" t="str">
        <f t="shared" si="1"/>
        <v/>
      </c>
    </row>
    <row r="8" spans="1:10" ht="15">
      <c r="A8" s="46" t="s">
        <v>425</v>
      </c>
      <c r="B8" s="47">
        <v>1418</v>
      </c>
      <c r="C8" s="48">
        <v>1</v>
      </c>
      <c r="D8" s="48">
        <v>1</v>
      </c>
      <c r="E8" s="48">
        <v>57</v>
      </c>
      <c r="F8" s="48"/>
      <c r="G8" s="48"/>
      <c r="H8" s="50" t="str">
        <f>IF($B8="","",IF($J8="X",B8,CONCATENATE(VLOOKUP(B8,Competitors!$A$2:$I$650,3,FALSE)," ",VLOOKUP(B8,Competitors!$A$2:$I$650,2,FALSE))))</f>
        <v>James Brown</v>
      </c>
      <c r="I8" s="51">
        <f t="shared" si="0"/>
        <v>4.3020833333333335E-2</v>
      </c>
      <c r="J8" t="str">
        <f t="shared" si="1"/>
        <v/>
      </c>
    </row>
    <row r="9" spans="1:10" ht="15">
      <c r="A9" s="46" t="s">
        <v>432</v>
      </c>
      <c r="B9" s="47">
        <v>1112</v>
      </c>
      <c r="C9" s="48">
        <v>1</v>
      </c>
      <c r="D9" s="48">
        <v>3</v>
      </c>
      <c r="E9" s="48">
        <v>48</v>
      </c>
      <c r="F9" s="48"/>
      <c r="G9" s="48"/>
      <c r="H9" s="50" t="str">
        <f>IF($B9="","",IF($J9="X",B9,CONCATENATE(VLOOKUP(B9,Competitors!$A$2:$I$650,3,FALSE)," ",VLOOKUP(B9,Competitors!$A$2:$I$650,2,FALSE))))</f>
        <v>Gary Ashwell</v>
      </c>
      <c r="I9" s="51">
        <f t="shared" si="0"/>
        <v>4.4305555555555556E-2</v>
      </c>
      <c r="J9" t="str">
        <f t="shared" si="1"/>
        <v/>
      </c>
    </row>
    <row r="10" spans="1:10" ht="15">
      <c r="A10" s="46" t="s">
        <v>431</v>
      </c>
      <c r="B10" s="47">
        <v>1403</v>
      </c>
      <c r="C10" s="48">
        <v>1</v>
      </c>
      <c r="D10" s="48">
        <v>3</v>
      </c>
      <c r="E10" s="48">
        <v>12</v>
      </c>
      <c r="F10" s="48"/>
      <c r="G10" s="48"/>
      <c r="H10" s="50" t="str">
        <f>IF($B10="","",IF($J10="X",B10,CONCATENATE(VLOOKUP(B10,Competitors!$A$2:$I$650,3, FALSE)," ",VLOOKUP(B10,Competitors!$A$2:$I$650,2,FALSE))))</f>
        <v>Toby Lenehan</v>
      </c>
      <c r="I10" s="51">
        <f t="shared" si="0"/>
        <v>4.3888888888888887E-2</v>
      </c>
      <c r="J10" t="str">
        <f t="shared" si="1"/>
        <v/>
      </c>
    </row>
    <row r="11" spans="1:10" ht="15">
      <c r="A11" s="46" t="s">
        <v>423</v>
      </c>
      <c r="B11" s="47">
        <v>35</v>
      </c>
      <c r="C11" s="48">
        <v>1</v>
      </c>
      <c r="D11" s="48">
        <v>0</v>
      </c>
      <c r="E11" s="48">
        <v>46</v>
      </c>
      <c r="F11" s="48"/>
      <c r="G11" s="48"/>
      <c r="H11" s="50" t="str">
        <f>IF($B11="","",IF($J11="X",B11,CONCATENATE(VLOOKUP(B11,Competitors!$A$2:$I$650,3,FALSE)," ",VLOOKUP(B11,Competitors!$A$2:$I$650,2,FALSE))))</f>
        <v>Matt Plews</v>
      </c>
      <c r="I11" s="51">
        <f t="shared" si="0"/>
        <v>4.2199074074074076E-2</v>
      </c>
      <c r="J11" t="str">
        <f t="shared" si="1"/>
        <v/>
      </c>
    </row>
    <row r="12" spans="1:10" ht="15">
      <c r="A12" s="46" t="s">
        <v>430</v>
      </c>
      <c r="B12" s="47">
        <v>616</v>
      </c>
      <c r="C12" s="48">
        <v>1</v>
      </c>
      <c r="D12" s="48">
        <v>4</v>
      </c>
      <c r="E12" s="48">
        <v>56</v>
      </c>
      <c r="F12" s="48"/>
      <c r="G12" s="48"/>
      <c r="H12" s="50" t="str">
        <f>IF($B12="","",IF($J12="X",B12,CONCATENATE(VLOOKUP(B12,Competitors!$A$2:$I$650,3,FALSE)," ",VLOOKUP(B12,Competitors!$A$2:$I$650,2,FALSE))))</f>
        <v>Simon Ward</v>
      </c>
      <c r="I12" s="51">
        <f t="shared" si="0"/>
        <v>4.5092592592592594E-2</v>
      </c>
      <c r="J12" t="str">
        <f t="shared" si="1"/>
        <v/>
      </c>
    </row>
    <row r="13" spans="1:10" ht="15">
      <c r="A13" s="46" t="s">
        <v>438</v>
      </c>
      <c r="B13" s="47">
        <v>704</v>
      </c>
      <c r="C13" s="48">
        <v>1</v>
      </c>
      <c r="D13" s="48">
        <v>6</v>
      </c>
      <c r="E13" s="48">
        <v>37</v>
      </c>
      <c r="F13" s="48" t="s">
        <v>544</v>
      </c>
      <c r="G13" s="48"/>
      <c r="H13" s="50" t="str">
        <f>IF($B13="","",IF($J13="X",B13,CONCATENATE(VLOOKUP(B13,Competitors!$A$2:$I$650,3,FALSE)," ",VLOOKUP(B13,Competitors!$A$2:$I$650,2,FALSE))))</f>
        <v>Chris Dainty</v>
      </c>
      <c r="I13" s="51">
        <f t="shared" si="0"/>
        <v>4.6261574074074073E-2</v>
      </c>
      <c r="J13" t="str">
        <f t="shared" si="1"/>
        <v/>
      </c>
    </row>
    <row r="14" spans="1:10" ht="15">
      <c r="A14" s="46" t="s">
        <v>443</v>
      </c>
      <c r="B14" s="47">
        <v>1193</v>
      </c>
      <c r="C14" s="48">
        <v>1</v>
      </c>
      <c r="D14" s="48">
        <v>9</v>
      </c>
      <c r="E14" s="48">
        <v>37</v>
      </c>
      <c r="F14" s="48" t="s">
        <v>544</v>
      </c>
      <c r="G14" s="48"/>
      <c r="H14" s="50" t="str">
        <f>IF($B14="","",IF($J14="X",B14,CONCATENATE(VLOOKUP(B14,Competitors!$A$2:$I$650,3,FALSE)," ",VLOOKUP(B14,Competitors!$A$2:$I$650,2,FALSE))))</f>
        <v>Richard Hardwicke</v>
      </c>
      <c r="I14" s="51">
        <f t="shared" si="0"/>
        <v>4.8344907407407406E-2</v>
      </c>
      <c r="J14" t="str">
        <f t="shared" si="1"/>
        <v/>
      </c>
    </row>
    <row r="15" spans="1:10" ht="15">
      <c r="A15" s="46" t="s">
        <v>440</v>
      </c>
      <c r="B15" s="47">
        <v>245</v>
      </c>
      <c r="C15" s="48"/>
      <c r="D15" s="48"/>
      <c r="E15" s="48"/>
      <c r="F15" s="48"/>
      <c r="G15" s="48" t="s">
        <v>553</v>
      </c>
      <c r="H15" s="50" t="str">
        <f>IF($B15="","",IF($J15="X",B15,CONCATENATE(VLOOKUP(B15,Competitors!$A$2:$I$650,3,FALSE)," ",VLOOKUP(B15,Competitors!$A$2:$I$650,2,FALSE))))</f>
        <v>David Reay</v>
      </c>
      <c r="I15" s="51">
        <f t="shared" si="0"/>
        <v>0</v>
      </c>
      <c r="J15" t="str">
        <f t="shared" si="1"/>
        <v/>
      </c>
    </row>
    <row r="16" spans="1:10" ht="15">
      <c r="A16" s="46" t="s">
        <v>455</v>
      </c>
      <c r="B16" s="47">
        <v>295</v>
      </c>
      <c r="C16" s="48">
        <v>1</v>
      </c>
      <c r="D16" s="48">
        <v>8</v>
      </c>
      <c r="E16" s="48">
        <v>10</v>
      </c>
      <c r="F16" s="48" t="s">
        <v>544</v>
      </c>
      <c r="G16" s="48"/>
      <c r="H16" s="50" t="str">
        <f>IF($B16="","",IF($J16="X",B16,CONCATENATE(VLOOKUP(B16,Competitors!$A$2:$I$650,3,FALSE)," ",VLOOKUP(B16,Competitors!$A$2:$I$650,2,FALSE))))</f>
        <v>Stuart Dawkins</v>
      </c>
      <c r="I16" s="51">
        <f t="shared" si="0"/>
        <v>4.7337962962962964E-2</v>
      </c>
      <c r="J16" t="str">
        <f t="shared" si="1"/>
        <v/>
      </c>
    </row>
    <row r="17" spans="1:10" ht="15">
      <c r="A17" s="46" t="s">
        <v>413</v>
      </c>
      <c r="B17" s="47">
        <v>989</v>
      </c>
      <c r="C17" s="48">
        <v>0</v>
      </c>
      <c r="D17" s="48">
        <v>56</v>
      </c>
      <c r="E17" s="48">
        <v>1</v>
      </c>
      <c r="F17" s="48" t="s">
        <v>544</v>
      </c>
      <c r="G17" s="48"/>
      <c r="H17" s="50" t="str">
        <f>IF($B17="","",IF($J17="X",B17,CONCATENATE(VLOOKUP(B17,Competitors!$A$2:$I$650,3,FALSE)," ",VLOOKUP(B17,Competitors!$A$2:$I$650,2,FALSE))))</f>
        <v>Jason Williams</v>
      </c>
      <c r="I17" s="51">
        <f t="shared" si="0"/>
        <v>3.8900462962962963E-2</v>
      </c>
      <c r="J17" t="str">
        <f t="shared" si="1"/>
        <v/>
      </c>
    </row>
    <row r="18" spans="1:10" ht="15">
      <c r="A18" s="46" t="s">
        <v>416</v>
      </c>
      <c r="B18" s="47">
        <v>38</v>
      </c>
      <c r="C18" s="48">
        <v>1</v>
      </c>
      <c r="D18" s="48">
        <v>0</v>
      </c>
      <c r="E18" s="48">
        <v>5</v>
      </c>
      <c r="F18" s="48"/>
      <c r="G18" s="48"/>
      <c r="H18" s="50" t="str">
        <f>IF($B18="","",IF($J18="X",B18,CONCATENATE(VLOOKUP(B18,Competitors!$A$2:$I$650,3,FALSE)," ",VLOOKUP(B18,Competitors!$A$2:$I$650,2,FALSE))))</f>
        <v>Phil Rayner</v>
      </c>
      <c r="I18" s="51">
        <f t="shared" si="0"/>
        <v>4.1724537037037039E-2</v>
      </c>
      <c r="J18" t="str">
        <f t="shared" si="1"/>
        <v/>
      </c>
    </row>
    <row r="19" spans="1:10" ht="15">
      <c r="A19" s="46" t="s">
        <v>434</v>
      </c>
      <c r="B19" s="47">
        <v>1419</v>
      </c>
      <c r="C19" s="48">
        <v>1</v>
      </c>
      <c r="D19" s="48">
        <v>5</v>
      </c>
      <c r="E19" s="48">
        <v>12</v>
      </c>
      <c r="F19" s="48" t="s">
        <v>544</v>
      </c>
      <c r="G19" s="48"/>
      <c r="H19" s="50" t="str">
        <f>IF($B19="","",IF($J19="X",B19,CONCATENATE(VLOOKUP(B19,Competitors!$A$2:$I$650,3,FALSE)," ",VLOOKUP(B19,Competitors!$A$2:$I$650,2,FALSE))))</f>
        <v>Ethan Marsh</v>
      </c>
      <c r="I19" s="51">
        <f t="shared" si="0"/>
        <v>4.5277777777777778E-2</v>
      </c>
      <c r="J19" t="str">
        <f t="shared" si="1"/>
        <v/>
      </c>
    </row>
    <row r="20" spans="1:10" ht="15">
      <c r="A20" s="46" t="s">
        <v>442</v>
      </c>
      <c r="B20" s="47">
        <v>564</v>
      </c>
      <c r="C20" s="48">
        <v>1</v>
      </c>
      <c r="D20" s="48">
        <v>8</v>
      </c>
      <c r="E20" s="48">
        <v>22</v>
      </c>
      <c r="F20" s="48"/>
      <c r="G20" s="48"/>
      <c r="H20" s="50" t="str">
        <f>IF($B20="","",IF($J20="X",B20,CONCATENATE(VLOOKUP(B20,Competitors!$A$2:$I$650,3,FALSE)," ",VLOOKUP(B20,Competitors!$A$2:$I$650,2,FALSE))))</f>
        <v>Ian Murdey</v>
      </c>
      <c r="I20" s="51">
        <f t="shared" si="0"/>
        <v>4.7476851851851853E-2</v>
      </c>
      <c r="J20" t="str">
        <f t="shared" si="1"/>
        <v/>
      </c>
    </row>
    <row r="21" spans="1:10" ht="15">
      <c r="A21" s="46" t="s">
        <v>528</v>
      </c>
      <c r="B21" s="47" t="s">
        <v>528</v>
      </c>
      <c r="C21" s="48">
        <v>0</v>
      </c>
      <c r="D21" s="48">
        <v>48</v>
      </c>
      <c r="E21" s="48">
        <v>48</v>
      </c>
      <c r="F21" s="48" t="s">
        <v>544</v>
      </c>
      <c r="G21" s="48"/>
      <c r="H21" s="50" t="str">
        <f>IF($B21="","",IF($J21="X",B21,CONCATENATE(VLOOKUP(B21,Competitors!$A$2:$I$650,3,FALSE)," ",VLOOKUP(B21,Competitors!$A$2:$I$650,2,FALSE))))</f>
        <v>Hudson Hendry</v>
      </c>
      <c r="I21" s="51">
        <f t="shared" si="0"/>
        <v>3.3888888888888892E-2</v>
      </c>
      <c r="J21" t="str">
        <f t="shared" si="1"/>
        <v>X</v>
      </c>
    </row>
    <row r="22" spans="1:10" ht="15">
      <c r="A22" s="46" t="s">
        <v>414</v>
      </c>
      <c r="B22" s="47">
        <v>699</v>
      </c>
      <c r="C22" s="48">
        <v>0</v>
      </c>
      <c r="D22" s="48">
        <v>59</v>
      </c>
      <c r="E22" s="48">
        <v>38</v>
      </c>
      <c r="F22" s="48"/>
      <c r="G22" s="48"/>
      <c r="H22" s="50" t="str">
        <f>IF($B22="","",IF($J22="X",B22,CONCATENATE(VLOOKUP(B22,Competitors!$A$2:$I$650,3,FALSE)," ",VLOOKUP(B22,Competitors!$A$2:$I$650,2,FALSE))))</f>
        <v>Jonathan Durnin</v>
      </c>
      <c r="I22" s="51">
        <f t="shared" si="0"/>
        <v>4.1412037037037039E-2</v>
      </c>
      <c r="J22" t="str">
        <f t="shared" si="1"/>
        <v/>
      </c>
    </row>
    <row r="23" spans="1:10" ht="15">
      <c r="A23" s="46" t="s">
        <v>550</v>
      </c>
      <c r="B23" s="47" t="s">
        <v>550</v>
      </c>
      <c r="C23" s="48">
        <v>0</v>
      </c>
      <c r="D23" s="48">
        <v>55</v>
      </c>
      <c r="E23" s="48">
        <v>18</v>
      </c>
      <c r="F23" s="48" t="s">
        <v>544</v>
      </c>
      <c r="G23" s="48"/>
      <c r="H23" s="50" t="str">
        <f>IF($B23="","",IF($J23="X",B23,CONCATENATE(VLOOKUP(B23,Competitors!$A$2:$I$650,3,FALSE)," ",VLOOKUP(B23,Competitors!$A$2:$I$650,2,FALSE))))</f>
        <v>Gareth Winter</v>
      </c>
      <c r="I23" s="51">
        <f t="shared" si="0"/>
        <v>3.8402777777777779E-2</v>
      </c>
      <c r="J23" t="str">
        <f t="shared" si="1"/>
        <v>X</v>
      </c>
    </row>
    <row r="24" spans="1:10" ht="15">
      <c r="A24" s="46"/>
      <c r="B24" s="47" t="str">
        <f t="shared" ref="B24:B87" si="2">IF(A24="","",_xlfn.XLOOKUP(A24,ClubNames,ClubNumbers,_xlfn.XLOOKUP(A24,RoundRobinRiderNames,RoundRobinRiderDecoratedNames,A24)))</f>
        <v/>
      </c>
      <c r="C24" s="48"/>
      <c r="D24" s="48"/>
      <c r="E24" s="48"/>
      <c r="F24" s="48"/>
      <c r="G24" s="48"/>
      <c r="H24" s="50" t="str">
        <f>IF($B24="","",IF($J24="X",B24,CONCATENATE(VLOOKUP(B24,Competitors!$A$2:$I$650,3,FALSE)," ",VLOOKUP(B24,Competitors!$A$2:$I$650,2,FALSE))))</f>
        <v/>
      </c>
      <c r="I24" s="51">
        <f t="shared" si="0"/>
        <v>0</v>
      </c>
      <c r="J24" t="str">
        <f t="shared" si="1"/>
        <v/>
      </c>
    </row>
    <row r="25" spans="1:10" ht="15">
      <c r="A25" s="46"/>
      <c r="B25" s="47" t="str">
        <f t="shared" si="2"/>
        <v/>
      </c>
      <c r="C25" s="48"/>
      <c r="D25" s="48"/>
      <c r="E25" s="48"/>
      <c r="F25" s="48"/>
      <c r="G25" s="48"/>
      <c r="H25" s="50" t="str">
        <f>IF($B25="","",IF($J25="X",B25,CONCATENATE(VLOOKUP(B25,Competitors!$A$2:$I$650,3,FALSE)," ",VLOOKUP(B25,Competitors!$A$2:$I$650,2,FALSE))))</f>
        <v/>
      </c>
      <c r="I25" s="51">
        <f t="shared" si="0"/>
        <v>0</v>
      </c>
      <c r="J25" t="str">
        <f t="shared" si="1"/>
        <v/>
      </c>
    </row>
    <row r="26" spans="1:10" ht="15">
      <c r="A26" s="46"/>
      <c r="B26" s="47" t="str">
        <f t="shared" si="2"/>
        <v/>
      </c>
      <c r="C26" s="48"/>
      <c r="D26" s="48"/>
      <c r="E26" s="48"/>
      <c r="F26" s="48"/>
      <c r="G26" s="48"/>
      <c r="H26" s="50" t="str">
        <f>IF($B26="","",IF($J26="X",B26,CONCATENATE(VLOOKUP(B26,Competitors!$A$2:$I$650,3,FALSE)," ",VLOOKUP(B26,Competitors!$A$2:$I$650,2,FALSE))))</f>
        <v/>
      </c>
      <c r="I26" s="51">
        <f t="shared" si="0"/>
        <v>0</v>
      </c>
      <c r="J26" t="str">
        <f t="shared" si="1"/>
        <v/>
      </c>
    </row>
    <row r="27" spans="1:10" ht="15">
      <c r="A27" s="46"/>
      <c r="B27" s="47" t="str">
        <f t="shared" si="2"/>
        <v/>
      </c>
      <c r="C27" s="48"/>
      <c r="D27" s="48"/>
      <c r="E27" s="48"/>
      <c r="F27" s="48"/>
      <c r="G27" s="48"/>
      <c r="H27" s="50" t="str">
        <f>IF($B27="","",IF($J27="X",B27,CONCATENATE(VLOOKUP(B27,Competitors!$A$2:$I$650,3,FALSE)," ",VLOOKUP(B27,Competitors!$A$2:$I$650,2,FALSE))))</f>
        <v/>
      </c>
      <c r="I27" s="51">
        <f t="shared" si="0"/>
        <v>0</v>
      </c>
      <c r="J27" t="str">
        <f t="shared" si="1"/>
        <v/>
      </c>
    </row>
    <row r="28" spans="1:10" ht="15">
      <c r="A28" s="46"/>
      <c r="B28" s="47" t="str">
        <f t="shared" si="2"/>
        <v/>
      </c>
      <c r="C28" s="48"/>
      <c r="D28" s="48"/>
      <c r="E28" s="48"/>
      <c r="F28" s="48"/>
      <c r="G28" s="48"/>
      <c r="H28" s="50" t="str">
        <f>IF($B28="","",IF($J28="X",B28,CONCATENATE(VLOOKUP(B28,Competitors!$A$2:$I$650,3,FALSE)," ",VLOOKUP(B28,Competitors!$A$2:$I$650,2,FALSE))))</f>
        <v/>
      </c>
      <c r="I28" s="51">
        <f t="shared" si="0"/>
        <v>0</v>
      </c>
      <c r="J28" t="str">
        <f t="shared" si="1"/>
        <v/>
      </c>
    </row>
    <row r="29" spans="1:10" ht="15">
      <c r="A29" s="46"/>
      <c r="B29" s="47" t="str">
        <f t="shared" si="2"/>
        <v/>
      </c>
      <c r="C29" s="48"/>
      <c r="D29" s="48"/>
      <c r="E29" s="48"/>
      <c r="F29" s="48"/>
      <c r="G29" s="48"/>
      <c r="H29" s="50" t="str">
        <f>IF($B29="","",IF($J29="X",B29,CONCATENATE(VLOOKUP(B29,Competitors!$A$2:$I$650,3,FALSE)," ",VLOOKUP(B29,Competitors!$A$2:$I$650,2,FALSE))))</f>
        <v/>
      </c>
      <c r="I29" s="51">
        <f t="shared" si="0"/>
        <v>0</v>
      </c>
      <c r="J29" t="str">
        <f t="shared" si="1"/>
        <v/>
      </c>
    </row>
    <row r="30" spans="1:10" ht="15">
      <c r="A30" s="46"/>
      <c r="B30" s="47" t="str">
        <f t="shared" si="2"/>
        <v/>
      </c>
      <c r="C30" s="48"/>
      <c r="D30" s="48"/>
      <c r="E30" s="48"/>
      <c r="F30" s="48"/>
      <c r="G30" s="48"/>
      <c r="H30" s="50" t="str">
        <f>IF($B30="","",IF($J30="X",B30,CONCATENATE(VLOOKUP(B30,Competitors!$A$2:$I$650,3,FALSE)," ",VLOOKUP(B30,Competitors!$A$2:$I$650,2,FALSE))))</f>
        <v/>
      </c>
      <c r="I30" s="51">
        <f t="shared" si="0"/>
        <v>0</v>
      </c>
      <c r="J30" t="str">
        <f t="shared" si="1"/>
        <v/>
      </c>
    </row>
    <row r="31" spans="1:10" ht="15">
      <c r="A31" s="46"/>
      <c r="B31" s="47" t="str">
        <f t="shared" si="2"/>
        <v/>
      </c>
      <c r="C31" s="48"/>
      <c r="D31" s="48"/>
      <c r="E31" s="48"/>
      <c r="F31" s="48"/>
      <c r="G31" s="48"/>
      <c r="H31" s="50" t="str">
        <f>IF($B31="","",IF($J31="X",B31,CONCATENATE(VLOOKUP(B31,Competitors!$A$2:$I$650,3,FALSE)," ",VLOOKUP(B31,Competitors!$A$2:$I$650,2,FALSE))))</f>
        <v/>
      </c>
      <c r="I31" s="51">
        <f t="shared" si="0"/>
        <v>0</v>
      </c>
      <c r="J31" t="str">
        <f t="shared" si="1"/>
        <v/>
      </c>
    </row>
    <row r="32" spans="1:10" ht="15">
      <c r="A32" s="46"/>
      <c r="B32" s="47" t="str">
        <f t="shared" si="2"/>
        <v/>
      </c>
      <c r="C32" s="48"/>
      <c r="D32" s="48"/>
      <c r="E32" s="48"/>
      <c r="F32" s="48"/>
      <c r="G32" s="48"/>
      <c r="H32" s="50" t="str">
        <f>IF($B32="","",IF($J32="X",B32,CONCATENATE(VLOOKUP(B32,Competitors!$A$2:$I$650,3,FALSE)," ",VLOOKUP(B32,Competitors!$A$2:$I$650,2,FALSE))))</f>
        <v/>
      </c>
      <c r="I32" s="51">
        <f t="shared" si="0"/>
        <v>0</v>
      </c>
      <c r="J32" t="str">
        <f t="shared" si="1"/>
        <v/>
      </c>
    </row>
    <row r="33" spans="1:10" ht="15">
      <c r="A33" s="46"/>
      <c r="B33" s="47" t="str">
        <f t="shared" si="2"/>
        <v/>
      </c>
      <c r="C33" s="48"/>
      <c r="D33" s="48"/>
      <c r="E33" s="48"/>
      <c r="F33" s="48"/>
      <c r="G33" s="48"/>
      <c r="H33" s="50" t="str">
        <f>IF($B33="","",IF($J33="X",B33,CONCATENATE(VLOOKUP(B33,Competitors!$A$2:$I$650,3,FALSE)," ",VLOOKUP(B33,Competitors!$A$2:$I$650,2,FALSE))))</f>
        <v/>
      </c>
      <c r="I33" s="51">
        <f t="shared" si="0"/>
        <v>0</v>
      </c>
      <c r="J33" t="str">
        <f t="shared" si="1"/>
        <v/>
      </c>
    </row>
    <row r="34" spans="1:10" ht="15">
      <c r="A34" s="46"/>
      <c r="B34" s="47" t="str">
        <f t="shared" si="2"/>
        <v/>
      </c>
      <c r="C34" s="48"/>
      <c r="D34" s="48"/>
      <c r="E34" s="48"/>
      <c r="F34" s="48"/>
      <c r="G34" s="48"/>
      <c r="H34" s="50" t="str">
        <f>IF($B34="","",IF($J34="X",B34,CONCATENATE(VLOOKUP(B34,Competitors!$A$2:$I$650,3,FALSE)," ",VLOOKUP(B34,Competitors!$A$2:$I$650,2,FALSE))))</f>
        <v/>
      </c>
      <c r="I34" s="51">
        <f t="shared" si="0"/>
        <v>0</v>
      </c>
      <c r="J34" t="str">
        <f t="shared" si="1"/>
        <v/>
      </c>
    </row>
    <row r="35" spans="1:10" ht="15">
      <c r="A35" s="46"/>
      <c r="B35" s="47" t="str">
        <f t="shared" si="2"/>
        <v/>
      </c>
      <c r="C35" s="48"/>
      <c r="D35" s="48"/>
      <c r="E35" s="48"/>
      <c r="F35" s="48"/>
      <c r="G35" s="48"/>
      <c r="H35" s="50" t="str">
        <f>IF($B35="","",IF($J35="X",B35,CONCATENATE(VLOOKUP(B35,Competitors!$A$2:$I$650,3,FALSE)," ",VLOOKUP(B35,Competitors!$A$2:$I$650,2,FALSE))))</f>
        <v/>
      </c>
      <c r="I35" s="51">
        <f t="shared" si="0"/>
        <v>0</v>
      </c>
      <c r="J35" t="str">
        <f t="shared" si="1"/>
        <v/>
      </c>
    </row>
    <row r="36" spans="1:10" ht="15">
      <c r="A36" s="46"/>
      <c r="B36" s="47" t="str">
        <f t="shared" si="2"/>
        <v/>
      </c>
      <c r="C36" s="48"/>
      <c r="D36" s="48"/>
      <c r="E36" s="48"/>
      <c r="F36" s="48"/>
      <c r="G36" s="48"/>
      <c r="H36" s="50" t="str">
        <f>IF($B36="","",IF($J36="X",B36,CONCATENATE(VLOOKUP(B36,Competitors!$A$2:$I$650,3,FALSE)," ",VLOOKUP(B36,Competitors!$A$2:$I$650,2,FALSE))))</f>
        <v/>
      </c>
      <c r="I36" s="51">
        <f t="shared" si="0"/>
        <v>0</v>
      </c>
      <c r="J36" t="str">
        <f t="shared" si="1"/>
        <v/>
      </c>
    </row>
    <row r="37" spans="1:10" ht="15">
      <c r="A37" s="46"/>
      <c r="B37" s="47" t="str">
        <f t="shared" si="2"/>
        <v/>
      </c>
      <c r="C37" s="48"/>
      <c r="D37" s="48"/>
      <c r="E37" s="48"/>
      <c r="F37" s="48"/>
      <c r="G37" s="48"/>
      <c r="H37" s="50" t="str">
        <f>IF($B37="","",IF($J37="X",B37,CONCATENATE(VLOOKUP(B37,Competitors!$A$2:$I$650,3,FALSE)," ",VLOOKUP(B37,Competitors!$A$2:$I$650,2,FALSE))))</f>
        <v/>
      </c>
      <c r="I37" s="51">
        <f t="shared" si="0"/>
        <v>0</v>
      </c>
      <c r="J37" t="str">
        <f t="shared" si="1"/>
        <v/>
      </c>
    </row>
    <row r="38" spans="1:10" ht="15">
      <c r="A38" s="46"/>
      <c r="B38" s="47" t="str">
        <f t="shared" si="2"/>
        <v/>
      </c>
      <c r="C38" s="48"/>
      <c r="D38" s="48"/>
      <c r="E38" s="48"/>
      <c r="F38" s="48"/>
      <c r="G38" s="48"/>
      <c r="H38" s="50" t="str">
        <f>IF($B38="","",IF($J38="X",B38,CONCATENATE(VLOOKUP(B38,Competitors!$A$2:$I$650,3,FALSE)," ",VLOOKUP(B38,Competitors!$A$2:$I$650,2,FALSE))))</f>
        <v/>
      </c>
      <c r="I38" s="51">
        <f t="shared" si="0"/>
        <v>0</v>
      </c>
      <c r="J38" t="str">
        <f t="shared" si="1"/>
        <v/>
      </c>
    </row>
    <row r="39" spans="1:10" ht="15">
      <c r="A39" s="46"/>
      <c r="B39" s="47" t="str">
        <f t="shared" si="2"/>
        <v/>
      </c>
      <c r="C39" s="48"/>
      <c r="D39" s="48"/>
      <c r="E39" s="48"/>
      <c r="F39" s="48"/>
      <c r="G39" s="48"/>
      <c r="H39" s="50" t="str">
        <f>IF($B39="","",IF($J39="X",B39,CONCATENATE(VLOOKUP(B39,Competitors!$A$2:$I$650,3,FALSE)," ",VLOOKUP(B39,Competitors!$A$2:$I$650,2,FALSE))))</f>
        <v/>
      </c>
      <c r="I39" s="51">
        <f t="shared" si="0"/>
        <v>0</v>
      </c>
      <c r="J39" t="str">
        <f t="shared" si="1"/>
        <v/>
      </c>
    </row>
    <row r="40" spans="1:10" ht="15">
      <c r="A40" s="46"/>
      <c r="B40" s="47" t="str">
        <f t="shared" si="2"/>
        <v/>
      </c>
      <c r="C40" s="48"/>
      <c r="D40" s="48"/>
      <c r="E40" s="48"/>
      <c r="F40" s="48"/>
      <c r="G40" s="48"/>
      <c r="H40" s="50" t="str">
        <f>IF($B40="","",IF($J40="X",B40,CONCATENATE(VLOOKUP(B40,Competitors!$A$2:$I$650,3,FALSE)," ",VLOOKUP(B40,Competitors!$A$2:$I$650,2,FALSE))))</f>
        <v/>
      </c>
      <c r="I40" s="51">
        <f t="shared" si="0"/>
        <v>0</v>
      </c>
      <c r="J40" t="str">
        <f t="shared" si="1"/>
        <v/>
      </c>
    </row>
    <row r="41" spans="1:10" ht="15">
      <c r="A41" s="46"/>
      <c r="B41" s="47" t="str">
        <f t="shared" si="2"/>
        <v/>
      </c>
      <c r="C41" s="48"/>
      <c r="D41" s="48"/>
      <c r="E41" s="48"/>
      <c r="F41" s="48"/>
      <c r="G41" s="48"/>
      <c r="H41" s="50" t="str">
        <f>IF($B41="","",IF($J41="X",B41,CONCATENATE(VLOOKUP(B41,Competitors!$A$2:$I$650,3,FALSE)," ",VLOOKUP(B41,Competitors!$A$2:$I$650,2,FALSE))))</f>
        <v/>
      </c>
      <c r="I41" s="51">
        <f t="shared" si="0"/>
        <v>0</v>
      </c>
      <c r="J41" t="str">
        <f t="shared" si="1"/>
        <v/>
      </c>
    </row>
    <row r="42" spans="1:10" ht="15">
      <c r="A42" s="46"/>
      <c r="B42" s="47" t="str">
        <f t="shared" si="2"/>
        <v/>
      </c>
      <c r="C42" s="48"/>
      <c r="D42" s="48"/>
      <c r="E42" s="48"/>
      <c r="F42" s="48"/>
      <c r="G42" s="48"/>
      <c r="H42" s="50" t="str">
        <f>IF($B42="","",IF($J42="X",B42,CONCATENATE(VLOOKUP(B42,Competitors!$A$2:$I$650,3,FALSE)," ",VLOOKUP(B42,Competitors!$A$2:$I$650,2,FALSE))))</f>
        <v/>
      </c>
      <c r="I42" s="51">
        <f t="shared" si="0"/>
        <v>0</v>
      </c>
      <c r="J42" t="str">
        <f t="shared" si="1"/>
        <v/>
      </c>
    </row>
    <row r="43" spans="1:10" ht="15">
      <c r="A43" s="46"/>
      <c r="B43" s="47" t="str">
        <f t="shared" si="2"/>
        <v/>
      </c>
      <c r="C43" s="48"/>
      <c r="D43" s="48"/>
      <c r="E43" s="48"/>
      <c r="F43" s="48"/>
      <c r="G43" s="48"/>
      <c r="H43" s="50" t="str">
        <f>IF($B43="","",IF($J43="X",B43,CONCATENATE(VLOOKUP(B43,Competitors!$A$2:$I$650,3,FALSE)," ",VLOOKUP(B43,Competitors!$A$2:$I$650,2,FALSE))))</f>
        <v/>
      </c>
      <c r="I43" s="51">
        <f t="shared" si="0"/>
        <v>0</v>
      </c>
      <c r="J43" t="str">
        <f t="shared" si="1"/>
        <v/>
      </c>
    </row>
    <row r="44" spans="1:10" ht="15">
      <c r="A44" s="46"/>
      <c r="B44" s="47" t="str">
        <f t="shared" si="2"/>
        <v/>
      </c>
      <c r="C44" s="48"/>
      <c r="D44" s="48"/>
      <c r="E44" s="48"/>
      <c r="F44" s="48"/>
      <c r="G44" s="48"/>
      <c r="H44" s="50" t="str">
        <f>IF($B44="","",IF($J44="X",B44,CONCATENATE(VLOOKUP(B44,Competitors!$A$2:$I$650,3,FALSE)," ",VLOOKUP(B44,Competitors!$A$2:$I$650,2,FALSE))))</f>
        <v/>
      </c>
      <c r="I44" s="51">
        <f t="shared" si="0"/>
        <v>0</v>
      </c>
      <c r="J44" t="str">
        <f t="shared" si="1"/>
        <v/>
      </c>
    </row>
    <row r="45" spans="1:10" ht="15">
      <c r="A45" s="46"/>
      <c r="B45" s="47" t="str">
        <f t="shared" si="2"/>
        <v/>
      </c>
      <c r="C45" s="48"/>
      <c r="D45" s="48"/>
      <c r="E45" s="48"/>
      <c r="F45" s="48"/>
      <c r="G45" s="48"/>
      <c r="H45" s="50" t="str">
        <f>IF($B45="","",IF($J45="X",B45,CONCATENATE(VLOOKUP(B45,Competitors!$A$2:$I$650,3,FALSE)," ",VLOOKUP(B45,Competitors!$A$2:$I$650,2,FALSE))))</f>
        <v/>
      </c>
      <c r="I45" s="51">
        <f t="shared" si="0"/>
        <v>0</v>
      </c>
      <c r="J45" t="str">
        <f t="shared" si="1"/>
        <v/>
      </c>
    </row>
    <row r="46" spans="1:10" ht="15">
      <c r="A46" s="46"/>
      <c r="B46" s="47" t="str">
        <f t="shared" si="2"/>
        <v/>
      </c>
      <c r="C46" s="48"/>
      <c r="D46" s="48"/>
      <c r="E46" s="48"/>
      <c r="F46" s="48"/>
      <c r="G46" s="48"/>
      <c r="H46" s="50" t="str">
        <f>IF($B46="","",IF($J46="X",B46,CONCATENATE(VLOOKUP(B46,Competitors!$A$2:$I$650,3,FALSE)," ",VLOOKUP(B46,Competitors!$A$2:$I$650,2,FALSE))))</f>
        <v/>
      </c>
      <c r="I46" s="51">
        <f t="shared" si="0"/>
        <v>0</v>
      </c>
      <c r="J46" t="str">
        <f t="shared" si="1"/>
        <v/>
      </c>
    </row>
    <row r="47" spans="1:10" ht="15">
      <c r="A47" s="46"/>
      <c r="B47" s="47" t="str">
        <f t="shared" si="2"/>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47" t="str">
        <f t="shared" si="2"/>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47" t="str">
        <f t="shared" si="2"/>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47" t="str">
        <f t="shared" si="2"/>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47" t="str">
        <f t="shared" si="2"/>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47" t="str">
        <f t="shared" si="2"/>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47" t="str">
        <f t="shared" si="2"/>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47" t="str">
        <f t="shared" si="2"/>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47" t="str">
        <f t="shared" si="2"/>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2"/>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2"/>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2"/>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2"/>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2"/>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2"/>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2"/>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2"/>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2"/>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2"/>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2"/>
        <v/>
      </c>
      <c r="C66" s="48"/>
      <c r="D66" s="48"/>
      <c r="E66" s="48"/>
      <c r="F66" s="48"/>
      <c r="G66" s="48"/>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47" t="str">
        <f t="shared" si="2"/>
        <v/>
      </c>
      <c r="C67" s="48"/>
      <c r="D67" s="48"/>
      <c r="E67" s="48"/>
      <c r="F67" s="48"/>
      <c r="G67" s="48"/>
      <c r="H67" s="50" t="str">
        <f>IF($B67="","",IF($J67="X",B67,CONCATENATE(VLOOKUP(B67,Competitors!$A$2:$I$650,3,FALSE)," ",VLOOKUP(B67,Competitors!$A$2:$I$650,2,FALSE))))</f>
        <v/>
      </c>
      <c r="I67" s="51">
        <f t="shared" si="3"/>
        <v>0</v>
      </c>
      <c r="J67" t="str">
        <f t="shared" si="4"/>
        <v/>
      </c>
    </row>
    <row r="68" spans="1:10" ht="15">
      <c r="A68" s="46"/>
      <c r="B68" s="47" t="str">
        <f t="shared" si="2"/>
        <v/>
      </c>
      <c r="C68" s="48"/>
      <c r="D68" s="48"/>
      <c r="E68" s="48"/>
      <c r="F68" s="48"/>
      <c r="G68" s="48"/>
      <c r="H68" s="50" t="str">
        <f>IF($B68="","",IF($J68="X",B68,CONCATENATE(VLOOKUP(B68,Competitors!$A$2:$I$650,3,FALSE)," ",VLOOKUP(B68,Competitors!$A$2:$I$650,2,FALSE))))</f>
        <v/>
      </c>
      <c r="I68" s="51">
        <f t="shared" si="3"/>
        <v>0</v>
      </c>
      <c r="J68" t="str">
        <f t="shared" si="4"/>
        <v/>
      </c>
    </row>
    <row r="69" spans="1:10" ht="15">
      <c r="A69" s="46"/>
      <c r="B69" s="47" t="str">
        <f t="shared" si="2"/>
        <v/>
      </c>
      <c r="C69" s="48"/>
      <c r="D69" s="48"/>
      <c r="E69" s="48"/>
      <c r="F69" s="48"/>
      <c r="G69" s="48"/>
      <c r="H69" s="50" t="str">
        <f>IF($B69="","",IF($J69="X",B69,CONCATENATE(VLOOKUP(B69,Competitors!$A$2:$I$650,3,FALSE)," ",VLOOKUP(B69,Competitors!$A$2:$I$650,2,FALSE))))</f>
        <v/>
      </c>
      <c r="I69" s="51">
        <f t="shared" si="3"/>
        <v>0</v>
      </c>
      <c r="J69" t="str">
        <f t="shared" si="4"/>
        <v/>
      </c>
    </row>
    <row r="70" spans="1:10" ht="15">
      <c r="A70" s="46"/>
      <c r="B70" s="47" t="str">
        <f t="shared" si="2"/>
        <v/>
      </c>
      <c r="C70" s="48"/>
      <c r="D70" s="48"/>
      <c r="E70" s="48"/>
      <c r="F70" s="48"/>
      <c r="G70" s="48"/>
      <c r="H70" s="50" t="str">
        <f>IF($B70="","",IF($J70="X",B70,CONCATENATE(VLOOKUP(B70,Competitors!$A$2:$I$650,3,FALSE)," ",VLOOKUP(B70,Competitors!$A$2:$I$650,2,FALSE))))</f>
        <v/>
      </c>
      <c r="I70" s="51">
        <f t="shared" si="3"/>
        <v>0</v>
      </c>
      <c r="J70" t="str">
        <f t="shared" si="4"/>
        <v/>
      </c>
    </row>
    <row r="71" spans="1:10" ht="15">
      <c r="A71" s="46"/>
      <c r="B71" s="47" t="str">
        <f t="shared" si="2"/>
        <v/>
      </c>
      <c r="C71" s="48"/>
      <c r="D71" s="48"/>
      <c r="E71" s="48"/>
      <c r="F71" s="48"/>
      <c r="G71" s="48"/>
      <c r="H71" s="50" t="str">
        <f>IF($B71="","",IF($J71="X",B71,CONCATENATE(VLOOKUP(B71,Competitors!$A$2:$I$650,3,FALSE)," ",VLOOKUP(B71,Competitors!$A$2:$I$650,2,FALSE))))</f>
        <v/>
      </c>
      <c r="I71" s="51">
        <f t="shared" si="3"/>
        <v>0</v>
      </c>
      <c r="J71" t="str">
        <f t="shared" si="4"/>
        <v/>
      </c>
    </row>
    <row r="72" spans="1:10" ht="15">
      <c r="A72" s="46"/>
      <c r="B72" s="47" t="str">
        <f t="shared" si="2"/>
        <v/>
      </c>
      <c r="C72" s="48"/>
      <c r="D72" s="48"/>
      <c r="E72" s="48"/>
      <c r="F72" s="48"/>
      <c r="G72" s="48"/>
      <c r="H72" s="50" t="str">
        <f>IF($B72="","",IF($J72="X",B72,CONCATENATE(VLOOKUP(B72,Competitors!$A$2:$I$650,3,FALSE)," ",VLOOKUP(B72,Competitors!$A$2:$I$650,2,FALSE))))</f>
        <v/>
      </c>
      <c r="I72" s="51">
        <f t="shared" si="3"/>
        <v>0</v>
      </c>
      <c r="J72" t="str">
        <f t="shared" si="4"/>
        <v/>
      </c>
    </row>
    <row r="73" spans="1:10" ht="15">
      <c r="A73" s="46"/>
      <c r="B73" s="47" t="str">
        <f t="shared" si="2"/>
        <v/>
      </c>
      <c r="C73" s="48"/>
      <c r="D73" s="48"/>
      <c r="E73" s="48"/>
      <c r="F73" s="48"/>
      <c r="G73" s="48"/>
      <c r="H73" s="50" t="str">
        <f>IF($B73="","",IF($J73="X",B73,CONCATENATE(VLOOKUP(B73,Competitors!$A$2:$I$650,3,FALSE)," ",VLOOKUP(B73,Competitors!$A$2:$I$650,2,FALSE))))</f>
        <v/>
      </c>
      <c r="I73" s="51">
        <f t="shared" si="3"/>
        <v>0</v>
      </c>
      <c r="J73" t="str">
        <f t="shared" si="4"/>
        <v/>
      </c>
    </row>
    <row r="74" spans="1:10" ht="15">
      <c r="A74" s="46"/>
      <c r="B74" s="47" t="str">
        <f t="shared" si="2"/>
        <v/>
      </c>
      <c r="C74" s="48"/>
      <c r="D74" s="48"/>
      <c r="E74" s="48"/>
      <c r="F74" s="48"/>
      <c r="G74" s="48"/>
      <c r="H74" s="50" t="str">
        <f>IF($B74="","",IF($J74="X",B74,CONCATENATE(VLOOKUP(B74,Competitors!$A$2:$I$650,3,FALSE)," ",VLOOKUP(B74,Competitors!$A$2:$I$650,2,FALSE))))</f>
        <v/>
      </c>
      <c r="I74" s="51">
        <f t="shared" si="3"/>
        <v>0</v>
      </c>
      <c r="J74" t="str">
        <f t="shared" si="4"/>
        <v/>
      </c>
    </row>
    <row r="75" spans="1:10" ht="15">
      <c r="A75" s="46"/>
      <c r="B75" s="47" t="str">
        <f t="shared" si="2"/>
        <v/>
      </c>
      <c r="C75" s="48"/>
      <c r="D75" s="48"/>
      <c r="E75" s="48"/>
      <c r="F75" s="48"/>
      <c r="G75" s="48"/>
      <c r="H75" s="50" t="str">
        <f>IF($B75="","",IF($J75="X",B75,CONCATENATE(VLOOKUP(B75,Competitors!$A$2:$I$650,3,FALSE)," ",VLOOKUP(B75,Competitors!$A$2:$I$650,2,FALSE))))</f>
        <v/>
      </c>
      <c r="I75" s="51">
        <f t="shared" si="3"/>
        <v>0</v>
      </c>
      <c r="J75" t="str">
        <f t="shared" si="4"/>
        <v/>
      </c>
    </row>
    <row r="76" spans="1:10" ht="15">
      <c r="A76" s="46"/>
      <c r="B76" s="47" t="str">
        <f t="shared" si="2"/>
        <v/>
      </c>
      <c r="C76" s="48"/>
      <c r="D76" s="48"/>
      <c r="E76" s="48"/>
      <c r="F76" s="48"/>
      <c r="G76" s="48"/>
      <c r="H76" s="50" t="str">
        <f>IF($B76="","",IF($J76="X",B76,CONCATENATE(VLOOKUP(B76,Competitors!$A$2:$I$650,3,FALSE)," ",VLOOKUP(B76,Competitors!$A$2:$I$650,2,FALSE))))</f>
        <v/>
      </c>
      <c r="I76" s="51">
        <f t="shared" si="3"/>
        <v>0</v>
      </c>
      <c r="J76" t="str">
        <f t="shared" si="4"/>
        <v/>
      </c>
    </row>
    <row r="77" spans="1:10" ht="15">
      <c r="A77" s="46"/>
      <c r="B77" s="47" t="str">
        <f t="shared" si="2"/>
        <v/>
      </c>
      <c r="C77" s="48"/>
      <c r="D77" s="48"/>
      <c r="E77" s="48"/>
      <c r="F77" s="48"/>
      <c r="G77" s="48"/>
      <c r="H77" s="50" t="str">
        <f>IF($B77="","",IF($J77="X",B77,CONCATENATE(VLOOKUP(B77,Competitors!$A$2:$I$650,3,FALSE)," ",VLOOKUP(B77,Competitors!$A$2:$I$650,2,FALSE))))</f>
        <v/>
      </c>
      <c r="I77" s="51">
        <f t="shared" si="3"/>
        <v>0</v>
      </c>
      <c r="J77" t="str">
        <f t="shared" si="4"/>
        <v/>
      </c>
    </row>
    <row r="78" spans="1:10" ht="15">
      <c r="A78" s="46"/>
      <c r="B78" s="47" t="str">
        <f t="shared" si="2"/>
        <v/>
      </c>
      <c r="C78" s="48"/>
      <c r="D78" s="48"/>
      <c r="E78" s="48"/>
      <c r="F78" s="48"/>
      <c r="G78" s="48"/>
      <c r="H78" s="50" t="str">
        <f>IF($B78="","",IF($J78="X",B78,CONCATENATE(VLOOKUP(B78,Competitors!$A$2:$I$650,3,FALSE)," ",VLOOKUP(B78,Competitors!$A$2:$I$650,2,FALSE))))</f>
        <v/>
      </c>
      <c r="I78" s="51">
        <f t="shared" si="3"/>
        <v>0</v>
      </c>
      <c r="J78" t="str">
        <f t="shared" si="4"/>
        <v/>
      </c>
    </row>
    <row r="79" spans="1:10" ht="15">
      <c r="A79" s="46"/>
      <c r="B79" s="47" t="str">
        <f t="shared" si="2"/>
        <v/>
      </c>
      <c r="C79" s="48"/>
      <c r="D79" s="48"/>
      <c r="E79" s="48"/>
      <c r="F79" s="48"/>
      <c r="G79" s="48"/>
      <c r="H79" s="50" t="str">
        <f>IF($B79="","",IF($J79="X",B79,CONCATENATE(VLOOKUP(B79,Competitors!$A$2:$I$650,3,FALSE)," ",VLOOKUP(B79,Competitors!$A$2:$I$650,2,FALSE))))</f>
        <v/>
      </c>
      <c r="I79" s="51">
        <f t="shared" si="3"/>
        <v>0</v>
      </c>
      <c r="J79" t="str">
        <f t="shared" si="4"/>
        <v/>
      </c>
    </row>
    <row r="80" spans="1:10" ht="15">
      <c r="A80" s="46"/>
      <c r="B80" s="47" t="str">
        <f t="shared" si="2"/>
        <v/>
      </c>
      <c r="C80" s="48"/>
      <c r="D80" s="48"/>
      <c r="E80" s="48"/>
      <c r="F80" s="48"/>
      <c r="G80" s="48"/>
      <c r="H80" s="50" t="str">
        <f>IF($B80="","",IF($J80="X",B80,CONCATENATE(VLOOKUP(B80,Competitors!$A$2:$I$650,3,FALSE)," ",VLOOKUP(B80,Competitors!$A$2:$I$650,2,FALSE))))</f>
        <v/>
      </c>
      <c r="I80" s="51">
        <f t="shared" si="3"/>
        <v>0</v>
      </c>
      <c r="J80" t="str">
        <f t="shared" si="4"/>
        <v/>
      </c>
    </row>
    <row r="81" spans="1:10" ht="15">
      <c r="A81" s="46"/>
      <c r="B81" s="47" t="str">
        <f t="shared" si="2"/>
        <v/>
      </c>
      <c r="C81" s="48"/>
      <c r="D81" s="48"/>
      <c r="E81" s="48"/>
      <c r="F81" s="48"/>
      <c r="G81" s="48"/>
      <c r="H81" s="50" t="str">
        <f>IF($B81="","",IF($J81="X",B81,CONCATENATE(VLOOKUP(B81,Competitors!$A$2:$I$650,3,FALSE)," ",VLOOKUP(B81,Competitors!$A$2:$I$650,2,FALSE))))</f>
        <v/>
      </c>
      <c r="I81" s="51">
        <f t="shared" si="3"/>
        <v>0</v>
      </c>
      <c r="J81" t="str">
        <f t="shared" si="4"/>
        <v/>
      </c>
    </row>
    <row r="82" spans="1:10" ht="15">
      <c r="A82" s="46"/>
      <c r="B82" s="47" t="str">
        <f t="shared" si="2"/>
        <v/>
      </c>
      <c r="C82" s="48"/>
      <c r="D82" s="48"/>
      <c r="E82" s="48"/>
      <c r="F82" s="48"/>
      <c r="G82" s="48"/>
      <c r="H82" s="50" t="str">
        <f>IF($B82="","",IF($J82="X",B82,CONCATENATE(VLOOKUP(B82,Competitors!$A$2:$I$650,3,FALSE)," ",VLOOKUP(B82,Competitors!$A$2:$I$650,2,FALSE))))</f>
        <v/>
      </c>
      <c r="I82" s="51">
        <f t="shared" si="3"/>
        <v>0</v>
      </c>
      <c r="J82" t="str">
        <f t="shared" si="4"/>
        <v/>
      </c>
    </row>
    <row r="83" spans="1:10" ht="15">
      <c r="A83" s="46"/>
      <c r="B83" s="47" t="str">
        <f t="shared" si="2"/>
        <v/>
      </c>
      <c r="C83" s="48"/>
      <c r="D83" s="48"/>
      <c r="E83" s="48"/>
      <c r="F83" s="48"/>
      <c r="G83" s="48"/>
      <c r="H83" s="50" t="str">
        <f>IF($B83="","",IF($J83="X",B83,CONCATENATE(VLOOKUP(B83,Competitors!$A$2:$I$650,3,FALSE)," ",VLOOKUP(B83,Competitors!$A$2:$I$650,2,FALSE))))</f>
        <v/>
      </c>
      <c r="I83" s="51">
        <f t="shared" si="3"/>
        <v>0</v>
      </c>
      <c r="J83" t="str">
        <f t="shared" si="4"/>
        <v/>
      </c>
    </row>
    <row r="84" spans="1:10" ht="15">
      <c r="A84" s="46"/>
      <c r="B84" s="47" t="str">
        <f t="shared" si="2"/>
        <v/>
      </c>
      <c r="C84" s="48"/>
      <c r="D84" s="48"/>
      <c r="E84" s="48"/>
      <c r="F84" s="48"/>
      <c r="G84" s="48"/>
      <c r="H84" s="50" t="str">
        <f>IF($B84="","",IF($J84="X",B84,CONCATENATE(VLOOKUP(B84,Competitors!$A$2:$I$650,3,FALSE)," ",VLOOKUP(B84,Competitors!$A$2:$I$650,2,FALSE))))</f>
        <v/>
      </c>
      <c r="I84" s="51">
        <f t="shared" si="3"/>
        <v>0</v>
      </c>
      <c r="J84" t="str">
        <f t="shared" si="4"/>
        <v/>
      </c>
    </row>
    <row r="85" spans="1:10" ht="15">
      <c r="A85" s="46"/>
      <c r="B85" s="47" t="str">
        <f t="shared" si="2"/>
        <v/>
      </c>
      <c r="C85" s="48"/>
      <c r="D85" s="48"/>
      <c r="E85" s="48"/>
      <c r="F85" s="48"/>
      <c r="G85" s="48"/>
      <c r="H85" s="50" t="str">
        <f>IF($B85="","",IF($J85="X",B85,CONCATENATE(VLOOKUP(B85,Competitors!$A$2:$I$650,3,FALSE)," ",VLOOKUP(B85,Competitors!$A$2:$I$650,2,FALSE))))</f>
        <v/>
      </c>
      <c r="I85" s="51">
        <f t="shared" si="3"/>
        <v>0</v>
      </c>
      <c r="J85" t="str">
        <f t="shared" si="4"/>
        <v/>
      </c>
    </row>
    <row r="86" spans="1:10" ht="15">
      <c r="A86" s="46"/>
      <c r="B86" s="47" t="str">
        <f t="shared" si="2"/>
        <v/>
      </c>
      <c r="C86" s="48"/>
      <c r="D86" s="48"/>
      <c r="E86" s="48"/>
      <c r="F86" s="48"/>
      <c r="G86" s="48"/>
      <c r="H86" s="50" t="str">
        <f>IF($B86="","",IF($J86="X",B86,CONCATENATE(VLOOKUP(B86,Competitors!$A$2:$I$650,3,FALSE)," ",VLOOKUP(B86,Competitors!$A$2:$I$650,2,FALSE))))</f>
        <v/>
      </c>
      <c r="I86" s="51">
        <f t="shared" si="3"/>
        <v>0</v>
      </c>
      <c r="J86" t="str">
        <f t="shared" si="4"/>
        <v/>
      </c>
    </row>
    <row r="87" spans="1:10" ht="15">
      <c r="A87" s="46"/>
      <c r="B87" s="47" t="str">
        <f t="shared" si="2"/>
        <v/>
      </c>
      <c r="C87" s="48"/>
      <c r="D87" s="48"/>
      <c r="E87" s="48"/>
      <c r="F87" s="48"/>
      <c r="G87" s="48"/>
      <c r="H87" s="50" t="str">
        <f>IF($B87="","",IF($J87="X",B87,CONCATENATE(VLOOKUP(B87,Competitors!$A$2:$I$650,3,FALSE)," ",VLOOKUP(B87,Competitors!$A$2:$I$650,2,FALSE))))</f>
        <v/>
      </c>
      <c r="I87" s="51">
        <f t="shared" si="3"/>
        <v>0</v>
      </c>
      <c r="J87" t="str">
        <f t="shared" si="4"/>
        <v/>
      </c>
    </row>
    <row r="88" spans="1:10" ht="15">
      <c r="A88" s="46"/>
      <c r="B88" s="47" t="str">
        <f t="shared" ref="B88:B101" si="5">IF(A88="","",_xlfn.XLOOKUP(A88,ClubNames,ClubNumbers,_xlfn.XLOOKUP(A88,RoundRobinRiderNames,RoundRobinRiderDecoratedNames,A88)))</f>
        <v/>
      </c>
      <c r="C88" s="48"/>
      <c r="D88" s="48"/>
      <c r="E88" s="48"/>
      <c r="F88" s="48"/>
      <c r="G88" s="48"/>
      <c r="H88" s="50" t="str">
        <f>IF($B88="","",IF($J88="X",B88,CONCATENATE(VLOOKUP(B88,Competitors!$A$2:$I$650,3,FALSE)," ",VLOOKUP(B88,Competitors!$A$2:$I$650,2,FALSE))))</f>
        <v/>
      </c>
      <c r="I88" s="51">
        <f t="shared" si="3"/>
        <v>0</v>
      </c>
      <c r="J88" t="str">
        <f t="shared" si="4"/>
        <v/>
      </c>
    </row>
    <row r="89" spans="1:10" ht="15">
      <c r="A89" s="46"/>
      <c r="B89" s="47" t="str">
        <f t="shared" si="5"/>
        <v/>
      </c>
      <c r="C89" s="48"/>
      <c r="D89" s="48"/>
      <c r="E89" s="48"/>
      <c r="F89" s="48"/>
      <c r="G89" s="48"/>
      <c r="H89" s="50" t="str">
        <f>IF($B89="","",IF($J89="X",B89,CONCATENATE(VLOOKUP(B89,Competitors!$A$2:$I$650,3,FALSE)," ",VLOOKUP(B89,Competitors!$A$2:$I$650,2,FALSE))))</f>
        <v/>
      </c>
      <c r="I89" s="51">
        <f t="shared" si="3"/>
        <v>0</v>
      </c>
      <c r="J89" t="str">
        <f t="shared" si="4"/>
        <v/>
      </c>
    </row>
    <row r="90" spans="1:10" ht="15">
      <c r="A90" s="46"/>
      <c r="B90" s="47" t="str">
        <f t="shared" si="5"/>
        <v/>
      </c>
      <c r="C90" s="48"/>
      <c r="D90" s="48"/>
      <c r="E90" s="48"/>
      <c r="F90" s="48"/>
      <c r="G90" s="48"/>
      <c r="H90" s="50" t="str">
        <f>IF($B90="","",IF($J90="X",B90,CONCATENATE(VLOOKUP(B90,Competitors!$A$2:$I$650,3,FALSE)," ",VLOOKUP(B90,Competitors!$A$2:$I$650,2,FALSE))))</f>
        <v/>
      </c>
      <c r="I90" s="51">
        <f t="shared" si="3"/>
        <v>0</v>
      </c>
      <c r="J90" t="str">
        <f t="shared" si="4"/>
        <v/>
      </c>
    </row>
    <row r="91" spans="1:10" ht="15">
      <c r="A91" s="46"/>
      <c r="B91" s="47" t="str">
        <f t="shared" si="5"/>
        <v/>
      </c>
      <c r="C91" s="48"/>
      <c r="D91" s="48"/>
      <c r="E91" s="48"/>
      <c r="F91" s="48"/>
      <c r="G91" s="48"/>
      <c r="H91" s="50" t="str">
        <f>IF($B91="","",IF($J91="X",B91,CONCATENATE(VLOOKUP(B91,Competitors!$A$2:$I$650,3,FALSE)," ",VLOOKUP(B91,Competitors!$A$2:$I$650,2,FALSE))))</f>
        <v/>
      </c>
      <c r="I91" s="51">
        <f t="shared" si="3"/>
        <v>0</v>
      </c>
      <c r="J91" t="str">
        <f t="shared" si="4"/>
        <v/>
      </c>
    </row>
    <row r="92" spans="1:10" ht="15">
      <c r="A92" s="46"/>
      <c r="B92" s="47" t="str">
        <f t="shared" si="5"/>
        <v/>
      </c>
      <c r="C92" s="48"/>
      <c r="D92" s="48"/>
      <c r="E92" s="48"/>
      <c r="F92" s="48"/>
      <c r="G92" s="48"/>
      <c r="H92" s="50" t="str">
        <f>IF($B92="","",IF($J92="X",B92,CONCATENATE(VLOOKUP(B92,Competitors!$A$2:$I$650,3,FALSE)," ",VLOOKUP(B92,Competitors!$A$2:$I$650,2,FALSE))))</f>
        <v/>
      </c>
      <c r="I92" s="51">
        <f t="shared" si="3"/>
        <v>0</v>
      </c>
      <c r="J92" t="str">
        <f t="shared" si="4"/>
        <v/>
      </c>
    </row>
    <row r="93" spans="1:10" ht="15">
      <c r="A93" s="46"/>
      <c r="B93" s="47" t="str">
        <f t="shared" si="5"/>
        <v/>
      </c>
      <c r="C93" s="48"/>
      <c r="D93" s="48"/>
      <c r="E93" s="48"/>
      <c r="F93" s="48"/>
      <c r="G93" s="48"/>
      <c r="H93" s="50" t="str">
        <f>IF($B93="","",IF($J93="X",B93,CONCATENATE(VLOOKUP(B93,Competitors!$A$2:$I$650,3,FALSE)," ",VLOOKUP(B93,Competitors!$A$2:$I$650,2,FALSE))))</f>
        <v/>
      </c>
      <c r="I93" s="51">
        <f t="shared" si="3"/>
        <v>0</v>
      </c>
      <c r="J93" t="str">
        <f t="shared" si="4"/>
        <v/>
      </c>
    </row>
    <row r="94" spans="1:10" ht="15">
      <c r="A94" s="46"/>
      <c r="B94" s="47" t="str">
        <f t="shared" si="5"/>
        <v/>
      </c>
      <c r="C94" s="48"/>
      <c r="D94" s="48"/>
      <c r="E94" s="48"/>
      <c r="F94" s="48"/>
      <c r="G94" s="48"/>
      <c r="H94" s="50" t="str">
        <f>IF($B94="","",IF($J94="X",B94,CONCATENATE(VLOOKUP(B94,Competitors!$A$2:$I$650,3,FALSE)," ",VLOOKUP(B94,Competitors!$A$2:$I$650,2,FALSE))))</f>
        <v/>
      </c>
      <c r="I94" s="51">
        <f t="shared" si="3"/>
        <v>0</v>
      </c>
      <c r="J94" t="str">
        <f t="shared" si="4"/>
        <v/>
      </c>
    </row>
    <row r="95" spans="1:10" ht="15">
      <c r="A95" s="46"/>
      <c r="B95" s="47" t="str">
        <f t="shared" si="5"/>
        <v/>
      </c>
      <c r="C95" s="48"/>
      <c r="D95" s="48"/>
      <c r="E95" s="48"/>
      <c r="F95" s="48"/>
      <c r="G95" s="48"/>
      <c r="H95" s="50" t="str">
        <f>IF($B95="","",IF($J95="X",B95,CONCATENATE(VLOOKUP(B95,Competitors!$A$2:$I$650,3,FALSE)," ",VLOOKUP(B95,Competitors!$A$2:$I$650,2,FALSE))))</f>
        <v/>
      </c>
      <c r="I95" s="51">
        <f t="shared" si="3"/>
        <v>0</v>
      </c>
      <c r="J95" t="str">
        <f t="shared" si="4"/>
        <v/>
      </c>
    </row>
    <row r="96" spans="1:10" ht="15">
      <c r="A96" s="46"/>
      <c r="B96" s="47" t="str">
        <f t="shared" si="5"/>
        <v/>
      </c>
      <c r="C96" s="48"/>
      <c r="D96" s="48"/>
      <c r="E96" s="48"/>
      <c r="F96" s="48"/>
      <c r="G96" s="48"/>
      <c r="H96" s="50" t="str">
        <f>IF($B96="","",IF($J96="X",B96,CONCATENATE(VLOOKUP(B96,Competitors!$A$2:$I$650,3,FALSE)," ",VLOOKUP(B96,Competitors!$A$2:$I$650,2,FALSE))))</f>
        <v/>
      </c>
      <c r="I96" s="51">
        <f t="shared" si="3"/>
        <v>0</v>
      </c>
      <c r="J96" t="str">
        <f t="shared" si="4"/>
        <v/>
      </c>
    </row>
    <row r="97" spans="1:10" ht="15">
      <c r="A97" s="46"/>
      <c r="B97" s="47" t="str">
        <f t="shared" si="5"/>
        <v/>
      </c>
      <c r="C97" s="48"/>
      <c r="D97" s="48"/>
      <c r="E97" s="48"/>
      <c r="F97" s="48"/>
      <c r="G97" s="48"/>
      <c r="H97" s="50" t="str">
        <f>IF($B97="","",IF($J97="X",B97,CONCATENATE(VLOOKUP(B97,Competitors!$A$2:$I$650,3,FALSE)," ",VLOOKUP(B97,Competitors!$A$2:$I$650,2,FALSE))))</f>
        <v/>
      </c>
      <c r="I97" s="51">
        <f t="shared" si="3"/>
        <v>0</v>
      </c>
      <c r="J97" t="str">
        <f t="shared" si="4"/>
        <v/>
      </c>
    </row>
    <row r="98" spans="1:10" ht="15">
      <c r="A98" s="46"/>
      <c r="B98" s="47" t="str">
        <f t="shared" si="5"/>
        <v/>
      </c>
      <c r="C98" s="48"/>
      <c r="D98" s="48"/>
      <c r="E98" s="48"/>
      <c r="F98" s="48"/>
      <c r="G98" s="48"/>
      <c r="H98" s="50" t="str">
        <f>IF($B98="","",IF($J98="X",B98,CONCATENATE(VLOOKUP(B98,Competitors!$A$2:$I$650,3,FALSE)," ",VLOOKUP(B98,Competitors!$A$2:$I$650,2,FALSE))))</f>
        <v/>
      </c>
      <c r="I98" s="51">
        <f t="shared" si="3"/>
        <v>0</v>
      </c>
      <c r="J98" t="str">
        <f t="shared" si="4"/>
        <v/>
      </c>
    </row>
    <row r="99" spans="1:10" ht="15">
      <c r="A99" s="46"/>
      <c r="B99" s="47" t="str">
        <f t="shared" si="5"/>
        <v/>
      </c>
      <c r="C99" s="48"/>
      <c r="D99" s="48"/>
      <c r="E99" s="48"/>
      <c r="F99" s="48"/>
      <c r="G99" s="48"/>
      <c r="H99" s="50" t="str">
        <f>IF($B99="","",IF($J99="X",B99,CONCATENATE(VLOOKUP(B99,Competitors!$A$2:$I$650,3,FALSE)," ",VLOOKUP(B99,Competitors!$A$2:$I$650,2,FALSE))))</f>
        <v/>
      </c>
      <c r="I99" s="51">
        <f t="shared" si="3"/>
        <v>0</v>
      </c>
      <c r="J99" t="str">
        <f t="shared" si="4"/>
        <v/>
      </c>
    </row>
    <row r="100" spans="1:10" ht="15">
      <c r="A100" s="46"/>
      <c r="B100" s="47" t="str">
        <f t="shared" si="5"/>
        <v/>
      </c>
      <c r="C100" s="48"/>
      <c r="D100" s="48"/>
      <c r="E100" s="48"/>
      <c r="F100" s="48"/>
      <c r="G100" s="48"/>
      <c r="H100" s="50" t="str">
        <f>IF($B100="","",IF($J100="X",B100,CONCATENATE(VLOOKUP(B100,Competitors!$A$2:$I$650,3, FALSE)," ",VLOOKUP(B100,Competitors!$A$2:$I$650,2,FALSE))))</f>
        <v/>
      </c>
      <c r="I100" s="51">
        <f t="shared" si="3"/>
        <v>0</v>
      </c>
      <c r="J100" t="str">
        <f t="shared" si="4"/>
        <v/>
      </c>
    </row>
    <row r="101" spans="1:10" ht="15">
      <c r="A101" s="46"/>
      <c r="B101" s="47" t="str">
        <f t="shared" si="5"/>
        <v/>
      </c>
      <c r="C101" s="48"/>
      <c r="D101" s="48"/>
      <c r="E101" s="48"/>
      <c r="F101" s="48"/>
      <c r="G101" s="48"/>
      <c r="H101" s="50" t="str">
        <f>IF($B101="","",IF($J101="X",B101,CONCATENATE(VLOOKUP(B101,Competitors!$A$2:$I$650,3,FALSE)," ",VLOOKUP(B101,Competitors!$A$2:$I$650,2,FALSE))))</f>
        <v/>
      </c>
      <c r="I101" s="51">
        <f t="shared" si="3"/>
        <v>0</v>
      </c>
      <c r="J101" t="str">
        <f t="shared" si="4"/>
        <v/>
      </c>
    </row>
    <row r="102" spans="1:10" s="52" customFormat="1">
      <c r="I102" s="53"/>
    </row>
    <row r="103" spans="1:10">
      <c r="B103" t="s">
        <v>551</v>
      </c>
      <c r="C103" t="str" cm="1">
        <f t="array" aca="1" ref="C103" ca="1">MID(CELL("filename",B1),FIND("]",CELL("filename",B1))+1,255)</f>
        <v>Event_02</v>
      </c>
    </row>
    <row r="104" spans="1:10">
      <c r="B104" t="s">
        <v>552</v>
      </c>
      <c r="C104" t="str">
        <f ca="1">_xlfn.XLOOKUP(C103,Calendar!O:O,Calendar!H:H,"Event is not in calendar")</f>
        <v/>
      </c>
    </row>
  </sheetData>
  <conditionalFormatting sqref="E2:E101">
    <cfRule type="expression" dxfId="78" priority="3">
      <formula>TEXT($C$104,"@")="Y"</formula>
    </cfRule>
  </conditionalFormatting>
  <conditionalFormatting sqref="H2:I101">
    <cfRule type="expression" dxfId="77" priority="2">
      <formula>$J2="X"</formula>
    </cfRule>
  </conditionalFormatting>
  <conditionalFormatting sqref="I2:I101">
    <cfRule type="expression" dxfId="76"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35">
    <pageSetUpPr fitToPage="1"/>
  </sheetPr>
  <dimension ref="A1:J104"/>
  <sheetViews>
    <sheetView workbookViewId="0">
      <selection activeCell="A16" sqref="A16"/>
    </sheetView>
    <sheetView workbookViewId="1"/>
  </sheetViews>
  <sheetFormatPr defaultColWidth="9.1328125" defaultRowHeight="12.75"/>
  <cols>
    <col min="1" max="1" width="20.19921875" bestFit="1" customWidth="1"/>
    <col min="2" max="2" width="23.86328125" bestFit="1" customWidth="1"/>
    <col min="3" max="4" width="4.796875" customWidth="1"/>
    <col min="5" max="5" width="6.19921875" bestFit="1"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453</v>
      </c>
      <c r="B2" s="47">
        <v>558</v>
      </c>
      <c r="C2" s="48"/>
      <c r="D2" s="48">
        <v>39</v>
      </c>
      <c r="E2" s="48">
        <v>2</v>
      </c>
      <c r="F2" s="48" t="s">
        <v>544</v>
      </c>
      <c r="G2" s="48"/>
      <c r="H2" s="50" t="str">
        <f>IF($B2="","",IF($J2="X",B2,CONCATENATE(VLOOKUP(B2,Competitors!$A$2:$I$650,3, FALSE)," ",VLOOKUP(B2,Competitors!$A$2:$I$650,2,FALSE))))</f>
        <v>Andrew Weatherby</v>
      </c>
      <c r="I2" s="51">
        <f t="shared" ref="I2:I65" si="0">IF(LEFT($F2,1)="D",UPPER($F2),(C2*3600+D2*60+E2)/86400)</f>
        <v>2.7106481481481481E-2</v>
      </c>
      <c r="J2" t="str">
        <f t="shared" ref="J2:J65" si="1">IF(OR(B2="",ISNUMBER(B2)),"","X")</f>
        <v/>
      </c>
    </row>
    <row r="3" spans="1:10" ht="15">
      <c r="A3" s="46" t="s">
        <v>454</v>
      </c>
      <c r="B3" s="47">
        <v>45</v>
      </c>
      <c r="C3" s="48"/>
      <c r="D3" s="48">
        <v>35</v>
      </c>
      <c r="E3" s="48">
        <v>4</v>
      </c>
      <c r="F3" s="48" t="s">
        <v>544</v>
      </c>
      <c r="G3" s="48"/>
      <c r="H3" s="50" t="str">
        <f>IF($B3="","",IF($J3="X",B3,CONCATENATE(VLOOKUP(B3,Competitors!$A$2:$I$650,3,FALSE)," ",VLOOKUP(B3,Competitors!$A$2:$I$650,2,FALSE))))</f>
        <v>Ray Taylor</v>
      </c>
      <c r="I3" s="51">
        <f t="shared" si="0"/>
        <v>2.435185185185185E-2</v>
      </c>
      <c r="J3" t="str">
        <f t="shared" si="1"/>
        <v/>
      </c>
    </row>
    <row r="4" spans="1:10" ht="15">
      <c r="A4" s="46" t="s">
        <v>501</v>
      </c>
      <c r="B4" s="47" t="s">
        <v>554</v>
      </c>
      <c r="C4" s="48"/>
      <c r="D4" s="48">
        <v>26</v>
      </c>
      <c r="E4" s="48">
        <v>25</v>
      </c>
      <c r="F4" s="48"/>
      <c r="G4" s="48"/>
      <c r="H4" s="50" t="str">
        <f>IF($B4="","",IF($J4="X",B4,CONCATENATE(VLOOKUP(B4,Competitors!$A$2:$I$650,3,FALSE)," ",VLOOKUP(B4,Competitors!$A$2:$I$650,2,FALSE))))</f>
        <v>Chris Bonsor (Ratae)</v>
      </c>
      <c r="I4" s="51">
        <f t="shared" si="0"/>
        <v>1.8344907407407407E-2</v>
      </c>
      <c r="J4" t="str">
        <f t="shared" si="1"/>
        <v>X</v>
      </c>
    </row>
    <row r="5" spans="1:10" ht="15">
      <c r="A5" s="46" t="s">
        <v>522</v>
      </c>
      <c r="B5" s="47" t="s">
        <v>555</v>
      </c>
      <c r="C5" s="48"/>
      <c r="D5" s="48">
        <v>30</v>
      </c>
      <c r="E5" s="48">
        <v>25</v>
      </c>
      <c r="F5" s="48"/>
      <c r="G5" s="48"/>
      <c r="H5" s="50" t="str">
        <f>IF($B5="","",IF($J5="X",B5,CONCATENATE(VLOOKUP(B5,Competitors!$A$2:$I$650,3,FALSE)," ",VLOOKUP(B5,Competitors!$A$2:$I$650,2,FALSE))))</f>
        <v>Lynne Scofield (RFW)</v>
      </c>
      <c r="I5" s="51">
        <f t="shared" si="0"/>
        <v>2.1122685185185185E-2</v>
      </c>
      <c r="J5" t="str">
        <f t="shared" si="1"/>
        <v>X</v>
      </c>
    </row>
    <row r="6" spans="1:10" ht="15">
      <c r="A6" s="46" t="s">
        <v>417</v>
      </c>
      <c r="B6" s="47">
        <v>1152</v>
      </c>
      <c r="C6" s="48"/>
      <c r="D6" s="48"/>
      <c r="E6" s="48"/>
      <c r="F6" s="48"/>
      <c r="G6" s="48" t="s">
        <v>553</v>
      </c>
      <c r="H6" s="50" t="str">
        <f>IF($B6="","",IF($J6="X",B6,CONCATENATE(VLOOKUP(B6,Competitors!$A$2:$I$650,3,FALSE)," ",VLOOKUP(B6,Competitors!$A$2:$I$650,2,FALSE))))</f>
        <v>Ruby Isaac</v>
      </c>
      <c r="I6" s="51">
        <f t="shared" si="0"/>
        <v>0</v>
      </c>
      <c r="J6" t="str">
        <f t="shared" si="1"/>
        <v/>
      </c>
    </row>
    <row r="7" spans="1:10" ht="15">
      <c r="A7" s="46" t="s">
        <v>429</v>
      </c>
      <c r="B7" s="47">
        <v>1107</v>
      </c>
      <c r="C7" s="48"/>
      <c r="D7" s="48">
        <v>26</v>
      </c>
      <c r="E7" s="48">
        <v>20</v>
      </c>
      <c r="F7" s="48"/>
      <c r="G7" s="48"/>
      <c r="H7" s="50" t="str">
        <f>IF($B7="","",IF($J7="X",B7,CONCATENATE(VLOOKUP(B7,Competitors!$A$2:$I$650,3,FALSE)," ",VLOOKUP(B7,Competitors!$A$2:$I$650,2,FALSE))))</f>
        <v>Milly Pinnock</v>
      </c>
      <c r="I7" s="51">
        <f t="shared" si="0"/>
        <v>1.8287037037037036E-2</v>
      </c>
      <c r="J7" t="str">
        <f t="shared" si="1"/>
        <v/>
      </c>
    </row>
    <row r="8" spans="1:10" ht="15">
      <c r="A8" s="46" t="s">
        <v>556</v>
      </c>
      <c r="B8" s="47" t="s">
        <v>556</v>
      </c>
      <c r="C8" s="48"/>
      <c r="D8" s="48">
        <v>23</v>
      </c>
      <c r="E8" s="48">
        <v>0</v>
      </c>
      <c r="F8" s="48" t="s">
        <v>544</v>
      </c>
      <c r="G8" s="48"/>
      <c r="H8" s="50" t="str">
        <f>IF($B8="","",IF($J8="X",B8,CONCATENATE(VLOOKUP(B8,Competitors!$A$2:$I$650,3,FALSE)," ",VLOOKUP(B8,Competitors!$A$2:$I$650,2,FALSE))))</f>
        <v>Jonathan Robinson</v>
      </c>
      <c r="I8" s="51">
        <f t="shared" si="0"/>
        <v>1.5972222222222221E-2</v>
      </c>
      <c r="J8" t="str">
        <f t="shared" si="1"/>
        <v>X</v>
      </c>
    </row>
    <row r="9" spans="1:10" ht="15">
      <c r="A9" s="46" t="s">
        <v>548</v>
      </c>
      <c r="B9" s="47">
        <v>674</v>
      </c>
      <c r="C9" s="48"/>
      <c r="D9" s="48">
        <v>28</v>
      </c>
      <c r="E9" s="48">
        <v>1</v>
      </c>
      <c r="F9" s="48"/>
      <c r="G9" s="48"/>
      <c r="H9" s="50" t="str">
        <f>IF($B9="","",IF($J9="X",B9,CONCATENATE(VLOOKUP(B9,Competitors!$A$2:$I$650,3,FALSE)," ",VLOOKUP(B9,Competitors!$A$2:$I$650,2,FALSE))))</f>
        <v>Jennifer Clegg</v>
      </c>
      <c r="I9" s="51">
        <f t="shared" si="0"/>
        <v>1.9456018518518518E-2</v>
      </c>
      <c r="J9" t="str">
        <f t="shared" si="1"/>
        <v/>
      </c>
    </row>
    <row r="10" spans="1:10" ht="15">
      <c r="A10" s="46" t="s">
        <v>431</v>
      </c>
      <c r="B10" s="47">
        <v>1403</v>
      </c>
      <c r="C10" s="48"/>
      <c r="D10" s="48"/>
      <c r="E10" s="48"/>
      <c r="F10" s="48"/>
      <c r="G10" s="48" t="s">
        <v>557</v>
      </c>
      <c r="H10" s="50" t="str">
        <f>IF($B10="","",IF($J10="X",B10,CONCATENATE(VLOOKUP(B10,Competitors!$A$2:$I$650,3, FALSE)," ",VLOOKUP(B10,Competitors!$A$2:$I$650,2,FALSE))))</f>
        <v>Toby Lenehan</v>
      </c>
      <c r="I10" s="51">
        <f t="shared" si="0"/>
        <v>0</v>
      </c>
      <c r="J10" t="str">
        <f t="shared" si="1"/>
        <v/>
      </c>
    </row>
    <row r="11" spans="1:10" ht="15">
      <c r="A11" s="46" t="s">
        <v>441</v>
      </c>
      <c r="B11" s="47">
        <v>1254</v>
      </c>
      <c r="C11" s="48"/>
      <c r="D11" s="48">
        <v>27</v>
      </c>
      <c r="E11" s="48">
        <v>25</v>
      </c>
      <c r="F11" s="48"/>
      <c r="G11" s="48"/>
      <c r="H11" s="50" t="str">
        <f>IF($B11="","",IF($J11="X",B11,CONCATENATE(VLOOKUP(B11,Competitors!$A$2:$I$650,3,FALSE)," ",VLOOKUP(B11,Competitors!$A$2:$I$650,2,FALSE))))</f>
        <v>Paul White</v>
      </c>
      <c r="I11" s="51">
        <f t="shared" si="0"/>
        <v>1.9039351851851852E-2</v>
      </c>
      <c r="J11" t="str">
        <f t="shared" si="1"/>
        <v/>
      </c>
    </row>
    <row r="12" spans="1:10" ht="15">
      <c r="A12" s="46" t="s">
        <v>430</v>
      </c>
      <c r="B12" s="47">
        <v>616</v>
      </c>
      <c r="C12" s="48"/>
      <c r="D12" s="48"/>
      <c r="E12" s="48"/>
      <c r="F12" s="48"/>
      <c r="G12" s="48" t="s">
        <v>557</v>
      </c>
      <c r="H12" s="50" t="str">
        <f>IF($B12="","",IF($J12="X",B12,CONCATENATE(VLOOKUP(B12,Competitors!$A$2:$I$650,3,FALSE)," ",VLOOKUP(B12,Competitors!$A$2:$I$650,2,FALSE))))</f>
        <v>Simon Ward</v>
      </c>
      <c r="I12" s="51">
        <f t="shared" si="0"/>
        <v>0</v>
      </c>
      <c r="J12" t="str">
        <f t="shared" si="1"/>
        <v/>
      </c>
    </row>
    <row r="13" spans="1:10" ht="15">
      <c r="A13" s="46" t="s">
        <v>527</v>
      </c>
      <c r="B13" s="47" t="s">
        <v>558</v>
      </c>
      <c r="C13" s="48"/>
      <c r="D13" s="48">
        <v>25</v>
      </c>
      <c r="E13" s="48">
        <v>10</v>
      </c>
      <c r="F13" s="48"/>
      <c r="G13" s="48"/>
      <c r="H13" s="50" t="str">
        <f>IF($B13="","",IF($J13="X",B13,CONCATENATE(VLOOKUP(B13,Competitors!$A$2:$I$650,3,FALSE)," ",VLOOKUP(B13,Competitors!$A$2:$I$650,2,FALSE))))</f>
        <v>Phil Wilkinson (RFW)</v>
      </c>
      <c r="I13" s="51">
        <f t="shared" si="0"/>
        <v>1.7476851851851851E-2</v>
      </c>
      <c r="J13" t="str">
        <f t="shared" si="1"/>
        <v>X</v>
      </c>
    </row>
    <row r="14" spans="1:10" ht="15">
      <c r="A14" s="46" t="s">
        <v>514</v>
      </c>
      <c r="B14" s="47" t="s">
        <v>559</v>
      </c>
      <c r="C14" s="48"/>
      <c r="D14" s="48">
        <v>28</v>
      </c>
      <c r="E14" s="48">
        <v>5</v>
      </c>
      <c r="F14" s="48"/>
      <c r="G14" s="48"/>
      <c r="H14" s="50" t="str">
        <f>IF($B14="","",IF($J14="X",B14,CONCATENATE(VLOOKUP(B14,Competitors!$A$2:$I$650,3,FALSE)," ",VLOOKUP(B14,Competitors!$A$2:$I$650,2,FALSE))))</f>
        <v>Steve Pearce (Ratae)</v>
      </c>
      <c r="I14" s="51">
        <f t="shared" si="0"/>
        <v>1.9502314814814816E-2</v>
      </c>
      <c r="J14" t="str">
        <f t="shared" si="1"/>
        <v>X</v>
      </c>
    </row>
    <row r="15" spans="1:10" ht="15">
      <c r="A15" s="46" t="s">
        <v>440</v>
      </c>
      <c r="B15" s="47">
        <v>245</v>
      </c>
      <c r="C15" s="48"/>
      <c r="D15" s="48">
        <v>29</v>
      </c>
      <c r="E15" s="48">
        <v>10</v>
      </c>
      <c r="F15" s="48"/>
      <c r="G15" s="48"/>
      <c r="H15" s="50" t="str">
        <f>IF($B15="","",IF($J15="X",B15,CONCATENATE(VLOOKUP(B15,Competitors!$A$2:$I$650,3,FALSE)," ",VLOOKUP(B15,Competitors!$A$2:$I$650,2,FALSE))))</f>
        <v>David Reay</v>
      </c>
      <c r="I15" s="51">
        <f t="shared" si="0"/>
        <v>2.0254629629629629E-2</v>
      </c>
      <c r="J15" t="str">
        <f t="shared" si="1"/>
        <v/>
      </c>
    </row>
    <row r="16" spans="1:10" ht="15">
      <c r="A16" s="46" t="s">
        <v>412</v>
      </c>
      <c r="B16" s="47">
        <v>1144</v>
      </c>
      <c r="C16" s="48"/>
      <c r="D16" s="48">
        <v>23</v>
      </c>
      <c r="E16" s="48">
        <v>25</v>
      </c>
      <c r="F16" s="48" t="s">
        <v>544</v>
      </c>
      <c r="G16" s="48"/>
      <c r="H16" s="50" t="str">
        <f>IF($B16="","",IF($J16="X",B16,CONCATENATE(VLOOKUP(B16,Competitors!$A$2:$I$650,3,FALSE)," ",VLOOKUP(B16,Competitors!$A$2:$I$650,2,FALSE))))</f>
        <v>Jamie Kershaw</v>
      </c>
      <c r="I16" s="51">
        <f t="shared" si="0"/>
        <v>1.6261574074074074E-2</v>
      </c>
      <c r="J16" t="str">
        <f t="shared" si="1"/>
        <v/>
      </c>
    </row>
    <row r="17" spans="1:10" ht="15">
      <c r="A17" s="46" t="s">
        <v>419</v>
      </c>
      <c r="B17" s="47">
        <v>756</v>
      </c>
      <c r="C17" s="48"/>
      <c r="D17" s="48">
        <v>27</v>
      </c>
      <c r="E17" s="48">
        <v>36</v>
      </c>
      <c r="F17" s="48" t="s">
        <v>544</v>
      </c>
      <c r="G17" s="48"/>
      <c r="H17" s="50" t="str">
        <f>IF($B17="","",IF($J17="X",B17,CONCATENATE(VLOOKUP(B17,Competitors!$A$2:$I$650,3,FALSE)," ",VLOOKUP(B17,Competitors!$A$2:$I$650,2,FALSE))))</f>
        <v>Josh van Nierop</v>
      </c>
      <c r="I17" s="51">
        <f t="shared" si="0"/>
        <v>1.9166666666666665E-2</v>
      </c>
      <c r="J17" t="str">
        <f t="shared" si="1"/>
        <v/>
      </c>
    </row>
    <row r="18" spans="1:10" ht="15">
      <c r="A18" s="46" t="s">
        <v>416</v>
      </c>
      <c r="B18" s="47">
        <v>38</v>
      </c>
      <c r="C18" s="48"/>
      <c r="D18" s="48">
        <v>24</v>
      </c>
      <c r="E18" s="48">
        <v>58</v>
      </c>
      <c r="F18" s="48"/>
      <c r="G18" s="48"/>
      <c r="H18" s="50" t="str">
        <f>IF($B18="","",IF($J18="X",B18,CONCATENATE(VLOOKUP(B18,Competitors!$A$2:$I$650,3,FALSE)," ",VLOOKUP(B18,Competitors!$A$2:$I$650,2,FALSE))))</f>
        <v>Phil Rayner</v>
      </c>
      <c r="I18" s="51">
        <f t="shared" si="0"/>
        <v>1.7337962962962961E-2</v>
      </c>
      <c r="J18" t="str">
        <f t="shared" si="1"/>
        <v/>
      </c>
    </row>
    <row r="19" spans="1:10" ht="15">
      <c r="A19" s="46" t="s">
        <v>439</v>
      </c>
      <c r="B19" s="47">
        <v>23</v>
      </c>
      <c r="C19" s="48"/>
      <c r="D19" s="48">
        <v>27</v>
      </c>
      <c r="E19" s="48">
        <v>57</v>
      </c>
      <c r="F19" s="48"/>
      <c r="G19" s="48"/>
      <c r="H19" s="50" t="str">
        <f>IF($B19="","",IF($J19="X",B19,CONCATENATE(VLOOKUP(B19,Competitors!$A$2:$I$650,3,FALSE)," ",VLOOKUP(B19,Competitors!$A$2:$I$650,2,FALSE))))</f>
        <v>Chris Hyde</v>
      </c>
      <c r="I19" s="51">
        <f t="shared" si="0"/>
        <v>1.9409722222222221E-2</v>
      </c>
      <c r="J19" t="str">
        <f t="shared" si="1"/>
        <v/>
      </c>
    </row>
    <row r="20" spans="1:10" ht="15">
      <c r="A20" s="46" t="s">
        <v>545</v>
      </c>
      <c r="B20" s="47">
        <v>1385</v>
      </c>
      <c r="C20" s="48"/>
      <c r="D20" s="48"/>
      <c r="E20" s="48"/>
      <c r="F20" s="48"/>
      <c r="G20" s="48" t="s">
        <v>553</v>
      </c>
      <c r="H20" s="50" t="str">
        <f>IF($B20="","",IF($J20="X",B20,CONCATENATE(VLOOKUP(B20,Competitors!$A$2:$I$650,3,FALSE)," ",VLOOKUP(B20,Competitors!$A$2:$I$650,2,FALSE))))</f>
        <v>Miles Marr</v>
      </c>
      <c r="I20" s="51">
        <f t="shared" si="0"/>
        <v>0</v>
      </c>
      <c r="J20" t="str">
        <f t="shared" si="1"/>
        <v/>
      </c>
    </row>
    <row r="21" spans="1:10" ht="15">
      <c r="A21" s="46" t="s">
        <v>411</v>
      </c>
      <c r="B21" s="47">
        <v>407</v>
      </c>
      <c r="C21" s="48"/>
      <c r="D21" s="48">
        <v>27</v>
      </c>
      <c r="E21" s="48">
        <v>32</v>
      </c>
      <c r="F21" s="48"/>
      <c r="G21" s="48"/>
      <c r="H21" s="50" t="str">
        <f>IF($B21="","",IF($J21="X",B21,CONCATENATE(VLOOKUP(B21,Competitors!$A$2:$I$650,3,FALSE)," ",VLOOKUP(B21,Competitors!$A$2:$I$650,2,FALSE))))</f>
        <v>Hans van Nierop</v>
      </c>
      <c r="I21" s="51">
        <f t="shared" si="0"/>
        <v>1.9120370370370371E-2</v>
      </c>
      <c r="J21" t="str">
        <f t="shared" si="1"/>
        <v/>
      </c>
    </row>
    <row r="22" spans="1:10" ht="15">
      <c r="A22" s="46" t="s">
        <v>432</v>
      </c>
      <c r="B22" s="47">
        <v>1112</v>
      </c>
      <c r="C22" s="48"/>
      <c r="D22" s="48">
        <v>27</v>
      </c>
      <c r="E22" s="48">
        <v>56</v>
      </c>
      <c r="F22" s="48"/>
      <c r="G22" s="48"/>
      <c r="H22" s="50" t="str">
        <f>IF($B22="","",IF($J22="X",B22,CONCATENATE(VLOOKUP(B22,Competitors!$A$2:$I$650,3,FALSE)," ",VLOOKUP(B22,Competitors!$A$2:$I$650,2,FALSE))))</f>
        <v>Gary Ashwell</v>
      </c>
      <c r="I22" s="51">
        <f t="shared" si="0"/>
        <v>1.9398148148148147E-2</v>
      </c>
      <c r="J22" t="str">
        <f t="shared" si="1"/>
        <v/>
      </c>
    </row>
    <row r="23" spans="1:10" ht="15">
      <c r="A23" s="46" t="s">
        <v>420</v>
      </c>
      <c r="B23" s="47">
        <v>1192</v>
      </c>
      <c r="C23" s="48"/>
      <c r="D23" s="48">
        <v>25</v>
      </c>
      <c r="E23" s="48">
        <v>49</v>
      </c>
      <c r="F23" s="48"/>
      <c r="G23" s="48"/>
      <c r="H23" s="50" t="str">
        <f>IF($B23="","",IF($J23="X",B23,CONCATENATE(VLOOKUP(B23,Competitors!$A$2:$I$650,3,FALSE)," ",VLOOKUP(B23,Competitors!$A$2:$I$650,2,FALSE))))</f>
        <v>Dale Norris</v>
      </c>
      <c r="I23" s="51">
        <f t="shared" si="0"/>
        <v>1.7928240740740741E-2</v>
      </c>
      <c r="J23" t="str">
        <f t="shared" si="1"/>
        <v/>
      </c>
    </row>
    <row r="24" spans="1:10" ht="15">
      <c r="A24" s="46" t="s">
        <v>421</v>
      </c>
      <c r="B24" s="47">
        <v>415</v>
      </c>
      <c r="C24" s="48"/>
      <c r="D24" s="48">
        <v>26</v>
      </c>
      <c r="E24" s="48">
        <v>10</v>
      </c>
      <c r="F24" s="48" t="s">
        <v>544</v>
      </c>
      <c r="G24" s="48"/>
      <c r="H24" s="50" t="str">
        <f>IF($B24="","",IF($J24="X",B24,CONCATENATE(VLOOKUP(B24,Competitors!$A$2:$I$650,3,FALSE)," ",VLOOKUP(B24,Competitors!$A$2:$I$650,2,FALSE))))</f>
        <v>Nik Kershaw</v>
      </c>
      <c r="I24" s="51">
        <f t="shared" si="0"/>
        <v>1.8171296296296297E-2</v>
      </c>
      <c r="J24" t="str">
        <f t="shared" si="1"/>
        <v/>
      </c>
    </row>
    <row r="25" spans="1:10" ht="15">
      <c r="A25" s="46" t="s">
        <v>427</v>
      </c>
      <c r="B25" s="47">
        <v>915</v>
      </c>
      <c r="C25" s="48"/>
      <c r="D25" s="48">
        <v>27</v>
      </c>
      <c r="E25" s="48">
        <v>22</v>
      </c>
      <c r="F25" s="48"/>
      <c r="G25" s="48"/>
      <c r="H25" s="50" t="str">
        <f>IF($B25="","",IF($J25="X",B25,CONCATENATE(VLOOKUP(B25,Competitors!$A$2:$I$650,3,FALSE)," ",VLOOKUP(B25,Competitors!$A$2:$I$650,2,FALSE))))</f>
        <v>Julian Twynham</v>
      </c>
      <c r="I25" s="51">
        <f t="shared" si="0"/>
        <v>1.9004629629629628E-2</v>
      </c>
      <c r="J25" t="str">
        <f t="shared" si="1"/>
        <v/>
      </c>
    </row>
    <row r="26" spans="1:10" ht="15">
      <c r="A26" s="46" t="s">
        <v>502</v>
      </c>
      <c r="B26" s="47" t="s">
        <v>560</v>
      </c>
      <c r="C26" s="48"/>
      <c r="D26" s="48"/>
      <c r="E26" s="48"/>
      <c r="F26" s="48"/>
      <c r="G26" s="48" t="s">
        <v>553</v>
      </c>
      <c r="H26" s="50" t="str">
        <f>IF($B26="","",IF($J26="X",B26,CONCATENATE(VLOOKUP(B26,Competitors!$A$2:$I$650,3,FALSE)," ",VLOOKUP(B26,Competitors!$A$2:$I$650,2,FALSE))))</f>
        <v>Chris Spray (Ratae)</v>
      </c>
      <c r="I26" s="51">
        <f t="shared" si="0"/>
        <v>0</v>
      </c>
      <c r="J26" t="str">
        <f t="shared" si="1"/>
        <v>X</v>
      </c>
    </row>
    <row r="27" spans="1:10" ht="15">
      <c r="A27" s="46" t="s">
        <v>428</v>
      </c>
      <c r="B27" s="47">
        <v>1237</v>
      </c>
      <c r="C27" s="48"/>
      <c r="D27" s="48"/>
      <c r="E27" s="48"/>
      <c r="F27" s="48"/>
      <c r="G27" s="48" t="s">
        <v>553</v>
      </c>
      <c r="H27" s="50" t="str">
        <f>IF($B27="","",IF($J27="X",B27,CONCATENATE(VLOOKUP(B27,Competitors!$A$2:$I$650,3,FALSE)," ",VLOOKUP(B27,Competitors!$A$2:$I$650,2,FALSE))))</f>
        <v>John Abbott</v>
      </c>
      <c r="I27" s="51">
        <f t="shared" si="0"/>
        <v>0</v>
      </c>
      <c r="J27" t="str">
        <f t="shared" si="1"/>
        <v/>
      </c>
    </row>
    <row r="28" spans="1:10" ht="15">
      <c r="A28" s="46" t="s">
        <v>509</v>
      </c>
      <c r="B28" s="47" t="s">
        <v>561</v>
      </c>
      <c r="C28" s="48"/>
      <c r="D28" s="48">
        <v>27</v>
      </c>
      <c r="E28" s="48">
        <v>45</v>
      </c>
      <c r="F28" s="48"/>
      <c r="G28" s="48"/>
      <c r="H28" s="50" t="str">
        <f>IF($B28="","",IF($J28="X",B28,CONCATENATE(VLOOKUP(B28,Competitors!$A$2:$I$650,3,FALSE)," ",VLOOKUP(B28,Competitors!$A$2:$I$650,2,FALSE))))</f>
        <v>Mark Newton (Ratae)</v>
      </c>
      <c r="I28" s="51">
        <f t="shared" si="0"/>
        <v>1.9270833333333334E-2</v>
      </c>
      <c r="J28" t="str">
        <f t="shared" si="1"/>
        <v>X</v>
      </c>
    </row>
    <row r="29" spans="1:10" ht="15">
      <c r="A29" s="46" t="s">
        <v>435</v>
      </c>
      <c r="B29" s="47">
        <v>846</v>
      </c>
      <c r="C29" s="48"/>
      <c r="D29" s="48">
        <v>27</v>
      </c>
      <c r="E29" s="48">
        <v>44</v>
      </c>
      <c r="F29" s="48"/>
      <c r="G29" s="48"/>
      <c r="H29" s="50" t="str">
        <f>IF($B29="","",IF($J29="X",B29,CONCATENATE(VLOOKUP(B29,Competitors!$A$2:$I$650,3,FALSE)," ",VLOOKUP(B29,Competitors!$A$2:$I$650,2,FALSE))))</f>
        <v>Roger Kockelbergh</v>
      </c>
      <c r="I29" s="51">
        <f t="shared" si="0"/>
        <v>1.9259259259259261E-2</v>
      </c>
      <c r="J29" t="str">
        <f t="shared" si="1"/>
        <v/>
      </c>
    </row>
    <row r="30" spans="1:10" ht="15">
      <c r="A30" s="46" t="s">
        <v>408</v>
      </c>
      <c r="B30" s="47">
        <v>1094</v>
      </c>
      <c r="C30" s="48"/>
      <c r="D30" s="48">
        <v>25</v>
      </c>
      <c r="E30" s="48">
        <v>26</v>
      </c>
      <c r="F30" s="48"/>
      <c r="G30" s="48"/>
      <c r="H30" s="50" t="str">
        <f>IF($B30="","",IF($J30="X",B30,CONCATENATE(VLOOKUP(B30,Competitors!$A$2:$I$650,3,FALSE)," ",VLOOKUP(B30,Competitors!$A$2:$I$650,2,FALSE))))</f>
        <v>Andy Poulton</v>
      </c>
      <c r="I30" s="51">
        <f t="shared" si="0"/>
        <v>1.7662037037037039E-2</v>
      </c>
      <c r="J30" t="str">
        <f t="shared" si="1"/>
        <v/>
      </c>
    </row>
    <row r="31" spans="1:10" ht="15">
      <c r="A31" s="46" t="s">
        <v>464</v>
      </c>
      <c r="B31" s="47" t="s">
        <v>562</v>
      </c>
      <c r="C31" s="48"/>
      <c r="D31" s="48">
        <v>22</v>
      </c>
      <c r="E31" s="48">
        <v>49</v>
      </c>
      <c r="F31" s="48" t="s">
        <v>544</v>
      </c>
      <c r="G31" s="48"/>
      <c r="H31" s="50" t="str">
        <f>IF($B31="","",IF($J31="X",B31,CONCATENATE(VLOOKUP(B31,Competitors!$A$2:$I$650,3,FALSE)," ",VLOOKUP(B31,Competitors!$A$2:$I$650,2,FALSE))))</f>
        <v>Carl Dyson (Aerologic)</v>
      </c>
      <c r="I31" s="51">
        <f t="shared" si="0"/>
        <v>1.5844907407407408E-2</v>
      </c>
      <c r="J31" t="str">
        <f t="shared" si="1"/>
        <v>X</v>
      </c>
    </row>
    <row r="32" spans="1:10" ht="15">
      <c r="A32" s="46" t="s">
        <v>496</v>
      </c>
      <c r="B32" s="47">
        <f t="shared" ref="B32:B95" si="2">IF(A32="","",_xlfn.XLOOKUP(A32,ClubNames,ClubNumbers,_xlfn.XLOOKUP(A32,RoundRobinRiderNames,RoundRobinRiderDecoratedNames,A32)))</f>
        <v>1166</v>
      </c>
      <c r="C32" s="48"/>
      <c r="D32" s="48">
        <v>26</v>
      </c>
      <c r="E32" s="48">
        <v>24</v>
      </c>
      <c r="F32" s="48"/>
      <c r="G32" s="48"/>
      <c r="H32" s="50" t="str">
        <f>IF($B32="","",IF($J32="X",B32,CONCATENATE(VLOOKUP(B32,Competitors!$A$2:$I$650,3,FALSE)," ",VLOOKUP(B32,Competitors!$A$2:$I$650,2,FALSE))))</f>
        <v>Ed Tarelli</v>
      </c>
      <c r="I32" s="51">
        <f t="shared" si="0"/>
        <v>1.8333333333333333E-2</v>
      </c>
      <c r="J32" t="str">
        <f t="shared" si="1"/>
        <v/>
      </c>
    </row>
    <row r="33" spans="1:10" ht="15">
      <c r="A33" s="46" t="s">
        <v>433</v>
      </c>
      <c r="B33" s="47">
        <v>1109</v>
      </c>
      <c r="C33" s="48"/>
      <c r="D33" s="48">
        <v>27</v>
      </c>
      <c r="E33" s="48">
        <v>55</v>
      </c>
      <c r="F33" s="48"/>
      <c r="G33" s="48"/>
      <c r="H33" s="50" t="str">
        <f>IF($B33="","",IF($J33="X",B33,CONCATENATE(VLOOKUP(B33,Competitors!$A$2:$I$650,3,FALSE)," ",VLOOKUP(B33,Competitors!$A$2:$I$650,2,FALSE))))</f>
        <v>Stuart Haycox</v>
      </c>
      <c r="I33" s="51">
        <f t="shared" si="0"/>
        <v>1.9386574074074073E-2</v>
      </c>
      <c r="J33" t="str">
        <f t="shared" si="1"/>
        <v/>
      </c>
    </row>
    <row r="34" spans="1:10" ht="15">
      <c r="A34" s="46" t="s">
        <v>452</v>
      </c>
      <c r="B34" s="47">
        <v>1404</v>
      </c>
      <c r="C34" s="48"/>
      <c r="D34" s="48">
        <v>31</v>
      </c>
      <c r="E34" s="48">
        <v>38</v>
      </c>
      <c r="F34" s="48"/>
      <c r="G34" s="48"/>
      <c r="H34" s="50" t="str">
        <f>IF($B34="","",IF($J34="X",B34,CONCATENATE(VLOOKUP(B34,Competitors!$A$2:$I$650,3,FALSE)," ",VLOOKUP(B34,Competitors!$A$2:$I$650,2,FALSE))))</f>
        <v>Millie Lenehan</v>
      </c>
      <c r="I34" s="51">
        <f t="shared" si="0"/>
        <v>2.1967592592592594E-2</v>
      </c>
      <c r="J34" t="str">
        <f t="shared" si="1"/>
        <v/>
      </c>
    </row>
    <row r="35" spans="1:10" ht="15">
      <c r="A35" s="46" t="s">
        <v>500</v>
      </c>
      <c r="B35" s="47" t="s">
        <v>563</v>
      </c>
      <c r="C35" s="48"/>
      <c r="D35" s="48">
        <v>34</v>
      </c>
      <c r="E35" s="48">
        <v>29</v>
      </c>
      <c r="F35" s="48" t="s">
        <v>544</v>
      </c>
      <c r="G35" s="48"/>
      <c r="H35" s="50" t="str">
        <f>IF($B35="","",IF($J35="X",B35,CONCATENATE(VLOOKUP(B35,Competitors!$A$2:$I$650,3,FALSE)," ",VLOOKUP(B35,Competitors!$A$2:$I$650,2,FALSE))))</f>
        <v>Brian Lincoln (Ratae)</v>
      </c>
      <c r="I35" s="51">
        <f t="shared" si="0"/>
        <v>2.3946759259259258E-2</v>
      </c>
      <c r="J35" t="str">
        <f t="shared" si="1"/>
        <v>X</v>
      </c>
    </row>
    <row r="36" spans="1:10" ht="15">
      <c r="A36" s="46" t="s">
        <v>510</v>
      </c>
      <c r="B36" s="47" t="s">
        <v>564</v>
      </c>
      <c r="C36" s="48"/>
      <c r="D36" s="48">
        <v>28</v>
      </c>
      <c r="E36" s="48">
        <v>5</v>
      </c>
      <c r="F36" s="48"/>
      <c r="G36" s="48"/>
      <c r="H36" s="50" t="str">
        <f>IF($B36="","",IF($J36="X",B36,CONCATENATE(VLOOKUP(B36,Competitors!$A$2:$I$650,3,FALSE)," ",VLOOKUP(B36,Competitors!$A$2:$I$650,2,FALSE))))</f>
        <v>Marshall Briggs (Ratae)</v>
      </c>
      <c r="I36" s="51">
        <f t="shared" si="0"/>
        <v>1.9502314814814816E-2</v>
      </c>
      <c r="J36" t="str">
        <f t="shared" si="1"/>
        <v>X</v>
      </c>
    </row>
    <row r="37" spans="1:10" ht="15">
      <c r="A37" s="46"/>
      <c r="B37" s="47" t="str">
        <f t="shared" si="2"/>
        <v/>
      </c>
      <c r="C37" s="48"/>
      <c r="D37" s="48"/>
      <c r="E37" s="48"/>
      <c r="F37" s="48"/>
      <c r="G37" s="48"/>
      <c r="H37" s="50" t="str">
        <f>IF($B37="","",IF($J37="X",B37,CONCATENATE(VLOOKUP(B37,Competitors!$A$2:$I$650,3,FALSE)," ",VLOOKUP(B37,Competitors!$A$2:$I$650,2,FALSE))))</f>
        <v/>
      </c>
      <c r="I37" s="51">
        <f t="shared" si="0"/>
        <v>0</v>
      </c>
      <c r="J37" t="str">
        <f t="shared" si="1"/>
        <v/>
      </c>
    </row>
    <row r="38" spans="1:10" ht="15">
      <c r="A38" s="46"/>
      <c r="B38" s="47" t="str">
        <f t="shared" si="2"/>
        <v/>
      </c>
      <c r="C38" s="48"/>
      <c r="D38" s="48"/>
      <c r="E38" s="48"/>
      <c r="F38" s="48"/>
      <c r="G38" s="48"/>
      <c r="H38" s="50" t="str">
        <f>IF($B38="","",IF($J38="X",B38,CONCATENATE(VLOOKUP(B38,Competitors!$A$2:$I$650,3,FALSE)," ",VLOOKUP(B38,Competitors!$A$2:$I$650,2,FALSE))))</f>
        <v/>
      </c>
      <c r="I38" s="51">
        <f t="shared" si="0"/>
        <v>0</v>
      </c>
      <c r="J38" t="str">
        <f t="shared" si="1"/>
        <v/>
      </c>
    </row>
    <row r="39" spans="1:10" ht="15">
      <c r="A39" s="46"/>
      <c r="B39" s="47" t="str">
        <f t="shared" si="2"/>
        <v/>
      </c>
      <c r="C39" s="48"/>
      <c r="D39" s="48"/>
      <c r="E39" s="48"/>
      <c r="F39" s="48"/>
      <c r="G39" s="48"/>
      <c r="H39" s="50" t="str">
        <f>IF($B39="","",IF($J39="X",B39,CONCATENATE(VLOOKUP(B39,Competitors!$A$2:$I$650,3,FALSE)," ",VLOOKUP(B39,Competitors!$A$2:$I$650,2,FALSE))))</f>
        <v/>
      </c>
      <c r="I39" s="51">
        <f t="shared" si="0"/>
        <v>0</v>
      </c>
      <c r="J39" t="str">
        <f t="shared" si="1"/>
        <v/>
      </c>
    </row>
    <row r="40" spans="1:10" ht="15">
      <c r="A40" s="46"/>
      <c r="B40" s="47" t="str">
        <f t="shared" si="2"/>
        <v/>
      </c>
      <c r="C40" s="48"/>
      <c r="D40" s="48"/>
      <c r="E40" s="48"/>
      <c r="F40" s="48"/>
      <c r="G40" s="48"/>
      <c r="H40" s="50" t="str">
        <f>IF($B40="","",IF($J40="X",B40,CONCATENATE(VLOOKUP(B40,Competitors!$A$2:$I$650,3,FALSE)," ",VLOOKUP(B40,Competitors!$A$2:$I$650,2,FALSE))))</f>
        <v/>
      </c>
      <c r="I40" s="51">
        <f t="shared" si="0"/>
        <v>0</v>
      </c>
      <c r="J40" t="str">
        <f t="shared" si="1"/>
        <v/>
      </c>
    </row>
    <row r="41" spans="1:10" ht="15">
      <c r="A41" s="46"/>
      <c r="B41" s="47" t="str">
        <f t="shared" si="2"/>
        <v/>
      </c>
      <c r="C41" s="48"/>
      <c r="D41" s="48"/>
      <c r="E41" s="48"/>
      <c r="F41" s="48"/>
      <c r="G41" s="48"/>
      <c r="H41" s="50" t="str">
        <f>IF($B41="","",IF($J41="X",B41,CONCATENATE(VLOOKUP(B41,Competitors!$A$2:$I$650,3,FALSE)," ",VLOOKUP(B41,Competitors!$A$2:$I$650,2,FALSE))))</f>
        <v/>
      </c>
      <c r="I41" s="51">
        <f t="shared" si="0"/>
        <v>0</v>
      </c>
      <c r="J41" t="str">
        <f t="shared" si="1"/>
        <v/>
      </c>
    </row>
    <row r="42" spans="1:10" ht="15">
      <c r="A42" s="46"/>
      <c r="B42" s="47" t="str">
        <f t="shared" si="2"/>
        <v/>
      </c>
      <c r="C42" s="48"/>
      <c r="D42" s="48"/>
      <c r="E42" s="48"/>
      <c r="F42" s="48"/>
      <c r="G42" s="48"/>
      <c r="H42" s="50" t="str">
        <f>IF($B42="","",IF($J42="X",B42,CONCATENATE(VLOOKUP(B42,Competitors!$A$2:$I$650,3,FALSE)," ",VLOOKUP(B42,Competitors!$A$2:$I$650,2,FALSE))))</f>
        <v/>
      </c>
      <c r="I42" s="51">
        <f t="shared" si="0"/>
        <v>0</v>
      </c>
      <c r="J42" t="str">
        <f t="shared" si="1"/>
        <v/>
      </c>
    </row>
    <row r="43" spans="1:10" ht="15">
      <c r="A43" s="46"/>
      <c r="B43" s="47" t="str">
        <f t="shared" si="2"/>
        <v/>
      </c>
      <c r="C43" s="48"/>
      <c r="D43" s="48"/>
      <c r="E43" s="48"/>
      <c r="F43" s="48"/>
      <c r="G43" s="48"/>
      <c r="H43" s="50" t="str">
        <f>IF($B43="","",IF($J43="X",B43,CONCATENATE(VLOOKUP(B43,Competitors!$A$2:$I$650,3,FALSE)," ",VLOOKUP(B43,Competitors!$A$2:$I$650,2,FALSE))))</f>
        <v/>
      </c>
      <c r="I43" s="51">
        <f t="shared" si="0"/>
        <v>0</v>
      </c>
      <c r="J43" t="str">
        <f t="shared" si="1"/>
        <v/>
      </c>
    </row>
    <row r="44" spans="1:10" ht="15">
      <c r="A44" s="46"/>
      <c r="B44" s="47" t="str">
        <f t="shared" si="2"/>
        <v/>
      </c>
      <c r="C44" s="48"/>
      <c r="D44" s="48"/>
      <c r="E44" s="48"/>
      <c r="F44" s="48"/>
      <c r="G44" s="48"/>
      <c r="H44" s="50" t="str">
        <f>IF($B44="","",IF($J44="X",B44,CONCATENATE(VLOOKUP(B44,Competitors!$A$2:$I$650,3,FALSE)," ",VLOOKUP(B44,Competitors!$A$2:$I$650,2,FALSE))))</f>
        <v/>
      </c>
      <c r="I44" s="51">
        <f t="shared" si="0"/>
        <v>0</v>
      </c>
      <c r="J44" t="str">
        <f t="shared" si="1"/>
        <v/>
      </c>
    </row>
    <row r="45" spans="1:10" ht="15">
      <c r="A45" s="46"/>
      <c r="B45" s="47" t="str">
        <f t="shared" si="2"/>
        <v/>
      </c>
      <c r="C45" s="48"/>
      <c r="D45" s="48"/>
      <c r="E45" s="48"/>
      <c r="F45" s="48"/>
      <c r="G45" s="48"/>
      <c r="H45" s="50" t="str">
        <f>IF($B45="","",IF($J45="X",B45,CONCATENATE(VLOOKUP(B45,Competitors!$A$2:$I$650,3,FALSE)," ",VLOOKUP(B45,Competitors!$A$2:$I$650,2,FALSE))))</f>
        <v/>
      </c>
      <c r="I45" s="51">
        <f t="shared" si="0"/>
        <v>0</v>
      </c>
      <c r="J45" t="str">
        <f t="shared" si="1"/>
        <v/>
      </c>
    </row>
    <row r="46" spans="1:10" ht="15">
      <c r="A46" s="46"/>
      <c r="B46" s="47" t="str">
        <f t="shared" si="2"/>
        <v/>
      </c>
      <c r="C46" s="48"/>
      <c r="D46" s="48"/>
      <c r="E46" s="48"/>
      <c r="F46" s="48"/>
      <c r="G46" s="48"/>
      <c r="H46" s="50" t="str">
        <f>IF($B46="","",IF($J46="X",B46,CONCATENATE(VLOOKUP(B46,Competitors!$A$2:$I$650,3,FALSE)," ",VLOOKUP(B46,Competitors!$A$2:$I$650,2,FALSE))))</f>
        <v/>
      </c>
      <c r="I46" s="51">
        <f t="shared" si="0"/>
        <v>0</v>
      </c>
      <c r="J46" t="str">
        <f t="shared" si="1"/>
        <v/>
      </c>
    </row>
    <row r="47" spans="1:10" ht="15">
      <c r="A47" s="46"/>
      <c r="B47" s="47" t="str">
        <f t="shared" si="2"/>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47" t="str">
        <f t="shared" si="2"/>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47" t="str">
        <f t="shared" si="2"/>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47" t="str">
        <f t="shared" si="2"/>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47" t="str">
        <f t="shared" si="2"/>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47" t="str">
        <f t="shared" si="2"/>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47" t="str">
        <f t="shared" si="2"/>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47" t="str">
        <f t="shared" si="2"/>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47" t="str">
        <f t="shared" si="2"/>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2"/>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2"/>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2"/>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2"/>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2"/>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2"/>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2"/>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2"/>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2"/>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2"/>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2"/>
        <v/>
      </c>
      <c r="C66" s="48"/>
      <c r="D66" s="48"/>
      <c r="E66" s="48"/>
      <c r="F66" s="48"/>
      <c r="G66" s="48"/>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47" t="str">
        <f t="shared" si="2"/>
        <v/>
      </c>
      <c r="C67" s="48"/>
      <c r="D67" s="48"/>
      <c r="E67" s="48"/>
      <c r="F67" s="48"/>
      <c r="G67" s="48"/>
      <c r="H67" s="50" t="str">
        <f>IF($B67="","",IF($J67="X",B67,CONCATENATE(VLOOKUP(B67,Competitors!$A$2:$I$650,3,FALSE)," ",VLOOKUP(B67,Competitors!$A$2:$I$650,2,FALSE))))</f>
        <v/>
      </c>
      <c r="I67" s="51">
        <f t="shared" si="3"/>
        <v>0</v>
      </c>
      <c r="J67" t="str">
        <f t="shared" si="4"/>
        <v/>
      </c>
    </row>
    <row r="68" spans="1:10" ht="15">
      <c r="A68" s="46"/>
      <c r="B68" s="47" t="str">
        <f t="shared" si="2"/>
        <v/>
      </c>
      <c r="C68" s="48"/>
      <c r="D68" s="48"/>
      <c r="E68" s="48"/>
      <c r="F68" s="48"/>
      <c r="G68" s="48"/>
      <c r="H68" s="50" t="str">
        <f>IF($B68="","",IF($J68="X",B68,CONCATENATE(VLOOKUP(B68,Competitors!$A$2:$I$650,3,FALSE)," ",VLOOKUP(B68,Competitors!$A$2:$I$650,2,FALSE))))</f>
        <v/>
      </c>
      <c r="I68" s="51">
        <f t="shared" si="3"/>
        <v>0</v>
      </c>
      <c r="J68" t="str">
        <f t="shared" si="4"/>
        <v/>
      </c>
    </row>
    <row r="69" spans="1:10" ht="15">
      <c r="A69" s="46"/>
      <c r="B69" s="47" t="str">
        <f t="shared" si="2"/>
        <v/>
      </c>
      <c r="C69" s="48"/>
      <c r="D69" s="48"/>
      <c r="E69" s="48"/>
      <c r="F69" s="48"/>
      <c r="G69" s="48"/>
      <c r="H69" s="50" t="str">
        <f>IF($B69="","",IF($J69="X",B69,CONCATENATE(VLOOKUP(B69,Competitors!$A$2:$I$650,3,FALSE)," ",VLOOKUP(B69,Competitors!$A$2:$I$650,2,FALSE))))</f>
        <v/>
      </c>
      <c r="I69" s="51">
        <f t="shared" si="3"/>
        <v>0</v>
      </c>
      <c r="J69" t="str">
        <f t="shared" si="4"/>
        <v/>
      </c>
    </row>
    <row r="70" spans="1:10" ht="15">
      <c r="A70" s="46"/>
      <c r="B70" s="47" t="str">
        <f t="shared" si="2"/>
        <v/>
      </c>
      <c r="C70" s="48"/>
      <c r="D70" s="48"/>
      <c r="E70" s="48"/>
      <c r="F70" s="48"/>
      <c r="G70" s="48"/>
      <c r="H70" s="50" t="str">
        <f>IF($B70="","",IF($J70="X",B70,CONCATENATE(VLOOKUP(B70,Competitors!$A$2:$I$650,3,FALSE)," ",VLOOKUP(B70,Competitors!$A$2:$I$650,2,FALSE))))</f>
        <v/>
      </c>
      <c r="I70" s="51">
        <f t="shared" si="3"/>
        <v>0</v>
      </c>
      <c r="J70" t="str">
        <f t="shared" si="4"/>
        <v/>
      </c>
    </row>
    <row r="71" spans="1:10" ht="15">
      <c r="A71" s="46"/>
      <c r="B71" s="47" t="str">
        <f t="shared" si="2"/>
        <v/>
      </c>
      <c r="C71" s="48"/>
      <c r="D71" s="48"/>
      <c r="E71" s="48"/>
      <c r="F71" s="48"/>
      <c r="G71" s="48"/>
      <c r="H71" s="50" t="str">
        <f>IF($B71="","",IF($J71="X",B71,CONCATENATE(VLOOKUP(B71,Competitors!$A$2:$I$650,3,FALSE)," ",VLOOKUP(B71,Competitors!$A$2:$I$650,2,FALSE))))</f>
        <v/>
      </c>
      <c r="I71" s="51">
        <f t="shared" si="3"/>
        <v>0</v>
      </c>
      <c r="J71" t="str">
        <f t="shared" si="4"/>
        <v/>
      </c>
    </row>
    <row r="72" spans="1:10" ht="15">
      <c r="A72" s="46"/>
      <c r="B72" s="47" t="str">
        <f t="shared" si="2"/>
        <v/>
      </c>
      <c r="C72" s="48"/>
      <c r="D72" s="48"/>
      <c r="E72" s="48"/>
      <c r="F72" s="48"/>
      <c r="G72" s="48"/>
      <c r="H72" s="50" t="str">
        <f>IF($B72="","",IF($J72="X",B72,CONCATENATE(VLOOKUP(B72,Competitors!$A$2:$I$650,3,FALSE)," ",VLOOKUP(B72,Competitors!$A$2:$I$650,2,FALSE))))</f>
        <v/>
      </c>
      <c r="I72" s="51">
        <f t="shared" si="3"/>
        <v>0</v>
      </c>
      <c r="J72" t="str">
        <f t="shared" si="4"/>
        <v/>
      </c>
    </row>
    <row r="73" spans="1:10" ht="15">
      <c r="A73" s="46"/>
      <c r="B73" s="47" t="str">
        <f t="shared" si="2"/>
        <v/>
      </c>
      <c r="C73" s="48"/>
      <c r="D73" s="48"/>
      <c r="E73" s="48"/>
      <c r="F73" s="48"/>
      <c r="G73" s="48"/>
      <c r="H73" s="50" t="str">
        <f>IF($B73="","",IF($J73="X",B73,CONCATENATE(VLOOKUP(B73,Competitors!$A$2:$I$650,3,FALSE)," ",VLOOKUP(B73,Competitors!$A$2:$I$650,2,FALSE))))</f>
        <v/>
      </c>
      <c r="I73" s="51">
        <f t="shared" si="3"/>
        <v>0</v>
      </c>
      <c r="J73" t="str">
        <f t="shared" si="4"/>
        <v/>
      </c>
    </row>
    <row r="74" spans="1:10" ht="15">
      <c r="A74" s="46"/>
      <c r="B74" s="47" t="str">
        <f t="shared" si="2"/>
        <v/>
      </c>
      <c r="C74" s="48"/>
      <c r="D74" s="48"/>
      <c r="E74" s="48"/>
      <c r="F74" s="48"/>
      <c r="G74" s="48"/>
      <c r="H74" s="50" t="str">
        <f>IF($B74="","",IF($J74="X",B74,CONCATENATE(VLOOKUP(B74,Competitors!$A$2:$I$650,3,FALSE)," ",VLOOKUP(B74,Competitors!$A$2:$I$650,2,FALSE))))</f>
        <v/>
      </c>
      <c r="I74" s="51">
        <f t="shared" si="3"/>
        <v>0</v>
      </c>
      <c r="J74" t="str">
        <f t="shared" si="4"/>
        <v/>
      </c>
    </row>
    <row r="75" spans="1:10" ht="15">
      <c r="A75" s="46"/>
      <c r="B75" s="47" t="str">
        <f t="shared" si="2"/>
        <v/>
      </c>
      <c r="C75" s="48"/>
      <c r="D75" s="48"/>
      <c r="E75" s="48"/>
      <c r="F75" s="48"/>
      <c r="G75" s="48"/>
      <c r="H75" s="50" t="str">
        <f>IF($B75="","",IF($J75="X",B75,CONCATENATE(VLOOKUP(B75,Competitors!$A$2:$I$650,3,FALSE)," ",VLOOKUP(B75,Competitors!$A$2:$I$650,2,FALSE))))</f>
        <v/>
      </c>
      <c r="I75" s="51">
        <f t="shared" si="3"/>
        <v>0</v>
      </c>
      <c r="J75" t="str">
        <f t="shared" si="4"/>
        <v/>
      </c>
    </row>
    <row r="76" spans="1:10" ht="15">
      <c r="A76" s="46"/>
      <c r="B76" s="47" t="str">
        <f t="shared" si="2"/>
        <v/>
      </c>
      <c r="C76" s="48"/>
      <c r="D76" s="48"/>
      <c r="E76" s="48"/>
      <c r="F76" s="48"/>
      <c r="G76" s="48"/>
      <c r="H76" s="50" t="str">
        <f>IF($B76="","",IF($J76="X",B76,CONCATENATE(VLOOKUP(B76,Competitors!$A$2:$I$650,3,FALSE)," ",VLOOKUP(B76,Competitors!$A$2:$I$650,2,FALSE))))</f>
        <v/>
      </c>
      <c r="I76" s="51">
        <f t="shared" si="3"/>
        <v>0</v>
      </c>
      <c r="J76" t="str">
        <f t="shared" si="4"/>
        <v/>
      </c>
    </row>
    <row r="77" spans="1:10" ht="15">
      <c r="A77" s="46"/>
      <c r="B77" s="47" t="str">
        <f t="shared" si="2"/>
        <v/>
      </c>
      <c r="C77" s="48"/>
      <c r="D77" s="48"/>
      <c r="E77" s="48"/>
      <c r="F77" s="48"/>
      <c r="G77" s="48"/>
      <c r="H77" s="50" t="str">
        <f>IF($B77="","",IF($J77="X",B77,CONCATENATE(VLOOKUP(B77,Competitors!$A$2:$I$650,3,FALSE)," ",VLOOKUP(B77,Competitors!$A$2:$I$650,2,FALSE))))</f>
        <v/>
      </c>
      <c r="I77" s="51">
        <f t="shared" si="3"/>
        <v>0</v>
      </c>
      <c r="J77" t="str">
        <f t="shared" si="4"/>
        <v/>
      </c>
    </row>
    <row r="78" spans="1:10" ht="15">
      <c r="A78" s="46"/>
      <c r="B78" s="47" t="str">
        <f t="shared" si="2"/>
        <v/>
      </c>
      <c r="C78" s="48"/>
      <c r="D78" s="48"/>
      <c r="E78" s="48"/>
      <c r="F78" s="48"/>
      <c r="G78" s="48"/>
      <c r="H78" s="50" t="str">
        <f>IF($B78="","",IF($J78="X",B78,CONCATENATE(VLOOKUP(B78,Competitors!$A$2:$I$650,3,FALSE)," ",VLOOKUP(B78,Competitors!$A$2:$I$650,2,FALSE))))</f>
        <v/>
      </c>
      <c r="I78" s="51">
        <f t="shared" si="3"/>
        <v>0</v>
      </c>
      <c r="J78" t="str">
        <f t="shared" si="4"/>
        <v/>
      </c>
    </row>
    <row r="79" spans="1:10" ht="15">
      <c r="A79" s="46"/>
      <c r="B79" s="47" t="str">
        <f t="shared" si="2"/>
        <v/>
      </c>
      <c r="C79" s="48"/>
      <c r="D79" s="48"/>
      <c r="E79" s="48"/>
      <c r="F79" s="48"/>
      <c r="G79" s="48"/>
      <c r="H79" s="50" t="str">
        <f>IF($B79="","",IF($J79="X",B79,CONCATENATE(VLOOKUP(B79,Competitors!$A$2:$I$650,3,FALSE)," ",VLOOKUP(B79,Competitors!$A$2:$I$650,2,FALSE))))</f>
        <v/>
      </c>
      <c r="I79" s="51">
        <f t="shared" si="3"/>
        <v>0</v>
      </c>
      <c r="J79" t="str">
        <f t="shared" si="4"/>
        <v/>
      </c>
    </row>
    <row r="80" spans="1:10" ht="15">
      <c r="A80" s="46"/>
      <c r="B80" s="47" t="str">
        <f t="shared" si="2"/>
        <v/>
      </c>
      <c r="C80" s="48"/>
      <c r="D80" s="48"/>
      <c r="E80" s="48"/>
      <c r="F80" s="48"/>
      <c r="G80" s="48"/>
      <c r="H80" s="50" t="str">
        <f>IF($B80="","",IF($J80="X",B80,CONCATENATE(VLOOKUP(B80,Competitors!$A$2:$I$650,3,FALSE)," ",VLOOKUP(B80,Competitors!$A$2:$I$650,2,FALSE))))</f>
        <v/>
      </c>
      <c r="I80" s="51">
        <f t="shared" si="3"/>
        <v>0</v>
      </c>
      <c r="J80" t="str">
        <f t="shared" si="4"/>
        <v/>
      </c>
    </row>
    <row r="81" spans="1:10" ht="15">
      <c r="A81" s="46"/>
      <c r="B81" s="47" t="str">
        <f t="shared" si="2"/>
        <v/>
      </c>
      <c r="C81" s="48"/>
      <c r="D81" s="48"/>
      <c r="E81" s="48"/>
      <c r="F81" s="48"/>
      <c r="G81" s="48"/>
      <c r="H81" s="50" t="str">
        <f>IF($B81="","",IF($J81="X",B81,CONCATENATE(VLOOKUP(B81,Competitors!$A$2:$I$650,3,FALSE)," ",VLOOKUP(B81,Competitors!$A$2:$I$650,2,FALSE))))</f>
        <v/>
      </c>
      <c r="I81" s="51">
        <f t="shared" si="3"/>
        <v>0</v>
      </c>
      <c r="J81" t="str">
        <f t="shared" si="4"/>
        <v/>
      </c>
    </row>
    <row r="82" spans="1:10" ht="15">
      <c r="A82" s="46"/>
      <c r="B82" s="47" t="str">
        <f t="shared" si="2"/>
        <v/>
      </c>
      <c r="C82" s="48"/>
      <c r="D82" s="48"/>
      <c r="E82" s="48"/>
      <c r="F82" s="48"/>
      <c r="G82" s="48"/>
      <c r="H82" s="50" t="str">
        <f>IF($B82="","",IF($J82="X",B82,CONCATENATE(VLOOKUP(B82,Competitors!$A$2:$I$650,3,FALSE)," ",VLOOKUP(B82,Competitors!$A$2:$I$650,2,FALSE))))</f>
        <v/>
      </c>
      <c r="I82" s="51">
        <f t="shared" si="3"/>
        <v>0</v>
      </c>
      <c r="J82" t="str">
        <f t="shared" si="4"/>
        <v/>
      </c>
    </row>
    <row r="83" spans="1:10" ht="15">
      <c r="A83" s="46"/>
      <c r="B83" s="47" t="str">
        <f t="shared" si="2"/>
        <v/>
      </c>
      <c r="C83" s="48"/>
      <c r="D83" s="48"/>
      <c r="E83" s="48"/>
      <c r="F83" s="48"/>
      <c r="G83" s="48"/>
      <c r="H83" s="50" t="str">
        <f>IF($B83="","",IF($J83="X",B83,CONCATENATE(VLOOKUP(B83,Competitors!$A$2:$I$650,3,FALSE)," ",VLOOKUP(B83,Competitors!$A$2:$I$650,2,FALSE))))</f>
        <v/>
      </c>
      <c r="I83" s="51">
        <f t="shared" si="3"/>
        <v>0</v>
      </c>
      <c r="J83" t="str">
        <f t="shared" si="4"/>
        <v/>
      </c>
    </row>
    <row r="84" spans="1:10" ht="15">
      <c r="A84" s="46"/>
      <c r="B84" s="47" t="str">
        <f t="shared" si="2"/>
        <v/>
      </c>
      <c r="C84" s="48"/>
      <c r="D84" s="48"/>
      <c r="E84" s="48"/>
      <c r="F84" s="48"/>
      <c r="G84" s="48"/>
      <c r="H84" s="50" t="str">
        <f>IF($B84="","",IF($J84="X",B84,CONCATENATE(VLOOKUP(B84,Competitors!$A$2:$I$650,3,FALSE)," ",VLOOKUP(B84,Competitors!$A$2:$I$650,2,FALSE))))</f>
        <v/>
      </c>
      <c r="I84" s="51">
        <f t="shared" si="3"/>
        <v>0</v>
      </c>
      <c r="J84" t="str">
        <f t="shared" si="4"/>
        <v/>
      </c>
    </row>
    <row r="85" spans="1:10" ht="15">
      <c r="A85" s="46"/>
      <c r="B85" s="47" t="str">
        <f t="shared" si="2"/>
        <v/>
      </c>
      <c r="C85" s="48"/>
      <c r="D85" s="48"/>
      <c r="E85" s="48"/>
      <c r="F85" s="48"/>
      <c r="G85" s="48"/>
      <c r="H85" s="50" t="str">
        <f>IF($B85="","",IF($J85="X",B85,CONCATENATE(VLOOKUP(B85,Competitors!$A$2:$I$650,3,FALSE)," ",VLOOKUP(B85,Competitors!$A$2:$I$650,2,FALSE))))</f>
        <v/>
      </c>
      <c r="I85" s="51">
        <f t="shared" si="3"/>
        <v>0</v>
      </c>
      <c r="J85" t="str">
        <f t="shared" si="4"/>
        <v/>
      </c>
    </row>
    <row r="86" spans="1:10" ht="15">
      <c r="A86" s="46"/>
      <c r="B86" s="47" t="str">
        <f t="shared" si="2"/>
        <v/>
      </c>
      <c r="C86" s="48"/>
      <c r="D86" s="48"/>
      <c r="E86" s="48"/>
      <c r="F86" s="48"/>
      <c r="G86" s="48"/>
      <c r="H86" s="50" t="str">
        <f>IF($B86="","",IF($J86="X",B86,CONCATENATE(VLOOKUP(B86,Competitors!$A$2:$I$650,3,FALSE)," ",VLOOKUP(B86,Competitors!$A$2:$I$650,2,FALSE))))</f>
        <v/>
      </c>
      <c r="I86" s="51">
        <f t="shared" si="3"/>
        <v>0</v>
      </c>
      <c r="J86" t="str">
        <f t="shared" si="4"/>
        <v/>
      </c>
    </row>
    <row r="87" spans="1:10" ht="15">
      <c r="A87" s="46"/>
      <c r="B87" s="47" t="str">
        <f t="shared" si="2"/>
        <v/>
      </c>
      <c r="C87" s="48"/>
      <c r="D87" s="48"/>
      <c r="E87" s="48"/>
      <c r="F87" s="48"/>
      <c r="G87" s="48"/>
      <c r="H87" s="50" t="str">
        <f>IF($B87="","",IF($J87="X",B87,CONCATENATE(VLOOKUP(B87,Competitors!$A$2:$I$650,3,FALSE)," ",VLOOKUP(B87,Competitors!$A$2:$I$650,2,FALSE))))</f>
        <v/>
      </c>
      <c r="I87" s="51">
        <f t="shared" si="3"/>
        <v>0</v>
      </c>
      <c r="J87" t="str">
        <f t="shared" si="4"/>
        <v/>
      </c>
    </row>
    <row r="88" spans="1:10" ht="15">
      <c r="A88" s="46"/>
      <c r="B88" s="47" t="str">
        <f t="shared" si="2"/>
        <v/>
      </c>
      <c r="C88" s="48"/>
      <c r="D88" s="48"/>
      <c r="E88" s="48"/>
      <c r="F88" s="48"/>
      <c r="G88" s="48"/>
      <c r="H88" s="50" t="str">
        <f>IF($B88="","",IF($J88="X",B88,CONCATENATE(VLOOKUP(B88,Competitors!$A$2:$I$650,3,FALSE)," ",VLOOKUP(B88,Competitors!$A$2:$I$650,2,FALSE))))</f>
        <v/>
      </c>
      <c r="I88" s="51">
        <f t="shared" si="3"/>
        <v>0</v>
      </c>
      <c r="J88" t="str">
        <f t="shared" si="4"/>
        <v/>
      </c>
    </row>
    <row r="89" spans="1:10" ht="15">
      <c r="A89" s="46"/>
      <c r="B89" s="47" t="str">
        <f t="shared" si="2"/>
        <v/>
      </c>
      <c r="C89" s="48"/>
      <c r="D89" s="48"/>
      <c r="E89" s="48"/>
      <c r="F89" s="48"/>
      <c r="G89" s="48"/>
      <c r="H89" s="50" t="str">
        <f>IF($B89="","",IF($J89="X",B89,CONCATENATE(VLOOKUP(B89,Competitors!$A$2:$I$650,3,FALSE)," ",VLOOKUP(B89,Competitors!$A$2:$I$650,2,FALSE))))</f>
        <v/>
      </c>
      <c r="I89" s="51">
        <f t="shared" si="3"/>
        <v>0</v>
      </c>
      <c r="J89" t="str">
        <f t="shared" si="4"/>
        <v/>
      </c>
    </row>
    <row r="90" spans="1:10" ht="15">
      <c r="A90" s="46"/>
      <c r="B90" s="47" t="str">
        <f t="shared" si="2"/>
        <v/>
      </c>
      <c r="C90" s="48"/>
      <c r="D90" s="48"/>
      <c r="E90" s="48"/>
      <c r="F90" s="48"/>
      <c r="G90" s="48"/>
      <c r="H90" s="50" t="str">
        <f>IF($B90="","",IF($J90="X",B90,CONCATENATE(VLOOKUP(B90,Competitors!$A$2:$I$650,3,FALSE)," ",VLOOKUP(B90,Competitors!$A$2:$I$650,2,FALSE))))</f>
        <v/>
      </c>
      <c r="I90" s="51">
        <f t="shared" si="3"/>
        <v>0</v>
      </c>
      <c r="J90" t="str">
        <f t="shared" si="4"/>
        <v/>
      </c>
    </row>
    <row r="91" spans="1:10" ht="15">
      <c r="A91" s="46"/>
      <c r="B91" s="47" t="str">
        <f t="shared" si="2"/>
        <v/>
      </c>
      <c r="C91" s="48"/>
      <c r="D91" s="48"/>
      <c r="E91" s="48"/>
      <c r="F91" s="48"/>
      <c r="G91" s="48"/>
      <c r="H91" s="50" t="str">
        <f>IF($B91="","",IF($J91="X",B91,CONCATENATE(VLOOKUP(B91,Competitors!$A$2:$I$650,3,FALSE)," ",VLOOKUP(B91,Competitors!$A$2:$I$650,2,FALSE))))</f>
        <v/>
      </c>
      <c r="I91" s="51">
        <f t="shared" si="3"/>
        <v>0</v>
      </c>
      <c r="J91" t="str">
        <f t="shared" si="4"/>
        <v/>
      </c>
    </row>
    <row r="92" spans="1:10" ht="15">
      <c r="A92" s="46"/>
      <c r="B92" s="47" t="str">
        <f t="shared" si="2"/>
        <v/>
      </c>
      <c r="C92" s="48"/>
      <c r="D92" s="48"/>
      <c r="E92" s="48"/>
      <c r="F92" s="48"/>
      <c r="G92" s="48"/>
      <c r="H92" s="50" t="str">
        <f>IF($B92="","",IF($J92="X",B92,CONCATENATE(VLOOKUP(B92,Competitors!$A$2:$I$650,3,FALSE)," ",VLOOKUP(B92,Competitors!$A$2:$I$650,2,FALSE))))</f>
        <v/>
      </c>
      <c r="I92" s="51">
        <f t="shared" si="3"/>
        <v>0</v>
      </c>
      <c r="J92" t="str">
        <f t="shared" si="4"/>
        <v/>
      </c>
    </row>
    <row r="93" spans="1:10" ht="15">
      <c r="A93" s="46"/>
      <c r="B93" s="47" t="str">
        <f t="shared" si="2"/>
        <v/>
      </c>
      <c r="C93" s="48"/>
      <c r="D93" s="48"/>
      <c r="E93" s="48"/>
      <c r="F93" s="48"/>
      <c r="G93" s="48"/>
      <c r="H93" s="50" t="str">
        <f>IF($B93="","",IF($J93="X",B93,CONCATENATE(VLOOKUP(B93,Competitors!$A$2:$I$650,3,FALSE)," ",VLOOKUP(B93,Competitors!$A$2:$I$650,2,FALSE))))</f>
        <v/>
      </c>
      <c r="I93" s="51">
        <f t="shared" si="3"/>
        <v>0</v>
      </c>
      <c r="J93" t="str">
        <f t="shared" si="4"/>
        <v/>
      </c>
    </row>
    <row r="94" spans="1:10" ht="15">
      <c r="A94" s="46"/>
      <c r="B94" s="47" t="str">
        <f t="shared" si="2"/>
        <v/>
      </c>
      <c r="C94" s="48"/>
      <c r="D94" s="48"/>
      <c r="E94" s="48"/>
      <c r="F94" s="48"/>
      <c r="G94" s="48"/>
      <c r="H94" s="50" t="str">
        <f>IF($B94="","",IF($J94="X",B94,CONCATENATE(VLOOKUP(B94,Competitors!$A$2:$I$650,3,FALSE)," ",VLOOKUP(B94,Competitors!$A$2:$I$650,2,FALSE))))</f>
        <v/>
      </c>
      <c r="I94" s="51">
        <f t="shared" si="3"/>
        <v>0</v>
      </c>
      <c r="J94" t="str">
        <f t="shared" si="4"/>
        <v/>
      </c>
    </row>
    <row r="95" spans="1:10" ht="15">
      <c r="A95" s="46"/>
      <c r="B95" s="47" t="str">
        <f t="shared" si="2"/>
        <v/>
      </c>
      <c r="C95" s="48"/>
      <c r="D95" s="48"/>
      <c r="E95" s="48"/>
      <c r="F95" s="48"/>
      <c r="G95" s="48"/>
      <c r="H95" s="50" t="str">
        <f>IF($B95="","",IF($J95="X",B95,CONCATENATE(VLOOKUP(B95,Competitors!$A$2:$I$650,3,FALSE)," ",VLOOKUP(B95,Competitors!$A$2:$I$650,2,FALSE))))</f>
        <v/>
      </c>
      <c r="I95" s="51">
        <f t="shared" si="3"/>
        <v>0</v>
      </c>
      <c r="J95" t="str">
        <f t="shared" si="4"/>
        <v/>
      </c>
    </row>
    <row r="96" spans="1:10" ht="15">
      <c r="A96" s="46"/>
      <c r="B96" s="47" t="str">
        <f t="shared" ref="B96:B101" si="5">IF(A96="","",_xlfn.XLOOKUP(A96,ClubNames,ClubNumbers,_xlfn.XLOOKUP(A96,RoundRobinRiderNames,RoundRobinRiderDecoratedNames,A96)))</f>
        <v/>
      </c>
      <c r="C96" s="48"/>
      <c r="D96" s="48"/>
      <c r="E96" s="48"/>
      <c r="F96" s="48"/>
      <c r="G96" s="48"/>
      <c r="H96" s="50" t="str">
        <f>IF($B96="","",IF($J96="X",B96,CONCATENATE(VLOOKUP(B96,Competitors!$A$2:$I$650,3,FALSE)," ",VLOOKUP(B96,Competitors!$A$2:$I$650,2,FALSE))))</f>
        <v/>
      </c>
      <c r="I96" s="51">
        <f t="shared" si="3"/>
        <v>0</v>
      </c>
      <c r="J96" t="str">
        <f t="shared" si="4"/>
        <v/>
      </c>
    </row>
    <row r="97" spans="1:10" ht="15">
      <c r="A97" s="46"/>
      <c r="B97" s="47" t="str">
        <f t="shared" si="5"/>
        <v/>
      </c>
      <c r="C97" s="48"/>
      <c r="D97" s="48"/>
      <c r="E97" s="48"/>
      <c r="F97" s="48"/>
      <c r="G97" s="48"/>
      <c r="H97" s="50" t="str">
        <f>IF($B97="","",IF($J97="X",B97,CONCATENATE(VLOOKUP(B97,Competitors!$A$2:$I$650,3,FALSE)," ",VLOOKUP(B97,Competitors!$A$2:$I$650,2,FALSE))))</f>
        <v/>
      </c>
      <c r="I97" s="51">
        <f t="shared" si="3"/>
        <v>0</v>
      </c>
      <c r="J97" t="str">
        <f t="shared" si="4"/>
        <v/>
      </c>
    </row>
    <row r="98" spans="1:10" ht="15">
      <c r="A98" s="46"/>
      <c r="B98" s="47" t="str">
        <f t="shared" si="5"/>
        <v/>
      </c>
      <c r="C98" s="48"/>
      <c r="D98" s="48"/>
      <c r="E98" s="48"/>
      <c r="F98" s="48"/>
      <c r="G98" s="48"/>
      <c r="H98" s="50" t="str">
        <f>IF($B98="","",IF($J98="X",B98,CONCATENATE(VLOOKUP(B98,Competitors!$A$2:$I$650,3,FALSE)," ",VLOOKUP(B98,Competitors!$A$2:$I$650,2,FALSE))))</f>
        <v/>
      </c>
      <c r="I98" s="51">
        <f t="shared" si="3"/>
        <v>0</v>
      </c>
      <c r="J98" t="str">
        <f t="shared" si="4"/>
        <v/>
      </c>
    </row>
    <row r="99" spans="1:10" ht="15">
      <c r="A99" s="46"/>
      <c r="B99" s="47" t="str">
        <f t="shared" si="5"/>
        <v/>
      </c>
      <c r="C99" s="48"/>
      <c r="D99" s="48"/>
      <c r="E99" s="48"/>
      <c r="F99" s="48"/>
      <c r="G99" s="48"/>
      <c r="H99" s="50" t="str">
        <f>IF($B99="","",IF($J99="X",B99,CONCATENATE(VLOOKUP(B99,Competitors!$A$2:$I$650,3,FALSE)," ",VLOOKUP(B99,Competitors!$A$2:$I$650,2,FALSE))))</f>
        <v/>
      </c>
      <c r="I99" s="51">
        <f t="shared" si="3"/>
        <v>0</v>
      </c>
      <c r="J99" t="str">
        <f t="shared" si="4"/>
        <v/>
      </c>
    </row>
    <row r="100" spans="1:10" ht="15">
      <c r="A100" s="46"/>
      <c r="B100" s="47" t="str">
        <f t="shared" si="5"/>
        <v/>
      </c>
      <c r="C100" s="48"/>
      <c r="D100" s="48"/>
      <c r="E100" s="48"/>
      <c r="F100" s="48"/>
      <c r="G100" s="48"/>
      <c r="H100" s="50" t="str">
        <f>IF($B100="","",IF($J100="X",B100,CONCATENATE(VLOOKUP(B100,Competitors!$A$2:$I$650,3, FALSE)," ",VLOOKUP(B100,Competitors!$A$2:$I$650,2,FALSE))))</f>
        <v/>
      </c>
      <c r="I100" s="51">
        <f t="shared" si="3"/>
        <v>0</v>
      </c>
      <c r="J100" t="str">
        <f t="shared" si="4"/>
        <v/>
      </c>
    </row>
    <row r="101" spans="1:10" ht="15">
      <c r="A101" s="46"/>
      <c r="B101" s="47" t="str">
        <f t="shared" si="5"/>
        <v/>
      </c>
      <c r="C101" s="48"/>
      <c r="D101" s="48"/>
      <c r="E101" s="48"/>
      <c r="F101" s="48"/>
      <c r="G101" s="48"/>
      <c r="H101" s="50" t="str">
        <f>IF($B101="","",IF($J101="X",B101,CONCATENATE(VLOOKUP(B101,Competitors!$A$2:$I$650,3,FALSE)," ",VLOOKUP(B101,Competitors!$A$2:$I$650,2,FALSE))))</f>
        <v/>
      </c>
      <c r="I101" s="51">
        <f t="shared" si="3"/>
        <v>0</v>
      </c>
      <c r="J101" t="str">
        <f t="shared" si="4"/>
        <v/>
      </c>
    </row>
    <row r="102" spans="1:10" s="52" customFormat="1">
      <c r="I102" s="53"/>
    </row>
    <row r="103" spans="1:10">
      <c r="B103" t="s">
        <v>551</v>
      </c>
      <c r="C103" t="str" cm="1">
        <f t="array" aca="1" ref="C103" ca="1">MID(CELL("filename",B1),FIND("]",CELL("filename",B1))+1,255)</f>
        <v>Event_03</v>
      </c>
    </row>
    <row r="104" spans="1:10">
      <c r="B104" t="s">
        <v>552</v>
      </c>
      <c r="C104" t="str">
        <f ca="1">_xlfn.XLOOKUP(C103,Calendar!O:O,Calendar!H:H,"Event is not in calendar")</f>
        <v/>
      </c>
    </row>
  </sheetData>
  <conditionalFormatting sqref="E2:E101">
    <cfRule type="expression" dxfId="75" priority="3">
      <formula>TEXT($C$104,"@")="Y"</formula>
    </cfRule>
  </conditionalFormatting>
  <conditionalFormatting sqref="H2:I101">
    <cfRule type="expression" dxfId="74" priority="2">
      <formula>$J2="X"</formula>
    </cfRule>
  </conditionalFormatting>
  <conditionalFormatting sqref="I2:I101">
    <cfRule type="expression" dxfId="73"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6">
    <pageSetUpPr fitToPage="1"/>
  </sheetPr>
  <dimension ref="A1:J104"/>
  <sheetViews>
    <sheetView workbookViewId="0"/>
    <sheetView workbookViewId="1"/>
  </sheetViews>
  <sheetFormatPr defaultColWidth="9.1328125" defaultRowHeight="12.75"/>
  <cols>
    <col min="1" max="1" width="20.19921875" bestFit="1" customWidth="1"/>
    <col min="2" max="2" width="23.86328125" bestFit="1" customWidth="1"/>
    <col min="3" max="4" width="4.796875" customWidth="1"/>
    <col min="5" max="5" width="6.19921875" bestFit="1"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453</v>
      </c>
      <c r="B2" s="54">
        <v>558</v>
      </c>
      <c r="C2" s="48"/>
      <c r="D2" s="48">
        <v>39</v>
      </c>
      <c r="E2" s="48">
        <v>9</v>
      </c>
      <c r="F2" s="48" t="s">
        <v>544</v>
      </c>
      <c r="G2" s="48"/>
      <c r="H2" s="50" t="str">
        <f>IF($B2="","",IF($J2="X",B2,CONCATENATE(VLOOKUP(B2,Competitors!$A$2:$I$650,3, FALSE)," ",VLOOKUP(B2,Competitors!$A$2:$I$650,2,FALSE))))</f>
        <v>Andrew Weatherby</v>
      </c>
      <c r="I2" s="51">
        <f t="shared" ref="I2:I65" si="0">IF(LEFT($F2,1)="D",UPPER($F2),(C2*3600+D2*60+E2)/86400)</f>
        <v>2.71875E-2</v>
      </c>
      <c r="J2" t="str">
        <f t="shared" ref="J2:J65" si="1">IF(OR(B2="",ISNUMBER(B2)),"","X")</f>
        <v/>
      </c>
    </row>
    <row r="3" spans="1:10" ht="15">
      <c r="A3" s="46" t="s">
        <v>454</v>
      </c>
      <c r="B3" s="54">
        <v>45</v>
      </c>
      <c r="C3" s="48"/>
      <c r="D3" s="48">
        <v>34</v>
      </c>
      <c r="E3" s="48">
        <v>16</v>
      </c>
      <c r="F3" s="48" t="s">
        <v>544</v>
      </c>
      <c r="G3" s="48"/>
      <c r="H3" s="50" t="str">
        <f>IF($B3="","",IF($J3="X",B3,CONCATENATE(VLOOKUP(B3,Competitors!$A$2:$I$650,3,FALSE)," ",VLOOKUP(B3,Competitors!$A$2:$I$650,2,FALSE))))</f>
        <v>Ray Taylor</v>
      </c>
      <c r="I3" s="51">
        <f t="shared" si="0"/>
        <v>2.3796296296296298E-2</v>
      </c>
      <c r="J3" t="str">
        <f t="shared" si="1"/>
        <v/>
      </c>
    </row>
    <row r="4" spans="1:10" ht="15">
      <c r="A4" s="46" t="s">
        <v>501</v>
      </c>
      <c r="B4" s="54" t="s">
        <v>554</v>
      </c>
      <c r="C4" s="48"/>
      <c r="D4" s="48">
        <v>26</v>
      </c>
      <c r="E4" s="48">
        <v>28</v>
      </c>
      <c r="F4" s="48"/>
      <c r="G4" s="48"/>
      <c r="H4" s="50" t="str">
        <f>IF($B4="","",IF($J4="X",B4,CONCATENATE(VLOOKUP(B4,Competitors!$A$2:$I$650,3,FALSE)," ",VLOOKUP(B4,Competitors!$A$2:$I$650,2,FALSE))))</f>
        <v>Chris Bonsor (Ratae)</v>
      </c>
      <c r="I4" s="51">
        <f t="shared" si="0"/>
        <v>1.8379629629629631E-2</v>
      </c>
      <c r="J4" t="str">
        <f t="shared" si="1"/>
        <v>X</v>
      </c>
    </row>
    <row r="5" spans="1:10" ht="15">
      <c r="A5" s="46" t="s">
        <v>616</v>
      </c>
      <c r="B5" s="54">
        <v>990</v>
      </c>
      <c r="C5" s="48"/>
      <c r="D5" s="48">
        <v>35</v>
      </c>
      <c r="E5" s="48">
        <v>3</v>
      </c>
      <c r="F5" s="48" t="s">
        <v>544</v>
      </c>
      <c r="G5" s="48"/>
      <c r="H5" s="50" t="str">
        <f>IF($B5="","",IF($J5="X",B5,CONCATENATE(VLOOKUP(B5,Competitors!$A$2:$I$650,3,FALSE)," ",VLOOKUP(B5,Competitors!$A$2:$I$650,2,FALSE))))</f>
        <v>Jen Hulme</v>
      </c>
      <c r="I5" s="51">
        <f t="shared" si="0"/>
        <v>2.4340277777777777E-2</v>
      </c>
      <c r="J5" t="str">
        <f t="shared" si="1"/>
        <v/>
      </c>
    </row>
    <row r="6" spans="1:10" ht="15">
      <c r="A6" s="46" t="s">
        <v>448</v>
      </c>
      <c r="B6" s="54">
        <v>1298</v>
      </c>
      <c r="C6" s="48"/>
      <c r="D6" s="48">
        <v>32</v>
      </c>
      <c r="E6" s="48">
        <v>50</v>
      </c>
      <c r="F6" s="48" t="s">
        <v>544</v>
      </c>
      <c r="G6" s="48"/>
      <c r="H6" s="50" t="str">
        <f>IF($B6="","",IF($J6="X",B6,CONCATENATE(VLOOKUP(B6,Competitors!$A$2:$I$650,3,FALSE)," ",VLOOKUP(B6,Competitors!$A$2:$I$650,2,FALSE))))</f>
        <v>Jane Moore</v>
      </c>
      <c r="I6" s="51">
        <f t="shared" si="0"/>
        <v>2.2800925925925926E-2</v>
      </c>
      <c r="J6" t="str">
        <f t="shared" si="1"/>
        <v/>
      </c>
    </row>
    <row r="7" spans="1:10" ht="15">
      <c r="A7" s="46" t="s">
        <v>506</v>
      </c>
      <c r="B7" s="54" t="s">
        <v>565</v>
      </c>
      <c r="C7" s="48"/>
      <c r="D7" s="48">
        <v>33</v>
      </c>
      <c r="E7" s="48">
        <v>51</v>
      </c>
      <c r="F7" s="48" t="s">
        <v>544</v>
      </c>
      <c r="G7" s="48"/>
      <c r="H7" s="50" t="str">
        <f>IF($B7="","",IF($J7="X",B7,CONCATENATE(VLOOKUP(B7,Competitors!$A$2:$I$650,3,FALSE)," ",VLOOKUP(B7,Competitors!$A$2:$I$650,2,FALSE))))</f>
        <v>Lesley Allden (Ratae)</v>
      </c>
      <c r="I7" s="51">
        <f t="shared" si="0"/>
        <v>2.3506944444444445E-2</v>
      </c>
      <c r="J7" t="str">
        <f t="shared" si="1"/>
        <v>X</v>
      </c>
    </row>
    <row r="8" spans="1:10" ht="15">
      <c r="A8" s="46" t="s">
        <v>436</v>
      </c>
      <c r="B8" s="54">
        <v>203</v>
      </c>
      <c r="C8" s="48"/>
      <c r="D8" s="48">
        <v>29</v>
      </c>
      <c r="E8" s="48">
        <v>34</v>
      </c>
      <c r="F8" s="48"/>
      <c r="G8" s="48"/>
      <c r="H8" s="50" t="str">
        <f>IF($B8="","",IF($J8="X",B8,CONCATENATE(VLOOKUP(B8,Competitors!$A$2:$I$650,3,FALSE)," ",VLOOKUP(B8,Competitors!$A$2:$I$650,2,FALSE))))</f>
        <v>Adrian Killworth</v>
      </c>
      <c r="I8" s="51">
        <f t="shared" si="0"/>
        <v>2.0532407407407409E-2</v>
      </c>
      <c r="J8" t="str">
        <f t="shared" si="1"/>
        <v/>
      </c>
    </row>
    <row r="9" spans="1:10" ht="15">
      <c r="A9" s="46" t="s">
        <v>514</v>
      </c>
      <c r="B9" s="54" t="s">
        <v>559</v>
      </c>
      <c r="C9" s="48"/>
      <c r="D9" s="48">
        <v>27</v>
      </c>
      <c r="E9" s="48">
        <v>20</v>
      </c>
      <c r="F9" s="48"/>
      <c r="G9" s="48"/>
      <c r="H9" s="50" t="str">
        <f>IF($B9="","",IF($J9="X",B9,CONCATENATE(VLOOKUP(B9,Competitors!$A$2:$I$650,3,FALSE)," ",VLOOKUP(B9,Competitors!$A$2:$I$650,2,FALSE))))</f>
        <v>Steve Pearce (Ratae)</v>
      </c>
      <c r="I9" s="51">
        <f t="shared" si="0"/>
        <v>1.8981481481481481E-2</v>
      </c>
      <c r="J9" t="str">
        <f t="shared" si="1"/>
        <v>X</v>
      </c>
    </row>
    <row r="10" spans="1:10" ht="15">
      <c r="A10" s="46" t="s">
        <v>500</v>
      </c>
      <c r="B10" s="54" t="s">
        <v>563</v>
      </c>
      <c r="C10" s="48"/>
      <c r="D10" s="48">
        <v>34</v>
      </c>
      <c r="E10" s="48">
        <v>0</v>
      </c>
      <c r="F10" s="48"/>
      <c r="G10" s="48"/>
      <c r="H10" s="50" t="str">
        <f>IF($B10="","",IF($J10="X",B10,CONCATENATE(VLOOKUP(B10,Competitors!$A$2:$I$650,3, FALSE)," ",VLOOKUP(B10,Competitors!$A$2:$I$650,2,FALSE))))</f>
        <v>Brian Lincoln (Ratae)</v>
      </c>
      <c r="I10" s="51">
        <f t="shared" si="0"/>
        <v>2.361111111111111E-2</v>
      </c>
      <c r="J10" t="str">
        <f t="shared" si="1"/>
        <v>X</v>
      </c>
    </row>
    <row r="11" spans="1:10" ht="15">
      <c r="A11" s="46" t="s">
        <v>441</v>
      </c>
      <c r="B11" s="54">
        <v>1254</v>
      </c>
      <c r="C11" s="48"/>
      <c r="D11" s="48"/>
      <c r="E11" s="48"/>
      <c r="F11" s="48"/>
      <c r="G11" s="48" t="s">
        <v>553</v>
      </c>
      <c r="H11" s="50" t="str">
        <f>IF($B11="","",IF($J11="X",B11,CONCATENATE(VLOOKUP(B11,Competitors!$A$2:$I$650,3,FALSE)," ",VLOOKUP(B11,Competitors!$A$2:$I$650,2,FALSE))))</f>
        <v>Paul White</v>
      </c>
      <c r="I11" s="51">
        <f t="shared" si="0"/>
        <v>0</v>
      </c>
      <c r="J11" t="str">
        <f t="shared" si="1"/>
        <v/>
      </c>
    </row>
    <row r="12" spans="1:10" ht="15">
      <c r="A12" s="46" t="s">
        <v>434</v>
      </c>
      <c r="B12" s="54">
        <v>1419</v>
      </c>
      <c r="C12" s="48"/>
      <c r="D12" s="48">
        <v>27</v>
      </c>
      <c r="E12" s="48">
        <v>11</v>
      </c>
      <c r="F12" s="48" t="s">
        <v>544</v>
      </c>
      <c r="G12" s="48"/>
      <c r="H12" s="50" t="str">
        <f>IF($B12="","",IF($J12="X",B12,CONCATENATE(VLOOKUP(B12,Competitors!$A$2:$I$650,3,FALSE)," ",VLOOKUP(B12,Competitors!$A$2:$I$650,2,FALSE))))</f>
        <v>Ethan Marsh</v>
      </c>
      <c r="I12" s="51">
        <f t="shared" si="0"/>
        <v>1.8877314814814816E-2</v>
      </c>
      <c r="J12" t="str">
        <f t="shared" si="1"/>
        <v/>
      </c>
    </row>
    <row r="13" spans="1:10" ht="15">
      <c r="A13" s="46" t="s">
        <v>431</v>
      </c>
      <c r="B13" s="54">
        <v>1403</v>
      </c>
      <c r="C13" s="48"/>
      <c r="D13" s="48">
        <v>27</v>
      </c>
      <c r="E13" s="48">
        <v>34</v>
      </c>
      <c r="F13" s="48"/>
      <c r="G13" s="48"/>
      <c r="H13" s="50" t="str">
        <f>IF($B13="","",IF($J13="X",B13,CONCATENATE(VLOOKUP(B13,Competitors!$A$2:$I$650,3,FALSE)," ",VLOOKUP(B13,Competitors!$A$2:$I$650,2,FALSE))))</f>
        <v>Toby Lenehan</v>
      </c>
      <c r="I13" s="51">
        <f t="shared" si="0"/>
        <v>1.9143518518518518E-2</v>
      </c>
      <c r="J13" t="str">
        <f t="shared" si="1"/>
        <v/>
      </c>
    </row>
    <row r="14" spans="1:10" ht="15">
      <c r="A14" s="46" t="s">
        <v>566</v>
      </c>
      <c r="B14" s="54" t="s">
        <v>566</v>
      </c>
      <c r="C14" s="48"/>
      <c r="D14" s="48">
        <v>38</v>
      </c>
      <c r="E14" s="48">
        <v>6</v>
      </c>
      <c r="F14" s="48" t="s">
        <v>544</v>
      </c>
      <c r="G14" s="48"/>
      <c r="H14" s="50" t="str">
        <f>IF($B14="","",IF($J14="X",B14,CONCATENATE(VLOOKUP(B14,Competitors!$A$2:$I$650,3,FALSE)," ",VLOOKUP(B14,Competitors!$A$2:$I$650,2,FALSE))))</f>
        <v>Laura Davison</v>
      </c>
      <c r="I14" s="51">
        <f t="shared" si="0"/>
        <v>2.6458333333333334E-2</v>
      </c>
      <c r="J14" t="str">
        <f t="shared" si="1"/>
        <v>X</v>
      </c>
    </row>
    <row r="15" spans="1:10" ht="15">
      <c r="A15" s="46" t="s">
        <v>422</v>
      </c>
      <c r="B15" s="54">
        <v>1407</v>
      </c>
      <c r="C15" s="48"/>
      <c r="D15" s="48">
        <v>26</v>
      </c>
      <c r="E15" s="48">
        <v>38</v>
      </c>
      <c r="F15" s="48" t="s">
        <v>544</v>
      </c>
      <c r="G15" s="48"/>
      <c r="H15" s="50" t="str">
        <f>IF($B15="","",IF($J15="X",B15,CONCATENATE(VLOOKUP(B15,Competitors!$A$2:$I$650,3,FALSE)," ",VLOOKUP(B15,Competitors!$A$2:$I$650,2,FALSE))))</f>
        <v>Colin Dobson</v>
      </c>
      <c r="I15" s="51">
        <f t="shared" si="0"/>
        <v>1.849537037037037E-2</v>
      </c>
      <c r="J15" t="str">
        <f t="shared" si="1"/>
        <v/>
      </c>
    </row>
    <row r="16" spans="1:10" ht="15">
      <c r="A16" s="46" t="s">
        <v>440</v>
      </c>
      <c r="B16" s="54">
        <v>245</v>
      </c>
      <c r="C16" s="48"/>
      <c r="D16" s="48">
        <v>28</v>
      </c>
      <c r="E16" s="48">
        <v>4</v>
      </c>
      <c r="F16" s="48"/>
      <c r="G16" s="48"/>
      <c r="H16" s="50" t="str">
        <f>IF($B16="","",IF($J16="X",B16,CONCATENATE(VLOOKUP(B16,Competitors!$A$2:$I$650,3,FALSE)," ",VLOOKUP(B16,Competitors!$A$2:$I$650,2,FALSE))))</f>
        <v>David Reay</v>
      </c>
      <c r="I16" s="51">
        <f t="shared" si="0"/>
        <v>1.9490740740740739E-2</v>
      </c>
      <c r="J16" t="str">
        <f t="shared" si="1"/>
        <v/>
      </c>
    </row>
    <row r="17" spans="1:10" ht="15">
      <c r="A17" s="46" t="s">
        <v>447</v>
      </c>
      <c r="B17" s="54">
        <v>1194</v>
      </c>
      <c r="C17" s="48"/>
      <c r="D17" s="48">
        <v>31</v>
      </c>
      <c r="E17" s="48">
        <v>6</v>
      </c>
      <c r="F17" s="48" t="s">
        <v>544</v>
      </c>
      <c r="G17" s="48"/>
      <c r="H17" s="50" t="str">
        <f>IF($B17="","",IF($J17="X",B17,CONCATENATE(VLOOKUP(B17,Competitors!$A$2:$I$650,3,FALSE)," ",VLOOKUP(B17,Competitors!$A$2:$I$650,2,FALSE))))</f>
        <v>Alex Hardwicke</v>
      </c>
      <c r="I17" s="51">
        <f t="shared" si="0"/>
        <v>2.1597222222222223E-2</v>
      </c>
      <c r="J17" t="str">
        <f t="shared" si="1"/>
        <v/>
      </c>
    </row>
    <row r="18" spans="1:10" ht="15">
      <c r="A18" s="46" t="s">
        <v>437</v>
      </c>
      <c r="B18" s="54">
        <v>1195</v>
      </c>
      <c r="C18" s="48"/>
      <c r="D18" s="48">
        <v>28</v>
      </c>
      <c r="E18" s="48">
        <v>26</v>
      </c>
      <c r="F18" s="48" t="s">
        <v>544</v>
      </c>
      <c r="G18" s="48"/>
      <c r="H18" s="50" t="str">
        <f>IF($B18="","",IF($J18="X",B18,CONCATENATE(VLOOKUP(B18,Competitors!$A$2:$I$650,3,FALSE)," ",VLOOKUP(B18,Competitors!$A$2:$I$650,2,FALSE))))</f>
        <v>Charlie Hardwicke</v>
      </c>
      <c r="I18" s="51">
        <f t="shared" si="0"/>
        <v>1.9745370370370371E-2</v>
      </c>
      <c r="J18" t="str">
        <f t="shared" si="1"/>
        <v/>
      </c>
    </row>
    <row r="19" spans="1:10" ht="15">
      <c r="A19" s="46" t="s">
        <v>439</v>
      </c>
      <c r="B19" s="54">
        <v>23</v>
      </c>
      <c r="C19" s="48"/>
      <c r="D19" s="48">
        <v>28</v>
      </c>
      <c r="E19" s="48">
        <v>7</v>
      </c>
      <c r="F19" s="48"/>
      <c r="G19" s="48"/>
      <c r="H19" s="50" t="str">
        <f>IF($B19="","",IF($J19="X",B19,CONCATENATE(VLOOKUP(B19,Competitors!$A$2:$I$650,3,FALSE)," ",VLOOKUP(B19,Competitors!$A$2:$I$650,2,FALSE))))</f>
        <v>Chris Hyde</v>
      </c>
      <c r="I19" s="51">
        <f t="shared" si="0"/>
        <v>1.9525462962962963E-2</v>
      </c>
      <c r="J19" t="str">
        <f t="shared" si="1"/>
        <v/>
      </c>
    </row>
    <row r="20" spans="1:10" ht="15">
      <c r="A20" s="46" t="s">
        <v>438</v>
      </c>
      <c r="B20" s="54">
        <v>704</v>
      </c>
      <c r="C20" s="48"/>
      <c r="D20" s="48">
        <v>28</v>
      </c>
      <c r="E20" s="48">
        <v>6</v>
      </c>
      <c r="F20" s="48"/>
      <c r="G20" s="48"/>
      <c r="H20" s="50" t="str">
        <f>IF($B20="","",IF($J20="X",B20,CONCATENATE(VLOOKUP(B20,Competitors!$A$2:$I$650,3,FALSE)," ",VLOOKUP(B20,Competitors!$A$2:$I$650,2,FALSE))))</f>
        <v>Chris Dainty</v>
      </c>
      <c r="I20" s="51">
        <f t="shared" si="0"/>
        <v>1.951388888888889E-2</v>
      </c>
      <c r="J20" t="str">
        <f t="shared" si="1"/>
        <v/>
      </c>
    </row>
    <row r="21" spans="1:10" ht="15">
      <c r="A21" s="46" t="s">
        <v>429</v>
      </c>
      <c r="B21" s="54">
        <v>1107</v>
      </c>
      <c r="C21" s="48"/>
      <c r="D21" s="48">
        <v>26</v>
      </c>
      <c r="E21" s="48">
        <v>45</v>
      </c>
      <c r="F21" s="48"/>
      <c r="G21" s="48"/>
      <c r="H21" s="50" t="str">
        <f>IF($B21="","",IF($J21="X",B21,CONCATENATE(VLOOKUP(B21,Competitors!$A$2:$I$650,3,FALSE)," ",VLOOKUP(B21,Competitors!$A$2:$I$650,2,FALSE))))</f>
        <v>Milly Pinnock</v>
      </c>
      <c r="I21" s="51">
        <f t="shared" si="0"/>
        <v>1.8576388888888889E-2</v>
      </c>
      <c r="J21" t="str">
        <f t="shared" si="1"/>
        <v/>
      </c>
    </row>
    <row r="22" spans="1:10" ht="15">
      <c r="A22" s="46" t="s">
        <v>432</v>
      </c>
      <c r="B22" s="54">
        <v>1112</v>
      </c>
      <c r="C22" s="48"/>
      <c r="D22" s="48">
        <v>27</v>
      </c>
      <c r="E22" s="48">
        <v>38</v>
      </c>
      <c r="F22" s="48"/>
      <c r="G22" s="48"/>
      <c r="H22" s="50" t="str">
        <f>IF($B22="","",IF($J22="X",B22,CONCATENATE(VLOOKUP(B22,Competitors!$A$2:$I$650,3,FALSE)," ",VLOOKUP(B22,Competitors!$A$2:$I$650,2,FALSE))))</f>
        <v>Gary Ashwell</v>
      </c>
      <c r="I22" s="51">
        <f t="shared" si="0"/>
        <v>1.9189814814814816E-2</v>
      </c>
      <c r="J22" t="str">
        <f t="shared" si="1"/>
        <v/>
      </c>
    </row>
    <row r="23" spans="1:10" ht="15">
      <c r="A23" s="46" t="s">
        <v>420</v>
      </c>
      <c r="B23" s="54">
        <v>1192</v>
      </c>
      <c r="C23" s="48"/>
      <c r="D23" s="48">
        <v>25</v>
      </c>
      <c r="E23" s="48">
        <v>38</v>
      </c>
      <c r="F23" s="48"/>
      <c r="G23" s="48"/>
      <c r="H23" s="50" t="str">
        <f>IF($B23="","",IF($J23="X",B23,CONCATENATE(VLOOKUP(B23,Competitors!$A$2:$I$650,3,FALSE)," ",VLOOKUP(B23,Competitors!$A$2:$I$650,2,FALSE))))</f>
        <v>Dale Norris</v>
      </c>
      <c r="I23" s="51">
        <f t="shared" si="0"/>
        <v>1.7800925925925925E-2</v>
      </c>
      <c r="J23" t="str">
        <f t="shared" si="1"/>
        <v/>
      </c>
    </row>
    <row r="24" spans="1:10" ht="15">
      <c r="A24" s="46" t="s">
        <v>416</v>
      </c>
      <c r="B24" s="54">
        <v>38</v>
      </c>
      <c r="C24" s="48"/>
      <c r="D24" s="48">
        <v>24</v>
      </c>
      <c r="E24" s="48">
        <v>55</v>
      </c>
      <c r="F24" s="48"/>
      <c r="G24" s="48"/>
      <c r="H24" s="50" t="str">
        <f>IF($B24="","",IF($J24="X",B24,CONCATENATE(VLOOKUP(B24,Competitors!$A$2:$I$650,3,FALSE)," ",VLOOKUP(B24,Competitors!$A$2:$I$650,2,FALSE))))</f>
        <v>Phil Rayner</v>
      </c>
      <c r="I24" s="51">
        <f t="shared" si="0"/>
        <v>1.7303240740740741E-2</v>
      </c>
      <c r="J24" t="str">
        <f t="shared" si="1"/>
        <v/>
      </c>
    </row>
    <row r="25" spans="1:10" ht="15">
      <c r="A25" s="46" t="s">
        <v>427</v>
      </c>
      <c r="B25" s="54">
        <v>915</v>
      </c>
      <c r="C25" s="48"/>
      <c r="D25" s="48">
        <v>26</v>
      </c>
      <c r="E25" s="48">
        <v>21</v>
      </c>
      <c r="F25" s="48"/>
      <c r="G25" s="48"/>
      <c r="H25" s="50" t="str">
        <f>IF($B25="","",IF($J25="X",B25,CONCATENATE(VLOOKUP(B25,Competitors!$A$2:$I$650,3,FALSE)," ",VLOOKUP(B25,Competitors!$A$2:$I$650,2,FALSE))))</f>
        <v>Julian Twynham</v>
      </c>
      <c r="I25" s="51">
        <f t="shared" si="0"/>
        <v>1.8298611111111113E-2</v>
      </c>
      <c r="J25" t="str">
        <f t="shared" si="1"/>
        <v/>
      </c>
    </row>
    <row r="26" spans="1:10" ht="15">
      <c r="A26" s="46" t="s">
        <v>412</v>
      </c>
      <c r="B26" s="54">
        <v>1144</v>
      </c>
      <c r="C26" s="48"/>
      <c r="D26" s="48">
        <v>23</v>
      </c>
      <c r="E26" s="48">
        <v>54</v>
      </c>
      <c r="F26" s="48" t="s">
        <v>544</v>
      </c>
      <c r="G26" s="48"/>
      <c r="H26" s="50" t="str">
        <f>IF($B26="","",IF($J26="X",B26,CONCATENATE(VLOOKUP(B26,Competitors!$A$2:$I$650,3,FALSE)," ",VLOOKUP(B26,Competitors!$A$2:$I$650,2,FALSE))))</f>
        <v>Jamie Kershaw</v>
      </c>
      <c r="I26" s="51">
        <f t="shared" si="0"/>
        <v>1.6597222222222222E-2</v>
      </c>
      <c r="J26" t="str">
        <f t="shared" si="1"/>
        <v/>
      </c>
    </row>
    <row r="27" spans="1:10" ht="15">
      <c r="A27" s="46" t="s">
        <v>455</v>
      </c>
      <c r="B27" s="54">
        <v>295</v>
      </c>
      <c r="C27" s="48"/>
      <c r="D27" s="48">
        <v>29</v>
      </c>
      <c r="E27" s="48">
        <v>29</v>
      </c>
      <c r="F27" s="48" t="s">
        <v>544</v>
      </c>
      <c r="G27" s="48"/>
      <c r="H27" s="50" t="str">
        <f>IF($B27="","",IF($J27="X",B27,CONCATENATE(VLOOKUP(B27,Competitors!$A$2:$I$650,3,FALSE)," ",VLOOKUP(B27,Competitors!$A$2:$I$650,2,FALSE))))</f>
        <v>Stuart Dawkins</v>
      </c>
      <c r="I27" s="51">
        <f t="shared" si="0"/>
        <v>2.0474537037037038E-2</v>
      </c>
      <c r="J27" t="str">
        <f t="shared" si="1"/>
        <v/>
      </c>
    </row>
    <row r="28" spans="1:10" ht="15">
      <c r="A28" s="46" t="s">
        <v>425</v>
      </c>
      <c r="B28" s="54">
        <v>1418</v>
      </c>
      <c r="C28" s="48"/>
      <c r="D28" s="48">
        <v>26</v>
      </c>
      <c r="E28" s="48">
        <v>12</v>
      </c>
      <c r="F28" s="48"/>
      <c r="G28" s="48"/>
      <c r="H28" s="50" t="str">
        <f>IF($B28="","",IF($J28="X",B28,CONCATENATE(VLOOKUP(B28,Competitors!$A$2:$I$650,3,FALSE)," ",VLOOKUP(B28,Competitors!$A$2:$I$650,2,FALSE))))</f>
        <v>James Brown</v>
      </c>
      <c r="I28" s="51">
        <f t="shared" si="0"/>
        <v>1.8194444444444444E-2</v>
      </c>
      <c r="J28" t="str">
        <f t="shared" si="1"/>
        <v/>
      </c>
    </row>
    <row r="29" spans="1:10" ht="15">
      <c r="A29" s="46" t="s">
        <v>433</v>
      </c>
      <c r="B29" s="54">
        <v>1109</v>
      </c>
      <c r="C29" s="48"/>
      <c r="D29" s="48">
        <v>27</v>
      </c>
      <c r="E29" s="48">
        <v>6</v>
      </c>
      <c r="F29" s="48"/>
      <c r="G29" s="48"/>
      <c r="H29" s="50" t="str">
        <f>IF($B29="","",IF($J29="X",B29,CONCATENATE(VLOOKUP(B29,Competitors!$A$2:$I$650,3,FALSE)," ",VLOOKUP(B29,Competitors!$A$2:$I$650,2,FALSE))))</f>
        <v>Stuart Haycox</v>
      </c>
      <c r="I29" s="51">
        <f t="shared" si="0"/>
        <v>1.8819444444444444E-2</v>
      </c>
      <c r="J29" t="str">
        <f t="shared" si="1"/>
        <v/>
      </c>
    </row>
    <row r="30" spans="1:10" ht="15">
      <c r="A30" s="46" t="s">
        <v>435</v>
      </c>
      <c r="B30" s="54">
        <v>846</v>
      </c>
      <c r="C30" s="48"/>
      <c r="D30" s="48">
        <v>26</v>
      </c>
      <c r="E30" s="48">
        <v>48</v>
      </c>
      <c r="F30" s="48"/>
      <c r="G30" s="48"/>
      <c r="H30" s="50" t="str">
        <f>IF($B30="","",IF($J30="X",B30,CONCATENATE(VLOOKUP(B30,Competitors!$A$2:$I$650,3,FALSE)," ",VLOOKUP(B30,Competitors!$A$2:$I$650,2,FALSE))))</f>
        <v>Roger Kockelbergh</v>
      </c>
      <c r="I30" s="51">
        <f t="shared" si="0"/>
        <v>1.861111111111111E-2</v>
      </c>
      <c r="J30" t="str">
        <f t="shared" si="1"/>
        <v/>
      </c>
    </row>
    <row r="31" spans="1:10" ht="15">
      <c r="A31" s="46" t="s">
        <v>408</v>
      </c>
      <c r="B31" s="54">
        <v>1094</v>
      </c>
      <c r="C31" s="48"/>
      <c r="D31" s="48">
        <v>25</v>
      </c>
      <c r="E31" s="48">
        <v>18</v>
      </c>
      <c r="F31" s="48"/>
      <c r="G31" s="48"/>
      <c r="H31" s="50" t="str">
        <f>IF($B31="","",IF($J31="X",B31,CONCATENATE(VLOOKUP(B31,Competitors!$A$2:$I$650,3,FALSE)," ",VLOOKUP(B31,Competitors!$A$2:$I$650,2,FALSE))))</f>
        <v>Andy Poulton</v>
      </c>
      <c r="I31" s="51">
        <f t="shared" si="0"/>
        <v>1.7569444444444443E-2</v>
      </c>
      <c r="J31" t="str">
        <f t="shared" si="1"/>
        <v/>
      </c>
    </row>
    <row r="32" spans="1:10" ht="15">
      <c r="A32" s="46" t="s">
        <v>426</v>
      </c>
      <c r="B32" s="54">
        <v>1055</v>
      </c>
      <c r="C32" s="48"/>
      <c r="D32" s="48">
        <v>26</v>
      </c>
      <c r="E32" s="48">
        <v>28</v>
      </c>
      <c r="F32" s="48"/>
      <c r="G32" s="48"/>
      <c r="H32" s="50" t="str">
        <f>IF($B32="","",IF($J32="X",B32,CONCATENATE(VLOOKUP(B32,Competitors!$A$2:$I$650,3,FALSE)," ",VLOOKUP(B32,Competitors!$A$2:$I$650,2,FALSE))))</f>
        <v>Austin Smith</v>
      </c>
      <c r="I32" s="51">
        <f t="shared" si="0"/>
        <v>1.8379629629629631E-2</v>
      </c>
      <c r="J32" t="str">
        <f t="shared" si="1"/>
        <v/>
      </c>
    </row>
    <row r="33" spans="1:10" ht="15">
      <c r="A33" s="46" t="s">
        <v>414</v>
      </c>
      <c r="B33" s="54">
        <v>699</v>
      </c>
      <c r="C33" s="48"/>
      <c r="D33" s="48"/>
      <c r="E33" s="48"/>
      <c r="F33" s="48"/>
      <c r="G33" s="48" t="s">
        <v>553</v>
      </c>
      <c r="H33" s="50" t="str">
        <f>IF($B33="","",IF($J33="X",B33,CONCATENATE(VLOOKUP(B33,Competitors!$A$2:$I$650,3,FALSE)," ",VLOOKUP(B33,Competitors!$A$2:$I$650,2,FALSE))))</f>
        <v>Jonathan Durnin</v>
      </c>
      <c r="I33" s="51">
        <f t="shared" si="0"/>
        <v>0</v>
      </c>
      <c r="J33" t="str">
        <f t="shared" si="1"/>
        <v/>
      </c>
    </row>
    <row r="34" spans="1:10" ht="15">
      <c r="A34" s="46" t="s">
        <v>443</v>
      </c>
      <c r="B34" s="54">
        <v>1193</v>
      </c>
      <c r="C34" s="48"/>
      <c r="D34" s="48">
        <v>28</v>
      </c>
      <c r="E34" s="48">
        <v>25</v>
      </c>
      <c r="F34" s="48" t="s">
        <v>544</v>
      </c>
      <c r="G34" s="48"/>
      <c r="H34" s="50" t="str">
        <f>IF($B34="","",IF($J34="X",B34,CONCATENATE(VLOOKUP(B34,Competitors!$A$2:$I$650,3,FALSE)," ",VLOOKUP(B34,Competitors!$A$2:$I$650,2,FALSE))))</f>
        <v>Richard Hardwicke</v>
      </c>
      <c r="I34" s="51">
        <f t="shared" si="0"/>
        <v>1.9733796296296298E-2</v>
      </c>
      <c r="J34" t="str">
        <f t="shared" si="1"/>
        <v/>
      </c>
    </row>
    <row r="35" spans="1:10" ht="15">
      <c r="A35" s="46" t="s">
        <v>424</v>
      </c>
      <c r="B35" s="54">
        <v>1024</v>
      </c>
      <c r="C35" s="48"/>
      <c r="D35" s="48">
        <v>25</v>
      </c>
      <c r="E35" s="48">
        <v>47</v>
      </c>
      <c r="F35" s="48"/>
      <c r="G35" s="48"/>
      <c r="H35" s="50" t="str">
        <f>IF($B35="","",IF($J35="X",B35,CONCATENATE(VLOOKUP(B35,Competitors!$A$2:$I$650,3,FALSE)," ",VLOOKUP(B35,Competitors!$A$2:$I$650,2,FALSE))))</f>
        <v>Jax Roberts</v>
      </c>
      <c r="I35" s="51">
        <f t="shared" si="0"/>
        <v>1.7905092592592594E-2</v>
      </c>
      <c r="J35" t="str">
        <f t="shared" si="1"/>
        <v/>
      </c>
    </row>
    <row r="36" spans="1:10" ht="15">
      <c r="A36" s="46" t="s">
        <v>413</v>
      </c>
      <c r="B36" s="54">
        <v>989</v>
      </c>
      <c r="C36" s="48"/>
      <c r="D36" s="48">
        <v>26</v>
      </c>
      <c r="E36" s="48">
        <v>0</v>
      </c>
      <c r="F36" s="48" t="s">
        <v>544</v>
      </c>
      <c r="G36" s="48"/>
      <c r="H36" s="50" t="str">
        <f>IF($B36="","",IF($J36="X",B36,CONCATENATE(VLOOKUP(B36,Competitors!$A$2:$I$650,3,FALSE)," ",VLOOKUP(B36,Competitors!$A$2:$I$650,2,FALSE))))</f>
        <v>Jason Williams</v>
      </c>
      <c r="I36" s="51">
        <f t="shared" si="0"/>
        <v>1.8055555555555554E-2</v>
      </c>
      <c r="J36" t="str">
        <f t="shared" si="1"/>
        <v/>
      </c>
    </row>
    <row r="37" spans="1:10" ht="15">
      <c r="A37" s="46" t="s">
        <v>512</v>
      </c>
      <c r="B37" s="54" t="s">
        <v>567</v>
      </c>
      <c r="C37" s="48"/>
      <c r="D37" s="48">
        <v>34</v>
      </c>
      <c r="E37" s="48">
        <v>21</v>
      </c>
      <c r="F37" s="48" t="s">
        <v>544</v>
      </c>
      <c r="G37" s="48"/>
      <c r="H37" s="50" t="str">
        <f>IF($B37="","",IF($J37="X",B37,CONCATENATE(VLOOKUP(B37,Competitors!$A$2:$I$650,3,FALSE)," ",VLOOKUP(B37,Competitors!$A$2:$I$650,2,FALSE))))</f>
        <v>Paul Eden (Ratae)</v>
      </c>
      <c r="I37" s="51">
        <f t="shared" si="0"/>
        <v>2.3854166666666666E-2</v>
      </c>
      <c r="J37" t="str">
        <f t="shared" si="1"/>
        <v>X</v>
      </c>
    </row>
    <row r="38" spans="1:10" ht="15">
      <c r="A38" s="46" t="s">
        <v>418</v>
      </c>
      <c r="B38" s="54">
        <v>1355</v>
      </c>
      <c r="C38" s="48"/>
      <c r="D38" s="48"/>
      <c r="E38" s="48"/>
      <c r="F38" s="48"/>
      <c r="G38" s="48" t="s">
        <v>553</v>
      </c>
      <c r="H38" s="50" t="str">
        <f>IF($B38="","",IF($J38="X",B38,CONCATENATE(VLOOKUP(B38,Competitors!$A$2:$I$650,3,FALSE)," ",VLOOKUP(B38,Competitors!$A$2:$I$650,2,FALSE))))</f>
        <v>Aubrey Elmer</v>
      </c>
      <c r="I38" s="51">
        <f t="shared" si="0"/>
        <v>0</v>
      </c>
      <c r="J38" t="str">
        <f t="shared" si="1"/>
        <v/>
      </c>
    </row>
    <row r="39" spans="1:10" ht="15">
      <c r="A39" s="46"/>
      <c r="B39" s="54" t="str">
        <f t="shared" ref="B39:B101" si="2">IF(A39="","",_xlfn.XLOOKUP(A39,ClubNames,ClubNumbers,_xlfn.XLOOKUP(A39,RoundRobinRiderNames,RoundRobinRiderDecoratedNames,A39)))</f>
        <v/>
      </c>
      <c r="C39" s="48"/>
      <c r="D39" s="48"/>
      <c r="E39" s="48"/>
      <c r="F39" s="48"/>
      <c r="G39" s="48"/>
      <c r="H39" s="50" t="str">
        <f>IF($B39="","",IF($J39="X",B39,CONCATENATE(VLOOKUP(B39,Competitors!$A$2:$I$650,3,FALSE)," ",VLOOKUP(B39,Competitors!$A$2:$I$650,2,FALSE))))</f>
        <v/>
      </c>
      <c r="I39" s="51">
        <f t="shared" si="0"/>
        <v>0</v>
      </c>
      <c r="J39" t="str">
        <f t="shared" si="1"/>
        <v/>
      </c>
    </row>
    <row r="40" spans="1:10" ht="15">
      <c r="A40" s="46"/>
      <c r="B40" s="54" t="str">
        <f t="shared" si="2"/>
        <v/>
      </c>
      <c r="C40" s="48"/>
      <c r="D40" s="48"/>
      <c r="E40" s="48"/>
      <c r="F40" s="48"/>
      <c r="G40" s="48"/>
      <c r="H40" s="50" t="str">
        <f>IF($B40="","",IF($J40="X",B40,CONCATENATE(VLOOKUP(B40,Competitors!$A$2:$I$650,3,FALSE)," ",VLOOKUP(B40,Competitors!$A$2:$I$650,2,FALSE))))</f>
        <v/>
      </c>
      <c r="I40" s="51">
        <f t="shared" si="0"/>
        <v>0</v>
      </c>
      <c r="J40" t="str">
        <f t="shared" si="1"/>
        <v/>
      </c>
    </row>
    <row r="41" spans="1:10" ht="15">
      <c r="A41" s="46"/>
      <c r="B41" s="54" t="str">
        <f t="shared" si="2"/>
        <v/>
      </c>
      <c r="C41" s="48"/>
      <c r="D41" s="48"/>
      <c r="E41" s="48"/>
      <c r="F41" s="48"/>
      <c r="G41" s="48"/>
      <c r="H41" s="50" t="str">
        <f>IF($B41="","",IF($J41="X",B41,CONCATENATE(VLOOKUP(B41,Competitors!$A$2:$I$650,3,FALSE)," ",VLOOKUP(B41,Competitors!$A$2:$I$650,2,FALSE))))</f>
        <v/>
      </c>
      <c r="I41" s="51">
        <f t="shared" si="0"/>
        <v>0</v>
      </c>
      <c r="J41" t="str">
        <f t="shared" si="1"/>
        <v/>
      </c>
    </row>
    <row r="42" spans="1:10" ht="15">
      <c r="A42" s="46"/>
      <c r="B42" s="54" t="str">
        <f t="shared" si="2"/>
        <v/>
      </c>
      <c r="C42" s="48"/>
      <c r="D42" s="48"/>
      <c r="E42" s="48"/>
      <c r="F42" s="48"/>
      <c r="G42" s="48"/>
      <c r="H42" s="50" t="str">
        <f>IF($B42="","",IF($J42="X",B42,CONCATENATE(VLOOKUP(B42,Competitors!$A$2:$I$650,3,FALSE)," ",VLOOKUP(B42,Competitors!$A$2:$I$650,2,FALSE))))</f>
        <v/>
      </c>
      <c r="I42" s="51">
        <f t="shared" si="0"/>
        <v>0</v>
      </c>
      <c r="J42" t="str">
        <f t="shared" si="1"/>
        <v/>
      </c>
    </row>
    <row r="43" spans="1:10" ht="15">
      <c r="A43" s="46"/>
      <c r="B43" s="54" t="str">
        <f t="shared" si="2"/>
        <v/>
      </c>
      <c r="C43" s="48"/>
      <c r="D43" s="48"/>
      <c r="E43" s="48"/>
      <c r="F43" s="48"/>
      <c r="G43" s="48"/>
      <c r="H43" s="50" t="str">
        <f>IF($B43="","",IF($J43="X",B43,CONCATENATE(VLOOKUP(B43,Competitors!$A$2:$I$650,3,FALSE)," ",VLOOKUP(B43,Competitors!$A$2:$I$650,2,FALSE))))</f>
        <v/>
      </c>
      <c r="I43" s="51">
        <f t="shared" si="0"/>
        <v>0</v>
      </c>
      <c r="J43" t="str">
        <f t="shared" si="1"/>
        <v/>
      </c>
    </row>
    <row r="44" spans="1:10" ht="15">
      <c r="A44" s="46"/>
      <c r="B44" s="54" t="str">
        <f t="shared" si="2"/>
        <v/>
      </c>
      <c r="C44" s="48"/>
      <c r="D44" s="48"/>
      <c r="E44" s="48"/>
      <c r="F44" s="48"/>
      <c r="G44" s="48"/>
      <c r="H44" s="50" t="str">
        <f>IF($B44="","",IF($J44="X",B44,CONCATENATE(VLOOKUP(B44,Competitors!$A$2:$I$650,3,FALSE)," ",VLOOKUP(B44,Competitors!$A$2:$I$650,2,FALSE))))</f>
        <v/>
      </c>
      <c r="I44" s="51">
        <f t="shared" si="0"/>
        <v>0</v>
      </c>
      <c r="J44" t="str">
        <f t="shared" si="1"/>
        <v/>
      </c>
    </row>
    <row r="45" spans="1:10" ht="15">
      <c r="A45" s="46"/>
      <c r="B45" s="54" t="str">
        <f t="shared" si="2"/>
        <v/>
      </c>
      <c r="C45" s="48"/>
      <c r="D45" s="48"/>
      <c r="E45" s="48"/>
      <c r="F45" s="48"/>
      <c r="G45" s="48"/>
      <c r="H45" s="50" t="str">
        <f>IF($B45="","",IF($J45="X",B45,CONCATENATE(VLOOKUP(B45,Competitors!$A$2:$I$650,3,FALSE)," ",VLOOKUP(B45,Competitors!$A$2:$I$650,2,FALSE))))</f>
        <v/>
      </c>
      <c r="I45" s="51">
        <f t="shared" si="0"/>
        <v>0</v>
      </c>
      <c r="J45" t="str">
        <f t="shared" si="1"/>
        <v/>
      </c>
    </row>
    <row r="46" spans="1:10" ht="15">
      <c r="A46" s="46"/>
      <c r="B46" s="54" t="str">
        <f t="shared" si="2"/>
        <v/>
      </c>
      <c r="C46" s="48"/>
      <c r="D46" s="48"/>
      <c r="E46" s="48"/>
      <c r="F46" s="48"/>
      <c r="G46" s="48"/>
      <c r="H46" s="50" t="str">
        <f>IF($B46="","",IF($J46="X",B46,CONCATENATE(VLOOKUP(B46,Competitors!$A$2:$I$650,3,FALSE)," ",VLOOKUP(B46,Competitors!$A$2:$I$650,2,FALSE))))</f>
        <v/>
      </c>
      <c r="I46" s="51">
        <f t="shared" si="0"/>
        <v>0</v>
      </c>
      <c r="J46" t="str">
        <f t="shared" si="1"/>
        <v/>
      </c>
    </row>
    <row r="47" spans="1:10" ht="15">
      <c r="A47" s="46"/>
      <c r="B47" s="54" t="str">
        <f t="shared" si="2"/>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54" t="str">
        <f t="shared" si="2"/>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54" t="str">
        <f t="shared" si="2"/>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54" t="str">
        <f t="shared" si="2"/>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54" t="str">
        <f t="shared" si="2"/>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54" t="str">
        <f t="shared" si="2"/>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54" t="str">
        <f t="shared" si="2"/>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54" t="str">
        <f t="shared" si="2"/>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54" t="str">
        <f t="shared" si="2"/>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54" t="str">
        <f t="shared" si="2"/>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54" t="str">
        <f t="shared" si="2"/>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54" t="str">
        <f t="shared" si="2"/>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54" t="str">
        <f t="shared" si="2"/>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54" t="str">
        <f t="shared" si="2"/>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54" t="str">
        <f t="shared" si="2"/>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54" t="str">
        <f t="shared" si="2"/>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54" t="str">
        <f t="shared" si="2"/>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54" t="str">
        <f t="shared" si="2"/>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54" t="str">
        <f t="shared" si="2"/>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54" t="str">
        <f t="shared" si="2"/>
        <v/>
      </c>
      <c r="C66" s="48"/>
      <c r="D66" s="48"/>
      <c r="E66" s="48"/>
      <c r="F66" s="48"/>
      <c r="G66" s="48"/>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54" t="str">
        <f t="shared" si="2"/>
        <v/>
      </c>
      <c r="C67" s="48"/>
      <c r="D67" s="48"/>
      <c r="E67" s="48"/>
      <c r="F67" s="48"/>
      <c r="G67" s="48"/>
      <c r="H67" s="50" t="str">
        <f>IF($B67="","",IF($J67="X",B67,CONCATENATE(VLOOKUP(B67,Competitors!$A$2:$I$650,3,FALSE)," ",VLOOKUP(B67,Competitors!$A$2:$I$650,2,FALSE))))</f>
        <v/>
      </c>
      <c r="I67" s="51">
        <f t="shared" si="3"/>
        <v>0</v>
      </c>
      <c r="J67" t="str">
        <f t="shared" si="4"/>
        <v/>
      </c>
    </row>
    <row r="68" spans="1:10" ht="15">
      <c r="A68" s="46"/>
      <c r="B68" s="54" t="str">
        <f t="shared" si="2"/>
        <v/>
      </c>
      <c r="C68" s="48"/>
      <c r="D68" s="48"/>
      <c r="E68" s="48"/>
      <c r="F68" s="48"/>
      <c r="G68" s="48"/>
      <c r="H68" s="50" t="str">
        <f>IF($B68="","",IF($J68="X",B68,CONCATENATE(VLOOKUP(B68,Competitors!$A$2:$I$650,3,FALSE)," ",VLOOKUP(B68,Competitors!$A$2:$I$650,2,FALSE))))</f>
        <v/>
      </c>
      <c r="I68" s="51">
        <f t="shared" si="3"/>
        <v>0</v>
      </c>
      <c r="J68" t="str">
        <f t="shared" si="4"/>
        <v/>
      </c>
    </row>
    <row r="69" spans="1:10" ht="15">
      <c r="A69" s="46"/>
      <c r="B69" s="54" t="str">
        <f t="shared" si="2"/>
        <v/>
      </c>
      <c r="C69" s="48"/>
      <c r="D69" s="48"/>
      <c r="E69" s="48"/>
      <c r="F69" s="48"/>
      <c r="G69" s="48"/>
      <c r="H69" s="50" t="str">
        <f>IF($B69="","",IF($J69="X",B69,CONCATENATE(VLOOKUP(B69,Competitors!$A$2:$I$650,3,FALSE)," ",VLOOKUP(B69,Competitors!$A$2:$I$650,2,FALSE))))</f>
        <v/>
      </c>
      <c r="I69" s="51">
        <f t="shared" si="3"/>
        <v>0</v>
      </c>
      <c r="J69" t="str">
        <f t="shared" si="4"/>
        <v/>
      </c>
    </row>
    <row r="70" spans="1:10" ht="15">
      <c r="A70" s="46"/>
      <c r="B70" s="54" t="str">
        <f t="shared" si="2"/>
        <v/>
      </c>
      <c r="C70" s="48"/>
      <c r="D70" s="48"/>
      <c r="E70" s="48"/>
      <c r="F70" s="48"/>
      <c r="G70" s="48"/>
      <c r="H70" s="50" t="str">
        <f>IF($B70="","",IF($J70="X",B70,CONCATENATE(VLOOKUP(B70,Competitors!$A$2:$I$650,3,FALSE)," ",VLOOKUP(B70,Competitors!$A$2:$I$650,2,FALSE))))</f>
        <v/>
      </c>
      <c r="I70" s="51">
        <f t="shared" si="3"/>
        <v>0</v>
      </c>
      <c r="J70" t="str">
        <f t="shared" si="4"/>
        <v/>
      </c>
    </row>
    <row r="71" spans="1:10" ht="15">
      <c r="A71" s="46"/>
      <c r="B71" s="54" t="str">
        <f t="shared" si="2"/>
        <v/>
      </c>
      <c r="C71" s="48"/>
      <c r="D71" s="48"/>
      <c r="E71" s="48"/>
      <c r="F71" s="48"/>
      <c r="G71" s="48"/>
      <c r="H71" s="50" t="str">
        <f>IF($B71="","",IF($J71="X",B71,CONCATENATE(VLOOKUP(B71,Competitors!$A$2:$I$650,3,FALSE)," ",VLOOKUP(B71,Competitors!$A$2:$I$650,2,FALSE))))</f>
        <v/>
      </c>
      <c r="I71" s="51">
        <f t="shared" si="3"/>
        <v>0</v>
      </c>
      <c r="J71" t="str">
        <f t="shared" si="4"/>
        <v/>
      </c>
    </row>
    <row r="72" spans="1:10" ht="15">
      <c r="A72" s="46"/>
      <c r="B72" s="54" t="str">
        <f t="shared" si="2"/>
        <v/>
      </c>
      <c r="C72" s="48"/>
      <c r="D72" s="48"/>
      <c r="E72" s="48"/>
      <c r="F72" s="48"/>
      <c r="G72" s="48"/>
      <c r="H72" s="50" t="str">
        <f>IF($B72="","",IF($J72="X",B72,CONCATENATE(VLOOKUP(B72,Competitors!$A$2:$I$650,3,FALSE)," ",VLOOKUP(B72,Competitors!$A$2:$I$650,2,FALSE))))</f>
        <v/>
      </c>
      <c r="I72" s="51">
        <f t="shared" si="3"/>
        <v>0</v>
      </c>
      <c r="J72" t="str">
        <f t="shared" si="4"/>
        <v/>
      </c>
    </row>
    <row r="73" spans="1:10" ht="15">
      <c r="A73" s="46"/>
      <c r="B73" s="54" t="str">
        <f t="shared" si="2"/>
        <v/>
      </c>
      <c r="C73" s="48"/>
      <c r="D73" s="48"/>
      <c r="E73" s="48"/>
      <c r="F73" s="48"/>
      <c r="G73" s="48"/>
      <c r="H73" s="50" t="str">
        <f>IF($B73="","",IF($J73="X",B73,CONCATENATE(VLOOKUP(B73,Competitors!$A$2:$I$650,3,FALSE)," ",VLOOKUP(B73,Competitors!$A$2:$I$650,2,FALSE))))</f>
        <v/>
      </c>
      <c r="I73" s="51">
        <f t="shared" si="3"/>
        <v>0</v>
      </c>
      <c r="J73" t="str">
        <f t="shared" si="4"/>
        <v/>
      </c>
    </row>
    <row r="74" spans="1:10" ht="15">
      <c r="A74" s="46"/>
      <c r="B74" s="54" t="str">
        <f t="shared" si="2"/>
        <v/>
      </c>
      <c r="C74" s="48"/>
      <c r="D74" s="48"/>
      <c r="E74" s="48"/>
      <c r="F74" s="48"/>
      <c r="G74" s="48"/>
      <c r="H74" s="50" t="str">
        <f>IF($B74="","",IF($J74="X",B74,CONCATENATE(VLOOKUP(B74,Competitors!$A$2:$I$650,3,FALSE)," ",VLOOKUP(B74,Competitors!$A$2:$I$650,2,FALSE))))</f>
        <v/>
      </c>
      <c r="I74" s="51">
        <f t="shared" si="3"/>
        <v>0</v>
      </c>
      <c r="J74" t="str">
        <f t="shared" si="4"/>
        <v/>
      </c>
    </row>
    <row r="75" spans="1:10" ht="15">
      <c r="A75" s="46"/>
      <c r="B75" s="54" t="str">
        <f t="shared" si="2"/>
        <v/>
      </c>
      <c r="C75" s="48"/>
      <c r="D75" s="48"/>
      <c r="E75" s="48"/>
      <c r="F75" s="48"/>
      <c r="G75" s="48"/>
      <c r="H75" s="50" t="str">
        <f>IF($B75="","",IF($J75="X",B75,CONCATENATE(VLOOKUP(B75,Competitors!$A$2:$I$650,3,FALSE)," ",VLOOKUP(B75,Competitors!$A$2:$I$650,2,FALSE))))</f>
        <v/>
      </c>
      <c r="I75" s="51">
        <f t="shared" si="3"/>
        <v>0</v>
      </c>
      <c r="J75" t="str">
        <f t="shared" si="4"/>
        <v/>
      </c>
    </row>
    <row r="76" spans="1:10" ht="15">
      <c r="A76" s="46"/>
      <c r="B76" s="54" t="str">
        <f t="shared" si="2"/>
        <v/>
      </c>
      <c r="C76" s="48"/>
      <c r="D76" s="48"/>
      <c r="E76" s="48"/>
      <c r="F76" s="48"/>
      <c r="G76" s="48"/>
      <c r="H76" s="50" t="str">
        <f>IF($B76="","",IF($J76="X",B76,CONCATENATE(VLOOKUP(B76,Competitors!$A$2:$I$650,3,FALSE)," ",VLOOKUP(B76,Competitors!$A$2:$I$650,2,FALSE))))</f>
        <v/>
      </c>
      <c r="I76" s="51">
        <f t="shared" si="3"/>
        <v>0</v>
      </c>
      <c r="J76" t="str">
        <f t="shared" si="4"/>
        <v/>
      </c>
    </row>
    <row r="77" spans="1:10" ht="15">
      <c r="A77" s="46"/>
      <c r="B77" s="54" t="str">
        <f t="shared" si="2"/>
        <v/>
      </c>
      <c r="C77" s="48"/>
      <c r="D77" s="48"/>
      <c r="E77" s="48"/>
      <c r="F77" s="48"/>
      <c r="G77" s="48"/>
      <c r="H77" s="50" t="str">
        <f>IF($B77="","",IF($J77="X",B77,CONCATENATE(VLOOKUP(B77,Competitors!$A$2:$I$650,3,FALSE)," ",VLOOKUP(B77,Competitors!$A$2:$I$650,2,FALSE))))</f>
        <v/>
      </c>
      <c r="I77" s="51">
        <f t="shared" si="3"/>
        <v>0</v>
      </c>
      <c r="J77" t="str">
        <f t="shared" si="4"/>
        <v/>
      </c>
    </row>
    <row r="78" spans="1:10" ht="15">
      <c r="A78" s="46"/>
      <c r="B78" s="54" t="str">
        <f t="shared" si="2"/>
        <v/>
      </c>
      <c r="C78" s="48"/>
      <c r="D78" s="48"/>
      <c r="E78" s="48"/>
      <c r="F78" s="48"/>
      <c r="G78" s="48"/>
      <c r="H78" s="50" t="str">
        <f>IF($B78="","",IF($J78="X",B78,CONCATENATE(VLOOKUP(B78,Competitors!$A$2:$I$650,3,FALSE)," ",VLOOKUP(B78,Competitors!$A$2:$I$650,2,FALSE))))</f>
        <v/>
      </c>
      <c r="I78" s="51">
        <f t="shared" si="3"/>
        <v>0</v>
      </c>
      <c r="J78" t="str">
        <f t="shared" si="4"/>
        <v/>
      </c>
    </row>
    <row r="79" spans="1:10" ht="15">
      <c r="A79" s="46"/>
      <c r="B79" s="54" t="str">
        <f t="shared" si="2"/>
        <v/>
      </c>
      <c r="C79" s="48"/>
      <c r="D79" s="48"/>
      <c r="E79" s="48"/>
      <c r="F79" s="48"/>
      <c r="G79" s="48"/>
      <c r="H79" s="50" t="str">
        <f>IF($B79="","",IF($J79="X",B79,CONCATENATE(VLOOKUP(B79,Competitors!$A$2:$I$650,3,FALSE)," ",VLOOKUP(B79,Competitors!$A$2:$I$650,2,FALSE))))</f>
        <v/>
      </c>
      <c r="I79" s="51">
        <f t="shared" si="3"/>
        <v>0</v>
      </c>
      <c r="J79" t="str">
        <f t="shared" si="4"/>
        <v/>
      </c>
    </row>
    <row r="80" spans="1:10" ht="15">
      <c r="A80" s="46"/>
      <c r="B80" s="54" t="str">
        <f t="shared" si="2"/>
        <v/>
      </c>
      <c r="C80" s="48"/>
      <c r="D80" s="48"/>
      <c r="E80" s="48"/>
      <c r="F80" s="48"/>
      <c r="G80" s="48"/>
      <c r="H80" s="50" t="str">
        <f>IF($B80="","",IF($J80="X",B80,CONCATENATE(VLOOKUP(B80,Competitors!$A$2:$I$650,3,FALSE)," ",VLOOKUP(B80,Competitors!$A$2:$I$650,2,FALSE))))</f>
        <v/>
      </c>
      <c r="I80" s="51">
        <f t="shared" si="3"/>
        <v>0</v>
      </c>
      <c r="J80" t="str">
        <f t="shared" si="4"/>
        <v/>
      </c>
    </row>
    <row r="81" spans="1:10" ht="15">
      <c r="A81" s="46"/>
      <c r="B81" s="54" t="str">
        <f t="shared" si="2"/>
        <v/>
      </c>
      <c r="C81" s="48"/>
      <c r="D81" s="48"/>
      <c r="E81" s="48"/>
      <c r="F81" s="48"/>
      <c r="G81" s="48"/>
      <c r="H81" s="50" t="str">
        <f>IF($B81="","",IF($J81="X",B81,CONCATENATE(VLOOKUP(B81,Competitors!$A$2:$I$650,3,FALSE)," ",VLOOKUP(B81,Competitors!$A$2:$I$650,2,FALSE))))</f>
        <v/>
      </c>
      <c r="I81" s="51">
        <f t="shared" si="3"/>
        <v>0</v>
      </c>
      <c r="J81" t="str">
        <f t="shared" si="4"/>
        <v/>
      </c>
    </row>
    <row r="82" spans="1:10" ht="15">
      <c r="A82" s="46"/>
      <c r="B82" s="54" t="str">
        <f t="shared" si="2"/>
        <v/>
      </c>
      <c r="C82" s="48"/>
      <c r="D82" s="48"/>
      <c r="E82" s="48"/>
      <c r="F82" s="48"/>
      <c r="G82" s="48"/>
      <c r="H82" s="50" t="str">
        <f>IF($B82="","",IF($J82="X",B82,CONCATENATE(VLOOKUP(B82,Competitors!$A$2:$I$650,3,FALSE)," ",VLOOKUP(B82,Competitors!$A$2:$I$650,2,FALSE))))</f>
        <v/>
      </c>
      <c r="I82" s="51">
        <f t="shared" si="3"/>
        <v>0</v>
      </c>
      <c r="J82" t="str">
        <f t="shared" si="4"/>
        <v/>
      </c>
    </row>
    <row r="83" spans="1:10" ht="15">
      <c r="A83" s="46"/>
      <c r="B83" s="54" t="str">
        <f t="shared" si="2"/>
        <v/>
      </c>
      <c r="C83" s="48"/>
      <c r="D83" s="48"/>
      <c r="E83" s="48"/>
      <c r="F83" s="48"/>
      <c r="G83" s="48"/>
      <c r="H83" s="50" t="str">
        <f>IF($B83="","",IF($J83="X",B83,CONCATENATE(VLOOKUP(B83,Competitors!$A$2:$I$650,3,FALSE)," ",VLOOKUP(B83,Competitors!$A$2:$I$650,2,FALSE))))</f>
        <v/>
      </c>
      <c r="I83" s="51">
        <f t="shared" si="3"/>
        <v>0</v>
      </c>
      <c r="J83" t="str">
        <f t="shared" si="4"/>
        <v/>
      </c>
    </row>
    <row r="84" spans="1:10" ht="15">
      <c r="A84" s="46"/>
      <c r="B84" s="54" t="str">
        <f t="shared" si="2"/>
        <v/>
      </c>
      <c r="C84" s="48"/>
      <c r="D84" s="48"/>
      <c r="E84" s="48"/>
      <c r="F84" s="48"/>
      <c r="G84" s="48"/>
      <c r="H84" s="50" t="str">
        <f>IF($B84="","",IF($J84="X",B84,CONCATENATE(VLOOKUP(B84,Competitors!$A$2:$I$650,3,FALSE)," ",VLOOKUP(B84,Competitors!$A$2:$I$650,2,FALSE))))</f>
        <v/>
      </c>
      <c r="I84" s="51">
        <f t="shared" si="3"/>
        <v>0</v>
      </c>
      <c r="J84" t="str">
        <f t="shared" si="4"/>
        <v/>
      </c>
    </row>
    <row r="85" spans="1:10" ht="15">
      <c r="A85" s="46"/>
      <c r="B85" s="54" t="str">
        <f t="shared" si="2"/>
        <v/>
      </c>
      <c r="C85" s="48"/>
      <c r="D85" s="48"/>
      <c r="E85" s="48"/>
      <c r="F85" s="48"/>
      <c r="G85" s="48"/>
      <c r="H85" s="50" t="str">
        <f>IF($B85="","",IF($J85="X",B85,CONCATENATE(VLOOKUP(B85,Competitors!$A$2:$I$650,3,FALSE)," ",VLOOKUP(B85,Competitors!$A$2:$I$650,2,FALSE))))</f>
        <v/>
      </c>
      <c r="I85" s="51">
        <f t="shared" si="3"/>
        <v>0</v>
      </c>
      <c r="J85" t="str">
        <f t="shared" si="4"/>
        <v/>
      </c>
    </row>
    <row r="86" spans="1:10" ht="15">
      <c r="A86" s="46"/>
      <c r="B86" s="54" t="str">
        <f t="shared" si="2"/>
        <v/>
      </c>
      <c r="C86" s="48"/>
      <c r="D86" s="48"/>
      <c r="E86" s="48"/>
      <c r="F86" s="48"/>
      <c r="G86" s="48"/>
      <c r="H86" s="50" t="str">
        <f>IF($B86="","",IF($J86="X",B86,CONCATENATE(VLOOKUP(B86,Competitors!$A$2:$I$650,3,FALSE)," ",VLOOKUP(B86,Competitors!$A$2:$I$650,2,FALSE))))</f>
        <v/>
      </c>
      <c r="I86" s="51">
        <f t="shared" si="3"/>
        <v>0</v>
      </c>
      <c r="J86" t="str">
        <f t="shared" si="4"/>
        <v/>
      </c>
    </row>
    <row r="87" spans="1:10" ht="15">
      <c r="A87" s="46"/>
      <c r="B87" s="54" t="str">
        <f t="shared" si="2"/>
        <v/>
      </c>
      <c r="C87" s="48"/>
      <c r="D87" s="48"/>
      <c r="E87" s="48"/>
      <c r="F87" s="48"/>
      <c r="G87" s="48"/>
      <c r="H87" s="50" t="str">
        <f>IF($B87="","",IF($J87="X",B87,CONCATENATE(VLOOKUP(B87,Competitors!$A$2:$I$650,3,FALSE)," ",VLOOKUP(B87,Competitors!$A$2:$I$650,2,FALSE))))</f>
        <v/>
      </c>
      <c r="I87" s="51">
        <f t="shared" si="3"/>
        <v>0</v>
      </c>
      <c r="J87" t="str">
        <f t="shared" si="4"/>
        <v/>
      </c>
    </row>
    <row r="88" spans="1:10" ht="15">
      <c r="A88" s="46"/>
      <c r="B88" s="54" t="str">
        <f t="shared" si="2"/>
        <v/>
      </c>
      <c r="C88" s="48"/>
      <c r="D88" s="48"/>
      <c r="E88" s="48"/>
      <c r="F88" s="48"/>
      <c r="G88" s="48"/>
      <c r="H88" s="50" t="str">
        <f>IF($B88="","",IF($J88="X",B88,CONCATENATE(VLOOKUP(B88,Competitors!$A$2:$I$650,3,FALSE)," ",VLOOKUP(B88,Competitors!$A$2:$I$650,2,FALSE))))</f>
        <v/>
      </c>
      <c r="I88" s="51">
        <f t="shared" si="3"/>
        <v>0</v>
      </c>
      <c r="J88" t="str">
        <f t="shared" si="4"/>
        <v/>
      </c>
    </row>
    <row r="89" spans="1:10" ht="15">
      <c r="A89" s="46"/>
      <c r="B89" s="54" t="str">
        <f t="shared" si="2"/>
        <v/>
      </c>
      <c r="C89" s="48"/>
      <c r="D89" s="48"/>
      <c r="E89" s="48"/>
      <c r="F89" s="48"/>
      <c r="G89" s="48"/>
      <c r="H89" s="50" t="str">
        <f>IF($B89="","",IF($J89="X",B89,CONCATENATE(VLOOKUP(B89,Competitors!$A$2:$I$650,3,FALSE)," ",VLOOKUP(B89,Competitors!$A$2:$I$650,2,FALSE))))</f>
        <v/>
      </c>
      <c r="I89" s="51">
        <f t="shared" si="3"/>
        <v>0</v>
      </c>
      <c r="J89" t="str">
        <f t="shared" si="4"/>
        <v/>
      </c>
    </row>
    <row r="90" spans="1:10" ht="15">
      <c r="A90" s="46"/>
      <c r="B90" s="54" t="str">
        <f t="shared" si="2"/>
        <v/>
      </c>
      <c r="C90" s="48"/>
      <c r="D90" s="48"/>
      <c r="E90" s="48"/>
      <c r="F90" s="48"/>
      <c r="G90" s="48"/>
      <c r="H90" s="50" t="str">
        <f>IF($B90="","",IF($J90="X",B90,CONCATENATE(VLOOKUP(B90,Competitors!$A$2:$I$650,3,FALSE)," ",VLOOKUP(B90,Competitors!$A$2:$I$650,2,FALSE))))</f>
        <v/>
      </c>
      <c r="I90" s="51">
        <f t="shared" si="3"/>
        <v>0</v>
      </c>
      <c r="J90" t="str">
        <f t="shared" si="4"/>
        <v/>
      </c>
    </row>
    <row r="91" spans="1:10" ht="15">
      <c r="A91" s="46"/>
      <c r="B91" s="54" t="str">
        <f t="shared" si="2"/>
        <v/>
      </c>
      <c r="C91" s="48"/>
      <c r="D91" s="48"/>
      <c r="E91" s="48"/>
      <c r="F91" s="48"/>
      <c r="G91" s="48"/>
      <c r="H91" s="50" t="str">
        <f>IF($B91="","",IF($J91="X",B91,CONCATENATE(VLOOKUP(B91,Competitors!$A$2:$I$650,3,FALSE)," ",VLOOKUP(B91,Competitors!$A$2:$I$650,2,FALSE))))</f>
        <v/>
      </c>
      <c r="I91" s="51">
        <f t="shared" si="3"/>
        <v>0</v>
      </c>
      <c r="J91" t="str">
        <f t="shared" si="4"/>
        <v/>
      </c>
    </row>
    <row r="92" spans="1:10" ht="15">
      <c r="A92" s="46"/>
      <c r="B92" s="54" t="str">
        <f t="shared" si="2"/>
        <v/>
      </c>
      <c r="C92" s="48"/>
      <c r="D92" s="48"/>
      <c r="E92" s="48"/>
      <c r="F92" s="48"/>
      <c r="G92" s="48"/>
      <c r="H92" s="50" t="str">
        <f>IF($B92="","",IF($J92="X",B92,CONCATENATE(VLOOKUP(B92,Competitors!$A$2:$I$650,3,FALSE)," ",VLOOKUP(B92,Competitors!$A$2:$I$650,2,FALSE))))</f>
        <v/>
      </c>
      <c r="I92" s="51">
        <f t="shared" si="3"/>
        <v>0</v>
      </c>
      <c r="J92" t="str">
        <f t="shared" si="4"/>
        <v/>
      </c>
    </row>
    <row r="93" spans="1:10" ht="15">
      <c r="A93" s="46"/>
      <c r="B93" s="54" t="str">
        <f t="shared" si="2"/>
        <v/>
      </c>
      <c r="C93" s="48"/>
      <c r="D93" s="48"/>
      <c r="E93" s="48"/>
      <c r="F93" s="48"/>
      <c r="G93" s="48"/>
      <c r="H93" s="50" t="str">
        <f>IF($B93="","",IF($J93="X",B93,CONCATENATE(VLOOKUP(B93,Competitors!$A$2:$I$650,3,FALSE)," ",VLOOKUP(B93,Competitors!$A$2:$I$650,2,FALSE))))</f>
        <v/>
      </c>
      <c r="I93" s="51">
        <f t="shared" si="3"/>
        <v>0</v>
      </c>
      <c r="J93" t="str">
        <f t="shared" si="4"/>
        <v/>
      </c>
    </row>
    <row r="94" spans="1:10" ht="15">
      <c r="A94" s="46"/>
      <c r="B94" s="54" t="str">
        <f t="shared" si="2"/>
        <v/>
      </c>
      <c r="C94" s="48"/>
      <c r="D94" s="48"/>
      <c r="E94" s="48"/>
      <c r="F94" s="48"/>
      <c r="G94" s="48"/>
      <c r="H94" s="50" t="str">
        <f>IF($B94="","",IF($J94="X",B94,CONCATENATE(VLOOKUP(B94,Competitors!$A$2:$I$650,3,FALSE)," ",VLOOKUP(B94,Competitors!$A$2:$I$650,2,FALSE))))</f>
        <v/>
      </c>
      <c r="I94" s="51">
        <f t="shared" si="3"/>
        <v>0</v>
      </c>
      <c r="J94" t="str">
        <f t="shared" si="4"/>
        <v/>
      </c>
    </row>
    <row r="95" spans="1:10" ht="15">
      <c r="A95" s="46"/>
      <c r="B95" s="54" t="str">
        <f t="shared" si="2"/>
        <v/>
      </c>
      <c r="C95" s="48"/>
      <c r="D95" s="48"/>
      <c r="E95" s="48"/>
      <c r="F95" s="48"/>
      <c r="G95" s="48"/>
      <c r="H95" s="50" t="str">
        <f>IF($B95="","",IF($J95="X",B95,CONCATENATE(VLOOKUP(B95,Competitors!$A$2:$I$650,3,FALSE)," ",VLOOKUP(B95,Competitors!$A$2:$I$650,2,FALSE))))</f>
        <v/>
      </c>
      <c r="I95" s="51">
        <f t="shared" si="3"/>
        <v>0</v>
      </c>
      <c r="J95" t="str">
        <f t="shared" si="4"/>
        <v/>
      </c>
    </row>
    <row r="96" spans="1:10" ht="15">
      <c r="A96" s="46"/>
      <c r="B96" s="54" t="str">
        <f t="shared" si="2"/>
        <v/>
      </c>
      <c r="C96" s="48"/>
      <c r="D96" s="48"/>
      <c r="E96" s="48"/>
      <c r="F96" s="48"/>
      <c r="G96" s="48"/>
      <c r="H96" s="50" t="str">
        <f>IF($B96="","",IF($J96="X",B96,CONCATENATE(VLOOKUP(B96,Competitors!$A$2:$I$650,3,FALSE)," ",VLOOKUP(B96,Competitors!$A$2:$I$650,2,FALSE))))</f>
        <v/>
      </c>
      <c r="I96" s="51">
        <f t="shared" si="3"/>
        <v>0</v>
      </c>
      <c r="J96" t="str">
        <f t="shared" si="4"/>
        <v/>
      </c>
    </row>
    <row r="97" spans="1:10" ht="15">
      <c r="A97" s="46"/>
      <c r="B97" s="54" t="str">
        <f t="shared" si="2"/>
        <v/>
      </c>
      <c r="C97" s="48"/>
      <c r="D97" s="48"/>
      <c r="E97" s="48"/>
      <c r="F97" s="48"/>
      <c r="G97" s="48"/>
      <c r="H97" s="50" t="str">
        <f>IF($B97="","",IF($J97="X",B97,CONCATENATE(VLOOKUP(B97,Competitors!$A$2:$I$650,3,FALSE)," ",VLOOKUP(B97,Competitors!$A$2:$I$650,2,FALSE))))</f>
        <v/>
      </c>
      <c r="I97" s="51">
        <f t="shared" si="3"/>
        <v>0</v>
      </c>
      <c r="J97" t="str">
        <f t="shared" si="4"/>
        <v/>
      </c>
    </row>
    <row r="98" spans="1:10" ht="15">
      <c r="A98" s="46"/>
      <c r="B98" s="54" t="str">
        <f t="shared" si="2"/>
        <v/>
      </c>
      <c r="C98" s="48"/>
      <c r="D98" s="48"/>
      <c r="E98" s="48"/>
      <c r="F98" s="48"/>
      <c r="G98" s="48"/>
      <c r="H98" s="50" t="str">
        <f>IF($B98="","",IF($J98="X",B98,CONCATENATE(VLOOKUP(B98,Competitors!$A$2:$I$650,3,FALSE)," ",VLOOKUP(B98,Competitors!$A$2:$I$650,2,FALSE))))</f>
        <v/>
      </c>
      <c r="I98" s="51">
        <f t="shared" si="3"/>
        <v>0</v>
      </c>
      <c r="J98" t="str">
        <f t="shared" si="4"/>
        <v/>
      </c>
    </row>
    <row r="99" spans="1:10" ht="15">
      <c r="A99" s="46"/>
      <c r="B99" s="54" t="str">
        <f t="shared" si="2"/>
        <v/>
      </c>
      <c r="C99" s="48"/>
      <c r="D99" s="48"/>
      <c r="E99" s="48"/>
      <c r="F99" s="48"/>
      <c r="G99" s="48"/>
      <c r="H99" s="50" t="str">
        <f>IF($B99="","",IF($J99="X",B99,CONCATENATE(VLOOKUP(B99,Competitors!$A$2:$I$650,3,FALSE)," ",VLOOKUP(B99,Competitors!$A$2:$I$650,2,FALSE))))</f>
        <v/>
      </c>
      <c r="I99" s="51">
        <f t="shared" si="3"/>
        <v>0</v>
      </c>
      <c r="J99" t="str">
        <f t="shared" si="4"/>
        <v/>
      </c>
    </row>
    <row r="100" spans="1:10" ht="15">
      <c r="A100" s="46"/>
      <c r="B100" s="54" t="str">
        <f t="shared" si="2"/>
        <v/>
      </c>
      <c r="C100" s="48"/>
      <c r="D100" s="48"/>
      <c r="E100" s="48"/>
      <c r="F100" s="48"/>
      <c r="G100" s="48"/>
      <c r="H100" s="50" t="str">
        <f>IF($B100="","",IF($J100="X",B100,CONCATENATE(VLOOKUP(B100,Competitors!$A$2:$I$650,3, FALSE)," ",VLOOKUP(B100,Competitors!$A$2:$I$650,2,FALSE))))</f>
        <v/>
      </c>
      <c r="I100" s="51">
        <f t="shared" si="3"/>
        <v>0</v>
      </c>
      <c r="J100" t="str">
        <f t="shared" si="4"/>
        <v/>
      </c>
    </row>
    <row r="101" spans="1:10" ht="15">
      <c r="A101" s="46"/>
      <c r="B101" s="54" t="str">
        <f t="shared" si="2"/>
        <v/>
      </c>
      <c r="C101" s="48"/>
      <c r="D101" s="48"/>
      <c r="E101" s="48"/>
      <c r="F101" s="48"/>
      <c r="G101" s="48"/>
      <c r="H101" s="50" t="str">
        <f>IF($B101="","",IF($J101="X",B101,CONCATENATE(VLOOKUP(B101,Competitors!$A$2:$I$650,3,FALSE)," ",VLOOKUP(B101,Competitors!$A$2:$I$650,2,FALSE))))</f>
        <v/>
      </c>
      <c r="I101" s="51">
        <f t="shared" si="3"/>
        <v>0</v>
      </c>
      <c r="J101" t="str">
        <f t="shared" si="4"/>
        <v/>
      </c>
    </row>
    <row r="102" spans="1:10" s="52" customFormat="1">
      <c r="I102" s="53"/>
    </row>
    <row r="103" spans="1:10">
      <c r="B103" t="s">
        <v>551</v>
      </c>
      <c r="C103" t="str" cm="1">
        <f t="array" aca="1" ref="C103" ca="1">MID(CELL("filename",B1),FIND("]",CELL("filename",B1))+1,255)</f>
        <v>Event_04</v>
      </c>
    </row>
    <row r="104" spans="1:10">
      <c r="B104" t="s">
        <v>552</v>
      </c>
      <c r="C104" t="str">
        <f ca="1">_xlfn.XLOOKUP(C103,Calendar!O:O,Calendar!H:H,"Event is not in calendar")</f>
        <v/>
      </c>
    </row>
  </sheetData>
  <conditionalFormatting sqref="E2:E101">
    <cfRule type="expression" dxfId="72" priority="3">
      <formula>TEXT($C$104,"@")="Y"</formula>
    </cfRule>
  </conditionalFormatting>
  <conditionalFormatting sqref="H2:I101">
    <cfRule type="expression" dxfId="71" priority="2">
      <formula>$J2="X"</formula>
    </cfRule>
  </conditionalFormatting>
  <conditionalFormatting sqref="I2:I101">
    <cfRule type="expression" dxfId="70"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7">
    <pageSetUpPr fitToPage="1"/>
  </sheetPr>
  <dimension ref="A1:J104"/>
  <sheetViews>
    <sheetView workbookViewId="0"/>
    <sheetView workbookViewId="1"/>
  </sheetViews>
  <sheetFormatPr defaultColWidth="9.1328125" defaultRowHeight="12.75"/>
  <cols>
    <col min="1" max="1" width="20.19921875" bestFit="1" customWidth="1"/>
    <col min="2" max="2" width="23.86328125" bestFit="1" customWidth="1"/>
    <col min="3" max="5" width="4.796875" customWidth="1"/>
    <col min="6" max="7" width="11.1328125" customWidth="1"/>
    <col min="8" max="8" width="25.1328125" style="38"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45" t="s">
        <v>461</v>
      </c>
      <c r="I1" s="45" t="s">
        <v>542</v>
      </c>
      <c r="J1" t="s">
        <v>543</v>
      </c>
    </row>
    <row r="2" spans="1:10" ht="15">
      <c r="A2" s="46" t="s">
        <v>453</v>
      </c>
      <c r="B2" s="47">
        <v>558</v>
      </c>
      <c r="C2" s="48"/>
      <c r="D2" s="48">
        <v>40</v>
      </c>
      <c r="E2" s="48">
        <v>54</v>
      </c>
      <c r="F2" s="48" t="s">
        <v>544</v>
      </c>
      <c r="G2" s="48"/>
      <c r="H2" s="50" t="str">
        <f>IF($B2="","",IF($J2="X",B2,CONCATENATE(VLOOKUP(B2,Competitors!$A$2:$I$650,3, FALSE)," ",VLOOKUP(B2,Competitors!$A$2:$I$650,2,FALSE))))</f>
        <v>Andrew Weatherby</v>
      </c>
      <c r="I2" s="51">
        <f t="shared" ref="I2:I65" si="0">IF(LEFT($F2,1)="D",UPPER($F2),(C2*3600+D2*60+E2)/86400)</f>
        <v>2.8402777777777777E-2</v>
      </c>
      <c r="J2" t="str">
        <f t="shared" ref="J2:J65" si="1">IF(OR(B2="",ISNUMBER(B2)),"","X")</f>
        <v/>
      </c>
    </row>
    <row r="3" spans="1:10" ht="15">
      <c r="A3" s="46" t="s">
        <v>448</v>
      </c>
      <c r="B3" s="47">
        <v>1298</v>
      </c>
      <c r="C3" s="48"/>
      <c r="D3" s="48">
        <v>34</v>
      </c>
      <c r="E3" s="48">
        <v>46</v>
      </c>
      <c r="F3" s="48" t="s">
        <v>544</v>
      </c>
      <c r="G3" s="48"/>
      <c r="H3" s="50" t="str">
        <f>IF($B3="","",IF($J3="X",B3,CONCATENATE(VLOOKUP(B3,Competitors!$A$2:$I$650,3,FALSE)," ",VLOOKUP(B3,Competitors!$A$2:$I$650,2,FALSE))))</f>
        <v>Jane Moore</v>
      </c>
      <c r="I3" s="51">
        <f t="shared" si="0"/>
        <v>2.4143518518518519E-2</v>
      </c>
      <c r="J3" t="str">
        <f t="shared" si="1"/>
        <v/>
      </c>
    </row>
    <row r="4" spans="1:10" ht="15">
      <c r="A4" s="46" t="s">
        <v>509</v>
      </c>
      <c r="B4" s="47" t="s">
        <v>561</v>
      </c>
      <c r="C4" s="48"/>
      <c r="D4" s="48">
        <v>30</v>
      </c>
      <c r="E4" s="48">
        <v>18</v>
      </c>
      <c r="F4" s="48" t="s">
        <v>544</v>
      </c>
      <c r="G4" s="48"/>
      <c r="H4" s="50" t="str">
        <f>IF($B4="","",IF($J4="X",B4,CONCATENATE(VLOOKUP(B4,Competitors!$A$2:$I$650,3,FALSE)," ",VLOOKUP(B4,Competitors!$A$2:$I$650,2,FALSE))))</f>
        <v>Mark Newton (Ratae)</v>
      </c>
      <c r="I4" s="51">
        <f t="shared" si="0"/>
        <v>2.1041666666666667E-2</v>
      </c>
      <c r="J4" t="str">
        <f t="shared" si="1"/>
        <v>X</v>
      </c>
    </row>
    <row r="5" spans="1:10" ht="15">
      <c r="A5" s="46" t="s">
        <v>616</v>
      </c>
      <c r="B5" s="47">
        <v>990</v>
      </c>
      <c r="C5" s="48"/>
      <c r="D5" s="48">
        <v>37</v>
      </c>
      <c r="E5" s="48">
        <v>24</v>
      </c>
      <c r="F5" s="48" t="s">
        <v>544</v>
      </c>
      <c r="G5" s="48"/>
      <c r="H5" s="50" t="str">
        <f>IF($B5="","",IF($J5="X",B5,CONCATENATE(VLOOKUP(B5,Competitors!$A$2:$I$650,3,FALSE)," ",VLOOKUP(B5,Competitors!$A$2:$I$650,2,FALSE))))</f>
        <v>Jen Hulme</v>
      </c>
      <c r="I5" s="51">
        <f t="shared" si="0"/>
        <v>2.5972222222222223E-2</v>
      </c>
      <c r="J5" t="str">
        <f t="shared" si="1"/>
        <v/>
      </c>
    </row>
    <row r="6" spans="1:10" ht="15">
      <c r="A6" s="46" t="s">
        <v>411</v>
      </c>
      <c r="B6" s="47">
        <v>407</v>
      </c>
      <c r="C6" s="48"/>
      <c r="D6" s="48">
        <v>24</v>
      </c>
      <c r="E6" s="48">
        <v>55</v>
      </c>
      <c r="F6" s="48"/>
      <c r="G6" s="48"/>
      <c r="H6" s="50" t="str">
        <f>IF($B6="","",IF($J6="X",B6,CONCATENATE(VLOOKUP(B6,Competitors!$A$2:$I$650,3,FALSE)," ",VLOOKUP(B6,Competitors!$A$2:$I$650,2,FALSE))))</f>
        <v>Hans van Nierop</v>
      </c>
      <c r="I6" s="51">
        <f t="shared" si="0"/>
        <v>1.7303240740740741E-2</v>
      </c>
      <c r="J6" t="str">
        <f t="shared" si="1"/>
        <v/>
      </c>
    </row>
    <row r="7" spans="1:10" ht="15">
      <c r="A7" s="46" t="s">
        <v>500</v>
      </c>
      <c r="B7" s="47" t="s">
        <v>563</v>
      </c>
      <c r="C7" s="48"/>
      <c r="D7" s="48">
        <v>35</v>
      </c>
      <c r="E7" s="48">
        <v>55</v>
      </c>
      <c r="F7" s="48" t="s">
        <v>544</v>
      </c>
      <c r="G7" s="48"/>
      <c r="H7" s="50" t="str">
        <f>IF($B7="","",IF($J7="X",B7,CONCATENATE(VLOOKUP(B7,Competitors!$A$2:$I$650,3,FALSE)," ",VLOOKUP(B7,Competitors!$A$2:$I$650,2,FALSE))))</f>
        <v>Brian Lincoln (Ratae)</v>
      </c>
      <c r="I7" s="51">
        <f t="shared" si="0"/>
        <v>2.494212962962963E-2</v>
      </c>
      <c r="J7" t="str">
        <f t="shared" si="1"/>
        <v>X</v>
      </c>
    </row>
    <row r="8" spans="1:10" ht="15">
      <c r="A8" s="46" t="s">
        <v>501</v>
      </c>
      <c r="B8" s="47" t="s">
        <v>554</v>
      </c>
      <c r="C8" s="48"/>
      <c r="D8" s="48">
        <v>28</v>
      </c>
      <c r="E8" s="48">
        <v>31</v>
      </c>
      <c r="F8" s="48"/>
      <c r="G8" s="48"/>
      <c r="H8" s="50" t="str">
        <f>IF($B8="","",IF($J8="X",B8,CONCATENATE(VLOOKUP(B8,Competitors!$A$2:$I$650,3,FALSE)," ",VLOOKUP(B8,Competitors!$A$2:$I$650,2,FALSE))))</f>
        <v>Chris Bonsor (Ratae)</v>
      </c>
      <c r="I8" s="51">
        <f t="shared" si="0"/>
        <v>1.9803240740740739E-2</v>
      </c>
      <c r="J8" t="str">
        <f t="shared" si="1"/>
        <v>X</v>
      </c>
    </row>
    <row r="9" spans="1:10" ht="15">
      <c r="A9" s="46" t="s">
        <v>510</v>
      </c>
      <c r="B9" s="47" t="s">
        <v>564</v>
      </c>
      <c r="C9" s="48"/>
      <c r="D9" s="48">
        <v>29</v>
      </c>
      <c r="E9" s="48">
        <v>58</v>
      </c>
      <c r="F9" s="48"/>
      <c r="G9" s="48"/>
      <c r="H9" s="50" t="str">
        <f>IF($B9="","",IF($J9="X",B9,CONCATENATE(VLOOKUP(B9,Competitors!$A$2:$I$650,3,FALSE)," ",VLOOKUP(B9,Competitors!$A$2:$I$650,2,FALSE))))</f>
        <v>Marshall Briggs (Ratae)</v>
      </c>
      <c r="I9" s="51">
        <f t="shared" si="0"/>
        <v>2.0810185185185185E-2</v>
      </c>
      <c r="J9" t="str">
        <f t="shared" si="1"/>
        <v>X</v>
      </c>
    </row>
    <row r="10" spans="1:10" ht="15">
      <c r="A10" s="46" t="s">
        <v>418</v>
      </c>
      <c r="B10" s="47">
        <v>1355</v>
      </c>
      <c r="C10" s="48"/>
      <c r="D10" s="48">
        <v>27</v>
      </c>
      <c r="E10" s="48">
        <v>16</v>
      </c>
      <c r="F10" s="48" t="s">
        <v>544</v>
      </c>
      <c r="G10" s="48"/>
      <c r="H10" s="50" t="str">
        <f>IF($B10="","",IF($J10="X",B10,CONCATENATE(VLOOKUP(B10,Competitors!$A$2:$I$650,3, FALSE)," ",VLOOKUP(B10,Competitors!$A$2:$I$650,2,FALSE))))</f>
        <v>Aubrey Elmer</v>
      </c>
      <c r="I10" s="51">
        <f t="shared" si="0"/>
        <v>1.8935185185185187E-2</v>
      </c>
      <c r="J10" t="str">
        <f t="shared" si="1"/>
        <v/>
      </c>
    </row>
    <row r="11" spans="1:10" ht="15">
      <c r="A11" s="46" t="s">
        <v>423</v>
      </c>
      <c r="B11" s="47">
        <v>35</v>
      </c>
      <c r="C11" s="48"/>
      <c r="D11" s="48">
        <v>27</v>
      </c>
      <c r="E11" s="48">
        <v>53</v>
      </c>
      <c r="F11" s="48"/>
      <c r="G11" s="48"/>
      <c r="H11" s="50" t="str">
        <f>IF($B11="","",IF($J11="X",B11,CONCATENATE(VLOOKUP(B11,Competitors!$A$2:$I$650,3,FALSE)," ",VLOOKUP(B11,Competitors!$A$2:$I$650,2,FALSE))))</f>
        <v>Matt Plews</v>
      </c>
      <c r="I11" s="51">
        <f t="shared" si="0"/>
        <v>1.9363425925925926E-2</v>
      </c>
      <c r="J11" t="str">
        <f t="shared" si="1"/>
        <v/>
      </c>
    </row>
    <row r="12" spans="1:10" ht="15">
      <c r="A12" s="46" t="s">
        <v>447</v>
      </c>
      <c r="B12" s="47">
        <v>1194</v>
      </c>
      <c r="C12" s="48"/>
      <c r="D12" s="48">
        <v>32</v>
      </c>
      <c r="E12" s="48">
        <v>56</v>
      </c>
      <c r="F12" s="48" t="s">
        <v>544</v>
      </c>
      <c r="G12" s="48"/>
      <c r="H12" s="50" t="str">
        <f>IF($B12="","",IF($J12="X",B12,CONCATENATE(VLOOKUP(B12,Competitors!$A$2:$I$650,3,FALSE)," ",VLOOKUP(B12,Competitors!$A$2:$I$650,2,FALSE))))</f>
        <v>Alex Hardwicke</v>
      </c>
      <c r="I12" s="51">
        <f t="shared" si="0"/>
        <v>2.2870370370370371E-2</v>
      </c>
      <c r="J12" t="str">
        <f t="shared" si="1"/>
        <v/>
      </c>
    </row>
    <row r="13" spans="1:10" ht="15">
      <c r="A13" s="46" t="s">
        <v>417</v>
      </c>
      <c r="B13" s="47">
        <v>1152</v>
      </c>
      <c r="C13" s="48"/>
      <c r="D13" s="48">
        <v>26</v>
      </c>
      <c r="E13" s="48">
        <v>34</v>
      </c>
      <c r="F13" s="48"/>
      <c r="G13" s="48"/>
      <c r="H13" s="50" t="str">
        <f>IF($B13="","",IF($J13="X",B13,CONCATENATE(VLOOKUP(B13,Competitors!$A$2:$I$650,3,FALSE)," ",VLOOKUP(B13,Competitors!$A$2:$I$650,2,FALSE))))</f>
        <v>Ruby Isaac</v>
      </c>
      <c r="I13" s="51">
        <f t="shared" si="0"/>
        <v>1.8449074074074073E-2</v>
      </c>
      <c r="J13" t="str">
        <f t="shared" si="1"/>
        <v/>
      </c>
    </row>
    <row r="14" spans="1:10" ht="15">
      <c r="A14" s="46" t="s">
        <v>427</v>
      </c>
      <c r="B14" s="47">
        <v>915</v>
      </c>
      <c r="C14" s="48"/>
      <c r="D14" s="48">
        <v>28</v>
      </c>
      <c r="E14" s="48">
        <v>18</v>
      </c>
      <c r="F14" s="48"/>
      <c r="G14" s="48"/>
      <c r="H14" s="50" t="str">
        <f>IF($B14="","",IF($J14="X",B14,CONCATENATE(VLOOKUP(B14,Competitors!$A$2:$I$650,3,FALSE)," ",VLOOKUP(B14,Competitors!$A$2:$I$650,2,FALSE))))</f>
        <v>Julian Twynham</v>
      </c>
      <c r="I14" s="51">
        <f t="shared" si="0"/>
        <v>1.9652777777777779E-2</v>
      </c>
      <c r="J14" t="str">
        <f t="shared" si="1"/>
        <v/>
      </c>
    </row>
    <row r="15" spans="1:10" ht="15">
      <c r="A15" s="46" t="s">
        <v>429</v>
      </c>
      <c r="B15" s="47">
        <v>1107</v>
      </c>
      <c r="C15" s="48"/>
      <c r="D15" s="48">
        <v>29</v>
      </c>
      <c r="E15" s="48">
        <v>8</v>
      </c>
      <c r="F15" s="48" t="s">
        <v>544</v>
      </c>
      <c r="G15" s="48"/>
      <c r="H15" s="50" t="str">
        <f>IF($B15="","",IF($J15="X",B15,CONCATENATE(VLOOKUP(B15,Competitors!$A$2:$I$650,3,FALSE)," ",VLOOKUP(B15,Competitors!$A$2:$I$650,2,FALSE))))</f>
        <v>Milly Pinnock</v>
      </c>
      <c r="I15" s="51">
        <f t="shared" si="0"/>
        <v>2.0231481481481482E-2</v>
      </c>
      <c r="J15" t="str">
        <f t="shared" si="1"/>
        <v/>
      </c>
    </row>
    <row r="16" spans="1:10" ht="15">
      <c r="A16" s="46" t="s">
        <v>566</v>
      </c>
      <c r="B16" s="47" t="s">
        <v>566</v>
      </c>
      <c r="C16" s="48"/>
      <c r="D16" s="48">
        <v>31</v>
      </c>
      <c r="E16" s="48">
        <v>25</v>
      </c>
      <c r="F16" s="48" t="s">
        <v>544</v>
      </c>
      <c r="G16" s="48"/>
      <c r="H16" s="50" t="str">
        <f>IF($B16="","",IF($J16="X",B16,CONCATENATE(VLOOKUP(B16,Competitors!$A$2:$I$650,3,FALSE)," ",VLOOKUP(B16,Competitors!$A$2:$I$650,2,FALSE))))</f>
        <v>Laura Davison</v>
      </c>
      <c r="I16" s="51">
        <f t="shared" si="0"/>
        <v>2.1817129629629631E-2</v>
      </c>
      <c r="J16" t="str">
        <f t="shared" si="1"/>
        <v>X</v>
      </c>
    </row>
    <row r="17" spans="1:10" ht="15">
      <c r="A17" s="46" t="s">
        <v>443</v>
      </c>
      <c r="B17" s="47">
        <v>1193</v>
      </c>
      <c r="C17" s="48"/>
      <c r="D17" s="48">
        <v>30</v>
      </c>
      <c r="E17" s="48">
        <v>48</v>
      </c>
      <c r="F17" s="48" t="s">
        <v>544</v>
      </c>
      <c r="G17" s="48"/>
      <c r="H17" s="50" t="str">
        <f>IF($B17="","",IF($J17="X",B17,CONCATENATE(VLOOKUP(B17,Competitors!$A$2:$I$650,3,FALSE)," ",VLOOKUP(B17,Competitors!$A$2:$I$650,2,FALSE))))</f>
        <v>Richard Hardwicke</v>
      </c>
      <c r="I17" s="51">
        <f t="shared" si="0"/>
        <v>2.1388888888888888E-2</v>
      </c>
      <c r="J17" t="str">
        <f t="shared" si="1"/>
        <v/>
      </c>
    </row>
    <row r="18" spans="1:10" ht="15">
      <c r="A18" s="46" t="s">
        <v>512</v>
      </c>
      <c r="B18" s="47" t="s">
        <v>567</v>
      </c>
      <c r="C18" s="48"/>
      <c r="D18" s="48">
        <v>35</v>
      </c>
      <c r="E18" s="48">
        <v>30</v>
      </c>
      <c r="F18" s="48" t="s">
        <v>544</v>
      </c>
      <c r="G18" s="48"/>
      <c r="H18" s="50" t="str">
        <f>IF($B18="","",IF($J18="X",B18,CONCATENATE(VLOOKUP(B18,Competitors!$A$2:$I$650,3,FALSE)," ",VLOOKUP(B18,Competitors!$A$2:$I$650,2,FALSE))))</f>
        <v>Paul Eden (Ratae)</v>
      </c>
      <c r="I18" s="51">
        <f t="shared" si="0"/>
        <v>2.4652777777777777E-2</v>
      </c>
      <c r="J18" t="str">
        <f t="shared" si="1"/>
        <v>X</v>
      </c>
    </row>
    <row r="19" spans="1:10" ht="15">
      <c r="A19" s="46" t="s">
        <v>440</v>
      </c>
      <c r="B19" s="47">
        <v>245</v>
      </c>
      <c r="C19" s="48"/>
      <c r="D19" s="48">
        <v>30</v>
      </c>
      <c r="E19" s="48">
        <v>41</v>
      </c>
      <c r="F19" s="48" t="s">
        <v>544</v>
      </c>
      <c r="G19" s="48"/>
      <c r="H19" s="50" t="str">
        <f>IF($B19="","",IF($J19="X",B19,CONCATENATE(VLOOKUP(B19,Competitors!$A$2:$I$650,3,FALSE)," ",VLOOKUP(B19,Competitors!$A$2:$I$650,2,FALSE))))</f>
        <v>David Reay</v>
      </c>
      <c r="I19" s="51">
        <f t="shared" si="0"/>
        <v>2.1307870370370369E-2</v>
      </c>
      <c r="J19" t="str">
        <f t="shared" si="1"/>
        <v/>
      </c>
    </row>
    <row r="20" spans="1:10" ht="15">
      <c r="A20" s="46" t="s">
        <v>432</v>
      </c>
      <c r="B20" s="47">
        <v>1112</v>
      </c>
      <c r="C20" s="48"/>
      <c r="D20" s="48">
        <v>29</v>
      </c>
      <c r="E20" s="48">
        <v>29</v>
      </c>
      <c r="F20" s="48"/>
      <c r="G20" s="48"/>
      <c r="H20" s="50" t="str">
        <f>IF($B20="","",IF($J20="X",B20,CONCATENATE(VLOOKUP(B20,Competitors!$A$2:$I$650,3,FALSE)," ",VLOOKUP(B20,Competitors!$A$2:$I$650,2,FALSE))))</f>
        <v>Gary Ashwell</v>
      </c>
      <c r="I20" s="51">
        <f t="shared" si="0"/>
        <v>2.0474537037037038E-2</v>
      </c>
      <c r="J20" t="str">
        <f t="shared" si="1"/>
        <v/>
      </c>
    </row>
    <row r="21" spans="1:10" ht="15">
      <c r="A21" s="46" t="s">
        <v>421</v>
      </c>
      <c r="B21" s="47">
        <v>415</v>
      </c>
      <c r="C21" s="48"/>
      <c r="D21" s="48">
        <v>27</v>
      </c>
      <c r="E21" s="48">
        <v>26</v>
      </c>
      <c r="F21" s="48" t="s">
        <v>544</v>
      </c>
      <c r="G21" s="48"/>
      <c r="H21" s="50" t="str">
        <f>IF($B21="","",IF($J21="X",B21,CONCATENATE(VLOOKUP(B21,Competitors!$A$2:$I$650,3,FALSE)," ",VLOOKUP(B21,Competitors!$A$2:$I$650,2,FALSE))))</f>
        <v>Nik Kershaw</v>
      </c>
      <c r="I21" s="51">
        <f t="shared" si="0"/>
        <v>1.9050925925925926E-2</v>
      </c>
      <c r="J21" t="str">
        <f t="shared" si="1"/>
        <v/>
      </c>
    </row>
    <row r="22" spans="1:10" ht="15">
      <c r="A22" s="46" t="s">
        <v>420</v>
      </c>
      <c r="B22" s="47">
        <v>1192</v>
      </c>
      <c r="C22" s="48"/>
      <c r="D22" s="48">
        <v>28</v>
      </c>
      <c r="E22" s="48">
        <v>43</v>
      </c>
      <c r="F22" s="48" t="s">
        <v>544</v>
      </c>
      <c r="G22" s="48"/>
      <c r="H22" s="50" t="str">
        <f>IF($B22="","",IF($J22="X",B22,CONCATENATE(VLOOKUP(B22,Competitors!$A$2:$I$650,3,FALSE)," ",VLOOKUP(B22,Competitors!$A$2:$I$650,2,FALSE))))</f>
        <v>Dale Norris</v>
      </c>
      <c r="I22" s="51">
        <f t="shared" si="0"/>
        <v>1.9942129629629629E-2</v>
      </c>
      <c r="J22" t="str">
        <f t="shared" si="1"/>
        <v/>
      </c>
    </row>
    <row r="23" spans="1:10" ht="15">
      <c r="A23" s="46" t="s">
        <v>438</v>
      </c>
      <c r="B23" s="47">
        <v>704</v>
      </c>
      <c r="C23" s="48"/>
      <c r="D23" s="48">
        <v>31</v>
      </c>
      <c r="E23" s="48">
        <v>58</v>
      </c>
      <c r="F23" s="48"/>
      <c r="G23" s="48"/>
      <c r="H23" s="50" t="str">
        <f>IF($B23="","",IF($J23="X",B23,CONCATENATE(VLOOKUP(B23,Competitors!$A$2:$I$650,3,FALSE)," ",VLOOKUP(B23,Competitors!$A$2:$I$650,2,FALSE))))</f>
        <v>Chris Dainty</v>
      </c>
      <c r="I23" s="51">
        <f t="shared" si="0"/>
        <v>2.2199074074074072E-2</v>
      </c>
      <c r="J23" t="str">
        <f t="shared" si="1"/>
        <v/>
      </c>
    </row>
    <row r="24" spans="1:10" ht="15">
      <c r="A24" s="46" t="s">
        <v>422</v>
      </c>
      <c r="B24" s="47">
        <v>1407</v>
      </c>
      <c r="C24" s="48"/>
      <c r="D24" s="48">
        <v>28</v>
      </c>
      <c r="E24" s="48">
        <v>15</v>
      </c>
      <c r="F24" s="48" t="s">
        <v>544</v>
      </c>
      <c r="G24" s="48"/>
      <c r="H24" s="50" t="str">
        <f>IF($B24="","",IF($J24="X",B24,CONCATENATE(VLOOKUP(B24,Competitors!$A$2:$I$650,3,FALSE)," ",VLOOKUP(B24,Competitors!$A$2:$I$650,2,FALSE))))</f>
        <v>Colin Dobson</v>
      </c>
      <c r="I24" s="51">
        <f t="shared" si="0"/>
        <v>1.9618055555555555E-2</v>
      </c>
      <c r="J24" t="str">
        <f t="shared" si="1"/>
        <v/>
      </c>
    </row>
    <row r="25" spans="1:10" ht="15">
      <c r="A25" s="46" t="s">
        <v>436</v>
      </c>
      <c r="B25" s="47">
        <v>203</v>
      </c>
      <c r="C25" s="48"/>
      <c r="D25" s="48">
        <v>32</v>
      </c>
      <c r="E25" s="48">
        <v>33</v>
      </c>
      <c r="F25" s="48"/>
      <c r="G25" s="48"/>
      <c r="H25" s="50" t="str">
        <f>IF($B25="","",IF($J25="X",B25,CONCATENATE(VLOOKUP(B25,Competitors!$A$2:$I$650,3,FALSE)," ",VLOOKUP(B25,Competitors!$A$2:$I$650,2,FALSE))))</f>
        <v>Adrian Killworth</v>
      </c>
      <c r="I25" s="51">
        <f t="shared" si="0"/>
        <v>2.2604166666666668E-2</v>
      </c>
      <c r="J25" t="str">
        <f t="shared" si="1"/>
        <v/>
      </c>
    </row>
    <row r="26" spans="1:10" ht="15">
      <c r="A26" s="46" t="s">
        <v>415</v>
      </c>
      <c r="B26" s="47">
        <v>1161</v>
      </c>
      <c r="C26" s="48"/>
      <c r="D26" s="48">
        <v>26</v>
      </c>
      <c r="E26" s="48">
        <v>29</v>
      </c>
      <c r="F26" s="48"/>
      <c r="G26" s="48"/>
      <c r="H26" s="50" t="str">
        <f>IF($B26="","",IF($J26="X",B26,CONCATENATE(VLOOKUP(B26,Competitors!$A$2:$I$650,3,FALSE)," ",VLOOKUP(B26,Competitors!$A$2:$I$650,2,FALSE))))</f>
        <v>Maciej Suchocki</v>
      </c>
      <c r="I26" s="51">
        <f t="shared" si="0"/>
        <v>1.8391203703703705E-2</v>
      </c>
      <c r="J26" t="str">
        <f t="shared" si="1"/>
        <v/>
      </c>
    </row>
    <row r="27" spans="1:10" ht="15">
      <c r="A27" s="46" t="s">
        <v>433</v>
      </c>
      <c r="B27" s="47">
        <v>1109</v>
      </c>
      <c r="C27" s="48"/>
      <c r="D27" s="48">
        <v>29</v>
      </c>
      <c r="E27" s="48">
        <v>43</v>
      </c>
      <c r="F27" s="48" t="s">
        <v>544</v>
      </c>
      <c r="G27" s="48"/>
      <c r="H27" s="50" t="str">
        <f>IF($B27="","",IF($J27="X",B27,CONCATENATE(VLOOKUP(B27,Competitors!$A$2:$I$650,3,FALSE)," ",VLOOKUP(B27,Competitors!$A$2:$I$650,2,FALSE))))</f>
        <v>Stuart Haycox</v>
      </c>
      <c r="I27" s="51">
        <f t="shared" si="0"/>
        <v>2.0636574074074075E-2</v>
      </c>
      <c r="J27" t="str">
        <f t="shared" si="1"/>
        <v/>
      </c>
    </row>
    <row r="28" spans="1:10" ht="15">
      <c r="A28" s="46" t="s">
        <v>414</v>
      </c>
      <c r="B28" s="47">
        <v>699</v>
      </c>
      <c r="C28" s="48"/>
      <c r="D28" s="48">
        <v>27</v>
      </c>
      <c r="E28" s="48">
        <v>22</v>
      </c>
      <c r="F28" s="48"/>
      <c r="G28" s="48"/>
      <c r="H28" s="50" t="str">
        <f>IF($B28="","",IF($J28="X",B28,CONCATENATE(VLOOKUP(B28,Competitors!$A$2:$I$650,3,FALSE)," ",VLOOKUP(B28,Competitors!$A$2:$I$650,2,FALSE))))</f>
        <v>Jonathan Durnin</v>
      </c>
      <c r="I28" s="51">
        <f t="shared" si="0"/>
        <v>1.9004629629629628E-2</v>
      </c>
      <c r="J28" t="str">
        <f t="shared" si="1"/>
        <v/>
      </c>
    </row>
    <row r="29" spans="1:10" ht="15">
      <c r="A29" s="46" t="s">
        <v>435</v>
      </c>
      <c r="B29" s="47">
        <v>846</v>
      </c>
      <c r="C29" s="48"/>
      <c r="D29" s="48">
        <v>28</v>
      </c>
      <c r="E29" s="48">
        <v>17</v>
      </c>
      <c r="F29" s="48"/>
      <c r="G29" s="48"/>
      <c r="H29" s="50" t="str">
        <f>IF($B29="","",IF($J29="X",B29,CONCATENATE(VLOOKUP(B29,Competitors!$A$2:$I$650,3,FALSE)," ",VLOOKUP(B29,Competitors!$A$2:$I$650,2,FALSE))))</f>
        <v>Roger Kockelbergh</v>
      </c>
      <c r="I29" s="51">
        <f t="shared" si="0"/>
        <v>1.9641203703703702E-2</v>
      </c>
      <c r="J29" t="str">
        <f t="shared" si="1"/>
        <v/>
      </c>
    </row>
    <row r="30" spans="1:10" ht="15">
      <c r="A30" s="46" t="s">
        <v>428</v>
      </c>
      <c r="B30" s="47">
        <v>1237</v>
      </c>
      <c r="C30" s="48"/>
      <c r="D30" s="48">
        <v>28</v>
      </c>
      <c r="E30" s="48">
        <v>45</v>
      </c>
      <c r="F30" s="48" t="s">
        <v>544</v>
      </c>
      <c r="G30" s="48"/>
      <c r="H30" s="50" t="str">
        <f>IF($B30="","",IF($J30="X",B30,CONCATENATE(VLOOKUP(B30,Competitors!$A$2:$I$650,3,FALSE)," ",VLOOKUP(B30,Competitors!$A$2:$I$650,2,FALSE))))</f>
        <v>John Abbott</v>
      </c>
      <c r="I30" s="51">
        <f t="shared" si="0"/>
        <v>1.9965277777777776E-2</v>
      </c>
      <c r="J30" t="str">
        <f t="shared" si="1"/>
        <v/>
      </c>
    </row>
    <row r="31" spans="1:10" ht="15">
      <c r="A31" s="46" t="s">
        <v>527</v>
      </c>
      <c r="B31" s="47" t="s">
        <v>558</v>
      </c>
      <c r="C31" s="48"/>
      <c r="D31" s="48">
        <v>27</v>
      </c>
      <c r="E31" s="48">
        <v>2</v>
      </c>
      <c r="F31" s="48"/>
      <c r="G31" s="48"/>
      <c r="H31" s="50" t="str">
        <f>IF($B31="","",IF($J31="X",B31,CONCATENATE(VLOOKUP(B31,Competitors!$A$2:$I$650,3,FALSE)," ",VLOOKUP(B31,Competitors!$A$2:$I$650,2,FALSE))))</f>
        <v>Phil Wilkinson (RFW)</v>
      </c>
      <c r="I31" s="51">
        <f t="shared" si="0"/>
        <v>1.8773148148148146E-2</v>
      </c>
      <c r="J31" t="str">
        <f t="shared" si="1"/>
        <v>X</v>
      </c>
    </row>
    <row r="32" spans="1:10" ht="15">
      <c r="A32" s="46"/>
      <c r="B32" s="47" t="str">
        <f>IF(A32="","",_xlfn.XLOOKUP(A32,ClubNames,ClubNumbers,_xlfn.XLOOKUP(A32,RoundRobinRiderNames,RoundRobinRiderDecoratedNames,A32)))</f>
        <v/>
      </c>
      <c r="C32" s="48"/>
      <c r="D32" s="48"/>
      <c r="E32" s="48"/>
      <c r="F32" s="48"/>
      <c r="G32" s="48"/>
      <c r="H32" s="50" t="str">
        <f>IF($B32="","",IF($J32="X",B32,CONCATENATE(VLOOKUP(B32,Competitors!$A$2:$I$650,3,FALSE)," ",VLOOKUP(B32,Competitors!$A$2:$I$650,2,FALSE))))</f>
        <v/>
      </c>
      <c r="I32" s="51">
        <f t="shared" si="0"/>
        <v>0</v>
      </c>
      <c r="J32" t="str">
        <f t="shared" si="1"/>
        <v/>
      </c>
    </row>
    <row r="33" spans="1:10" ht="15">
      <c r="A33" s="46"/>
      <c r="B33" s="47" t="str">
        <f>IF(A33="","",_xlfn.XLOOKUP(A33,ClubNames,ClubNumbers,_xlfn.XLOOKUP(A33,RoundRobinRiderNames,RoundRobinRiderDecoratedNames,A33)))</f>
        <v/>
      </c>
      <c r="C33" s="48"/>
      <c r="D33" s="48"/>
      <c r="E33" s="48"/>
      <c r="F33" s="48"/>
      <c r="G33" s="48"/>
      <c r="H33" s="50" t="str">
        <f>IF($B33="","",IF($J33="X",B33,CONCATENATE(VLOOKUP(B33,Competitors!$A$2:$I$650,3,FALSE)," ",VLOOKUP(B33,Competitors!$A$2:$I$650,2,FALSE))))</f>
        <v/>
      </c>
      <c r="I33" s="51">
        <f t="shared" si="0"/>
        <v>0</v>
      </c>
      <c r="J33" t="str">
        <f t="shared" si="1"/>
        <v/>
      </c>
    </row>
    <row r="34" spans="1:10" ht="15">
      <c r="A34" s="46"/>
      <c r="B34" s="47" t="str">
        <f t="shared" ref="B34:B97" si="2">IF(A34="","",_xlfn.XLOOKUP(A34,ClubNames,ClubNumbers,_xlfn.XLOOKUP(A34,RoundRobinRiderNames,RoundRobinRiderDecoratedNames,A34)))</f>
        <v/>
      </c>
      <c r="C34" s="48"/>
      <c r="D34" s="48"/>
      <c r="E34" s="48"/>
      <c r="F34" s="48"/>
      <c r="G34" s="48"/>
      <c r="H34" s="50" t="str">
        <f>IF($B34="","",IF($J34="X",B34,CONCATENATE(VLOOKUP(B34,Competitors!$A$2:$I$650,3,FALSE)," ",VLOOKUP(B34,Competitors!$A$2:$I$650,2,FALSE))))</f>
        <v/>
      </c>
      <c r="I34" s="51">
        <f t="shared" si="0"/>
        <v>0</v>
      </c>
      <c r="J34" t="str">
        <f t="shared" si="1"/>
        <v/>
      </c>
    </row>
    <row r="35" spans="1:10" ht="15">
      <c r="A35" s="46"/>
      <c r="B35" s="47" t="str">
        <f t="shared" si="2"/>
        <v/>
      </c>
      <c r="C35" s="48"/>
      <c r="D35" s="48"/>
      <c r="E35" s="48"/>
      <c r="F35" s="48"/>
      <c r="G35" s="48"/>
      <c r="H35" s="50" t="str">
        <f>IF($B35="","",IF($J35="X",B35,CONCATENATE(VLOOKUP(B35,Competitors!$A$2:$I$650,3,FALSE)," ",VLOOKUP(B35,Competitors!$A$2:$I$650,2,FALSE))))</f>
        <v/>
      </c>
      <c r="I35" s="51">
        <f t="shared" si="0"/>
        <v>0</v>
      </c>
      <c r="J35" t="str">
        <f t="shared" si="1"/>
        <v/>
      </c>
    </row>
    <row r="36" spans="1:10" ht="15">
      <c r="A36" s="46"/>
      <c r="B36" s="47" t="str">
        <f t="shared" si="2"/>
        <v/>
      </c>
      <c r="C36" s="48"/>
      <c r="D36" s="48"/>
      <c r="E36" s="48"/>
      <c r="F36" s="48"/>
      <c r="G36" s="48"/>
      <c r="H36" s="50" t="str">
        <f>IF($B36="","",IF($J36="X",B36,CONCATENATE(VLOOKUP(B36,Competitors!$A$2:$I$650,3,FALSE)," ",VLOOKUP(B36,Competitors!$A$2:$I$650,2,FALSE))))</f>
        <v/>
      </c>
      <c r="I36" s="51">
        <f t="shared" si="0"/>
        <v>0</v>
      </c>
      <c r="J36" t="str">
        <f t="shared" si="1"/>
        <v/>
      </c>
    </row>
    <row r="37" spans="1:10" ht="15">
      <c r="A37" s="46"/>
      <c r="B37" s="47" t="str">
        <f t="shared" si="2"/>
        <v/>
      </c>
      <c r="C37" s="48"/>
      <c r="D37" s="48"/>
      <c r="E37" s="48"/>
      <c r="F37" s="48"/>
      <c r="G37" s="48"/>
      <c r="H37" s="50" t="str">
        <f>IF($B37="","",IF($J37="X",B37,CONCATENATE(VLOOKUP(B37,Competitors!$A$2:$I$650,3,FALSE)," ",VLOOKUP(B37,Competitors!$A$2:$I$650,2,FALSE))))</f>
        <v/>
      </c>
      <c r="I37" s="51">
        <f t="shared" si="0"/>
        <v>0</v>
      </c>
      <c r="J37" t="str">
        <f t="shared" si="1"/>
        <v/>
      </c>
    </row>
    <row r="38" spans="1:10" ht="15">
      <c r="A38" s="46"/>
      <c r="B38" s="47" t="str">
        <f t="shared" si="2"/>
        <v/>
      </c>
      <c r="C38" s="48"/>
      <c r="D38" s="48"/>
      <c r="E38" s="48"/>
      <c r="F38" s="48"/>
      <c r="G38" s="48"/>
      <c r="H38" s="50" t="str">
        <f>IF($B38="","",IF($J38="X",B38,CONCATENATE(VLOOKUP(B38,Competitors!$A$2:$I$650,3,FALSE)," ",VLOOKUP(B38,Competitors!$A$2:$I$650,2,FALSE))))</f>
        <v/>
      </c>
      <c r="I38" s="51">
        <f t="shared" si="0"/>
        <v>0</v>
      </c>
      <c r="J38" t="str">
        <f t="shared" si="1"/>
        <v/>
      </c>
    </row>
    <row r="39" spans="1:10" ht="15">
      <c r="A39" s="46"/>
      <c r="B39" s="47" t="str">
        <f t="shared" si="2"/>
        <v/>
      </c>
      <c r="C39" s="48"/>
      <c r="D39" s="48"/>
      <c r="E39" s="48"/>
      <c r="F39" s="48"/>
      <c r="G39" s="48"/>
      <c r="H39" s="50" t="str">
        <f>IF($B39="","",IF($J39="X",B39,CONCATENATE(VLOOKUP(B39,Competitors!$A$2:$I$650,3,FALSE)," ",VLOOKUP(B39,Competitors!$A$2:$I$650,2,FALSE))))</f>
        <v/>
      </c>
      <c r="I39" s="51">
        <f t="shared" si="0"/>
        <v>0</v>
      </c>
      <c r="J39" t="str">
        <f t="shared" si="1"/>
        <v/>
      </c>
    </row>
    <row r="40" spans="1:10" ht="15">
      <c r="A40" s="46"/>
      <c r="B40" s="47" t="str">
        <f t="shared" si="2"/>
        <v/>
      </c>
      <c r="C40" s="48"/>
      <c r="D40" s="48"/>
      <c r="E40" s="48"/>
      <c r="F40" s="48"/>
      <c r="G40" s="48"/>
      <c r="H40" s="50" t="str">
        <f>IF($B40="","",IF($J40="X",B40,CONCATENATE(VLOOKUP(B40,Competitors!$A$2:$I$650,3,FALSE)," ",VLOOKUP(B40,Competitors!$A$2:$I$650,2,FALSE))))</f>
        <v/>
      </c>
      <c r="I40" s="51">
        <f t="shared" si="0"/>
        <v>0</v>
      </c>
      <c r="J40" t="str">
        <f t="shared" si="1"/>
        <v/>
      </c>
    </row>
    <row r="41" spans="1:10" ht="15">
      <c r="A41" s="46"/>
      <c r="B41" s="47" t="str">
        <f t="shared" si="2"/>
        <v/>
      </c>
      <c r="C41" s="48"/>
      <c r="D41" s="48"/>
      <c r="E41" s="48"/>
      <c r="F41" s="48"/>
      <c r="G41" s="48"/>
      <c r="H41" s="50" t="str">
        <f>IF($B41="","",IF($J41="X",B41,CONCATENATE(VLOOKUP(B41,Competitors!$A$2:$I$650,3,FALSE)," ",VLOOKUP(B41,Competitors!$A$2:$I$650,2,FALSE))))</f>
        <v/>
      </c>
      <c r="I41" s="51">
        <f t="shared" si="0"/>
        <v>0</v>
      </c>
      <c r="J41" t="str">
        <f t="shared" si="1"/>
        <v/>
      </c>
    </row>
    <row r="42" spans="1:10" ht="15">
      <c r="A42" s="46"/>
      <c r="B42" s="47" t="str">
        <f t="shared" si="2"/>
        <v/>
      </c>
      <c r="C42" s="48"/>
      <c r="D42" s="48"/>
      <c r="E42" s="48"/>
      <c r="F42" s="48"/>
      <c r="G42" s="48"/>
      <c r="H42" s="50" t="str">
        <f>IF($B42="","",IF($J42="X",B42,CONCATENATE(VLOOKUP(B42,Competitors!$A$2:$I$650,3,FALSE)," ",VLOOKUP(B42,Competitors!$A$2:$I$650,2,FALSE))))</f>
        <v/>
      </c>
      <c r="I42" s="51">
        <f t="shared" si="0"/>
        <v>0</v>
      </c>
      <c r="J42" t="str">
        <f t="shared" si="1"/>
        <v/>
      </c>
    </row>
    <row r="43" spans="1:10" ht="15">
      <c r="A43" s="46"/>
      <c r="B43" s="47" t="str">
        <f t="shared" si="2"/>
        <v/>
      </c>
      <c r="C43" s="48"/>
      <c r="D43" s="48"/>
      <c r="E43" s="48"/>
      <c r="F43" s="48"/>
      <c r="G43" s="48"/>
      <c r="H43" s="50" t="str">
        <f>IF($B43="","",IF($J43="X",B43,CONCATENATE(VLOOKUP(B43,Competitors!$A$2:$I$650,3,FALSE)," ",VLOOKUP(B43,Competitors!$A$2:$I$650,2,FALSE))))</f>
        <v/>
      </c>
      <c r="I43" s="51">
        <f t="shared" si="0"/>
        <v>0</v>
      </c>
      <c r="J43" t="str">
        <f t="shared" si="1"/>
        <v/>
      </c>
    </row>
    <row r="44" spans="1:10" ht="15">
      <c r="A44" s="46"/>
      <c r="B44" s="47" t="str">
        <f t="shared" si="2"/>
        <v/>
      </c>
      <c r="C44" s="48"/>
      <c r="D44" s="48"/>
      <c r="E44" s="48"/>
      <c r="F44" s="48"/>
      <c r="G44" s="48"/>
      <c r="H44" s="50" t="str">
        <f>IF($B44="","",IF($J44="X",B44,CONCATENATE(VLOOKUP(B44,Competitors!$A$2:$I$650,3,FALSE)," ",VLOOKUP(B44,Competitors!$A$2:$I$650,2,FALSE))))</f>
        <v/>
      </c>
      <c r="I44" s="51">
        <f t="shared" si="0"/>
        <v>0</v>
      </c>
      <c r="J44" t="str">
        <f t="shared" si="1"/>
        <v/>
      </c>
    </row>
    <row r="45" spans="1:10" ht="15">
      <c r="A45" s="46"/>
      <c r="B45" s="47" t="str">
        <f t="shared" si="2"/>
        <v/>
      </c>
      <c r="C45" s="48"/>
      <c r="D45" s="48"/>
      <c r="E45" s="48"/>
      <c r="F45" s="48"/>
      <c r="G45" s="48"/>
      <c r="H45" s="50" t="str">
        <f>IF($B45="","",IF($J45="X",B45,CONCATENATE(VLOOKUP(B45,Competitors!$A$2:$I$650,3,FALSE)," ",VLOOKUP(B45,Competitors!$A$2:$I$650,2,FALSE))))</f>
        <v/>
      </c>
      <c r="I45" s="51">
        <f t="shared" si="0"/>
        <v>0</v>
      </c>
      <c r="J45" t="str">
        <f t="shared" si="1"/>
        <v/>
      </c>
    </row>
    <row r="46" spans="1:10" ht="15">
      <c r="A46" s="46"/>
      <c r="B46" s="47" t="str">
        <f t="shared" si="2"/>
        <v/>
      </c>
      <c r="C46" s="48"/>
      <c r="D46" s="48"/>
      <c r="E46" s="48"/>
      <c r="F46" s="48"/>
      <c r="G46" s="48"/>
      <c r="H46" s="50" t="str">
        <f>IF($B46="","",IF($J46="X",B46,CONCATENATE(VLOOKUP(B46,Competitors!$A$2:$I$650,3,FALSE)," ",VLOOKUP(B46,Competitors!$A$2:$I$650,2,FALSE))))</f>
        <v/>
      </c>
      <c r="I46" s="51">
        <f t="shared" si="0"/>
        <v>0</v>
      </c>
      <c r="J46" t="str">
        <f t="shared" si="1"/>
        <v/>
      </c>
    </row>
    <row r="47" spans="1:10" ht="15">
      <c r="A47" s="46"/>
      <c r="B47" s="47" t="str">
        <f t="shared" si="2"/>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47" t="str">
        <f t="shared" si="2"/>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47" t="str">
        <f t="shared" si="2"/>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47" t="str">
        <f t="shared" si="2"/>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47" t="str">
        <f t="shared" si="2"/>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47" t="str">
        <f t="shared" si="2"/>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47" t="str">
        <f t="shared" si="2"/>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47" t="str">
        <f t="shared" si="2"/>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47" t="str">
        <f t="shared" si="2"/>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2"/>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2"/>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2"/>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2"/>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2"/>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2"/>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2"/>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2"/>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2"/>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2"/>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2"/>
        <v/>
      </c>
      <c r="C66" s="48"/>
      <c r="D66" s="48"/>
      <c r="E66" s="48"/>
      <c r="F66" s="48"/>
      <c r="G66" s="48"/>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47" t="str">
        <f t="shared" si="2"/>
        <v/>
      </c>
      <c r="C67" s="48"/>
      <c r="D67" s="48"/>
      <c r="E67" s="48"/>
      <c r="F67" s="48"/>
      <c r="G67" s="48"/>
      <c r="H67" s="50" t="str">
        <f>IF($B67="","",IF($J67="X",B67,CONCATENATE(VLOOKUP(B67,Competitors!$A$2:$I$650,3,FALSE)," ",VLOOKUP(B67,Competitors!$A$2:$I$650,2,FALSE))))</f>
        <v/>
      </c>
      <c r="I67" s="51">
        <f t="shared" si="3"/>
        <v>0</v>
      </c>
      <c r="J67" t="str">
        <f t="shared" si="4"/>
        <v/>
      </c>
    </row>
    <row r="68" spans="1:10" ht="15">
      <c r="A68" s="46"/>
      <c r="B68" s="47" t="str">
        <f t="shared" si="2"/>
        <v/>
      </c>
      <c r="C68" s="48"/>
      <c r="D68" s="48"/>
      <c r="E68" s="48"/>
      <c r="F68" s="48"/>
      <c r="G68" s="48"/>
      <c r="H68" s="50" t="str">
        <f>IF($B68="","",IF($J68="X",B68,CONCATENATE(VLOOKUP(B68,Competitors!$A$2:$I$650,3,FALSE)," ",VLOOKUP(B68,Competitors!$A$2:$I$650,2,FALSE))))</f>
        <v/>
      </c>
      <c r="I68" s="51">
        <f t="shared" si="3"/>
        <v>0</v>
      </c>
      <c r="J68" t="str">
        <f t="shared" si="4"/>
        <v/>
      </c>
    </row>
    <row r="69" spans="1:10" ht="15">
      <c r="A69" s="46"/>
      <c r="B69" s="47" t="str">
        <f t="shared" si="2"/>
        <v/>
      </c>
      <c r="C69" s="48"/>
      <c r="D69" s="48"/>
      <c r="E69" s="48"/>
      <c r="F69" s="48"/>
      <c r="G69" s="48"/>
      <c r="H69" s="50" t="str">
        <f>IF($B69="","",IF($J69="X",B69,CONCATENATE(VLOOKUP(B69,Competitors!$A$2:$I$650,3,FALSE)," ",VLOOKUP(B69,Competitors!$A$2:$I$650,2,FALSE))))</f>
        <v/>
      </c>
      <c r="I69" s="51">
        <f t="shared" si="3"/>
        <v>0</v>
      </c>
      <c r="J69" t="str">
        <f t="shared" si="4"/>
        <v/>
      </c>
    </row>
    <row r="70" spans="1:10" ht="15">
      <c r="A70" s="46"/>
      <c r="B70" s="47" t="str">
        <f t="shared" si="2"/>
        <v/>
      </c>
      <c r="C70" s="48"/>
      <c r="D70" s="48"/>
      <c r="E70" s="48"/>
      <c r="F70" s="48"/>
      <c r="G70" s="48"/>
      <c r="H70" s="50" t="str">
        <f>IF($B70="","",IF($J70="X",B70,CONCATENATE(VLOOKUP(B70,Competitors!$A$2:$I$650,3,FALSE)," ",VLOOKUP(B70,Competitors!$A$2:$I$650,2,FALSE))))</f>
        <v/>
      </c>
      <c r="I70" s="51">
        <f t="shared" si="3"/>
        <v>0</v>
      </c>
      <c r="J70" t="str">
        <f t="shared" si="4"/>
        <v/>
      </c>
    </row>
    <row r="71" spans="1:10" ht="15">
      <c r="A71" s="46"/>
      <c r="B71" s="47" t="str">
        <f t="shared" si="2"/>
        <v/>
      </c>
      <c r="C71" s="48"/>
      <c r="D71" s="48"/>
      <c r="E71" s="48"/>
      <c r="F71" s="48"/>
      <c r="G71" s="48"/>
      <c r="H71" s="50" t="str">
        <f>IF($B71="","",IF($J71="X",B71,CONCATENATE(VLOOKUP(B71,Competitors!$A$2:$I$650,3,FALSE)," ",VLOOKUP(B71,Competitors!$A$2:$I$650,2,FALSE))))</f>
        <v/>
      </c>
      <c r="I71" s="51">
        <f t="shared" si="3"/>
        <v>0</v>
      </c>
      <c r="J71" t="str">
        <f t="shared" si="4"/>
        <v/>
      </c>
    </row>
    <row r="72" spans="1:10" ht="15">
      <c r="A72" s="46"/>
      <c r="B72" s="47" t="str">
        <f t="shared" si="2"/>
        <v/>
      </c>
      <c r="C72" s="48"/>
      <c r="D72" s="48"/>
      <c r="E72" s="48"/>
      <c r="F72" s="48"/>
      <c r="G72" s="48"/>
      <c r="H72" s="50" t="str">
        <f>IF($B72="","",IF($J72="X",B72,CONCATENATE(VLOOKUP(B72,Competitors!$A$2:$I$650,3,FALSE)," ",VLOOKUP(B72,Competitors!$A$2:$I$650,2,FALSE))))</f>
        <v/>
      </c>
      <c r="I72" s="51">
        <f t="shared" si="3"/>
        <v>0</v>
      </c>
      <c r="J72" t="str">
        <f t="shared" si="4"/>
        <v/>
      </c>
    </row>
    <row r="73" spans="1:10" ht="15">
      <c r="A73" s="46"/>
      <c r="B73" s="47" t="str">
        <f t="shared" si="2"/>
        <v/>
      </c>
      <c r="C73" s="48"/>
      <c r="D73" s="48"/>
      <c r="E73" s="48"/>
      <c r="F73" s="48"/>
      <c r="G73" s="48"/>
      <c r="H73" s="50" t="str">
        <f>IF($B73="","",IF($J73="X",B73,CONCATENATE(VLOOKUP(B73,Competitors!$A$2:$I$650,3,FALSE)," ",VLOOKUP(B73,Competitors!$A$2:$I$650,2,FALSE))))</f>
        <v/>
      </c>
      <c r="I73" s="51">
        <f t="shared" si="3"/>
        <v>0</v>
      </c>
      <c r="J73" t="str">
        <f t="shared" si="4"/>
        <v/>
      </c>
    </row>
    <row r="74" spans="1:10" ht="15">
      <c r="A74" s="46"/>
      <c r="B74" s="47" t="str">
        <f t="shared" si="2"/>
        <v/>
      </c>
      <c r="C74" s="48"/>
      <c r="D74" s="48"/>
      <c r="E74" s="48"/>
      <c r="F74" s="48"/>
      <c r="G74" s="48"/>
      <c r="H74" s="50" t="str">
        <f>IF($B74="","",IF($J74="X",B74,CONCATENATE(VLOOKUP(B74,Competitors!$A$2:$I$650,3,FALSE)," ",VLOOKUP(B74,Competitors!$A$2:$I$650,2,FALSE))))</f>
        <v/>
      </c>
      <c r="I74" s="51">
        <f t="shared" si="3"/>
        <v>0</v>
      </c>
      <c r="J74" t="str">
        <f t="shared" si="4"/>
        <v/>
      </c>
    </row>
    <row r="75" spans="1:10" ht="15">
      <c r="A75" s="46"/>
      <c r="B75" s="47" t="str">
        <f t="shared" si="2"/>
        <v/>
      </c>
      <c r="C75" s="48"/>
      <c r="D75" s="48"/>
      <c r="E75" s="48"/>
      <c r="F75" s="48"/>
      <c r="G75" s="48"/>
      <c r="H75" s="50" t="str">
        <f>IF($B75="","",IF($J75="X",B75,CONCATENATE(VLOOKUP(B75,Competitors!$A$2:$I$650,3,FALSE)," ",VLOOKUP(B75,Competitors!$A$2:$I$650,2,FALSE))))</f>
        <v/>
      </c>
      <c r="I75" s="51">
        <f t="shared" si="3"/>
        <v>0</v>
      </c>
      <c r="J75" t="str">
        <f t="shared" si="4"/>
        <v/>
      </c>
    </row>
    <row r="76" spans="1:10" ht="15">
      <c r="A76" s="46"/>
      <c r="B76" s="47" t="str">
        <f t="shared" si="2"/>
        <v/>
      </c>
      <c r="C76" s="48"/>
      <c r="D76" s="48"/>
      <c r="E76" s="48"/>
      <c r="F76" s="48"/>
      <c r="G76" s="48"/>
      <c r="H76" s="50" t="str">
        <f>IF($B76="","",IF($J76="X",B76,CONCATENATE(VLOOKUP(B76,Competitors!$A$2:$I$650,3,FALSE)," ",VLOOKUP(B76,Competitors!$A$2:$I$650,2,FALSE))))</f>
        <v/>
      </c>
      <c r="I76" s="51">
        <f t="shared" si="3"/>
        <v>0</v>
      </c>
      <c r="J76" t="str">
        <f t="shared" si="4"/>
        <v/>
      </c>
    </row>
    <row r="77" spans="1:10" ht="15">
      <c r="A77" s="46"/>
      <c r="B77" s="47" t="str">
        <f t="shared" si="2"/>
        <v/>
      </c>
      <c r="C77" s="48"/>
      <c r="D77" s="48"/>
      <c r="E77" s="48"/>
      <c r="F77" s="48"/>
      <c r="G77" s="48"/>
      <c r="H77" s="50" t="str">
        <f>IF($B77="","",IF($J77="X",B77,CONCATENATE(VLOOKUP(B77,Competitors!$A$2:$I$650,3,FALSE)," ",VLOOKUP(B77,Competitors!$A$2:$I$650,2,FALSE))))</f>
        <v/>
      </c>
      <c r="I77" s="51">
        <f t="shared" si="3"/>
        <v>0</v>
      </c>
      <c r="J77" t="str">
        <f t="shared" si="4"/>
        <v/>
      </c>
    </row>
    <row r="78" spans="1:10" ht="15">
      <c r="A78" s="46"/>
      <c r="B78" s="47" t="str">
        <f t="shared" si="2"/>
        <v/>
      </c>
      <c r="C78" s="48"/>
      <c r="D78" s="48"/>
      <c r="E78" s="48"/>
      <c r="F78" s="48"/>
      <c r="G78" s="48"/>
      <c r="H78" s="50" t="str">
        <f>IF($B78="","",IF($J78="X",B78,CONCATENATE(VLOOKUP(B78,Competitors!$A$2:$I$650,3,FALSE)," ",VLOOKUP(B78,Competitors!$A$2:$I$650,2,FALSE))))</f>
        <v/>
      </c>
      <c r="I78" s="51">
        <f t="shared" si="3"/>
        <v>0</v>
      </c>
      <c r="J78" t="str">
        <f t="shared" si="4"/>
        <v/>
      </c>
    </row>
    <row r="79" spans="1:10" ht="15">
      <c r="A79" s="46"/>
      <c r="B79" s="47" t="str">
        <f t="shared" si="2"/>
        <v/>
      </c>
      <c r="C79" s="48"/>
      <c r="D79" s="48"/>
      <c r="E79" s="48"/>
      <c r="F79" s="48"/>
      <c r="G79" s="48"/>
      <c r="H79" s="50" t="str">
        <f>IF($B79="","",IF($J79="X",B79,CONCATENATE(VLOOKUP(B79,Competitors!$A$2:$I$650,3,FALSE)," ",VLOOKUP(B79,Competitors!$A$2:$I$650,2,FALSE))))</f>
        <v/>
      </c>
      <c r="I79" s="51">
        <f t="shared" si="3"/>
        <v>0</v>
      </c>
      <c r="J79" t="str">
        <f t="shared" si="4"/>
        <v/>
      </c>
    </row>
    <row r="80" spans="1:10" ht="15">
      <c r="A80" s="46"/>
      <c r="B80" s="47" t="str">
        <f t="shared" si="2"/>
        <v/>
      </c>
      <c r="C80" s="48"/>
      <c r="D80" s="48"/>
      <c r="E80" s="48"/>
      <c r="F80" s="48"/>
      <c r="G80" s="48"/>
      <c r="H80" s="50" t="str">
        <f>IF($B80="","",IF($J80="X",B80,CONCATENATE(VLOOKUP(B80,Competitors!$A$2:$I$650,3,FALSE)," ",VLOOKUP(B80,Competitors!$A$2:$I$650,2,FALSE))))</f>
        <v/>
      </c>
      <c r="I80" s="51">
        <f t="shared" si="3"/>
        <v>0</v>
      </c>
      <c r="J80" t="str">
        <f t="shared" si="4"/>
        <v/>
      </c>
    </row>
    <row r="81" spans="1:10" ht="15">
      <c r="A81" s="46"/>
      <c r="B81" s="47" t="str">
        <f t="shared" si="2"/>
        <v/>
      </c>
      <c r="C81" s="48"/>
      <c r="D81" s="48"/>
      <c r="E81" s="48"/>
      <c r="F81" s="48"/>
      <c r="G81" s="48"/>
      <c r="H81" s="50" t="str">
        <f>IF($B81="","",IF($J81="X",B81,CONCATENATE(VLOOKUP(B81,Competitors!$A$2:$I$650,3,FALSE)," ",VLOOKUP(B81,Competitors!$A$2:$I$650,2,FALSE))))</f>
        <v/>
      </c>
      <c r="I81" s="51">
        <f t="shared" si="3"/>
        <v>0</v>
      </c>
      <c r="J81" t="str">
        <f t="shared" si="4"/>
        <v/>
      </c>
    </row>
    <row r="82" spans="1:10" ht="15">
      <c r="A82" s="46"/>
      <c r="B82" s="47" t="str">
        <f t="shared" si="2"/>
        <v/>
      </c>
      <c r="C82" s="48"/>
      <c r="D82" s="48"/>
      <c r="E82" s="48"/>
      <c r="F82" s="48"/>
      <c r="G82" s="48"/>
      <c r="H82" s="50" t="str">
        <f>IF($B82="","",IF($J82="X",B82,CONCATENATE(VLOOKUP(B82,Competitors!$A$2:$I$650,3,FALSE)," ",VLOOKUP(B82,Competitors!$A$2:$I$650,2,FALSE))))</f>
        <v/>
      </c>
      <c r="I82" s="51">
        <f t="shared" si="3"/>
        <v>0</v>
      </c>
      <c r="J82" t="str">
        <f t="shared" si="4"/>
        <v/>
      </c>
    </row>
    <row r="83" spans="1:10" ht="15">
      <c r="A83" s="46"/>
      <c r="B83" s="47" t="str">
        <f t="shared" si="2"/>
        <v/>
      </c>
      <c r="C83" s="48"/>
      <c r="D83" s="48"/>
      <c r="E83" s="48"/>
      <c r="F83" s="48"/>
      <c r="G83" s="48"/>
      <c r="H83" s="50" t="str">
        <f>IF($B83="","",IF($J83="X",B83,CONCATENATE(VLOOKUP(B83,Competitors!$A$2:$I$650,3,FALSE)," ",VLOOKUP(B83,Competitors!$A$2:$I$650,2,FALSE))))</f>
        <v/>
      </c>
      <c r="I83" s="51">
        <f t="shared" si="3"/>
        <v>0</v>
      </c>
      <c r="J83" t="str">
        <f t="shared" si="4"/>
        <v/>
      </c>
    </row>
    <row r="84" spans="1:10" ht="15">
      <c r="A84" s="46"/>
      <c r="B84" s="47" t="str">
        <f t="shared" si="2"/>
        <v/>
      </c>
      <c r="C84" s="48"/>
      <c r="D84" s="48"/>
      <c r="E84" s="48"/>
      <c r="F84" s="48"/>
      <c r="G84" s="48"/>
      <c r="H84" s="50" t="str">
        <f>IF($B84="","",IF($J84="X",B84,CONCATENATE(VLOOKUP(B84,Competitors!$A$2:$I$650,3,FALSE)," ",VLOOKUP(B84,Competitors!$A$2:$I$650,2,FALSE))))</f>
        <v/>
      </c>
      <c r="I84" s="51">
        <f t="shared" si="3"/>
        <v>0</v>
      </c>
      <c r="J84" t="str">
        <f t="shared" si="4"/>
        <v/>
      </c>
    </row>
    <row r="85" spans="1:10" ht="15">
      <c r="A85" s="46"/>
      <c r="B85" s="47" t="str">
        <f t="shared" si="2"/>
        <v/>
      </c>
      <c r="C85" s="48"/>
      <c r="D85" s="48"/>
      <c r="E85" s="48"/>
      <c r="F85" s="48"/>
      <c r="G85" s="48"/>
      <c r="H85" s="50" t="str">
        <f>IF($B85="","",IF($J85="X",B85,CONCATENATE(VLOOKUP(B85,Competitors!$A$2:$I$650,3,FALSE)," ",VLOOKUP(B85,Competitors!$A$2:$I$650,2,FALSE))))</f>
        <v/>
      </c>
      <c r="I85" s="51">
        <f t="shared" si="3"/>
        <v>0</v>
      </c>
      <c r="J85" t="str">
        <f t="shared" si="4"/>
        <v/>
      </c>
    </row>
    <row r="86" spans="1:10" ht="15">
      <c r="A86" s="46"/>
      <c r="B86" s="47" t="str">
        <f t="shared" si="2"/>
        <v/>
      </c>
      <c r="C86" s="48"/>
      <c r="D86" s="48"/>
      <c r="E86" s="48"/>
      <c r="F86" s="48"/>
      <c r="G86" s="48"/>
      <c r="H86" s="50" t="str">
        <f>IF($B86="","",IF($J86="X",B86,CONCATENATE(VLOOKUP(B86,Competitors!$A$2:$I$650,3,FALSE)," ",VLOOKUP(B86,Competitors!$A$2:$I$650,2,FALSE))))</f>
        <v/>
      </c>
      <c r="I86" s="51">
        <f t="shared" si="3"/>
        <v>0</v>
      </c>
      <c r="J86" t="str">
        <f t="shared" si="4"/>
        <v/>
      </c>
    </row>
    <row r="87" spans="1:10" ht="15">
      <c r="A87" s="46"/>
      <c r="B87" s="47" t="str">
        <f t="shared" si="2"/>
        <v/>
      </c>
      <c r="C87" s="48"/>
      <c r="D87" s="48"/>
      <c r="E87" s="48"/>
      <c r="F87" s="48"/>
      <c r="G87" s="48"/>
      <c r="H87" s="50" t="str">
        <f>IF($B87="","",IF($J87="X",B87,CONCATENATE(VLOOKUP(B87,Competitors!$A$2:$I$650,3,FALSE)," ",VLOOKUP(B87,Competitors!$A$2:$I$650,2,FALSE))))</f>
        <v/>
      </c>
      <c r="I87" s="51">
        <f t="shared" si="3"/>
        <v>0</v>
      </c>
      <c r="J87" t="str">
        <f t="shared" si="4"/>
        <v/>
      </c>
    </row>
    <row r="88" spans="1:10" ht="15">
      <c r="A88" s="46"/>
      <c r="B88" s="47" t="str">
        <f t="shared" si="2"/>
        <v/>
      </c>
      <c r="C88" s="48"/>
      <c r="D88" s="48"/>
      <c r="E88" s="48"/>
      <c r="F88" s="48"/>
      <c r="G88" s="48"/>
      <c r="H88" s="50" t="str">
        <f>IF($B88="","",IF($J88="X",B88,CONCATENATE(VLOOKUP(B88,Competitors!$A$2:$I$650,3,FALSE)," ",VLOOKUP(B88,Competitors!$A$2:$I$650,2,FALSE))))</f>
        <v/>
      </c>
      <c r="I88" s="51">
        <f t="shared" si="3"/>
        <v>0</v>
      </c>
      <c r="J88" t="str">
        <f t="shared" si="4"/>
        <v/>
      </c>
    </row>
    <row r="89" spans="1:10" ht="15">
      <c r="A89" s="46"/>
      <c r="B89" s="47" t="str">
        <f t="shared" si="2"/>
        <v/>
      </c>
      <c r="C89" s="48"/>
      <c r="D89" s="48"/>
      <c r="E89" s="48"/>
      <c r="F89" s="48"/>
      <c r="G89" s="48"/>
      <c r="H89" s="50" t="str">
        <f>IF($B89="","",IF($J89="X",B89,CONCATENATE(VLOOKUP(B89,Competitors!$A$2:$I$650,3,FALSE)," ",VLOOKUP(B89,Competitors!$A$2:$I$650,2,FALSE))))</f>
        <v/>
      </c>
      <c r="I89" s="51">
        <f t="shared" si="3"/>
        <v>0</v>
      </c>
      <c r="J89" t="str">
        <f t="shared" si="4"/>
        <v/>
      </c>
    </row>
    <row r="90" spans="1:10" ht="15">
      <c r="A90" s="46"/>
      <c r="B90" s="47" t="str">
        <f t="shared" si="2"/>
        <v/>
      </c>
      <c r="C90" s="48"/>
      <c r="D90" s="48"/>
      <c r="E90" s="48"/>
      <c r="F90" s="48"/>
      <c r="G90" s="48"/>
      <c r="H90" s="50" t="str">
        <f>IF($B90="","",IF($J90="X",B90,CONCATENATE(VLOOKUP(B90,Competitors!$A$2:$I$650,3,FALSE)," ",VLOOKUP(B90,Competitors!$A$2:$I$650,2,FALSE))))</f>
        <v/>
      </c>
      <c r="I90" s="51">
        <f t="shared" si="3"/>
        <v>0</v>
      </c>
      <c r="J90" t="str">
        <f t="shared" si="4"/>
        <v/>
      </c>
    </row>
    <row r="91" spans="1:10" ht="15">
      <c r="A91" s="46"/>
      <c r="B91" s="47" t="str">
        <f t="shared" si="2"/>
        <v/>
      </c>
      <c r="C91" s="48"/>
      <c r="D91" s="48"/>
      <c r="E91" s="48"/>
      <c r="F91" s="48"/>
      <c r="G91" s="48"/>
      <c r="H91" s="50" t="str">
        <f>IF($B91="","",IF($J91="X",B91,CONCATENATE(VLOOKUP(B91,Competitors!$A$2:$I$650,3,FALSE)," ",VLOOKUP(B91,Competitors!$A$2:$I$650,2,FALSE))))</f>
        <v/>
      </c>
      <c r="I91" s="51">
        <f t="shared" si="3"/>
        <v>0</v>
      </c>
      <c r="J91" t="str">
        <f t="shared" si="4"/>
        <v/>
      </c>
    </row>
    <row r="92" spans="1:10" ht="15">
      <c r="A92" s="46"/>
      <c r="B92" s="47" t="str">
        <f t="shared" si="2"/>
        <v/>
      </c>
      <c r="C92" s="48"/>
      <c r="D92" s="48"/>
      <c r="E92" s="48"/>
      <c r="F92" s="48"/>
      <c r="G92" s="48"/>
      <c r="H92" s="50" t="str">
        <f>IF($B92="","",IF($J92="X",B92,CONCATENATE(VLOOKUP(B92,Competitors!$A$2:$I$650,3,FALSE)," ",VLOOKUP(B92,Competitors!$A$2:$I$650,2,FALSE))))</f>
        <v/>
      </c>
      <c r="I92" s="51">
        <f t="shared" si="3"/>
        <v>0</v>
      </c>
      <c r="J92" t="str">
        <f t="shared" si="4"/>
        <v/>
      </c>
    </row>
    <row r="93" spans="1:10" ht="15">
      <c r="A93" s="46"/>
      <c r="B93" s="47" t="str">
        <f t="shared" si="2"/>
        <v/>
      </c>
      <c r="C93" s="48"/>
      <c r="D93" s="48"/>
      <c r="E93" s="48"/>
      <c r="F93" s="48"/>
      <c r="G93" s="48"/>
      <c r="H93" s="50" t="str">
        <f>IF($B93="","",IF($J93="X",B93,CONCATENATE(VLOOKUP(B93,Competitors!$A$2:$I$650,3,FALSE)," ",VLOOKUP(B93,Competitors!$A$2:$I$650,2,FALSE))))</f>
        <v/>
      </c>
      <c r="I93" s="51">
        <f t="shared" si="3"/>
        <v>0</v>
      </c>
      <c r="J93" t="str">
        <f t="shared" si="4"/>
        <v/>
      </c>
    </row>
    <row r="94" spans="1:10" ht="15">
      <c r="A94" s="46"/>
      <c r="B94" s="47" t="str">
        <f t="shared" si="2"/>
        <v/>
      </c>
      <c r="C94" s="48"/>
      <c r="D94" s="48"/>
      <c r="E94" s="48"/>
      <c r="F94" s="48"/>
      <c r="G94" s="48"/>
      <c r="H94" s="50" t="str">
        <f>IF($B94="","",IF($J94="X",B94,CONCATENATE(VLOOKUP(B94,Competitors!$A$2:$I$650,3,FALSE)," ",VLOOKUP(B94,Competitors!$A$2:$I$650,2,FALSE))))</f>
        <v/>
      </c>
      <c r="I94" s="51">
        <f t="shared" si="3"/>
        <v>0</v>
      </c>
      <c r="J94" t="str">
        <f t="shared" si="4"/>
        <v/>
      </c>
    </row>
    <row r="95" spans="1:10" ht="15">
      <c r="A95" s="46"/>
      <c r="B95" s="47" t="str">
        <f t="shared" si="2"/>
        <v/>
      </c>
      <c r="C95" s="48"/>
      <c r="D95" s="48"/>
      <c r="E95" s="48"/>
      <c r="F95" s="48"/>
      <c r="G95" s="48"/>
      <c r="H95" s="50" t="str">
        <f>IF($B95="","",IF($J95="X",B95,CONCATENATE(VLOOKUP(B95,Competitors!$A$2:$I$650,3,FALSE)," ",VLOOKUP(B95,Competitors!$A$2:$I$650,2,FALSE))))</f>
        <v/>
      </c>
      <c r="I95" s="51">
        <f t="shared" si="3"/>
        <v>0</v>
      </c>
      <c r="J95" t="str">
        <f t="shared" si="4"/>
        <v/>
      </c>
    </row>
    <row r="96" spans="1:10" ht="15">
      <c r="A96" s="46"/>
      <c r="B96" s="47" t="str">
        <f t="shared" si="2"/>
        <v/>
      </c>
      <c r="C96" s="48"/>
      <c r="D96" s="48"/>
      <c r="E96" s="48"/>
      <c r="F96" s="48"/>
      <c r="G96" s="48"/>
      <c r="H96" s="50" t="str">
        <f>IF($B96="","",IF($J96="X",B96,CONCATENATE(VLOOKUP(B96,Competitors!$A$2:$I$650,3,FALSE)," ",VLOOKUP(B96,Competitors!$A$2:$I$650,2,FALSE))))</f>
        <v/>
      </c>
      <c r="I96" s="51">
        <f t="shared" si="3"/>
        <v>0</v>
      </c>
      <c r="J96" t="str">
        <f t="shared" si="4"/>
        <v/>
      </c>
    </row>
    <row r="97" spans="1:10" ht="15">
      <c r="A97" s="46"/>
      <c r="B97" s="47" t="str">
        <f t="shared" si="2"/>
        <v/>
      </c>
      <c r="C97" s="48"/>
      <c r="D97" s="48"/>
      <c r="E97" s="48"/>
      <c r="F97" s="48"/>
      <c r="G97" s="48"/>
      <c r="H97" s="50" t="str">
        <f>IF($B97="","",IF($J97="X",B97,CONCATENATE(VLOOKUP(B97,Competitors!$A$2:$I$650,3,FALSE)," ",VLOOKUP(B97,Competitors!$A$2:$I$650,2,FALSE))))</f>
        <v/>
      </c>
      <c r="I97" s="51">
        <f t="shared" si="3"/>
        <v>0</v>
      </c>
      <c r="J97" t="str">
        <f t="shared" si="4"/>
        <v/>
      </c>
    </row>
    <row r="98" spans="1:10" ht="15">
      <c r="A98" s="46"/>
      <c r="B98" s="47" t="str">
        <f>IF(A98="","",_xlfn.XLOOKUP(A98,ClubNames,ClubNumbers,_xlfn.XLOOKUP(A98,RoundRobinRiderNames,RoundRobinRiderDecoratedNames,A98)))</f>
        <v/>
      </c>
      <c r="C98" s="48"/>
      <c r="D98" s="48"/>
      <c r="E98" s="48"/>
      <c r="F98" s="48"/>
      <c r="G98" s="48"/>
      <c r="H98" s="50" t="str">
        <f>IF($B98="","",IF($J98="X",B98,CONCATENATE(VLOOKUP(B98,Competitors!$A$2:$I$650,3,FALSE)," ",VLOOKUP(B98,Competitors!$A$2:$I$650,2,FALSE))))</f>
        <v/>
      </c>
      <c r="I98" s="51">
        <f t="shared" si="3"/>
        <v>0</v>
      </c>
      <c r="J98" t="str">
        <f t="shared" si="4"/>
        <v/>
      </c>
    </row>
    <row r="99" spans="1:10" ht="15">
      <c r="A99" s="46"/>
      <c r="B99" s="47" t="str">
        <f>IF(A99="","",_xlfn.XLOOKUP(A99,ClubNames,ClubNumbers,_xlfn.XLOOKUP(A99,RoundRobinRiderNames,RoundRobinRiderDecoratedNames,A99)))</f>
        <v/>
      </c>
      <c r="C99" s="48"/>
      <c r="D99" s="48"/>
      <c r="E99" s="48"/>
      <c r="F99" s="48"/>
      <c r="G99" s="48"/>
      <c r="H99" s="50" t="str">
        <f>IF($B99="","",IF($J99="X",B99,CONCATENATE(VLOOKUP(B99,Competitors!$A$2:$I$650,3,FALSE)," ",VLOOKUP(B99,Competitors!$A$2:$I$650,2,FALSE))))</f>
        <v/>
      </c>
      <c r="I99" s="51">
        <f t="shared" si="3"/>
        <v>0</v>
      </c>
      <c r="J99" t="str">
        <f t="shared" si="4"/>
        <v/>
      </c>
    </row>
    <row r="100" spans="1:10" ht="15">
      <c r="A100" s="46"/>
      <c r="B100" s="47" t="str">
        <f>IF(A100="","",_xlfn.XLOOKUP(A100,ClubNames,ClubNumbers,_xlfn.XLOOKUP(A100,RoundRobinRiderNames,RoundRobinRiderDecoratedNames,A100)))</f>
        <v/>
      </c>
      <c r="C100" s="48"/>
      <c r="D100" s="48"/>
      <c r="E100" s="48"/>
      <c r="F100" s="48"/>
      <c r="G100" s="48"/>
      <c r="H100" s="50" t="str">
        <f>IF($B100="","",IF($J100="X",B100,CONCATENATE(VLOOKUP(B100,Competitors!$A$2:$I$650,3, FALSE)," ",VLOOKUP(B100,Competitors!$A$2:$I$650,2,FALSE))))</f>
        <v/>
      </c>
      <c r="I100" s="51">
        <f t="shared" si="3"/>
        <v>0</v>
      </c>
      <c r="J100" t="str">
        <f t="shared" si="4"/>
        <v/>
      </c>
    </row>
    <row r="101" spans="1:10" ht="15">
      <c r="A101" s="46"/>
      <c r="B101" s="47" t="str">
        <f>IF(A101="","",_xlfn.XLOOKUP(A101,ClubNames,ClubNumbers,_xlfn.XLOOKUP(A101,RoundRobinRiderNames,RoundRobinRiderDecoratedNames,A101)))</f>
        <v/>
      </c>
      <c r="C101" s="48"/>
      <c r="D101" s="48"/>
      <c r="E101" s="48"/>
      <c r="F101" s="48"/>
      <c r="G101" s="48"/>
      <c r="H101" s="50" t="str">
        <f>IF($B101="","",IF($J101="X",B101,CONCATENATE(VLOOKUP(B101,Competitors!$A$2:$I$650,3,FALSE)," ",VLOOKUP(B101,Competitors!$A$2:$I$650,2,FALSE))))</f>
        <v/>
      </c>
      <c r="I101" s="51">
        <f t="shared" si="3"/>
        <v>0</v>
      </c>
      <c r="J101" t="str">
        <f t="shared" si="4"/>
        <v/>
      </c>
    </row>
    <row r="102" spans="1:10" s="52" customFormat="1" ht="15">
      <c r="H102" s="55"/>
      <c r="I102" s="53"/>
    </row>
    <row r="103" spans="1:10">
      <c r="B103" t="s">
        <v>551</v>
      </c>
      <c r="C103" t="str" cm="1">
        <f t="array" aca="1" ref="C103" ca="1">MID(CELL("filename",B1),FIND("]",CELL("filename",B1))+1,255)</f>
        <v>Event_05</v>
      </c>
    </row>
    <row r="104" spans="1:10">
      <c r="B104" t="s">
        <v>552</v>
      </c>
      <c r="C104" t="str">
        <f ca="1">_xlfn.XLOOKUP(C103,Calendar!O:O,Calendar!H:H,"Event is not in calendar")</f>
        <v/>
      </c>
    </row>
  </sheetData>
  <conditionalFormatting sqref="E2:E101">
    <cfRule type="expression" dxfId="69" priority="3">
      <formula>TEXT($C$104,"@")="Y"</formula>
    </cfRule>
  </conditionalFormatting>
  <conditionalFormatting sqref="H2:I101">
    <cfRule type="expression" dxfId="68" priority="2">
      <formula>$J2="X"</formula>
    </cfRule>
  </conditionalFormatting>
  <conditionalFormatting sqref="I2:I101">
    <cfRule type="expression" dxfId="67"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8">
    <pageSetUpPr fitToPage="1"/>
  </sheetPr>
  <dimension ref="A1:J104"/>
  <sheetViews>
    <sheetView workbookViewId="0"/>
    <sheetView workbookViewId="1"/>
  </sheetViews>
  <sheetFormatPr defaultColWidth="9.1328125" defaultRowHeight="12.75"/>
  <cols>
    <col min="1" max="1" width="20.33203125" bestFit="1" customWidth="1"/>
    <col min="2" max="2" width="38.86328125" customWidth="1"/>
    <col min="3" max="5" width="4.796875"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448</v>
      </c>
      <c r="B2" s="47">
        <v>1298</v>
      </c>
      <c r="C2" s="48"/>
      <c r="D2" s="48"/>
      <c r="E2" s="48"/>
      <c r="F2" s="48" t="s">
        <v>544</v>
      </c>
      <c r="G2" s="48" t="s">
        <v>546</v>
      </c>
      <c r="H2" s="50" t="str">
        <f>IF($B2="","",IF($J2="X",B2,CONCATENATE(VLOOKUP(B2,Competitors!$A$2:$I$650,3, FALSE)," ",VLOOKUP(B2,Competitors!$A$2:$I$650,2,FALSE))))</f>
        <v>Jane Moore</v>
      </c>
      <c r="I2" s="51">
        <f t="shared" ref="I2:I65" si="0">IF(LEFT($F2,1)="D",UPPER($F2),(C2*3600+D2*60+E2)/86400)</f>
        <v>0</v>
      </c>
      <c r="J2" t="str">
        <f t="shared" ref="J2:J65" si="1">IF(OR(B2="",ISNUMBER(B2)),"","X")</f>
        <v/>
      </c>
    </row>
    <row r="3" spans="1:10" ht="15">
      <c r="A3" s="46" t="s">
        <v>439</v>
      </c>
      <c r="B3" s="47">
        <v>23</v>
      </c>
      <c r="C3" s="48">
        <v>1</v>
      </c>
      <c r="D3" s="48">
        <v>12</v>
      </c>
      <c r="E3" s="48">
        <v>2</v>
      </c>
      <c r="F3" s="48"/>
      <c r="G3" s="48"/>
      <c r="H3" s="50" t="str">
        <f>IF($B3="","",IF($J3="X",B3,CONCATENATE(VLOOKUP(B3,Competitors!$A$2:$I$650,3,FALSE)," ",VLOOKUP(B3,Competitors!$A$2:$I$650,2,FALSE))))</f>
        <v>Chris Hyde</v>
      </c>
      <c r="I3" s="51">
        <f t="shared" si="0"/>
        <v>5.002314814814815E-2</v>
      </c>
      <c r="J3" t="str">
        <f t="shared" si="1"/>
        <v/>
      </c>
    </row>
    <row r="4" spans="1:10" ht="15">
      <c r="A4" s="46" t="s">
        <v>452</v>
      </c>
      <c r="B4" s="47">
        <v>1404</v>
      </c>
      <c r="C4" s="48">
        <v>1</v>
      </c>
      <c r="D4" s="48">
        <v>23</v>
      </c>
      <c r="E4" s="48">
        <v>47</v>
      </c>
      <c r="F4" s="48"/>
      <c r="G4" s="48"/>
      <c r="H4" s="50" t="str">
        <f>IF($B4="","",IF($J4="X",B4,CONCATENATE(VLOOKUP(B4,Competitors!$A$2:$I$650,3,FALSE)," ",VLOOKUP(B4,Competitors!$A$2:$I$650,2,FALSE))))</f>
        <v>Millie Lenehan</v>
      </c>
      <c r="I4" s="51">
        <f t="shared" si="0"/>
        <v>5.8182870370370371E-2</v>
      </c>
      <c r="J4" t="str">
        <f t="shared" si="1"/>
        <v/>
      </c>
    </row>
    <row r="5" spans="1:10" ht="15">
      <c r="A5" s="46" t="s">
        <v>475</v>
      </c>
      <c r="B5" s="47" t="s">
        <v>612</v>
      </c>
      <c r="C5" s="48">
        <v>1</v>
      </c>
      <c r="D5" s="48">
        <v>24</v>
      </c>
      <c r="E5" s="48">
        <v>38</v>
      </c>
      <c r="F5" s="48"/>
      <c r="G5" s="48"/>
      <c r="H5" s="50" t="str">
        <f>IF($B5="","",IF($J5="X",B5,CONCATENATE(VLOOKUP(B5,Competitors!$A$2:$I$650,3,FALSE)," ",VLOOKUP(B5,Competitors!$A$2:$I$650,2,FALSE))))</f>
        <v>Pamela Moore (Coalville Wheelers)</v>
      </c>
      <c r="I5" s="51">
        <f t="shared" si="0"/>
        <v>5.8773148148148151E-2</v>
      </c>
      <c r="J5" t="str">
        <f t="shared" si="1"/>
        <v>X</v>
      </c>
    </row>
    <row r="6" spans="1:10" ht="15">
      <c r="A6" s="46" t="s">
        <v>432</v>
      </c>
      <c r="B6" s="47">
        <v>1112</v>
      </c>
      <c r="C6" s="48">
        <v>1</v>
      </c>
      <c r="D6" s="48">
        <v>9</v>
      </c>
      <c r="E6" s="48">
        <v>24</v>
      </c>
      <c r="F6" s="48"/>
      <c r="G6" s="48"/>
      <c r="H6" s="50" t="str">
        <f>IF($B6="","",IF($J6="X",B6,CONCATENATE(VLOOKUP(B6,Competitors!$A$2:$I$650,3,FALSE)," ",VLOOKUP(B6,Competitors!$A$2:$I$650,2,FALSE))))</f>
        <v>Gary Ashwell</v>
      </c>
      <c r="I6" s="51">
        <f t="shared" si="0"/>
        <v>4.8194444444444443E-2</v>
      </c>
      <c r="J6" t="str">
        <f t="shared" si="1"/>
        <v/>
      </c>
    </row>
    <row r="7" spans="1:10" ht="15">
      <c r="A7" s="46" t="s">
        <v>501</v>
      </c>
      <c r="B7" s="47" t="s">
        <v>554</v>
      </c>
      <c r="C7" s="48"/>
      <c r="D7" s="48"/>
      <c r="E7" s="48"/>
      <c r="F7" s="48"/>
      <c r="G7" s="48" t="s">
        <v>546</v>
      </c>
      <c r="H7" s="50" t="str">
        <f>IF($B7="","",IF($J7="X",B7,CONCATENATE(VLOOKUP(B7,Competitors!$A$2:$I$650,3,FALSE)," ",VLOOKUP(B7,Competitors!$A$2:$I$650,2,FALSE))))</f>
        <v>Chris Bonsor (Ratae)</v>
      </c>
      <c r="I7" s="51">
        <f t="shared" si="0"/>
        <v>0</v>
      </c>
      <c r="J7" t="str">
        <f t="shared" si="1"/>
        <v>X</v>
      </c>
    </row>
    <row r="8" spans="1:10" ht="15">
      <c r="A8" s="46" t="s">
        <v>473</v>
      </c>
      <c r="B8" s="47" t="s">
        <v>613</v>
      </c>
      <c r="C8" s="48">
        <v>1</v>
      </c>
      <c r="D8" s="48">
        <v>9</v>
      </c>
      <c r="E8" s="48">
        <v>52</v>
      </c>
      <c r="F8" s="48"/>
      <c r="G8" s="48"/>
      <c r="H8" s="50" t="str">
        <f>IF($B8="","",IF($J8="X",B8,CONCATENATE(VLOOKUP(B8,Competitors!$A$2:$I$650,3,FALSE)," ",VLOOKUP(B8,Competitors!$A$2:$I$650,2,FALSE))))</f>
        <v>John Capel (Coalville Wheelers)</v>
      </c>
      <c r="I8" s="51">
        <f t="shared" si="0"/>
        <v>4.8518518518518516E-2</v>
      </c>
      <c r="J8" t="str">
        <f t="shared" si="1"/>
        <v>X</v>
      </c>
    </row>
    <row r="9" spans="1:10" ht="15">
      <c r="A9" s="46" t="s">
        <v>441</v>
      </c>
      <c r="B9" s="47">
        <v>1254</v>
      </c>
      <c r="C9" s="48"/>
      <c r="D9" s="48"/>
      <c r="E9" s="48"/>
      <c r="F9" s="48"/>
      <c r="G9" s="48" t="s">
        <v>546</v>
      </c>
      <c r="H9" s="50" t="str">
        <f>IF($B9="","",IF($J9="X",B9,CONCATENATE(VLOOKUP(B9,Competitors!$A$2:$I$650,3,FALSE)," ",VLOOKUP(B9,Competitors!$A$2:$I$650,2,FALSE))))</f>
        <v>Paul White</v>
      </c>
      <c r="I9" s="51">
        <f t="shared" si="0"/>
        <v>0</v>
      </c>
      <c r="J9" t="str">
        <f t="shared" si="1"/>
        <v/>
      </c>
    </row>
    <row r="10" spans="1:10" ht="15">
      <c r="A10" s="46" t="s">
        <v>418</v>
      </c>
      <c r="B10" s="47">
        <v>1355</v>
      </c>
      <c r="C10" s="48">
        <v>1</v>
      </c>
      <c r="D10" s="48">
        <v>5</v>
      </c>
      <c r="E10" s="48">
        <v>44</v>
      </c>
      <c r="F10" s="48" t="s">
        <v>544</v>
      </c>
      <c r="G10" s="48"/>
      <c r="H10" s="50" t="str">
        <f>IF($B10="","",IF($J10="X",B10,CONCATENATE(VLOOKUP(B10,Competitors!$A$2:$I$650,3, FALSE)," ",VLOOKUP(B10,Competitors!$A$2:$I$650,2,FALSE))))</f>
        <v>Aubrey Elmer</v>
      </c>
      <c r="I10" s="51">
        <f t="shared" si="0"/>
        <v>4.5648148148148146E-2</v>
      </c>
      <c r="J10" t="str">
        <f t="shared" si="1"/>
        <v/>
      </c>
    </row>
    <row r="11" spans="1:10" ht="15">
      <c r="A11" s="46" t="s">
        <v>437</v>
      </c>
      <c r="B11" s="47">
        <v>1195</v>
      </c>
      <c r="C11" s="48">
        <v>1</v>
      </c>
      <c r="D11" s="48">
        <v>11</v>
      </c>
      <c r="E11" s="48">
        <v>52</v>
      </c>
      <c r="F11" s="48" t="s">
        <v>544</v>
      </c>
      <c r="G11" s="48"/>
      <c r="H11" s="50" t="str">
        <f>IF($B11="","",IF($J11="X",B11,CONCATENATE(VLOOKUP(B11,Competitors!$A$2:$I$650,3,FALSE)," ",VLOOKUP(B11,Competitors!$A$2:$I$650,2,FALSE))))</f>
        <v>Charlie Hardwicke</v>
      </c>
      <c r="I11" s="51">
        <f t="shared" si="0"/>
        <v>4.9907407407407407E-2</v>
      </c>
      <c r="J11" t="str">
        <f t="shared" si="1"/>
        <v/>
      </c>
    </row>
    <row r="12" spans="1:10" ht="15">
      <c r="A12" s="46" t="s">
        <v>443</v>
      </c>
      <c r="B12" s="47">
        <v>1193</v>
      </c>
      <c r="C12" s="48">
        <v>1</v>
      </c>
      <c r="D12" s="48">
        <v>12</v>
      </c>
      <c r="E12" s="48">
        <v>17</v>
      </c>
      <c r="F12" s="48" t="s">
        <v>544</v>
      </c>
      <c r="G12" s="48"/>
      <c r="H12" s="50" t="str">
        <f>IF($B12="","",IF($J12="X",B12,CONCATENATE(VLOOKUP(B12,Competitors!$A$2:$I$650,3,FALSE)," ",VLOOKUP(B12,Competitors!$A$2:$I$650,2,FALSE))))</f>
        <v>Richard Hardwicke</v>
      </c>
      <c r="I12" s="51">
        <f t="shared" si="0"/>
        <v>5.019675925925926E-2</v>
      </c>
      <c r="J12" t="str">
        <f t="shared" si="1"/>
        <v/>
      </c>
    </row>
    <row r="13" spans="1:10" ht="15">
      <c r="A13" s="46" t="s">
        <v>434</v>
      </c>
      <c r="B13" s="47">
        <v>1419</v>
      </c>
      <c r="C13" s="48"/>
      <c r="D13" s="48"/>
      <c r="E13" s="48"/>
      <c r="F13" s="48" t="s">
        <v>544</v>
      </c>
      <c r="G13" s="48" t="s">
        <v>546</v>
      </c>
      <c r="H13" s="50" t="str">
        <f>IF($B13="","",IF($J13="X",B13,CONCATENATE(VLOOKUP(B13,Competitors!$A$2:$I$650,3,FALSE)," ",VLOOKUP(B13,Competitors!$A$2:$I$650,2,FALSE))))</f>
        <v>Ethan Marsh</v>
      </c>
      <c r="I13" s="51">
        <f t="shared" si="0"/>
        <v>0</v>
      </c>
      <c r="J13" t="str">
        <f t="shared" si="1"/>
        <v/>
      </c>
    </row>
    <row r="14" spans="1:10" ht="15">
      <c r="A14" s="46" t="s">
        <v>422</v>
      </c>
      <c r="B14" s="47">
        <v>1407</v>
      </c>
      <c r="C14" s="48">
        <v>1</v>
      </c>
      <c r="D14" s="48">
        <v>6</v>
      </c>
      <c r="E14" s="48">
        <v>32</v>
      </c>
      <c r="F14" s="48" t="s">
        <v>544</v>
      </c>
      <c r="G14" s="48"/>
      <c r="H14" s="50" t="str">
        <f>IF($B14="","",IF($J14="X",B14,CONCATENATE(VLOOKUP(B14,Competitors!$A$2:$I$650,3,FALSE)," ",VLOOKUP(B14,Competitors!$A$2:$I$650,2,FALSE))))</f>
        <v>Colin Dobson</v>
      </c>
      <c r="I14" s="51">
        <f t="shared" si="0"/>
        <v>4.6203703703703705E-2</v>
      </c>
      <c r="J14" t="str">
        <f t="shared" si="1"/>
        <v/>
      </c>
    </row>
    <row r="15" spans="1:10" ht="15">
      <c r="A15" s="46" t="s">
        <v>411</v>
      </c>
      <c r="B15" s="47">
        <v>407</v>
      </c>
      <c r="C15" s="48"/>
      <c r="D15" s="48">
        <v>57</v>
      </c>
      <c r="E15" s="48">
        <v>53</v>
      </c>
      <c r="F15" s="48"/>
      <c r="G15" s="48"/>
      <c r="H15" s="50" t="str">
        <f>IF($B15="","",IF($J15="X",B15,CONCATENATE(VLOOKUP(B15,Competitors!$A$2:$I$650,3,FALSE)," ",VLOOKUP(B15,Competitors!$A$2:$I$650,2,FALSE))))</f>
        <v>Hans van Nierop</v>
      </c>
      <c r="I15" s="51">
        <f t="shared" si="0"/>
        <v>4.0196759259259258E-2</v>
      </c>
      <c r="J15" t="str">
        <f t="shared" si="1"/>
        <v/>
      </c>
    </row>
    <row r="16" spans="1:10" ht="15">
      <c r="A16" s="46" t="s">
        <v>438</v>
      </c>
      <c r="B16" s="47">
        <v>704</v>
      </c>
      <c r="C16" s="48">
        <v>1</v>
      </c>
      <c r="D16" s="48">
        <v>11</v>
      </c>
      <c r="E16" s="48">
        <v>53</v>
      </c>
      <c r="F16" s="48"/>
      <c r="G16" s="48"/>
      <c r="H16" s="50" t="str">
        <f>IF($B16="","",IF($J16="X",B16,CONCATENATE(VLOOKUP(B16,Competitors!$A$2:$I$650,3,FALSE)," ",VLOOKUP(B16,Competitors!$A$2:$I$650,2,FALSE))))</f>
        <v>Chris Dainty</v>
      </c>
      <c r="I16" s="51">
        <f t="shared" si="0"/>
        <v>4.9918981481481481E-2</v>
      </c>
      <c r="J16" t="str">
        <f t="shared" si="1"/>
        <v/>
      </c>
    </row>
    <row r="17" spans="1:10" ht="15">
      <c r="A17" s="46" t="s">
        <v>442</v>
      </c>
      <c r="B17" s="47">
        <v>564</v>
      </c>
      <c r="C17" s="48">
        <v>1</v>
      </c>
      <c r="D17" s="48">
        <v>11</v>
      </c>
      <c r="E17" s="48">
        <v>54</v>
      </c>
      <c r="F17" s="48"/>
      <c r="G17" s="48"/>
      <c r="H17" s="50" t="str">
        <f>IF($B17="","",IF($J17="X",B17,CONCATENATE(VLOOKUP(B17,Competitors!$A$2:$I$650,3,FALSE)," ",VLOOKUP(B17,Competitors!$A$2:$I$650,2,FALSE))))</f>
        <v>Ian Murdey</v>
      </c>
      <c r="I17" s="51">
        <f t="shared" si="0"/>
        <v>4.9930555555555554E-2</v>
      </c>
      <c r="J17" t="str">
        <f t="shared" si="1"/>
        <v/>
      </c>
    </row>
    <row r="18" spans="1:10" ht="15">
      <c r="A18" s="46" t="s">
        <v>427</v>
      </c>
      <c r="B18" s="47">
        <v>915</v>
      </c>
      <c r="C18" s="48"/>
      <c r="D18" s="48"/>
      <c r="E18" s="48"/>
      <c r="F18" s="48"/>
      <c r="G18" s="48" t="s">
        <v>546</v>
      </c>
      <c r="H18" s="50" t="str">
        <f>IF($B18="","",IF($J18="X",B18,CONCATENATE(VLOOKUP(B18,Competitors!$A$2:$I$650,3,FALSE)," ",VLOOKUP(B18,Competitors!$A$2:$I$650,2,FALSE))))</f>
        <v>Julian Twynham</v>
      </c>
      <c r="I18" s="51">
        <f t="shared" si="0"/>
        <v>0</v>
      </c>
      <c r="J18" t="str">
        <f t="shared" si="1"/>
        <v/>
      </c>
    </row>
    <row r="19" spans="1:10" ht="15">
      <c r="A19" s="46" t="s">
        <v>421</v>
      </c>
      <c r="B19" s="47">
        <v>415</v>
      </c>
      <c r="C19" s="48">
        <v>1</v>
      </c>
      <c r="D19" s="48">
        <v>5</v>
      </c>
      <c r="E19" s="48">
        <v>56</v>
      </c>
      <c r="F19" s="48" t="s">
        <v>544</v>
      </c>
      <c r="G19" s="48"/>
      <c r="H19" s="50" t="str">
        <f>IF($B19="","",IF($J19="X",B19,CONCATENATE(VLOOKUP(B19,Competitors!$A$2:$I$650,3,FALSE)," ",VLOOKUP(B19,Competitors!$A$2:$I$650,2,FALSE))))</f>
        <v>Nik Kershaw</v>
      </c>
      <c r="I19" s="51">
        <f t="shared" si="0"/>
        <v>4.5787037037037036E-2</v>
      </c>
      <c r="J19" t="str">
        <f t="shared" si="1"/>
        <v/>
      </c>
    </row>
    <row r="20" spans="1:10" ht="15">
      <c r="A20" s="46" t="s">
        <v>431</v>
      </c>
      <c r="B20" s="47">
        <v>1403</v>
      </c>
      <c r="C20" s="48">
        <v>1</v>
      </c>
      <c r="D20" s="48">
        <v>10</v>
      </c>
      <c r="E20" s="48">
        <v>48</v>
      </c>
      <c r="F20" s="48"/>
      <c r="G20" s="48"/>
      <c r="H20" s="50" t="str">
        <f>IF($B20="","",IF($J20="X",B20,CONCATENATE(VLOOKUP(B20,Competitors!$A$2:$I$650,3,FALSE)," ",VLOOKUP(B20,Competitors!$A$2:$I$650,2,FALSE))))</f>
        <v>Toby Lenehan</v>
      </c>
      <c r="I20" s="51">
        <f t="shared" si="0"/>
        <v>4.9166666666666664E-2</v>
      </c>
      <c r="J20" t="str">
        <f t="shared" si="1"/>
        <v/>
      </c>
    </row>
    <row r="21" spans="1:10" ht="15">
      <c r="A21" s="46" t="s">
        <v>420</v>
      </c>
      <c r="B21" s="47">
        <v>1192</v>
      </c>
      <c r="C21" s="48">
        <v>1</v>
      </c>
      <c r="D21" s="48">
        <v>4</v>
      </c>
      <c r="E21" s="48">
        <v>27</v>
      </c>
      <c r="F21" s="48"/>
      <c r="G21" s="48"/>
      <c r="H21" s="50" t="str">
        <f>IF($B21="","",IF($J21="X",B21,CONCATENATE(VLOOKUP(B21,Competitors!$A$2:$I$650,3,FALSE)," ",VLOOKUP(B21,Competitors!$A$2:$I$650,2,FALSE))))</f>
        <v>Dale Norris</v>
      </c>
      <c r="I21" s="51">
        <f t="shared" si="0"/>
        <v>4.4756944444444446E-2</v>
      </c>
      <c r="J21" t="str">
        <f t="shared" si="1"/>
        <v/>
      </c>
    </row>
    <row r="22" spans="1:10" ht="15">
      <c r="A22" s="46" t="s">
        <v>426</v>
      </c>
      <c r="B22" s="47">
        <v>1055</v>
      </c>
      <c r="C22" s="48">
        <v>1</v>
      </c>
      <c r="D22" s="48">
        <v>6</v>
      </c>
      <c r="E22" s="48">
        <v>35</v>
      </c>
      <c r="F22" s="48" t="s">
        <v>544</v>
      </c>
      <c r="G22" s="48"/>
      <c r="H22" s="50" t="str">
        <f>IF($B22="","",IF($J22="X",B22,CONCATENATE(VLOOKUP(B22,Competitors!$A$2:$I$650,3,FALSE)," ",VLOOKUP(B22,Competitors!$A$2:$I$650,2,FALSE))))</f>
        <v>Austin Smith</v>
      </c>
      <c r="I22" s="51">
        <f t="shared" si="0"/>
        <v>4.6238425925925926E-2</v>
      </c>
      <c r="J22" t="str">
        <f t="shared" si="1"/>
        <v/>
      </c>
    </row>
    <row r="23" spans="1:10" ht="15">
      <c r="A23" s="46" t="s">
        <v>414</v>
      </c>
      <c r="B23" s="47">
        <v>699</v>
      </c>
      <c r="C23" s="48">
        <v>1</v>
      </c>
      <c r="D23" s="48">
        <v>1</v>
      </c>
      <c r="E23" s="48">
        <v>46</v>
      </c>
      <c r="F23" s="48"/>
      <c r="G23" s="48"/>
      <c r="H23" s="50" t="str">
        <f>IF($B23="","",IF($J23="X",B23,CONCATENATE(VLOOKUP(B23,Competitors!$A$2:$I$650,3,FALSE)," ",VLOOKUP(B23,Competitors!$A$2:$I$650,2,FALSE))))</f>
        <v>Jonathan Durnin</v>
      </c>
      <c r="I23" s="51">
        <f t="shared" si="0"/>
        <v>4.2893518518518518E-2</v>
      </c>
      <c r="J23" t="str">
        <f t="shared" si="1"/>
        <v/>
      </c>
    </row>
    <row r="24" spans="1:10" ht="15">
      <c r="A24" s="46" t="s">
        <v>435</v>
      </c>
      <c r="B24" s="47">
        <v>846</v>
      </c>
      <c r="C24" s="48">
        <v>1</v>
      </c>
      <c r="D24" s="48">
        <v>8</v>
      </c>
      <c r="E24" s="48">
        <v>33</v>
      </c>
      <c r="F24" s="48"/>
      <c r="G24" s="48"/>
      <c r="H24" s="50" t="str">
        <f>IF($B24="","",IF($J24="X",B24,CONCATENATE(VLOOKUP(B24,Competitors!$A$2:$I$650,3,FALSE)," ",VLOOKUP(B24,Competitors!$A$2:$I$650,2,FALSE))))</f>
        <v>Roger Kockelbergh</v>
      </c>
      <c r="I24" s="51">
        <f t="shared" si="0"/>
        <v>4.760416666666667E-2</v>
      </c>
      <c r="J24" t="str">
        <f t="shared" si="1"/>
        <v/>
      </c>
    </row>
    <row r="25" spans="1:10" ht="15">
      <c r="A25" s="46" t="s">
        <v>408</v>
      </c>
      <c r="B25" s="47">
        <v>1094</v>
      </c>
      <c r="C25" s="48"/>
      <c r="D25" s="48"/>
      <c r="E25" s="48"/>
      <c r="F25" s="48"/>
      <c r="G25" s="48" t="s">
        <v>568</v>
      </c>
      <c r="H25" s="50" t="str">
        <f>IF($B25="","",IF($J25="X",B25,CONCATENATE(VLOOKUP(B25,Competitors!$A$2:$I$650,3,FALSE)," ",VLOOKUP(B25,Competitors!$A$2:$I$650,2,FALSE))))</f>
        <v>Andy Poulton</v>
      </c>
      <c r="I25" s="51">
        <f t="shared" si="0"/>
        <v>0</v>
      </c>
      <c r="J25" t="str">
        <f t="shared" si="1"/>
        <v/>
      </c>
    </row>
    <row r="26" spans="1:10" ht="15">
      <c r="A26" s="46" t="s">
        <v>569</v>
      </c>
      <c r="B26" s="47" t="s">
        <v>569</v>
      </c>
      <c r="C26" s="48">
        <v>1</v>
      </c>
      <c r="D26" s="48">
        <v>14</v>
      </c>
      <c r="E26" s="48">
        <v>38</v>
      </c>
      <c r="F26" s="48"/>
      <c r="G26" s="48"/>
      <c r="H26" s="50" t="str">
        <f>IF($B26="","",IF($J26="X",B26,CONCATENATE(VLOOKUP(B26,Competitors!$A$2:$I$650,3,FALSE)," ",VLOOKUP(B26,Competitors!$A$2:$I$650,2,FALSE))))</f>
        <v>Linda Thames</v>
      </c>
      <c r="I26" s="51">
        <f t="shared" si="0"/>
        <v>5.1828703703703703E-2</v>
      </c>
      <c r="J26" t="str">
        <f t="shared" si="1"/>
        <v>X</v>
      </c>
    </row>
    <row r="27" spans="1:10" ht="15">
      <c r="A27" s="46"/>
      <c r="B27" s="47" t="str">
        <f t="shared" ref="B27:B33" si="2">IF(A27="","",_xlfn.XLOOKUP(A27,ClubNames,ClubNumbers,_xlfn.XLOOKUP(A27,RoundRobinRiderNames,RoundRobinRiderDecoratedNames,A27)))</f>
        <v/>
      </c>
      <c r="C27" s="48"/>
      <c r="D27" s="48"/>
      <c r="E27" s="48"/>
      <c r="F27" s="48"/>
      <c r="G27" s="48"/>
      <c r="H27" s="50" t="str">
        <f>IF($B27="","",IF($J27="X",B27,CONCATENATE(VLOOKUP(B27,Competitors!$A$2:$I$650,3,FALSE)," ",VLOOKUP(B27,Competitors!$A$2:$I$650,2,FALSE))))</f>
        <v/>
      </c>
      <c r="I27" s="51">
        <f t="shared" si="0"/>
        <v>0</v>
      </c>
      <c r="J27" t="str">
        <f t="shared" si="1"/>
        <v/>
      </c>
    </row>
    <row r="28" spans="1:10" ht="15">
      <c r="A28" s="46"/>
      <c r="B28" s="47" t="str">
        <f t="shared" si="2"/>
        <v/>
      </c>
      <c r="C28" s="48"/>
      <c r="D28" s="48"/>
      <c r="E28" s="48"/>
      <c r="F28" s="48"/>
      <c r="G28" s="48"/>
      <c r="H28" s="50" t="str">
        <f>IF($B28="","",IF($J28="X",B28,CONCATENATE(VLOOKUP(B28,Competitors!$A$2:$I$650,3,FALSE)," ",VLOOKUP(B28,Competitors!$A$2:$I$650,2,FALSE))))</f>
        <v/>
      </c>
      <c r="I28" s="51">
        <f t="shared" si="0"/>
        <v>0</v>
      </c>
      <c r="J28" t="str">
        <f t="shared" si="1"/>
        <v/>
      </c>
    </row>
    <row r="29" spans="1:10" ht="15">
      <c r="A29" s="46"/>
      <c r="B29" s="47" t="str">
        <f t="shared" si="2"/>
        <v/>
      </c>
      <c r="C29" s="48"/>
      <c r="D29" s="48"/>
      <c r="E29" s="48"/>
      <c r="F29" s="48"/>
      <c r="G29" s="48"/>
      <c r="H29" s="50" t="str">
        <f>IF($B29="","",IF($J29="X",B29,CONCATENATE(VLOOKUP(B29,Competitors!$A$2:$I$650,3,FALSE)," ",VLOOKUP(B29,Competitors!$A$2:$I$650,2,FALSE))))</f>
        <v/>
      </c>
      <c r="I29" s="51">
        <f t="shared" si="0"/>
        <v>0</v>
      </c>
      <c r="J29" t="str">
        <f t="shared" si="1"/>
        <v/>
      </c>
    </row>
    <row r="30" spans="1:10" ht="15">
      <c r="A30" s="46"/>
      <c r="B30" s="47" t="str">
        <f t="shared" si="2"/>
        <v/>
      </c>
      <c r="C30" s="48"/>
      <c r="D30" s="48"/>
      <c r="E30" s="48"/>
      <c r="F30" s="48"/>
      <c r="G30" s="48"/>
      <c r="H30" s="50" t="str">
        <f>IF($B30="","",IF($J30="X",B30,CONCATENATE(VLOOKUP(B30,Competitors!$A$2:$I$650,3,FALSE)," ",VLOOKUP(B30,Competitors!$A$2:$I$650,2,FALSE))))</f>
        <v/>
      </c>
      <c r="I30" s="51">
        <f t="shared" si="0"/>
        <v>0</v>
      </c>
      <c r="J30" t="str">
        <f t="shared" si="1"/>
        <v/>
      </c>
    </row>
    <row r="31" spans="1:10" ht="15">
      <c r="A31" s="46"/>
      <c r="B31" s="47" t="str">
        <f t="shared" si="2"/>
        <v/>
      </c>
      <c r="C31" s="48"/>
      <c r="D31" s="48"/>
      <c r="E31" s="48"/>
      <c r="F31" s="48"/>
      <c r="G31" s="48"/>
      <c r="H31" s="50" t="str">
        <f>IF($B31="","",IF($J31="X",B31,CONCATENATE(VLOOKUP(B31,Competitors!$A$2:$I$650,3,FALSE)," ",VLOOKUP(B31,Competitors!$A$2:$I$650,2,FALSE))))</f>
        <v/>
      </c>
      <c r="I31" s="51">
        <f t="shared" si="0"/>
        <v>0</v>
      </c>
      <c r="J31" t="str">
        <f t="shared" si="1"/>
        <v/>
      </c>
    </row>
    <row r="32" spans="1:10" ht="15">
      <c r="A32" s="46"/>
      <c r="B32" s="47" t="str">
        <f t="shared" si="2"/>
        <v/>
      </c>
      <c r="C32" s="48"/>
      <c r="D32" s="48"/>
      <c r="E32" s="48"/>
      <c r="F32" s="48"/>
      <c r="G32" s="48"/>
      <c r="H32" s="50" t="str">
        <f>IF($B32="","",IF($J32="X",B32,CONCATENATE(VLOOKUP(B32,Competitors!$A$2:$I$650,3,FALSE)," ",VLOOKUP(B32,Competitors!$A$2:$I$650,2,FALSE))))</f>
        <v/>
      </c>
      <c r="I32" s="51">
        <f t="shared" si="0"/>
        <v>0</v>
      </c>
      <c r="J32" t="str">
        <f t="shared" si="1"/>
        <v/>
      </c>
    </row>
    <row r="33" spans="1:10" ht="15">
      <c r="A33" s="46"/>
      <c r="B33" s="47" t="str">
        <f t="shared" si="2"/>
        <v/>
      </c>
      <c r="C33" s="48"/>
      <c r="D33" s="48"/>
      <c r="E33" s="48"/>
      <c r="F33" s="48"/>
      <c r="G33" s="48"/>
      <c r="H33" s="50" t="str">
        <f>IF($B33="","",IF($J33="X",B33,CONCATENATE(VLOOKUP(B33,Competitors!$A$2:$I$650,3,FALSE)," ",VLOOKUP(B33,Competitors!$A$2:$I$650,2,FALSE))))</f>
        <v/>
      </c>
      <c r="I33" s="51">
        <f t="shared" si="0"/>
        <v>0</v>
      </c>
      <c r="J33" t="str">
        <f t="shared" si="1"/>
        <v/>
      </c>
    </row>
    <row r="34" spans="1:10" ht="15">
      <c r="A34" s="46"/>
      <c r="B34" s="47" t="str">
        <f t="shared" ref="B34:B97" si="3">IF(A34="","",_xlfn.XLOOKUP(A34,ClubNames,ClubNumbers,_xlfn.XLOOKUP(A34,RoundRobinRiderNames,RoundRobinRiderDecoratedNames,A34)))</f>
        <v/>
      </c>
      <c r="C34" s="48"/>
      <c r="D34" s="48"/>
      <c r="E34" s="48"/>
      <c r="F34" s="48"/>
      <c r="G34" s="48"/>
      <c r="H34" s="50" t="str">
        <f>IF($B34="","",IF($J34="X",B34,CONCATENATE(VLOOKUP(B34,Competitors!$A$2:$I$650,3,FALSE)," ",VLOOKUP(B34,Competitors!$A$2:$I$650,2,FALSE))))</f>
        <v/>
      </c>
      <c r="I34" s="51">
        <f t="shared" si="0"/>
        <v>0</v>
      </c>
      <c r="J34" t="str">
        <f t="shared" si="1"/>
        <v/>
      </c>
    </row>
    <row r="35" spans="1:10" ht="15">
      <c r="A35" s="46"/>
      <c r="B35" s="47" t="str">
        <f t="shared" si="3"/>
        <v/>
      </c>
      <c r="C35" s="48"/>
      <c r="D35" s="48"/>
      <c r="E35" s="48"/>
      <c r="F35" s="48"/>
      <c r="G35" s="48"/>
      <c r="H35" s="50" t="str">
        <f>IF($B35="","",IF($J35="X",B35,CONCATENATE(VLOOKUP(B35,Competitors!$A$2:$I$650,3,FALSE)," ",VLOOKUP(B35,Competitors!$A$2:$I$650,2,FALSE))))</f>
        <v/>
      </c>
      <c r="I35" s="51">
        <f t="shared" si="0"/>
        <v>0</v>
      </c>
      <c r="J35" t="str">
        <f t="shared" si="1"/>
        <v/>
      </c>
    </row>
    <row r="36" spans="1:10" ht="15">
      <c r="A36" s="46"/>
      <c r="B36" s="47" t="str">
        <f t="shared" si="3"/>
        <v/>
      </c>
      <c r="C36" s="48"/>
      <c r="D36" s="48"/>
      <c r="E36" s="48"/>
      <c r="F36" s="48"/>
      <c r="G36" s="48"/>
      <c r="H36" s="50" t="str">
        <f>IF($B36="","",IF($J36="X",B36,CONCATENATE(VLOOKUP(B36,Competitors!$A$2:$I$650,3,FALSE)," ",VLOOKUP(B36,Competitors!$A$2:$I$650,2,FALSE))))</f>
        <v/>
      </c>
      <c r="I36" s="51">
        <f t="shared" si="0"/>
        <v>0</v>
      </c>
      <c r="J36" t="str">
        <f t="shared" si="1"/>
        <v/>
      </c>
    </row>
    <row r="37" spans="1:10" ht="15">
      <c r="A37" s="46"/>
      <c r="B37" s="47" t="str">
        <f t="shared" si="3"/>
        <v/>
      </c>
      <c r="C37" s="48"/>
      <c r="D37" s="48"/>
      <c r="E37" s="48"/>
      <c r="F37" s="48"/>
      <c r="G37" s="48"/>
      <c r="H37" s="50" t="str">
        <f>IF($B37="","",IF($J37="X",B37,CONCATENATE(VLOOKUP(B37,Competitors!$A$2:$I$650,3,FALSE)," ",VLOOKUP(B37,Competitors!$A$2:$I$650,2,FALSE))))</f>
        <v/>
      </c>
      <c r="I37" s="51">
        <f t="shared" si="0"/>
        <v>0</v>
      </c>
      <c r="J37" t="str">
        <f t="shared" si="1"/>
        <v/>
      </c>
    </row>
    <row r="38" spans="1:10" ht="15">
      <c r="A38" s="46"/>
      <c r="B38" s="47" t="str">
        <f t="shared" si="3"/>
        <v/>
      </c>
      <c r="C38" s="48"/>
      <c r="D38" s="48"/>
      <c r="E38" s="48"/>
      <c r="F38" s="48"/>
      <c r="G38" s="48"/>
      <c r="H38" s="50" t="str">
        <f>IF($B38="","",IF($J38="X",B38,CONCATENATE(VLOOKUP(B38,Competitors!$A$2:$I$650,3,FALSE)," ",VLOOKUP(B38,Competitors!$A$2:$I$650,2,FALSE))))</f>
        <v/>
      </c>
      <c r="I38" s="51">
        <f t="shared" si="0"/>
        <v>0</v>
      </c>
      <c r="J38" t="str">
        <f t="shared" si="1"/>
        <v/>
      </c>
    </row>
    <row r="39" spans="1:10" ht="15">
      <c r="A39" s="46"/>
      <c r="B39" s="47" t="str">
        <f t="shared" si="3"/>
        <v/>
      </c>
      <c r="C39" s="48"/>
      <c r="D39" s="48"/>
      <c r="E39" s="48"/>
      <c r="F39" s="48"/>
      <c r="G39" s="48"/>
      <c r="H39" s="50" t="str">
        <f>IF($B39="","",IF($J39="X",B39,CONCATENATE(VLOOKUP(B39,Competitors!$A$2:$I$650,3,FALSE)," ",VLOOKUP(B39,Competitors!$A$2:$I$650,2,FALSE))))</f>
        <v/>
      </c>
      <c r="I39" s="51">
        <f t="shared" si="0"/>
        <v>0</v>
      </c>
      <c r="J39" t="str">
        <f t="shared" si="1"/>
        <v/>
      </c>
    </row>
    <row r="40" spans="1:10" ht="15">
      <c r="A40" s="46"/>
      <c r="B40" s="47" t="str">
        <f t="shared" si="3"/>
        <v/>
      </c>
      <c r="C40" s="48"/>
      <c r="D40" s="48"/>
      <c r="E40" s="48"/>
      <c r="F40" s="48"/>
      <c r="G40" s="48"/>
      <c r="H40" s="50" t="str">
        <f>IF($B40="","",IF($J40="X",B40,CONCATENATE(VLOOKUP(B40,Competitors!$A$2:$I$650,3,FALSE)," ",VLOOKUP(B40,Competitors!$A$2:$I$650,2,FALSE))))</f>
        <v/>
      </c>
      <c r="I40" s="51">
        <f t="shared" si="0"/>
        <v>0</v>
      </c>
      <c r="J40" t="str">
        <f t="shared" si="1"/>
        <v/>
      </c>
    </row>
    <row r="41" spans="1:10" ht="15">
      <c r="A41" s="46"/>
      <c r="B41" s="47" t="str">
        <f t="shared" si="3"/>
        <v/>
      </c>
      <c r="C41" s="48"/>
      <c r="D41" s="48"/>
      <c r="E41" s="48"/>
      <c r="F41" s="48"/>
      <c r="G41" s="48"/>
      <c r="H41" s="50" t="str">
        <f>IF($B41="","",IF($J41="X",B41,CONCATENATE(VLOOKUP(B41,Competitors!$A$2:$I$650,3,FALSE)," ",VLOOKUP(B41,Competitors!$A$2:$I$650,2,FALSE))))</f>
        <v/>
      </c>
      <c r="I41" s="51">
        <f t="shared" si="0"/>
        <v>0</v>
      </c>
      <c r="J41" t="str">
        <f t="shared" si="1"/>
        <v/>
      </c>
    </row>
    <row r="42" spans="1:10" ht="15">
      <c r="A42" s="46"/>
      <c r="B42" s="47" t="str">
        <f t="shared" si="3"/>
        <v/>
      </c>
      <c r="C42" s="48"/>
      <c r="D42" s="48"/>
      <c r="E42" s="48"/>
      <c r="F42" s="48"/>
      <c r="G42" s="48"/>
      <c r="H42" s="50" t="str">
        <f>IF($B42="","",IF($J42="X",B42,CONCATENATE(VLOOKUP(B42,Competitors!$A$2:$I$650,3,FALSE)," ",VLOOKUP(B42,Competitors!$A$2:$I$650,2,FALSE))))</f>
        <v/>
      </c>
      <c r="I42" s="51">
        <f t="shared" si="0"/>
        <v>0</v>
      </c>
      <c r="J42" t="str">
        <f t="shared" si="1"/>
        <v/>
      </c>
    </row>
    <row r="43" spans="1:10" ht="15">
      <c r="A43" s="46"/>
      <c r="B43" s="47" t="str">
        <f t="shared" si="3"/>
        <v/>
      </c>
      <c r="C43" s="48"/>
      <c r="D43" s="48"/>
      <c r="E43" s="48"/>
      <c r="F43" s="48"/>
      <c r="G43" s="48"/>
      <c r="H43" s="50" t="str">
        <f>IF($B43="","",IF($J43="X",B43,CONCATENATE(VLOOKUP(B43,Competitors!$A$2:$I$650,3,FALSE)," ",VLOOKUP(B43,Competitors!$A$2:$I$650,2,FALSE))))</f>
        <v/>
      </c>
      <c r="I43" s="51">
        <f t="shared" si="0"/>
        <v>0</v>
      </c>
      <c r="J43" t="str">
        <f t="shared" si="1"/>
        <v/>
      </c>
    </row>
    <row r="44" spans="1:10" ht="15">
      <c r="A44" s="46"/>
      <c r="B44" s="47" t="str">
        <f t="shared" si="3"/>
        <v/>
      </c>
      <c r="C44" s="48"/>
      <c r="D44" s="48"/>
      <c r="E44" s="48"/>
      <c r="F44" s="48"/>
      <c r="G44" s="48"/>
      <c r="H44" s="50" t="str">
        <f>IF($B44="","",IF($J44="X",B44,CONCATENATE(VLOOKUP(B44,Competitors!$A$2:$I$650,3,FALSE)," ",VLOOKUP(B44,Competitors!$A$2:$I$650,2,FALSE))))</f>
        <v/>
      </c>
      <c r="I44" s="51">
        <f t="shared" si="0"/>
        <v>0</v>
      </c>
      <c r="J44" t="str">
        <f t="shared" si="1"/>
        <v/>
      </c>
    </row>
    <row r="45" spans="1:10" ht="15">
      <c r="A45" s="46"/>
      <c r="B45" s="47" t="str">
        <f t="shared" si="3"/>
        <v/>
      </c>
      <c r="C45" s="48"/>
      <c r="D45" s="48"/>
      <c r="E45" s="48"/>
      <c r="F45" s="48"/>
      <c r="G45" s="48"/>
      <c r="H45" s="50" t="str">
        <f>IF($B45="","",IF($J45="X",B45,CONCATENATE(VLOOKUP(B45,Competitors!$A$2:$I$650,3,FALSE)," ",VLOOKUP(B45,Competitors!$A$2:$I$650,2,FALSE))))</f>
        <v/>
      </c>
      <c r="I45" s="51">
        <f t="shared" si="0"/>
        <v>0</v>
      </c>
      <c r="J45" t="str">
        <f t="shared" si="1"/>
        <v/>
      </c>
    </row>
    <row r="46" spans="1:10" ht="15">
      <c r="A46" s="46"/>
      <c r="B46" s="47" t="str">
        <f t="shared" si="3"/>
        <v/>
      </c>
      <c r="C46" s="48"/>
      <c r="D46" s="48"/>
      <c r="E46" s="48"/>
      <c r="F46" s="48"/>
      <c r="G46" s="48"/>
      <c r="H46" s="50" t="str">
        <f>IF($B46="","",IF($J46="X",B46,CONCATENATE(VLOOKUP(B46,Competitors!$A$2:$I$650,3,FALSE)," ",VLOOKUP(B46,Competitors!$A$2:$I$650,2,FALSE))))</f>
        <v/>
      </c>
      <c r="I46" s="51">
        <f t="shared" si="0"/>
        <v>0</v>
      </c>
      <c r="J46" t="str">
        <f t="shared" si="1"/>
        <v/>
      </c>
    </row>
    <row r="47" spans="1:10" ht="15">
      <c r="A47" s="46"/>
      <c r="B47" s="47" t="str">
        <f t="shared" si="3"/>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47" t="str">
        <f t="shared" si="3"/>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47" t="str">
        <f t="shared" si="3"/>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47" t="str">
        <f t="shared" si="3"/>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47" t="str">
        <f t="shared" si="3"/>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47" t="str">
        <f t="shared" si="3"/>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47" t="str">
        <f t="shared" si="3"/>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47" t="str">
        <f t="shared" si="3"/>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47" t="str">
        <f t="shared" si="3"/>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3"/>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3"/>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3"/>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3"/>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3"/>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3"/>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3"/>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3"/>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3"/>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3"/>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3"/>
        <v/>
      </c>
      <c r="C66" s="48"/>
      <c r="D66" s="48"/>
      <c r="E66" s="48"/>
      <c r="F66" s="48"/>
      <c r="G66" s="48"/>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8"/>
      <c r="E67" s="48"/>
      <c r="F67" s="48"/>
      <c r="G67" s="48"/>
      <c r="H67" s="50" t="str">
        <f>IF($B67="","",IF($J67="X",B67,CONCATENATE(VLOOKUP(B67,Competitors!$A$2:$I$650,3,FALSE)," ",VLOOKUP(B67,Competitors!$A$2:$I$650,2,FALSE))))</f>
        <v/>
      </c>
      <c r="I67" s="51">
        <f t="shared" si="4"/>
        <v>0</v>
      </c>
      <c r="J67" t="str">
        <f t="shared" si="5"/>
        <v/>
      </c>
    </row>
    <row r="68" spans="1:10" ht="15">
      <c r="A68" s="46"/>
      <c r="B68" s="47" t="str">
        <f t="shared" si="3"/>
        <v/>
      </c>
      <c r="C68" s="48"/>
      <c r="D68" s="48"/>
      <c r="E68" s="48"/>
      <c r="F68" s="48"/>
      <c r="G68" s="48"/>
      <c r="H68" s="50" t="str">
        <f>IF($B68="","",IF($J68="X",B68,CONCATENATE(VLOOKUP(B68,Competitors!$A$2:$I$650,3,FALSE)," ",VLOOKUP(B68,Competitors!$A$2:$I$650,2,FALSE))))</f>
        <v/>
      </c>
      <c r="I68" s="51">
        <f t="shared" si="4"/>
        <v>0</v>
      </c>
      <c r="J68" t="str">
        <f t="shared" si="5"/>
        <v/>
      </c>
    </row>
    <row r="69" spans="1:10" ht="15">
      <c r="A69" s="46"/>
      <c r="B69" s="47" t="str">
        <f t="shared" si="3"/>
        <v/>
      </c>
      <c r="C69" s="48"/>
      <c r="D69" s="48"/>
      <c r="E69" s="48"/>
      <c r="F69" s="48"/>
      <c r="G69" s="48"/>
      <c r="H69" s="50" t="str">
        <f>IF($B69="","",IF($J69="X",B69,CONCATENATE(VLOOKUP(B69,Competitors!$A$2:$I$650,3,FALSE)," ",VLOOKUP(B69,Competitors!$A$2:$I$650,2,FALSE))))</f>
        <v/>
      </c>
      <c r="I69" s="51">
        <f t="shared" si="4"/>
        <v>0</v>
      </c>
      <c r="J69" t="str">
        <f t="shared" si="5"/>
        <v/>
      </c>
    </row>
    <row r="70" spans="1:10" ht="15">
      <c r="A70" s="46"/>
      <c r="B70" s="47" t="str">
        <f t="shared" si="3"/>
        <v/>
      </c>
      <c r="C70" s="48"/>
      <c r="D70" s="48"/>
      <c r="E70" s="48"/>
      <c r="F70" s="48"/>
      <c r="G70" s="48"/>
      <c r="H70" s="50" t="str">
        <f>IF($B70="","",IF($J70="X",B70,CONCATENATE(VLOOKUP(B70,Competitors!$A$2:$I$650,3,FALSE)," ",VLOOKUP(B70,Competitors!$A$2:$I$650,2,FALSE))))</f>
        <v/>
      </c>
      <c r="I70" s="51">
        <f t="shared" si="4"/>
        <v>0</v>
      </c>
      <c r="J70" t="str">
        <f t="shared" si="5"/>
        <v/>
      </c>
    </row>
    <row r="71" spans="1:10" ht="15">
      <c r="A71" s="46"/>
      <c r="B71" s="47" t="str">
        <f t="shared" si="3"/>
        <v/>
      </c>
      <c r="C71" s="48"/>
      <c r="D71" s="48"/>
      <c r="E71" s="48"/>
      <c r="F71" s="48"/>
      <c r="G71" s="48"/>
      <c r="H71" s="50" t="str">
        <f>IF($B71="","",IF($J71="X",B71,CONCATENATE(VLOOKUP(B71,Competitors!$A$2:$I$650,3,FALSE)," ",VLOOKUP(B71,Competitors!$A$2:$I$650,2,FALSE))))</f>
        <v/>
      </c>
      <c r="I71" s="51">
        <f t="shared" si="4"/>
        <v>0</v>
      </c>
      <c r="J71" t="str">
        <f t="shared" si="5"/>
        <v/>
      </c>
    </row>
    <row r="72" spans="1:10" ht="15">
      <c r="A72" s="46"/>
      <c r="B72" s="47" t="str">
        <f t="shared" si="3"/>
        <v/>
      </c>
      <c r="C72" s="48"/>
      <c r="D72" s="48"/>
      <c r="E72" s="48"/>
      <c r="F72" s="48"/>
      <c r="G72" s="48"/>
      <c r="H72" s="50" t="str">
        <f>IF($B72="","",IF($J72="X",B72,CONCATENATE(VLOOKUP(B72,Competitors!$A$2:$I$650,3,FALSE)," ",VLOOKUP(B72,Competitors!$A$2:$I$650,2,FALSE))))</f>
        <v/>
      </c>
      <c r="I72" s="51">
        <f t="shared" si="4"/>
        <v>0</v>
      </c>
      <c r="J72" t="str">
        <f t="shared" si="5"/>
        <v/>
      </c>
    </row>
    <row r="73" spans="1:10" ht="15">
      <c r="A73" s="46"/>
      <c r="B73" s="47" t="str">
        <f t="shared" si="3"/>
        <v/>
      </c>
      <c r="C73" s="48"/>
      <c r="D73" s="48"/>
      <c r="E73" s="48"/>
      <c r="F73" s="48"/>
      <c r="G73" s="48"/>
      <c r="H73" s="50" t="str">
        <f>IF($B73="","",IF($J73="X",B73,CONCATENATE(VLOOKUP(B73,Competitors!$A$2:$I$650,3,FALSE)," ",VLOOKUP(B73,Competitors!$A$2:$I$650,2,FALSE))))</f>
        <v/>
      </c>
      <c r="I73" s="51">
        <f t="shared" si="4"/>
        <v>0</v>
      </c>
      <c r="J73" t="str">
        <f t="shared" si="5"/>
        <v/>
      </c>
    </row>
    <row r="74" spans="1:10" ht="15">
      <c r="A74" s="46"/>
      <c r="B74" s="47" t="str">
        <f t="shared" si="3"/>
        <v/>
      </c>
      <c r="C74" s="48"/>
      <c r="D74" s="48"/>
      <c r="E74" s="48"/>
      <c r="F74" s="48"/>
      <c r="G74" s="48"/>
      <c r="H74" s="50" t="str">
        <f>IF($B74="","",IF($J74="X",B74,CONCATENATE(VLOOKUP(B74,Competitors!$A$2:$I$650,3,FALSE)," ",VLOOKUP(B74,Competitors!$A$2:$I$650,2,FALSE))))</f>
        <v/>
      </c>
      <c r="I74" s="51">
        <f t="shared" si="4"/>
        <v>0</v>
      </c>
      <c r="J74" t="str">
        <f t="shared" si="5"/>
        <v/>
      </c>
    </row>
    <row r="75" spans="1:10" ht="15">
      <c r="A75" s="46"/>
      <c r="B75" s="47" t="str">
        <f t="shared" si="3"/>
        <v/>
      </c>
      <c r="C75" s="48"/>
      <c r="D75" s="48"/>
      <c r="E75" s="48"/>
      <c r="F75" s="48"/>
      <c r="G75" s="48"/>
      <c r="H75" s="50" t="str">
        <f>IF($B75="","",IF($J75="X",B75,CONCATENATE(VLOOKUP(B75,Competitors!$A$2:$I$650,3,FALSE)," ",VLOOKUP(B75,Competitors!$A$2:$I$650,2,FALSE))))</f>
        <v/>
      </c>
      <c r="I75" s="51">
        <f t="shared" si="4"/>
        <v>0</v>
      </c>
      <c r="J75" t="str">
        <f t="shared" si="5"/>
        <v/>
      </c>
    </row>
    <row r="76" spans="1:10" ht="15">
      <c r="A76" s="46"/>
      <c r="B76" s="47" t="str">
        <f t="shared" si="3"/>
        <v/>
      </c>
      <c r="C76" s="48"/>
      <c r="D76" s="48"/>
      <c r="E76" s="48"/>
      <c r="F76" s="48"/>
      <c r="G76" s="48"/>
      <c r="H76" s="50" t="str">
        <f>IF($B76="","",IF($J76="X",B76,CONCATENATE(VLOOKUP(B76,Competitors!$A$2:$I$650,3,FALSE)," ",VLOOKUP(B76,Competitors!$A$2:$I$650,2,FALSE))))</f>
        <v/>
      </c>
      <c r="I76" s="51">
        <f t="shared" si="4"/>
        <v>0</v>
      </c>
      <c r="J76" t="str">
        <f t="shared" si="5"/>
        <v/>
      </c>
    </row>
    <row r="77" spans="1:10" ht="15">
      <c r="A77" s="46"/>
      <c r="B77" s="47" t="str">
        <f t="shared" si="3"/>
        <v/>
      </c>
      <c r="C77" s="48"/>
      <c r="D77" s="48"/>
      <c r="E77" s="48"/>
      <c r="F77" s="48"/>
      <c r="G77" s="48"/>
      <c r="H77" s="50" t="str">
        <f>IF($B77="","",IF($J77="X",B77,CONCATENATE(VLOOKUP(B77,Competitors!$A$2:$I$650,3,FALSE)," ",VLOOKUP(B77,Competitors!$A$2:$I$650,2,FALSE))))</f>
        <v/>
      </c>
      <c r="I77" s="51">
        <f t="shared" si="4"/>
        <v>0</v>
      </c>
      <c r="J77" t="str">
        <f t="shared" si="5"/>
        <v/>
      </c>
    </row>
    <row r="78" spans="1:10" ht="15">
      <c r="A78" s="46"/>
      <c r="B78" s="47" t="str">
        <f t="shared" si="3"/>
        <v/>
      </c>
      <c r="C78" s="48"/>
      <c r="D78" s="48"/>
      <c r="E78" s="48"/>
      <c r="F78" s="48"/>
      <c r="G78" s="48"/>
      <c r="H78" s="50" t="str">
        <f>IF($B78="","",IF($J78="X",B78,CONCATENATE(VLOOKUP(B78,Competitors!$A$2:$I$650,3,FALSE)," ",VLOOKUP(B78,Competitors!$A$2:$I$650,2,FALSE))))</f>
        <v/>
      </c>
      <c r="I78" s="51">
        <f t="shared" si="4"/>
        <v>0</v>
      </c>
      <c r="J78" t="str">
        <f t="shared" si="5"/>
        <v/>
      </c>
    </row>
    <row r="79" spans="1:10" ht="15">
      <c r="A79" s="46"/>
      <c r="B79" s="47" t="str">
        <f t="shared" si="3"/>
        <v/>
      </c>
      <c r="C79" s="48"/>
      <c r="D79" s="48"/>
      <c r="E79" s="48"/>
      <c r="F79" s="48"/>
      <c r="G79" s="48"/>
      <c r="H79" s="50" t="str">
        <f>IF($B79="","",IF($J79="X",B79,CONCATENATE(VLOOKUP(B79,Competitors!$A$2:$I$650,3,FALSE)," ",VLOOKUP(B79,Competitors!$A$2:$I$650,2,FALSE))))</f>
        <v/>
      </c>
      <c r="I79" s="51">
        <f t="shared" si="4"/>
        <v>0</v>
      </c>
      <c r="J79" t="str">
        <f t="shared" si="5"/>
        <v/>
      </c>
    </row>
    <row r="80" spans="1:10" ht="15">
      <c r="A80" s="46"/>
      <c r="B80" s="47" t="str">
        <f t="shared" si="3"/>
        <v/>
      </c>
      <c r="C80" s="48"/>
      <c r="D80" s="48"/>
      <c r="E80" s="48"/>
      <c r="F80" s="48"/>
      <c r="G80" s="48"/>
      <c r="H80" s="50" t="str">
        <f>IF($B80="","",IF($J80="X",B80,CONCATENATE(VLOOKUP(B80,Competitors!$A$2:$I$650,3,FALSE)," ",VLOOKUP(B80,Competitors!$A$2:$I$650,2,FALSE))))</f>
        <v/>
      </c>
      <c r="I80" s="51">
        <f t="shared" si="4"/>
        <v>0</v>
      </c>
      <c r="J80" t="str">
        <f t="shared" si="5"/>
        <v/>
      </c>
    </row>
    <row r="81" spans="1:10" ht="15">
      <c r="A81" s="46"/>
      <c r="B81" s="47" t="str">
        <f t="shared" si="3"/>
        <v/>
      </c>
      <c r="C81" s="48"/>
      <c r="D81" s="48"/>
      <c r="E81" s="48"/>
      <c r="F81" s="48"/>
      <c r="G81" s="48"/>
      <c r="H81" s="50" t="str">
        <f>IF($B81="","",IF($J81="X",B81,CONCATENATE(VLOOKUP(B81,Competitors!$A$2:$I$650,3,FALSE)," ",VLOOKUP(B81,Competitors!$A$2:$I$650,2,FALSE))))</f>
        <v/>
      </c>
      <c r="I81" s="51">
        <f t="shared" si="4"/>
        <v>0</v>
      </c>
      <c r="J81" t="str">
        <f t="shared" si="5"/>
        <v/>
      </c>
    </row>
    <row r="82" spans="1:10" ht="15">
      <c r="A82" s="46"/>
      <c r="B82" s="47" t="str">
        <f t="shared" si="3"/>
        <v/>
      </c>
      <c r="C82" s="48"/>
      <c r="D82" s="48"/>
      <c r="E82" s="48"/>
      <c r="F82" s="48"/>
      <c r="G82" s="48"/>
      <c r="H82" s="50" t="str">
        <f>IF($B82="","",IF($J82="X",B82,CONCATENATE(VLOOKUP(B82,Competitors!$A$2:$I$650,3,FALSE)," ",VLOOKUP(B82,Competitors!$A$2:$I$650,2,FALSE))))</f>
        <v/>
      </c>
      <c r="I82" s="51">
        <f t="shared" si="4"/>
        <v>0</v>
      </c>
      <c r="J82" t="str">
        <f t="shared" si="5"/>
        <v/>
      </c>
    </row>
    <row r="83" spans="1:10" ht="15">
      <c r="A83" s="46"/>
      <c r="B83" s="47" t="str">
        <f t="shared" si="3"/>
        <v/>
      </c>
      <c r="C83" s="48"/>
      <c r="D83" s="48"/>
      <c r="E83" s="48"/>
      <c r="F83" s="48"/>
      <c r="G83" s="48"/>
      <c r="H83" s="50" t="str">
        <f>IF($B83="","",IF($J83="X",B83,CONCATENATE(VLOOKUP(B83,Competitors!$A$2:$I$650,3,FALSE)," ",VLOOKUP(B83,Competitors!$A$2:$I$650,2,FALSE))))</f>
        <v/>
      </c>
      <c r="I83" s="51">
        <f t="shared" si="4"/>
        <v>0</v>
      </c>
      <c r="J83" t="str">
        <f t="shared" si="5"/>
        <v/>
      </c>
    </row>
    <row r="84" spans="1:10" ht="15">
      <c r="A84" s="46"/>
      <c r="B84" s="47" t="str">
        <f t="shared" si="3"/>
        <v/>
      </c>
      <c r="C84" s="48"/>
      <c r="D84" s="48"/>
      <c r="E84" s="48"/>
      <c r="F84" s="48"/>
      <c r="G84" s="48"/>
      <c r="H84" s="50" t="str">
        <f>IF($B84="","",IF($J84="X",B84,CONCATENATE(VLOOKUP(B84,Competitors!$A$2:$I$650,3,FALSE)," ",VLOOKUP(B84,Competitors!$A$2:$I$650,2,FALSE))))</f>
        <v/>
      </c>
      <c r="I84" s="51">
        <f t="shared" si="4"/>
        <v>0</v>
      </c>
      <c r="J84" t="str">
        <f t="shared" si="5"/>
        <v/>
      </c>
    </row>
    <row r="85" spans="1:10" ht="15">
      <c r="A85" s="46"/>
      <c r="B85" s="47" t="str">
        <f t="shared" si="3"/>
        <v/>
      </c>
      <c r="C85" s="48"/>
      <c r="D85" s="48"/>
      <c r="E85" s="48"/>
      <c r="F85" s="48"/>
      <c r="G85" s="48"/>
      <c r="H85" s="50" t="str">
        <f>IF($B85="","",IF($J85="X",B85,CONCATENATE(VLOOKUP(B85,Competitors!$A$2:$I$650,3,FALSE)," ",VLOOKUP(B85,Competitors!$A$2:$I$650,2,FALSE))))</f>
        <v/>
      </c>
      <c r="I85" s="51">
        <f t="shared" si="4"/>
        <v>0</v>
      </c>
      <c r="J85" t="str">
        <f t="shared" si="5"/>
        <v/>
      </c>
    </row>
    <row r="86" spans="1:10" ht="15">
      <c r="A86" s="46"/>
      <c r="B86" s="47" t="str">
        <f t="shared" si="3"/>
        <v/>
      </c>
      <c r="C86" s="48"/>
      <c r="D86" s="48"/>
      <c r="E86" s="48"/>
      <c r="F86" s="48"/>
      <c r="G86" s="48"/>
      <c r="H86" s="50" t="str">
        <f>IF($B86="","",IF($J86="X",B86,CONCATENATE(VLOOKUP(B86,Competitors!$A$2:$I$650,3,FALSE)," ",VLOOKUP(B86,Competitors!$A$2:$I$650,2,FALSE))))</f>
        <v/>
      </c>
      <c r="I86" s="51">
        <f t="shared" si="4"/>
        <v>0</v>
      </c>
      <c r="J86" t="str">
        <f t="shared" si="5"/>
        <v/>
      </c>
    </row>
    <row r="87" spans="1:10" ht="15">
      <c r="A87" s="46"/>
      <c r="B87" s="47" t="str">
        <f t="shared" si="3"/>
        <v/>
      </c>
      <c r="C87" s="48"/>
      <c r="D87" s="48"/>
      <c r="E87" s="48"/>
      <c r="F87" s="48"/>
      <c r="G87" s="48"/>
      <c r="H87" s="50" t="str">
        <f>IF($B87="","",IF($J87="X",B87,CONCATENATE(VLOOKUP(B87,Competitors!$A$2:$I$650,3,FALSE)," ",VLOOKUP(B87,Competitors!$A$2:$I$650,2,FALSE))))</f>
        <v/>
      </c>
      <c r="I87" s="51">
        <f t="shared" si="4"/>
        <v>0</v>
      </c>
      <c r="J87" t="str">
        <f t="shared" si="5"/>
        <v/>
      </c>
    </row>
    <row r="88" spans="1:10" ht="15">
      <c r="A88" s="46"/>
      <c r="B88" s="47" t="str">
        <f t="shared" si="3"/>
        <v/>
      </c>
      <c r="C88" s="48"/>
      <c r="D88" s="48"/>
      <c r="E88" s="48"/>
      <c r="F88" s="48"/>
      <c r="G88" s="48"/>
      <c r="H88" s="50" t="str">
        <f>IF($B88="","",IF($J88="X",B88,CONCATENATE(VLOOKUP(B88,Competitors!$A$2:$I$650,3,FALSE)," ",VLOOKUP(B88,Competitors!$A$2:$I$650,2,FALSE))))</f>
        <v/>
      </c>
      <c r="I88" s="51">
        <f t="shared" si="4"/>
        <v>0</v>
      </c>
      <c r="J88" t="str">
        <f t="shared" si="5"/>
        <v/>
      </c>
    </row>
    <row r="89" spans="1:10" ht="15">
      <c r="A89" s="46"/>
      <c r="B89" s="47" t="str">
        <f t="shared" si="3"/>
        <v/>
      </c>
      <c r="C89" s="48"/>
      <c r="D89" s="48"/>
      <c r="E89" s="48"/>
      <c r="F89" s="48"/>
      <c r="G89" s="48"/>
      <c r="H89" s="50" t="str">
        <f>IF($B89="","",IF($J89="X",B89,CONCATENATE(VLOOKUP(B89,Competitors!$A$2:$I$650,3,FALSE)," ",VLOOKUP(B89,Competitors!$A$2:$I$650,2,FALSE))))</f>
        <v/>
      </c>
      <c r="I89" s="51">
        <f t="shared" si="4"/>
        <v>0</v>
      </c>
      <c r="J89" t="str">
        <f t="shared" si="5"/>
        <v/>
      </c>
    </row>
    <row r="90" spans="1:10" ht="15">
      <c r="A90" s="46"/>
      <c r="B90" s="47" t="str">
        <f t="shared" si="3"/>
        <v/>
      </c>
      <c r="C90" s="48"/>
      <c r="D90" s="48"/>
      <c r="E90" s="48"/>
      <c r="F90" s="48"/>
      <c r="G90" s="48"/>
      <c r="H90" s="50" t="str">
        <f>IF($B90="","",IF($J90="X",B90,CONCATENATE(VLOOKUP(B90,Competitors!$A$2:$I$650,3,FALSE)," ",VLOOKUP(B90,Competitors!$A$2:$I$650,2,FALSE))))</f>
        <v/>
      </c>
      <c r="I90" s="51">
        <f t="shared" si="4"/>
        <v>0</v>
      </c>
      <c r="J90" t="str">
        <f t="shared" si="5"/>
        <v/>
      </c>
    </row>
    <row r="91" spans="1:10" ht="15">
      <c r="A91" s="46"/>
      <c r="B91" s="47" t="str">
        <f t="shared" si="3"/>
        <v/>
      </c>
      <c r="C91" s="48"/>
      <c r="D91" s="48"/>
      <c r="E91" s="48"/>
      <c r="F91" s="48"/>
      <c r="G91" s="48"/>
      <c r="H91" s="50" t="str">
        <f>IF($B91="","",IF($J91="X",B91,CONCATENATE(VLOOKUP(B91,Competitors!$A$2:$I$650,3,FALSE)," ",VLOOKUP(B91,Competitors!$A$2:$I$650,2,FALSE))))</f>
        <v/>
      </c>
      <c r="I91" s="51">
        <f t="shared" si="4"/>
        <v>0</v>
      </c>
      <c r="J91" t="str">
        <f t="shared" si="5"/>
        <v/>
      </c>
    </row>
    <row r="92" spans="1:10" ht="15">
      <c r="A92" s="46"/>
      <c r="B92" s="47" t="str">
        <f t="shared" si="3"/>
        <v/>
      </c>
      <c r="C92" s="48"/>
      <c r="D92" s="48"/>
      <c r="E92" s="48"/>
      <c r="F92" s="48"/>
      <c r="G92" s="48"/>
      <c r="H92" s="50" t="str">
        <f>IF($B92="","",IF($J92="X",B92,CONCATENATE(VLOOKUP(B92,Competitors!$A$2:$I$650,3,FALSE)," ",VLOOKUP(B92,Competitors!$A$2:$I$650,2,FALSE))))</f>
        <v/>
      </c>
      <c r="I92" s="51">
        <f t="shared" si="4"/>
        <v>0</v>
      </c>
      <c r="J92" t="str">
        <f t="shared" si="5"/>
        <v/>
      </c>
    </row>
    <row r="93" spans="1:10" ht="15">
      <c r="A93" s="46"/>
      <c r="B93" s="47" t="str">
        <f t="shared" si="3"/>
        <v/>
      </c>
      <c r="C93" s="48"/>
      <c r="D93" s="48"/>
      <c r="E93" s="48"/>
      <c r="F93" s="48"/>
      <c r="G93" s="48"/>
      <c r="H93" s="50" t="str">
        <f>IF($B93="","",IF($J93="X",B93,CONCATENATE(VLOOKUP(B93,Competitors!$A$2:$I$650,3,FALSE)," ",VLOOKUP(B93,Competitors!$A$2:$I$650,2,FALSE))))</f>
        <v/>
      </c>
      <c r="I93" s="51">
        <f t="shared" si="4"/>
        <v>0</v>
      </c>
      <c r="J93" t="str">
        <f t="shared" si="5"/>
        <v/>
      </c>
    </row>
    <row r="94" spans="1:10" ht="15">
      <c r="A94" s="46"/>
      <c r="B94" s="47" t="str">
        <f t="shared" si="3"/>
        <v/>
      </c>
      <c r="C94" s="48"/>
      <c r="D94" s="48"/>
      <c r="E94" s="48"/>
      <c r="F94" s="48"/>
      <c r="G94" s="48"/>
      <c r="H94" s="50" t="str">
        <f>IF($B94="","",IF($J94="X",B94,CONCATENATE(VLOOKUP(B94,Competitors!$A$2:$I$650,3,FALSE)," ",VLOOKUP(B94,Competitors!$A$2:$I$650,2,FALSE))))</f>
        <v/>
      </c>
      <c r="I94" s="51">
        <f t="shared" si="4"/>
        <v>0</v>
      </c>
      <c r="J94" t="str">
        <f t="shared" si="5"/>
        <v/>
      </c>
    </row>
    <row r="95" spans="1:10" ht="15">
      <c r="A95" s="46"/>
      <c r="B95" s="47" t="str">
        <f t="shared" si="3"/>
        <v/>
      </c>
      <c r="C95" s="48"/>
      <c r="D95" s="48"/>
      <c r="E95" s="48"/>
      <c r="F95" s="48"/>
      <c r="G95" s="48"/>
      <c r="H95" s="50" t="str">
        <f>IF($B95="","",IF($J95="X",B95,CONCATENATE(VLOOKUP(B95,Competitors!$A$2:$I$650,3,FALSE)," ",VLOOKUP(B95,Competitors!$A$2:$I$650,2,FALSE))))</f>
        <v/>
      </c>
      <c r="I95" s="51">
        <f t="shared" si="4"/>
        <v>0</v>
      </c>
      <c r="J95" t="str">
        <f t="shared" si="5"/>
        <v/>
      </c>
    </row>
    <row r="96" spans="1:10" ht="15">
      <c r="A96" s="46"/>
      <c r="B96" s="47" t="str">
        <f t="shared" si="3"/>
        <v/>
      </c>
      <c r="C96" s="48"/>
      <c r="D96" s="48"/>
      <c r="E96" s="48"/>
      <c r="F96" s="48"/>
      <c r="G96" s="48"/>
      <c r="H96" s="50" t="str">
        <f>IF($B96="","",IF($J96="X",B96,CONCATENATE(VLOOKUP(B96,Competitors!$A$2:$I$650,3,FALSE)," ",VLOOKUP(B96,Competitors!$A$2:$I$650,2,FALSE))))</f>
        <v/>
      </c>
      <c r="I96" s="51">
        <f t="shared" si="4"/>
        <v>0</v>
      </c>
      <c r="J96" t="str">
        <f t="shared" si="5"/>
        <v/>
      </c>
    </row>
    <row r="97" spans="1:10" ht="15">
      <c r="A97" s="46"/>
      <c r="B97" s="47" t="str">
        <f t="shared" si="3"/>
        <v/>
      </c>
      <c r="C97" s="48"/>
      <c r="D97" s="48"/>
      <c r="E97" s="48"/>
      <c r="F97" s="48"/>
      <c r="G97" s="48"/>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8"/>
      <c r="E98" s="48"/>
      <c r="F98" s="48"/>
      <c r="G98" s="48"/>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8"/>
      <c r="E99" s="48"/>
      <c r="F99" s="48"/>
      <c r="G99" s="48"/>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8"/>
      <c r="E100" s="48"/>
      <c r="F100" s="48"/>
      <c r="G100" s="48"/>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8"/>
      <c r="E101" s="48"/>
      <c r="F101" s="48"/>
      <c r="G101" s="48"/>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Event_06</v>
      </c>
    </row>
    <row r="104" spans="1:10">
      <c r="B104" t="s">
        <v>552</v>
      </c>
      <c r="C104" t="str">
        <f ca="1">_xlfn.XLOOKUP(C103,Calendar!O:O,Calendar!H:H,"Event is not in calendar")</f>
        <v/>
      </c>
    </row>
  </sheetData>
  <conditionalFormatting sqref="E2:E101">
    <cfRule type="expression" dxfId="66" priority="3">
      <formula>TEXT($C$104,"@")="Y"</formula>
    </cfRule>
  </conditionalFormatting>
  <conditionalFormatting sqref="H2:I101">
    <cfRule type="expression" dxfId="65" priority="2">
      <formula>$J2="X"</formula>
    </cfRule>
  </conditionalFormatting>
  <conditionalFormatting sqref="I2:I101">
    <cfRule type="expression" dxfId="64"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9">
    <pageSetUpPr fitToPage="1"/>
  </sheetPr>
  <dimension ref="A1:J104"/>
  <sheetViews>
    <sheetView workbookViewId="0"/>
    <sheetView workbookViewId="1"/>
  </sheetViews>
  <sheetFormatPr defaultColWidth="9.1328125" defaultRowHeight="12.75"/>
  <cols>
    <col min="1" max="1" width="20.33203125" bestFit="1" customWidth="1"/>
    <col min="2" max="2" width="23.86328125" bestFit="1" customWidth="1"/>
    <col min="3" max="5" width="4.796875" customWidth="1"/>
    <col min="6" max="7" width="11.1328125" customWidth="1"/>
    <col min="8" max="8" width="44.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616</v>
      </c>
      <c r="B2" s="47">
        <v>990</v>
      </c>
      <c r="C2" s="48"/>
      <c r="D2" s="48">
        <f>15+15</f>
        <v>30</v>
      </c>
      <c r="E2" s="48">
        <f>23+11</f>
        <v>34</v>
      </c>
      <c r="F2" s="48" t="s">
        <v>544</v>
      </c>
      <c r="G2" s="48"/>
      <c r="H2" s="50" t="str">
        <f>IF($B2="","",IF($J2="X",B2,CONCATENATE(VLOOKUP(B2,Competitors!$A$2:$I$650,3, FALSE)," ",VLOOKUP(B2,Competitors!$A$2:$I$650,2,FALSE))))</f>
        <v>Jen Hulme</v>
      </c>
      <c r="I2" s="51">
        <f t="shared" ref="I2:I65" si="0">IF(LEFT($F2,1)="D",UPPER($F2),(C2*3600+D2*60+E2)/86400)</f>
        <v>2.1226851851851851E-2</v>
      </c>
      <c r="J2" t="str">
        <f t="shared" ref="J2:J65" si="1">IF(OR(B2="",ISNUMBER(B2)),"","X")</f>
        <v/>
      </c>
    </row>
    <row r="3" spans="1:10" ht="15">
      <c r="A3" s="46" t="s">
        <v>446</v>
      </c>
      <c r="B3" s="47">
        <v>1379</v>
      </c>
      <c r="C3" s="48"/>
      <c r="D3" s="48">
        <f>13+13</f>
        <v>26</v>
      </c>
      <c r="E3" s="48">
        <f>23+2</f>
        <v>25</v>
      </c>
      <c r="F3" s="48" t="s">
        <v>544</v>
      </c>
      <c r="G3" s="48"/>
      <c r="H3" s="50" t="str">
        <f>IF($B3="","",IF($J3="X",B3,CONCATENATE(VLOOKUP(B3,Competitors!$A$2:$I$650,3,FALSE)," ",VLOOKUP(B3,Competitors!$A$2:$I$650,2,FALSE))))</f>
        <v>Michaela Latham</v>
      </c>
      <c r="I3" s="51">
        <f t="shared" si="0"/>
        <v>1.8344907407407407E-2</v>
      </c>
      <c r="J3" t="str">
        <f t="shared" si="1"/>
        <v/>
      </c>
    </row>
    <row r="4" spans="1:10" ht="15">
      <c r="A4" s="46" t="s">
        <v>451</v>
      </c>
      <c r="B4" s="47">
        <v>1244</v>
      </c>
      <c r="C4" s="48"/>
      <c r="D4" s="48">
        <f>13+12</f>
        <v>25</v>
      </c>
      <c r="E4" s="48">
        <f>17+52</f>
        <v>69</v>
      </c>
      <c r="F4" s="48" t="s">
        <v>544</v>
      </c>
      <c r="G4" s="48"/>
      <c r="H4" s="50" t="str">
        <f>IF($B4="","",IF($J4="X",B4,CONCATENATE(VLOOKUP(B4,Competitors!$A$2:$I$650,3,FALSE)," ",VLOOKUP(B4,Competitors!$A$2:$I$650,2,FALSE))))</f>
        <v>Steven Latham</v>
      </c>
      <c r="I4" s="51">
        <f t="shared" si="0"/>
        <v>1.8159722222222223E-2</v>
      </c>
      <c r="J4" t="str">
        <f t="shared" si="1"/>
        <v/>
      </c>
    </row>
    <row r="5" spans="1:10" ht="15">
      <c r="A5" s="46" t="s">
        <v>447</v>
      </c>
      <c r="B5" s="47">
        <v>1194</v>
      </c>
      <c r="C5" s="48"/>
      <c r="D5" s="48">
        <f>13+13</f>
        <v>26</v>
      </c>
      <c r="E5" s="48">
        <f>56+34</f>
        <v>90</v>
      </c>
      <c r="F5" s="48" t="s">
        <v>544</v>
      </c>
      <c r="G5" s="48"/>
      <c r="H5" s="50" t="str">
        <f>IF($B5="","",IF($J5="X",B5,CONCATENATE(VLOOKUP(B5,Competitors!$A$2:$I$650,3,FALSE)," ",VLOOKUP(B5,Competitors!$A$2:$I$650,2,FALSE))))</f>
        <v>Alex Hardwicke</v>
      </c>
      <c r="I5" s="51">
        <f t="shared" si="0"/>
        <v>1.9097222222222224E-2</v>
      </c>
      <c r="J5" t="str">
        <f t="shared" si="1"/>
        <v/>
      </c>
    </row>
    <row r="6" spans="1:10" ht="15">
      <c r="A6" s="46" t="s">
        <v>437</v>
      </c>
      <c r="B6" s="47">
        <v>1195</v>
      </c>
      <c r="C6" s="48"/>
      <c r="D6" s="48">
        <f>12+11</f>
        <v>23</v>
      </c>
      <c r="E6" s="48">
        <f>16+55</f>
        <v>71</v>
      </c>
      <c r="F6" s="48" t="s">
        <v>544</v>
      </c>
      <c r="G6" s="48"/>
      <c r="H6" s="50" t="str">
        <f>IF($B6="","",IF($J6="X",B6,CONCATENATE(VLOOKUP(B6,Competitors!$A$2:$I$650,3,FALSE)," ",VLOOKUP(B6,Competitors!$A$2:$I$650,2,FALSE))))</f>
        <v>Charlie Hardwicke</v>
      </c>
      <c r="I6" s="51">
        <f t="shared" si="0"/>
        <v>1.6793981481481483E-2</v>
      </c>
      <c r="J6" t="str">
        <f t="shared" si="1"/>
        <v/>
      </c>
    </row>
    <row r="7" spans="1:10" ht="15">
      <c r="A7" s="46" t="s">
        <v>454</v>
      </c>
      <c r="B7" s="47">
        <v>45</v>
      </c>
      <c r="C7" s="48"/>
      <c r="D7" s="48">
        <f>16+15</f>
        <v>31</v>
      </c>
      <c r="E7" s="48">
        <v>21</v>
      </c>
      <c r="F7" s="48" t="s">
        <v>544</v>
      </c>
      <c r="G7" s="48"/>
      <c r="H7" s="50" t="str">
        <f>IF($B7="","",IF($J7="X",B7,CONCATENATE(VLOOKUP(B7,Competitors!$A$2:$I$650,3,FALSE)," ",VLOOKUP(B7,Competitors!$A$2:$I$650,2,FALSE))))</f>
        <v>Ray Taylor</v>
      </c>
      <c r="I7" s="51">
        <f t="shared" si="0"/>
        <v>2.1770833333333333E-2</v>
      </c>
      <c r="J7" t="str">
        <f t="shared" si="1"/>
        <v/>
      </c>
    </row>
    <row r="8" spans="1:10" ht="15">
      <c r="A8" s="46" t="s">
        <v>448</v>
      </c>
      <c r="B8" s="47">
        <v>1298</v>
      </c>
      <c r="C8" s="48"/>
      <c r="D8" s="48">
        <f>14+14</f>
        <v>28</v>
      </c>
      <c r="E8" s="48">
        <f>59+11</f>
        <v>70</v>
      </c>
      <c r="F8" s="48" t="s">
        <v>544</v>
      </c>
      <c r="G8" s="48"/>
      <c r="H8" s="50" t="str">
        <f>IF($B8="","",IF($J8="X",B8,CONCATENATE(VLOOKUP(B8,Competitors!$A$2:$I$650,3,FALSE)," ",VLOOKUP(B8,Competitors!$A$2:$I$650,2,FALSE))))</f>
        <v>Jane Moore</v>
      </c>
      <c r="I8" s="51">
        <f t="shared" si="0"/>
        <v>2.0254629629629629E-2</v>
      </c>
      <c r="J8" t="str">
        <f t="shared" si="1"/>
        <v/>
      </c>
    </row>
    <row r="9" spans="1:10" ht="15">
      <c r="A9" s="46" t="s">
        <v>459</v>
      </c>
      <c r="B9" s="47">
        <v>742</v>
      </c>
      <c r="C9" s="48"/>
      <c r="D9" s="48">
        <f>15+13</f>
        <v>28</v>
      </c>
      <c r="E9" s="48">
        <f>1+54</f>
        <v>55</v>
      </c>
      <c r="F9" s="48" t="s">
        <v>544</v>
      </c>
      <c r="G9" s="48"/>
      <c r="H9" s="50" t="str">
        <f>IF($B9="","",IF($J9="X",B9,CONCATENATE(VLOOKUP(B9,Competitors!$A$2:$I$650,3,FALSE)," ",VLOOKUP(B9,Competitors!$A$2:$I$650,2,FALSE))))</f>
        <v>Claire Moore</v>
      </c>
      <c r="I9" s="51">
        <f t="shared" si="0"/>
        <v>2.0081018518518519E-2</v>
      </c>
      <c r="J9" t="str">
        <f t="shared" si="1"/>
        <v/>
      </c>
    </row>
    <row r="10" spans="1:10" ht="15">
      <c r="A10" s="46" t="s">
        <v>443</v>
      </c>
      <c r="B10" s="47">
        <v>1193</v>
      </c>
      <c r="C10" s="48"/>
      <c r="D10" s="48">
        <f>12+12</f>
        <v>24</v>
      </c>
      <c r="E10" s="48">
        <f>40+19</f>
        <v>59</v>
      </c>
      <c r="F10" s="48" t="s">
        <v>544</v>
      </c>
      <c r="G10" s="48"/>
      <c r="H10" s="50" t="str">
        <f>IF($B10="","",IF($J10="X",B10,CONCATENATE(VLOOKUP(B10,Competitors!$A$2:$I$650,3, FALSE)," ",VLOOKUP(B10,Competitors!$A$2:$I$650,2,FALSE))))</f>
        <v>Richard Hardwicke</v>
      </c>
      <c r="I10" s="51">
        <f t="shared" si="0"/>
        <v>1.7349537037037038E-2</v>
      </c>
      <c r="J10" t="str">
        <f t="shared" si="1"/>
        <v/>
      </c>
    </row>
    <row r="11" spans="1:10" ht="15">
      <c r="A11" s="46" t="s">
        <v>444</v>
      </c>
      <c r="B11" s="47">
        <v>1386</v>
      </c>
      <c r="C11" s="48"/>
      <c r="D11" s="48">
        <f>12+12</f>
        <v>24</v>
      </c>
      <c r="E11" s="48">
        <f>56+15</f>
        <v>71</v>
      </c>
      <c r="F11" s="48" t="s">
        <v>544</v>
      </c>
      <c r="G11" s="48"/>
      <c r="H11" s="50" t="str">
        <f>IF($B11="","",IF($J11="X",B11,CONCATENATE(VLOOKUP(B11,Competitors!$A$2:$I$650,3,FALSE)," ",VLOOKUP(B11,Competitors!$A$2:$I$650,2,FALSE))))</f>
        <v>Mea Moore</v>
      </c>
      <c r="I11" s="51">
        <f t="shared" si="0"/>
        <v>1.7488425925925925E-2</v>
      </c>
      <c r="J11" t="str">
        <f t="shared" si="1"/>
        <v/>
      </c>
    </row>
    <row r="12" spans="1:10" ht="15">
      <c r="A12" s="46" t="s">
        <v>425</v>
      </c>
      <c r="B12" s="47">
        <v>1418</v>
      </c>
      <c r="C12" s="48"/>
      <c r="D12" s="48">
        <f>11+11</f>
        <v>22</v>
      </c>
      <c r="E12" s="48">
        <f>37+13</f>
        <v>50</v>
      </c>
      <c r="F12" s="48"/>
      <c r="G12" s="48"/>
      <c r="H12" s="50" t="str">
        <f>IF($B12="","",IF($J12="X",B12,CONCATENATE(VLOOKUP(B12,Competitors!$A$2:$I$650,3,FALSE)," ",VLOOKUP(B12,Competitors!$A$2:$I$650,2,FALSE))))</f>
        <v>James Brown</v>
      </c>
      <c r="I12" s="51">
        <f t="shared" si="0"/>
        <v>1.5856481481481482E-2</v>
      </c>
      <c r="J12" t="str">
        <f t="shared" si="1"/>
        <v/>
      </c>
    </row>
    <row r="13" spans="1:10" ht="15">
      <c r="A13" s="46" t="s">
        <v>410</v>
      </c>
      <c r="B13" s="47">
        <v>747</v>
      </c>
      <c r="C13" s="48"/>
      <c r="D13" s="48">
        <f>10+9</f>
        <v>19</v>
      </c>
      <c r="E13" s="48">
        <f>28+58</f>
        <v>86</v>
      </c>
      <c r="F13" s="48"/>
      <c r="G13" s="48"/>
      <c r="H13" s="50" t="str">
        <f>IF($B13="","",IF($J13="X",B13,CONCATENATE(VLOOKUP(B13,Competitors!$A$2:$I$650,3,FALSE)," ",VLOOKUP(B13,Competitors!$A$2:$I$650,2,FALSE))))</f>
        <v>James Moore</v>
      </c>
      <c r="I13" s="51">
        <f t="shared" si="0"/>
        <v>1.4189814814814815E-2</v>
      </c>
      <c r="J13" t="str">
        <f t="shared" si="1"/>
        <v/>
      </c>
    </row>
    <row r="14" spans="1:10" ht="15">
      <c r="A14" s="46" t="s">
        <v>440</v>
      </c>
      <c r="B14" s="47">
        <v>245</v>
      </c>
      <c r="C14" s="48"/>
      <c r="D14" s="48">
        <f>12+11</f>
        <v>23</v>
      </c>
      <c r="E14" s="48">
        <f>37+59</f>
        <v>96</v>
      </c>
      <c r="F14" s="48"/>
      <c r="G14" s="48"/>
      <c r="H14" s="50" t="str">
        <f>IF($B14="","",IF($J14="X",B14,CONCATENATE(VLOOKUP(B14,Competitors!$A$2:$I$650,3,FALSE)," ",VLOOKUP(B14,Competitors!$A$2:$I$650,2,FALSE))))</f>
        <v>David Reay</v>
      </c>
      <c r="I14" s="51">
        <f t="shared" si="0"/>
        <v>1.7083333333333332E-2</v>
      </c>
      <c r="J14" t="str">
        <f t="shared" si="1"/>
        <v/>
      </c>
    </row>
    <row r="15" spans="1:10" ht="15">
      <c r="A15" s="46" t="s">
        <v>417</v>
      </c>
      <c r="B15" s="47">
        <v>1152</v>
      </c>
      <c r="C15" s="48"/>
      <c r="D15" s="48">
        <f>11+11</f>
        <v>22</v>
      </c>
      <c r="E15" s="48">
        <f>30+2</f>
        <v>32</v>
      </c>
      <c r="F15" s="48" t="s">
        <v>544</v>
      </c>
      <c r="G15" s="48"/>
      <c r="H15" s="50" t="str">
        <f>IF($B15="","",IF($J15="X",B15,CONCATENATE(VLOOKUP(B15,Competitors!$A$2:$I$650,3,FALSE)," ",VLOOKUP(B15,Competitors!$A$2:$I$650,2,FALSE))))</f>
        <v>Ruby Isaac</v>
      </c>
      <c r="I15" s="51">
        <f t="shared" si="0"/>
        <v>1.5648148148148147E-2</v>
      </c>
      <c r="J15" t="str">
        <f t="shared" si="1"/>
        <v/>
      </c>
    </row>
    <row r="16" spans="1:10" ht="15">
      <c r="A16" s="46" t="s">
        <v>431</v>
      </c>
      <c r="B16" s="47">
        <v>1403</v>
      </c>
      <c r="C16" s="48"/>
      <c r="D16" s="48">
        <f>12+11</f>
        <v>23</v>
      </c>
      <c r="E16" s="48">
        <f>22+48</f>
        <v>70</v>
      </c>
      <c r="F16" s="48"/>
      <c r="G16" s="48"/>
      <c r="H16" s="50" t="str">
        <f>IF($B16="","",IF($J16="X",B16,CONCATENATE(VLOOKUP(B16,Competitors!$A$2:$I$650,3,FALSE)," ",VLOOKUP(B16,Competitors!$A$2:$I$650,2,FALSE))))</f>
        <v>Toby Lenehan</v>
      </c>
      <c r="I16" s="51">
        <f t="shared" si="0"/>
        <v>1.6782407407407409E-2</v>
      </c>
      <c r="J16" t="str">
        <f t="shared" si="1"/>
        <v/>
      </c>
    </row>
    <row r="17" spans="1:10" ht="15">
      <c r="A17" s="46" t="s">
        <v>429</v>
      </c>
      <c r="B17" s="47">
        <v>1107</v>
      </c>
      <c r="C17" s="48"/>
      <c r="D17" s="48">
        <f>12+11</f>
        <v>23</v>
      </c>
      <c r="E17" s="48">
        <f>20+53</f>
        <v>73</v>
      </c>
      <c r="F17" s="48" t="s">
        <v>544</v>
      </c>
      <c r="G17" s="48"/>
      <c r="H17" s="50" t="str">
        <f>IF($B17="","",IF($J17="X",B17,CONCATENATE(VLOOKUP(B17,Competitors!$A$2:$I$650,3,FALSE)," ",VLOOKUP(B17,Competitors!$A$2:$I$650,2,FALSE))))</f>
        <v>Milly Pinnock</v>
      </c>
      <c r="I17" s="51">
        <f t="shared" si="0"/>
        <v>1.681712962962963E-2</v>
      </c>
      <c r="J17" t="str">
        <f t="shared" si="1"/>
        <v/>
      </c>
    </row>
    <row r="18" spans="1:10" ht="15">
      <c r="A18" s="46" t="s">
        <v>418</v>
      </c>
      <c r="B18" s="47">
        <v>1355</v>
      </c>
      <c r="C18" s="48"/>
      <c r="D18" s="48">
        <f>11+10</f>
        <v>21</v>
      </c>
      <c r="E18" s="48">
        <f>27+59</f>
        <v>86</v>
      </c>
      <c r="F18" s="48" t="s">
        <v>544</v>
      </c>
      <c r="G18" s="48"/>
      <c r="H18" s="50" t="str">
        <f>IF($B18="","",IF($J18="X",B18,CONCATENATE(VLOOKUP(B18,Competitors!$A$2:$I$650,3,FALSE)," ",VLOOKUP(B18,Competitors!$A$2:$I$650,2,FALSE))))</f>
        <v>Aubrey Elmer</v>
      </c>
      <c r="I18" s="51">
        <f t="shared" si="0"/>
        <v>1.5578703703703704E-2</v>
      </c>
      <c r="J18" t="str">
        <f t="shared" si="1"/>
        <v/>
      </c>
    </row>
    <row r="19" spans="1:10" ht="15">
      <c r="A19" s="46" t="s">
        <v>436</v>
      </c>
      <c r="B19" s="47">
        <v>203</v>
      </c>
      <c r="C19" s="48"/>
      <c r="D19" s="48"/>
      <c r="E19" s="48"/>
      <c r="F19" s="48"/>
      <c r="G19" s="48" t="s">
        <v>568</v>
      </c>
      <c r="H19" s="50" t="str">
        <f>IF($B19="","",IF($J19="X",B19,CONCATENATE(VLOOKUP(B19,Competitors!$A$2:$I$650,3,FALSE)," ",VLOOKUP(B19,Competitors!$A$2:$I$650,2,FALSE))))</f>
        <v>Adrian Killworth</v>
      </c>
      <c r="I19" s="51">
        <f t="shared" si="0"/>
        <v>0</v>
      </c>
      <c r="J19" t="str">
        <f t="shared" si="1"/>
        <v/>
      </c>
    </row>
    <row r="20" spans="1:10" ht="15">
      <c r="A20" s="46" t="s">
        <v>442</v>
      </c>
      <c r="B20" s="47">
        <v>564</v>
      </c>
      <c r="C20" s="48"/>
      <c r="D20" s="48">
        <f>12+12</f>
        <v>24</v>
      </c>
      <c r="E20" s="48">
        <f>40+22</f>
        <v>62</v>
      </c>
      <c r="F20" s="48"/>
      <c r="G20" s="48"/>
      <c r="H20" s="50" t="str">
        <f>IF($B20="","",IF($J20="X",B20,CONCATENATE(VLOOKUP(B20,Competitors!$A$2:$I$650,3,FALSE)," ",VLOOKUP(B20,Competitors!$A$2:$I$650,2,FALSE))))</f>
        <v>Ian Murdey</v>
      </c>
      <c r="I20" s="51">
        <f t="shared" si="0"/>
        <v>1.7384259259259259E-2</v>
      </c>
      <c r="J20" t="str">
        <f t="shared" si="1"/>
        <v/>
      </c>
    </row>
    <row r="21" spans="1:10" ht="15">
      <c r="A21" s="46" t="s">
        <v>433</v>
      </c>
      <c r="B21" s="47">
        <v>1109</v>
      </c>
      <c r="C21" s="48"/>
      <c r="D21" s="48">
        <f>12+11</f>
        <v>23</v>
      </c>
      <c r="E21" s="48">
        <f>31+58</f>
        <v>89</v>
      </c>
      <c r="F21" s="48" t="s">
        <v>544</v>
      </c>
      <c r="G21" s="48"/>
      <c r="H21" s="50" t="str">
        <f>IF($B21="","",IF($J21="X",B21,CONCATENATE(VLOOKUP(B21,Competitors!$A$2:$I$650,3,FALSE)," ",VLOOKUP(B21,Competitors!$A$2:$I$650,2,FALSE))))</f>
        <v>Stuart Haycox</v>
      </c>
      <c r="I21" s="51">
        <f t="shared" si="0"/>
        <v>1.7002314814814814E-2</v>
      </c>
      <c r="J21" t="str">
        <f t="shared" si="1"/>
        <v/>
      </c>
    </row>
    <row r="22" spans="1:10" ht="15">
      <c r="A22" s="46" t="s">
        <v>422</v>
      </c>
      <c r="B22" s="47">
        <v>1407</v>
      </c>
      <c r="C22" s="48"/>
      <c r="D22" s="48">
        <f>11+11</f>
        <v>22</v>
      </c>
      <c r="E22" s="48">
        <f>44+4</f>
        <v>48</v>
      </c>
      <c r="F22" s="48" t="s">
        <v>544</v>
      </c>
      <c r="G22" s="48"/>
      <c r="H22" s="50" t="str">
        <f>IF($B22="","",IF($J22="X",B22,CONCATENATE(VLOOKUP(B22,Competitors!$A$2:$I$650,3,FALSE)," ",VLOOKUP(B22,Competitors!$A$2:$I$650,2,FALSE))))</f>
        <v>Colin Dobson</v>
      </c>
      <c r="I22" s="51">
        <f t="shared" si="0"/>
        <v>1.5833333333333335E-2</v>
      </c>
      <c r="J22" t="str">
        <f t="shared" si="1"/>
        <v/>
      </c>
    </row>
    <row r="23" spans="1:10" ht="15">
      <c r="A23" s="46" t="s">
        <v>411</v>
      </c>
      <c r="B23" s="47">
        <v>407</v>
      </c>
      <c r="C23" s="48"/>
      <c r="D23" s="48">
        <f>10+10</f>
        <v>20</v>
      </c>
      <c r="E23" s="48">
        <f>32+11</f>
        <v>43</v>
      </c>
      <c r="F23" s="48"/>
      <c r="G23" s="48"/>
      <c r="H23" s="50" t="str">
        <f>IF($B23="","",IF($J23="X",B23,CONCATENATE(VLOOKUP(B23,Competitors!$A$2:$I$650,3,FALSE)," ",VLOOKUP(B23,Competitors!$A$2:$I$650,2,FALSE))))</f>
        <v>Hans van Nierop</v>
      </c>
      <c r="I23" s="51">
        <f t="shared" si="0"/>
        <v>1.4386574074074074E-2</v>
      </c>
      <c r="J23" t="str">
        <f t="shared" si="1"/>
        <v/>
      </c>
    </row>
    <row r="24" spans="1:10" ht="15">
      <c r="A24" s="46" t="s">
        <v>432</v>
      </c>
      <c r="B24" s="47">
        <v>1112</v>
      </c>
      <c r="C24" s="48"/>
      <c r="D24" s="48">
        <f>12+11</f>
        <v>23</v>
      </c>
      <c r="E24" s="48">
        <f>29+48</f>
        <v>77</v>
      </c>
      <c r="F24" s="48"/>
      <c r="G24" s="48"/>
      <c r="H24" s="50" t="str">
        <f>IF($B24="","",IF($J24="X",B24,CONCATENATE(VLOOKUP(B24,Competitors!$A$2:$I$650,3,FALSE)," ",VLOOKUP(B24,Competitors!$A$2:$I$650,2,FALSE))))</f>
        <v>Gary Ashwell</v>
      </c>
      <c r="I24" s="51">
        <f t="shared" si="0"/>
        <v>1.6863425925925928E-2</v>
      </c>
      <c r="J24" t="str">
        <f t="shared" si="1"/>
        <v/>
      </c>
    </row>
    <row r="25" spans="1:10" ht="15">
      <c r="A25" s="46" t="s">
        <v>438</v>
      </c>
      <c r="B25" s="47">
        <v>704</v>
      </c>
      <c r="C25" s="48"/>
      <c r="D25" s="48">
        <f>12+11</f>
        <v>23</v>
      </c>
      <c r="E25" s="48">
        <f>15+59</f>
        <v>74</v>
      </c>
      <c r="F25" s="48"/>
      <c r="G25" s="48"/>
      <c r="H25" s="50" t="str">
        <f>IF($B25="","",IF($J25="X",B25,CONCATENATE(VLOOKUP(B25,Competitors!$A$2:$I$650,3,FALSE)," ",VLOOKUP(B25,Competitors!$A$2:$I$650,2,FALSE))))</f>
        <v>Chris Dainty</v>
      </c>
      <c r="I25" s="51">
        <f t="shared" si="0"/>
        <v>1.6828703703703703E-2</v>
      </c>
      <c r="J25" t="str">
        <f t="shared" si="1"/>
        <v/>
      </c>
    </row>
    <row r="26" spans="1:10" ht="15">
      <c r="A26" s="46" t="s">
        <v>421</v>
      </c>
      <c r="B26" s="47">
        <v>415</v>
      </c>
      <c r="C26" s="48"/>
      <c r="D26" s="48">
        <f>11+11</f>
        <v>22</v>
      </c>
      <c r="E26" s="48">
        <f>44+8</f>
        <v>52</v>
      </c>
      <c r="F26" s="48" t="s">
        <v>544</v>
      </c>
      <c r="G26" s="48"/>
      <c r="H26" s="50" t="str">
        <f>IF($B26="","",IF($J26="X",B26,CONCATENATE(VLOOKUP(B26,Competitors!$A$2:$I$650,3,FALSE)," ",VLOOKUP(B26,Competitors!$A$2:$I$650,2,FALSE))))</f>
        <v>Nik Kershaw</v>
      </c>
      <c r="I26" s="51">
        <f t="shared" si="0"/>
        <v>1.5879629629629629E-2</v>
      </c>
      <c r="J26" t="str">
        <f t="shared" si="1"/>
        <v/>
      </c>
    </row>
    <row r="27" spans="1:10" ht="15">
      <c r="A27" s="46" t="s">
        <v>428</v>
      </c>
      <c r="B27" s="47">
        <v>1237</v>
      </c>
      <c r="C27" s="48"/>
      <c r="D27" s="48">
        <f>12+12</f>
        <v>24</v>
      </c>
      <c r="E27" s="48">
        <f>36+5</f>
        <v>41</v>
      </c>
      <c r="F27" s="48" t="s">
        <v>544</v>
      </c>
      <c r="G27" s="48"/>
      <c r="H27" s="50" t="str">
        <f>IF($B27="","",IF($J27="X",B27,CONCATENATE(VLOOKUP(B27,Competitors!$A$2:$I$650,3,FALSE)," ",VLOOKUP(B27,Competitors!$A$2:$I$650,2,FALSE))))</f>
        <v>John Abbott</v>
      </c>
      <c r="I27" s="51">
        <f t="shared" si="0"/>
        <v>1.7141203703703704E-2</v>
      </c>
      <c r="J27" t="str">
        <f t="shared" si="1"/>
        <v/>
      </c>
    </row>
    <row r="28" spans="1:10" ht="15">
      <c r="A28" s="46" t="s">
        <v>408</v>
      </c>
      <c r="B28" s="47">
        <v>1094</v>
      </c>
      <c r="C28" s="48"/>
      <c r="D28" s="48">
        <f>10+10</f>
        <v>20</v>
      </c>
      <c r="E28" s="48">
        <f>51+37</f>
        <v>88</v>
      </c>
      <c r="F28" s="48"/>
      <c r="G28" s="48"/>
      <c r="H28" s="50" t="str">
        <f>IF($B28="","",IF($J28="X",B28,CONCATENATE(VLOOKUP(B28,Competitors!$A$2:$I$650,3,FALSE)," ",VLOOKUP(B28,Competitors!$A$2:$I$650,2,FALSE))))</f>
        <v>Andy Poulton</v>
      </c>
      <c r="I28" s="51">
        <f t="shared" si="0"/>
        <v>1.4907407407407407E-2</v>
      </c>
      <c r="J28" t="str">
        <f t="shared" si="1"/>
        <v/>
      </c>
    </row>
    <row r="29" spans="1:10" ht="15">
      <c r="A29" s="46" t="s">
        <v>415</v>
      </c>
      <c r="B29" s="47">
        <v>1161</v>
      </c>
      <c r="C29" s="48"/>
      <c r="D29" s="48">
        <f>10+10</f>
        <v>20</v>
      </c>
      <c r="E29" s="48">
        <f>57+26</f>
        <v>83</v>
      </c>
      <c r="F29" s="48"/>
      <c r="G29" s="48"/>
      <c r="H29" s="50" t="str">
        <f>IF($B29="","",IF($J29="X",B29,CONCATENATE(VLOOKUP(B29,Competitors!$A$2:$I$650,3,FALSE)," ",VLOOKUP(B29,Competitors!$A$2:$I$650,2,FALSE))))</f>
        <v>Maciej Suchocki</v>
      </c>
      <c r="I29" s="51">
        <f t="shared" si="0"/>
        <v>1.4849537037037038E-2</v>
      </c>
      <c r="J29" t="str">
        <f t="shared" si="1"/>
        <v/>
      </c>
    </row>
    <row r="30" spans="1:10" ht="15">
      <c r="A30" s="46" t="s">
        <v>420</v>
      </c>
      <c r="B30" s="47">
        <v>1192</v>
      </c>
      <c r="C30" s="48"/>
      <c r="D30" s="48">
        <f>11+11</f>
        <v>22</v>
      </c>
      <c r="E30" s="48">
        <f>43+7</f>
        <v>50</v>
      </c>
      <c r="F30" s="48"/>
      <c r="G30" s="48"/>
      <c r="H30" s="50" t="str">
        <f>IF($B30="","",IF($J30="X",B30,CONCATENATE(VLOOKUP(B30,Competitors!$A$2:$I$650,3,FALSE)," ",VLOOKUP(B30,Competitors!$A$2:$I$650,2,FALSE))))</f>
        <v>Dale Norris</v>
      </c>
      <c r="I30" s="51">
        <f t="shared" si="0"/>
        <v>1.5856481481481482E-2</v>
      </c>
      <c r="J30" t="str">
        <f t="shared" si="1"/>
        <v/>
      </c>
    </row>
    <row r="31" spans="1:10" ht="15">
      <c r="A31" s="46" t="s">
        <v>414</v>
      </c>
      <c r="B31" s="47">
        <v>699</v>
      </c>
      <c r="C31" s="48"/>
      <c r="D31" s="48">
        <f>10+10</f>
        <v>20</v>
      </c>
      <c r="E31" s="48">
        <f>57+32</f>
        <v>89</v>
      </c>
      <c r="F31" s="48"/>
      <c r="G31" s="48"/>
      <c r="H31" s="50" t="str">
        <f>IF($B31="","",IF($J31="X",B31,CONCATENATE(VLOOKUP(B31,Competitors!$A$2:$I$650,3,FALSE)," ",VLOOKUP(B31,Competitors!$A$2:$I$650,2,FALSE))))</f>
        <v>Jonathan Durnin</v>
      </c>
      <c r="I31" s="51">
        <f t="shared" si="0"/>
        <v>1.4918981481481481E-2</v>
      </c>
      <c r="J31" t="str">
        <f t="shared" si="1"/>
        <v/>
      </c>
    </row>
    <row r="32" spans="1:10" ht="15">
      <c r="A32" s="46" t="s">
        <v>435</v>
      </c>
      <c r="B32" s="47">
        <v>846</v>
      </c>
      <c r="C32" s="48"/>
      <c r="D32" s="48"/>
      <c r="E32" s="48"/>
      <c r="F32" s="48"/>
      <c r="G32" s="48" t="s">
        <v>568</v>
      </c>
      <c r="H32" s="50" t="str">
        <f>IF($B32="","",IF($J32="X",B32,CONCATENATE(VLOOKUP(B32,Competitors!$A$2:$I$650,3,FALSE)," ",VLOOKUP(B32,Competitors!$A$2:$I$650,2,FALSE))))</f>
        <v>Roger Kockelbergh</v>
      </c>
      <c r="I32" s="51">
        <f t="shared" si="0"/>
        <v>0</v>
      </c>
      <c r="J32" t="str">
        <f t="shared" si="1"/>
        <v/>
      </c>
    </row>
    <row r="33" spans="1:10" ht="15">
      <c r="A33" s="46" t="s">
        <v>445</v>
      </c>
      <c r="B33" s="47">
        <v>1242</v>
      </c>
      <c r="C33" s="48"/>
      <c r="D33" s="48">
        <f>13+12</f>
        <v>25</v>
      </c>
      <c r="E33" s="48">
        <f>1+17</f>
        <v>18</v>
      </c>
      <c r="F33" s="48" t="s">
        <v>544</v>
      </c>
      <c r="G33" s="48"/>
      <c r="H33" s="50" t="str">
        <f>IF($B33="","",IF($J33="X",B33,CONCATENATE(VLOOKUP(B33,Competitors!$A$2:$I$650,3,FALSE)," ",VLOOKUP(B33,Competitors!$A$2:$I$650,2,FALSE))))</f>
        <v>Mike Sirett</v>
      </c>
      <c r="I33" s="51">
        <f t="shared" si="0"/>
        <v>1.7569444444444443E-2</v>
      </c>
      <c r="J33" t="str">
        <f t="shared" si="1"/>
        <v/>
      </c>
    </row>
    <row r="34" spans="1:10" ht="15">
      <c r="A34" s="46" t="s">
        <v>413</v>
      </c>
      <c r="B34" s="47">
        <v>989</v>
      </c>
      <c r="C34" s="48"/>
      <c r="D34" s="48">
        <f>11+10</f>
        <v>21</v>
      </c>
      <c r="E34" s="48">
        <f>29+52</f>
        <v>81</v>
      </c>
      <c r="F34" s="48" t="s">
        <v>544</v>
      </c>
      <c r="G34" s="48"/>
      <c r="H34" s="50" t="str">
        <f>IF($B34="","",IF($J34="X",B34,CONCATENATE(VLOOKUP(B34,Competitors!$A$2:$I$650,3,FALSE)," ",VLOOKUP(B34,Competitors!$A$2:$I$650,2,FALSE))))</f>
        <v>Jason Williams</v>
      </c>
      <c r="I34" s="51">
        <f t="shared" si="0"/>
        <v>1.5520833333333333E-2</v>
      </c>
      <c r="J34" t="str">
        <f t="shared" si="1"/>
        <v/>
      </c>
    </row>
    <row r="35" spans="1:10" ht="15">
      <c r="A35" s="46" t="s">
        <v>441</v>
      </c>
      <c r="B35" s="47">
        <v>1254</v>
      </c>
      <c r="C35" s="48"/>
      <c r="D35" s="48">
        <f>12+11</f>
        <v>23</v>
      </c>
      <c r="E35" s="48">
        <f>12+53</f>
        <v>65</v>
      </c>
      <c r="F35" s="48"/>
      <c r="G35" s="48"/>
      <c r="H35" s="50" t="str">
        <f>IF($B35="","",IF($J35="X",B35,CONCATENATE(VLOOKUP(B35,Competitors!$A$2:$I$650,3,FALSE)," ",VLOOKUP(B35,Competitors!$A$2:$I$650,2,FALSE))))</f>
        <v>Paul White</v>
      </c>
      <c r="I35" s="51">
        <f t="shared" si="0"/>
        <v>1.6724537037037038E-2</v>
      </c>
      <c r="J35" t="str">
        <f t="shared" si="1"/>
        <v/>
      </c>
    </row>
    <row r="36" spans="1:10" ht="15">
      <c r="A36" s="46"/>
      <c r="B36" s="47" t="str">
        <f t="shared" ref="B36:B97" si="2">IF(A36="","",_xlfn.XLOOKUP(A36,ClubNames,ClubNumbers,_xlfn.XLOOKUP(A36,RoundRobinRiderNames,RoundRobinRiderDecoratedNames,A36)))</f>
        <v/>
      </c>
      <c r="C36" s="48"/>
      <c r="D36" s="48"/>
      <c r="E36" s="48"/>
      <c r="F36" s="48"/>
      <c r="G36" s="48"/>
      <c r="H36" s="50" t="str">
        <f>IF($B36="","",IF($J36="X",B36,CONCATENATE(VLOOKUP(B36,Competitors!$A$2:$I$650,3,FALSE)," ",VLOOKUP(B36,Competitors!$A$2:$I$650,2,FALSE))))</f>
        <v/>
      </c>
      <c r="I36" s="51">
        <f t="shared" si="0"/>
        <v>0</v>
      </c>
      <c r="J36" t="str">
        <f t="shared" si="1"/>
        <v/>
      </c>
    </row>
    <row r="37" spans="1:10" ht="15">
      <c r="A37" s="46"/>
      <c r="B37" s="47" t="str">
        <f t="shared" si="2"/>
        <v/>
      </c>
      <c r="C37" s="48"/>
      <c r="D37" s="48"/>
      <c r="E37" s="48"/>
      <c r="F37" s="48"/>
      <c r="G37" s="48"/>
      <c r="H37" s="50" t="str">
        <f>IF($B37="","",IF($J37="X",B37,CONCATENATE(VLOOKUP(B37,Competitors!$A$2:$I$650,3,FALSE)," ",VLOOKUP(B37,Competitors!$A$2:$I$650,2,FALSE))))</f>
        <v/>
      </c>
      <c r="I37" s="51">
        <f t="shared" si="0"/>
        <v>0</v>
      </c>
      <c r="J37" t="str">
        <f t="shared" si="1"/>
        <v/>
      </c>
    </row>
    <row r="38" spans="1:10" ht="15">
      <c r="A38" s="46"/>
      <c r="B38" s="47" t="str">
        <f t="shared" si="2"/>
        <v/>
      </c>
      <c r="C38" s="48"/>
      <c r="D38" s="48"/>
      <c r="E38" s="48"/>
      <c r="F38" s="48"/>
      <c r="G38" s="48"/>
      <c r="H38" s="50" t="str">
        <f>IF($B38="","",IF($J38="X",B38,CONCATENATE(VLOOKUP(B38,Competitors!$A$2:$I$650,3,FALSE)," ",VLOOKUP(B38,Competitors!$A$2:$I$650,2,FALSE))))</f>
        <v/>
      </c>
      <c r="I38" s="51">
        <f t="shared" si="0"/>
        <v>0</v>
      </c>
      <c r="J38" t="str">
        <f t="shared" si="1"/>
        <v/>
      </c>
    </row>
    <row r="39" spans="1:10" ht="15">
      <c r="A39" s="46"/>
      <c r="B39" s="47" t="str">
        <f t="shared" si="2"/>
        <v/>
      </c>
      <c r="C39" s="48"/>
      <c r="D39" s="48"/>
      <c r="E39" s="48"/>
      <c r="F39" s="48"/>
      <c r="G39" s="48"/>
      <c r="H39" s="50" t="str">
        <f>IF($B39="","",IF($J39="X",B39,CONCATENATE(VLOOKUP(B39,Competitors!$A$2:$I$650,3,FALSE)," ",VLOOKUP(B39,Competitors!$A$2:$I$650,2,FALSE))))</f>
        <v/>
      </c>
      <c r="I39" s="51">
        <f t="shared" si="0"/>
        <v>0</v>
      </c>
      <c r="J39" t="str">
        <f t="shared" si="1"/>
        <v/>
      </c>
    </row>
    <row r="40" spans="1:10" ht="15">
      <c r="A40" s="46"/>
      <c r="B40" s="47" t="str">
        <f t="shared" si="2"/>
        <v/>
      </c>
      <c r="C40" s="48"/>
      <c r="D40" s="48"/>
      <c r="E40" s="48"/>
      <c r="F40" s="48"/>
      <c r="G40" s="48"/>
      <c r="H40" s="50" t="str">
        <f>IF($B40="","",IF($J40="X",B40,CONCATENATE(VLOOKUP(B40,Competitors!$A$2:$I$650,3,FALSE)," ",VLOOKUP(B40,Competitors!$A$2:$I$650,2,FALSE))))</f>
        <v/>
      </c>
      <c r="I40" s="51">
        <f t="shared" si="0"/>
        <v>0</v>
      </c>
      <c r="J40" t="str">
        <f t="shared" si="1"/>
        <v/>
      </c>
    </row>
    <row r="41" spans="1:10" ht="15">
      <c r="A41" s="46"/>
      <c r="B41" s="47" t="str">
        <f t="shared" si="2"/>
        <v/>
      </c>
      <c r="C41" s="48"/>
      <c r="D41" s="48"/>
      <c r="E41" s="48"/>
      <c r="F41" s="48"/>
      <c r="G41" s="48"/>
      <c r="H41" s="50" t="str">
        <f>IF($B41="","",IF($J41="X",B41,CONCATENATE(VLOOKUP(B41,Competitors!$A$2:$I$650,3,FALSE)," ",VLOOKUP(B41,Competitors!$A$2:$I$650,2,FALSE))))</f>
        <v/>
      </c>
      <c r="I41" s="51">
        <f t="shared" si="0"/>
        <v>0</v>
      </c>
      <c r="J41" t="str">
        <f t="shared" si="1"/>
        <v/>
      </c>
    </row>
    <row r="42" spans="1:10" ht="15">
      <c r="A42" s="46"/>
      <c r="B42" s="47" t="str">
        <f t="shared" si="2"/>
        <v/>
      </c>
      <c r="C42" s="48"/>
      <c r="D42" s="48"/>
      <c r="E42" s="48"/>
      <c r="F42" s="48"/>
      <c r="G42" s="48"/>
      <c r="H42" s="50" t="str">
        <f>IF($B42="","",IF($J42="X",B42,CONCATENATE(VLOOKUP(B42,Competitors!$A$2:$I$650,3,FALSE)," ",VLOOKUP(B42,Competitors!$A$2:$I$650,2,FALSE))))</f>
        <v/>
      </c>
      <c r="I42" s="51">
        <f t="shared" si="0"/>
        <v>0</v>
      </c>
      <c r="J42" t="str">
        <f t="shared" si="1"/>
        <v/>
      </c>
    </row>
    <row r="43" spans="1:10" ht="15">
      <c r="A43" s="46"/>
      <c r="B43" s="47" t="str">
        <f t="shared" si="2"/>
        <v/>
      </c>
      <c r="C43" s="48"/>
      <c r="D43" s="48"/>
      <c r="E43" s="48"/>
      <c r="F43" s="48"/>
      <c r="G43" s="48"/>
      <c r="H43" s="50" t="str">
        <f>IF($B43="","",IF($J43="X",B43,CONCATENATE(VLOOKUP(B43,Competitors!$A$2:$I$650,3,FALSE)," ",VLOOKUP(B43,Competitors!$A$2:$I$650,2,FALSE))))</f>
        <v/>
      </c>
      <c r="I43" s="51">
        <f t="shared" si="0"/>
        <v>0</v>
      </c>
      <c r="J43" t="str">
        <f t="shared" si="1"/>
        <v/>
      </c>
    </row>
    <row r="44" spans="1:10" ht="15">
      <c r="A44" s="46"/>
      <c r="B44" s="47" t="str">
        <f t="shared" si="2"/>
        <v/>
      </c>
      <c r="C44" s="48"/>
      <c r="D44" s="48"/>
      <c r="E44" s="48"/>
      <c r="F44" s="48"/>
      <c r="G44" s="48"/>
      <c r="H44" s="50" t="str">
        <f>IF($B44="","",IF($J44="X",B44,CONCATENATE(VLOOKUP(B44,Competitors!$A$2:$I$650,3,FALSE)," ",VLOOKUP(B44,Competitors!$A$2:$I$650,2,FALSE))))</f>
        <v/>
      </c>
      <c r="I44" s="51">
        <f t="shared" si="0"/>
        <v>0</v>
      </c>
      <c r="J44" t="str">
        <f t="shared" si="1"/>
        <v/>
      </c>
    </row>
    <row r="45" spans="1:10" ht="15">
      <c r="A45" s="46"/>
      <c r="B45" s="47" t="str">
        <f t="shared" si="2"/>
        <v/>
      </c>
      <c r="C45" s="48"/>
      <c r="D45" s="48"/>
      <c r="E45" s="48"/>
      <c r="F45" s="48"/>
      <c r="G45" s="48"/>
      <c r="H45" s="50" t="str">
        <f>IF($B45="","",IF($J45="X",B45,CONCATENATE(VLOOKUP(B45,Competitors!$A$2:$I$650,3,FALSE)," ",VLOOKUP(B45,Competitors!$A$2:$I$650,2,FALSE))))</f>
        <v/>
      </c>
      <c r="I45" s="51">
        <f t="shared" si="0"/>
        <v>0</v>
      </c>
      <c r="J45" t="str">
        <f t="shared" si="1"/>
        <v/>
      </c>
    </row>
    <row r="46" spans="1:10" ht="15">
      <c r="A46" s="46"/>
      <c r="B46" s="47" t="str">
        <f t="shared" si="2"/>
        <v/>
      </c>
      <c r="C46" s="48"/>
      <c r="D46" s="48"/>
      <c r="E46" s="48"/>
      <c r="F46" s="48"/>
      <c r="G46" s="48"/>
      <c r="H46" s="50" t="str">
        <f>IF($B46="","",IF($J46="X",B46,CONCATENATE(VLOOKUP(B46,Competitors!$A$2:$I$650,3,FALSE)," ",VLOOKUP(B46,Competitors!$A$2:$I$650,2,FALSE))))</f>
        <v/>
      </c>
      <c r="I46" s="51">
        <f t="shared" si="0"/>
        <v>0</v>
      </c>
      <c r="J46" t="str">
        <f t="shared" si="1"/>
        <v/>
      </c>
    </row>
    <row r="47" spans="1:10" ht="15">
      <c r="A47" s="46"/>
      <c r="B47" s="47" t="str">
        <f t="shared" si="2"/>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47" t="str">
        <f t="shared" si="2"/>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47" t="str">
        <f t="shared" si="2"/>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47" t="str">
        <f t="shared" si="2"/>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47" t="str">
        <f t="shared" si="2"/>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47" t="str">
        <f t="shared" si="2"/>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47" t="str">
        <f t="shared" si="2"/>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47" t="str">
        <f t="shared" si="2"/>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47" t="str">
        <f t="shared" si="2"/>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2"/>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2"/>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2"/>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2"/>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2"/>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2"/>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2"/>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2"/>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2"/>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2"/>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2"/>
        <v/>
      </c>
      <c r="C66" s="48"/>
      <c r="D66" s="48"/>
      <c r="E66" s="48"/>
      <c r="F66" s="48"/>
      <c r="G66" s="48"/>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47" t="str">
        <f t="shared" si="2"/>
        <v/>
      </c>
      <c r="C67" s="48"/>
      <c r="D67" s="48"/>
      <c r="E67" s="48"/>
      <c r="F67" s="48"/>
      <c r="G67" s="48"/>
      <c r="H67" s="50" t="str">
        <f>IF($B67="","",IF($J67="X",B67,CONCATENATE(VLOOKUP(B67,Competitors!$A$2:$I$650,3,FALSE)," ",VLOOKUP(B67,Competitors!$A$2:$I$650,2,FALSE))))</f>
        <v/>
      </c>
      <c r="I67" s="51">
        <f t="shared" si="3"/>
        <v>0</v>
      </c>
      <c r="J67" t="str">
        <f t="shared" si="4"/>
        <v/>
      </c>
    </row>
    <row r="68" spans="1:10" ht="15">
      <c r="A68" s="46"/>
      <c r="B68" s="47" t="str">
        <f t="shared" si="2"/>
        <v/>
      </c>
      <c r="C68" s="48"/>
      <c r="D68" s="48"/>
      <c r="E68" s="48"/>
      <c r="F68" s="48"/>
      <c r="G68" s="48"/>
      <c r="H68" s="50" t="str">
        <f>IF($B68="","",IF($J68="X",B68,CONCATENATE(VLOOKUP(B68,Competitors!$A$2:$I$650,3,FALSE)," ",VLOOKUP(B68,Competitors!$A$2:$I$650,2,FALSE))))</f>
        <v/>
      </c>
      <c r="I68" s="51">
        <f t="shared" si="3"/>
        <v>0</v>
      </c>
      <c r="J68" t="str">
        <f t="shared" si="4"/>
        <v/>
      </c>
    </row>
    <row r="69" spans="1:10" ht="15">
      <c r="A69" s="46"/>
      <c r="B69" s="47" t="str">
        <f t="shared" si="2"/>
        <v/>
      </c>
      <c r="C69" s="48"/>
      <c r="D69" s="48"/>
      <c r="E69" s="48"/>
      <c r="F69" s="48"/>
      <c r="G69" s="48"/>
      <c r="H69" s="50" t="str">
        <f>IF($B69="","",IF($J69="X",B69,CONCATENATE(VLOOKUP(B69,Competitors!$A$2:$I$650,3,FALSE)," ",VLOOKUP(B69,Competitors!$A$2:$I$650,2,FALSE))))</f>
        <v/>
      </c>
      <c r="I69" s="51">
        <f t="shared" si="3"/>
        <v>0</v>
      </c>
      <c r="J69" t="str">
        <f t="shared" si="4"/>
        <v/>
      </c>
    </row>
    <row r="70" spans="1:10" ht="15">
      <c r="A70" s="46"/>
      <c r="B70" s="47" t="str">
        <f t="shared" si="2"/>
        <v/>
      </c>
      <c r="C70" s="48"/>
      <c r="D70" s="48"/>
      <c r="E70" s="48"/>
      <c r="F70" s="48"/>
      <c r="G70" s="48"/>
      <c r="H70" s="50" t="str">
        <f>IF($B70="","",IF($J70="X",B70,CONCATENATE(VLOOKUP(B70,Competitors!$A$2:$I$650,3,FALSE)," ",VLOOKUP(B70,Competitors!$A$2:$I$650,2,FALSE))))</f>
        <v/>
      </c>
      <c r="I70" s="51">
        <f t="shared" si="3"/>
        <v>0</v>
      </c>
      <c r="J70" t="str">
        <f t="shared" si="4"/>
        <v/>
      </c>
    </row>
    <row r="71" spans="1:10" ht="15">
      <c r="A71" s="46"/>
      <c r="B71" s="47" t="str">
        <f t="shared" si="2"/>
        <v/>
      </c>
      <c r="C71" s="48"/>
      <c r="D71" s="48"/>
      <c r="E71" s="48"/>
      <c r="F71" s="48"/>
      <c r="G71" s="48"/>
      <c r="H71" s="50" t="str">
        <f>IF($B71="","",IF($J71="X",B71,CONCATENATE(VLOOKUP(B71,Competitors!$A$2:$I$650,3,FALSE)," ",VLOOKUP(B71,Competitors!$A$2:$I$650,2,FALSE))))</f>
        <v/>
      </c>
      <c r="I71" s="51">
        <f t="shared" si="3"/>
        <v>0</v>
      </c>
      <c r="J71" t="str">
        <f t="shared" si="4"/>
        <v/>
      </c>
    </row>
    <row r="72" spans="1:10" ht="15">
      <c r="A72" s="46"/>
      <c r="B72" s="47" t="str">
        <f t="shared" si="2"/>
        <v/>
      </c>
      <c r="C72" s="48"/>
      <c r="D72" s="48"/>
      <c r="E72" s="48"/>
      <c r="F72" s="48"/>
      <c r="G72" s="48"/>
      <c r="H72" s="50" t="str">
        <f>IF($B72="","",IF($J72="X",B72,CONCATENATE(VLOOKUP(B72,Competitors!$A$2:$I$650,3,FALSE)," ",VLOOKUP(B72,Competitors!$A$2:$I$650,2,FALSE))))</f>
        <v/>
      </c>
      <c r="I72" s="51">
        <f t="shared" si="3"/>
        <v>0</v>
      </c>
      <c r="J72" t="str">
        <f t="shared" si="4"/>
        <v/>
      </c>
    </row>
    <row r="73" spans="1:10" ht="15">
      <c r="A73" s="46"/>
      <c r="B73" s="47" t="str">
        <f t="shared" si="2"/>
        <v/>
      </c>
      <c r="C73" s="48"/>
      <c r="D73" s="48"/>
      <c r="E73" s="48"/>
      <c r="F73" s="48"/>
      <c r="G73" s="48"/>
      <c r="H73" s="50" t="str">
        <f>IF($B73="","",IF($J73="X",B73,CONCATENATE(VLOOKUP(B73,Competitors!$A$2:$I$650,3,FALSE)," ",VLOOKUP(B73,Competitors!$A$2:$I$650,2,FALSE))))</f>
        <v/>
      </c>
      <c r="I73" s="51">
        <f t="shared" si="3"/>
        <v>0</v>
      </c>
      <c r="J73" t="str">
        <f t="shared" si="4"/>
        <v/>
      </c>
    </row>
    <row r="74" spans="1:10" ht="15">
      <c r="A74" s="46"/>
      <c r="B74" s="47" t="str">
        <f t="shared" si="2"/>
        <v/>
      </c>
      <c r="C74" s="48"/>
      <c r="D74" s="48"/>
      <c r="E74" s="48"/>
      <c r="F74" s="48"/>
      <c r="G74" s="48"/>
      <c r="H74" s="50" t="str">
        <f>IF($B74="","",IF($J74="X",B74,CONCATENATE(VLOOKUP(B74,Competitors!$A$2:$I$650,3,FALSE)," ",VLOOKUP(B74,Competitors!$A$2:$I$650,2,FALSE))))</f>
        <v/>
      </c>
      <c r="I74" s="51">
        <f t="shared" si="3"/>
        <v>0</v>
      </c>
      <c r="J74" t="str">
        <f t="shared" si="4"/>
        <v/>
      </c>
    </row>
    <row r="75" spans="1:10" ht="15">
      <c r="A75" s="46"/>
      <c r="B75" s="47" t="str">
        <f t="shared" si="2"/>
        <v/>
      </c>
      <c r="C75" s="48"/>
      <c r="D75" s="48"/>
      <c r="E75" s="48"/>
      <c r="F75" s="48"/>
      <c r="G75" s="48"/>
      <c r="H75" s="50" t="str">
        <f>IF($B75="","",IF($J75="X",B75,CONCATENATE(VLOOKUP(B75,Competitors!$A$2:$I$650,3,FALSE)," ",VLOOKUP(B75,Competitors!$A$2:$I$650,2,FALSE))))</f>
        <v/>
      </c>
      <c r="I75" s="51">
        <f t="shared" si="3"/>
        <v>0</v>
      </c>
      <c r="J75" t="str">
        <f t="shared" si="4"/>
        <v/>
      </c>
    </row>
    <row r="76" spans="1:10" ht="15">
      <c r="A76" s="46"/>
      <c r="B76" s="47" t="str">
        <f t="shared" si="2"/>
        <v/>
      </c>
      <c r="C76" s="48"/>
      <c r="D76" s="48"/>
      <c r="E76" s="48"/>
      <c r="F76" s="48"/>
      <c r="G76" s="48"/>
      <c r="H76" s="50" t="str">
        <f>IF($B76="","",IF($J76="X",B76,CONCATENATE(VLOOKUP(B76,Competitors!$A$2:$I$650,3,FALSE)," ",VLOOKUP(B76,Competitors!$A$2:$I$650,2,FALSE))))</f>
        <v/>
      </c>
      <c r="I76" s="51">
        <f t="shared" si="3"/>
        <v>0</v>
      </c>
      <c r="J76" t="str">
        <f t="shared" si="4"/>
        <v/>
      </c>
    </row>
    <row r="77" spans="1:10" ht="15">
      <c r="A77" s="46"/>
      <c r="B77" s="47" t="str">
        <f t="shared" si="2"/>
        <v/>
      </c>
      <c r="C77" s="48"/>
      <c r="D77" s="48"/>
      <c r="E77" s="48"/>
      <c r="F77" s="48"/>
      <c r="G77" s="48"/>
      <c r="H77" s="50" t="str">
        <f>IF($B77="","",IF($J77="X",B77,CONCATENATE(VLOOKUP(B77,Competitors!$A$2:$I$650,3,FALSE)," ",VLOOKUP(B77,Competitors!$A$2:$I$650,2,FALSE))))</f>
        <v/>
      </c>
      <c r="I77" s="51">
        <f t="shared" si="3"/>
        <v>0</v>
      </c>
      <c r="J77" t="str">
        <f t="shared" si="4"/>
        <v/>
      </c>
    </row>
    <row r="78" spans="1:10" ht="15">
      <c r="A78" s="46"/>
      <c r="B78" s="47" t="str">
        <f t="shared" si="2"/>
        <v/>
      </c>
      <c r="C78" s="48"/>
      <c r="D78" s="48"/>
      <c r="E78" s="48"/>
      <c r="F78" s="48"/>
      <c r="G78" s="48"/>
      <c r="H78" s="50" t="str">
        <f>IF($B78="","",IF($J78="X",B78,CONCATENATE(VLOOKUP(B78,Competitors!$A$2:$I$650,3,FALSE)," ",VLOOKUP(B78,Competitors!$A$2:$I$650,2,FALSE))))</f>
        <v/>
      </c>
      <c r="I78" s="51">
        <f t="shared" si="3"/>
        <v>0</v>
      </c>
      <c r="J78" t="str">
        <f t="shared" si="4"/>
        <v/>
      </c>
    </row>
    <row r="79" spans="1:10" ht="15">
      <c r="A79" s="46"/>
      <c r="B79" s="47" t="str">
        <f t="shared" si="2"/>
        <v/>
      </c>
      <c r="C79" s="48"/>
      <c r="D79" s="48"/>
      <c r="E79" s="48"/>
      <c r="F79" s="48"/>
      <c r="G79" s="48"/>
      <c r="H79" s="50" t="str">
        <f>IF($B79="","",IF($J79="X",B79,CONCATENATE(VLOOKUP(B79,Competitors!$A$2:$I$650,3,FALSE)," ",VLOOKUP(B79,Competitors!$A$2:$I$650,2,FALSE))))</f>
        <v/>
      </c>
      <c r="I79" s="51">
        <f t="shared" si="3"/>
        <v>0</v>
      </c>
      <c r="J79" t="str">
        <f t="shared" si="4"/>
        <v/>
      </c>
    </row>
    <row r="80" spans="1:10" ht="15">
      <c r="A80" s="46"/>
      <c r="B80" s="47" t="str">
        <f t="shared" si="2"/>
        <v/>
      </c>
      <c r="C80" s="48"/>
      <c r="D80" s="48"/>
      <c r="E80" s="48"/>
      <c r="F80" s="48"/>
      <c r="G80" s="48"/>
      <c r="H80" s="50" t="str">
        <f>IF($B80="","",IF($J80="X",B80,CONCATENATE(VLOOKUP(B80,Competitors!$A$2:$I$650,3,FALSE)," ",VLOOKUP(B80,Competitors!$A$2:$I$650,2,FALSE))))</f>
        <v/>
      </c>
      <c r="I80" s="51">
        <f t="shared" si="3"/>
        <v>0</v>
      </c>
      <c r="J80" t="str">
        <f t="shared" si="4"/>
        <v/>
      </c>
    </row>
    <row r="81" spans="1:10" ht="15">
      <c r="A81" s="46"/>
      <c r="B81" s="47" t="str">
        <f t="shared" si="2"/>
        <v/>
      </c>
      <c r="C81" s="48"/>
      <c r="D81" s="48"/>
      <c r="E81" s="48"/>
      <c r="F81" s="48"/>
      <c r="G81" s="48"/>
      <c r="H81" s="50" t="str">
        <f>IF($B81="","",IF($J81="X",B81,CONCATENATE(VLOOKUP(B81,Competitors!$A$2:$I$650,3,FALSE)," ",VLOOKUP(B81,Competitors!$A$2:$I$650,2,FALSE))))</f>
        <v/>
      </c>
      <c r="I81" s="51">
        <f t="shared" si="3"/>
        <v>0</v>
      </c>
      <c r="J81" t="str">
        <f t="shared" si="4"/>
        <v/>
      </c>
    </row>
    <row r="82" spans="1:10" ht="15">
      <c r="A82" s="46"/>
      <c r="B82" s="47" t="str">
        <f t="shared" si="2"/>
        <v/>
      </c>
      <c r="C82" s="48"/>
      <c r="D82" s="48"/>
      <c r="E82" s="48"/>
      <c r="F82" s="48"/>
      <c r="G82" s="48"/>
      <c r="H82" s="50" t="str">
        <f>IF($B82="","",IF($J82="X",B82,CONCATENATE(VLOOKUP(B82,Competitors!$A$2:$I$650,3,FALSE)," ",VLOOKUP(B82,Competitors!$A$2:$I$650,2,FALSE))))</f>
        <v/>
      </c>
      <c r="I82" s="51">
        <f t="shared" si="3"/>
        <v>0</v>
      </c>
      <c r="J82" t="str">
        <f t="shared" si="4"/>
        <v/>
      </c>
    </row>
    <row r="83" spans="1:10" ht="15">
      <c r="A83" s="46"/>
      <c r="B83" s="47" t="str">
        <f t="shared" si="2"/>
        <v/>
      </c>
      <c r="C83" s="48"/>
      <c r="D83" s="48"/>
      <c r="E83" s="48"/>
      <c r="F83" s="48"/>
      <c r="G83" s="48"/>
      <c r="H83" s="50" t="str">
        <f>IF($B83="","",IF($J83="X",B83,CONCATENATE(VLOOKUP(B83,Competitors!$A$2:$I$650,3,FALSE)," ",VLOOKUP(B83,Competitors!$A$2:$I$650,2,FALSE))))</f>
        <v/>
      </c>
      <c r="I83" s="51">
        <f t="shared" si="3"/>
        <v>0</v>
      </c>
      <c r="J83" t="str">
        <f t="shared" si="4"/>
        <v/>
      </c>
    </row>
    <row r="84" spans="1:10" ht="15">
      <c r="A84" s="46"/>
      <c r="B84" s="47" t="str">
        <f t="shared" si="2"/>
        <v/>
      </c>
      <c r="C84" s="48"/>
      <c r="D84" s="48"/>
      <c r="E84" s="48"/>
      <c r="F84" s="48"/>
      <c r="G84" s="48"/>
      <c r="H84" s="50" t="str">
        <f>IF($B84="","",IF($J84="X",B84,CONCATENATE(VLOOKUP(B84,Competitors!$A$2:$I$650,3,FALSE)," ",VLOOKUP(B84,Competitors!$A$2:$I$650,2,FALSE))))</f>
        <v/>
      </c>
      <c r="I84" s="51">
        <f t="shared" si="3"/>
        <v>0</v>
      </c>
      <c r="J84" t="str">
        <f t="shared" si="4"/>
        <v/>
      </c>
    </row>
    <row r="85" spans="1:10" ht="15">
      <c r="A85" s="46"/>
      <c r="B85" s="47" t="str">
        <f t="shared" si="2"/>
        <v/>
      </c>
      <c r="C85" s="48"/>
      <c r="D85" s="48"/>
      <c r="E85" s="48"/>
      <c r="F85" s="48"/>
      <c r="G85" s="48"/>
      <c r="H85" s="50" t="str">
        <f>IF($B85="","",IF($J85="X",B85,CONCATENATE(VLOOKUP(B85,Competitors!$A$2:$I$650,3,FALSE)," ",VLOOKUP(B85,Competitors!$A$2:$I$650,2,FALSE))))</f>
        <v/>
      </c>
      <c r="I85" s="51">
        <f t="shared" si="3"/>
        <v>0</v>
      </c>
      <c r="J85" t="str">
        <f t="shared" si="4"/>
        <v/>
      </c>
    </row>
    <row r="86" spans="1:10" ht="15">
      <c r="A86" s="46"/>
      <c r="B86" s="47" t="str">
        <f t="shared" si="2"/>
        <v/>
      </c>
      <c r="C86" s="48"/>
      <c r="D86" s="48"/>
      <c r="E86" s="48"/>
      <c r="F86" s="48"/>
      <c r="G86" s="48"/>
      <c r="H86" s="50" t="str">
        <f>IF($B86="","",IF($J86="X",B86,CONCATENATE(VLOOKUP(B86,Competitors!$A$2:$I$650,3,FALSE)," ",VLOOKUP(B86,Competitors!$A$2:$I$650,2,FALSE))))</f>
        <v/>
      </c>
      <c r="I86" s="51">
        <f t="shared" si="3"/>
        <v>0</v>
      </c>
      <c r="J86" t="str">
        <f t="shared" si="4"/>
        <v/>
      </c>
    </row>
    <row r="87" spans="1:10" ht="15">
      <c r="A87" s="46"/>
      <c r="B87" s="47" t="str">
        <f t="shared" si="2"/>
        <v/>
      </c>
      <c r="C87" s="48"/>
      <c r="D87" s="48"/>
      <c r="E87" s="48"/>
      <c r="F87" s="48"/>
      <c r="G87" s="48"/>
      <c r="H87" s="50" t="str">
        <f>IF($B87="","",IF($J87="X",B87,CONCATENATE(VLOOKUP(B87,Competitors!$A$2:$I$650,3,FALSE)," ",VLOOKUP(B87,Competitors!$A$2:$I$650,2,FALSE))))</f>
        <v/>
      </c>
      <c r="I87" s="51">
        <f t="shared" si="3"/>
        <v>0</v>
      </c>
      <c r="J87" t="str">
        <f t="shared" si="4"/>
        <v/>
      </c>
    </row>
    <row r="88" spans="1:10" ht="15">
      <c r="A88" s="46"/>
      <c r="B88" s="47" t="str">
        <f t="shared" si="2"/>
        <v/>
      </c>
      <c r="C88" s="48"/>
      <c r="D88" s="48"/>
      <c r="E88" s="48"/>
      <c r="F88" s="48"/>
      <c r="G88" s="48"/>
      <c r="H88" s="50" t="str">
        <f>IF($B88="","",IF($J88="X",B88,CONCATENATE(VLOOKUP(B88,Competitors!$A$2:$I$650,3,FALSE)," ",VLOOKUP(B88,Competitors!$A$2:$I$650,2,FALSE))))</f>
        <v/>
      </c>
      <c r="I88" s="51">
        <f t="shared" si="3"/>
        <v>0</v>
      </c>
      <c r="J88" t="str">
        <f t="shared" si="4"/>
        <v/>
      </c>
    </row>
    <row r="89" spans="1:10" ht="15">
      <c r="A89" s="46"/>
      <c r="B89" s="47" t="str">
        <f t="shared" si="2"/>
        <v/>
      </c>
      <c r="C89" s="48"/>
      <c r="D89" s="48"/>
      <c r="E89" s="48"/>
      <c r="F89" s="48"/>
      <c r="G89" s="48"/>
      <c r="H89" s="50" t="str">
        <f>IF($B89="","",IF($J89="X",B89,CONCATENATE(VLOOKUP(B89,Competitors!$A$2:$I$650,3,FALSE)," ",VLOOKUP(B89,Competitors!$A$2:$I$650,2,FALSE))))</f>
        <v/>
      </c>
      <c r="I89" s="51">
        <f t="shared" si="3"/>
        <v>0</v>
      </c>
      <c r="J89" t="str">
        <f t="shared" si="4"/>
        <v/>
      </c>
    </row>
    <row r="90" spans="1:10" ht="15">
      <c r="A90" s="46"/>
      <c r="B90" s="47" t="str">
        <f t="shared" si="2"/>
        <v/>
      </c>
      <c r="C90" s="48"/>
      <c r="D90" s="48"/>
      <c r="E90" s="48"/>
      <c r="F90" s="48"/>
      <c r="G90" s="48"/>
      <c r="H90" s="50" t="str">
        <f>IF($B90="","",IF($J90="X",B90,CONCATENATE(VLOOKUP(B90,Competitors!$A$2:$I$650,3,FALSE)," ",VLOOKUP(B90,Competitors!$A$2:$I$650,2,FALSE))))</f>
        <v/>
      </c>
      <c r="I90" s="51">
        <f t="shared" si="3"/>
        <v>0</v>
      </c>
      <c r="J90" t="str">
        <f t="shared" si="4"/>
        <v/>
      </c>
    </row>
    <row r="91" spans="1:10" ht="15">
      <c r="A91" s="46"/>
      <c r="B91" s="47" t="str">
        <f t="shared" si="2"/>
        <v/>
      </c>
      <c r="C91" s="48"/>
      <c r="D91" s="48"/>
      <c r="E91" s="48"/>
      <c r="F91" s="48"/>
      <c r="G91" s="48"/>
      <c r="H91" s="50" t="str">
        <f>IF($B91="","",IF($J91="X",B91,CONCATENATE(VLOOKUP(B91,Competitors!$A$2:$I$650,3,FALSE)," ",VLOOKUP(B91,Competitors!$A$2:$I$650,2,FALSE))))</f>
        <v/>
      </c>
      <c r="I91" s="51">
        <f t="shared" si="3"/>
        <v>0</v>
      </c>
      <c r="J91" t="str">
        <f t="shared" si="4"/>
        <v/>
      </c>
    </row>
    <row r="92" spans="1:10" ht="15">
      <c r="A92" s="46"/>
      <c r="B92" s="47" t="str">
        <f t="shared" si="2"/>
        <v/>
      </c>
      <c r="C92" s="48"/>
      <c r="D92" s="48"/>
      <c r="E92" s="48"/>
      <c r="F92" s="48"/>
      <c r="G92" s="48"/>
      <c r="H92" s="50" t="str">
        <f>IF($B92="","",IF($J92="X",B92,CONCATENATE(VLOOKUP(B92,Competitors!$A$2:$I$650,3,FALSE)," ",VLOOKUP(B92,Competitors!$A$2:$I$650,2,FALSE))))</f>
        <v/>
      </c>
      <c r="I92" s="51">
        <f t="shared" si="3"/>
        <v>0</v>
      </c>
      <c r="J92" t="str">
        <f t="shared" si="4"/>
        <v/>
      </c>
    </row>
    <row r="93" spans="1:10" ht="15">
      <c r="A93" s="46"/>
      <c r="B93" s="47" t="str">
        <f t="shared" si="2"/>
        <v/>
      </c>
      <c r="C93" s="48"/>
      <c r="D93" s="48"/>
      <c r="E93" s="48"/>
      <c r="F93" s="48"/>
      <c r="G93" s="48"/>
      <c r="H93" s="50" t="str">
        <f>IF($B93="","",IF($J93="X",B93,CONCATENATE(VLOOKUP(B93,Competitors!$A$2:$I$650,3,FALSE)," ",VLOOKUP(B93,Competitors!$A$2:$I$650,2,FALSE))))</f>
        <v/>
      </c>
      <c r="I93" s="51">
        <f t="shared" si="3"/>
        <v>0</v>
      </c>
      <c r="J93" t="str">
        <f t="shared" si="4"/>
        <v/>
      </c>
    </row>
    <row r="94" spans="1:10" ht="15">
      <c r="A94" s="46"/>
      <c r="B94" s="47" t="str">
        <f t="shared" si="2"/>
        <v/>
      </c>
      <c r="C94" s="48"/>
      <c r="D94" s="48"/>
      <c r="E94" s="48"/>
      <c r="F94" s="48"/>
      <c r="G94" s="48"/>
      <c r="H94" s="50" t="str">
        <f>IF($B94="","",IF($J94="X",B94,CONCATENATE(VLOOKUP(B94,Competitors!$A$2:$I$650,3,FALSE)," ",VLOOKUP(B94,Competitors!$A$2:$I$650,2,FALSE))))</f>
        <v/>
      </c>
      <c r="I94" s="51">
        <f t="shared" si="3"/>
        <v>0</v>
      </c>
      <c r="J94" t="str">
        <f t="shared" si="4"/>
        <v/>
      </c>
    </row>
    <row r="95" spans="1:10" ht="15">
      <c r="A95" s="46"/>
      <c r="B95" s="47" t="str">
        <f t="shared" si="2"/>
        <v/>
      </c>
      <c r="C95" s="48"/>
      <c r="D95" s="48"/>
      <c r="E95" s="48"/>
      <c r="F95" s="48"/>
      <c r="G95" s="48"/>
      <c r="H95" s="50" t="str">
        <f>IF($B95="","",IF($J95="X",B95,CONCATENATE(VLOOKUP(B95,Competitors!$A$2:$I$650,3,FALSE)," ",VLOOKUP(B95,Competitors!$A$2:$I$650,2,FALSE))))</f>
        <v/>
      </c>
      <c r="I95" s="51">
        <f t="shared" si="3"/>
        <v>0</v>
      </c>
      <c r="J95" t="str">
        <f t="shared" si="4"/>
        <v/>
      </c>
    </row>
    <row r="96" spans="1:10" ht="15">
      <c r="A96" s="46"/>
      <c r="B96" s="47" t="str">
        <f t="shared" si="2"/>
        <v/>
      </c>
      <c r="C96" s="48"/>
      <c r="D96" s="48"/>
      <c r="E96" s="48"/>
      <c r="F96" s="48"/>
      <c r="G96" s="48"/>
      <c r="H96" s="50" t="str">
        <f>IF($B96="","",IF($J96="X",B96,CONCATENATE(VLOOKUP(B96,Competitors!$A$2:$I$650,3,FALSE)," ",VLOOKUP(B96,Competitors!$A$2:$I$650,2,FALSE))))</f>
        <v/>
      </c>
      <c r="I96" s="51">
        <f t="shared" si="3"/>
        <v>0</v>
      </c>
      <c r="J96" t="str">
        <f t="shared" si="4"/>
        <v/>
      </c>
    </row>
    <row r="97" spans="1:10" ht="15">
      <c r="A97" s="46"/>
      <c r="B97" s="47" t="str">
        <f t="shared" si="2"/>
        <v/>
      </c>
      <c r="C97" s="48"/>
      <c r="D97" s="48"/>
      <c r="E97" s="48"/>
      <c r="F97" s="48"/>
      <c r="G97" s="48"/>
      <c r="H97" s="50" t="str">
        <f>IF($B97="","",IF($J97="X",B97,CONCATENATE(VLOOKUP(B97,Competitors!$A$2:$I$650,3,FALSE)," ",VLOOKUP(B97,Competitors!$A$2:$I$650,2,FALSE))))</f>
        <v/>
      </c>
      <c r="I97" s="51">
        <f t="shared" si="3"/>
        <v>0</v>
      </c>
      <c r="J97" t="str">
        <f t="shared" si="4"/>
        <v/>
      </c>
    </row>
    <row r="98" spans="1:10" ht="15">
      <c r="A98" s="46"/>
      <c r="B98" s="47" t="str">
        <f>IF(A98="","",_xlfn.XLOOKUP(A98,ClubNames,ClubNumbers,_xlfn.XLOOKUP(A98,RoundRobinRiderNames,RoundRobinRiderDecoratedNames,A98)))</f>
        <v/>
      </c>
      <c r="C98" s="48"/>
      <c r="D98" s="48"/>
      <c r="E98" s="48"/>
      <c r="F98" s="48"/>
      <c r="G98" s="48"/>
      <c r="H98" s="50" t="str">
        <f>IF($B98="","",IF($J98="X",B98,CONCATENATE(VLOOKUP(B98,Competitors!$A$2:$I$650,3,FALSE)," ",VLOOKUP(B98,Competitors!$A$2:$I$650,2,FALSE))))</f>
        <v/>
      </c>
      <c r="I98" s="51">
        <f t="shared" si="3"/>
        <v>0</v>
      </c>
      <c r="J98" t="str">
        <f t="shared" si="4"/>
        <v/>
      </c>
    </row>
    <row r="99" spans="1:10" ht="15">
      <c r="A99" s="46"/>
      <c r="B99" s="47" t="str">
        <f>IF(A99="","",_xlfn.XLOOKUP(A99,ClubNames,ClubNumbers,_xlfn.XLOOKUP(A99,RoundRobinRiderNames,RoundRobinRiderDecoratedNames,A99)))</f>
        <v/>
      </c>
      <c r="C99" s="48"/>
      <c r="D99" s="48"/>
      <c r="E99" s="48"/>
      <c r="F99" s="48"/>
      <c r="G99" s="48"/>
      <c r="H99" s="50" t="str">
        <f>IF($B99="","",IF($J99="X",B99,CONCATENATE(VLOOKUP(B99,Competitors!$A$2:$I$650,3,FALSE)," ",VLOOKUP(B99,Competitors!$A$2:$I$650,2,FALSE))))</f>
        <v/>
      </c>
      <c r="I99" s="51">
        <f t="shared" si="3"/>
        <v>0</v>
      </c>
      <c r="J99" t="str">
        <f t="shared" si="4"/>
        <v/>
      </c>
    </row>
    <row r="100" spans="1:10" ht="15">
      <c r="A100" s="46"/>
      <c r="B100" s="47" t="str">
        <f>IF(A100="","",_xlfn.XLOOKUP(A100,ClubNames,ClubNumbers,_xlfn.XLOOKUP(A100,RoundRobinRiderNames,RoundRobinRiderDecoratedNames,A100)))</f>
        <v/>
      </c>
      <c r="C100" s="48"/>
      <c r="D100" s="48"/>
      <c r="E100" s="48"/>
      <c r="F100" s="48"/>
      <c r="G100" s="48"/>
      <c r="H100" s="50" t="str">
        <f>IF($B100="","",IF($J100="X",B100,CONCATENATE(VLOOKUP(B100,Competitors!$A$2:$I$650,3, FALSE)," ",VLOOKUP(B100,Competitors!$A$2:$I$650,2,FALSE))))</f>
        <v/>
      </c>
      <c r="I100" s="51">
        <f t="shared" si="3"/>
        <v>0</v>
      </c>
      <c r="J100" t="str">
        <f t="shared" si="4"/>
        <v/>
      </c>
    </row>
    <row r="101" spans="1:10" ht="15">
      <c r="A101" s="46"/>
      <c r="B101" s="47" t="str">
        <f>IF(A101="","",_xlfn.XLOOKUP(A101,ClubNames,ClubNumbers,_xlfn.XLOOKUP(A101,RoundRobinRiderNames,RoundRobinRiderDecoratedNames,A101)))</f>
        <v/>
      </c>
      <c r="C101" s="48"/>
      <c r="D101" s="48"/>
      <c r="E101" s="48"/>
      <c r="F101" s="48"/>
      <c r="G101" s="48"/>
      <c r="H101" s="50" t="str">
        <f>IF($B101="","",IF($J101="X",B101,CONCATENATE(VLOOKUP(B101,Competitors!$A$2:$I$650,3,FALSE)," ",VLOOKUP(B101,Competitors!$A$2:$I$650,2,FALSE))))</f>
        <v/>
      </c>
      <c r="I101" s="51">
        <f t="shared" si="3"/>
        <v>0</v>
      </c>
      <c r="J101" t="str">
        <f t="shared" si="4"/>
        <v/>
      </c>
    </row>
    <row r="102" spans="1:10" s="52" customFormat="1">
      <c r="I102" s="53"/>
    </row>
    <row r="103" spans="1:10">
      <c r="B103" t="s">
        <v>551</v>
      </c>
      <c r="C103" t="str" cm="1">
        <f t="array" aca="1" ref="C103" ca="1">MID(CELL("filename",B1),FIND("]",CELL("filename",B1))+1,255)</f>
        <v>Event_07</v>
      </c>
    </row>
    <row r="104" spans="1:10">
      <c r="B104" t="s">
        <v>552</v>
      </c>
      <c r="C104" t="str">
        <f ca="1">_xlfn.XLOOKUP(C103,Calendar!O:O,Calendar!H:H,"Event is not in calendar")</f>
        <v/>
      </c>
    </row>
  </sheetData>
  <conditionalFormatting sqref="E2:E101">
    <cfRule type="expression" dxfId="63" priority="3">
      <formula>TEXT($C$104,"@")="Y"</formula>
    </cfRule>
  </conditionalFormatting>
  <conditionalFormatting sqref="H2:I101">
    <cfRule type="expression" dxfId="62" priority="2">
      <formula>$J2="X"</formula>
    </cfRule>
  </conditionalFormatting>
  <conditionalFormatting sqref="I2:I101">
    <cfRule type="expression" dxfId="61"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0">
    <pageSetUpPr fitToPage="1"/>
  </sheetPr>
  <dimension ref="A1:J104"/>
  <sheetViews>
    <sheetView workbookViewId="0"/>
    <sheetView workbookViewId="1"/>
  </sheetViews>
  <sheetFormatPr defaultColWidth="9.1328125" defaultRowHeight="12.75"/>
  <cols>
    <col min="1" max="1" width="20.19921875" bestFit="1" customWidth="1"/>
    <col min="2" max="2" width="23.86328125" bestFit="1" customWidth="1"/>
    <col min="3" max="5" width="4.796875"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451</v>
      </c>
      <c r="B2" s="47">
        <v>1244</v>
      </c>
      <c r="C2" s="48"/>
      <c r="D2" s="48">
        <v>30</v>
      </c>
      <c r="E2" s="48">
        <v>3</v>
      </c>
      <c r="F2" s="48" t="s">
        <v>544</v>
      </c>
      <c r="G2" s="48"/>
      <c r="H2" s="50" t="str">
        <f>IF($B2="","",IF($J2="X",B2,CONCATENATE(VLOOKUP(B2,Competitors!$A$2:$I$650,3, FALSE)," ",VLOOKUP(B2,Competitors!$A$2:$I$650,2,FALSE))))</f>
        <v>Steven Latham</v>
      </c>
      <c r="I2" s="51">
        <f t="shared" ref="I2:I65" si="0">IF(LEFT($F2,1)="D",UPPER($F2),(C2*3600+D2*60+E2)/86400)</f>
        <v>2.0868055555555556E-2</v>
      </c>
      <c r="J2" t="str">
        <f t="shared" ref="J2:J65" si="1">IF(OR(B2="",ISNUMBER(B2)),"","X")</f>
        <v/>
      </c>
    </row>
    <row r="3" spans="1:10" ht="15">
      <c r="A3" s="46" t="s">
        <v>459</v>
      </c>
      <c r="B3" s="47">
        <v>742</v>
      </c>
      <c r="C3" s="48"/>
      <c r="D3" s="48">
        <v>33</v>
      </c>
      <c r="E3" s="48">
        <v>40</v>
      </c>
      <c r="F3" s="48" t="s">
        <v>544</v>
      </c>
      <c r="G3" s="48"/>
      <c r="H3" s="50" t="str">
        <f>IF($B3="","",IF($J3="X",B3,CONCATENATE(VLOOKUP(B3,Competitors!$A$2:$I$650,3,FALSE)," ",VLOOKUP(B3,Competitors!$A$2:$I$650,2,FALSE))))</f>
        <v>Claire Moore</v>
      </c>
      <c r="I3" s="51">
        <f t="shared" si="0"/>
        <v>2.3379629629629629E-2</v>
      </c>
      <c r="J3" t="str">
        <f t="shared" si="1"/>
        <v/>
      </c>
    </row>
    <row r="4" spans="1:10" ht="15">
      <c r="A4" s="46" t="s">
        <v>616</v>
      </c>
      <c r="B4" s="47">
        <v>990</v>
      </c>
      <c r="C4" s="48"/>
      <c r="D4" s="48">
        <v>34</v>
      </c>
      <c r="E4" s="48">
        <v>52</v>
      </c>
      <c r="F4" s="48" t="s">
        <v>544</v>
      </c>
      <c r="G4" s="48"/>
      <c r="H4" s="50" t="str">
        <f>IF($B4="","",IF($J4="X",B4,CONCATENATE(VLOOKUP(B4,Competitors!$A$2:$I$650,3,FALSE)," ",VLOOKUP(B4,Competitors!$A$2:$I$650,2,FALSE))))</f>
        <v>Jen Hulme</v>
      </c>
      <c r="I4" s="51">
        <f t="shared" si="0"/>
        <v>2.4212962962962964E-2</v>
      </c>
      <c r="J4" t="str">
        <f t="shared" si="1"/>
        <v/>
      </c>
    </row>
    <row r="5" spans="1:10" ht="15">
      <c r="A5" s="46" t="s">
        <v>450</v>
      </c>
      <c r="B5" s="47">
        <v>1377</v>
      </c>
      <c r="C5" s="48"/>
      <c r="D5" s="48"/>
      <c r="E5" s="48"/>
      <c r="F5" s="48" t="s">
        <v>544</v>
      </c>
      <c r="G5" s="48" t="s">
        <v>546</v>
      </c>
      <c r="H5" s="50" t="str">
        <f>IF($B5="","",IF($J5="X",B5,CONCATENATE(VLOOKUP(B5,Competitors!$A$2:$I$650,3,FALSE)," ",VLOOKUP(B5,Competitors!$A$2:$I$650,2,FALSE))))</f>
        <v>Lucy Fraser</v>
      </c>
      <c r="I5" s="51">
        <f t="shared" si="0"/>
        <v>0</v>
      </c>
      <c r="J5" t="str">
        <f t="shared" si="1"/>
        <v/>
      </c>
    </row>
    <row r="6" spans="1:10" ht="15">
      <c r="A6" s="46" t="s">
        <v>446</v>
      </c>
      <c r="B6" s="47">
        <v>1379</v>
      </c>
      <c r="C6" s="48"/>
      <c r="D6" s="48">
        <v>29</v>
      </c>
      <c r="E6" s="48">
        <v>27</v>
      </c>
      <c r="F6" s="48" t="s">
        <v>544</v>
      </c>
      <c r="G6" s="48"/>
      <c r="H6" s="50" t="str">
        <f>IF($B6="","",IF($J6="X",B6,CONCATENATE(VLOOKUP(B6,Competitors!$A$2:$I$650,3,FALSE)," ",VLOOKUP(B6,Competitors!$A$2:$I$650,2,FALSE))))</f>
        <v>Michaela Latham</v>
      </c>
      <c r="I6" s="51">
        <f t="shared" si="0"/>
        <v>2.045138888888889E-2</v>
      </c>
      <c r="J6" t="str">
        <f t="shared" si="1"/>
        <v/>
      </c>
    </row>
    <row r="7" spans="1:10" ht="15">
      <c r="A7" s="46" t="s">
        <v>460</v>
      </c>
      <c r="B7" s="47">
        <v>7</v>
      </c>
      <c r="C7" s="48"/>
      <c r="D7" s="48">
        <v>34</v>
      </c>
      <c r="E7" s="48">
        <v>17</v>
      </c>
      <c r="F7" s="48" t="s">
        <v>544</v>
      </c>
      <c r="G7" s="48"/>
      <c r="H7" s="50" t="str">
        <f>IF($B7="","",IF($J7="X",B7,CONCATENATE(VLOOKUP(B7,Competitors!$A$2:$I$650,3,FALSE)," ",VLOOKUP(B7,Competitors!$A$2:$I$650,2,FALSE))))</f>
        <v>Vic Barnett</v>
      </c>
      <c r="I7" s="51">
        <f t="shared" si="0"/>
        <v>2.3807870370370372E-2</v>
      </c>
      <c r="J7" t="str">
        <f t="shared" si="1"/>
        <v/>
      </c>
    </row>
    <row r="8" spans="1:10" ht="15">
      <c r="A8" s="46" t="s">
        <v>447</v>
      </c>
      <c r="B8" s="47">
        <v>1194</v>
      </c>
      <c r="C8" s="48"/>
      <c r="D8" s="48">
        <v>31</v>
      </c>
      <c r="E8" s="48">
        <v>7</v>
      </c>
      <c r="F8" s="48" t="s">
        <v>544</v>
      </c>
      <c r="G8" s="48"/>
      <c r="H8" s="50" t="str">
        <f>IF($B8="","",IF($J8="X",B8,CONCATENATE(VLOOKUP(B8,Competitors!$A$2:$I$650,3,FALSE)," ",VLOOKUP(B8,Competitors!$A$2:$I$650,2,FALSE))))</f>
        <v>Alex Hardwicke</v>
      </c>
      <c r="I8" s="51">
        <f t="shared" si="0"/>
        <v>2.1608796296296296E-2</v>
      </c>
      <c r="J8" t="str">
        <f t="shared" si="1"/>
        <v/>
      </c>
    </row>
    <row r="9" spans="1:10" ht="15">
      <c r="A9" s="46" t="s">
        <v>437</v>
      </c>
      <c r="B9" s="47">
        <v>1195</v>
      </c>
      <c r="C9" s="48"/>
      <c r="D9" s="48">
        <v>27</v>
      </c>
      <c r="E9" s="48">
        <v>48</v>
      </c>
      <c r="F9" s="48" t="s">
        <v>544</v>
      </c>
      <c r="G9" s="48"/>
      <c r="H9" s="50" t="str">
        <f>IF($B9="","",IF($J9="X",B9,CONCATENATE(VLOOKUP(B9,Competitors!$A$2:$I$650,3,FALSE)," ",VLOOKUP(B9,Competitors!$A$2:$I$650,2,FALSE))))</f>
        <v>Charlie Hardwicke</v>
      </c>
      <c r="I9" s="51">
        <f t="shared" si="0"/>
        <v>1.9305555555555555E-2</v>
      </c>
      <c r="J9" t="str">
        <f t="shared" si="1"/>
        <v/>
      </c>
    </row>
    <row r="10" spans="1:10" ht="15">
      <c r="A10" s="46" t="s">
        <v>443</v>
      </c>
      <c r="B10" s="47">
        <v>1193</v>
      </c>
      <c r="C10" s="48"/>
      <c r="D10" s="48">
        <v>28</v>
      </c>
      <c r="E10" s="48">
        <v>18</v>
      </c>
      <c r="F10" s="48" t="s">
        <v>544</v>
      </c>
      <c r="G10" s="48"/>
      <c r="H10" s="50" t="str">
        <f>IF($B10="","",IF($J10="X",B10,CONCATENATE(VLOOKUP(B10,Competitors!$A$2:$I$650,3, FALSE)," ",VLOOKUP(B10,Competitors!$A$2:$I$650,2,FALSE))))</f>
        <v>Richard Hardwicke</v>
      </c>
      <c r="I10" s="51">
        <f t="shared" si="0"/>
        <v>1.9652777777777779E-2</v>
      </c>
      <c r="J10" t="str">
        <f t="shared" si="1"/>
        <v/>
      </c>
    </row>
    <row r="11" spans="1:10" ht="15">
      <c r="A11" s="46" t="s">
        <v>423</v>
      </c>
      <c r="B11" s="47">
        <v>35</v>
      </c>
      <c r="C11" s="48"/>
      <c r="D11" s="48">
        <v>27</v>
      </c>
      <c r="E11" s="48">
        <v>13</v>
      </c>
      <c r="F11" s="48"/>
      <c r="G11" s="48"/>
      <c r="H11" s="50" t="str">
        <f>IF($B11="","",IF($J11="X",B11,CONCATENATE(VLOOKUP(B11,Competitors!$A$2:$I$650,3,FALSE)," ",VLOOKUP(B11,Competitors!$A$2:$I$650,2,FALSE))))</f>
        <v>Matt Plews</v>
      </c>
      <c r="I11" s="51">
        <f t="shared" si="0"/>
        <v>1.8900462962962963E-2</v>
      </c>
      <c r="J11" t="str">
        <f t="shared" si="1"/>
        <v/>
      </c>
    </row>
    <row r="12" spans="1:10" ht="15">
      <c r="A12" s="46" t="s">
        <v>418</v>
      </c>
      <c r="B12" s="47">
        <v>1355</v>
      </c>
      <c r="C12" s="48"/>
      <c r="D12" s="48"/>
      <c r="E12" s="48"/>
      <c r="F12" s="48" t="s">
        <v>544</v>
      </c>
      <c r="G12" s="48" t="s">
        <v>546</v>
      </c>
      <c r="H12" s="50" t="str">
        <f>IF($B12="","",IF($J12="X",B12,CONCATENATE(VLOOKUP(B12,Competitors!$A$2:$I$650,3,FALSE)," ",VLOOKUP(B12,Competitors!$A$2:$I$650,2,FALSE))))</f>
        <v>Aubrey Elmer</v>
      </c>
      <c r="I12" s="51">
        <f t="shared" si="0"/>
        <v>0</v>
      </c>
      <c r="J12" t="str">
        <f t="shared" si="1"/>
        <v/>
      </c>
    </row>
    <row r="13" spans="1:10" ht="15">
      <c r="A13" s="46" t="s">
        <v>454</v>
      </c>
      <c r="B13" s="47">
        <v>45</v>
      </c>
      <c r="C13" s="48"/>
      <c r="D13" s="48"/>
      <c r="E13" s="48"/>
      <c r="F13" s="48" t="s">
        <v>544</v>
      </c>
      <c r="G13" s="48" t="s">
        <v>546</v>
      </c>
      <c r="H13" s="50" t="str">
        <f>IF($B13="","",IF($J13="X",B13,CONCATENATE(VLOOKUP(B13,Competitors!$A$2:$I$650,3,FALSE)," ",VLOOKUP(B13,Competitors!$A$2:$I$650,2,FALSE))))</f>
        <v>Ray Taylor</v>
      </c>
      <c r="I13" s="51">
        <f t="shared" si="0"/>
        <v>0</v>
      </c>
      <c r="J13" t="str">
        <f t="shared" si="1"/>
        <v/>
      </c>
    </row>
    <row r="14" spans="1:10" ht="15">
      <c r="A14" s="46" t="s">
        <v>420</v>
      </c>
      <c r="B14" s="47">
        <v>1192</v>
      </c>
      <c r="C14" s="48"/>
      <c r="D14" s="48">
        <v>25</v>
      </c>
      <c r="E14" s="48">
        <v>53</v>
      </c>
      <c r="F14" s="48"/>
      <c r="G14" s="48"/>
      <c r="H14" s="50" t="str">
        <f>IF($B14="","",IF($J14="X",B14,CONCATENATE(VLOOKUP(B14,Competitors!$A$2:$I$650,3,FALSE)," ",VLOOKUP(B14,Competitors!$A$2:$I$650,2,FALSE))))</f>
        <v>Dale Norris</v>
      </c>
      <c r="I14" s="51">
        <f t="shared" si="0"/>
        <v>1.7974537037037035E-2</v>
      </c>
      <c r="J14" t="str">
        <f t="shared" si="1"/>
        <v/>
      </c>
    </row>
    <row r="15" spans="1:10" ht="15">
      <c r="A15" s="46" t="s">
        <v>433</v>
      </c>
      <c r="B15" s="47">
        <v>1109</v>
      </c>
      <c r="C15" s="48"/>
      <c r="D15" s="48">
        <v>28</v>
      </c>
      <c r="E15" s="48">
        <v>6</v>
      </c>
      <c r="F15" s="48" t="s">
        <v>544</v>
      </c>
      <c r="G15" s="48"/>
      <c r="H15" s="50" t="str">
        <f>IF($B15="","",IF($J15="X",B15,CONCATENATE(VLOOKUP(B15,Competitors!$A$2:$I$650,3,FALSE)," ",VLOOKUP(B15,Competitors!$A$2:$I$650,2,FALSE))))</f>
        <v>Stuart Haycox</v>
      </c>
      <c r="I15" s="51">
        <f t="shared" si="0"/>
        <v>1.951388888888889E-2</v>
      </c>
      <c r="J15" t="str">
        <f t="shared" si="1"/>
        <v/>
      </c>
    </row>
    <row r="16" spans="1:10" ht="15">
      <c r="A16" s="46" t="s">
        <v>411</v>
      </c>
      <c r="B16" s="47">
        <v>407</v>
      </c>
      <c r="C16" s="48"/>
      <c r="D16" s="48">
        <v>23</v>
      </c>
      <c r="E16" s="48">
        <v>42</v>
      </c>
      <c r="F16" s="48"/>
      <c r="G16" s="48"/>
      <c r="H16" s="50" t="str">
        <f>IF($B16="","",IF($J16="X",B16,CONCATENATE(VLOOKUP(B16,Competitors!$A$2:$I$650,3,FALSE)," ",VLOOKUP(B16,Competitors!$A$2:$I$650,2,FALSE))))</f>
        <v>Hans van Nierop</v>
      </c>
      <c r="I16" s="51">
        <f t="shared" si="0"/>
        <v>1.6458333333333332E-2</v>
      </c>
      <c r="J16" t="str">
        <f t="shared" si="1"/>
        <v/>
      </c>
    </row>
    <row r="17" spans="1:10" ht="15">
      <c r="A17" s="46" t="s">
        <v>429</v>
      </c>
      <c r="B17" s="47">
        <v>1107</v>
      </c>
      <c r="C17" s="48"/>
      <c r="D17" s="48"/>
      <c r="E17" s="48"/>
      <c r="F17" s="48"/>
      <c r="G17" s="48" t="s">
        <v>546</v>
      </c>
      <c r="H17" s="50" t="str">
        <f>IF($B17="","",IF($J17="X",B17,CONCATENATE(VLOOKUP(B17,Competitors!$A$2:$I$650,3,FALSE)," ",VLOOKUP(B17,Competitors!$A$2:$I$650,2,FALSE))))</f>
        <v>Milly Pinnock</v>
      </c>
      <c r="I17" s="51">
        <f t="shared" si="0"/>
        <v>0</v>
      </c>
      <c r="J17" t="str">
        <f t="shared" si="1"/>
        <v/>
      </c>
    </row>
    <row r="18" spans="1:10" ht="15">
      <c r="A18" s="46" t="s">
        <v>509</v>
      </c>
      <c r="B18" s="47" t="s">
        <v>561</v>
      </c>
      <c r="C18" s="48"/>
      <c r="D18" s="48">
        <v>28</v>
      </c>
      <c r="E18" s="48">
        <v>2</v>
      </c>
      <c r="F18" s="48" t="s">
        <v>544</v>
      </c>
      <c r="G18" s="48"/>
      <c r="H18" s="50" t="str">
        <f>IF($B18="","",IF($J18="X",B18,CONCATENATE(VLOOKUP(B18,Competitors!$A$2:$I$650,3,FALSE)," ",VLOOKUP(B18,Competitors!$A$2:$I$650,2,FALSE))))</f>
        <v>Mark Newton (Ratae)</v>
      </c>
      <c r="I18" s="51">
        <f t="shared" si="0"/>
        <v>1.9467592592592592E-2</v>
      </c>
      <c r="J18" t="str">
        <f t="shared" si="1"/>
        <v>X</v>
      </c>
    </row>
    <row r="19" spans="1:10" ht="15">
      <c r="A19" s="46" t="s">
        <v>431</v>
      </c>
      <c r="B19" s="47">
        <v>1403</v>
      </c>
      <c r="C19" s="48"/>
      <c r="D19" s="48">
        <v>27</v>
      </c>
      <c r="E19" s="48">
        <v>56</v>
      </c>
      <c r="F19" s="48"/>
      <c r="G19" s="48"/>
      <c r="H19" s="50" t="str">
        <f>IF($B19="","",IF($J19="X",B19,CONCATENATE(VLOOKUP(B19,Competitors!$A$2:$I$650,3,FALSE)," ",VLOOKUP(B19,Competitors!$A$2:$I$650,2,FALSE))))</f>
        <v>Toby Lenehan</v>
      </c>
      <c r="I19" s="51">
        <f t="shared" si="0"/>
        <v>1.9398148148148147E-2</v>
      </c>
      <c r="J19" t="str">
        <f t="shared" si="1"/>
        <v/>
      </c>
    </row>
    <row r="20" spans="1:10" ht="15">
      <c r="A20" s="46" t="s">
        <v>436</v>
      </c>
      <c r="B20" s="47">
        <v>203</v>
      </c>
      <c r="C20" s="48"/>
      <c r="D20" s="48">
        <v>29</v>
      </c>
      <c r="E20" s="48">
        <v>21</v>
      </c>
      <c r="F20" s="48"/>
      <c r="G20" s="48"/>
      <c r="H20" s="50" t="str">
        <f>IF($B20="","",IF($J20="X",B20,CONCATENATE(VLOOKUP(B20,Competitors!$A$2:$I$650,3,FALSE)," ",VLOOKUP(B20,Competitors!$A$2:$I$650,2,FALSE))))</f>
        <v>Adrian Killworth</v>
      </c>
      <c r="I20" s="51">
        <f t="shared" si="0"/>
        <v>2.0381944444444446E-2</v>
      </c>
      <c r="J20" t="str">
        <f t="shared" si="1"/>
        <v/>
      </c>
    </row>
    <row r="21" spans="1:10" ht="15">
      <c r="A21" s="46" t="s">
        <v>439</v>
      </c>
      <c r="B21" s="47">
        <v>23</v>
      </c>
      <c r="C21" s="48"/>
      <c r="D21" s="48">
        <v>29</v>
      </c>
      <c r="E21" s="48">
        <v>8</v>
      </c>
      <c r="F21" s="48"/>
      <c r="G21" s="48"/>
      <c r="H21" s="50" t="str">
        <f>IF($B21="","",IF($J21="X",B21,CONCATENATE(VLOOKUP(B21,Competitors!$A$2:$I$650,3,FALSE)," ",VLOOKUP(B21,Competitors!$A$2:$I$650,2,FALSE))))</f>
        <v>Chris Hyde</v>
      </c>
      <c r="I21" s="51">
        <f t="shared" si="0"/>
        <v>2.0231481481481482E-2</v>
      </c>
      <c r="J21" t="str">
        <f t="shared" si="1"/>
        <v/>
      </c>
    </row>
    <row r="22" spans="1:10" ht="15">
      <c r="A22" s="46" t="s">
        <v>415</v>
      </c>
      <c r="B22" s="47">
        <v>1161</v>
      </c>
      <c r="C22" s="48"/>
      <c r="D22" s="48">
        <v>24</v>
      </c>
      <c r="E22" s="48">
        <v>54</v>
      </c>
      <c r="F22" s="48"/>
      <c r="G22" s="48"/>
      <c r="H22" s="50" t="str">
        <f>IF($B22="","",IF($J22="X",B22,CONCATENATE(VLOOKUP(B22,Competitors!$A$2:$I$650,3,FALSE)," ",VLOOKUP(B22,Competitors!$A$2:$I$650,2,FALSE))))</f>
        <v>Maciej Suchocki</v>
      </c>
      <c r="I22" s="51">
        <f t="shared" si="0"/>
        <v>1.7291666666666667E-2</v>
      </c>
      <c r="J22" t="str">
        <f t="shared" si="1"/>
        <v/>
      </c>
    </row>
    <row r="23" spans="1:10" ht="15">
      <c r="A23" s="46" t="s">
        <v>430</v>
      </c>
      <c r="B23" s="47">
        <v>616</v>
      </c>
      <c r="C23" s="48"/>
      <c r="D23" s="48">
        <v>29</v>
      </c>
      <c r="E23" s="48">
        <v>48</v>
      </c>
      <c r="F23" s="48"/>
      <c r="G23" s="48"/>
      <c r="H23" s="50" t="str">
        <f>IF($B23="","",IF($J23="X",B23,CONCATENATE(VLOOKUP(B23,Competitors!$A$2:$I$650,3,FALSE)," ",VLOOKUP(B23,Competitors!$A$2:$I$650,2,FALSE))))</f>
        <v>Simon Ward</v>
      </c>
      <c r="I23" s="51">
        <f t="shared" si="0"/>
        <v>2.0694444444444446E-2</v>
      </c>
      <c r="J23" t="str">
        <f t="shared" si="1"/>
        <v/>
      </c>
    </row>
    <row r="24" spans="1:10" ht="15">
      <c r="A24" s="46" t="s">
        <v>427</v>
      </c>
      <c r="B24" s="47">
        <v>915</v>
      </c>
      <c r="C24" s="48"/>
      <c r="D24" s="48">
        <v>26</v>
      </c>
      <c r="E24" s="48">
        <v>47</v>
      </c>
      <c r="F24" s="48"/>
      <c r="G24" s="48"/>
      <c r="H24" s="50" t="str">
        <f>IF($B24="","",IF($J24="X",B24,CONCATENATE(VLOOKUP(B24,Competitors!$A$2:$I$650,3,FALSE)," ",VLOOKUP(B24,Competitors!$A$2:$I$650,2,FALSE))))</f>
        <v>Julian Twynham</v>
      </c>
      <c r="I24" s="51">
        <f t="shared" si="0"/>
        <v>1.8599537037037036E-2</v>
      </c>
      <c r="J24" t="str">
        <f t="shared" si="1"/>
        <v/>
      </c>
    </row>
    <row r="25" spans="1:10" ht="15">
      <c r="A25" s="46" t="s">
        <v>412</v>
      </c>
      <c r="B25" s="47">
        <v>1144</v>
      </c>
      <c r="C25" s="48"/>
      <c r="D25" s="48">
        <v>26</v>
      </c>
      <c r="E25" s="48">
        <v>37</v>
      </c>
      <c r="F25" s="48" t="s">
        <v>544</v>
      </c>
      <c r="G25" s="48"/>
      <c r="H25" s="50" t="str">
        <f>IF($B25="","",IF($J25="X",B25,CONCATENATE(VLOOKUP(B25,Competitors!$A$2:$I$650,3,FALSE)," ",VLOOKUP(B25,Competitors!$A$2:$I$650,2,FALSE))))</f>
        <v>Jamie Kershaw</v>
      </c>
      <c r="I25" s="51">
        <f t="shared" si="0"/>
        <v>1.8483796296296297E-2</v>
      </c>
      <c r="J25" t="str">
        <f t="shared" si="1"/>
        <v/>
      </c>
    </row>
    <row r="26" spans="1:10" ht="15">
      <c r="A26" s="46" t="s">
        <v>421</v>
      </c>
      <c r="B26" s="47">
        <v>415</v>
      </c>
      <c r="C26" s="48"/>
      <c r="D26" s="48">
        <v>26</v>
      </c>
      <c r="E26" s="48">
        <v>44</v>
      </c>
      <c r="F26" s="48" t="s">
        <v>544</v>
      </c>
      <c r="G26" s="48"/>
      <c r="H26" s="50" t="str">
        <f>IF($B26="","",IF($J26="X",B26,CONCATENATE(VLOOKUP(B26,Competitors!$A$2:$I$650,3,FALSE)," ",VLOOKUP(B26,Competitors!$A$2:$I$650,2,FALSE))))</f>
        <v>Nik Kershaw</v>
      </c>
      <c r="I26" s="51">
        <f t="shared" si="0"/>
        <v>1.8564814814814815E-2</v>
      </c>
      <c r="J26" t="str">
        <f t="shared" si="1"/>
        <v/>
      </c>
    </row>
    <row r="27" spans="1:10" ht="15">
      <c r="A27" s="46" t="s">
        <v>453</v>
      </c>
      <c r="B27" s="47">
        <v>558</v>
      </c>
      <c r="C27" s="48"/>
      <c r="D27" s="48"/>
      <c r="E27" s="48"/>
      <c r="F27" s="48" t="s">
        <v>544</v>
      </c>
      <c r="G27" s="48" t="s">
        <v>546</v>
      </c>
      <c r="H27" s="50" t="str">
        <f>IF($B27="","",IF($J27="X",B27,CONCATENATE(VLOOKUP(B27,Competitors!$A$2:$I$650,3,FALSE)," ",VLOOKUP(B27,Competitors!$A$2:$I$650,2,FALSE))))</f>
        <v>Andrew Weatherby</v>
      </c>
      <c r="I27" s="51">
        <f t="shared" si="0"/>
        <v>0</v>
      </c>
      <c r="J27" t="str">
        <f t="shared" si="1"/>
        <v/>
      </c>
    </row>
    <row r="28" spans="1:10" ht="15">
      <c r="A28" s="46" t="s">
        <v>413</v>
      </c>
      <c r="B28" s="47">
        <v>989</v>
      </c>
      <c r="C28" s="48"/>
      <c r="D28" s="48">
        <v>24</v>
      </c>
      <c r="E28" s="48">
        <v>45</v>
      </c>
      <c r="F28" s="48" t="s">
        <v>544</v>
      </c>
      <c r="G28" s="48"/>
      <c r="H28" s="50" t="str">
        <f>IF($B28="","",IF($J28="X",B28,CONCATENATE(VLOOKUP(B28,Competitors!$A$2:$I$650,3,FALSE)," ",VLOOKUP(B28,Competitors!$A$2:$I$650,2,FALSE))))</f>
        <v>Jason Williams</v>
      </c>
      <c r="I28" s="51">
        <f t="shared" si="0"/>
        <v>1.7187500000000001E-2</v>
      </c>
      <c r="J28" t="str">
        <f t="shared" si="1"/>
        <v/>
      </c>
    </row>
    <row r="29" spans="1:10" ht="15">
      <c r="A29" s="46" t="s">
        <v>440</v>
      </c>
      <c r="B29" s="47">
        <v>245</v>
      </c>
      <c r="C29" s="48"/>
      <c r="D29" s="48">
        <v>28</v>
      </c>
      <c r="E29" s="48">
        <v>10</v>
      </c>
      <c r="F29" s="48"/>
      <c r="G29" s="48"/>
      <c r="H29" s="50" t="str">
        <f>IF($B29="","",IF($J29="X",B29,CONCATENATE(VLOOKUP(B29,Competitors!$A$2:$I$650,3,FALSE)," ",VLOOKUP(B29,Competitors!$A$2:$I$650,2,FALSE))))</f>
        <v>David Reay</v>
      </c>
      <c r="I29" s="51">
        <f t="shared" si="0"/>
        <v>1.9560185185185184E-2</v>
      </c>
      <c r="J29" t="str">
        <f t="shared" si="1"/>
        <v/>
      </c>
    </row>
    <row r="30" spans="1:10" ht="15">
      <c r="A30" s="46" t="s">
        <v>426</v>
      </c>
      <c r="B30" s="47">
        <v>1055</v>
      </c>
      <c r="C30" s="48"/>
      <c r="D30" s="48">
        <v>26</v>
      </c>
      <c r="E30" s="48">
        <v>41</v>
      </c>
      <c r="F30" s="48"/>
      <c r="G30" s="48"/>
      <c r="H30" s="50" t="str">
        <f>IF($B30="","",IF($J30="X",B30,CONCATENATE(VLOOKUP(B30,Competitors!$A$2:$I$650,3,FALSE)," ",VLOOKUP(B30,Competitors!$A$2:$I$650,2,FALSE))))</f>
        <v>Austin Smith</v>
      </c>
      <c r="I30" s="51">
        <f t="shared" si="0"/>
        <v>1.8530092592592591E-2</v>
      </c>
      <c r="J30" t="str">
        <f t="shared" si="1"/>
        <v/>
      </c>
    </row>
    <row r="31" spans="1:10" ht="15">
      <c r="A31" s="46" t="s">
        <v>414</v>
      </c>
      <c r="B31" s="47">
        <v>699</v>
      </c>
      <c r="C31" s="48"/>
      <c r="D31" s="48">
        <v>24</v>
      </c>
      <c r="E31" s="48">
        <v>51</v>
      </c>
      <c r="F31" s="48"/>
      <c r="G31" s="48"/>
      <c r="H31" s="50" t="str">
        <f>IF($B31="","",IF($J31="X",B31,CONCATENATE(VLOOKUP(B31,Competitors!$A$2:$I$650,3,FALSE)," ",VLOOKUP(B31,Competitors!$A$2:$I$650,2,FALSE))))</f>
        <v>Jonathan Durnin</v>
      </c>
      <c r="I31" s="51">
        <f t="shared" si="0"/>
        <v>1.7256944444444443E-2</v>
      </c>
      <c r="J31" t="str">
        <f t="shared" si="1"/>
        <v/>
      </c>
    </row>
    <row r="32" spans="1:10" ht="15">
      <c r="A32" s="46"/>
      <c r="B32" s="47" t="str">
        <f>IF(A32="","",_xlfn.XLOOKUP(A32,ClubNames,ClubNumbers,_xlfn.XLOOKUP(A32,RoundRobinRiderNames,RoundRobinRiderDecoratedNames,A32)))</f>
        <v/>
      </c>
      <c r="C32" s="48"/>
      <c r="D32" s="48"/>
      <c r="E32" s="48"/>
      <c r="F32" s="48"/>
      <c r="G32" s="48"/>
      <c r="H32" s="50" t="str">
        <f>IF($B32="","",IF($J32="X",B32,CONCATENATE(VLOOKUP(B32,Competitors!$A$2:$I$650,3,FALSE)," ",VLOOKUP(B32,Competitors!$A$2:$I$650,2,FALSE))))</f>
        <v/>
      </c>
      <c r="I32" s="51">
        <f t="shared" si="0"/>
        <v>0</v>
      </c>
      <c r="J32" t="str">
        <f t="shared" si="1"/>
        <v/>
      </c>
    </row>
    <row r="33" spans="1:10" ht="15">
      <c r="A33" s="46"/>
      <c r="B33" s="47" t="str">
        <f>IF(A33="","",_xlfn.XLOOKUP(A33,ClubNames,ClubNumbers,_xlfn.XLOOKUP(A33,RoundRobinRiderNames,RoundRobinRiderDecoratedNames,A33)))</f>
        <v/>
      </c>
      <c r="C33" s="48"/>
      <c r="D33" s="48"/>
      <c r="E33" s="48"/>
      <c r="F33" s="48"/>
      <c r="G33" s="48"/>
      <c r="H33" s="50" t="str">
        <f>IF($B33="","",IF($J33="X",B33,CONCATENATE(VLOOKUP(B33,Competitors!$A$2:$I$650,3,FALSE)," ",VLOOKUP(B33,Competitors!$A$2:$I$650,2,FALSE))))</f>
        <v/>
      </c>
      <c r="I33" s="51">
        <f t="shared" si="0"/>
        <v>0</v>
      </c>
      <c r="J33" t="str">
        <f t="shared" si="1"/>
        <v/>
      </c>
    </row>
    <row r="34" spans="1:10" ht="15">
      <c r="A34" s="46"/>
      <c r="B34" s="47" t="str">
        <f t="shared" ref="B34:B97" si="2">IF(A34="","",_xlfn.XLOOKUP(A34,ClubNames,ClubNumbers,_xlfn.XLOOKUP(A34,RoundRobinRiderNames,RoundRobinRiderDecoratedNames,A34)))</f>
        <v/>
      </c>
      <c r="C34" s="48"/>
      <c r="D34" s="48"/>
      <c r="E34" s="48"/>
      <c r="F34" s="48"/>
      <c r="G34" s="48"/>
      <c r="H34" s="50" t="str">
        <f>IF($B34="","",IF($J34="X",B34,CONCATENATE(VLOOKUP(B34,Competitors!$A$2:$I$650,3,FALSE)," ",VLOOKUP(B34,Competitors!$A$2:$I$650,2,FALSE))))</f>
        <v/>
      </c>
      <c r="I34" s="51">
        <f t="shared" si="0"/>
        <v>0</v>
      </c>
      <c r="J34" t="str">
        <f t="shared" si="1"/>
        <v/>
      </c>
    </row>
    <row r="35" spans="1:10" ht="15">
      <c r="A35" s="46"/>
      <c r="B35" s="47" t="str">
        <f t="shared" si="2"/>
        <v/>
      </c>
      <c r="C35" s="48"/>
      <c r="D35" s="48"/>
      <c r="E35" s="48"/>
      <c r="F35" s="48"/>
      <c r="G35" s="48"/>
      <c r="H35" s="50" t="str">
        <f>IF($B35="","",IF($J35="X",B35,CONCATENATE(VLOOKUP(B35,Competitors!$A$2:$I$650,3,FALSE)," ",VLOOKUP(B35,Competitors!$A$2:$I$650,2,FALSE))))</f>
        <v/>
      </c>
      <c r="I35" s="51">
        <f t="shared" si="0"/>
        <v>0</v>
      </c>
      <c r="J35" t="str">
        <f t="shared" si="1"/>
        <v/>
      </c>
    </row>
    <row r="36" spans="1:10" ht="15">
      <c r="A36" s="46"/>
      <c r="B36" s="47" t="str">
        <f t="shared" si="2"/>
        <v/>
      </c>
      <c r="C36" s="48"/>
      <c r="D36" s="48"/>
      <c r="E36" s="48"/>
      <c r="F36" s="48"/>
      <c r="G36" s="48"/>
      <c r="H36" s="50" t="str">
        <f>IF($B36="","",IF($J36="X",B36,CONCATENATE(VLOOKUP(B36,Competitors!$A$2:$I$650,3,FALSE)," ",VLOOKUP(B36,Competitors!$A$2:$I$650,2,FALSE))))</f>
        <v/>
      </c>
      <c r="I36" s="51">
        <f t="shared" si="0"/>
        <v>0</v>
      </c>
      <c r="J36" t="str">
        <f t="shared" si="1"/>
        <v/>
      </c>
    </row>
    <row r="37" spans="1:10" ht="15">
      <c r="A37" s="46"/>
      <c r="B37" s="47" t="str">
        <f t="shared" si="2"/>
        <v/>
      </c>
      <c r="C37" s="48"/>
      <c r="D37" s="48"/>
      <c r="E37" s="48"/>
      <c r="F37" s="48"/>
      <c r="G37" s="48"/>
      <c r="H37" s="50" t="str">
        <f>IF($B37="","",IF($J37="X",B37,CONCATENATE(VLOOKUP(B37,Competitors!$A$2:$I$650,3,FALSE)," ",VLOOKUP(B37,Competitors!$A$2:$I$650,2,FALSE))))</f>
        <v/>
      </c>
      <c r="I37" s="51">
        <f t="shared" si="0"/>
        <v>0</v>
      </c>
      <c r="J37" t="str">
        <f t="shared" si="1"/>
        <v/>
      </c>
    </row>
    <row r="38" spans="1:10" ht="15">
      <c r="A38" s="46"/>
      <c r="B38" s="47" t="str">
        <f t="shared" si="2"/>
        <v/>
      </c>
      <c r="C38" s="48"/>
      <c r="D38" s="48"/>
      <c r="E38" s="48"/>
      <c r="F38" s="48"/>
      <c r="G38" s="48"/>
      <c r="H38" s="50" t="str">
        <f>IF($B38="","",IF($J38="X",B38,CONCATENATE(VLOOKUP(B38,Competitors!$A$2:$I$650,3,FALSE)," ",VLOOKUP(B38,Competitors!$A$2:$I$650,2,FALSE))))</f>
        <v/>
      </c>
      <c r="I38" s="51">
        <f t="shared" si="0"/>
        <v>0</v>
      </c>
      <c r="J38" t="str">
        <f t="shared" si="1"/>
        <v/>
      </c>
    </row>
    <row r="39" spans="1:10" ht="15">
      <c r="A39" s="46"/>
      <c r="B39" s="47" t="str">
        <f t="shared" si="2"/>
        <v/>
      </c>
      <c r="C39" s="48"/>
      <c r="D39" s="48"/>
      <c r="E39" s="48"/>
      <c r="F39" s="48"/>
      <c r="G39" s="48"/>
      <c r="H39" s="50" t="str">
        <f>IF($B39="","",IF($J39="X",B39,CONCATENATE(VLOOKUP(B39,Competitors!$A$2:$I$650,3,FALSE)," ",VLOOKUP(B39,Competitors!$A$2:$I$650,2,FALSE))))</f>
        <v/>
      </c>
      <c r="I39" s="51">
        <f t="shared" si="0"/>
        <v>0</v>
      </c>
      <c r="J39" t="str">
        <f t="shared" si="1"/>
        <v/>
      </c>
    </row>
    <row r="40" spans="1:10" ht="15">
      <c r="A40" s="46"/>
      <c r="B40" s="47" t="str">
        <f t="shared" si="2"/>
        <v/>
      </c>
      <c r="C40" s="48"/>
      <c r="D40" s="48"/>
      <c r="E40" s="48"/>
      <c r="F40" s="48"/>
      <c r="G40" s="48"/>
      <c r="H40" s="50" t="str">
        <f>IF($B40="","",IF($J40="X",B40,CONCATENATE(VLOOKUP(B40,Competitors!$A$2:$I$650,3,FALSE)," ",VLOOKUP(B40,Competitors!$A$2:$I$650,2,FALSE))))</f>
        <v/>
      </c>
      <c r="I40" s="51">
        <f t="shared" si="0"/>
        <v>0</v>
      </c>
      <c r="J40" t="str">
        <f t="shared" si="1"/>
        <v/>
      </c>
    </row>
    <row r="41" spans="1:10" ht="15">
      <c r="A41" s="46"/>
      <c r="B41" s="47" t="str">
        <f t="shared" si="2"/>
        <v/>
      </c>
      <c r="C41" s="48"/>
      <c r="D41" s="48"/>
      <c r="E41" s="48"/>
      <c r="F41" s="48"/>
      <c r="G41" s="48"/>
      <c r="H41" s="50" t="str">
        <f>IF($B41="","",IF($J41="X",B41,CONCATENATE(VLOOKUP(B41,Competitors!$A$2:$I$650,3,FALSE)," ",VLOOKUP(B41,Competitors!$A$2:$I$650,2,FALSE))))</f>
        <v/>
      </c>
      <c r="I41" s="51">
        <f t="shared" si="0"/>
        <v>0</v>
      </c>
      <c r="J41" t="str">
        <f t="shared" si="1"/>
        <v/>
      </c>
    </row>
    <row r="42" spans="1:10" ht="15">
      <c r="A42" s="46"/>
      <c r="B42" s="47" t="str">
        <f t="shared" si="2"/>
        <v/>
      </c>
      <c r="C42" s="48"/>
      <c r="D42" s="48"/>
      <c r="E42" s="48"/>
      <c r="F42" s="48"/>
      <c r="G42" s="48"/>
      <c r="H42" s="50" t="str">
        <f>IF($B42="","",IF($J42="X",B42,CONCATENATE(VLOOKUP(B42,Competitors!$A$2:$I$650,3,FALSE)," ",VLOOKUP(B42,Competitors!$A$2:$I$650,2,FALSE))))</f>
        <v/>
      </c>
      <c r="I42" s="51">
        <f t="shared" si="0"/>
        <v>0</v>
      </c>
      <c r="J42" t="str">
        <f t="shared" si="1"/>
        <v/>
      </c>
    </row>
    <row r="43" spans="1:10" ht="15">
      <c r="A43" s="46"/>
      <c r="B43" s="47" t="str">
        <f t="shared" si="2"/>
        <v/>
      </c>
      <c r="C43" s="48"/>
      <c r="D43" s="48"/>
      <c r="E43" s="48"/>
      <c r="F43" s="48"/>
      <c r="G43" s="48"/>
      <c r="H43" s="50" t="str">
        <f>IF($B43="","",IF($J43="X",B43,CONCATENATE(VLOOKUP(B43,Competitors!$A$2:$I$650,3,FALSE)," ",VLOOKUP(B43,Competitors!$A$2:$I$650,2,FALSE))))</f>
        <v/>
      </c>
      <c r="I43" s="51">
        <f t="shared" si="0"/>
        <v>0</v>
      </c>
      <c r="J43" t="str">
        <f t="shared" si="1"/>
        <v/>
      </c>
    </row>
    <row r="44" spans="1:10" ht="15">
      <c r="A44" s="46"/>
      <c r="B44" s="47" t="str">
        <f t="shared" si="2"/>
        <v/>
      </c>
      <c r="C44" s="48"/>
      <c r="D44" s="48"/>
      <c r="E44" s="48"/>
      <c r="F44" s="48"/>
      <c r="G44" s="48"/>
      <c r="H44" s="50" t="str">
        <f>IF($B44="","",IF($J44="X",B44,CONCATENATE(VLOOKUP(B44,Competitors!$A$2:$I$650,3,FALSE)," ",VLOOKUP(B44,Competitors!$A$2:$I$650,2,FALSE))))</f>
        <v/>
      </c>
      <c r="I44" s="51">
        <f t="shared" si="0"/>
        <v>0</v>
      </c>
      <c r="J44" t="str">
        <f t="shared" si="1"/>
        <v/>
      </c>
    </row>
    <row r="45" spans="1:10" ht="15">
      <c r="A45" s="46"/>
      <c r="B45" s="47" t="str">
        <f t="shared" si="2"/>
        <v/>
      </c>
      <c r="C45" s="48"/>
      <c r="D45" s="48"/>
      <c r="E45" s="48"/>
      <c r="F45" s="48"/>
      <c r="G45" s="48"/>
      <c r="H45" s="50" t="str">
        <f>IF($B45="","",IF($J45="X",B45,CONCATENATE(VLOOKUP(B45,Competitors!$A$2:$I$650,3,FALSE)," ",VLOOKUP(B45,Competitors!$A$2:$I$650,2,FALSE))))</f>
        <v/>
      </c>
      <c r="I45" s="51">
        <f t="shared" si="0"/>
        <v>0</v>
      </c>
      <c r="J45" t="str">
        <f t="shared" si="1"/>
        <v/>
      </c>
    </row>
    <row r="46" spans="1:10" ht="15">
      <c r="A46" s="46"/>
      <c r="B46" s="47" t="str">
        <f t="shared" si="2"/>
        <v/>
      </c>
      <c r="C46" s="48"/>
      <c r="D46" s="48"/>
      <c r="E46" s="48"/>
      <c r="F46" s="48"/>
      <c r="G46" s="48"/>
      <c r="H46" s="50" t="str">
        <f>IF($B46="","",IF($J46="X",B46,CONCATENATE(VLOOKUP(B46,Competitors!$A$2:$I$650,3,FALSE)," ",VLOOKUP(B46,Competitors!$A$2:$I$650,2,FALSE))))</f>
        <v/>
      </c>
      <c r="I46" s="51">
        <f t="shared" si="0"/>
        <v>0</v>
      </c>
      <c r="J46" t="str">
        <f t="shared" si="1"/>
        <v/>
      </c>
    </row>
    <row r="47" spans="1:10" ht="15">
      <c r="A47" s="46"/>
      <c r="B47" s="47" t="str">
        <f t="shared" si="2"/>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47" t="str">
        <f t="shared" si="2"/>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47" t="str">
        <f t="shared" si="2"/>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47" t="str">
        <f t="shared" si="2"/>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47" t="str">
        <f t="shared" si="2"/>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47" t="str">
        <f t="shared" si="2"/>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47" t="str">
        <f t="shared" si="2"/>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47" t="str">
        <f t="shared" si="2"/>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47" t="str">
        <f t="shared" si="2"/>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2"/>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2"/>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2"/>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2"/>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2"/>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2"/>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2"/>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2"/>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2"/>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2"/>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2"/>
        <v/>
      </c>
      <c r="C66" s="48"/>
      <c r="D66" s="48"/>
      <c r="E66" s="48"/>
      <c r="F66" s="48"/>
      <c r="G66" s="48"/>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47" t="str">
        <f t="shared" si="2"/>
        <v/>
      </c>
      <c r="C67" s="48"/>
      <c r="D67" s="48"/>
      <c r="E67" s="48"/>
      <c r="F67" s="48"/>
      <c r="G67" s="48"/>
      <c r="H67" s="50" t="str">
        <f>IF($B67="","",IF($J67="X",B67,CONCATENATE(VLOOKUP(B67,Competitors!$A$2:$I$650,3,FALSE)," ",VLOOKUP(B67,Competitors!$A$2:$I$650,2,FALSE))))</f>
        <v/>
      </c>
      <c r="I67" s="51">
        <f t="shared" si="3"/>
        <v>0</v>
      </c>
      <c r="J67" t="str">
        <f t="shared" si="4"/>
        <v/>
      </c>
    </row>
    <row r="68" spans="1:10" ht="15">
      <c r="A68" s="46"/>
      <c r="B68" s="47" t="str">
        <f t="shared" si="2"/>
        <v/>
      </c>
      <c r="C68" s="48"/>
      <c r="D68" s="48"/>
      <c r="E68" s="48"/>
      <c r="F68" s="48"/>
      <c r="G68" s="48"/>
      <c r="H68" s="50" t="str">
        <f>IF($B68="","",IF($J68="X",B68,CONCATENATE(VLOOKUP(B68,Competitors!$A$2:$I$650,3,FALSE)," ",VLOOKUP(B68,Competitors!$A$2:$I$650,2,FALSE))))</f>
        <v/>
      </c>
      <c r="I68" s="51">
        <f t="shared" si="3"/>
        <v>0</v>
      </c>
      <c r="J68" t="str">
        <f t="shared" si="4"/>
        <v/>
      </c>
    </row>
    <row r="69" spans="1:10" ht="15">
      <c r="A69" s="46"/>
      <c r="B69" s="47" t="str">
        <f t="shared" si="2"/>
        <v/>
      </c>
      <c r="C69" s="48"/>
      <c r="D69" s="48"/>
      <c r="E69" s="48"/>
      <c r="F69" s="48"/>
      <c r="G69" s="48"/>
      <c r="H69" s="50" t="str">
        <f>IF($B69="","",IF($J69="X",B69,CONCATENATE(VLOOKUP(B69,Competitors!$A$2:$I$650,3,FALSE)," ",VLOOKUP(B69,Competitors!$A$2:$I$650,2,FALSE))))</f>
        <v/>
      </c>
      <c r="I69" s="51">
        <f t="shared" si="3"/>
        <v>0</v>
      </c>
      <c r="J69" t="str">
        <f t="shared" si="4"/>
        <v/>
      </c>
    </row>
    <row r="70" spans="1:10" ht="15">
      <c r="A70" s="46"/>
      <c r="B70" s="47" t="str">
        <f t="shared" si="2"/>
        <v/>
      </c>
      <c r="C70" s="48"/>
      <c r="D70" s="48"/>
      <c r="E70" s="48"/>
      <c r="F70" s="48"/>
      <c r="G70" s="48"/>
      <c r="H70" s="50" t="str">
        <f>IF($B70="","",IF($J70="X",B70,CONCATENATE(VLOOKUP(B70,Competitors!$A$2:$I$650,3,FALSE)," ",VLOOKUP(B70,Competitors!$A$2:$I$650,2,FALSE))))</f>
        <v/>
      </c>
      <c r="I70" s="51">
        <f t="shared" si="3"/>
        <v>0</v>
      </c>
      <c r="J70" t="str">
        <f t="shared" si="4"/>
        <v/>
      </c>
    </row>
    <row r="71" spans="1:10" ht="15">
      <c r="A71" s="46"/>
      <c r="B71" s="47" t="str">
        <f t="shared" si="2"/>
        <v/>
      </c>
      <c r="C71" s="48"/>
      <c r="D71" s="48"/>
      <c r="E71" s="48"/>
      <c r="F71" s="48"/>
      <c r="G71" s="48"/>
      <c r="H71" s="50" t="str">
        <f>IF($B71="","",IF($J71="X",B71,CONCATENATE(VLOOKUP(B71,Competitors!$A$2:$I$650,3,FALSE)," ",VLOOKUP(B71,Competitors!$A$2:$I$650,2,FALSE))))</f>
        <v/>
      </c>
      <c r="I71" s="51">
        <f t="shared" si="3"/>
        <v>0</v>
      </c>
      <c r="J71" t="str">
        <f t="shared" si="4"/>
        <v/>
      </c>
    </row>
    <row r="72" spans="1:10" ht="15">
      <c r="A72" s="46"/>
      <c r="B72" s="47" t="str">
        <f t="shared" si="2"/>
        <v/>
      </c>
      <c r="C72" s="48"/>
      <c r="D72" s="48"/>
      <c r="E72" s="48"/>
      <c r="F72" s="48"/>
      <c r="G72" s="48"/>
      <c r="H72" s="50" t="str">
        <f>IF($B72="","",IF($J72="X",B72,CONCATENATE(VLOOKUP(B72,Competitors!$A$2:$I$650,3,FALSE)," ",VLOOKUP(B72,Competitors!$A$2:$I$650,2,FALSE))))</f>
        <v/>
      </c>
      <c r="I72" s="51">
        <f t="shared" si="3"/>
        <v>0</v>
      </c>
      <c r="J72" t="str">
        <f t="shared" si="4"/>
        <v/>
      </c>
    </row>
    <row r="73" spans="1:10" ht="15">
      <c r="A73" s="46"/>
      <c r="B73" s="47" t="str">
        <f t="shared" si="2"/>
        <v/>
      </c>
      <c r="C73" s="48"/>
      <c r="D73" s="48"/>
      <c r="E73" s="48"/>
      <c r="F73" s="48"/>
      <c r="G73" s="48"/>
      <c r="H73" s="50" t="str">
        <f>IF($B73="","",IF($J73="X",B73,CONCATENATE(VLOOKUP(B73,Competitors!$A$2:$I$650,3,FALSE)," ",VLOOKUP(B73,Competitors!$A$2:$I$650,2,FALSE))))</f>
        <v/>
      </c>
      <c r="I73" s="51">
        <f t="shared" si="3"/>
        <v>0</v>
      </c>
      <c r="J73" t="str">
        <f t="shared" si="4"/>
        <v/>
      </c>
    </row>
    <row r="74" spans="1:10" ht="15">
      <c r="A74" s="46"/>
      <c r="B74" s="47" t="str">
        <f t="shared" si="2"/>
        <v/>
      </c>
      <c r="C74" s="48"/>
      <c r="D74" s="48"/>
      <c r="E74" s="48"/>
      <c r="F74" s="48"/>
      <c r="G74" s="48"/>
      <c r="H74" s="50" t="str">
        <f>IF($B74="","",IF($J74="X",B74,CONCATENATE(VLOOKUP(B74,Competitors!$A$2:$I$650,3,FALSE)," ",VLOOKUP(B74,Competitors!$A$2:$I$650,2,FALSE))))</f>
        <v/>
      </c>
      <c r="I74" s="51">
        <f t="shared" si="3"/>
        <v>0</v>
      </c>
      <c r="J74" t="str">
        <f t="shared" si="4"/>
        <v/>
      </c>
    </row>
    <row r="75" spans="1:10" ht="15">
      <c r="A75" s="46"/>
      <c r="B75" s="47" t="str">
        <f t="shared" si="2"/>
        <v/>
      </c>
      <c r="C75" s="48"/>
      <c r="D75" s="48"/>
      <c r="E75" s="48"/>
      <c r="F75" s="48"/>
      <c r="G75" s="48"/>
      <c r="H75" s="50" t="str">
        <f>IF($B75="","",IF($J75="X",B75,CONCATENATE(VLOOKUP(B75,Competitors!$A$2:$I$650,3,FALSE)," ",VLOOKUP(B75,Competitors!$A$2:$I$650,2,FALSE))))</f>
        <v/>
      </c>
      <c r="I75" s="51">
        <f t="shared" si="3"/>
        <v>0</v>
      </c>
      <c r="J75" t="str">
        <f t="shared" si="4"/>
        <v/>
      </c>
    </row>
    <row r="76" spans="1:10" ht="15">
      <c r="A76" s="46"/>
      <c r="B76" s="47" t="str">
        <f t="shared" si="2"/>
        <v/>
      </c>
      <c r="C76" s="48"/>
      <c r="D76" s="48"/>
      <c r="E76" s="48"/>
      <c r="F76" s="48"/>
      <c r="G76" s="48"/>
      <c r="H76" s="50" t="str">
        <f>IF($B76="","",IF($J76="X",B76,CONCATENATE(VLOOKUP(B76,Competitors!$A$2:$I$650,3,FALSE)," ",VLOOKUP(B76,Competitors!$A$2:$I$650,2,FALSE))))</f>
        <v/>
      </c>
      <c r="I76" s="51">
        <f t="shared" si="3"/>
        <v>0</v>
      </c>
      <c r="J76" t="str">
        <f t="shared" si="4"/>
        <v/>
      </c>
    </row>
    <row r="77" spans="1:10" ht="15">
      <c r="A77" s="46"/>
      <c r="B77" s="47" t="str">
        <f t="shared" si="2"/>
        <v/>
      </c>
      <c r="C77" s="48"/>
      <c r="D77" s="48"/>
      <c r="E77" s="48"/>
      <c r="F77" s="48"/>
      <c r="G77" s="48"/>
      <c r="H77" s="50" t="str">
        <f>IF($B77="","",IF($J77="X",B77,CONCATENATE(VLOOKUP(B77,Competitors!$A$2:$I$650,3,FALSE)," ",VLOOKUP(B77,Competitors!$A$2:$I$650,2,FALSE))))</f>
        <v/>
      </c>
      <c r="I77" s="51">
        <f t="shared" si="3"/>
        <v>0</v>
      </c>
      <c r="J77" t="str">
        <f t="shared" si="4"/>
        <v/>
      </c>
    </row>
    <row r="78" spans="1:10" ht="15">
      <c r="A78" s="46"/>
      <c r="B78" s="47" t="str">
        <f t="shared" si="2"/>
        <v/>
      </c>
      <c r="C78" s="48"/>
      <c r="D78" s="48"/>
      <c r="E78" s="48"/>
      <c r="F78" s="48"/>
      <c r="G78" s="48"/>
      <c r="H78" s="50" t="str">
        <f>IF($B78="","",IF($J78="X",B78,CONCATENATE(VLOOKUP(B78,Competitors!$A$2:$I$650,3,FALSE)," ",VLOOKUP(B78,Competitors!$A$2:$I$650,2,FALSE))))</f>
        <v/>
      </c>
      <c r="I78" s="51">
        <f t="shared" si="3"/>
        <v>0</v>
      </c>
      <c r="J78" t="str">
        <f t="shared" si="4"/>
        <v/>
      </c>
    </row>
    <row r="79" spans="1:10" ht="15">
      <c r="A79" s="46"/>
      <c r="B79" s="47" t="str">
        <f t="shared" si="2"/>
        <v/>
      </c>
      <c r="C79" s="48"/>
      <c r="D79" s="48"/>
      <c r="E79" s="48"/>
      <c r="F79" s="48"/>
      <c r="G79" s="48"/>
      <c r="H79" s="50" t="str">
        <f>IF($B79="","",IF($J79="X",B79,CONCATENATE(VLOOKUP(B79,Competitors!$A$2:$I$650,3,FALSE)," ",VLOOKUP(B79,Competitors!$A$2:$I$650,2,FALSE))))</f>
        <v/>
      </c>
      <c r="I79" s="51">
        <f t="shared" si="3"/>
        <v>0</v>
      </c>
      <c r="J79" t="str">
        <f t="shared" si="4"/>
        <v/>
      </c>
    </row>
    <row r="80" spans="1:10" ht="15">
      <c r="A80" s="46"/>
      <c r="B80" s="47" t="str">
        <f t="shared" si="2"/>
        <v/>
      </c>
      <c r="C80" s="48"/>
      <c r="D80" s="48"/>
      <c r="E80" s="48"/>
      <c r="F80" s="48"/>
      <c r="G80" s="48"/>
      <c r="H80" s="50" t="str">
        <f>IF($B80="","",IF($J80="X",B80,CONCATENATE(VLOOKUP(B80,Competitors!$A$2:$I$650,3,FALSE)," ",VLOOKUP(B80,Competitors!$A$2:$I$650,2,FALSE))))</f>
        <v/>
      </c>
      <c r="I80" s="51">
        <f t="shared" si="3"/>
        <v>0</v>
      </c>
      <c r="J80" t="str">
        <f t="shared" si="4"/>
        <v/>
      </c>
    </row>
    <row r="81" spans="1:10" ht="15">
      <c r="A81" s="46"/>
      <c r="B81" s="47" t="str">
        <f t="shared" si="2"/>
        <v/>
      </c>
      <c r="C81" s="48"/>
      <c r="D81" s="48"/>
      <c r="E81" s="48"/>
      <c r="F81" s="48"/>
      <c r="G81" s="48"/>
      <c r="H81" s="50" t="str">
        <f>IF($B81="","",IF($J81="X",B81,CONCATENATE(VLOOKUP(B81,Competitors!$A$2:$I$650,3,FALSE)," ",VLOOKUP(B81,Competitors!$A$2:$I$650,2,FALSE))))</f>
        <v/>
      </c>
      <c r="I81" s="51">
        <f t="shared" si="3"/>
        <v>0</v>
      </c>
      <c r="J81" t="str">
        <f t="shared" si="4"/>
        <v/>
      </c>
    </row>
    <row r="82" spans="1:10" ht="15">
      <c r="A82" s="46"/>
      <c r="B82" s="47" t="str">
        <f t="shared" si="2"/>
        <v/>
      </c>
      <c r="C82" s="48"/>
      <c r="D82" s="48"/>
      <c r="E82" s="48"/>
      <c r="F82" s="48"/>
      <c r="G82" s="48"/>
      <c r="H82" s="50" t="str">
        <f>IF($B82="","",IF($J82="X",B82,CONCATENATE(VLOOKUP(B82,Competitors!$A$2:$I$650,3,FALSE)," ",VLOOKUP(B82,Competitors!$A$2:$I$650,2,FALSE))))</f>
        <v/>
      </c>
      <c r="I82" s="51">
        <f t="shared" si="3"/>
        <v>0</v>
      </c>
      <c r="J82" t="str">
        <f t="shared" si="4"/>
        <v/>
      </c>
    </row>
    <row r="83" spans="1:10" ht="15">
      <c r="A83" s="46"/>
      <c r="B83" s="47" t="str">
        <f t="shared" si="2"/>
        <v/>
      </c>
      <c r="C83" s="48"/>
      <c r="D83" s="48"/>
      <c r="E83" s="48"/>
      <c r="F83" s="48"/>
      <c r="G83" s="48"/>
      <c r="H83" s="50" t="str">
        <f>IF($B83="","",IF($J83="X",B83,CONCATENATE(VLOOKUP(B83,Competitors!$A$2:$I$650,3,FALSE)," ",VLOOKUP(B83,Competitors!$A$2:$I$650,2,FALSE))))</f>
        <v/>
      </c>
      <c r="I83" s="51">
        <f t="shared" si="3"/>
        <v>0</v>
      </c>
      <c r="J83" t="str">
        <f t="shared" si="4"/>
        <v/>
      </c>
    </row>
    <row r="84" spans="1:10" ht="15">
      <c r="A84" s="46"/>
      <c r="B84" s="47" t="str">
        <f t="shared" si="2"/>
        <v/>
      </c>
      <c r="C84" s="48"/>
      <c r="D84" s="48"/>
      <c r="E84" s="48"/>
      <c r="F84" s="48"/>
      <c r="G84" s="48"/>
      <c r="H84" s="50" t="str">
        <f>IF($B84="","",IF($J84="X",B84,CONCATENATE(VLOOKUP(B84,Competitors!$A$2:$I$650,3,FALSE)," ",VLOOKUP(B84,Competitors!$A$2:$I$650,2,FALSE))))</f>
        <v/>
      </c>
      <c r="I84" s="51">
        <f t="shared" si="3"/>
        <v>0</v>
      </c>
      <c r="J84" t="str">
        <f t="shared" si="4"/>
        <v/>
      </c>
    </row>
    <row r="85" spans="1:10" ht="15">
      <c r="A85" s="46"/>
      <c r="B85" s="47" t="str">
        <f t="shared" si="2"/>
        <v/>
      </c>
      <c r="C85" s="48"/>
      <c r="D85" s="48"/>
      <c r="E85" s="48"/>
      <c r="F85" s="48"/>
      <c r="G85" s="48"/>
      <c r="H85" s="50" t="str">
        <f>IF($B85="","",IF($J85="X",B85,CONCATENATE(VLOOKUP(B85,Competitors!$A$2:$I$650,3,FALSE)," ",VLOOKUP(B85,Competitors!$A$2:$I$650,2,FALSE))))</f>
        <v/>
      </c>
      <c r="I85" s="51">
        <f t="shared" si="3"/>
        <v>0</v>
      </c>
      <c r="J85" t="str">
        <f t="shared" si="4"/>
        <v/>
      </c>
    </row>
    <row r="86" spans="1:10" ht="15">
      <c r="A86" s="46"/>
      <c r="B86" s="47" t="str">
        <f t="shared" si="2"/>
        <v/>
      </c>
      <c r="C86" s="48"/>
      <c r="D86" s="48"/>
      <c r="E86" s="48"/>
      <c r="F86" s="48"/>
      <c r="G86" s="48"/>
      <c r="H86" s="50" t="str">
        <f>IF($B86="","",IF($J86="X",B86,CONCATENATE(VLOOKUP(B86,Competitors!$A$2:$I$650,3,FALSE)," ",VLOOKUP(B86,Competitors!$A$2:$I$650,2,FALSE))))</f>
        <v/>
      </c>
      <c r="I86" s="51">
        <f t="shared" si="3"/>
        <v>0</v>
      </c>
      <c r="J86" t="str">
        <f t="shared" si="4"/>
        <v/>
      </c>
    </row>
    <row r="87" spans="1:10" ht="15">
      <c r="A87" s="46"/>
      <c r="B87" s="47" t="str">
        <f t="shared" si="2"/>
        <v/>
      </c>
      <c r="C87" s="48"/>
      <c r="D87" s="48"/>
      <c r="E87" s="48"/>
      <c r="F87" s="48"/>
      <c r="G87" s="48"/>
      <c r="H87" s="50" t="str">
        <f>IF($B87="","",IF($J87="X",B87,CONCATENATE(VLOOKUP(B87,Competitors!$A$2:$I$650,3,FALSE)," ",VLOOKUP(B87,Competitors!$A$2:$I$650,2,FALSE))))</f>
        <v/>
      </c>
      <c r="I87" s="51">
        <f t="shared" si="3"/>
        <v>0</v>
      </c>
      <c r="J87" t="str">
        <f t="shared" si="4"/>
        <v/>
      </c>
    </row>
    <row r="88" spans="1:10" ht="15">
      <c r="A88" s="46"/>
      <c r="B88" s="47" t="str">
        <f t="shared" si="2"/>
        <v/>
      </c>
      <c r="C88" s="48"/>
      <c r="D88" s="48"/>
      <c r="E88" s="48"/>
      <c r="F88" s="48"/>
      <c r="G88" s="48"/>
      <c r="H88" s="50" t="str">
        <f>IF($B88="","",IF($J88="X",B88,CONCATENATE(VLOOKUP(B88,Competitors!$A$2:$I$650,3,FALSE)," ",VLOOKUP(B88,Competitors!$A$2:$I$650,2,FALSE))))</f>
        <v/>
      </c>
      <c r="I88" s="51">
        <f t="shared" si="3"/>
        <v>0</v>
      </c>
      <c r="J88" t="str">
        <f t="shared" si="4"/>
        <v/>
      </c>
    </row>
    <row r="89" spans="1:10" ht="15">
      <c r="A89" s="46"/>
      <c r="B89" s="47" t="str">
        <f t="shared" si="2"/>
        <v/>
      </c>
      <c r="C89" s="48"/>
      <c r="D89" s="48"/>
      <c r="E89" s="48"/>
      <c r="F89" s="48"/>
      <c r="G89" s="48"/>
      <c r="H89" s="50" t="str">
        <f>IF($B89="","",IF($J89="X",B89,CONCATENATE(VLOOKUP(B89,Competitors!$A$2:$I$650,3,FALSE)," ",VLOOKUP(B89,Competitors!$A$2:$I$650,2,FALSE))))</f>
        <v/>
      </c>
      <c r="I89" s="51">
        <f t="shared" si="3"/>
        <v>0</v>
      </c>
      <c r="J89" t="str">
        <f t="shared" si="4"/>
        <v/>
      </c>
    </row>
    <row r="90" spans="1:10" ht="15">
      <c r="A90" s="46"/>
      <c r="B90" s="47" t="str">
        <f t="shared" si="2"/>
        <v/>
      </c>
      <c r="C90" s="48"/>
      <c r="D90" s="48"/>
      <c r="E90" s="48"/>
      <c r="F90" s="48"/>
      <c r="G90" s="48"/>
      <c r="H90" s="50" t="str">
        <f>IF($B90="","",IF($J90="X",B90,CONCATENATE(VLOOKUP(B90,Competitors!$A$2:$I$650,3,FALSE)," ",VLOOKUP(B90,Competitors!$A$2:$I$650,2,FALSE))))</f>
        <v/>
      </c>
      <c r="I90" s="51">
        <f t="shared" si="3"/>
        <v>0</v>
      </c>
      <c r="J90" t="str">
        <f t="shared" si="4"/>
        <v/>
      </c>
    </row>
    <row r="91" spans="1:10" ht="15">
      <c r="A91" s="46"/>
      <c r="B91" s="47" t="str">
        <f t="shared" si="2"/>
        <v/>
      </c>
      <c r="C91" s="48"/>
      <c r="D91" s="48"/>
      <c r="E91" s="48"/>
      <c r="F91" s="48"/>
      <c r="G91" s="48"/>
      <c r="H91" s="50" t="str">
        <f>IF($B91="","",IF($J91="X",B91,CONCATENATE(VLOOKUP(B91,Competitors!$A$2:$I$650,3,FALSE)," ",VLOOKUP(B91,Competitors!$A$2:$I$650,2,FALSE))))</f>
        <v/>
      </c>
      <c r="I91" s="51">
        <f t="shared" si="3"/>
        <v>0</v>
      </c>
      <c r="J91" t="str">
        <f t="shared" si="4"/>
        <v/>
      </c>
    </row>
    <row r="92" spans="1:10" ht="15">
      <c r="A92" s="46"/>
      <c r="B92" s="47" t="str">
        <f t="shared" si="2"/>
        <v/>
      </c>
      <c r="C92" s="48"/>
      <c r="D92" s="48"/>
      <c r="E92" s="48"/>
      <c r="F92" s="48"/>
      <c r="G92" s="48"/>
      <c r="H92" s="50" t="str">
        <f>IF($B92="","",IF($J92="X",B92,CONCATENATE(VLOOKUP(B92,Competitors!$A$2:$I$650,3,FALSE)," ",VLOOKUP(B92,Competitors!$A$2:$I$650,2,FALSE))))</f>
        <v/>
      </c>
      <c r="I92" s="51">
        <f t="shared" si="3"/>
        <v>0</v>
      </c>
      <c r="J92" t="str">
        <f t="shared" si="4"/>
        <v/>
      </c>
    </row>
    <row r="93" spans="1:10" ht="15">
      <c r="A93" s="46"/>
      <c r="B93" s="47" t="str">
        <f t="shared" si="2"/>
        <v/>
      </c>
      <c r="C93" s="48"/>
      <c r="D93" s="48"/>
      <c r="E93" s="48"/>
      <c r="F93" s="48"/>
      <c r="G93" s="48"/>
      <c r="H93" s="50" t="str">
        <f>IF($B93="","",IF($J93="X",B93,CONCATENATE(VLOOKUP(B93,Competitors!$A$2:$I$650,3,FALSE)," ",VLOOKUP(B93,Competitors!$A$2:$I$650,2,FALSE))))</f>
        <v/>
      </c>
      <c r="I93" s="51">
        <f t="shared" si="3"/>
        <v>0</v>
      </c>
      <c r="J93" t="str">
        <f t="shared" si="4"/>
        <v/>
      </c>
    </row>
    <row r="94" spans="1:10" ht="15">
      <c r="A94" s="46"/>
      <c r="B94" s="47" t="str">
        <f t="shared" si="2"/>
        <v/>
      </c>
      <c r="C94" s="48"/>
      <c r="D94" s="48"/>
      <c r="E94" s="48"/>
      <c r="F94" s="48"/>
      <c r="G94" s="48"/>
      <c r="H94" s="50" t="str">
        <f>IF($B94="","",IF($J94="X",B94,CONCATENATE(VLOOKUP(B94,Competitors!$A$2:$I$650,3,FALSE)," ",VLOOKUP(B94,Competitors!$A$2:$I$650,2,FALSE))))</f>
        <v/>
      </c>
      <c r="I94" s="51">
        <f t="shared" si="3"/>
        <v>0</v>
      </c>
      <c r="J94" t="str">
        <f t="shared" si="4"/>
        <v/>
      </c>
    </row>
    <row r="95" spans="1:10" ht="15">
      <c r="A95" s="46"/>
      <c r="B95" s="47" t="str">
        <f t="shared" si="2"/>
        <v/>
      </c>
      <c r="C95" s="48"/>
      <c r="D95" s="48"/>
      <c r="E95" s="48"/>
      <c r="F95" s="48"/>
      <c r="G95" s="48"/>
      <c r="H95" s="50" t="str">
        <f>IF($B95="","",IF($J95="X",B95,CONCATENATE(VLOOKUP(B95,Competitors!$A$2:$I$650,3,FALSE)," ",VLOOKUP(B95,Competitors!$A$2:$I$650,2,FALSE))))</f>
        <v/>
      </c>
      <c r="I95" s="51">
        <f t="shared" si="3"/>
        <v>0</v>
      </c>
      <c r="J95" t="str">
        <f t="shared" si="4"/>
        <v/>
      </c>
    </row>
    <row r="96" spans="1:10" ht="15">
      <c r="A96" s="46"/>
      <c r="B96" s="47" t="str">
        <f t="shared" si="2"/>
        <v/>
      </c>
      <c r="C96" s="48"/>
      <c r="D96" s="48"/>
      <c r="E96" s="48"/>
      <c r="F96" s="48"/>
      <c r="G96" s="48"/>
      <c r="H96" s="50" t="str">
        <f>IF($B96="","",IF($J96="X",B96,CONCATENATE(VLOOKUP(B96,Competitors!$A$2:$I$650,3,FALSE)," ",VLOOKUP(B96,Competitors!$A$2:$I$650,2,FALSE))))</f>
        <v/>
      </c>
      <c r="I96" s="51">
        <f t="shared" si="3"/>
        <v>0</v>
      </c>
      <c r="J96" t="str">
        <f t="shared" si="4"/>
        <v/>
      </c>
    </row>
    <row r="97" spans="1:10" ht="15">
      <c r="A97" s="46"/>
      <c r="B97" s="47" t="str">
        <f t="shared" si="2"/>
        <v/>
      </c>
      <c r="C97" s="48"/>
      <c r="D97" s="48"/>
      <c r="E97" s="48"/>
      <c r="F97" s="48"/>
      <c r="G97" s="48"/>
      <c r="H97" s="50" t="str">
        <f>IF($B97="","",IF($J97="X",B97,CONCATENATE(VLOOKUP(B97,Competitors!$A$2:$I$650,3,FALSE)," ",VLOOKUP(B97,Competitors!$A$2:$I$650,2,FALSE))))</f>
        <v/>
      </c>
      <c r="I97" s="51">
        <f t="shared" si="3"/>
        <v>0</v>
      </c>
      <c r="J97" t="str">
        <f t="shared" si="4"/>
        <v/>
      </c>
    </row>
    <row r="98" spans="1:10" ht="15">
      <c r="A98" s="46"/>
      <c r="B98" s="47" t="str">
        <f>IF(A98="","",_xlfn.XLOOKUP(A98,ClubNames,ClubNumbers,_xlfn.XLOOKUP(A98,RoundRobinRiderNames,RoundRobinRiderDecoratedNames,A98)))</f>
        <v/>
      </c>
      <c r="C98" s="48"/>
      <c r="D98" s="48"/>
      <c r="E98" s="48"/>
      <c r="F98" s="48"/>
      <c r="G98" s="48"/>
      <c r="H98" s="50" t="str">
        <f>IF($B98="","",IF($J98="X",B98,CONCATENATE(VLOOKUP(B98,Competitors!$A$2:$I$650,3,FALSE)," ",VLOOKUP(B98,Competitors!$A$2:$I$650,2,FALSE))))</f>
        <v/>
      </c>
      <c r="I98" s="51">
        <f t="shared" si="3"/>
        <v>0</v>
      </c>
      <c r="J98" t="str">
        <f t="shared" si="4"/>
        <v/>
      </c>
    </row>
    <row r="99" spans="1:10" ht="15">
      <c r="A99" s="46"/>
      <c r="B99" s="47" t="str">
        <f>IF(A99="","",_xlfn.XLOOKUP(A99,ClubNames,ClubNumbers,_xlfn.XLOOKUP(A99,RoundRobinRiderNames,RoundRobinRiderDecoratedNames,A99)))</f>
        <v/>
      </c>
      <c r="C99" s="48"/>
      <c r="D99" s="48"/>
      <c r="E99" s="48"/>
      <c r="F99" s="48"/>
      <c r="G99" s="48"/>
      <c r="H99" s="50" t="str">
        <f>IF($B99="","",IF($J99="X",B99,CONCATENATE(VLOOKUP(B99,Competitors!$A$2:$I$650,3,FALSE)," ",VLOOKUP(B99,Competitors!$A$2:$I$650,2,FALSE))))</f>
        <v/>
      </c>
      <c r="I99" s="51">
        <f t="shared" si="3"/>
        <v>0</v>
      </c>
      <c r="J99" t="str">
        <f t="shared" si="4"/>
        <v/>
      </c>
    </row>
    <row r="100" spans="1:10" ht="15">
      <c r="A100" s="46"/>
      <c r="B100" s="47" t="str">
        <f>IF(A100="","",_xlfn.XLOOKUP(A100,ClubNames,ClubNumbers,_xlfn.XLOOKUP(A100,RoundRobinRiderNames,RoundRobinRiderDecoratedNames,A100)))</f>
        <v/>
      </c>
      <c r="C100" s="48"/>
      <c r="D100" s="48"/>
      <c r="E100" s="48"/>
      <c r="F100" s="48"/>
      <c r="G100" s="48"/>
      <c r="H100" s="50" t="str">
        <f>IF($B100="","",IF($J100="X",B100,CONCATENATE(VLOOKUP(B100,Competitors!$A$2:$I$650,3, FALSE)," ",VLOOKUP(B100,Competitors!$A$2:$I$650,2,FALSE))))</f>
        <v/>
      </c>
      <c r="I100" s="51">
        <f t="shared" si="3"/>
        <v>0</v>
      </c>
      <c r="J100" t="str">
        <f t="shared" si="4"/>
        <v/>
      </c>
    </row>
    <row r="101" spans="1:10" ht="15">
      <c r="A101" s="46"/>
      <c r="B101" s="47" t="str">
        <f>IF(A101="","",_xlfn.XLOOKUP(A101,ClubNames,ClubNumbers,_xlfn.XLOOKUP(A101,RoundRobinRiderNames,RoundRobinRiderDecoratedNames,A101)))</f>
        <v/>
      </c>
      <c r="C101" s="48"/>
      <c r="D101" s="48"/>
      <c r="E101" s="48"/>
      <c r="F101" s="48"/>
      <c r="G101" s="48"/>
      <c r="H101" s="50" t="str">
        <f>IF($B101="","",IF($J101="X",B101,CONCATENATE(VLOOKUP(B101,Competitors!$A$2:$I$650,3,FALSE)," ",VLOOKUP(B101,Competitors!$A$2:$I$650,2,FALSE))))</f>
        <v/>
      </c>
      <c r="I101" s="51">
        <f t="shared" si="3"/>
        <v>0</v>
      </c>
      <c r="J101" t="str">
        <f t="shared" si="4"/>
        <v/>
      </c>
    </row>
    <row r="102" spans="1:10" s="52" customFormat="1">
      <c r="I102" s="53"/>
    </row>
    <row r="103" spans="1:10">
      <c r="B103" t="s">
        <v>551</v>
      </c>
      <c r="C103" t="str" cm="1">
        <f t="array" aca="1" ref="C103" ca="1">MID(CELL("filename",B1),FIND("]",CELL("filename",B1))+1,255)</f>
        <v>Event_08</v>
      </c>
    </row>
    <row r="104" spans="1:10">
      <c r="B104" t="s">
        <v>552</v>
      </c>
      <c r="C104" t="str">
        <f ca="1">_xlfn.XLOOKUP(C103,Calendar!O:O,Calendar!H:H,"Event is not in calendar")</f>
        <v/>
      </c>
    </row>
  </sheetData>
  <conditionalFormatting sqref="E2:E101">
    <cfRule type="expression" dxfId="60" priority="3">
      <formula>TEXT($C$104,"@")="Y"</formula>
    </cfRule>
  </conditionalFormatting>
  <conditionalFormatting sqref="H2:I101">
    <cfRule type="expression" dxfId="59" priority="2">
      <formula>$J2="X"</formula>
    </cfRule>
  </conditionalFormatting>
  <conditionalFormatting sqref="I2:I101">
    <cfRule type="expression" dxfId="58"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41">
    <pageSetUpPr fitToPage="1"/>
  </sheetPr>
  <dimension ref="A1:J104"/>
  <sheetViews>
    <sheetView workbookViewId="0"/>
    <sheetView workbookViewId="1"/>
  </sheetViews>
  <sheetFormatPr defaultColWidth="9.1328125" defaultRowHeight="12.75"/>
  <cols>
    <col min="1" max="1" width="26.53125" customWidth="1"/>
    <col min="2" max="2" width="33.33203125" customWidth="1"/>
    <col min="3" max="5" width="4.796875" customWidth="1"/>
    <col min="6" max="7" width="11.1328125" customWidth="1"/>
    <col min="8" max="8" width="38"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56" t="s">
        <v>451</v>
      </c>
      <c r="B2" s="47">
        <v>1244</v>
      </c>
      <c r="C2" s="48">
        <v>1</v>
      </c>
      <c r="D2" s="48">
        <v>15</v>
      </c>
      <c r="E2" s="48">
        <v>5</v>
      </c>
      <c r="F2" s="48" t="s">
        <v>544</v>
      </c>
      <c r="G2" s="48"/>
      <c r="H2" s="50" t="str">
        <f>IF($B2="","",IF($J2="X",B2,CONCATENATE(VLOOKUP(B2,Competitors!$A$2:$I$650,3, FALSE)," ",VLOOKUP(B2,Competitors!$A$2:$I$650,2,FALSE))))</f>
        <v>Steven Latham</v>
      </c>
      <c r="I2" s="51">
        <f t="shared" ref="I2:I65" si="0">IF(LEFT($F2,1)="D",UPPER($F2),(C2*3600+D2*60+E2)/86400)</f>
        <v>5.2141203703703703E-2</v>
      </c>
      <c r="J2" t="str">
        <f t="shared" ref="J2:J65" si="1">IF(OR(B2="",ISNUMBER(B2)),"","X")</f>
        <v/>
      </c>
    </row>
    <row r="3" spans="1:10" ht="15">
      <c r="A3" s="56" t="s">
        <v>452</v>
      </c>
      <c r="B3" s="47">
        <v>1404</v>
      </c>
      <c r="C3" s="48">
        <v>1</v>
      </c>
      <c r="D3" s="48">
        <v>19</v>
      </c>
      <c r="E3" s="48">
        <v>49</v>
      </c>
      <c r="F3" s="48"/>
      <c r="G3" s="48"/>
      <c r="H3" s="50" t="str">
        <f>IF($B3="","",IF($J3="X",B3,CONCATENATE(VLOOKUP(B3,Competitors!$A$2:$I$650,3,FALSE)," ",VLOOKUP(B3,Competitors!$A$2:$I$650,2,FALSE))))</f>
        <v>Millie Lenehan</v>
      </c>
      <c r="I3" s="51">
        <f t="shared" si="0"/>
        <v>5.5428240740740743E-2</v>
      </c>
      <c r="J3" t="str">
        <f t="shared" si="1"/>
        <v/>
      </c>
    </row>
    <row r="4" spans="1:10" ht="15">
      <c r="A4" s="56" t="s">
        <v>446</v>
      </c>
      <c r="B4" s="47">
        <v>1379</v>
      </c>
      <c r="C4" s="48">
        <v>1</v>
      </c>
      <c r="D4" s="48">
        <v>13</v>
      </c>
      <c r="E4" s="48">
        <v>5</v>
      </c>
      <c r="F4" s="48" t="s">
        <v>544</v>
      </c>
      <c r="G4" s="48"/>
      <c r="H4" s="50" t="str">
        <f>IF($B4="","",IF($J4="X",B4,CONCATENATE(VLOOKUP(B4,Competitors!$A$2:$I$650,3,FALSE)," ",VLOOKUP(B4,Competitors!$A$2:$I$650,2,FALSE))))</f>
        <v>Michaela Latham</v>
      </c>
      <c r="I4" s="51">
        <f t="shared" si="0"/>
        <v>5.0752314814814813E-2</v>
      </c>
      <c r="J4" t="str">
        <f t="shared" si="1"/>
        <v/>
      </c>
    </row>
    <row r="5" spans="1:10" ht="15">
      <c r="A5" s="56" t="s">
        <v>523</v>
      </c>
      <c r="B5" s="47" t="s">
        <v>599</v>
      </c>
      <c r="C5" s="48">
        <v>1</v>
      </c>
      <c r="D5" s="48">
        <v>14</v>
      </c>
      <c r="E5" s="48">
        <v>51</v>
      </c>
      <c r="F5" s="48"/>
      <c r="G5" s="48"/>
      <c r="H5" s="50" t="str">
        <f>IF($B5="","",IF($J5="X",B5,CONCATENATE(VLOOKUP(B5,Competitors!$A$2:$I$650,3,FALSE)," ",VLOOKUP(B5,Competitors!$A$2:$I$650,2,FALSE))))</f>
        <v>Lynne Wilkinson-Scofield (RFW)</v>
      </c>
      <c r="I5" s="51">
        <f t="shared" si="0"/>
        <v>5.1979166666666667E-2</v>
      </c>
      <c r="J5" t="str">
        <f t="shared" si="1"/>
        <v>X</v>
      </c>
    </row>
    <row r="6" spans="1:10" ht="15">
      <c r="A6" s="56" t="s">
        <v>418</v>
      </c>
      <c r="B6" s="47">
        <v>1355</v>
      </c>
      <c r="C6" s="48">
        <v>1</v>
      </c>
      <c r="D6" s="48">
        <v>4</v>
      </c>
      <c r="E6" s="48">
        <v>9</v>
      </c>
      <c r="F6" s="48" t="s">
        <v>544</v>
      </c>
      <c r="G6" s="48"/>
      <c r="H6" s="50" t="str">
        <f>IF($B6="","",IF($J6="X",B6,CONCATENATE(VLOOKUP(B6,Competitors!$A$2:$I$650,3,FALSE)," ",VLOOKUP(B6,Competitors!$A$2:$I$650,2,FALSE))))</f>
        <v>Aubrey Elmer</v>
      </c>
      <c r="I6" s="51">
        <f t="shared" si="0"/>
        <v>4.4548611111111108E-2</v>
      </c>
      <c r="J6" t="str">
        <f t="shared" si="1"/>
        <v/>
      </c>
    </row>
    <row r="7" spans="1:10" ht="15">
      <c r="A7" s="56" t="s">
        <v>431</v>
      </c>
      <c r="B7" s="47">
        <v>1403</v>
      </c>
      <c r="C7" s="48">
        <v>1</v>
      </c>
      <c r="D7" s="48">
        <v>8</v>
      </c>
      <c r="E7" s="48">
        <v>42</v>
      </c>
      <c r="F7" s="48"/>
      <c r="G7" s="48"/>
      <c r="H7" s="50" t="str">
        <f>IF($B7="","",IF($J7="X",B7,CONCATENATE(VLOOKUP(B7,Competitors!$A$2:$I$650,3,FALSE)," ",VLOOKUP(B7,Competitors!$A$2:$I$650,2,FALSE))))</f>
        <v>Toby Lenehan</v>
      </c>
      <c r="I7" s="51">
        <f t="shared" si="0"/>
        <v>4.7708333333333332E-2</v>
      </c>
      <c r="J7" t="str">
        <f t="shared" si="1"/>
        <v/>
      </c>
    </row>
    <row r="8" spans="1:10" ht="15">
      <c r="A8" s="56" t="s">
        <v>570</v>
      </c>
      <c r="B8" s="47" t="s">
        <v>570</v>
      </c>
      <c r="C8" s="48"/>
      <c r="D8" s="48"/>
      <c r="E8" s="48"/>
      <c r="F8" s="48"/>
      <c r="G8" s="48" t="s">
        <v>553</v>
      </c>
      <c r="H8" s="50" t="str">
        <f>IF($B8="","",IF($J8="X",B8,CONCATENATE(VLOOKUP(B8,Competitors!$A$2:$I$650,3,FALSE)," ",VLOOKUP(B8,Competitors!$A$2:$I$650,2,FALSE))))</f>
        <v>Charlie Hoyle</v>
      </c>
      <c r="I8" s="51">
        <f t="shared" si="0"/>
        <v>0</v>
      </c>
      <c r="J8" t="str">
        <f t="shared" si="1"/>
        <v>X</v>
      </c>
    </row>
    <row r="9" spans="1:10" ht="15">
      <c r="A9" s="56" t="s">
        <v>437</v>
      </c>
      <c r="B9" s="47">
        <v>1195</v>
      </c>
      <c r="C9" s="48">
        <v>1</v>
      </c>
      <c r="D9" s="48">
        <v>10</v>
      </c>
      <c r="E9" s="48">
        <v>48</v>
      </c>
      <c r="F9" s="48" t="s">
        <v>544</v>
      </c>
      <c r="G9" s="48"/>
      <c r="H9" s="50" t="str">
        <f>IF($B9="","",IF($J9="X",B9,CONCATENATE(VLOOKUP(B9,Competitors!$A$2:$I$650,3,FALSE)," ",VLOOKUP(B9,Competitors!$A$2:$I$650,2,FALSE))))</f>
        <v>Charlie Hardwicke</v>
      </c>
      <c r="I9" s="51">
        <f t="shared" si="0"/>
        <v>4.9166666666666664E-2</v>
      </c>
      <c r="J9" t="str">
        <f t="shared" si="1"/>
        <v/>
      </c>
    </row>
    <row r="10" spans="1:10" ht="15">
      <c r="A10" s="56" t="s">
        <v>443</v>
      </c>
      <c r="B10" s="47">
        <v>1193</v>
      </c>
      <c r="C10" s="48">
        <v>1</v>
      </c>
      <c r="D10" s="48">
        <v>11</v>
      </c>
      <c r="E10" s="48">
        <v>12</v>
      </c>
      <c r="F10" s="48" t="s">
        <v>544</v>
      </c>
      <c r="G10" s="48"/>
      <c r="H10" s="50" t="str">
        <f>IF($B10="","",IF($J10="X",B10,CONCATENATE(VLOOKUP(B10,Competitors!$A$2:$I$650,3, FALSE)," ",VLOOKUP(B10,Competitors!$A$2:$I$650,2,FALSE))))</f>
        <v>Richard Hardwicke</v>
      </c>
      <c r="I10" s="51">
        <f t="shared" si="0"/>
        <v>4.9444444444444444E-2</v>
      </c>
      <c r="J10" t="str">
        <f t="shared" si="1"/>
        <v/>
      </c>
    </row>
    <row r="11" spans="1:10" ht="15">
      <c r="A11" s="56" t="s">
        <v>417</v>
      </c>
      <c r="B11" s="47">
        <v>1152</v>
      </c>
      <c r="C11" s="48">
        <v>1</v>
      </c>
      <c r="D11" s="48">
        <v>4</v>
      </c>
      <c r="E11" s="48">
        <v>3</v>
      </c>
      <c r="F11" s="48"/>
      <c r="G11" s="48"/>
      <c r="H11" s="50" t="str">
        <f>IF($B11="","",IF($J11="X",B11,CONCATENATE(VLOOKUP(B11,Competitors!$A$2:$I$650,3,FALSE)," ",VLOOKUP(B11,Competitors!$A$2:$I$650,2,FALSE))))</f>
        <v>Ruby Isaac</v>
      </c>
      <c r="I11" s="51">
        <f t="shared" si="0"/>
        <v>4.4479166666666667E-2</v>
      </c>
      <c r="J11" t="str">
        <f t="shared" si="1"/>
        <v/>
      </c>
    </row>
    <row r="12" spans="1:10" ht="15">
      <c r="A12" s="56" t="s">
        <v>442</v>
      </c>
      <c r="B12" s="47">
        <v>564</v>
      </c>
      <c r="C12" s="48"/>
      <c r="D12" s="48"/>
      <c r="E12" s="48"/>
      <c r="F12" s="48"/>
      <c r="G12" s="48" t="s">
        <v>557</v>
      </c>
      <c r="H12" s="50" t="str">
        <f>IF($B12="","",IF($J12="X",B12,CONCATENATE(VLOOKUP(B12,Competitors!$A$2:$I$650,3,FALSE)," ",VLOOKUP(B12,Competitors!$A$2:$I$650,2,FALSE))))</f>
        <v>Ian Murdey</v>
      </c>
      <c r="I12" s="51">
        <f t="shared" si="0"/>
        <v>0</v>
      </c>
      <c r="J12" t="str">
        <f t="shared" si="1"/>
        <v/>
      </c>
    </row>
    <row r="13" spans="1:10" ht="15">
      <c r="A13" s="56" t="s">
        <v>441</v>
      </c>
      <c r="B13" s="47">
        <v>1254</v>
      </c>
      <c r="C13" s="48">
        <v>1</v>
      </c>
      <c r="D13" s="48">
        <v>6</v>
      </c>
      <c r="E13" s="48">
        <v>55</v>
      </c>
      <c r="F13" s="48"/>
      <c r="G13" s="48"/>
      <c r="H13" s="50" t="str">
        <f>IF($B13="","",IF($J13="X",B13,CONCATENATE(VLOOKUP(B13,Competitors!$A$2:$I$650,3,FALSE)," ",VLOOKUP(B13,Competitors!$A$2:$I$650,2,FALSE))))</f>
        <v>Paul White</v>
      </c>
      <c r="I13" s="51">
        <f t="shared" si="0"/>
        <v>4.6469907407407404E-2</v>
      </c>
      <c r="J13" t="str">
        <f t="shared" si="1"/>
        <v/>
      </c>
    </row>
    <row r="14" spans="1:10" ht="15">
      <c r="A14" s="56" t="s">
        <v>422</v>
      </c>
      <c r="B14" s="47">
        <v>1407</v>
      </c>
      <c r="C14" s="48"/>
      <c r="D14" s="48"/>
      <c r="E14" s="48"/>
      <c r="F14" s="48" t="s">
        <v>544</v>
      </c>
      <c r="G14" s="48" t="s">
        <v>553</v>
      </c>
      <c r="H14" s="50" t="str">
        <f>IF($B14="","",IF($J14="X",B14,CONCATENATE(VLOOKUP(B14,Competitors!$A$2:$I$650,3,FALSE)," ",VLOOKUP(B14,Competitors!$A$2:$I$650,2,FALSE))))</f>
        <v>Colin Dobson</v>
      </c>
      <c r="I14" s="51">
        <f t="shared" si="0"/>
        <v>0</v>
      </c>
      <c r="J14" t="str">
        <f t="shared" si="1"/>
        <v/>
      </c>
    </row>
    <row r="15" spans="1:10" ht="15">
      <c r="A15" s="56" t="s">
        <v>436</v>
      </c>
      <c r="B15" s="47">
        <v>203</v>
      </c>
      <c r="C15" s="48">
        <v>1</v>
      </c>
      <c r="D15" s="48">
        <v>9</v>
      </c>
      <c r="E15" s="48">
        <v>13</v>
      </c>
      <c r="F15" s="48"/>
      <c r="G15" s="48"/>
      <c r="H15" s="50" t="str">
        <f>IF($B15="","",IF($J15="X",B15,CONCATENATE(VLOOKUP(B15,Competitors!$A$2:$I$650,3,FALSE)," ",VLOOKUP(B15,Competitors!$A$2:$I$650,2,FALSE))))</f>
        <v>Adrian Killworth</v>
      </c>
      <c r="I15" s="51">
        <f t="shared" si="0"/>
        <v>4.8067129629629626E-2</v>
      </c>
      <c r="J15" t="str">
        <f t="shared" si="1"/>
        <v/>
      </c>
    </row>
    <row r="16" spans="1:10" ht="15">
      <c r="A16" s="56" t="s">
        <v>427</v>
      </c>
      <c r="B16" s="47">
        <v>915</v>
      </c>
      <c r="C16" s="48">
        <v>1</v>
      </c>
      <c r="D16" s="48">
        <v>3</v>
      </c>
      <c r="E16" s="48">
        <v>41</v>
      </c>
      <c r="F16" s="48"/>
      <c r="G16" s="48"/>
      <c r="H16" s="50" t="str">
        <f>IF($B16="","",IF($J16="X",B16,CONCATENATE(VLOOKUP(B16,Competitors!$A$2:$I$650,3,FALSE)," ",VLOOKUP(B16,Competitors!$A$2:$I$650,2,FALSE))))</f>
        <v>Julian Twynham</v>
      </c>
      <c r="I16" s="51">
        <f t="shared" si="0"/>
        <v>4.4224537037037034E-2</v>
      </c>
      <c r="J16" t="str">
        <f t="shared" si="1"/>
        <v/>
      </c>
    </row>
    <row r="17" spans="1:10" ht="15">
      <c r="A17" s="56" t="s">
        <v>439</v>
      </c>
      <c r="B17" s="47">
        <v>23</v>
      </c>
      <c r="C17" s="48">
        <v>1</v>
      </c>
      <c r="D17" s="48">
        <v>10</v>
      </c>
      <c r="E17" s="48">
        <v>33</v>
      </c>
      <c r="F17" s="48"/>
      <c r="G17" s="48"/>
      <c r="H17" s="50" t="str">
        <f>IF($B17="","",IF($J17="X",B17,CONCATENATE(VLOOKUP(B17,Competitors!$A$2:$I$650,3,FALSE)," ",VLOOKUP(B17,Competitors!$A$2:$I$650,2,FALSE))))</f>
        <v>Chris Hyde</v>
      </c>
      <c r="I17" s="51">
        <f t="shared" si="0"/>
        <v>4.8993055555555554E-2</v>
      </c>
      <c r="J17" t="str">
        <f t="shared" si="1"/>
        <v/>
      </c>
    </row>
    <row r="18" spans="1:10" ht="15">
      <c r="A18" s="56" t="s">
        <v>514</v>
      </c>
      <c r="B18" s="47" t="s">
        <v>559</v>
      </c>
      <c r="C18" s="48">
        <v>1</v>
      </c>
      <c r="D18" s="48">
        <v>8</v>
      </c>
      <c r="E18" s="48">
        <v>32</v>
      </c>
      <c r="F18" s="48"/>
      <c r="G18" s="48"/>
      <c r="H18" s="50" t="str">
        <f>IF($B18="","",IF($J18="X",B18,CONCATENATE(VLOOKUP(B18,Competitors!$A$2:$I$650,3,FALSE)," ",VLOOKUP(B18,Competitors!$A$2:$I$650,2,FALSE))))</f>
        <v>Steve Pearce (Ratae)</v>
      </c>
      <c r="I18" s="51">
        <f t="shared" si="0"/>
        <v>4.7592592592592596E-2</v>
      </c>
      <c r="J18" t="str">
        <f t="shared" si="1"/>
        <v>X</v>
      </c>
    </row>
    <row r="19" spans="1:10" ht="15">
      <c r="A19" s="56" t="s">
        <v>430</v>
      </c>
      <c r="B19" s="47">
        <v>616</v>
      </c>
      <c r="C19" s="48">
        <v>1</v>
      </c>
      <c r="D19" s="48">
        <v>11</v>
      </c>
      <c r="E19" s="48">
        <v>12</v>
      </c>
      <c r="F19" s="48"/>
      <c r="G19" s="48"/>
      <c r="H19" s="50" t="str">
        <f>IF($B19="","",IF($J19="X",B19,CONCATENATE(VLOOKUP(B19,Competitors!$A$2:$I$650,3,FALSE)," ",VLOOKUP(B19,Competitors!$A$2:$I$650,2,FALSE))))</f>
        <v>Simon Ward</v>
      </c>
      <c r="I19" s="51">
        <f t="shared" si="0"/>
        <v>4.9444444444444444E-2</v>
      </c>
      <c r="J19" t="str">
        <f t="shared" si="1"/>
        <v/>
      </c>
    </row>
    <row r="20" spans="1:10" ht="15">
      <c r="A20" s="56" t="s">
        <v>458</v>
      </c>
      <c r="B20" s="47">
        <v>715</v>
      </c>
      <c r="C20" s="48">
        <v>1</v>
      </c>
      <c r="D20" s="48">
        <v>12</v>
      </c>
      <c r="E20" s="48">
        <v>19</v>
      </c>
      <c r="F20" s="48"/>
      <c r="G20" s="48"/>
      <c r="H20" s="50" t="str">
        <f>IF($B20="","",IF($J20="X",B20,CONCATENATE(VLOOKUP(B20,Competitors!$A$2:$I$650,3,FALSE)," ",VLOOKUP(B20,Competitors!$A$2:$I$650,2,FALSE))))</f>
        <v>Steven Coulam</v>
      </c>
      <c r="I20" s="51">
        <f t="shared" si="0"/>
        <v>5.0219907407407408E-2</v>
      </c>
      <c r="J20" t="str">
        <f t="shared" si="1"/>
        <v/>
      </c>
    </row>
    <row r="21" spans="1:10" ht="15">
      <c r="A21" s="56" t="s">
        <v>411</v>
      </c>
      <c r="B21" s="47">
        <v>407</v>
      </c>
      <c r="C21" s="48">
        <v>0</v>
      </c>
      <c r="D21" s="48">
        <v>57</v>
      </c>
      <c r="E21" s="48">
        <v>21</v>
      </c>
      <c r="F21" s="48"/>
      <c r="G21" s="48"/>
      <c r="H21" s="50" t="str">
        <f>IF($B21="","",IF($J21="X",B21,CONCATENATE(VLOOKUP(B21,Competitors!$A$2:$I$650,3,FALSE)," ",VLOOKUP(B21,Competitors!$A$2:$I$650,2,FALSE))))</f>
        <v>Hans van Nierop</v>
      </c>
      <c r="I21" s="51">
        <f t="shared" si="0"/>
        <v>3.982638888888889E-2</v>
      </c>
      <c r="J21" t="str">
        <f t="shared" si="1"/>
        <v/>
      </c>
    </row>
    <row r="22" spans="1:10" ht="15">
      <c r="A22" s="56" t="s">
        <v>456</v>
      </c>
      <c r="B22" s="47">
        <v>967</v>
      </c>
      <c r="C22" s="48"/>
      <c r="D22" s="48"/>
      <c r="E22" s="48"/>
      <c r="F22" s="48" t="s">
        <v>544</v>
      </c>
      <c r="G22" s="48" t="s">
        <v>553</v>
      </c>
      <c r="H22" s="50" t="str">
        <f>IF($B22="","",IF($J22="X",B22,CONCATENATE(VLOOKUP(B22,Competitors!$A$2:$I$650,3,FALSE)," ",VLOOKUP(B22,Competitors!$A$2:$I$650,2,FALSE))))</f>
        <v>Daniel McDonnell</v>
      </c>
      <c r="I22" s="51">
        <f t="shared" si="0"/>
        <v>0</v>
      </c>
      <c r="J22" t="str">
        <f t="shared" si="1"/>
        <v/>
      </c>
    </row>
    <row r="23" spans="1:10" ht="15">
      <c r="A23" s="56" t="s">
        <v>432</v>
      </c>
      <c r="B23" s="47">
        <v>1112</v>
      </c>
      <c r="C23" s="48">
        <v>1</v>
      </c>
      <c r="D23" s="48">
        <v>7</v>
      </c>
      <c r="E23" s="48">
        <v>7</v>
      </c>
      <c r="F23" s="48"/>
      <c r="G23" s="48"/>
      <c r="H23" s="50" t="str">
        <f>IF($B23="","",IF($J23="X",B23,CONCATENATE(VLOOKUP(B23,Competitors!$A$2:$I$650,3,FALSE)," ",VLOOKUP(B23,Competitors!$A$2:$I$650,2,FALSE))))</f>
        <v>Gary Ashwell</v>
      </c>
      <c r="I23" s="51">
        <f t="shared" si="0"/>
        <v>4.6608796296296294E-2</v>
      </c>
      <c r="J23" t="str">
        <f t="shared" si="1"/>
        <v/>
      </c>
    </row>
    <row r="24" spans="1:10" ht="15">
      <c r="A24" s="56" t="s">
        <v>412</v>
      </c>
      <c r="B24" s="47">
        <v>1144</v>
      </c>
      <c r="C24" s="48">
        <v>1</v>
      </c>
      <c r="D24" s="48">
        <v>1</v>
      </c>
      <c r="E24" s="48">
        <v>27</v>
      </c>
      <c r="F24" s="48" t="s">
        <v>544</v>
      </c>
      <c r="G24" s="48"/>
      <c r="H24" s="50" t="str">
        <f>IF($B24="","",IF($J24="X",B24,CONCATENATE(VLOOKUP(B24,Competitors!$A$2:$I$650,3,FALSE)," ",VLOOKUP(B24,Competitors!$A$2:$I$650,2,FALSE))))</f>
        <v>Jamie Kershaw</v>
      </c>
      <c r="I24" s="51">
        <f t="shared" si="0"/>
        <v>4.2673611111111114E-2</v>
      </c>
      <c r="J24" t="str">
        <f t="shared" si="1"/>
        <v/>
      </c>
    </row>
    <row r="25" spans="1:10" ht="15">
      <c r="A25" s="56" t="s">
        <v>421</v>
      </c>
      <c r="B25" s="47">
        <v>415</v>
      </c>
      <c r="C25" s="48">
        <v>1</v>
      </c>
      <c r="D25" s="48">
        <v>4</v>
      </c>
      <c r="E25" s="48">
        <v>18</v>
      </c>
      <c r="F25" s="48" t="s">
        <v>544</v>
      </c>
      <c r="G25" s="48"/>
      <c r="H25" s="50" t="str">
        <f>IF($B25="","",IF($J25="X",B25,CONCATENATE(VLOOKUP(B25,Competitors!$A$2:$I$650,3,FALSE)," ",VLOOKUP(B25,Competitors!$A$2:$I$650,2,FALSE))))</f>
        <v>Nik Kershaw</v>
      </c>
      <c r="I25" s="51">
        <f t="shared" si="0"/>
        <v>4.4652777777777777E-2</v>
      </c>
      <c r="J25" t="str">
        <f t="shared" si="1"/>
        <v/>
      </c>
    </row>
    <row r="26" spans="1:10" ht="15">
      <c r="A26" s="56" t="s">
        <v>415</v>
      </c>
      <c r="B26" s="47">
        <v>1161</v>
      </c>
      <c r="C26" s="48">
        <v>1</v>
      </c>
      <c r="D26" s="48">
        <v>1</v>
      </c>
      <c r="E26" s="48">
        <v>1</v>
      </c>
      <c r="F26" s="48"/>
      <c r="G26" s="48"/>
      <c r="H26" s="50" t="str">
        <f>IF($B26="","",IF($J26="X",B26,CONCATENATE(VLOOKUP(B26,Competitors!$A$2:$I$650,3,FALSE)," ",VLOOKUP(B26,Competitors!$A$2:$I$650,2,FALSE))))</f>
        <v>Maciej Suchocki</v>
      </c>
      <c r="I26" s="51">
        <f t="shared" si="0"/>
        <v>4.2372685185185187E-2</v>
      </c>
      <c r="J26" t="str">
        <f t="shared" si="1"/>
        <v/>
      </c>
    </row>
    <row r="27" spans="1:10" ht="15">
      <c r="A27" s="56" t="s">
        <v>426</v>
      </c>
      <c r="B27" s="47">
        <v>1055</v>
      </c>
      <c r="C27" s="48">
        <v>1</v>
      </c>
      <c r="D27" s="48">
        <v>5</v>
      </c>
      <c r="E27" s="48">
        <v>17</v>
      </c>
      <c r="F27" s="48"/>
      <c r="G27" s="48"/>
      <c r="H27" s="50" t="str">
        <f>IF($B27="","",IF($J27="X",B27,CONCATENATE(VLOOKUP(B27,Competitors!$A$2:$I$650,3,FALSE)," ",VLOOKUP(B27,Competitors!$A$2:$I$650,2,FALSE))))</f>
        <v>Austin Smith</v>
      </c>
      <c r="I27" s="51">
        <f t="shared" si="0"/>
        <v>4.5335648148148146E-2</v>
      </c>
      <c r="J27" t="str">
        <f t="shared" si="1"/>
        <v/>
      </c>
    </row>
    <row r="28" spans="1:10" ht="15">
      <c r="A28" s="56" t="s">
        <v>414</v>
      </c>
      <c r="B28" s="47">
        <v>699</v>
      </c>
      <c r="C28" s="48">
        <v>1</v>
      </c>
      <c r="D28" s="48">
        <v>1</v>
      </c>
      <c r="E28" s="48">
        <v>3</v>
      </c>
      <c r="F28" s="48"/>
      <c r="G28" s="48"/>
      <c r="H28" s="50" t="str">
        <f>IF($B28="","",IF($J28="X",B28,CONCATENATE(VLOOKUP(B28,Competitors!$A$2:$I$650,3,FALSE)," ",VLOOKUP(B28,Competitors!$A$2:$I$650,2,FALSE))))</f>
        <v>Jonathan Durnin</v>
      </c>
      <c r="I28" s="51">
        <f t="shared" si="0"/>
        <v>4.2395833333333334E-2</v>
      </c>
      <c r="J28" t="str">
        <f t="shared" si="1"/>
        <v/>
      </c>
    </row>
    <row r="29" spans="1:10" ht="15">
      <c r="A29" s="56" t="s">
        <v>435</v>
      </c>
      <c r="B29" s="47">
        <v>846</v>
      </c>
      <c r="C29" s="48">
        <v>1</v>
      </c>
      <c r="D29" s="48">
        <v>8</v>
      </c>
      <c r="E29" s="48">
        <v>3</v>
      </c>
      <c r="F29" s="48"/>
      <c r="G29" s="48"/>
      <c r="H29" s="50" t="str">
        <f>IF($B29="","",IF($J29="X",B29,CONCATENATE(VLOOKUP(B29,Competitors!$A$2:$I$650,3,FALSE)," ",VLOOKUP(B29,Competitors!$A$2:$I$650,2,FALSE))))</f>
        <v>Roger Kockelbergh</v>
      </c>
      <c r="I29" s="51">
        <f t="shared" si="0"/>
        <v>4.7256944444444442E-2</v>
      </c>
      <c r="J29" t="str">
        <f t="shared" si="1"/>
        <v/>
      </c>
    </row>
    <row r="30" spans="1:10" ht="15">
      <c r="A30" s="46" t="s">
        <v>571</v>
      </c>
      <c r="B30" s="47" t="s">
        <v>571</v>
      </c>
      <c r="C30" s="48">
        <v>1</v>
      </c>
      <c r="D30" s="48">
        <v>10</v>
      </c>
      <c r="E30" s="48">
        <v>40</v>
      </c>
      <c r="F30" s="48"/>
      <c r="G30" s="48"/>
      <c r="H30" s="50" t="str">
        <f>IF($B30="","",IF($J30="X",B30,CONCATENATE(VLOOKUP(B30,Competitors!$A$2:$I$650,3,FALSE)," ",VLOOKUP(B30,Competitors!$A$2:$I$650,2,FALSE))))</f>
        <v>Linda Thomas</v>
      </c>
      <c r="I30" s="51">
        <f t="shared" si="0"/>
        <v>4.9074074074074076E-2</v>
      </c>
      <c r="J30" t="str">
        <f t="shared" si="1"/>
        <v>X</v>
      </c>
    </row>
    <row r="31" spans="1:10" ht="15">
      <c r="A31" s="46" t="s">
        <v>527</v>
      </c>
      <c r="B31" s="47" t="s">
        <v>558</v>
      </c>
      <c r="C31" s="48">
        <v>1</v>
      </c>
      <c r="D31" s="48">
        <v>1</v>
      </c>
      <c r="E31" s="48">
        <v>41</v>
      </c>
      <c r="F31" s="48"/>
      <c r="G31" s="48"/>
      <c r="H31" s="50" t="str">
        <f>IF($B31="","",IF($J31="X",B31,CONCATENATE(VLOOKUP(B31,Competitors!$A$2:$I$650,3,FALSE)," ",VLOOKUP(B31,Competitors!$A$2:$I$650,2,FALSE))))</f>
        <v>Phil Wilkinson (RFW)</v>
      </c>
      <c r="I31" s="51">
        <f t="shared" si="0"/>
        <v>4.283564814814815E-2</v>
      </c>
      <c r="J31" t="str">
        <f t="shared" si="1"/>
        <v>X</v>
      </c>
    </row>
    <row r="32" spans="1:10" ht="15">
      <c r="A32" s="46" t="s">
        <v>410</v>
      </c>
      <c r="B32" s="47">
        <v>747</v>
      </c>
      <c r="C32" s="48"/>
      <c r="D32" s="48">
        <v>58</v>
      </c>
      <c r="E32" s="48">
        <v>0</v>
      </c>
      <c r="F32" s="48"/>
      <c r="G32" s="48"/>
      <c r="H32" s="50" t="str">
        <f>IF($B32="","",IF($J32="X",B32,CONCATENATE(VLOOKUP(B32,Competitors!$A$2:$I$650,3,FALSE)," ",VLOOKUP(B32,Competitors!$A$2:$I$650,2,FALSE))))</f>
        <v>James Moore</v>
      </c>
      <c r="I32" s="51">
        <f t="shared" si="0"/>
        <v>4.027777777777778E-2</v>
      </c>
      <c r="J32" t="str">
        <f t="shared" si="1"/>
        <v/>
      </c>
    </row>
    <row r="33" spans="1:10" ht="15">
      <c r="A33" s="46"/>
      <c r="B33" s="47" t="str">
        <f>IF(A33="","",_xlfn.XLOOKUP(A33,ClubNames,ClubNumbers,_xlfn.XLOOKUP(A33,RoundRobinRiderNames,RoundRobinRiderDecoratedNames,A33)))</f>
        <v/>
      </c>
      <c r="C33" s="48"/>
      <c r="D33" s="48"/>
      <c r="E33" s="48"/>
      <c r="F33" s="48"/>
      <c r="G33" s="48"/>
      <c r="H33" s="50" t="str">
        <f>IF($B33="","",IF($J33="X",B33,CONCATENATE(VLOOKUP(B33,Competitors!$A$2:$I$650,3,FALSE)," ",VLOOKUP(B33,Competitors!$A$2:$I$650,2,FALSE))))</f>
        <v/>
      </c>
      <c r="I33" s="51">
        <f t="shared" si="0"/>
        <v>0</v>
      </c>
      <c r="J33" t="str">
        <f t="shared" si="1"/>
        <v/>
      </c>
    </row>
    <row r="34" spans="1:10" ht="15">
      <c r="A34" s="46"/>
      <c r="B34" s="47" t="str">
        <f t="shared" ref="B34:B97" si="2">IF(A34="","",_xlfn.XLOOKUP(A34,ClubNames,ClubNumbers,_xlfn.XLOOKUP(A34,RoundRobinRiderNames,RoundRobinRiderDecoratedNames,A34)))</f>
        <v/>
      </c>
      <c r="C34" s="48"/>
      <c r="D34" s="48"/>
      <c r="E34" s="48"/>
      <c r="F34" s="48"/>
      <c r="G34" s="48"/>
      <c r="H34" s="50" t="str">
        <f>IF($B34="","",IF($J34="X",B34,CONCATENATE(VLOOKUP(B34,Competitors!$A$2:$I$650,3,FALSE)," ",VLOOKUP(B34,Competitors!$A$2:$I$650,2,FALSE))))</f>
        <v/>
      </c>
      <c r="I34" s="51">
        <f t="shared" si="0"/>
        <v>0</v>
      </c>
      <c r="J34" t="str">
        <f t="shared" si="1"/>
        <v/>
      </c>
    </row>
    <row r="35" spans="1:10" ht="15">
      <c r="A35" s="46"/>
      <c r="B35" s="47" t="str">
        <f t="shared" si="2"/>
        <v/>
      </c>
      <c r="C35" s="48"/>
      <c r="D35" s="48"/>
      <c r="E35" s="48"/>
      <c r="F35" s="48"/>
      <c r="G35" s="48"/>
      <c r="H35" s="50" t="str">
        <f>IF($B35="","",IF($J35="X",B35,CONCATENATE(VLOOKUP(B35,Competitors!$A$2:$I$650,3,FALSE)," ",VLOOKUP(B35,Competitors!$A$2:$I$650,2,FALSE))))</f>
        <v/>
      </c>
      <c r="I35" s="51">
        <f t="shared" si="0"/>
        <v>0</v>
      </c>
      <c r="J35" t="str">
        <f t="shared" si="1"/>
        <v/>
      </c>
    </row>
    <row r="36" spans="1:10" ht="15">
      <c r="A36" s="46"/>
      <c r="B36" s="47" t="str">
        <f t="shared" si="2"/>
        <v/>
      </c>
      <c r="C36" s="48"/>
      <c r="D36" s="48"/>
      <c r="E36" s="48"/>
      <c r="F36" s="48"/>
      <c r="G36" s="48"/>
      <c r="H36" s="50" t="str">
        <f>IF($B36="","",IF($J36="X",B36,CONCATENATE(VLOOKUP(B36,Competitors!$A$2:$I$650,3,FALSE)," ",VLOOKUP(B36,Competitors!$A$2:$I$650,2,FALSE))))</f>
        <v/>
      </c>
      <c r="I36" s="51">
        <f t="shared" si="0"/>
        <v>0</v>
      </c>
      <c r="J36" t="str">
        <f t="shared" si="1"/>
        <v/>
      </c>
    </row>
    <row r="37" spans="1:10" ht="15">
      <c r="A37" s="46"/>
      <c r="B37" s="47" t="str">
        <f t="shared" si="2"/>
        <v/>
      </c>
      <c r="C37" s="48"/>
      <c r="D37" s="48"/>
      <c r="E37" s="48"/>
      <c r="F37" s="48"/>
      <c r="G37" s="48"/>
      <c r="H37" s="50" t="str">
        <f>IF($B37="","",IF($J37="X",B37,CONCATENATE(VLOOKUP(B37,Competitors!$A$2:$I$650,3,FALSE)," ",VLOOKUP(B37,Competitors!$A$2:$I$650,2,FALSE))))</f>
        <v/>
      </c>
      <c r="I37" s="51">
        <f t="shared" si="0"/>
        <v>0</v>
      </c>
      <c r="J37" t="str">
        <f t="shared" si="1"/>
        <v/>
      </c>
    </row>
    <row r="38" spans="1:10" ht="15">
      <c r="A38" s="46"/>
      <c r="B38" s="47" t="str">
        <f t="shared" si="2"/>
        <v/>
      </c>
      <c r="C38" s="48"/>
      <c r="D38" s="48"/>
      <c r="E38" s="48"/>
      <c r="F38" s="48"/>
      <c r="G38" s="48"/>
      <c r="H38" s="50" t="str">
        <f>IF($B38="","",IF($J38="X",B38,CONCATENATE(VLOOKUP(B38,Competitors!$A$2:$I$650,3,FALSE)," ",VLOOKUP(B38,Competitors!$A$2:$I$650,2,FALSE))))</f>
        <v/>
      </c>
      <c r="I38" s="51">
        <f t="shared" si="0"/>
        <v>0</v>
      </c>
      <c r="J38" t="str">
        <f t="shared" si="1"/>
        <v/>
      </c>
    </row>
    <row r="39" spans="1:10" ht="15">
      <c r="A39" s="46"/>
      <c r="B39" s="47" t="str">
        <f t="shared" si="2"/>
        <v/>
      </c>
      <c r="C39" s="48"/>
      <c r="D39" s="48"/>
      <c r="E39" s="48"/>
      <c r="F39" s="48"/>
      <c r="G39" s="48"/>
      <c r="H39" s="50" t="str">
        <f>IF($B39="","",IF($J39="X",B39,CONCATENATE(VLOOKUP(B39,Competitors!$A$2:$I$650,3,FALSE)," ",VLOOKUP(B39,Competitors!$A$2:$I$650,2,FALSE))))</f>
        <v/>
      </c>
      <c r="I39" s="51">
        <f t="shared" si="0"/>
        <v>0</v>
      </c>
      <c r="J39" t="str">
        <f t="shared" si="1"/>
        <v/>
      </c>
    </row>
    <row r="40" spans="1:10" ht="15">
      <c r="A40" s="46"/>
      <c r="B40" s="47" t="str">
        <f t="shared" si="2"/>
        <v/>
      </c>
      <c r="C40" s="48"/>
      <c r="D40" s="48"/>
      <c r="E40" s="48"/>
      <c r="F40" s="48"/>
      <c r="G40" s="48"/>
      <c r="H40" s="50" t="str">
        <f>IF($B40="","",IF($J40="X",B40,CONCATENATE(VLOOKUP(B40,Competitors!$A$2:$I$650,3,FALSE)," ",VLOOKUP(B40,Competitors!$A$2:$I$650,2,FALSE))))</f>
        <v/>
      </c>
      <c r="I40" s="51">
        <f t="shared" si="0"/>
        <v>0</v>
      </c>
      <c r="J40" t="str">
        <f t="shared" si="1"/>
        <v/>
      </c>
    </row>
    <row r="41" spans="1:10" ht="15">
      <c r="A41" s="46"/>
      <c r="B41" s="47" t="str">
        <f t="shared" si="2"/>
        <v/>
      </c>
      <c r="C41" s="48"/>
      <c r="D41" s="48"/>
      <c r="E41" s="48"/>
      <c r="F41" s="48"/>
      <c r="G41" s="48"/>
      <c r="H41" s="50" t="str">
        <f>IF($B41="","",IF($J41="X",B41,CONCATENATE(VLOOKUP(B41,Competitors!$A$2:$I$650,3,FALSE)," ",VLOOKUP(B41,Competitors!$A$2:$I$650,2,FALSE))))</f>
        <v/>
      </c>
      <c r="I41" s="51">
        <f t="shared" si="0"/>
        <v>0</v>
      </c>
      <c r="J41" t="str">
        <f t="shared" si="1"/>
        <v/>
      </c>
    </row>
    <row r="42" spans="1:10" ht="15">
      <c r="A42" s="46"/>
      <c r="B42" s="47" t="str">
        <f t="shared" si="2"/>
        <v/>
      </c>
      <c r="C42" s="48"/>
      <c r="D42" s="48"/>
      <c r="E42" s="48"/>
      <c r="F42" s="48"/>
      <c r="G42" s="48"/>
      <c r="H42" s="50" t="str">
        <f>IF($B42="","",IF($J42="X",B42,CONCATENATE(VLOOKUP(B42,Competitors!$A$2:$I$650,3,FALSE)," ",VLOOKUP(B42,Competitors!$A$2:$I$650,2,FALSE))))</f>
        <v/>
      </c>
      <c r="I42" s="51">
        <f t="shared" si="0"/>
        <v>0</v>
      </c>
      <c r="J42" t="str">
        <f t="shared" si="1"/>
        <v/>
      </c>
    </row>
    <row r="43" spans="1:10" ht="15">
      <c r="A43" s="46"/>
      <c r="B43" s="47" t="str">
        <f t="shared" si="2"/>
        <v/>
      </c>
      <c r="C43" s="48"/>
      <c r="D43" s="48"/>
      <c r="E43" s="48"/>
      <c r="F43" s="48"/>
      <c r="G43" s="48"/>
      <c r="H43" s="50" t="str">
        <f>IF($B43="","",IF($J43="X",B43,CONCATENATE(VLOOKUP(B43,Competitors!$A$2:$I$650,3,FALSE)," ",VLOOKUP(B43,Competitors!$A$2:$I$650,2,FALSE))))</f>
        <v/>
      </c>
      <c r="I43" s="51">
        <f t="shared" si="0"/>
        <v>0</v>
      </c>
      <c r="J43" t="str">
        <f t="shared" si="1"/>
        <v/>
      </c>
    </row>
    <row r="44" spans="1:10" ht="15">
      <c r="A44" s="46"/>
      <c r="B44" s="47" t="str">
        <f t="shared" si="2"/>
        <v/>
      </c>
      <c r="C44" s="48"/>
      <c r="D44" s="48"/>
      <c r="E44" s="48"/>
      <c r="F44" s="48"/>
      <c r="G44" s="48"/>
      <c r="H44" s="50" t="str">
        <f>IF($B44="","",IF($J44="X",B44,CONCATENATE(VLOOKUP(B44,Competitors!$A$2:$I$650,3,FALSE)," ",VLOOKUP(B44,Competitors!$A$2:$I$650,2,FALSE))))</f>
        <v/>
      </c>
      <c r="I44" s="51">
        <f t="shared" si="0"/>
        <v>0</v>
      </c>
      <c r="J44" t="str">
        <f t="shared" si="1"/>
        <v/>
      </c>
    </row>
    <row r="45" spans="1:10" ht="15">
      <c r="A45" s="46"/>
      <c r="B45" s="47" t="str">
        <f t="shared" si="2"/>
        <v/>
      </c>
      <c r="C45" s="48"/>
      <c r="D45" s="48"/>
      <c r="E45" s="48"/>
      <c r="F45" s="48"/>
      <c r="G45" s="48"/>
      <c r="H45" s="50" t="str">
        <f>IF($B45="","",IF($J45="X",B45,CONCATENATE(VLOOKUP(B45,Competitors!$A$2:$I$650,3,FALSE)," ",VLOOKUP(B45,Competitors!$A$2:$I$650,2,FALSE))))</f>
        <v/>
      </c>
      <c r="I45" s="51">
        <f t="shared" si="0"/>
        <v>0</v>
      </c>
      <c r="J45" t="str">
        <f t="shared" si="1"/>
        <v/>
      </c>
    </row>
    <row r="46" spans="1:10" ht="15">
      <c r="A46" s="46"/>
      <c r="B46" s="47" t="str">
        <f t="shared" si="2"/>
        <v/>
      </c>
      <c r="C46" s="48"/>
      <c r="D46" s="48"/>
      <c r="E46" s="48"/>
      <c r="F46" s="48"/>
      <c r="G46" s="48"/>
      <c r="H46" s="50" t="str">
        <f>IF($B46="","",IF($J46="X",B46,CONCATENATE(VLOOKUP(B46,Competitors!$A$2:$I$650,3,FALSE)," ",VLOOKUP(B46,Competitors!$A$2:$I$650,2,FALSE))))</f>
        <v/>
      </c>
      <c r="I46" s="51">
        <f t="shared" si="0"/>
        <v>0</v>
      </c>
      <c r="J46" t="str">
        <f t="shared" si="1"/>
        <v/>
      </c>
    </row>
    <row r="47" spans="1:10" ht="15">
      <c r="A47" s="46"/>
      <c r="B47" s="47" t="str">
        <f t="shared" si="2"/>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47" t="str">
        <f t="shared" si="2"/>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47" t="str">
        <f t="shared" si="2"/>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47" t="str">
        <f t="shared" si="2"/>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47" t="str">
        <f t="shared" si="2"/>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47" t="str">
        <f t="shared" si="2"/>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47" t="str">
        <f t="shared" si="2"/>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47" t="str">
        <f t="shared" si="2"/>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47" t="str">
        <f t="shared" si="2"/>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2"/>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2"/>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2"/>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2"/>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2"/>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2"/>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2"/>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2"/>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2"/>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2"/>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2"/>
        <v/>
      </c>
      <c r="C66" s="48"/>
      <c r="D66" s="48"/>
      <c r="E66" s="48"/>
      <c r="F66" s="48"/>
      <c r="G66" s="48"/>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47" t="str">
        <f t="shared" si="2"/>
        <v/>
      </c>
      <c r="C67" s="48"/>
      <c r="D67" s="48"/>
      <c r="E67" s="48"/>
      <c r="F67" s="48"/>
      <c r="G67" s="48"/>
      <c r="H67" s="50" t="str">
        <f>IF($B67="","",IF($J67="X",B67,CONCATENATE(VLOOKUP(B67,Competitors!$A$2:$I$650,3,FALSE)," ",VLOOKUP(B67,Competitors!$A$2:$I$650,2,FALSE))))</f>
        <v/>
      </c>
      <c r="I67" s="51">
        <f t="shared" si="3"/>
        <v>0</v>
      </c>
      <c r="J67" t="str">
        <f t="shared" si="4"/>
        <v/>
      </c>
    </row>
    <row r="68" spans="1:10" ht="15">
      <c r="A68" s="46"/>
      <c r="B68" s="47" t="str">
        <f t="shared" si="2"/>
        <v/>
      </c>
      <c r="C68" s="48"/>
      <c r="D68" s="48"/>
      <c r="E68" s="48"/>
      <c r="F68" s="48"/>
      <c r="G68" s="48"/>
      <c r="H68" s="50" t="str">
        <f>IF($B68="","",IF($J68="X",B68,CONCATENATE(VLOOKUP(B68,Competitors!$A$2:$I$650,3,FALSE)," ",VLOOKUP(B68,Competitors!$A$2:$I$650,2,FALSE))))</f>
        <v/>
      </c>
      <c r="I68" s="51">
        <f t="shared" si="3"/>
        <v>0</v>
      </c>
      <c r="J68" t="str">
        <f t="shared" si="4"/>
        <v/>
      </c>
    </row>
    <row r="69" spans="1:10" ht="15">
      <c r="A69" s="46"/>
      <c r="B69" s="47" t="str">
        <f t="shared" si="2"/>
        <v/>
      </c>
      <c r="C69" s="48"/>
      <c r="D69" s="48"/>
      <c r="E69" s="48"/>
      <c r="F69" s="48"/>
      <c r="G69" s="48"/>
      <c r="H69" s="50" t="str">
        <f>IF($B69="","",IF($J69="X",B69,CONCATENATE(VLOOKUP(B69,Competitors!$A$2:$I$650,3,FALSE)," ",VLOOKUP(B69,Competitors!$A$2:$I$650,2,FALSE))))</f>
        <v/>
      </c>
      <c r="I69" s="51">
        <f t="shared" si="3"/>
        <v>0</v>
      </c>
      <c r="J69" t="str">
        <f t="shared" si="4"/>
        <v/>
      </c>
    </row>
    <row r="70" spans="1:10" ht="15">
      <c r="A70" s="46"/>
      <c r="B70" s="47" t="str">
        <f t="shared" si="2"/>
        <v/>
      </c>
      <c r="C70" s="48"/>
      <c r="D70" s="48"/>
      <c r="E70" s="48"/>
      <c r="F70" s="48"/>
      <c r="G70" s="48"/>
      <c r="H70" s="50" t="str">
        <f>IF($B70="","",IF($J70="X",B70,CONCATENATE(VLOOKUP(B70,Competitors!$A$2:$I$650,3,FALSE)," ",VLOOKUP(B70,Competitors!$A$2:$I$650,2,FALSE))))</f>
        <v/>
      </c>
      <c r="I70" s="51">
        <f t="shared" si="3"/>
        <v>0</v>
      </c>
      <c r="J70" t="str">
        <f t="shared" si="4"/>
        <v/>
      </c>
    </row>
    <row r="71" spans="1:10" ht="15">
      <c r="A71" s="46"/>
      <c r="B71" s="47" t="str">
        <f t="shared" si="2"/>
        <v/>
      </c>
      <c r="C71" s="48"/>
      <c r="D71" s="48"/>
      <c r="E71" s="48"/>
      <c r="F71" s="48"/>
      <c r="G71" s="48"/>
      <c r="H71" s="50" t="str">
        <f>IF($B71="","",IF($J71="X",B71,CONCATENATE(VLOOKUP(B71,Competitors!$A$2:$I$650,3,FALSE)," ",VLOOKUP(B71,Competitors!$A$2:$I$650,2,FALSE))))</f>
        <v/>
      </c>
      <c r="I71" s="51">
        <f t="shared" si="3"/>
        <v>0</v>
      </c>
      <c r="J71" t="str">
        <f t="shared" si="4"/>
        <v/>
      </c>
    </row>
    <row r="72" spans="1:10" ht="15">
      <c r="A72" s="46"/>
      <c r="B72" s="47" t="str">
        <f t="shared" si="2"/>
        <v/>
      </c>
      <c r="C72" s="48"/>
      <c r="D72" s="48"/>
      <c r="E72" s="48"/>
      <c r="F72" s="48"/>
      <c r="G72" s="48"/>
      <c r="H72" s="50" t="str">
        <f>IF($B72="","",IF($J72="X",B72,CONCATENATE(VLOOKUP(B72,Competitors!$A$2:$I$650,3,FALSE)," ",VLOOKUP(B72,Competitors!$A$2:$I$650,2,FALSE))))</f>
        <v/>
      </c>
      <c r="I72" s="51">
        <f t="shared" si="3"/>
        <v>0</v>
      </c>
      <c r="J72" t="str">
        <f t="shared" si="4"/>
        <v/>
      </c>
    </row>
    <row r="73" spans="1:10" ht="15">
      <c r="A73" s="46"/>
      <c r="B73" s="47" t="str">
        <f t="shared" si="2"/>
        <v/>
      </c>
      <c r="C73" s="48"/>
      <c r="D73" s="48"/>
      <c r="E73" s="48"/>
      <c r="F73" s="48"/>
      <c r="G73" s="48"/>
      <c r="H73" s="50" t="str">
        <f>IF($B73="","",IF($J73="X",B73,CONCATENATE(VLOOKUP(B73,Competitors!$A$2:$I$650,3,FALSE)," ",VLOOKUP(B73,Competitors!$A$2:$I$650,2,FALSE))))</f>
        <v/>
      </c>
      <c r="I73" s="51">
        <f t="shared" si="3"/>
        <v>0</v>
      </c>
      <c r="J73" t="str">
        <f t="shared" si="4"/>
        <v/>
      </c>
    </row>
    <row r="74" spans="1:10" ht="15">
      <c r="A74" s="46"/>
      <c r="B74" s="47" t="str">
        <f t="shared" si="2"/>
        <v/>
      </c>
      <c r="C74" s="48"/>
      <c r="D74" s="48"/>
      <c r="E74" s="48"/>
      <c r="F74" s="48"/>
      <c r="G74" s="48"/>
      <c r="H74" s="50" t="str">
        <f>IF($B74="","",IF($J74="X",B74,CONCATENATE(VLOOKUP(B74,Competitors!$A$2:$I$650,3,FALSE)," ",VLOOKUP(B74,Competitors!$A$2:$I$650,2,FALSE))))</f>
        <v/>
      </c>
      <c r="I74" s="51">
        <f t="shared" si="3"/>
        <v>0</v>
      </c>
      <c r="J74" t="str">
        <f t="shared" si="4"/>
        <v/>
      </c>
    </row>
    <row r="75" spans="1:10" ht="15">
      <c r="A75" s="46"/>
      <c r="B75" s="47" t="str">
        <f t="shared" si="2"/>
        <v/>
      </c>
      <c r="C75" s="48"/>
      <c r="D75" s="48"/>
      <c r="E75" s="48"/>
      <c r="F75" s="48"/>
      <c r="G75" s="48"/>
      <c r="H75" s="50" t="str">
        <f>IF($B75="","",IF($J75="X",B75,CONCATENATE(VLOOKUP(B75,Competitors!$A$2:$I$650,3,FALSE)," ",VLOOKUP(B75,Competitors!$A$2:$I$650,2,FALSE))))</f>
        <v/>
      </c>
      <c r="I75" s="51">
        <f t="shared" si="3"/>
        <v>0</v>
      </c>
      <c r="J75" t="str">
        <f t="shared" si="4"/>
        <v/>
      </c>
    </row>
    <row r="76" spans="1:10" ht="15">
      <c r="A76" s="46"/>
      <c r="B76" s="47" t="str">
        <f t="shared" si="2"/>
        <v/>
      </c>
      <c r="C76" s="48"/>
      <c r="D76" s="48"/>
      <c r="E76" s="48"/>
      <c r="F76" s="48"/>
      <c r="G76" s="48"/>
      <c r="H76" s="50" t="str">
        <f>IF($B76="","",IF($J76="X",B76,CONCATENATE(VLOOKUP(B76,Competitors!$A$2:$I$650,3,FALSE)," ",VLOOKUP(B76,Competitors!$A$2:$I$650,2,FALSE))))</f>
        <v/>
      </c>
      <c r="I76" s="51">
        <f t="shared" si="3"/>
        <v>0</v>
      </c>
      <c r="J76" t="str">
        <f t="shared" si="4"/>
        <v/>
      </c>
    </row>
    <row r="77" spans="1:10" ht="15">
      <c r="A77" s="46"/>
      <c r="B77" s="47" t="str">
        <f t="shared" si="2"/>
        <v/>
      </c>
      <c r="C77" s="48"/>
      <c r="D77" s="48"/>
      <c r="E77" s="48"/>
      <c r="F77" s="48"/>
      <c r="G77" s="48"/>
      <c r="H77" s="50" t="str">
        <f>IF($B77="","",IF($J77="X",B77,CONCATENATE(VLOOKUP(B77,Competitors!$A$2:$I$650,3,FALSE)," ",VLOOKUP(B77,Competitors!$A$2:$I$650,2,FALSE))))</f>
        <v/>
      </c>
      <c r="I77" s="51">
        <f t="shared" si="3"/>
        <v>0</v>
      </c>
      <c r="J77" t="str">
        <f t="shared" si="4"/>
        <v/>
      </c>
    </row>
    <row r="78" spans="1:10" ht="15">
      <c r="A78" s="46"/>
      <c r="B78" s="47" t="str">
        <f t="shared" si="2"/>
        <v/>
      </c>
      <c r="C78" s="48"/>
      <c r="D78" s="48"/>
      <c r="E78" s="48"/>
      <c r="F78" s="48"/>
      <c r="G78" s="48"/>
      <c r="H78" s="50" t="str">
        <f>IF($B78="","",IF($J78="X",B78,CONCATENATE(VLOOKUP(B78,Competitors!$A$2:$I$650,3,FALSE)," ",VLOOKUP(B78,Competitors!$A$2:$I$650,2,FALSE))))</f>
        <v/>
      </c>
      <c r="I78" s="51">
        <f t="shared" si="3"/>
        <v>0</v>
      </c>
      <c r="J78" t="str">
        <f t="shared" si="4"/>
        <v/>
      </c>
    </row>
    <row r="79" spans="1:10" ht="15">
      <c r="A79" s="46"/>
      <c r="B79" s="47" t="str">
        <f t="shared" si="2"/>
        <v/>
      </c>
      <c r="C79" s="48"/>
      <c r="D79" s="48"/>
      <c r="E79" s="48"/>
      <c r="F79" s="48"/>
      <c r="G79" s="48"/>
      <c r="H79" s="50" t="str">
        <f>IF($B79="","",IF($J79="X",B79,CONCATENATE(VLOOKUP(B79,Competitors!$A$2:$I$650,3,FALSE)," ",VLOOKUP(B79,Competitors!$A$2:$I$650,2,FALSE))))</f>
        <v/>
      </c>
      <c r="I79" s="51">
        <f t="shared" si="3"/>
        <v>0</v>
      </c>
      <c r="J79" t="str">
        <f t="shared" si="4"/>
        <v/>
      </c>
    </row>
    <row r="80" spans="1:10" ht="15">
      <c r="A80" s="46"/>
      <c r="B80" s="47" t="str">
        <f t="shared" si="2"/>
        <v/>
      </c>
      <c r="C80" s="48"/>
      <c r="D80" s="48"/>
      <c r="E80" s="48"/>
      <c r="F80" s="48"/>
      <c r="G80" s="48"/>
      <c r="H80" s="50" t="str">
        <f>IF($B80="","",IF($J80="X",B80,CONCATENATE(VLOOKUP(B80,Competitors!$A$2:$I$650,3,FALSE)," ",VLOOKUP(B80,Competitors!$A$2:$I$650,2,FALSE))))</f>
        <v/>
      </c>
      <c r="I80" s="51">
        <f t="shared" si="3"/>
        <v>0</v>
      </c>
      <c r="J80" t="str">
        <f t="shared" si="4"/>
        <v/>
      </c>
    </row>
    <row r="81" spans="1:10" ht="15">
      <c r="A81" s="46"/>
      <c r="B81" s="47" t="str">
        <f t="shared" si="2"/>
        <v/>
      </c>
      <c r="C81" s="48"/>
      <c r="D81" s="48"/>
      <c r="E81" s="48"/>
      <c r="F81" s="48"/>
      <c r="G81" s="48"/>
      <c r="H81" s="50" t="str">
        <f>IF($B81="","",IF($J81="X",B81,CONCATENATE(VLOOKUP(B81,Competitors!$A$2:$I$650,3,FALSE)," ",VLOOKUP(B81,Competitors!$A$2:$I$650,2,FALSE))))</f>
        <v/>
      </c>
      <c r="I81" s="51">
        <f t="shared" si="3"/>
        <v>0</v>
      </c>
      <c r="J81" t="str">
        <f t="shared" si="4"/>
        <v/>
      </c>
    </row>
    <row r="82" spans="1:10" ht="15">
      <c r="A82" s="46"/>
      <c r="B82" s="47" t="str">
        <f t="shared" si="2"/>
        <v/>
      </c>
      <c r="C82" s="48"/>
      <c r="D82" s="48"/>
      <c r="E82" s="48"/>
      <c r="F82" s="48"/>
      <c r="G82" s="48"/>
      <c r="H82" s="50" t="str">
        <f>IF($B82="","",IF($J82="X",B82,CONCATENATE(VLOOKUP(B82,Competitors!$A$2:$I$650,3,FALSE)," ",VLOOKUP(B82,Competitors!$A$2:$I$650,2,FALSE))))</f>
        <v/>
      </c>
      <c r="I82" s="51">
        <f t="shared" si="3"/>
        <v>0</v>
      </c>
      <c r="J82" t="str">
        <f t="shared" si="4"/>
        <v/>
      </c>
    </row>
    <row r="83" spans="1:10" ht="15">
      <c r="A83" s="46"/>
      <c r="B83" s="47" t="str">
        <f t="shared" si="2"/>
        <v/>
      </c>
      <c r="C83" s="48"/>
      <c r="D83" s="48"/>
      <c r="E83" s="48"/>
      <c r="F83" s="48"/>
      <c r="G83" s="48"/>
      <c r="H83" s="50" t="str">
        <f>IF($B83="","",IF($J83="X",B83,CONCATENATE(VLOOKUP(B83,Competitors!$A$2:$I$650,3,FALSE)," ",VLOOKUP(B83,Competitors!$A$2:$I$650,2,FALSE))))</f>
        <v/>
      </c>
      <c r="I83" s="51">
        <f t="shared" si="3"/>
        <v>0</v>
      </c>
      <c r="J83" t="str">
        <f t="shared" si="4"/>
        <v/>
      </c>
    </row>
    <row r="84" spans="1:10" ht="15">
      <c r="A84" s="46"/>
      <c r="B84" s="47" t="str">
        <f t="shared" si="2"/>
        <v/>
      </c>
      <c r="C84" s="48"/>
      <c r="D84" s="48"/>
      <c r="E84" s="48"/>
      <c r="F84" s="48"/>
      <c r="G84" s="48"/>
      <c r="H84" s="50" t="str">
        <f>IF($B84="","",IF($J84="X",B84,CONCATENATE(VLOOKUP(B84,Competitors!$A$2:$I$650,3,FALSE)," ",VLOOKUP(B84,Competitors!$A$2:$I$650,2,FALSE))))</f>
        <v/>
      </c>
      <c r="I84" s="51">
        <f t="shared" si="3"/>
        <v>0</v>
      </c>
      <c r="J84" t="str">
        <f t="shared" si="4"/>
        <v/>
      </c>
    </row>
    <row r="85" spans="1:10" ht="15">
      <c r="A85" s="46"/>
      <c r="B85" s="47" t="str">
        <f t="shared" si="2"/>
        <v/>
      </c>
      <c r="C85" s="48"/>
      <c r="D85" s="48"/>
      <c r="E85" s="48"/>
      <c r="F85" s="48"/>
      <c r="G85" s="48"/>
      <c r="H85" s="50" t="str">
        <f>IF($B85="","",IF($J85="X",B85,CONCATENATE(VLOOKUP(B85,Competitors!$A$2:$I$650,3,FALSE)," ",VLOOKUP(B85,Competitors!$A$2:$I$650,2,FALSE))))</f>
        <v/>
      </c>
      <c r="I85" s="51">
        <f t="shared" si="3"/>
        <v>0</v>
      </c>
      <c r="J85" t="str">
        <f t="shared" si="4"/>
        <v/>
      </c>
    </row>
    <row r="86" spans="1:10" ht="15">
      <c r="A86" s="46"/>
      <c r="B86" s="47" t="str">
        <f t="shared" si="2"/>
        <v/>
      </c>
      <c r="C86" s="48"/>
      <c r="D86" s="48"/>
      <c r="E86" s="48"/>
      <c r="F86" s="48"/>
      <c r="G86" s="48"/>
      <c r="H86" s="50" t="str">
        <f>IF($B86="","",IF($J86="X",B86,CONCATENATE(VLOOKUP(B86,Competitors!$A$2:$I$650,3,FALSE)," ",VLOOKUP(B86,Competitors!$A$2:$I$650,2,FALSE))))</f>
        <v/>
      </c>
      <c r="I86" s="51">
        <f t="shared" si="3"/>
        <v>0</v>
      </c>
      <c r="J86" t="str">
        <f t="shared" si="4"/>
        <v/>
      </c>
    </row>
    <row r="87" spans="1:10" ht="15">
      <c r="A87" s="46"/>
      <c r="B87" s="47" t="str">
        <f t="shared" si="2"/>
        <v/>
      </c>
      <c r="C87" s="48"/>
      <c r="D87" s="48"/>
      <c r="E87" s="48"/>
      <c r="F87" s="48"/>
      <c r="G87" s="48"/>
      <c r="H87" s="50" t="str">
        <f>IF($B87="","",IF($J87="X",B87,CONCATENATE(VLOOKUP(B87,Competitors!$A$2:$I$650,3,FALSE)," ",VLOOKUP(B87,Competitors!$A$2:$I$650,2,FALSE))))</f>
        <v/>
      </c>
      <c r="I87" s="51">
        <f t="shared" si="3"/>
        <v>0</v>
      </c>
      <c r="J87" t="str">
        <f t="shared" si="4"/>
        <v/>
      </c>
    </row>
    <row r="88" spans="1:10" ht="15">
      <c r="A88" s="46"/>
      <c r="B88" s="47" t="str">
        <f t="shared" si="2"/>
        <v/>
      </c>
      <c r="C88" s="48"/>
      <c r="D88" s="48"/>
      <c r="E88" s="48"/>
      <c r="F88" s="48"/>
      <c r="G88" s="48"/>
      <c r="H88" s="50" t="str">
        <f>IF($B88="","",IF($J88="X",B88,CONCATENATE(VLOOKUP(B88,Competitors!$A$2:$I$650,3,FALSE)," ",VLOOKUP(B88,Competitors!$A$2:$I$650,2,FALSE))))</f>
        <v/>
      </c>
      <c r="I88" s="51">
        <f t="shared" si="3"/>
        <v>0</v>
      </c>
      <c r="J88" t="str">
        <f t="shared" si="4"/>
        <v/>
      </c>
    </row>
    <row r="89" spans="1:10" ht="15">
      <c r="A89" s="46"/>
      <c r="B89" s="47" t="str">
        <f t="shared" si="2"/>
        <v/>
      </c>
      <c r="C89" s="48"/>
      <c r="D89" s="48"/>
      <c r="E89" s="48"/>
      <c r="F89" s="48"/>
      <c r="G89" s="48"/>
      <c r="H89" s="50" t="str">
        <f>IF($B89="","",IF($J89="X",B89,CONCATENATE(VLOOKUP(B89,Competitors!$A$2:$I$650,3,FALSE)," ",VLOOKUP(B89,Competitors!$A$2:$I$650,2,FALSE))))</f>
        <v/>
      </c>
      <c r="I89" s="51">
        <f t="shared" si="3"/>
        <v>0</v>
      </c>
      <c r="J89" t="str">
        <f t="shared" si="4"/>
        <v/>
      </c>
    </row>
    <row r="90" spans="1:10" ht="15">
      <c r="A90" s="46"/>
      <c r="B90" s="47" t="str">
        <f t="shared" si="2"/>
        <v/>
      </c>
      <c r="C90" s="48"/>
      <c r="D90" s="48"/>
      <c r="E90" s="48"/>
      <c r="F90" s="48"/>
      <c r="G90" s="48"/>
      <c r="H90" s="50" t="str">
        <f>IF($B90="","",IF($J90="X",B90,CONCATENATE(VLOOKUP(B90,Competitors!$A$2:$I$650,3,FALSE)," ",VLOOKUP(B90,Competitors!$A$2:$I$650,2,FALSE))))</f>
        <v/>
      </c>
      <c r="I90" s="51">
        <f t="shared" si="3"/>
        <v>0</v>
      </c>
      <c r="J90" t="str">
        <f t="shared" si="4"/>
        <v/>
      </c>
    </row>
    <row r="91" spans="1:10" ht="15">
      <c r="A91" s="46"/>
      <c r="B91" s="47" t="str">
        <f t="shared" si="2"/>
        <v/>
      </c>
      <c r="C91" s="48"/>
      <c r="D91" s="48"/>
      <c r="E91" s="48"/>
      <c r="F91" s="48"/>
      <c r="G91" s="48"/>
      <c r="H91" s="50" t="str">
        <f>IF($B91="","",IF($J91="X",B91,CONCATENATE(VLOOKUP(B91,Competitors!$A$2:$I$650,3,FALSE)," ",VLOOKUP(B91,Competitors!$A$2:$I$650,2,FALSE))))</f>
        <v/>
      </c>
      <c r="I91" s="51">
        <f t="shared" si="3"/>
        <v>0</v>
      </c>
      <c r="J91" t="str">
        <f t="shared" si="4"/>
        <v/>
      </c>
    </row>
    <row r="92" spans="1:10" ht="15">
      <c r="A92" s="46"/>
      <c r="B92" s="47" t="str">
        <f t="shared" si="2"/>
        <v/>
      </c>
      <c r="C92" s="48"/>
      <c r="D92" s="48"/>
      <c r="E92" s="48"/>
      <c r="F92" s="48"/>
      <c r="G92" s="48"/>
      <c r="H92" s="50" t="str">
        <f>IF($B92="","",IF($J92="X",B92,CONCATENATE(VLOOKUP(B92,Competitors!$A$2:$I$650,3,FALSE)," ",VLOOKUP(B92,Competitors!$A$2:$I$650,2,FALSE))))</f>
        <v/>
      </c>
      <c r="I92" s="51">
        <f t="shared" si="3"/>
        <v>0</v>
      </c>
      <c r="J92" t="str">
        <f t="shared" si="4"/>
        <v/>
      </c>
    </row>
    <row r="93" spans="1:10" ht="15">
      <c r="A93" s="46"/>
      <c r="B93" s="47" t="str">
        <f t="shared" si="2"/>
        <v/>
      </c>
      <c r="C93" s="48"/>
      <c r="D93" s="48"/>
      <c r="E93" s="48"/>
      <c r="F93" s="48"/>
      <c r="G93" s="48"/>
      <c r="H93" s="50" t="str">
        <f>IF($B93="","",IF($J93="X",B93,CONCATENATE(VLOOKUP(B93,Competitors!$A$2:$I$650,3,FALSE)," ",VLOOKUP(B93,Competitors!$A$2:$I$650,2,FALSE))))</f>
        <v/>
      </c>
      <c r="I93" s="51">
        <f t="shared" si="3"/>
        <v>0</v>
      </c>
      <c r="J93" t="str">
        <f t="shared" si="4"/>
        <v/>
      </c>
    </row>
    <row r="94" spans="1:10" ht="15">
      <c r="A94" s="46"/>
      <c r="B94" s="47" t="str">
        <f t="shared" si="2"/>
        <v/>
      </c>
      <c r="C94" s="48"/>
      <c r="D94" s="48"/>
      <c r="E94" s="48"/>
      <c r="F94" s="48"/>
      <c r="G94" s="48"/>
      <c r="H94" s="50" t="str">
        <f>IF($B94="","",IF($J94="X",B94,CONCATENATE(VLOOKUP(B94,Competitors!$A$2:$I$650,3,FALSE)," ",VLOOKUP(B94,Competitors!$A$2:$I$650,2,FALSE))))</f>
        <v/>
      </c>
      <c r="I94" s="51">
        <f t="shared" si="3"/>
        <v>0</v>
      </c>
      <c r="J94" t="str">
        <f t="shared" si="4"/>
        <v/>
      </c>
    </row>
    <row r="95" spans="1:10" ht="15">
      <c r="A95" s="46"/>
      <c r="B95" s="47" t="str">
        <f t="shared" si="2"/>
        <v/>
      </c>
      <c r="C95" s="48"/>
      <c r="D95" s="48"/>
      <c r="E95" s="48"/>
      <c r="F95" s="48"/>
      <c r="G95" s="48"/>
      <c r="H95" s="50" t="str">
        <f>IF($B95="","",IF($J95="X",B95,CONCATENATE(VLOOKUP(B95,Competitors!$A$2:$I$650,3,FALSE)," ",VLOOKUP(B95,Competitors!$A$2:$I$650,2,FALSE))))</f>
        <v/>
      </c>
      <c r="I95" s="51">
        <f t="shared" si="3"/>
        <v>0</v>
      </c>
      <c r="J95" t="str">
        <f t="shared" si="4"/>
        <v/>
      </c>
    </row>
    <row r="96" spans="1:10" ht="15">
      <c r="A96" s="46"/>
      <c r="B96" s="47" t="str">
        <f t="shared" si="2"/>
        <v/>
      </c>
      <c r="C96" s="48"/>
      <c r="D96" s="48"/>
      <c r="E96" s="48"/>
      <c r="F96" s="48"/>
      <c r="G96" s="48"/>
      <c r="H96" s="50" t="str">
        <f>IF($B96="","",IF($J96="X",B96,CONCATENATE(VLOOKUP(B96,Competitors!$A$2:$I$650,3,FALSE)," ",VLOOKUP(B96,Competitors!$A$2:$I$650,2,FALSE))))</f>
        <v/>
      </c>
      <c r="I96" s="51">
        <f t="shared" si="3"/>
        <v>0</v>
      </c>
      <c r="J96" t="str">
        <f t="shared" si="4"/>
        <v/>
      </c>
    </row>
    <row r="97" spans="1:10" ht="15">
      <c r="A97" s="46"/>
      <c r="B97" s="47" t="str">
        <f t="shared" si="2"/>
        <v/>
      </c>
      <c r="C97" s="48"/>
      <c r="D97" s="48"/>
      <c r="E97" s="48"/>
      <c r="F97" s="48"/>
      <c r="G97" s="48"/>
      <c r="H97" s="50" t="str">
        <f>IF($B97="","",IF($J97="X",B97,CONCATENATE(VLOOKUP(B97,Competitors!$A$2:$I$650,3,FALSE)," ",VLOOKUP(B97,Competitors!$A$2:$I$650,2,FALSE))))</f>
        <v/>
      </c>
      <c r="I97" s="51">
        <f t="shared" si="3"/>
        <v>0</v>
      </c>
      <c r="J97" t="str">
        <f t="shared" si="4"/>
        <v/>
      </c>
    </row>
    <row r="98" spans="1:10" ht="15">
      <c r="A98" s="46"/>
      <c r="B98" s="47" t="str">
        <f>IF(A98="","",_xlfn.XLOOKUP(A98,ClubNames,ClubNumbers,_xlfn.XLOOKUP(A98,RoundRobinRiderNames,RoundRobinRiderDecoratedNames,A98)))</f>
        <v/>
      </c>
      <c r="C98" s="48"/>
      <c r="D98" s="48"/>
      <c r="E98" s="48"/>
      <c r="F98" s="48"/>
      <c r="G98" s="48"/>
      <c r="H98" s="50" t="str">
        <f>IF($B98="","",IF($J98="X",B98,CONCATENATE(VLOOKUP(B98,Competitors!$A$2:$I$650,3,FALSE)," ",VLOOKUP(B98,Competitors!$A$2:$I$650,2,FALSE))))</f>
        <v/>
      </c>
      <c r="I98" s="51">
        <f t="shared" si="3"/>
        <v>0</v>
      </c>
      <c r="J98" t="str">
        <f t="shared" si="4"/>
        <v/>
      </c>
    </row>
    <row r="99" spans="1:10" ht="15">
      <c r="A99" s="46"/>
      <c r="B99" s="47" t="str">
        <f>IF(A99="","",_xlfn.XLOOKUP(A99,ClubNames,ClubNumbers,_xlfn.XLOOKUP(A99,RoundRobinRiderNames,RoundRobinRiderDecoratedNames,A99)))</f>
        <v/>
      </c>
      <c r="C99" s="48"/>
      <c r="D99" s="48"/>
      <c r="E99" s="48"/>
      <c r="F99" s="48"/>
      <c r="G99" s="48"/>
      <c r="H99" s="50" t="str">
        <f>IF($B99="","",IF($J99="X",B99,CONCATENATE(VLOOKUP(B99,Competitors!$A$2:$I$650,3,FALSE)," ",VLOOKUP(B99,Competitors!$A$2:$I$650,2,FALSE))))</f>
        <v/>
      </c>
      <c r="I99" s="51">
        <f t="shared" si="3"/>
        <v>0</v>
      </c>
      <c r="J99" t="str">
        <f t="shared" si="4"/>
        <v/>
      </c>
    </row>
    <row r="100" spans="1:10" ht="15">
      <c r="A100" s="46"/>
      <c r="B100" s="47" t="str">
        <f>IF(A100="","",_xlfn.XLOOKUP(A100,ClubNames,ClubNumbers,_xlfn.XLOOKUP(A100,RoundRobinRiderNames,RoundRobinRiderDecoratedNames,A100)))</f>
        <v/>
      </c>
      <c r="C100" s="48"/>
      <c r="D100" s="48"/>
      <c r="E100" s="48"/>
      <c r="F100" s="48"/>
      <c r="G100" s="48"/>
      <c r="H100" s="50" t="str">
        <f>IF($B100="","",IF($J100="X",B100,CONCATENATE(VLOOKUP(B100,Competitors!$A$2:$I$650,3, FALSE)," ",VLOOKUP(B100,Competitors!$A$2:$I$650,2,FALSE))))</f>
        <v/>
      </c>
      <c r="I100" s="51">
        <f t="shared" si="3"/>
        <v>0</v>
      </c>
      <c r="J100" t="str">
        <f t="shared" si="4"/>
        <v/>
      </c>
    </row>
    <row r="101" spans="1:10" ht="15">
      <c r="A101" s="46"/>
      <c r="B101" s="47" t="str">
        <f>IF(A101="","",_xlfn.XLOOKUP(A101,ClubNames,ClubNumbers,_xlfn.XLOOKUP(A101,RoundRobinRiderNames,RoundRobinRiderDecoratedNames,A101)))</f>
        <v/>
      </c>
      <c r="C101" s="48"/>
      <c r="D101" s="48"/>
      <c r="E101" s="48"/>
      <c r="F101" s="48"/>
      <c r="G101" s="48"/>
      <c r="H101" s="50" t="str">
        <f>IF($B101="","",IF($J101="X",B101,CONCATENATE(VLOOKUP(B101,Competitors!$A$2:$I$650,3,FALSE)," ",VLOOKUP(B101,Competitors!$A$2:$I$650,2,FALSE))))</f>
        <v/>
      </c>
      <c r="I101" s="51">
        <f t="shared" si="3"/>
        <v>0</v>
      </c>
      <c r="J101" t="str">
        <f t="shared" si="4"/>
        <v/>
      </c>
    </row>
    <row r="102" spans="1:10" s="52" customFormat="1">
      <c r="I102" s="53"/>
    </row>
    <row r="103" spans="1:10">
      <c r="B103" t="s">
        <v>551</v>
      </c>
      <c r="C103" t="str" cm="1">
        <f t="array" aca="1" ref="C103" ca="1">MID(CELL("filename",B1),FIND("]",CELL("filename",B1))+1,255)</f>
        <v>Event_09</v>
      </c>
    </row>
    <row r="104" spans="1:10">
      <c r="B104" t="s">
        <v>552</v>
      </c>
      <c r="C104" t="str">
        <f ca="1">_xlfn.XLOOKUP(C103,Calendar!O:O,Calendar!H:H,"Event is not in calendar")</f>
        <v/>
      </c>
    </row>
  </sheetData>
  <conditionalFormatting sqref="E2:E101">
    <cfRule type="expression" dxfId="57" priority="3">
      <formula>TEXT($C$104,"@")="Y"</formula>
    </cfRule>
  </conditionalFormatting>
  <conditionalFormatting sqref="H2:I101">
    <cfRule type="expression" dxfId="56" priority="2">
      <formula>$J2="X"</formula>
    </cfRule>
  </conditionalFormatting>
  <conditionalFormatting sqref="I2:I101">
    <cfRule type="expression" dxfId="55"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r:id="rId1"/>
  <headerFooter>
    <oddHeader>&amp;C&amp;24WVCC champs 2016 results</oddHead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2">
    <pageSetUpPr fitToPage="1"/>
  </sheetPr>
  <dimension ref="A1:J104"/>
  <sheetViews>
    <sheetView workbookViewId="0">
      <selection activeCell="B39" sqref="B39"/>
    </sheetView>
    <sheetView workbookViewId="1"/>
  </sheetViews>
  <sheetFormatPr defaultColWidth="9.1328125" defaultRowHeight="12.75"/>
  <cols>
    <col min="1" max="1" width="25.796875" customWidth="1"/>
    <col min="2" max="2" width="36.1328125" customWidth="1"/>
    <col min="3" max="4" width="4.796875" customWidth="1"/>
    <col min="5" max="5" width="8.1328125" customWidth="1"/>
    <col min="6" max="7" width="11.1328125" customWidth="1"/>
    <col min="8" max="8" width="35.4648437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57" t="s">
        <v>616</v>
      </c>
      <c r="B2" s="47">
        <v>990</v>
      </c>
      <c r="C2" s="48"/>
      <c r="D2" s="48">
        <v>31</v>
      </c>
      <c r="E2" s="48">
        <v>1</v>
      </c>
      <c r="F2" s="48" t="s">
        <v>544</v>
      </c>
      <c r="G2" s="48"/>
      <c r="H2" s="50" t="str">
        <f>IF($B2="","",IF($J2="X",B2,CONCATENATE(VLOOKUP(B2,Competitors!$A$2:$I$650,3, FALSE)," ",VLOOKUP(B2,Competitors!$A$2:$I$650,2,FALSE))))</f>
        <v>Jen Hulme</v>
      </c>
      <c r="I2" s="51">
        <f t="shared" ref="I2:I65" si="0">IF(LEFT($F2,1)="D",UPPER($F2),(C2*3600+D2*60+E2)/86400)</f>
        <v>2.1539351851851851E-2</v>
      </c>
      <c r="J2" t="str">
        <f t="shared" ref="J2:J65" si="1">IF(OR(B2="",ISNUMBER(B2)),"","X")</f>
        <v/>
      </c>
    </row>
    <row r="3" spans="1:10" ht="15">
      <c r="A3" s="57" t="s">
        <v>453</v>
      </c>
      <c r="B3" s="47">
        <v>558</v>
      </c>
      <c r="C3" s="48"/>
      <c r="D3" s="48">
        <v>32</v>
      </c>
      <c r="E3" s="48">
        <v>27</v>
      </c>
      <c r="F3" s="48" t="s">
        <v>544</v>
      </c>
      <c r="G3" s="48"/>
      <c r="H3" s="50" t="str">
        <f>IF($B3="","",IF($J3="X",B3,CONCATENATE(VLOOKUP(B3,Competitors!$A$2:$I$650,3,FALSE)," ",VLOOKUP(B3,Competitors!$A$2:$I$650,2,FALSE))))</f>
        <v>Andrew Weatherby</v>
      </c>
      <c r="I3" s="51">
        <f t="shared" si="0"/>
        <v>2.2534722222222223E-2</v>
      </c>
      <c r="J3" t="str">
        <f t="shared" si="1"/>
        <v/>
      </c>
    </row>
    <row r="4" spans="1:10" ht="15">
      <c r="A4" s="57" t="s">
        <v>459</v>
      </c>
      <c r="B4" s="47">
        <v>742</v>
      </c>
      <c r="C4" s="48"/>
      <c r="D4" s="48">
        <v>29</v>
      </c>
      <c r="E4" s="48">
        <v>39</v>
      </c>
      <c r="F4" s="48" t="s">
        <v>544</v>
      </c>
      <c r="G4" s="48"/>
      <c r="H4" s="50" t="str">
        <f>IF($B4="","",IF($J4="X",B4,CONCATENATE(VLOOKUP(B4,Competitors!$A$2:$I$650,3,FALSE)," ",VLOOKUP(B4,Competitors!$A$2:$I$650,2,FALSE))))</f>
        <v>Claire Moore</v>
      </c>
      <c r="I4" s="51">
        <f t="shared" si="0"/>
        <v>2.0590277777777777E-2</v>
      </c>
      <c r="J4" t="str">
        <f t="shared" si="1"/>
        <v/>
      </c>
    </row>
    <row r="5" spans="1:10" ht="15">
      <c r="A5" s="57" t="s">
        <v>447</v>
      </c>
      <c r="B5" s="47">
        <v>1194</v>
      </c>
      <c r="C5" s="48"/>
      <c r="D5" s="48">
        <v>27</v>
      </c>
      <c r="E5" s="48">
        <v>37</v>
      </c>
      <c r="F5" s="48" t="s">
        <v>544</v>
      </c>
      <c r="G5" s="48"/>
      <c r="H5" s="50" t="str">
        <f>IF($B5="","",IF($J5="X",B5,CONCATENATE(VLOOKUP(B5,Competitors!$A$2:$I$650,3,FALSE)," ",VLOOKUP(B5,Competitors!$A$2:$I$650,2,FALSE))))</f>
        <v>Alex Hardwicke</v>
      </c>
      <c r="I5" s="51">
        <f t="shared" si="0"/>
        <v>1.9178240740740742E-2</v>
      </c>
      <c r="J5" t="str">
        <f t="shared" si="1"/>
        <v/>
      </c>
    </row>
    <row r="6" spans="1:10" ht="15">
      <c r="A6" s="57" t="s">
        <v>456</v>
      </c>
      <c r="B6" s="47">
        <v>967</v>
      </c>
      <c r="C6" s="48"/>
      <c r="D6" s="48">
        <v>23</v>
      </c>
      <c r="E6" s="48">
        <v>31</v>
      </c>
      <c r="F6" s="48" t="s">
        <v>544</v>
      </c>
      <c r="G6" s="48"/>
      <c r="H6" s="50" t="str">
        <f>IF($B6="","",IF($J6="X",B6,CONCATENATE(VLOOKUP(B6,Competitors!$A$2:$I$650,3,FALSE)," ",VLOOKUP(B6,Competitors!$A$2:$I$650,2,FALSE))))</f>
        <v>Daniel McDonnell</v>
      </c>
      <c r="I6" s="51">
        <f t="shared" si="0"/>
        <v>1.6331018518518519E-2</v>
      </c>
      <c r="J6" t="str">
        <f t="shared" si="1"/>
        <v/>
      </c>
    </row>
    <row r="7" spans="1:10" ht="15">
      <c r="A7" s="57" t="s">
        <v>437</v>
      </c>
      <c r="B7" s="47">
        <v>1195</v>
      </c>
      <c r="C7" s="48"/>
      <c r="D7" s="48">
        <v>25</v>
      </c>
      <c r="E7" s="48">
        <v>3</v>
      </c>
      <c r="F7" s="48" t="s">
        <v>544</v>
      </c>
      <c r="G7" s="48"/>
      <c r="H7" s="50" t="str">
        <f>IF($B7="","",IF($J7="X",B7,CONCATENATE(VLOOKUP(B7,Competitors!$A$2:$I$650,3,FALSE)," ",VLOOKUP(B7,Competitors!$A$2:$I$650,2,FALSE))))</f>
        <v>Charlie Hardwicke</v>
      </c>
      <c r="I7" s="51">
        <f t="shared" si="0"/>
        <v>1.7395833333333333E-2</v>
      </c>
      <c r="J7" t="str">
        <f t="shared" si="1"/>
        <v/>
      </c>
    </row>
    <row r="8" spans="1:10" ht="15">
      <c r="A8" s="57" t="s">
        <v>460</v>
      </c>
      <c r="B8" s="47">
        <v>7</v>
      </c>
      <c r="C8" s="48"/>
      <c r="D8" s="48">
        <v>30</v>
      </c>
      <c r="E8" s="48">
        <v>11</v>
      </c>
      <c r="F8" s="48" t="s">
        <v>544</v>
      </c>
      <c r="G8" s="48"/>
      <c r="H8" s="50" t="str">
        <f>IF($B8="","",IF($J8="X",B8,CONCATENATE(VLOOKUP(B8,Competitors!$A$2:$I$650,3,FALSE)," ",VLOOKUP(B8,Competitors!$A$2:$I$650,2,FALSE))))</f>
        <v>Vic Barnett</v>
      </c>
      <c r="I8" s="51">
        <f t="shared" si="0"/>
        <v>2.0960648148148148E-2</v>
      </c>
      <c r="J8" t="str">
        <f t="shared" si="1"/>
        <v/>
      </c>
    </row>
    <row r="9" spans="1:10" ht="15">
      <c r="A9" s="57" t="s">
        <v>443</v>
      </c>
      <c r="B9" s="47">
        <v>1193</v>
      </c>
      <c r="C9" s="48"/>
      <c r="D9" s="48">
        <v>25</v>
      </c>
      <c r="E9" s="48">
        <v>43</v>
      </c>
      <c r="F9" s="48" t="s">
        <v>544</v>
      </c>
      <c r="G9" s="48"/>
      <c r="H9" s="50" t="str">
        <f>IF($B9="","",IF($J9="X",B9,CONCATENATE(VLOOKUP(B9,Competitors!$A$2:$I$650,3,FALSE)," ",VLOOKUP(B9,Competitors!$A$2:$I$650,2,FALSE))))</f>
        <v>Richard Hardwicke</v>
      </c>
      <c r="I9" s="51">
        <f t="shared" si="0"/>
        <v>1.7858796296296296E-2</v>
      </c>
      <c r="J9" t="str">
        <f t="shared" si="1"/>
        <v/>
      </c>
    </row>
    <row r="10" spans="1:10" ht="15">
      <c r="A10" s="57" t="s">
        <v>501</v>
      </c>
      <c r="B10" s="47" t="s">
        <v>554</v>
      </c>
      <c r="C10" s="48"/>
      <c r="D10" s="48">
        <v>25</v>
      </c>
      <c r="E10" s="48">
        <v>39</v>
      </c>
      <c r="F10" s="48" t="s">
        <v>544</v>
      </c>
      <c r="G10" s="48"/>
      <c r="H10" s="50" t="str">
        <f>IF($B10="","",IF($J10="X",B10,CONCATENATE(VLOOKUP(B10,Competitors!$A$2:$I$650,3, FALSE)," ",VLOOKUP(B10,Competitors!$A$2:$I$650,2,FALSE))))</f>
        <v>Chris Bonsor (Ratae)</v>
      </c>
      <c r="I10" s="51">
        <f t="shared" si="0"/>
        <v>1.7812499999999998E-2</v>
      </c>
      <c r="J10" t="str">
        <f t="shared" si="1"/>
        <v>X</v>
      </c>
    </row>
    <row r="11" spans="1:10" ht="15">
      <c r="A11" s="57" t="s">
        <v>418</v>
      </c>
      <c r="B11" s="47">
        <v>1355</v>
      </c>
      <c r="C11" s="48"/>
      <c r="D11" s="48">
        <v>23</v>
      </c>
      <c r="E11" s="48">
        <v>17</v>
      </c>
      <c r="F11" s="48" t="s">
        <v>544</v>
      </c>
      <c r="G11" s="48"/>
      <c r="H11" s="50" t="str">
        <f>IF($B11="","",IF($J11="X",B11,CONCATENATE(VLOOKUP(B11,Competitors!$A$2:$I$650,3,FALSE)," ",VLOOKUP(B11,Competitors!$A$2:$I$650,2,FALSE))))</f>
        <v>Aubrey Elmer</v>
      </c>
      <c r="I11" s="51">
        <f t="shared" si="0"/>
        <v>1.6168981481481482E-2</v>
      </c>
      <c r="J11" t="str">
        <f t="shared" si="1"/>
        <v/>
      </c>
    </row>
    <row r="12" spans="1:10" ht="15">
      <c r="A12" s="57" t="s">
        <v>451</v>
      </c>
      <c r="B12" s="47">
        <v>1244</v>
      </c>
      <c r="C12" s="48"/>
      <c r="D12" s="48">
        <v>27</v>
      </c>
      <c r="E12" s="48">
        <v>34</v>
      </c>
      <c r="F12" s="48" t="s">
        <v>544</v>
      </c>
      <c r="G12" s="48"/>
      <c r="H12" s="50" t="str">
        <f>IF($B12="","",IF($J12="X",B12,CONCATENATE(VLOOKUP(B12,Competitors!$A$2:$I$650,3,FALSE)," ",VLOOKUP(B12,Competitors!$A$2:$I$650,2,FALSE))))</f>
        <v>Steven Latham</v>
      </c>
      <c r="I12" s="51">
        <f t="shared" si="0"/>
        <v>1.9143518518518518E-2</v>
      </c>
      <c r="J12" t="str">
        <f t="shared" si="1"/>
        <v/>
      </c>
    </row>
    <row r="13" spans="1:10" ht="15">
      <c r="A13" s="57" t="s">
        <v>446</v>
      </c>
      <c r="B13" s="47">
        <v>1379</v>
      </c>
      <c r="C13" s="48"/>
      <c r="D13" s="48">
        <v>27</v>
      </c>
      <c r="E13" s="48">
        <v>8</v>
      </c>
      <c r="F13" s="48" t="s">
        <v>544</v>
      </c>
      <c r="G13" s="48"/>
      <c r="H13" s="50" t="str">
        <f>IF($B13="","",IF($J13="X",B13,CONCATENATE(VLOOKUP(B13,Competitors!$A$2:$I$650,3,FALSE)," ",VLOOKUP(B13,Competitors!$A$2:$I$650,2,FALSE))))</f>
        <v>Michaela Latham</v>
      </c>
      <c r="I13" s="51">
        <f t="shared" si="0"/>
        <v>1.8842592592592591E-2</v>
      </c>
      <c r="J13" t="str">
        <f t="shared" si="1"/>
        <v/>
      </c>
    </row>
    <row r="14" spans="1:10" ht="15">
      <c r="A14" s="57" t="s">
        <v>572</v>
      </c>
      <c r="B14" s="47" t="s">
        <v>572</v>
      </c>
      <c r="C14" s="48"/>
      <c r="D14" s="48">
        <v>26</v>
      </c>
      <c r="E14" s="48">
        <v>56</v>
      </c>
      <c r="F14" s="48" t="s">
        <v>544</v>
      </c>
      <c r="G14" s="48"/>
      <c r="H14" s="50" t="str">
        <f>IF($B14="","",IF($J14="X",B14,CONCATENATE(VLOOKUP(B14,Competitors!$A$2:$I$650,3,FALSE)," ",VLOOKUP(B14,Competitors!$A$2:$I$650,2,FALSE))))</f>
        <v>Tom Keane</v>
      </c>
      <c r="I14" s="51">
        <f t="shared" si="0"/>
        <v>1.8703703703703705E-2</v>
      </c>
      <c r="J14" t="str">
        <f t="shared" si="1"/>
        <v>X</v>
      </c>
    </row>
    <row r="15" spans="1:10" ht="15">
      <c r="A15" s="57" t="s">
        <v>511</v>
      </c>
      <c r="B15" s="47" t="s">
        <v>611</v>
      </c>
      <c r="C15" s="48"/>
      <c r="D15" s="48">
        <v>28</v>
      </c>
      <c r="E15" s="48">
        <v>39</v>
      </c>
      <c r="F15" s="48" t="s">
        <v>544</v>
      </c>
      <c r="G15" s="48"/>
      <c r="H15" s="50" t="str">
        <f>IF($B15="","",IF($J15="X",B15,CONCATENATE(VLOOKUP(B15,Competitors!$A$2:$I$650,3,FALSE)," ",VLOOKUP(B15,Competitors!$A$2:$I$650,2,FALSE))))</f>
        <v>Natalie Harris (Ratae)</v>
      </c>
      <c r="I15" s="51">
        <f t="shared" si="0"/>
        <v>1.9895833333333335E-2</v>
      </c>
      <c r="J15" t="str">
        <f t="shared" si="1"/>
        <v>X</v>
      </c>
    </row>
    <row r="16" spans="1:10" ht="15">
      <c r="A16" s="57" t="s">
        <v>573</v>
      </c>
      <c r="B16" s="47">
        <v>1423</v>
      </c>
      <c r="C16" s="48"/>
      <c r="D16" s="48">
        <v>29</v>
      </c>
      <c r="E16" s="48">
        <v>0</v>
      </c>
      <c r="F16" s="48" t="s">
        <v>544</v>
      </c>
      <c r="G16" s="48"/>
      <c r="H16" s="50" t="str">
        <f>IF($B16="","",IF($J16="X",B16,CONCATENATE(VLOOKUP(B16,Competitors!$A$2:$I$650,3,FALSE)," ",VLOOKUP(B16,Competitors!$A$2:$I$650,2,FALSE))))</f>
        <v>Mark Vowles</v>
      </c>
      <c r="I16" s="51">
        <f t="shared" si="0"/>
        <v>2.013888888888889E-2</v>
      </c>
      <c r="J16" t="str">
        <f t="shared" si="1"/>
        <v/>
      </c>
    </row>
    <row r="17" spans="1:10" ht="15">
      <c r="A17" s="57" t="s">
        <v>574</v>
      </c>
      <c r="B17" s="47">
        <v>1422</v>
      </c>
      <c r="C17" s="48"/>
      <c r="D17" s="48"/>
      <c r="E17" s="48"/>
      <c r="F17" s="48" t="s">
        <v>544</v>
      </c>
      <c r="G17" s="48" t="s">
        <v>546</v>
      </c>
      <c r="H17" s="50" t="str">
        <f>IF($B17="","",IF($J17="X",B17,CONCATENATE(VLOOKUP(B17,Competitors!$A$2:$I$650,3,FALSE)," ",VLOOKUP(B17,Competitors!$A$2:$I$650,2,FALSE))))</f>
        <v>Laura Vann-Hopewell</v>
      </c>
      <c r="I17" s="51">
        <f t="shared" si="0"/>
        <v>0</v>
      </c>
      <c r="J17" t="str">
        <f t="shared" si="1"/>
        <v/>
      </c>
    </row>
    <row r="18" spans="1:10" ht="15">
      <c r="A18" s="57" t="s">
        <v>457</v>
      </c>
      <c r="B18" s="47">
        <v>120</v>
      </c>
      <c r="C18" s="48"/>
      <c r="D18" s="48">
        <v>25</v>
      </c>
      <c r="E18" s="48">
        <v>32</v>
      </c>
      <c r="F18" s="48"/>
      <c r="G18" s="48"/>
      <c r="H18" s="50" t="str">
        <f>IF($B18="","",IF($J18="X",B18,CONCATENATE(VLOOKUP(B18,Competitors!$A$2:$I$650,3,FALSE)," ",VLOOKUP(B18,Competitors!$A$2:$I$650,2,FALSE))))</f>
        <v>Linda Hubbard</v>
      </c>
      <c r="I18" s="51">
        <f t="shared" si="0"/>
        <v>1.773148148148148E-2</v>
      </c>
      <c r="J18" t="str">
        <f t="shared" si="1"/>
        <v/>
      </c>
    </row>
    <row r="19" spans="1:10" ht="15">
      <c r="A19" s="57" t="s">
        <v>479</v>
      </c>
      <c r="B19" s="47">
        <v>1348</v>
      </c>
      <c r="C19" s="48"/>
      <c r="D19" s="48"/>
      <c r="E19" s="48"/>
      <c r="F19" s="48" t="s">
        <v>544</v>
      </c>
      <c r="G19" s="48" t="s">
        <v>568</v>
      </c>
      <c r="H19" s="50" t="str">
        <f>IF($B19="","",IF($J19="X",B19,CONCATENATE(VLOOKUP(B19,Competitors!$A$2:$I$650,3,FALSE)," ",VLOOKUP(B19,Competitors!$A$2:$I$650,2,FALSE))))</f>
        <v>Lydia Baxter</v>
      </c>
      <c r="I19" s="51">
        <f t="shared" si="0"/>
        <v>0</v>
      </c>
      <c r="J19" t="str">
        <f t="shared" si="1"/>
        <v/>
      </c>
    </row>
    <row r="20" spans="1:10" ht="15">
      <c r="A20" s="57" t="s">
        <v>442</v>
      </c>
      <c r="B20" s="47">
        <v>564</v>
      </c>
      <c r="C20" s="48"/>
      <c r="D20" s="48">
        <v>27</v>
      </c>
      <c r="E20" s="48">
        <v>5</v>
      </c>
      <c r="F20" s="48" t="s">
        <v>544</v>
      </c>
      <c r="G20" s="48"/>
      <c r="H20" s="50" t="str">
        <f>IF($B20="","",IF($J20="X",B20,CONCATENATE(VLOOKUP(B20,Competitors!$A$2:$I$650,3,FALSE)," ",VLOOKUP(B20,Competitors!$A$2:$I$650,2,FALSE))))</f>
        <v>Ian Murdey</v>
      </c>
      <c r="I20" s="51">
        <f t="shared" si="0"/>
        <v>1.8807870370370371E-2</v>
      </c>
      <c r="J20" t="str">
        <f t="shared" si="1"/>
        <v/>
      </c>
    </row>
    <row r="21" spans="1:10" ht="15">
      <c r="A21" s="57" t="s">
        <v>423</v>
      </c>
      <c r="B21" s="47">
        <v>35</v>
      </c>
      <c r="C21" s="48"/>
      <c r="D21" s="48">
        <v>24</v>
      </c>
      <c r="E21" s="48">
        <v>16</v>
      </c>
      <c r="F21" s="48"/>
      <c r="G21" s="48"/>
      <c r="H21" s="50" t="str">
        <f>IF($B21="","",IF($J21="X",B21,CONCATENATE(VLOOKUP(B21,Competitors!$A$2:$I$650,3,FALSE)," ",VLOOKUP(B21,Competitors!$A$2:$I$650,2,FALSE))))</f>
        <v>Matt Plews</v>
      </c>
      <c r="I21" s="51">
        <f t="shared" si="0"/>
        <v>1.6851851851851851E-2</v>
      </c>
      <c r="J21" t="str">
        <f t="shared" si="1"/>
        <v/>
      </c>
    </row>
    <row r="22" spans="1:10" ht="15">
      <c r="A22" s="57" t="s">
        <v>470</v>
      </c>
      <c r="B22" s="47" t="s">
        <v>610</v>
      </c>
      <c r="C22" s="48"/>
      <c r="D22" s="48"/>
      <c r="E22" s="48"/>
      <c r="F22" s="48" t="s">
        <v>544</v>
      </c>
      <c r="G22" s="48" t="s">
        <v>546</v>
      </c>
      <c r="H22" s="50" t="str">
        <f>IF($B22="","",IF($J22="X",B22,CONCATENATE(VLOOKUP(B22,Competitors!$A$2:$I$650,3,FALSE)," ",VLOOKUP(B22,Competitors!$A$2:$I$650,2,FALSE))))</f>
        <v>David Marshall (Bluelight CC)</v>
      </c>
      <c r="I22" s="51">
        <f t="shared" si="0"/>
        <v>0</v>
      </c>
      <c r="J22" t="str">
        <f t="shared" si="1"/>
        <v>X</v>
      </c>
    </row>
    <row r="23" spans="1:10" ht="15">
      <c r="A23" s="57" t="s">
        <v>439</v>
      </c>
      <c r="B23" s="47">
        <v>23</v>
      </c>
      <c r="C23" s="48"/>
      <c r="D23" s="48">
        <v>24</v>
      </c>
      <c r="E23" s="48">
        <v>56</v>
      </c>
      <c r="F23" s="48"/>
      <c r="G23" s="48"/>
      <c r="H23" s="50" t="str">
        <f>IF($B23="","",IF($J23="X",B23,CONCATENATE(VLOOKUP(B23,Competitors!$A$2:$I$650,3,FALSE)," ",VLOOKUP(B23,Competitors!$A$2:$I$650,2,FALSE))))</f>
        <v>Chris Hyde</v>
      </c>
      <c r="I23" s="51">
        <f t="shared" si="0"/>
        <v>1.7314814814814814E-2</v>
      </c>
      <c r="J23" t="str">
        <f t="shared" si="1"/>
        <v/>
      </c>
    </row>
    <row r="24" spans="1:10" ht="15">
      <c r="A24" s="57" t="s">
        <v>427</v>
      </c>
      <c r="B24" s="47">
        <v>915</v>
      </c>
      <c r="C24" s="48"/>
      <c r="D24" s="48">
        <v>23</v>
      </c>
      <c r="E24" s="48">
        <v>36</v>
      </c>
      <c r="F24" s="48"/>
      <c r="G24" s="48"/>
      <c r="H24" s="50" t="str">
        <f>IF($B24="","",IF($J24="X",B24,CONCATENATE(VLOOKUP(B24,Competitors!$A$2:$I$650,3,FALSE)," ",VLOOKUP(B24,Competitors!$A$2:$I$650,2,FALSE))))</f>
        <v>Julian Twynham</v>
      </c>
      <c r="I24" s="51">
        <f t="shared" si="0"/>
        <v>1.638888888888889E-2</v>
      </c>
      <c r="J24" t="str">
        <f t="shared" si="1"/>
        <v/>
      </c>
    </row>
    <row r="25" spans="1:10" ht="15">
      <c r="A25" s="57" t="s">
        <v>440</v>
      </c>
      <c r="B25" s="47">
        <v>245</v>
      </c>
      <c r="C25" s="48"/>
      <c r="D25" s="48">
        <v>26</v>
      </c>
      <c r="E25" s="48">
        <v>21</v>
      </c>
      <c r="F25" s="48"/>
      <c r="G25" s="48"/>
      <c r="H25" s="50" t="str">
        <f>IF($B25="","",IF($J25="X",B25,CONCATENATE(VLOOKUP(B25,Competitors!$A$2:$I$650,3,FALSE)," ",VLOOKUP(B25,Competitors!$A$2:$I$650,2,FALSE))))</f>
        <v>David Reay</v>
      </c>
      <c r="I25" s="51">
        <f t="shared" si="0"/>
        <v>1.8298611111111113E-2</v>
      </c>
      <c r="J25" t="str">
        <f t="shared" si="1"/>
        <v/>
      </c>
    </row>
    <row r="26" spans="1:10" ht="15">
      <c r="A26" s="57" t="s">
        <v>417</v>
      </c>
      <c r="B26" s="47">
        <v>1152</v>
      </c>
      <c r="C26" s="48"/>
      <c r="D26" s="48">
        <v>23</v>
      </c>
      <c r="E26" s="48">
        <v>33</v>
      </c>
      <c r="F26" s="48"/>
      <c r="G26" s="48"/>
      <c r="H26" s="50" t="str">
        <f>IF($B26="","",IF($J26="X",B26,CONCATENATE(VLOOKUP(B26,Competitors!$A$2:$I$650,3,FALSE)," ",VLOOKUP(B26,Competitors!$A$2:$I$650,2,FALSE))))</f>
        <v>Ruby Isaac</v>
      </c>
      <c r="I26" s="51">
        <f t="shared" si="0"/>
        <v>1.6354166666666666E-2</v>
      </c>
      <c r="J26" t="str">
        <f t="shared" si="1"/>
        <v/>
      </c>
    </row>
    <row r="27" spans="1:10" ht="15">
      <c r="A27" s="57" t="s">
        <v>441</v>
      </c>
      <c r="B27" s="47">
        <v>1254</v>
      </c>
      <c r="C27" s="48"/>
      <c r="D27" s="48">
        <v>24</v>
      </c>
      <c r="E27" s="48">
        <v>11</v>
      </c>
      <c r="F27" s="48"/>
      <c r="G27" s="48"/>
      <c r="H27" s="50" t="str">
        <f>IF($B27="","",IF($J27="X",B27,CONCATENATE(VLOOKUP(B27,Competitors!$A$2:$I$650,3,FALSE)," ",VLOOKUP(B27,Competitors!$A$2:$I$650,2,FALSE))))</f>
        <v>Paul White</v>
      </c>
      <c r="I27" s="51">
        <f t="shared" si="0"/>
        <v>1.6793981481481483E-2</v>
      </c>
      <c r="J27" t="str">
        <f t="shared" si="1"/>
        <v/>
      </c>
    </row>
    <row r="28" spans="1:10" ht="15">
      <c r="A28" s="57" t="s">
        <v>426</v>
      </c>
      <c r="B28" s="47">
        <v>1055</v>
      </c>
      <c r="C28" s="48"/>
      <c r="D28" s="48">
        <v>24</v>
      </c>
      <c r="E28" s="48">
        <v>26</v>
      </c>
      <c r="F28" s="48"/>
      <c r="G28" s="48"/>
      <c r="H28" s="50" t="str">
        <f>IF($B28="","",IF($J28="X",B28,CONCATENATE(VLOOKUP(B28,Competitors!$A$2:$I$650,3,FALSE)," ",VLOOKUP(B28,Competitors!$A$2:$I$650,2,FALSE))))</f>
        <v>Austin Smith</v>
      </c>
      <c r="I28" s="51">
        <f t="shared" si="0"/>
        <v>1.6967592592592593E-2</v>
      </c>
      <c r="J28" t="str">
        <f t="shared" si="1"/>
        <v/>
      </c>
    </row>
    <row r="29" spans="1:10" ht="15">
      <c r="A29" s="57" t="s">
        <v>430</v>
      </c>
      <c r="B29" s="47">
        <v>616</v>
      </c>
      <c r="C29" s="48"/>
      <c r="D29" s="48">
        <v>25</v>
      </c>
      <c r="E29" s="48">
        <v>27</v>
      </c>
      <c r="F29" s="48" t="s">
        <v>544</v>
      </c>
      <c r="G29" s="48"/>
      <c r="H29" s="50" t="str">
        <f>IF($B29="","",IF($J29="X",B29,CONCATENATE(VLOOKUP(B29,Competitors!$A$2:$I$650,3,FALSE)," ",VLOOKUP(B29,Competitors!$A$2:$I$650,2,FALSE))))</f>
        <v>Simon Ward</v>
      </c>
      <c r="I29" s="51">
        <f t="shared" si="0"/>
        <v>1.7673611111111112E-2</v>
      </c>
      <c r="J29" t="str">
        <f t="shared" si="1"/>
        <v/>
      </c>
    </row>
    <row r="30" spans="1:10" ht="15">
      <c r="A30" s="57" t="s">
        <v>500</v>
      </c>
      <c r="B30" s="47" t="s">
        <v>563</v>
      </c>
      <c r="C30" s="48"/>
      <c r="D30" s="48">
        <v>29</v>
      </c>
      <c r="E30" s="48">
        <v>11</v>
      </c>
      <c r="F30" s="48" t="s">
        <v>544</v>
      </c>
      <c r="G30" s="48"/>
      <c r="H30" s="50" t="str">
        <f>IF($B30="","",IF($J30="X",B30,CONCATENATE(VLOOKUP(B30,Competitors!$A$2:$I$650,3,FALSE)," ",VLOOKUP(B30,Competitors!$A$2:$I$650,2,FALSE))))</f>
        <v>Brian Lincoln (Ratae)</v>
      </c>
      <c r="I30" s="51">
        <f t="shared" si="0"/>
        <v>2.0266203703703703E-2</v>
      </c>
      <c r="J30" t="str">
        <f t="shared" si="1"/>
        <v>X</v>
      </c>
    </row>
    <row r="31" spans="1:10" ht="15">
      <c r="A31" s="57" t="s">
        <v>528</v>
      </c>
      <c r="B31" s="47" t="s">
        <v>528</v>
      </c>
      <c r="C31" s="48"/>
      <c r="D31" s="48"/>
      <c r="E31" s="48"/>
      <c r="F31" s="48" t="s">
        <v>544</v>
      </c>
      <c r="G31" s="48" t="s">
        <v>546</v>
      </c>
      <c r="H31" s="50" t="str">
        <f>IF($B31="","",IF($J31="X",B31,CONCATENATE(VLOOKUP(B31,Competitors!$A$2:$I$650,3,FALSE)," ",VLOOKUP(B31,Competitors!$A$2:$I$650,2,FALSE))))</f>
        <v>Hudson Hendry</v>
      </c>
      <c r="I31" s="51">
        <f t="shared" si="0"/>
        <v>0</v>
      </c>
      <c r="J31" t="str">
        <f t="shared" si="1"/>
        <v>X</v>
      </c>
    </row>
    <row r="32" spans="1:10" ht="15">
      <c r="A32" s="57" t="s">
        <v>413</v>
      </c>
      <c r="B32" s="47">
        <v>989</v>
      </c>
      <c r="C32" s="48"/>
      <c r="D32" s="48">
        <v>23</v>
      </c>
      <c r="E32" s="48">
        <v>34</v>
      </c>
      <c r="F32" s="48" t="s">
        <v>544</v>
      </c>
      <c r="G32" s="48"/>
      <c r="H32" s="50" t="str">
        <f>IF($B32="","",IF($J32="X",B32,CONCATENATE(VLOOKUP(B32,Competitors!$A$2:$I$650,3,FALSE)," ",VLOOKUP(B32,Competitors!$A$2:$I$650,2,FALSE))))</f>
        <v>Jason Williams</v>
      </c>
      <c r="I32" s="51">
        <f t="shared" si="0"/>
        <v>1.636574074074074E-2</v>
      </c>
      <c r="J32" t="str">
        <f t="shared" si="1"/>
        <v/>
      </c>
    </row>
    <row r="33" spans="1:10" ht="15">
      <c r="A33" s="57" t="s">
        <v>514</v>
      </c>
      <c r="B33" s="47" t="s">
        <v>559</v>
      </c>
      <c r="C33" s="48"/>
      <c r="D33" s="48">
        <v>26</v>
      </c>
      <c r="E33" s="48">
        <v>58</v>
      </c>
      <c r="F33" s="48"/>
      <c r="G33" s="48"/>
      <c r="H33" s="50" t="str">
        <f>IF($B33="","",IF($J33="X",B33,CONCATENATE(VLOOKUP(B33,Competitors!$A$2:$I$650,3,FALSE)," ",VLOOKUP(B33,Competitors!$A$2:$I$650,2,FALSE))))</f>
        <v>Steve Pearce (Ratae)</v>
      </c>
      <c r="I33" s="51">
        <f t="shared" si="0"/>
        <v>1.8726851851851852E-2</v>
      </c>
      <c r="J33" t="str">
        <f t="shared" si="1"/>
        <v>X</v>
      </c>
    </row>
    <row r="34" spans="1:10" ht="15">
      <c r="A34" s="57" t="s">
        <v>422</v>
      </c>
      <c r="B34" s="47">
        <v>1407</v>
      </c>
      <c r="C34" s="48"/>
      <c r="D34" s="48">
        <v>24</v>
      </c>
      <c r="E34" s="48">
        <v>35</v>
      </c>
      <c r="F34" s="48" t="s">
        <v>544</v>
      </c>
      <c r="G34" s="48"/>
      <c r="H34" s="50" t="str">
        <f>IF($B34="","",IF($J34="X",B34,CONCATENATE(VLOOKUP(B34,Competitors!$A$2:$I$650,3,FALSE)," ",VLOOKUP(B34,Competitors!$A$2:$I$650,2,FALSE))))</f>
        <v>Colin Dobson</v>
      </c>
      <c r="I34" s="51">
        <f t="shared" si="0"/>
        <v>1.7071759259259259E-2</v>
      </c>
      <c r="J34" t="str">
        <f t="shared" si="1"/>
        <v/>
      </c>
    </row>
    <row r="35" spans="1:10" ht="15">
      <c r="A35" s="57" t="s">
        <v>416</v>
      </c>
      <c r="B35" s="47">
        <v>38</v>
      </c>
      <c r="C35" s="48"/>
      <c r="D35" s="48">
        <v>23</v>
      </c>
      <c r="E35" s="48">
        <v>9</v>
      </c>
      <c r="F35" s="48"/>
      <c r="G35" s="48"/>
      <c r="H35" s="50" t="str">
        <f>IF($B35="","",IF($J35="X",B35,CONCATENATE(VLOOKUP(B35,Competitors!$A$2:$I$650,3,FALSE)," ",VLOOKUP(B35,Competitors!$A$2:$I$650,2,FALSE))))</f>
        <v>Phil Rayner</v>
      </c>
      <c r="I35" s="51">
        <f t="shared" si="0"/>
        <v>1.607638888888889E-2</v>
      </c>
      <c r="J35" t="str">
        <f t="shared" si="1"/>
        <v/>
      </c>
    </row>
    <row r="36" spans="1:10" ht="15">
      <c r="A36" s="57" t="s">
        <v>412</v>
      </c>
      <c r="B36" s="47">
        <v>1144</v>
      </c>
      <c r="C36" s="48"/>
      <c r="D36" s="48">
        <v>23</v>
      </c>
      <c r="E36" s="48">
        <v>10</v>
      </c>
      <c r="F36" s="48" t="s">
        <v>544</v>
      </c>
      <c r="G36" s="48"/>
      <c r="H36" s="50" t="str">
        <f>IF($B36="","",IF($J36="X",B36,CONCATENATE(VLOOKUP(B36,Competitors!$A$2:$I$650,3,FALSE)," ",VLOOKUP(B36,Competitors!$A$2:$I$650,2,FALSE))))</f>
        <v>Jamie Kershaw</v>
      </c>
      <c r="I36" s="51">
        <f t="shared" si="0"/>
        <v>1.6087962962962964E-2</v>
      </c>
      <c r="J36" t="str">
        <f t="shared" si="1"/>
        <v/>
      </c>
    </row>
    <row r="37" spans="1:10" ht="15">
      <c r="A37" s="57" t="s">
        <v>527</v>
      </c>
      <c r="B37" s="47" t="s">
        <v>558</v>
      </c>
      <c r="C37" s="48"/>
      <c r="D37" s="48">
        <v>23</v>
      </c>
      <c r="E37" s="48">
        <v>16</v>
      </c>
      <c r="F37" s="48"/>
      <c r="G37" s="48"/>
      <c r="H37" s="50" t="str">
        <f>IF($B37="","",IF($J37="X",B37,CONCATENATE(VLOOKUP(B37,Competitors!$A$2:$I$650,3,FALSE)," ",VLOOKUP(B37,Competitors!$A$2:$I$650,2,FALSE))))</f>
        <v>Phil Wilkinson (RFW)</v>
      </c>
      <c r="I37" s="51">
        <f t="shared" si="0"/>
        <v>1.6157407407407409E-2</v>
      </c>
      <c r="J37" t="str">
        <f t="shared" si="1"/>
        <v>X</v>
      </c>
    </row>
    <row r="38" spans="1:10" ht="15">
      <c r="A38" s="57" t="s">
        <v>421</v>
      </c>
      <c r="B38" s="47">
        <v>415</v>
      </c>
      <c r="C38" s="48"/>
      <c r="D38" s="48">
        <v>24</v>
      </c>
      <c r="E38" s="48">
        <v>31</v>
      </c>
      <c r="F38" s="48" t="s">
        <v>544</v>
      </c>
      <c r="G38" s="48"/>
      <c r="H38" s="50" t="str">
        <f>IF($B38="","",IF($J38="X",B38,CONCATENATE(VLOOKUP(B38,Competitors!$A$2:$I$650,3,FALSE)," ",VLOOKUP(B38,Competitors!$A$2:$I$650,2,FALSE))))</f>
        <v>Nik Kershaw</v>
      </c>
      <c r="I38" s="51">
        <f t="shared" si="0"/>
        <v>1.7025462962962964E-2</v>
      </c>
      <c r="J38" t="str">
        <f t="shared" si="1"/>
        <v/>
      </c>
    </row>
    <row r="39" spans="1:10" ht="15">
      <c r="A39" s="61" t="s">
        <v>790</v>
      </c>
      <c r="B39" s="47" t="s">
        <v>792</v>
      </c>
      <c r="C39" s="48"/>
      <c r="D39" s="48">
        <v>24</v>
      </c>
      <c r="E39" s="48">
        <v>30</v>
      </c>
      <c r="F39" s="48"/>
      <c r="G39" s="48"/>
      <c r="H39" s="50" t="str">
        <f>IF($B39="","",IF($J39="X",B39,CONCATENATE(VLOOKUP(B39,Competitors!$A$2:$I$650,3,FALSE)," ",VLOOKUP(B39,Competitors!$A$2:$I$650,2,FALSE))))</f>
        <v>Mike Deely (George Fox CS) (RFW)</v>
      </c>
      <c r="I39" s="51">
        <f t="shared" si="0"/>
        <v>1.7013888888888887E-2</v>
      </c>
      <c r="J39" t="str">
        <f t="shared" si="1"/>
        <v>X</v>
      </c>
    </row>
    <row r="40" spans="1:10" ht="15">
      <c r="A40" s="57" t="s">
        <v>415</v>
      </c>
      <c r="B40" s="47">
        <v>1161</v>
      </c>
      <c r="C40" s="48"/>
      <c r="D40" s="48">
        <v>23</v>
      </c>
      <c r="E40" s="48">
        <v>7</v>
      </c>
      <c r="F40" s="48"/>
      <c r="G40" s="48"/>
      <c r="H40" s="50" t="str">
        <f>IF($B40="","",IF($J40="X",B40,CONCATENATE(VLOOKUP(B40,Competitors!$A$2:$I$650,3,FALSE)," ",VLOOKUP(B40,Competitors!$A$2:$I$650,2,FALSE))))</f>
        <v>Maciej Suchocki</v>
      </c>
      <c r="I40" s="51">
        <f t="shared" si="0"/>
        <v>1.6053240740740739E-2</v>
      </c>
      <c r="J40" t="str">
        <f t="shared" si="1"/>
        <v/>
      </c>
    </row>
    <row r="41" spans="1:10" ht="15">
      <c r="A41" s="57" t="s">
        <v>420</v>
      </c>
      <c r="B41" s="47">
        <v>1192</v>
      </c>
      <c r="C41" s="48"/>
      <c r="D41" s="48">
        <v>23</v>
      </c>
      <c r="E41" s="48">
        <v>59</v>
      </c>
      <c r="F41" s="48"/>
      <c r="G41" s="48"/>
      <c r="H41" s="50" t="str">
        <f>IF($B41="","",IF($J41="X",B41,CONCATENATE(VLOOKUP(B41,Competitors!$A$2:$I$650,3,FALSE)," ",VLOOKUP(B41,Competitors!$A$2:$I$650,2,FALSE))))</f>
        <v>Dale Norris</v>
      </c>
      <c r="I41" s="51">
        <f t="shared" si="0"/>
        <v>1.6655092592592593E-2</v>
      </c>
      <c r="J41" t="str">
        <f t="shared" si="1"/>
        <v/>
      </c>
    </row>
    <row r="42" spans="1:10" ht="15">
      <c r="A42" s="57" t="s">
        <v>411</v>
      </c>
      <c r="B42" s="47">
        <v>407</v>
      </c>
      <c r="C42" s="48"/>
      <c r="D42" s="48">
        <v>21</v>
      </c>
      <c r="E42" s="48">
        <v>51</v>
      </c>
      <c r="F42" s="48"/>
      <c r="G42" s="48"/>
      <c r="H42" s="50" t="str">
        <f>IF($B42="","",IF($J42="X",B42,CONCATENATE(VLOOKUP(B42,Competitors!$A$2:$I$650,3,FALSE)," ",VLOOKUP(B42,Competitors!$A$2:$I$650,2,FALSE))))</f>
        <v>Hans van Nierop</v>
      </c>
      <c r="I42" s="51">
        <f t="shared" si="0"/>
        <v>1.5173611111111112E-2</v>
      </c>
      <c r="J42" t="str">
        <f t="shared" si="1"/>
        <v/>
      </c>
    </row>
    <row r="43" spans="1:10" ht="15">
      <c r="A43" s="46" t="s">
        <v>523</v>
      </c>
      <c r="B43" s="47" t="s">
        <v>599</v>
      </c>
      <c r="C43" s="48"/>
      <c r="D43" s="48">
        <v>27</v>
      </c>
      <c r="E43" s="48">
        <v>8</v>
      </c>
      <c r="F43" s="48"/>
      <c r="G43" s="48"/>
      <c r="H43" s="50" t="str">
        <f>IF($B43="","",IF($J43="X",B43,CONCATENATE(VLOOKUP(B43,Competitors!$A$2:$I$650,3,FALSE)," ",VLOOKUP(B43,Competitors!$A$2:$I$650,2,FALSE))))</f>
        <v>Lynne Wilkinson-Scofield (RFW)</v>
      </c>
      <c r="I43" s="51">
        <f t="shared" si="0"/>
        <v>1.8842592592592591E-2</v>
      </c>
      <c r="J43" t="str">
        <f t="shared" si="1"/>
        <v>X</v>
      </c>
    </row>
    <row r="44" spans="1:10" ht="15">
      <c r="A44" s="46" t="s">
        <v>410</v>
      </c>
      <c r="B44" s="47">
        <v>747</v>
      </c>
      <c r="C44" s="48"/>
      <c r="D44" s="48">
        <v>21</v>
      </c>
      <c r="E44" s="48">
        <v>36</v>
      </c>
      <c r="F44" s="48"/>
      <c r="G44" s="48"/>
      <c r="H44" s="50" t="str">
        <f>IF($B44="","",IF($J44="X",B44,CONCATENATE(VLOOKUP(B44,Competitors!$A$2:$I$650,3,FALSE)," ",VLOOKUP(B44,Competitors!$A$2:$I$650,2,FALSE))))</f>
        <v>James Moore</v>
      </c>
      <c r="I44" s="51">
        <f t="shared" si="0"/>
        <v>1.4999999999999999E-2</v>
      </c>
      <c r="J44" t="str">
        <f t="shared" si="1"/>
        <v/>
      </c>
    </row>
    <row r="45" spans="1:10" ht="15">
      <c r="A45" s="46" t="s">
        <v>509</v>
      </c>
      <c r="B45" s="47" t="s">
        <v>561</v>
      </c>
      <c r="C45" s="48"/>
      <c r="D45" s="48">
        <v>24</v>
      </c>
      <c r="E45" s="48">
        <v>40</v>
      </c>
      <c r="F45" s="48"/>
      <c r="G45" s="48"/>
      <c r="H45" s="50" t="str">
        <f>IF($B45="","",IF($J45="X",B45,CONCATENATE(VLOOKUP(B45,Competitors!$A$2:$I$650,3,FALSE)," ",VLOOKUP(B45,Competitors!$A$2:$I$650,2,FALSE))))</f>
        <v>Mark Newton (Ratae)</v>
      </c>
      <c r="I45" s="51">
        <f t="shared" si="0"/>
        <v>1.712962962962963E-2</v>
      </c>
      <c r="J45" t="str">
        <f t="shared" si="1"/>
        <v>X</v>
      </c>
    </row>
    <row r="46" spans="1:10" ht="15">
      <c r="A46" s="46" t="s">
        <v>414</v>
      </c>
      <c r="B46" s="47">
        <v>699</v>
      </c>
      <c r="C46" s="48"/>
      <c r="D46" s="48">
        <v>22</v>
      </c>
      <c r="E46" s="48">
        <v>14</v>
      </c>
      <c r="F46" s="48"/>
      <c r="G46" s="48"/>
      <c r="H46" s="50" t="str">
        <f>IF($B46="","",IF($J46="X",B46,CONCATENATE(VLOOKUP(B46,Competitors!$A$2:$I$650,3,FALSE)," ",VLOOKUP(B46,Competitors!$A$2:$I$650,2,FALSE))))</f>
        <v>Jonathan Durnin</v>
      </c>
      <c r="I46" s="51">
        <f t="shared" si="0"/>
        <v>1.5439814814814814E-2</v>
      </c>
      <c r="J46" t="str">
        <f t="shared" si="1"/>
        <v/>
      </c>
    </row>
    <row r="47" spans="1:10" ht="15">
      <c r="A47" s="46"/>
      <c r="B47" s="47" t="str">
        <f t="shared" ref="B47:B97" si="2">IF(A47="","",_xlfn.XLOOKUP(A47,ClubNames,ClubNumbers,_xlfn.XLOOKUP(A47,RoundRobinRiderNames,RoundRobinRiderDecoratedNames,A47)))</f>
        <v/>
      </c>
      <c r="C47" s="48"/>
      <c r="D47" s="48"/>
      <c r="E47" s="48"/>
      <c r="F47" s="48"/>
      <c r="G47" s="48"/>
      <c r="H47" s="50" t="str">
        <f>IF($B47="","",IF($J47="X",B47,CONCATENATE(VLOOKUP(B47,Competitors!$A$2:$I$650,3,FALSE)," ",VLOOKUP(B47,Competitors!$A$2:$I$650,2,FALSE))))</f>
        <v/>
      </c>
      <c r="I47" s="51">
        <f t="shared" si="0"/>
        <v>0</v>
      </c>
      <c r="J47" t="str">
        <f t="shared" si="1"/>
        <v/>
      </c>
    </row>
    <row r="48" spans="1:10" ht="15">
      <c r="A48" s="46"/>
      <c r="B48" s="47" t="str">
        <f t="shared" si="2"/>
        <v/>
      </c>
      <c r="C48" s="48"/>
      <c r="D48" s="48"/>
      <c r="E48" s="48"/>
      <c r="F48" s="48"/>
      <c r="G48" s="48"/>
      <c r="H48" s="50" t="str">
        <f>IF($B48="","",IF($J48="X",B48,CONCATENATE(VLOOKUP(B48,Competitors!$A$2:$I$650,3,FALSE)," ",VLOOKUP(B48,Competitors!$A$2:$I$650,2,FALSE))))</f>
        <v/>
      </c>
      <c r="I48" s="51">
        <f t="shared" si="0"/>
        <v>0</v>
      </c>
      <c r="J48" t="str">
        <f t="shared" si="1"/>
        <v/>
      </c>
    </row>
    <row r="49" spans="1:10" ht="15">
      <c r="A49" s="46"/>
      <c r="B49" s="47" t="str">
        <f t="shared" si="2"/>
        <v/>
      </c>
      <c r="C49" s="48"/>
      <c r="D49" s="48"/>
      <c r="E49" s="48"/>
      <c r="F49" s="48"/>
      <c r="G49" s="48"/>
      <c r="H49" s="50" t="str">
        <f>IF($B49="","",IF($J49="X",B49,CONCATENATE(VLOOKUP(B49,Competitors!$A$2:$I$650,3,FALSE)," ",VLOOKUP(B49,Competitors!$A$2:$I$650,2,FALSE))))</f>
        <v/>
      </c>
      <c r="I49" s="51">
        <f t="shared" si="0"/>
        <v>0</v>
      </c>
      <c r="J49" t="str">
        <f t="shared" si="1"/>
        <v/>
      </c>
    </row>
    <row r="50" spans="1:10" ht="15">
      <c r="A50" s="46"/>
      <c r="B50" s="47" t="str">
        <f t="shared" si="2"/>
        <v/>
      </c>
      <c r="C50" s="48"/>
      <c r="D50" s="48"/>
      <c r="E50" s="48"/>
      <c r="F50" s="48"/>
      <c r="G50" s="48"/>
      <c r="H50" s="50" t="str">
        <f>IF($B50="","",IF($J50="X",B50,CONCATENATE(VLOOKUP(B50,Competitors!$A$2:$I$650,3,FALSE)," ",VLOOKUP(B50,Competitors!$A$2:$I$650,2,FALSE))))</f>
        <v/>
      </c>
      <c r="I50" s="51">
        <f t="shared" si="0"/>
        <v>0</v>
      </c>
      <c r="J50" t="str">
        <f t="shared" si="1"/>
        <v/>
      </c>
    </row>
    <row r="51" spans="1:10" ht="15">
      <c r="A51" s="46"/>
      <c r="B51" s="47" t="str">
        <f t="shared" si="2"/>
        <v/>
      </c>
      <c r="C51" s="48"/>
      <c r="D51" s="48"/>
      <c r="E51" s="48"/>
      <c r="F51" s="48"/>
      <c r="G51" s="48"/>
      <c r="H51" s="50" t="str">
        <f>IF($B51="","",IF($J51="X",B51,CONCATENATE(VLOOKUP(B51,Competitors!$A$2:$I$650,3,FALSE)," ",VLOOKUP(B51,Competitors!$A$2:$I$650,2,FALSE))))</f>
        <v/>
      </c>
      <c r="I51" s="51">
        <f t="shared" si="0"/>
        <v>0</v>
      </c>
      <c r="J51" t="str">
        <f t="shared" si="1"/>
        <v/>
      </c>
    </row>
    <row r="52" spans="1:10" ht="15">
      <c r="A52" s="46"/>
      <c r="B52" s="47" t="str">
        <f t="shared" si="2"/>
        <v/>
      </c>
      <c r="C52" s="48"/>
      <c r="D52" s="48"/>
      <c r="E52" s="48"/>
      <c r="F52" s="48"/>
      <c r="G52" s="48"/>
      <c r="H52" s="50" t="str">
        <f>IF($B52="","",IF($J52="X",B52,CONCATENATE(VLOOKUP(B52,Competitors!$A$2:$I$650,3,FALSE)," ",VLOOKUP(B52,Competitors!$A$2:$I$650,2,FALSE))))</f>
        <v/>
      </c>
      <c r="I52" s="51">
        <f t="shared" si="0"/>
        <v>0</v>
      </c>
      <c r="J52" t="str">
        <f t="shared" si="1"/>
        <v/>
      </c>
    </row>
    <row r="53" spans="1:10" ht="15">
      <c r="A53" s="46"/>
      <c r="B53" s="47" t="str">
        <f t="shared" si="2"/>
        <v/>
      </c>
      <c r="C53" s="48"/>
      <c r="D53" s="48"/>
      <c r="E53" s="48"/>
      <c r="F53" s="48"/>
      <c r="G53" s="48"/>
      <c r="H53" s="50" t="str">
        <f>IF($B53="","",IF($J53="X",B53,CONCATENATE(VLOOKUP(B53,Competitors!$A$2:$I$650,3,FALSE)," ",VLOOKUP(B53,Competitors!$A$2:$I$650,2,FALSE))))</f>
        <v/>
      </c>
      <c r="I53" s="51">
        <f t="shared" si="0"/>
        <v>0</v>
      </c>
      <c r="J53" t="str">
        <f t="shared" si="1"/>
        <v/>
      </c>
    </row>
    <row r="54" spans="1:10" ht="15">
      <c r="A54" s="46"/>
      <c r="B54" s="47" t="str">
        <f t="shared" si="2"/>
        <v/>
      </c>
      <c r="C54" s="48"/>
      <c r="D54" s="48"/>
      <c r="E54" s="48"/>
      <c r="F54" s="48"/>
      <c r="G54" s="48"/>
      <c r="H54" s="50" t="str">
        <f>IF($B54="","",IF($J54="X",B54,CONCATENATE(VLOOKUP(B54,Competitors!$A$2:$I$650,3,FALSE)," ",VLOOKUP(B54,Competitors!$A$2:$I$650,2,FALSE))))</f>
        <v/>
      </c>
      <c r="I54" s="51">
        <f t="shared" si="0"/>
        <v>0</v>
      </c>
      <c r="J54" t="str">
        <f t="shared" si="1"/>
        <v/>
      </c>
    </row>
    <row r="55" spans="1:10" ht="15">
      <c r="A55" s="46"/>
      <c r="B55" s="47" t="str">
        <f t="shared" si="2"/>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2"/>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2"/>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2"/>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2"/>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2"/>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2"/>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2"/>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2"/>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2"/>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2"/>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2"/>
        <v/>
      </c>
      <c r="C66" s="48"/>
      <c r="D66" s="48"/>
      <c r="E66" s="48"/>
      <c r="F66" s="48"/>
      <c r="G66" s="48"/>
      <c r="H66" s="50" t="str">
        <f>IF($B66="","",IF($J66="X",B66,CONCATENATE(VLOOKUP(B66,Competitors!$A$2:$I$650,3,FALSE)," ",VLOOKUP(B66,Competitors!$A$2:$I$650,2,FALSE))))</f>
        <v/>
      </c>
      <c r="I66" s="51">
        <f t="shared" ref="I66:I101" si="3">IF(LEFT($F66,1)="D",UPPER($F66),(C66*3600+D66*60+E66)/86400)</f>
        <v>0</v>
      </c>
      <c r="J66" t="str">
        <f t="shared" ref="J66:J101" si="4">IF(OR(B66="",ISNUMBER(B66)),"","X")</f>
        <v/>
      </c>
    </row>
    <row r="67" spans="1:10" ht="15">
      <c r="A67" s="46"/>
      <c r="B67" s="47" t="str">
        <f t="shared" si="2"/>
        <v/>
      </c>
      <c r="C67" s="48"/>
      <c r="D67" s="48"/>
      <c r="E67" s="48"/>
      <c r="F67" s="48"/>
      <c r="G67" s="48"/>
      <c r="H67" s="50" t="str">
        <f>IF($B67="","",IF($J67="X",B67,CONCATENATE(VLOOKUP(B67,Competitors!$A$2:$I$650,3,FALSE)," ",VLOOKUP(B67,Competitors!$A$2:$I$650,2,FALSE))))</f>
        <v/>
      </c>
      <c r="I67" s="51">
        <f t="shared" si="3"/>
        <v>0</v>
      </c>
      <c r="J67" t="str">
        <f t="shared" si="4"/>
        <v/>
      </c>
    </row>
    <row r="68" spans="1:10" ht="15">
      <c r="A68" s="46"/>
      <c r="B68" s="47" t="str">
        <f t="shared" si="2"/>
        <v/>
      </c>
      <c r="C68" s="48"/>
      <c r="D68" s="48"/>
      <c r="E68" s="48"/>
      <c r="F68" s="48"/>
      <c r="G68" s="48"/>
      <c r="H68" s="50" t="str">
        <f>IF($B68="","",IF($J68="X",B68,CONCATENATE(VLOOKUP(B68,Competitors!$A$2:$I$650,3,FALSE)," ",VLOOKUP(B68,Competitors!$A$2:$I$650,2,FALSE))))</f>
        <v/>
      </c>
      <c r="I68" s="51">
        <f t="shared" si="3"/>
        <v>0</v>
      </c>
      <c r="J68" t="str">
        <f t="shared" si="4"/>
        <v/>
      </c>
    </row>
    <row r="69" spans="1:10" ht="15">
      <c r="A69" s="46"/>
      <c r="B69" s="47" t="str">
        <f t="shared" si="2"/>
        <v/>
      </c>
      <c r="C69" s="48"/>
      <c r="D69" s="48"/>
      <c r="E69" s="48"/>
      <c r="F69" s="48"/>
      <c r="G69" s="48"/>
      <c r="H69" s="50" t="str">
        <f>IF($B69="","",IF($J69="X",B69,CONCATENATE(VLOOKUP(B69,Competitors!$A$2:$I$650,3,FALSE)," ",VLOOKUP(B69,Competitors!$A$2:$I$650,2,FALSE))))</f>
        <v/>
      </c>
      <c r="I69" s="51">
        <f t="shared" si="3"/>
        <v>0</v>
      </c>
      <c r="J69" t="str">
        <f t="shared" si="4"/>
        <v/>
      </c>
    </row>
    <row r="70" spans="1:10" ht="15">
      <c r="A70" s="46"/>
      <c r="B70" s="47" t="str">
        <f t="shared" si="2"/>
        <v/>
      </c>
      <c r="C70" s="48"/>
      <c r="D70" s="48"/>
      <c r="E70" s="48"/>
      <c r="F70" s="48"/>
      <c r="G70" s="48"/>
      <c r="H70" s="50" t="str">
        <f>IF($B70="","",IF($J70="X",B70,CONCATENATE(VLOOKUP(B70,Competitors!$A$2:$I$650,3,FALSE)," ",VLOOKUP(B70,Competitors!$A$2:$I$650,2,FALSE))))</f>
        <v/>
      </c>
      <c r="I70" s="51">
        <f t="shared" si="3"/>
        <v>0</v>
      </c>
      <c r="J70" t="str">
        <f t="shared" si="4"/>
        <v/>
      </c>
    </row>
    <row r="71" spans="1:10" ht="15">
      <c r="A71" s="46"/>
      <c r="B71" s="47" t="str">
        <f t="shared" si="2"/>
        <v/>
      </c>
      <c r="C71" s="48"/>
      <c r="D71" s="48"/>
      <c r="E71" s="48"/>
      <c r="F71" s="48"/>
      <c r="G71" s="48"/>
      <c r="H71" s="50" t="str">
        <f>IF($B71="","",IF($J71="X",B71,CONCATENATE(VLOOKUP(B71,Competitors!$A$2:$I$650,3,FALSE)," ",VLOOKUP(B71,Competitors!$A$2:$I$650,2,FALSE))))</f>
        <v/>
      </c>
      <c r="I71" s="51">
        <f t="shared" si="3"/>
        <v>0</v>
      </c>
      <c r="J71" t="str">
        <f t="shared" si="4"/>
        <v/>
      </c>
    </row>
    <row r="72" spans="1:10" ht="15">
      <c r="A72" s="46"/>
      <c r="B72" s="47" t="str">
        <f t="shared" si="2"/>
        <v/>
      </c>
      <c r="C72" s="48"/>
      <c r="D72" s="48"/>
      <c r="E72" s="48"/>
      <c r="F72" s="48"/>
      <c r="G72" s="48"/>
      <c r="H72" s="50" t="str">
        <f>IF($B72="","",IF($J72="X",B72,CONCATENATE(VLOOKUP(B72,Competitors!$A$2:$I$650,3,FALSE)," ",VLOOKUP(B72,Competitors!$A$2:$I$650,2,FALSE))))</f>
        <v/>
      </c>
      <c r="I72" s="51">
        <f t="shared" si="3"/>
        <v>0</v>
      </c>
      <c r="J72" t="str">
        <f t="shared" si="4"/>
        <v/>
      </c>
    </row>
    <row r="73" spans="1:10" ht="15">
      <c r="A73" s="46"/>
      <c r="B73" s="47" t="str">
        <f t="shared" si="2"/>
        <v/>
      </c>
      <c r="C73" s="48"/>
      <c r="D73" s="48"/>
      <c r="E73" s="48"/>
      <c r="F73" s="48"/>
      <c r="G73" s="48"/>
      <c r="H73" s="50" t="str">
        <f>IF($B73="","",IF($J73="X",B73,CONCATENATE(VLOOKUP(B73,Competitors!$A$2:$I$650,3,FALSE)," ",VLOOKUP(B73,Competitors!$A$2:$I$650,2,FALSE))))</f>
        <v/>
      </c>
      <c r="I73" s="51">
        <f t="shared" si="3"/>
        <v>0</v>
      </c>
      <c r="J73" t="str">
        <f t="shared" si="4"/>
        <v/>
      </c>
    </row>
    <row r="74" spans="1:10" ht="15">
      <c r="A74" s="46"/>
      <c r="B74" s="47" t="str">
        <f t="shared" si="2"/>
        <v/>
      </c>
      <c r="C74" s="48"/>
      <c r="D74" s="48"/>
      <c r="E74" s="48"/>
      <c r="F74" s="48"/>
      <c r="G74" s="48"/>
      <c r="H74" s="50" t="str">
        <f>IF($B74="","",IF($J74="X",B74,CONCATENATE(VLOOKUP(B74,Competitors!$A$2:$I$650,3,FALSE)," ",VLOOKUP(B74,Competitors!$A$2:$I$650,2,FALSE))))</f>
        <v/>
      </c>
      <c r="I74" s="51">
        <f t="shared" si="3"/>
        <v>0</v>
      </c>
      <c r="J74" t="str">
        <f t="shared" si="4"/>
        <v/>
      </c>
    </row>
    <row r="75" spans="1:10" ht="15">
      <c r="A75" s="46"/>
      <c r="B75" s="47" t="str">
        <f t="shared" si="2"/>
        <v/>
      </c>
      <c r="C75" s="48"/>
      <c r="D75" s="48"/>
      <c r="E75" s="48"/>
      <c r="F75" s="48"/>
      <c r="G75" s="48"/>
      <c r="H75" s="50" t="str">
        <f>IF($B75="","",IF($J75="X",B75,CONCATENATE(VLOOKUP(B75,Competitors!$A$2:$I$650,3,FALSE)," ",VLOOKUP(B75,Competitors!$A$2:$I$650,2,FALSE))))</f>
        <v/>
      </c>
      <c r="I75" s="51">
        <f t="shared" si="3"/>
        <v>0</v>
      </c>
      <c r="J75" t="str">
        <f t="shared" si="4"/>
        <v/>
      </c>
    </row>
    <row r="76" spans="1:10" ht="15">
      <c r="A76" s="46"/>
      <c r="B76" s="47" t="str">
        <f t="shared" si="2"/>
        <v/>
      </c>
      <c r="C76" s="48"/>
      <c r="D76" s="48"/>
      <c r="E76" s="48"/>
      <c r="F76" s="48"/>
      <c r="G76" s="48"/>
      <c r="H76" s="50" t="str">
        <f>IF($B76="","",IF($J76="X",B76,CONCATENATE(VLOOKUP(B76,Competitors!$A$2:$I$650,3,FALSE)," ",VLOOKUP(B76,Competitors!$A$2:$I$650,2,FALSE))))</f>
        <v/>
      </c>
      <c r="I76" s="51">
        <f t="shared" si="3"/>
        <v>0</v>
      </c>
      <c r="J76" t="str">
        <f t="shared" si="4"/>
        <v/>
      </c>
    </row>
    <row r="77" spans="1:10" ht="15">
      <c r="A77" s="46"/>
      <c r="B77" s="47" t="str">
        <f t="shared" si="2"/>
        <v/>
      </c>
      <c r="C77" s="48"/>
      <c r="D77" s="48"/>
      <c r="E77" s="48"/>
      <c r="F77" s="48"/>
      <c r="G77" s="48"/>
      <c r="H77" s="50" t="str">
        <f>IF($B77="","",IF($J77="X",B77,CONCATENATE(VLOOKUP(B77,Competitors!$A$2:$I$650,3,FALSE)," ",VLOOKUP(B77,Competitors!$A$2:$I$650,2,FALSE))))</f>
        <v/>
      </c>
      <c r="I77" s="51">
        <f t="shared" si="3"/>
        <v>0</v>
      </c>
      <c r="J77" t="str">
        <f t="shared" si="4"/>
        <v/>
      </c>
    </row>
    <row r="78" spans="1:10" ht="15">
      <c r="A78" s="46"/>
      <c r="B78" s="47" t="str">
        <f t="shared" si="2"/>
        <v/>
      </c>
      <c r="C78" s="48"/>
      <c r="D78" s="48"/>
      <c r="E78" s="48"/>
      <c r="F78" s="48"/>
      <c r="G78" s="48"/>
      <c r="H78" s="50" t="str">
        <f>IF($B78="","",IF($J78="X",B78,CONCATENATE(VLOOKUP(B78,Competitors!$A$2:$I$650,3,FALSE)," ",VLOOKUP(B78,Competitors!$A$2:$I$650,2,FALSE))))</f>
        <v/>
      </c>
      <c r="I78" s="51">
        <f t="shared" si="3"/>
        <v>0</v>
      </c>
      <c r="J78" t="str">
        <f t="shared" si="4"/>
        <v/>
      </c>
    </row>
    <row r="79" spans="1:10" ht="15">
      <c r="A79" s="46"/>
      <c r="B79" s="47" t="str">
        <f t="shared" si="2"/>
        <v/>
      </c>
      <c r="C79" s="48"/>
      <c r="D79" s="48"/>
      <c r="E79" s="48"/>
      <c r="F79" s="48"/>
      <c r="G79" s="48"/>
      <c r="H79" s="50" t="str">
        <f>IF($B79="","",IF($J79="X",B79,CONCATENATE(VLOOKUP(B79,Competitors!$A$2:$I$650,3,FALSE)," ",VLOOKUP(B79,Competitors!$A$2:$I$650,2,FALSE))))</f>
        <v/>
      </c>
      <c r="I79" s="51">
        <f t="shared" si="3"/>
        <v>0</v>
      </c>
      <c r="J79" t="str">
        <f t="shared" si="4"/>
        <v/>
      </c>
    </row>
    <row r="80" spans="1:10" ht="15">
      <c r="A80" s="46"/>
      <c r="B80" s="47" t="str">
        <f t="shared" si="2"/>
        <v/>
      </c>
      <c r="C80" s="48"/>
      <c r="D80" s="48"/>
      <c r="E80" s="48"/>
      <c r="F80" s="48"/>
      <c r="G80" s="48"/>
      <c r="H80" s="50" t="str">
        <f>IF($B80="","",IF($J80="X",B80,CONCATENATE(VLOOKUP(B80,Competitors!$A$2:$I$650,3,FALSE)," ",VLOOKUP(B80,Competitors!$A$2:$I$650,2,FALSE))))</f>
        <v/>
      </c>
      <c r="I80" s="51">
        <f t="shared" si="3"/>
        <v>0</v>
      </c>
      <c r="J80" t="str">
        <f t="shared" si="4"/>
        <v/>
      </c>
    </row>
    <row r="81" spans="1:10" ht="15">
      <c r="A81" s="46"/>
      <c r="B81" s="47" t="str">
        <f t="shared" si="2"/>
        <v/>
      </c>
      <c r="C81" s="48"/>
      <c r="D81" s="48"/>
      <c r="E81" s="48"/>
      <c r="F81" s="48"/>
      <c r="G81" s="48"/>
      <c r="H81" s="50" t="str">
        <f>IF($B81="","",IF($J81="X",B81,CONCATENATE(VLOOKUP(B81,Competitors!$A$2:$I$650,3,FALSE)," ",VLOOKUP(B81,Competitors!$A$2:$I$650,2,FALSE))))</f>
        <v/>
      </c>
      <c r="I81" s="51">
        <f t="shared" si="3"/>
        <v>0</v>
      </c>
      <c r="J81" t="str">
        <f t="shared" si="4"/>
        <v/>
      </c>
    </row>
    <row r="82" spans="1:10" ht="15">
      <c r="A82" s="46"/>
      <c r="B82" s="47" t="str">
        <f t="shared" si="2"/>
        <v/>
      </c>
      <c r="C82" s="48"/>
      <c r="D82" s="48"/>
      <c r="E82" s="48"/>
      <c r="F82" s="48"/>
      <c r="G82" s="48"/>
      <c r="H82" s="50" t="str">
        <f>IF($B82="","",IF($J82="X",B82,CONCATENATE(VLOOKUP(B82,Competitors!$A$2:$I$650,3,FALSE)," ",VLOOKUP(B82,Competitors!$A$2:$I$650,2,FALSE))))</f>
        <v/>
      </c>
      <c r="I82" s="51">
        <f t="shared" si="3"/>
        <v>0</v>
      </c>
      <c r="J82" t="str">
        <f t="shared" si="4"/>
        <v/>
      </c>
    </row>
    <row r="83" spans="1:10" ht="15">
      <c r="A83" s="46"/>
      <c r="B83" s="47" t="str">
        <f t="shared" si="2"/>
        <v/>
      </c>
      <c r="C83" s="48"/>
      <c r="D83" s="48"/>
      <c r="E83" s="48"/>
      <c r="F83" s="48"/>
      <c r="G83" s="48"/>
      <c r="H83" s="50" t="str">
        <f>IF($B83="","",IF($J83="X",B83,CONCATENATE(VLOOKUP(B83,Competitors!$A$2:$I$650,3,FALSE)," ",VLOOKUP(B83,Competitors!$A$2:$I$650,2,FALSE))))</f>
        <v/>
      </c>
      <c r="I83" s="51">
        <f t="shared" si="3"/>
        <v>0</v>
      </c>
      <c r="J83" t="str">
        <f t="shared" si="4"/>
        <v/>
      </c>
    </row>
    <row r="84" spans="1:10" ht="15">
      <c r="A84" s="46"/>
      <c r="B84" s="47" t="str">
        <f t="shared" si="2"/>
        <v/>
      </c>
      <c r="C84" s="48"/>
      <c r="D84" s="48"/>
      <c r="E84" s="48"/>
      <c r="F84" s="48"/>
      <c r="G84" s="48"/>
      <c r="H84" s="50" t="str">
        <f>IF($B84="","",IF($J84="X",B84,CONCATENATE(VLOOKUP(B84,Competitors!$A$2:$I$650,3,FALSE)," ",VLOOKUP(B84,Competitors!$A$2:$I$650,2,FALSE))))</f>
        <v/>
      </c>
      <c r="I84" s="51">
        <f t="shared" si="3"/>
        <v>0</v>
      </c>
      <c r="J84" t="str">
        <f t="shared" si="4"/>
        <v/>
      </c>
    </row>
    <row r="85" spans="1:10" ht="15">
      <c r="A85" s="46"/>
      <c r="B85" s="47" t="str">
        <f t="shared" si="2"/>
        <v/>
      </c>
      <c r="C85" s="48"/>
      <c r="D85" s="48"/>
      <c r="E85" s="48"/>
      <c r="F85" s="48"/>
      <c r="G85" s="48"/>
      <c r="H85" s="50" t="str">
        <f>IF($B85="","",IF($J85="X",B85,CONCATENATE(VLOOKUP(B85,Competitors!$A$2:$I$650,3,FALSE)," ",VLOOKUP(B85,Competitors!$A$2:$I$650,2,FALSE))))</f>
        <v/>
      </c>
      <c r="I85" s="51">
        <f t="shared" si="3"/>
        <v>0</v>
      </c>
      <c r="J85" t="str">
        <f t="shared" si="4"/>
        <v/>
      </c>
    </row>
    <row r="86" spans="1:10" ht="15">
      <c r="A86" s="46"/>
      <c r="B86" s="47" t="str">
        <f t="shared" si="2"/>
        <v/>
      </c>
      <c r="C86" s="48"/>
      <c r="D86" s="48"/>
      <c r="E86" s="48"/>
      <c r="F86" s="48"/>
      <c r="G86" s="48"/>
      <c r="H86" s="50" t="str">
        <f>IF($B86="","",IF($J86="X",B86,CONCATENATE(VLOOKUP(B86,Competitors!$A$2:$I$650,3,FALSE)," ",VLOOKUP(B86,Competitors!$A$2:$I$650,2,FALSE))))</f>
        <v/>
      </c>
      <c r="I86" s="51">
        <f t="shared" si="3"/>
        <v>0</v>
      </c>
      <c r="J86" t="str">
        <f t="shared" si="4"/>
        <v/>
      </c>
    </row>
    <row r="87" spans="1:10" ht="15">
      <c r="A87" s="46"/>
      <c r="B87" s="47" t="str">
        <f t="shared" si="2"/>
        <v/>
      </c>
      <c r="C87" s="48"/>
      <c r="D87" s="48"/>
      <c r="E87" s="48"/>
      <c r="F87" s="48"/>
      <c r="G87" s="48"/>
      <c r="H87" s="50" t="str">
        <f>IF($B87="","",IF($J87="X",B87,CONCATENATE(VLOOKUP(B87,Competitors!$A$2:$I$650,3,FALSE)," ",VLOOKUP(B87,Competitors!$A$2:$I$650,2,FALSE))))</f>
        <v/>
      </c>
      <c r="I87" s="51">
        <f t="shared" si="3"/>
        <v>0</v>
      </c>
      <c r="J87" t="str">
        <f t="shared" si="4"/>
        <v/>
      </c>
    </row>
    <row r="88" spans="1:10" ht="15">
      <c r="A88" s="46"/>
      <c r="B88" s="47" t="str">
        <f t="shared" si="2"/>
        <v/>
      </c>
      <c r="C88" s="48"/>
      <c r="D88" s="48"/>
      <c r="E88" s="48"/>
      <c r="F88" s="48"/>
      <c r="G88" s="48"/>
      <c r="H88" s="50" t="str">
        <f>IF($B88="","",IF($J88="X",B88,CONCATENATE(VLOOKUP(B88,Competitors!$A$2:$I$650,3,FALSE)," ",VLOOKUP(B88,Competitors!$A$2:$I$650,2,FALSE))))</f>
        <v/>
      </c>
      <c r="I88" s="51">
        <f t="shared" si="3"/>
        <v>0</v>
      </c>
      <c r="J88" t="str">
        <f t="shared" si="4"/>
        <v/>
      </c>
    </row>
    <row r="89" spans="1:10" ht="15">
      <c r="A89" s="46"/>
      <c r="B89" s="47" t="str">
        <f t="shared" si="2"/>
        <v/>
      </c>
      <c r="C89" s="48"/>
      <c r="D89" s="48"/>
      <c r="E89" s="48"/>
      <c r="F89" s="48"/>
      <c r="G89" s="48"/>
      <c r="H89" s="50" t="str">
        <f>IF($B89="","",IF($J89="X",B89,CONCATENATE(VLOOKUP(B89,Competitors!$A$2:$I$650,3,FALSE)," ",VLOOKUP(B89,Competitors!$A$2:$I$650,2,FALSE))))</f>
        <v/>
      </c>
      <c r="I89" s="51">
        <f t="shared" si="3"/>
        <v>0</v>
      </c>
      <c r="J89" t="str">
        <f t="shared" si="4"/>
        <v/>
      </c>
    </row>
    <row r="90" spans="1:10" ht="15">
      <c r="A90" s="46"/>
      <c r="B90" s="47" t="str">
        <f t="shared" si="2"/>
        <v/>
      </c>
      <c r="C90" s="48"/>
      <c r="D90" s="48"/>
      <c r="E90" s="48"/>
      <c r="F90" s="48"/>
      <c r="G90" s="48"/>
      <c r="H90" s="50" t="str">
        <f>IF($B90="","",IF($J90="X",B90,CONCATENATE(VLOOKUP(B90,Competitors!$A$2:$I$650,3,FALSE)," ",VLOOKUP(B90,Competitors!$A$2:$I$650,2,FALSE))))</f>
        <v/>
      </c>
      <c r="I90" s="51">
        <f t="shared" si="3"/>
        <v>0</v>
      </c>
      <c r="J90" t="str">
        <f t="shared" si="4"/>
        <v/>
      </c>
    </row>
    <row r="91" spans="1:10" ht="15">
      <c r="A91" s="46"/>
      <c r="B91" s="47" t="str">
        <f t="shared" si="2"/>
        <v/>
      </c>
      <c r="C91" s="48"/>
      <c r="D91" s="48"/>
      <c r="E91" s="48"/>
      <c r="F91" s="48"/>
      <c r="G91" s="48"/>
      <c r="H91" s="50" t="str">
        <f>IF($B91="","",IF($J91="X",B91,CONCATENATE(VLOOKUP(B91,Competitors!$A$2:$I$650,3,FALSE)," ",VLOOKUP(B91,Competitors!$A$2:$I$650,2,FALSE))))</f>
        <v/>
      </c>
      <c r="I91" s="51">
        <f t="shared" si="3"/>
        <v>0</v>
      </c>
      <c r="J91" t="str">
        <f t="shared" si="4"/>
        <v/>
      </c>
    </row>
    <row r="92" spans="1:10" ht="15">
      <c r="A92" s="46"/>
      <c r="B92" s="47" t="str">
        <f t="shared" si="2"/>
        <v/>
      </c>
      <c r="C92" s="48"/>
      <c r="D92" s="48"/>
      <c r="E92" s="48"/>
      <c r="F92" s="48"/>
      <c r="G92" s="48"/>
      <c r="H92" s="50" t="str">
        <f>IF($B92="","",IF($J92="X",B92,CONCATENATE(VLOOKUP(B92,Competitors!$A$2:$I$650,3,FALSE)," ",VLOOKUP(B92,Competitors!$A$2:$I$650,2,FALSE))))</f>
        <v/>
      </c>
      <c r="I92" s="51">
        <f t="shared" si="3"/>
        <v>0</v>
      </c>
      <c r="J92" t="str">
        <f t="shared" si="4"/>
        <v/>
      </c>
    </row>
    <row r="93" spans="1:10" ht="15">
      <c r="A93" s="46"/>
      <c r="B93" s="47" t="str">
        <f t="shared" si="2"/>
        <v/>
      </c>
      <c r="C93" s="48"/>
      <c r="D93" s="48"/>
      <c r="E93" s="48"/>
      <c r="F93" s="48"/>
      <c r="G93" s="48"/>
      <c r="H93" s="50" t="str">
        <f>IF($B93="","",IF($J93="X",B93,CONCATENATE(VLOOKUP(B93,Competitors!$A$2:$I$650,3,FALSE)," ",VLOOKUP(B93,Competitors!$A$2:$I$650,2,FALSE))))</f>
        <v/>
      </c>
      <c r="I93" s="51">
        <f t="shared" si="3"/>
        <v>0</v>
      </c>
      <c r="J93" t="str">
        <f t="shared" si="4"/>
        <v/>
      </c>
    </row>
    <row r="94" spans="1:10" ht="15">
      <c r="A94" s="46"/>
      <c r="B94" s="47" t="str">
        <f t="shared" si="2"/>
        <v/>
      </c>
      <c r="C94" s="48"/>
      <c r="D94" s="48"/>
      <c r="E94" s="48"/>
      <c r="F94" s="48"/>
      <c r="G94" s="48"/>
      <c r="H94" s="50" t="str">
        <f>IF($B94="","",IF($J94="X",B94,CONCATENATE(VLOOKUP(B94,Competitors!$A$2:$I$650,3,FALSE)," ",VLOOKUP(B94,Competitors!$A$2:$I$650,2,FALSE))))</f>
        <v/>
      </c>
      <c r="I94" s="51">
        <f t="shared" si="3"/>
        <v>0</v>
      </c>
      <c r="J94" t="str">
        <f t="shared" si="4"/>
        <v/>
      </c>
    </row>
    <row r="95" spans="1:10" ht="15">
      <c r="A95" s="46"/>
      <c r="B95" s="47" t="str">
        <f t="shared" si="2"/>
        <v/>
      </c>
      <c r="C95" s="48"/>
      <c r="D95" s="48"/>
      <c r="E95" s="48"/>
      <c r="F95" s="48"/>
      <c r="G95" s="48"/>
      <c r="H95" s="50" t="str">
        <f>IF($B95="","",IF($J95="X",B95,CONCATENATE(VLOOKUP(B95,Competitors!$A$2:$I$650,3,FALSE)," ",VLOOKUP(B95,Competitors!$A$2:$I$650,2,FALSE))))</f>
        <v/>
      </c>
      <c r="I95" s="51">
        <f t="shared" si="3"/>
        <v>0</v>
      </c>
      <c r="J95" t="str">
        <f t="shared" si="4"/>
        <v/>
      </c>
    </row>
    <row r="96" spans="1:10" ht="15">
      <c r="A96" s="46"/>
      <c r="B96" s="47" t="str">
        <f t="shared" si="2"/>
        <v/>
      </c>
      <c r="C96" s="48"/>
      <c r="D96" s="48"/>
      <c r="E96" s="48"/>
      <c r="F96" s="48"/>
      <c r="G96" s="48"/>
      <c r="H96" s="50" t="str">
        <f>IF($B96="","",IF($J96="X",B96,CONCATENATE(VLOOKUP(B96,Competitors!$A$2:$I$650,3,FALSE)," ",VLOOKUP(B96,Competitors!$A$2:$I$650,2,FALSE))))</f>
        <v/>
      </c>
      <c r="I96" s="51">
        <f t="shared" si="3"/>
        <v>0</v>
      </c>
      <c r="J96" t="str">
        <f t="shared" si="4"/>
        <v/>
      </c>
    </row>
    <row r="97" spans="1:10" ht="15">
      <c r="A97" s="46"/>
      <c r="B97" s="47" t="str">
        <f t="shared" si="2"/>
        <v/>
      </c>
      <c r="C97" s="48"/>
      <c r="D97" s="48"/>
      <c r="E97" s="48"/>
      <c r="F97" s="48"/>
      <c r="G97" s="48"/>
      <c r="H97" s="50" t="str">
        <f>IF($B97="","",IF($J97="X",B97,CONCATENATE(VLOOKUP(B97,Competitors!$A$2:$I$650,3,FALSE)," ",VLOOKUP(B97,Competitors!$A$2:$I$650,2,FALSE))))</f>
        <v/>
      </c>
      <c r="I97" s="51">
        <f t="shared" si="3"/>
        <v>0</v>
      </c>
      <c r="J97" t="str">
        <f t="shared" si="4"/>
        <v/>
      </c>
    </row>
    <row r="98" spans="1:10" ht="15">
      <c r="A98" s="46"/>
      <c r="B98" s="47" t="str">
        <f>IF(A98="","",_xlfn.XLOOKUP(A98,ClubNames,ClubNumbers,_xlfn.XLOOKUP(A98,RoundRobinRiderNames,RoundRobinRiderDecoratedNames,A98)))</f>
        <v/>
      </c>
      <c r="C98" s="48"/>
      <c r="D98" s="48"/>
      <c r="E98" s="48"/>
      <c r="F98" s="48"/>
      <c r="G98" s="48"/>
      <c r="H98" s="50" t="str">
        <f>IF($B98="","",IF($J98="X",B98,CONCATENATE(VLOOKUP(B98,Competitors!$A$2:$I$650,3,FALSE)," ",VLOOKUP(B98,Competitors!$A$2:$I$650,2,FALSE))))</f>
        <v/>
      </c>
      <c r="I98" s="51">
        <f t="shared" si="3"/>
        <v>0</v>
      </c>
      <c r="J98" t="str">
        <f t="shared" si="4"/>
        <v/>
      </c>
    </row>
    <row r="99" spans="1:10" ht="15">
      <c r="A99" s="46"/>
      <c r="B99" s="47" t="str">
        <f>IF(A99="","",_xlfn.XLOOKUP(A99,ClubNames,ClubNumbers,_xlfn.XLOOKUP(A99,RoundRobinRiderNames,RoundRobinRiderDecoratedNames,A99)))</f>
        <v/>
      </c>
      <c r="C99" s="48"/>
      <c r="D99" s="48"/>
      <c r="E99" s="48"/>
      <c r="F99" s="48"/>
      <c r="G99" s="48"/>
      <c r="H99" s="50" t="str">
        <f>IF($B99="","",IF($J99="X",B99,CONCATENATE(VLOOKUP(B99,Competitors!$A$2:$I$650,3,FALSE)," ",VLOOKUP(B99,Competitors!$A$2:$I$650,2,FALSE))))</f>
        <v/>
      </c>
      <c r="I99" s="51">
        <f t="shared" si="3"/>
        <v>0</v>
      </c>
      <c r="J99" t="str">
        <f t="shared" si="4"/>
        <v/>
      </c>
    </row>
    <row r="100" spans="1:10" ht="15">
      <c r="A100" s="46"/>
      <c r="B100" s="47" t="str">
        <f>IF(A100="","",_xlfn.XLOOKUP(A100,ClubNames,ClubNumbers,_xlfn.XLOOKUP(A100,RoundRobinRiderNames,RoundRobinRiderDecoratedNames,A100)))</f>
        <v/>
      </c>
      <c r="C100" s="48"/>
      <c r="D100" s="48"/>
      <c r="E100" s="48"/>
      <c r="F100" s="48"/>
      <c r="G100" s="48"/>
      <c r="H100" s="50" t="str">
        <f>IF($B100="","",IF($J100="X",B100,CONCATENATE(VLOOKUP(B100,Competitors!$A$2:$I$650,3, FALSE)," ",VLOOKUP(B100,Competitors!$A$2:$I$650,2,FALSE))))</f>
        <v/>
      </c>
      <c r="I100" s="51">
        <f t="shared" si="3"/>
        <v>0</v>
      </c>
      <c r="J100" t="str">
        <f t="shared" si="4"/>
        <v/>
      </c>
    </row>
    <row r="101" spans="1:10" ht="15">
      <c r="A101" s="46"/>
      <c r="B101" s="47" t="str">
        <f>IF(A101="","",_xlfn.XLOOKUP(A101,ClubNames,ClubNumbers,_xlfn.XLOOKUP(A101,RoundRobinRiderNames,RoundRobinRiderDecoratedNames,A101)))</f>
        <v/>
      </c>
      <c r="C101" s="48"/>
      <c r="D101" s="48"/>
      <c r="E101" s="48"/>
      <c r="F101" s="48"/>
      <c r="G101" s="48"/>
      <c r="H101" s="50" t="str">
        <f>IF($B101="","",IF($J101="X",B101,CONCATENATE(VLOOKUP(B101,Competitors!$A$2:$I$650,3,FALSE)," ",VLOOKUP(B101,Competitors!$A$2:$I$650,2,FALSE))))</f>
        <v/>
      </c>
      <c r="I101" s="51">
        <f t="shared" si="3"/>
        <v>0</v>
      </c>
      <c r="J101" t="str">
        <f t="shared" si="4"/>
        <v/>
      </c>
    </row>
    <row r="102" spans="1:10" s="52" customFormat="1">
      <c r="I102" s="53"/>
    </row>
    <row r="103" spans="1:10">
      <c r="B103" t="s">
        <v>551</v>
      </c>
      <c r="C103" t="str" cm="1">
        <f t="array" aca="1" ref="C103" ca="1">MID(CELL("filename",B1),FIND("]",CELL("filename",B1))+1,255)</f>
        <v>Event_10</v>
      </c>
    </row>
    <row r="104" spans="1:10">
      <c r="B104" t="s">
        <v>552</v>
      </c>
      <c r="C104" t="str">
        <f ca="1">_xlfn.XLOOKUP(C103,Calendar!O:O,Calendar!H:H,"Event is not in calendar")</f>
        <v/>
      </c>
    </row>
  </sheetData>
  <conditionalFormatting sqref="E2:E101">
    <cfRule type="expression" dxfId="54" priority="3">
      <formula>TEXT($C$104,"@")="Y"</formula>
    </cfRule>
  </conditionalFormatting>
  <conditionalFormatting sqref="H2:I101">
    <cfRule type="expression" dxfId="53" priority="2">
      <formula>$J2="X"</formula>
    </cfRule>
  </conditionalFormatting>
  <conditionalFormatting sqref="I2:I101">
    <cfRule type="expression" dxfId="52"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3">
    <pageSetUpPr fitToPage="1"/>
  </sheetPr>
  <dimension ref="A1:J104"/>
  <sheetViews>
    <sheetView workbookViewId="0">
      <selection activeCell="A46" sqref="A46"/>
    </sheetView>
    <sheetView workbookViewId="1"/>
  </sheetViews>
  <sheetFormatPr defaultColWidth="9.1328125" defaultRowHeight="12.75"/>
  <cols>
    <col min="1" max="1" width="29.19921875" bestFit="1" customWidth="1"/>
    <col min="2" max="2" width="41.86328125" bestFit="1" customWidth="1"/>
    <col min="3" max="5" width="4.796875" customWidth="1"/>
    <col min="6" max="7" width="11.1328125" customWidth="1"/>
    <col min="8" max="8" width="32.53125" bestFit="1" customWidth="1"/>
    <col min="9" max="9" width="14.6640625" style="38"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616</v>
      </c>
      <c r="B2" s="47">
        <v>990</v>
      </c>
      <c r="C2" s="48"/>
      <c r="D2" s="48">
        <v>31</v>
      </c>
      <c r="E2" s="48">
        <v>8</v>
      </c>
      <c r="F2" s="48" t="s">
        <v>544</v>
      </c>
      <c r="G2" s="48"/>
      <c r="H2" s="50" t="str">
        <f>IF($B2="","",IF($J2="X",B2,CONCATENATE(VLOOKUP(B2,Competitors!$A$2:$I$650,3, FALSE)," ",VLOOKUP(B2,Competitors!$A$2:$I$650,2,FALSE))))</f>
        <v>Jen Hulme</v>
      </c>
      <c r="I2" s="51">
        <f t="shared" ref="I2:I65" si="0">IF(LEFT($F2,1)="D",UPPER($F2),(C2*3600+D2*60+E2)/86400)</f>
        <v>2.162037037037037E-2</v>
      </c>
      <c r="J2" t="str">
        <f t="shared" ref="J2:J65" si="1">IF(OR(B2="",ISNUMBER(B2)),"","X")</f>
        <v/>
      </c>
    </row>
    <row r="3" spans="1:10" ht="15">
      <c r="A3" s="46" t="s">
        <v>506</v>
      </c>
      <c r="B3" s="47" t="s">
        <v>565</v>
      </c>
      <c r="C3" s="48"/>
      <c r="D3" s="48">
        <v>32</v>
      </c>
      <c r="E3" s="48">
        <v>9</v>
      </c>
      <c r="F3" s="48" t="s">
        <v>544</v>
      </c>
      <c r="G3" s="48"/>
      <c r="H3" s="50" t="str">
        <f>IF($B3="","",IF($J3="X",B3,CONCATENATE(VLOOKUP(B3,Competitors!$A$2:$I$650,3,FALSE)," ",VLOOKUP(B3,Competitors!$A$2:$I$650,2,FALSE))))</f>
        <v>Lesley Allden (Ratae)</v>
      </c>
      <c r="I3" s="51">
        <f t="shared" si="0"/>
        <v>2.2326388888888889E-2</v>
      </c>
      <c r="J3" t="str">
        <f t="shared" si="1"/>
        <v>X</v>
      </c>
    </row>
    <row r="4" spans="1:10" ht="15">
      <c r="A4" s="46" t="s">
        <v>459</v>
      </c>
      <c r="B4" s="47">
        <v>742</v>
      </c>
      <c r="C4" s="48"/>
      <c r="D4" s="48">
        <v>30</v>
      </c>
      <c r="E4" s="48">
        <v>17</v>
      </c>
      <c r="F4" s="48" t="s">
        <v>544</v>
      </c>
      <c r="G4" s="48"/>
      <c r="H4" s="50" t="str">
        <f>IF($B4="","",IF($J4="X",B4,CONCATENATE(VLOOKUP(B4,Competitors!$A$2:$I$650,3,FALSE)," ",VLOOKUP(B4,Competitors!$A$2:$I$650,2,FALSE))))</f>
        <v>Claire Moore</v>
      </c>
      <c r="I4" s="51">
        <f t="shared" si="0"/>
        <v>2.1030092592592593E-2</v>
      </c>
      <c r="J4" t="str">
        <f t="shared" si="1"/>
        <v/>
      </c>
    </row>
    <row r="5" spans="1:10" ht="15">
      <c r="A5" s="46" t="s">
        <v>447</v>
      </c>
      <c r="B5" s="47">
        <v>1194</v>
      </c>
      <c r="C5" s="48"/>
      <c r="D5" s="48">
        <v>28</v>
      </c>
      <c r="E5" s="48">
        <v>4</v>
      </c>
      <c r="F5" s="48" t="s">
        <v>544</v>
      </c>
      <c r="G5" s="48"/>
      <c r="H5" s="50" t="str">
        <f>IF($B5="","",IF($J5="X",B5,CONCATENATE(VLOOKUP(B5,Competitors!$A$2:$I$650,3,FALSE)," ",VLOOKUP(B5,Competitors!$A$2:$I$650,2,FALSE))))</f>
        <v>Alex Hardwicke</v>
      </c>
      <c r="I5" s="51">
        <f t="shared" si="0"/>
        <v>1.9490740740740739E-2</v>
      </c>
      <c r="J5" t="str">
        <f t="shared" si="1"/>
        <v/>
      </c>
    </row>
    <row r="6" spans="1:10" ht="15">
      <c r="A6" s="46" t="s">
        <v>575</v>
      </c>
      <c r="B6" s="47">
        <v>935</v>
      </c>
      <c r="C6" s="48"/>
      <c r="D6" s="48">
        <v>34</v>
      </c>
      <c r="E6" s="48">
        <v>39</v>
      </c>
      <c r="F6" s="48" t="s">
        <v>544</v>
      </c>
      <c r="G6" s="48"/>
      <c r="H6" s="50" t="str">
        <f>IF($B6="","",IF($J6="X",B6,CONCATENATE(VLOOKUP(B6,Competitors!$A$2:$I$650,3,FALSE)," ",VLOOKUP(B6,Competitors!$A$2:$I$650,2,FALSE))))</f>
        <v>Sophie Ward</v>
      </c>
      <c r="I6" s="51">
        <f t="shared" si="0"/>
        <v>2.4062500000000001E-2</v>
      </c>
      <c r="J6" t="str">
        <f t="shared" si="1"/>
        <v/>
      </c>
    </row>
    <row r="7" spans="1:10" ht="15">
      <c r="A7" s="46" t="s">
        <v>443</v>
      </c>
      <c r="B7" s="47">
        <v>1193</v>
      </c>
      <c r="C7" s="48"/>
      <c r="D7" s="48">
        <v>26</v>
      </c>
      <c r="E7" s="48">
        <v>53</v>
      </c>
      <c r="F7" s="48" t="s">
        <v>544</v>
      </c>
      <c r="G7" s="48"/>
      <c r="H7" s="50" t="str">
        <f>IF($B7="","",IF($J7="X",B7,CONCATENATE(VLOOKUP(B7,Competitors!$A$2:$I$650,3,FALSE)," ",VLOOKUP(B7,Competitors!$A$2:$I$650,2,FALSE))))</f>
        <v>Richard Hardwicke</v>
      </c>
      <c r="I7" s="51">
        <f t="shared" si="0"/>
        <v>1.8668981481481481E-2</v>
      </c>
      <c r="J7" t="str">
        <f t="shared" si="1"/>
        <v/>
      </c>
    </row>
    <row r="8" spans="1:10" ht="15">
      <c r="A8" s="46" t="s">
        <v>460</v>
      </c>
      <c r="B8" s="47">
        <v>7</v>
      </c>
      <c r="C8" s="48"/>
      <c r="D8" s="48">
        <v>30</v>
      </c>
      <c r="E8" s="48">
        <v>52</v>
      </c>
      <c r="F8" s="48" t="s">
        <v>544</v>
      </c>
      <c r="G8" s="48"/>
      <c r="H8" s="50" t="str">
        <f>IF($B8="","",IF($J8="X",B8,CONCATENATE(VLOOKUP(B8,Competitors!$A$2:$I$650,3,FALSE)," ",VLOOKUP(B8,Competitors!$A$2:$I$650,2,FALSE))))</f>
        <v>Vic Barnett</v>
      </c>
      <c r="I8" s="51">
        <f t="shared" si="0"/>
        <v>2.1435185185185186E-2</v>
      </c>
      <c r="J8" t="str">
        <f t="shared" si="1"/>
        <v/>
      </c>
    </row>
    <row r="9" spans="1:10" ht="15">
      <c r="A9" s="46" t="s">
        <v>437</v>
      </c>
      <c r="B9" s="47">
        <v>1195</v>
      </c>
      <c r="C9" s="48"/>
      <c r="D9" s="48">
        <v>25</v>
      </c>
      <c r="E9" s="48">
        <v>14</v>
      </c>
      <c r="F9" s="48" t="s">
        <v>544</v>
      </c>
      <c r="G9" s="48"/>
      <c r="H9" s="50" t="str">
        <f>IF($B9="","",IF($J9="X",B9,CONCATENATE(VLOOKUP(B9,Competitors!$A$2:$I$650,3,FALSE)," ",VLOOKUP(B9,Competitors!$A$2:$I$650,2,FALSE))))</f>
        <v>Charlie Hardwicke</v>
      </c>
      <c r="I9" s="51">
        <f t="shared" si="0"/>
        <v>1.7523148148148149E-2</v>
      </c>
      <c r="J9" t="str">
        <f t="shared" si="1"/>
        <v/>
      </c>
    </row>
    <row r="10" spans="1:10" ht="15">
      <c r="A10" s="46" t="s">
        <v>501</v>
      </c>
      <c r="B10" s="47" t="s">
        <v>554</v>
      </c>
      <c r="C10" s="48"/>
      <c r="D10" s="48">
        <v>24</v>
      </c>
      <c r="E10" s="48">
        <v>11</v>
      </c>
      <c r="F10" s="48"/>
      <c r="G10" s="48"/>
      <c r="H10" s="50" t="str">
        <f>IF($B10="","",IF($J10="X",B10,CONCATENATE(VLOOKUP(B10,Competitors!$A$2:$I$650,3, FALSE)," ",VLOOKUP(B10,Competitors!$A$2:$I$650,2,FALSE))))</f>
        <v>Chris Bonsor (Ratae)</v>
      </c>
      <c r="I10" s="51">
        <f t="shared" si="0"/>
        <v>1.6793981481481483E-2</v>
      </c>
      <c r="J10" t="str">
        <f t="shared" si="1"/>
        <v>X</v>
      </c>
    </row>
    <row r="11" spans="1:10" ht="15">
      <c r="A11" s="46" t="s">
        <v>418</v>
      </c>
      <c r="B11" s="47">
        <v>1355</v>
      </c>
      <c r="C11" s="48"/>
      <c r="D11" s="48">
        <v>24</v>
      </c>
      <c r="E11" s="48">
        <v>7</v>
      </c>
      <c r="F11" s="48" t="s">
        <v>544</v>
      </c>
      <c r="G11" s="48"/>
      <c r="H11" s="50" t="str">
        <f>IF($B11="","",IF($J11="X",B11,CONCATENATE(VLOOKUP(B11,Competitors!$A$2:$I$650,3,FALSE)," ",VLOOKUP(B11,Competitors!$A$2:$I$650,2,FALSE))))</f>
        <v>Aubrey Elmer</v>
      </c>
      <c r="I11" s="51">
        <f t="shared" si="0"/>
        <v>1.6747685185185185E-2</v>
      </c>
      <c r="J11" t="str">
        <f t="shared" si="1"/>
        <v/>
      </c>
    </row>
    <row r="12" spans="1:10" ht="15">
      <c r="A12" s="46" t="s">
        <v>456</v>
      </c>
      <c r="B12" s="47">
        <v>967</v>
      </c>
      <c r="C12" s="48"/>
      <c r="D12" s="48">
        <v>23</v>
      </c>
      <c r="E12" s="48">
        <v>7</v>
      </c>
      <c r="F12" s="48" t="s">
        <v>544</v>
      </c>
      <c r="G12" s="48"/>
      <c r="H12" s="50" t="str">
        <f>IF($B12="","",IF($J12="X",B12,CONCATENATE(VLOOKUP(B12,Competitors!$A$2:$I$650,3,FALSE)," ",VLOOKUP(B12,Competitors!$A$2:$I$650,2,FALSE))))</f>
        <v>Daniel McDonnell</v>
      </c>
      <c r="I12" s="51">
        <f t="shared" si="0"/>
        <v>1.6053240740740739E-2</v>
      </c>
      <c r="J12" t="str">
        <f t="shared" si="1"/>
        <v/>
      </c>
    </row>
    <row r="13" spans="1:10" ht="15">
      <c r="A13" s="46" t="s">
        <v>576</v>
      </c>
      <c r="B13" s="47">
        <v>741</v>
      </c>
      <c r="C13" s="48"/>
      <c r="D13" s="48">
        <v>23</v>
      </c>
      <c r="E13" s="48">
        <v>10</v>
      </c>
      <c r="F13" s="48" t="s">
        <v>544</v>
      </c>
      <c r="G13" s="48"/>
      <c r="H13" s="50" t="str">
        <f>IF($B13="","",IF($J13="X",B13,CONCATENATE(VLOOKUP(B13,Competitors!$A$2:$I$650,3,FALSE)," ",VLOOKUP(B13,Competitors!$A$2:$I$650,2,FALSE))))</f>
        <v>Rob Moore</v>
      </c>
      <c r="I13" s="51">
        <f t="shared" si="0"/>
        <v>1.6087962962962964E-2</v>
      </c>
      <c r="J13" t="str">
        <f t="shared" si="1"/>
        <v/>
      </c>
    </row>
    <row r="14" spans="1:10" ht="15">
      <c r="A14" s="46" t="s">
        <v>572</v>
      </c>
      <c r="B14" s="47" t="s">
        <v>572</v>
      </c>
      <c r="C14" s="48"/>
      <c r="D14" s="48">
        <v>27</v>
      </c>
      <c r="E14" s="48">
        <v>32</v>
      </c>
      <c r="F14" s="48" t="s">
        <v>544</v>
      </c>
      <c r="G14" s="48"/>
      <c r="H14" s="50" t="str">
        <f>IF($B14="","",IF($J14="X",B14,CONCATENATE(VLOOKUP(B14,Competitors!$A$2:$I$650,3,FALSE)," ",VLOOKUP(B14,Competitors!$A$2:$I$650,2,FALSE))))</f>
        <v>Tom Keane</v>
      </c>
      <c r="I14" s="51">
        <f t="shared" si="0"/>
        <v>1.9120370370370371E-2</v>
      </c>
      <c r="J14" t="str">
        <f t="shared" si="1"/>
        <v>X</v>
      </c>
    </row>
    <row r="15" spans="1:10" ht="15">
      <c r="A15" s="46" t="s">
        <v>548</v>
      </c>
      <c r="B15" s="47">
        <v>674</v>
      </c>
      <c r="C15" s="48"/>
      <c r="D15" s="48">
        <v>25</v>
      </c>
      <c r="E15" s="48">
        <v>6</v>
      </c>
      <c r="F15" s="48"/>
      <c r="G15" s="48"/>
      <c r="H15" s="50" t="str">
        <f>IF($B15="","",IF($J15="X",B15,CONCATENATE(VLOOKUP(B15,Competitors!$A$2:$I$650,3,FALSE)," ",VLOOKUP(B15,Competitors!$A$2:$I$650,2,FALSE))))</f>
        <v>Jennifer Clegg</v>
      </c>
      <c r="I15" s="51">
        <f t="shared" si="0"/>
        <v>1.7430555555555557E-2</v>
      </c>
      <c r="J15" t="str">
        <f t="shared" si="1"/>
        <v/>
      </c>
    </row>
    <row r="16" spans="1:10" ht="15">
      <c r="A16" s="46" t="s">
        <v>566</v>
      </c>
      <c r="B16" s="47" t="s">
        <v>566</v>
      </c>
      <c r="C16" s="48"/>
      <c r="D16" s="48">
        <v>27</v>
      </c>
      <c r="E16" s="48">
        <v>48</v>
      </c>
      <c r="F16" s="48" t="s">
        <v>544</v>
      </c>
      <c r="G16" s="48"/>
      <c r="H16" s="50" t="str">
        <f>IF($B16="","",IF($J16="X",B16,CONCATENATE(VLOOKUP(B16,Competitors!$A$2:$I$650,3,FALSE)," ",VLOOKUP(B16,Competitors!$A$2:$I$650,2,FALSE))))</f>
        <v>Laura Davison</v>
      </c>
      <c r="I16" s="51">
        <f t="shared" si="0"/>
        <v>1.9305555555555555E-2</v>
      </c>
      <c r="J16" t="str">
        <f t="shared" si="1"/>
        <v>X</v>
      </c>
    </row>
    <row r="17" spans="1:10" ht="15">
      <c r="A17" s="46" t="s">
        <v>429</v>
      </c>
      <c r="B17" s="47">
        <v>1107</v>
      </c>
      <c r="C17" s="48"/>
      <c r="D17" s="48">
        <v>25</v>
      </c>
      <c r="E17" s="48">
        <v>54</v>
      </c>
      <c r="F17" s="48"/>
      <c r="G17" s="48"/>
      <c r="H17" s="50" t="str">
        <f>IF($B17="","",IF($J17="X",B17,CONCATENATE(VLOOKUP(B17,Competitors!$A$2:$I$650,3,FALSE)," ",VLOOKUP(B17,Competitors!$A$2:$I$650,2,FALSE))))</f>
        <v>Milly Pinnock</v>
      </c>
      <c r="I17" s="51">
        <f t="shared" si="0"/>
        <v>1.7986111111111112E-2</v>
      </c>
      <c r="J17" t="str">
        <f t="shared" si="1"/>
        <v/>
      </c>
    </row>
    <row r="18" spans="1:10" ht="15">
      <c r="A18" s="46" t="s">
        <v>577</v>
      </c>
      <c r="B18" s="47">
        <v>1048</v>
      </c>
      <c r="C18" s="48"/>
      <c r="D18" s="48">
        <v>29</v>
      </c>
      <c r="E18" s="48">
        <v>34</v>
      </c>
      <c r="F18" s="48" t="s">
        <v>544</v>
      </c>
      <c r="G18" s="48"/>
      <c r="H18" s="50" t="str">
        <f>IF($B18="","",IF($J18="X",B18,CONCATENATE(VLOOKUP(B18,Competitors!$A$2:$I$650,3,FALSE)," ",VLOOKUP(B18,Competitors!$A$2:$I$650,2,FALSE))))</f>
        <v>Andy Smith</v>
      </c>
      <c r="I18" s="51">
        <f t="shared" si="0"/>
        <v>2.0532407407407409E-2</v>
      </c>
      <c r="J18" t="str">
        <f t="shared" si="1"/>
        <v/>
      </c>
    </row>
    <row r="19" spans="1:10" ht="15">
      <c r="A19" s="60" t="s">
        <v>780</v>
      </c>
      <c r="B19" s="47" t="s">
        <v>781</v>
      </c>
      <c r="C19" s="48"/>
      <c r="D19" s="48">
        <v>36</v>
      </c>
      <c r="E19" s="48">
        <v>33</v>
      </c>
      <c r="F19" s="48"/>
      <c r="G19" s="48"/>
      <c r="H19" s="50" t="str">
        <f>IF($B19="","",IF($J19="X",B19,CONCATENATE(VLOOKUP(B19,Competitors!$A$2:$I$650,3,FALSE)," ",VLOOKUP(B19,Competitors!$A$2:$I$650,2,FALSE))))</f>
        <v>Geoff Stanbridge (Fenland Clarion) (Ratae)</v>
      </c>
      <c r="I19" s="51">
        <f t="shared" si="0"/>
        <v>2.5381944444444443E-2</v>
      </c>
      <c r="J19" t="str">
        <f t="shared" si="1"/>
        <v>X</v>
      </c>
    </row>
    <row r="20" spans="1:10" ht="15">
      <c r="A20" s="46" t="s">
        <v>430</v>
      </c>
      <c r="B20" s="47">
        <v>616</v>
      </c>
      <c r="C20" s="48"/>
      <c r="D20" s="48">
        <v>25</v>
      </c>
      <c r="E20" s="48">
        <v>16</v>
      </c>
      <c r="F20" s="48"/>
      <c r="G20" s="48"/>
      <c r="H20" s="50" t="str">
        <f>IF($B20="","",IF($J20="X",B20,CONCATENATE(VLOOKUP(B20,Competitors!$A$2:$I$650,3,FALSE)," ",VLOOKUP(B20,Competitors!$A$2:$I$650,2,FALSE))))</f>
        <v>Simon Ward</v>
      </c>
      <c r="I20" s="51">
        <f t="shared" si="0"/>
        <v>1.7546296296296296E-2</v>
      </c>
      <c r="J20" t="str">
        <f t="shared" si="1"/>
        <v/>
      </c>
    </row>
    <row r="21" spans="1:10" ht="15">
      <c r="A21" s="46" t="s">
        <v>410</v>
      </c>
      <c r="B21" s="47">
        <v>747</v>
      </c>
      <c r="C21" s="48"/>
      <c r="D21" s="48">
        <v>21</v>
      </c>
      <c r="E21" s="48">
        <v>50</v>
      </c>
      <c r="F21" s="48"/>
      <c r="G21" s="48"/>
      <c r="H21" s="50" t="str">
        <f>IF($B21="","",IF($J21="X",B21,CONCATENATE(VLOOKUP(B21,Competitors!$A$2:$I$650,3,FALSE)," ",VLOOKUP(B21,Competitors!$A$2:$I$650,2,FALSE))))</f>
        <v>James Moore</v>
      </c>
      <c r="I21" s="51">
        <f t="shared" si="0"/>
        <v>1.5162037037037036E-2</v>
      </c>
      <c r="J21" t="str">
        <f t="shared" si="1"/>
        <v/>
      </c>
    </row>
    <row r="22" spans="1:10" ht="15">
      <c r="A22" s="46" t="s">
        <v>500</v>
      </c>
      <c r="B22" s="47" t="s">
        <v>563</v>
      </c>
      <c r="C22" s="48"/>
      <c r="D22" s="48">
        <v>29</v>
      </c>
      <c r="E22" s="48">
        <v>1</v>
      </c>
      <c r="F22" s="48" t="s">
        <v>544</v>
      </c>
      <c r="G22" s="48"/>
      <c r="H22" s="50" t="str">
        <f>IF($B22="","",IF($J22="X",B22,CONCATENATE(VLOOKUP(B22,Competitors!$A$2:$I$650,3,FALSE)," ",VLOOKUP(B22,Competitors!$A$2:$I$650,2,FALSE))))</f>
        <v>Brian Lincoln (Ratae)</v>
      </c>
      <c r="I22" s="51">
        <f t="shared" si="0"/>
        <v>2.0150462962962964E-2</v>
      </c>
      <c r="J22" t="str">
        <f t="shared" si="1"/>
        <v>X</v>
      </c>
    </row>
    <row r="23" spans="1:10" ht="15">
      <c r="A23" s="46" t="s">
        <v>439</v>
      </c>
      <c r="B23" s="47">
        <v>23</v>
      </c>
      <c r="C23" s="48"/>
      <c r="D23" s="48">
        <v>26</v>
      </c>
      <c r="E23" s="48">
        <v>4</v>
      </c>
      <c r="F23" s="48"/>
      <c r="G23" s="48"/>
      <c r="H23" s="50" t="str">
        <f>IF($B23="","",IF($J23="X",B23,CONCATENATE(VLOOKUP(B23,Competitors!$A$2:$I$650,3,FALSE)," ",VLOOKUP(B23,Competitors!$A$2:$I$650,2,FALSE))))</f>
        <v>Chris Hyde</v>
      </c>
      <c r="I23" s="51">
        <f t="shared" si="0"/>
        <v>1.8101851851851852E-2</v>
      </c>
      <c r="J23" t="str">
        <f t="shared" si="1"/>
        <v/>
      </c>
    </row>
    <row r="24" spans="1:10" ht="15">
      <c r="A24" s="46" t="s">
        <v>509</v>
      </c>
      <c r="B24" s="47" t="s">
        <v>561</v>
      </c>
      <c r="C24" s="48"/>
      <c r="D24" s="48">
        <v>24</v>
      </c>
      <c r="E24" s="48">
        <v>22</v>
      </c>
      <c r="F24" s="48"/>
      <c r="G24" s="48"/>
      <c r="H24" s="50" t="str">
        <f>IF($B24="","",IF($J24="X",B24,CONCATENATE(VLOOKUP(B24,Competitors!$A$2:$I$650,3,FALSE)," ",VLOOKUP(B24,Competitors!$A$2:$I$650,2,FALSE))))</f>
        <v>Mark Newton (Ratae)</v>
      </c>
      <c r="I24" s="51">
        <f t="shared" si="0"/>
        <v>1.6921296296296295E-2</v>
      </c>
      <c r="J24" t="str">
        <f t="shared" si="1"/>
        <v>X</v>
      </c>
    </row>
    <row r="25" spans="1:10" ht="15">
      <c r="A25" s="46" t="s">
        <v>440</v>
      </c>
      <c r="B25" s="47">
        <v>245</v>
      </c>
      <c r="C25" s="48"/>
      <c r="D25" s="48">
        <v>25</v>
      </c>
      <c r="E25" s="48">
        <v>40</v>
      </c>
      <c r="F25" s="48"/>
      <c r="G25" s="48"/>
      <c r="H25" s="50" t="str">
        <f>IF($B25="","",IF($J25="X",B25,CONCATENATE(VLOOKUP(B25,Competitors!$A$2:$I$650,3,FALSE)," ",VLOOKUP(B25,Competitors!$A$2:$I$650,2,FALSE))))</f>
        <v>David Reay</v>
      </c>
      <c r="I25" s="51">
        <f t="shared" si="0"/>
        <v>1.7824074074074076E-2</v>
      </c>
      <c r="J25" t="str">
        <f t="shared" si="1"/>
        <v/>
      </c>
    </row>
    <row r="26" spans="1:10" ht="15">
      <c r="A26" s="46" t="s">
        <v>417</v>
      </c>
      <c r="B26" s="47">
        <v>1152</v>
      </c>
      <c r="C26" s="48"/>
      <c r="D26" s="48">
        <v>23</v>
      </c>
      <c r="E26" s="48">
        <v>20</v>
      </c>
      <c r="F26" s="48"/>
      <c r="G26" s="48"/>
      <c r="H26" s="50" t="str">
        <f>IF($B26="","",IF($J26="X",B26,CONCATENATE(VLOOKUP(B26,Competitors!$A$2:$I$650,3,FALSE)," ",VLOOKUP(B26,Competitors!$A$2:$I$650,2,FALSE))))</f>
        <v>Ruby Isaac</v>
      </c>
      <c r="I26" s="51">
        <f t="shared" si="0"/>
        <v>1.6203703703703703E-2</v>
      </c>
      <c r="J26" t="str">
        <f t="shared" si="1"/>
        <v/>
      </c>
    </row>
    <row r="27" spans="1:10" ht="15">
      <c r="A27" s="46" t="s">
        <v>578</v>
      </c>
      <c r="B27" s="47">
        <v>704</v>
      </c>
      <c r="C27" s="48"/>
      <c r="D27" s="48">
        <v>26</v>
      </c>
      <c r="E27" s="48">
        <v>6</v>
      </c>
      <c r="F27" s="48"/>
      <c r="G27" s="48"/>
      <c r="H27" s="50" t="str">
        <f>IF($B27="","",IF($J27="X",B27,CONCATENATE(VLOOKUP(B27,Competitors!$A$2:$I$650,3,FALSE)," ",VLOOKUP(B27,Competitors!$A$2:$I$650,2,FALSE))))</f>
        <v>Chris Dainty</v>
      </c>
      <c r="I27" s="51">
        <f t="shared" si="0"/>
        <v>1.8124999999999999E-2</v>
      </c>
      <c r="J27" t="str">
        <f t="shared" si="1"/>
        <v/>
      </c>
    </row>
    <row r="28" spans="1:10" ht="15">
      <c r="A28" s="46" t="s">
        <v>455</v>
      </c>
      <c r="B28" s="47">
        <v>295</v>
      </c>
      <c r="C28" s="48"/>
      <c r="D28" s="48">
        <v>27</v>
      </c>
      <c r="E28" s="48">
        <v>8</v>
      </c>
      <c r="F28" s="48" t="s">
        <v>544</v>
      </c>
      <c r="G28" s="48"/>
      <c r="H28" s="50" t="str">
        <f>IF($B28="","",IF($J28="X",B28,CONCATENATE(VLOOKUP(B28,Competitors!$A$2:$I$650,3,FALSE)," ",VLOOKUP(B28,Competitors!$A$2:$I$650,2,FALSE))))</f>
        <v>Stuart Dawkins</v>
      </c>
      <c r="I28" s="51">
        <f t="shared" si="0"/>
        <v>1.8842592592592591E-2</v>
      </c>
      <c r="J28" t="str">
        <f t="shared" si="1"/>
        <v/>
      </c>
    </row>
    <row r="29" spans="1:10" ht="15">
      <c r="A29" s="46" t="s">
        <v>422</v>
      </c>
      <c r="B29" s="47">
        <v>1407</v>
      </c>
      <c r="C29" s="48"/>
      <c r="D29" s="48">
        <v>24</v>
      </c>
      <c r="E29" s="48">
        <v>20</v>
      </c>
      <c r="F29" s="48" t="s">
        <v>544</v>
      </c>
      <c r="G29" s="48"/>
      <c r="H29" s="50" t="str">
        <f>IF($B29="","",IF($J29="X",B29,CONCATENATE(VLOOKUP(B29,Competitors!$A$2:$I$650,3,FALSE)," ",VLOOKUP(B29,Competitors!$A$2:$I$650,2,FALSE))))</f>
        <v>Colin Dobson</v>
      </c>
      <c r="I29" s="51">
        <f t="shared" si="0"/>
        <v>1.6898148148148148E-2</v>
      </c>
      <c r="J29" t="str">
        <f t="shared" si="1"/>
        <v/>
      </c>
    </row>
    <row r="30" spans="1:10" ht="15">
      <c r="A30" s="46" t="s">
        <v>421</v>
      </c>
      <c r="B30" s="47">
        <v>415</v>
      </c>
      <c r="C30" s="48"/>
      <c r="D30" s="48">
        <v>24</v>
      </c>
      <c r="E30" s="48">
        <v>31</v>
      </c>
      <c r="F30" s="48" t="s">
        <v>544</v>
      </c>
      <c r="G30" s="48"/>
      <c r="H30" s="50" t="str">
        <f>IF($B30="","",IF($J30="X",B30,CONCATENATE(VLOOKUP(B30,Competitors!$A$2:$I$650,3,FALSE)," ",VLOOKUP(B30,Competitors!$A$2:$I$650,2,FALSE))))</f>
        <v>Nik Kershaw</v>
      </c>
      <c r="I30" s="51">
        <f t="shared" si="0"/>
        <v>1.7025462962962964E-2</v>
      </c>
      <c r="J30" t="str">
        <f t="shared" si="1"/>
        <v/>
      </c>
    </row>
    <row r="31" spans="1:10" ht="15">
      <c r="A31" s="46" t="s">
        <v>423</v>
      </c>
      <c r="B31" s="47">
        <v>35</v>
      </c>
      <c r="C31" s="48"/>
      <c r="D31" s="48">
        <v>23</v>
      </c>
      <c r="E31" s="48">
        <v>51</v>
      </c>
      <c r="F31" s="48"/>
      <c r="G31" s="48"/>
      <c r="H31" s="50" t="str">
        <f>IF($B31="","",IF($J31="X",B31,CONCATENATE(VLOOKUP(B31,Competitors!$A$2:$I$650,3,FALSE)," ",VLOOKUP(B31,Competitors!$A$2:$I$650,2,FALSE))))</f>
        <v>Matt Plews</v>
      </c>
      <c r="I31" s="51">
        <f t="shared" si="0"/>
        <v>1.6562500000000001E-2</v>
      </c>
      <c r="J31" t="str">
        <f t="shared" si="1"/>
        <v/>
      </c>
    </row>
    <row r="32" spans="1:10" ht="15">
      <c r="A32" s="46" t="s">
        <v>413</v>
      </c>
      <c r="B32" s="47">
        <v>989</v>
      </c>
      <c r="C32" s="48"/>
      <c r="D32" s="48">
        <v>23</v>
      </c>
      <c r="E32" s="48">
        <v>50</v>
      </c>
      <c r="F32" s="48" t="s">
        <v>544</v>
      </c>
      <c r="G32" s="48"/>
      <c r="H32" s="50" t="str">
        <f>IF($B32="","",IF($J32="X",B32,CONCATENATE(VLOOKUP(B32,Competitors!$A$2:$I$650,3,FALSE)," ",VLOOKUP(B32,Competitors!$A$2:$I$650,2,FALSE))))</f>
        <v>Jason Williams</v>
      </c>
      <c r="I32" s="51">
        <f t="shared" si="0"/>
        <v>1.6550925925925927E-2</v>
      </c>
      <c r="J32" t="str">
        <f t="shared" si="1"/>
        <v/>
      </c>
    </row>
    <row r="33" spans="1:10" ht="15">
      <c r="A33" s="46" t="s">
        <v>412</v>
      </c>
      <c r="B33" s="47">
        <v>1144</v>
      </c>
      <c r="C33" s="48"/>
      <c r="D33" s="48">
        <v>22</v>
      </c>
      <c r="E33" s="48">
        <v>10</v>
      </c>
      <c r="F33" s="48"/>
      <c r="G33" s="48"/>
      <c r="H33" s="50" t="str">
        <f>IF($B33="","",IF($J33="X",B33,CONCATENATE(VLOOKUP(B33,Competitors!$A$2:$I$650,3,FALSE)," ",VLOOKUP(B33,Competitors!$A$2:$I$650,2,FALSE))))</f>
        <v>Jamie Kershaw</v>
      </c>
      <c r="I33" s="51">
        <f t="shared" si="0"/>
        <v>1.5393518518518518E-2</v>
      </c>
      <c r="J33" t="str">
        <f t="shared" si="1"/>
        <v/>
      </c>
    </row>
    <row r="34" spans="1:10" ht="15">
      <c r="A34" s="46" t="s">
        <v>579</v>
      </c>
      <c r="B34" s="47">
        <v>1370</v>
      </c>
      <c r="C34" s="48"/>
      <c r="D34" s="48">
        <v>25</v>
      </c>
      <c r="E34" s="48">
        <v>19</v>
      </c>
      <c r="F34" s="48" t="s">
        <v>544</v>
      </c>
      <c r="G34" s="48"/>
      <c r="H34" s="50" t="str">
        <f>IF($B34="","",IF($J34="X",B34,CONCATENATE(VLOOKUP(B34,Competitors!$A$2:$I$650,3,FALSE)," ",VLOOKUP(B34,Competitors!$A$2:$I$650,2,FALSE))))</f>
        <v>Ian Aldridge</v>
      </c>
      <c r="I34" s="51">
        <f t="shared" si="0"/>
        <v>1.758101851851852E-2</v>
      </c>
      <c r="J34" t="str">
        <f t="shared" si="1"/>
        <v/>
      </c>
    </row>
    <row r="35" spans="1:10" ht="15">
      <c r="A35" s="46" t="s">
        <v>428</v>
      </c>
      <c r="B35" s="47">
        <v>1237</v>
      </c>
      <c r="C35" s="48"/>
      <c r="D35" s="48">
        <v>24</v>
      </c>
      <c r="E35" s="48">
        <v>41</v>
      </c>
      <c r="F35" s="48" t="s">
        <v>544</v>
      </c>
      <c r="G35" s="48"/>
      <c r="H35" s="50" t="str">
        <f>IF($B35="","",IF($J35="X",B35,CONCATENATE(VLOOKUP(B35,Competitors!$A$2:$I$650,3,FALSE)," ",VLOOKUP(B35,Competitors!$A$2:$I$650,2,FALSE))))</f>
        <v>John Abbott</v>
      </c>
      <c r="I35" s="51">
        <f t="shared" si="0"/>
        <v>1.7141203703703704E-2</v>
      </c>
      <c r="J35" t="str">
        <f t="shared" si="1"/>
        <v/>
      </c>
    </row>
    <row r="36" spans="1:10" ht="15">
      <c r="A36" s="46" t="s">
        <v>580</v>
      </c>
      <c r="B36" s="47" t="s">
        <v>580</v>
      </c>
      <c r="C36" s="48"/>
      <c r="D36" s="48">
        <v>26</v>
      </c>
      <c r="E36" s="48">
        <v>19</v>
      </c>
      <c r="F36" s="48" t="s">
        <v>544</v>
      </c>
      <c r="G36" s="48"/>
      <c r="H36" s="50" t="str">
        <f>IF($B36="","",IF($J36="X",B36,CONCATENATE(VLOOKUP(B36,Competitors!$A$2:$I$650,3,FALSE)," ",VLOOKUP(B36,Competitors!$A$2:$I$650,2,FALSE))))</f>
        <v>Brian Harman</v>
      </c>
      <c r="I36" s="51">
        <f t="shared" si="0"/>
        <v>1.8275462962962962E-2</v>
      </c>
      <c r="J36" t="str">
        <f t="shared" si="1"/>
        <v>X</v>
      </c>
    </row>
    <row r="37" spans="1:10" ht="15">
      <c r="A37" s="46" t="s">
        <v>581</v>
      </c>
      <c r="B37" s="47" t="s">
        <v>581</v>
      </c>
      <c r="C37" s="48"/>
      <c r="D37" s="48"/>
      <c r="E37" s="48"/>
      <c r="F37" s="48"/>
      <c r="G37" s="48" t="s">
        <v>553</v>
      </c>
      <c r="H37" s="50" t="str">
        <f>IF($B37="","",IF($J37="X",B37,CONCATENATE(VLOOKUP(B37,Competitors!$A$2:$I$650,3,FALSE)," ",VLOOKUP(B37,Competitors!$A$2:$I$650,2,FALSE))))</f>
        <v>Jonathan Clarke</v>
      </c>
      <c r="I37" s="51">
        <f t="shared" si="0"/>
        <v>0</v>
      </c>
      <c r="J37" t="str">
        <f t="shared" si="1"/>
        <v>X</v>
      </c>
    </row>
    <row r="38" spans="1:10" ht="15">
      <c r="A38" s="46" t="s">
        <v>527</v>
      </c>
      <c r="B38" s="47" t="s">
        <v>558</v>
      </c>
      <c r="C38" s="48"/>
      <c r="D38" s="48">
        <v>23</v>
      </c>
      <c r="E38" s="48">
        <v>36</v>
      </c>
      <c r="F38" s="48"/>
      <c r="G38" s="48"/>
      <c r="H38" s="50" t="str">
        <f>IF($B38="","",IF($J38="X",B38,CONCATENATE(VLOOKUP(B38,Competitors!$A$2:$I$650,3,FALSE)," ",VLOOKUP(B38,Competitors!$A$2:$I$650,2,FALSE))))</f>
        <v>Phil Wilkinson (RFW)</v>
      </c>
      <c r="I38" s="51">
        <f t="shared" si="0"/>
        <v>1.638888888888889E-2</v>
      </c>
      <c r="J38" t="str">
        <f t="shared" si="1"/>
        <v>X</v>
      </c>
    </row>
    <row r="39" spans="1:10" ht="15">
      <c r="A39" s="46" t="s">
        <v>431</v>
      </c>
      <c r="B39" s="47">
        <v>1403</v>
      </c>
      <c r="C39" s="48"/>
      <c r="D39" s="48">
        <v>25</v>
      </c>
      <c r="E39" s="48">
        <v>46</v>
      </c>
      <c r="F39" s="48"/>
      <c r="G39" s="48"/>
      <c r="H39" s="50" t="str">
        <f>IF($B39="","",IF($J39="X",B39,CONCATENATE(VLOOKUP(B39,Competitors!$A$2:$I$650,3,FALSE)," ",VLOOKUP(B39,Competitors!$A$2:$I$650,2,FALSE))))</f>
        <v>Toby Lenehan</v>
      </c>
      <c r="I39" s="51">
        <f t="shared" si="0"/>
        <v>1.7893518518518517E-2</v>
      </c>
      <c r="J39" t="str">
        <f t="shared" si="1"/>
        <v/>
      </c>
    </row>
    <row r="40" spans="1:10" ht="15">
      <c r="A40" s="46" t="s">
        <v>452</v>
      </c>
      <c r="B40" s="47">
        <v>1404</v>
      </c>
      <c r="C40" s="48"/>
      <c r="D40" s="48">
        <v>30</v>
      </c>
      <c r="E40" s="48">
        <v>7</v>
      </c>
      <c r="F40" s="48"/>
      <c r="G40" s="48"/>
      <c r="H40" s="50" t="str">
        <f>IF($B40="","",IF($J40="X",B40,CONCATENATE(VLOOKUP(B40,Competitors!$A$2:$I$650,3,FALSE)," ",VLOOKUP(B40,Competitors!$A$2:$I$650,2,FALSE))))</f>
        <v>Millie Lenehan</v>
      </c>
      <c r="I40" s="51">
        <f t="shared" si="0"/>
        <v>2.0914351851851851E-2</v>
      </c>
      <c r="J40" t="str">
        <f t="shared" si="1"/>
        <v/>
      </c>
    </row>
    <row r="41" spans="1:10" ht="15">
      <c r="A41" s="46" t="s">
        <v>411</v>
      </c>
      <c r="B41" s="47">
        <v>407</v>
      </c>
      <c r="C41" s="48"/>
      <c r="D41" s="48">
        <v>22</v>
      </c>
      <c r="E41" s="48">
        <v>1</v>
      </c>
      <c r="F41" s="48"/>
      <c r="G41" s="48"/>
      <c r="H41" s="50" t="str">
        <f>IF($B41="","",IF($J41="X",B41,CONCATENATE(VLOOKUP(B41,Competitors!$A$2:$I$650,3,FALSE)," ",VLOOKUP(B41,Competitors!$A$2:$I$650,2,FALSE))))</f>
        <v>Hans van Nierop</v>
      </c>
      <c r="I41" s="51">
        <f t="shared" si="0"/>
        <v>1.5289351851851853E-2</v>
      </c>
      <c r="J41" t="str">
        <f t="shared" si="1"/>
        <v/>
      </c>
    </row>
    <row r="42" spans="1:10" ht="15">
      <c r="A42" s="46" t="s">
        <v>420</v>
      </c>
      <c r="B42" s="47">
        <v>1192</v>
      </c>
      <c r="C42" s="48"/>
      <c r="D42" s="48">
        <v>24</v>
      </c>
      <c r="E42" s="48">
        <v>0</v>
      </c>
      <c r="F42" s="48"/>
      <c r="G42" s="48"/>
      <c r="H42" s="50" t="str">
        <f>IF($B42="","",IF($J42="X",B42,CONCATENATE(VLOOKUP(B42,Competitors!$A$2:$I$650,3,FALSE)," ",VLOOKUP(B42,Competitors!$A$2:$I$650,2,FALSE))))</f>
        <v>Dale Norris</v>
      </c>
      <c r="I42" s="51">
        <f t="shared" si="0"/>
        <v>1.6666666666666666E-2</v>
      </c>
      <c r="J42" t="str">
        <f t="shared" si="1"/>
        <v/>
      </c>
    </row>
    <row r="43" spans="1:10" ht="15">
      <c r="A43" s="46" t="s">
        <v>415</v>
      </c>
      <c r="B43" s="47">
        <v>1161</v>
      </c>
      <c r="C43" s="48"/>
      <c r="D43" s="48">
        <v>22</v>
      </c>
      <c r="E43" s="48">
        <v>52</v>
      </c>
      <c r="F43" s="48"/>
      <c r="G43" s="48"/>
      <c r="H43" s="50" t="str">
        <f>IF($B43="","",IF($J43="X",B43,CONCATENATE(VLOOKUP(B43,Competitors!$A$2:$I$650,3,FALSE)," ",VLOOKUP(B43,Competitors!$A$2:$I$650,2,FALSE))))</f>
        <v>Maciej Suchocki</v>
      </c>
      <c r="I43" s="51">
        <f t="shared" si="0"/>
        <v>1.5879629629629629E-2</v>
      </c>
      <c r="J43" t="str">
        <f t="shared" si="1"/>
        <v/>
      </c>
    </row>
    <row r="44" spans="1:10" ht="15">
      <c r="A44" s="46" t="s">
        <v>432</v>
      </c>
      <c r="B44" s="47">
        <v>1112</v>
      </c>
      <c r="C44" s="48"/>
      <c r="D44" s="48">
        <v>25</v>
      </c>
      <c r="E44" s="48">
        <v>51</v>
      </c>
      <c r="F44" s="48"/>
      <c r="G44" s="48"/>
      <c r="H44" s="50" t="str">
        <f>IF($B44="","",IF($J44="X",B44,CONCATENATE(VLOOKUP(B44,Competitors!$A$2:$I$650,3,FALSE)," ",VLOOKUP(B44,Competitors!$A$2:$I$650,2,FALSE))))</f>
        <v>Gary Ashwell</v>
      </c>
      <c r="I44" s="51">
        <f t="shared" si="0"/>
        <v>1.7951388888888888E-2</v>
      </c>
      <c r="J44" t="str">
        <f t="shared" si="1"/>
        <v/>
      </c>
    </row>
    <row r="45" spans="1:10" ht="15">
      <c r="A45" s="46" t="s">
        <v>426</v>
      </c>
      <c r="B45" s="47">
        <v>1055</v>
      </c>
      <c r="C45" s="48"/>
      <c r="D45" s="48">
        <v>24</v>
      </c>
      <c r="E45" s="48">
        <v>48</v>
      </c>
      <c r="F45" s="48"/>
      <c r="G45" s="48"/>
      <c r="H45" s="50" t="str">
        <f>IF($B45="","",IF($J45="X",B45,CONCATENATE(VLOOKUP(B45,Competitors!$A$2:$I$650,3,FALSE)," ",VLOOKUP(B45,Competitors!$A$2:$I$650,2,FALSE))))</f>
        <v>Austin Smith</v>
      </c>
      <c r="I45" s="51">
        <f t="shared" si="0"/>
        <v>1.7222222222222222E-2</v>
      </c>
      <c r="J45" t="str">
        <f t="shared" si="1"/>
        <v/>
      </c>
    </row>
    <row r="46" spans="1:10" ht="15">
      <c r="A46" s="60" t="s">
        <v>790</v>
      </c>
      <c r="B46" s="47" t="s">
        <v>792</v>
      </c>
      <c r="C46" s="48"/>
      <c r="D46" s="48">
        <v>24</v>
      </c>
      <c r="E46" s="48">
        <v>56</v>
      </c>
      <c r="F46" s="48"/>
      <c r="G46" s="48"/>
      <c r="H46" s="50" t="str">
        <f>IF($B46="","",IF($J46="X",B46,CONCATENATE(VLOOKUP(B46,Competitors!$A$2:$I$650,3,FALSE)," ",VLOOKUP(B46,Competitors!$A$2:$I$650,2,FALSE))))</f>
        <v>Mike Deely (George Fox CS) (RFW)</v>
      </c>
      <c r="I46" s="51">
        <f t="shared" si="0"/>
        <v>1.7314814814814814E-2</v>
      </c>
      <c r="J46" t="str">
        <f t="shared" si="1"/>
        <v>X</v>
      </c>
    </row>
    <row r="47" spans="1:10" ht="15">
      <c r="A47" s="46" t="s">
        <v>416</v>
      </c>
      <c r="B47" s="47">
        <v>38</v>
      </c>
      <c r="C47" s="48"/>
      <c r="D47" s="48">
        <v>23</v>
      </c>
      <c r="E47" s="48">
        <v>36</v>
      </c>
      <c r="F47" s="48"/>
      <c r="G47" s="48"/>
      <c r="H47" s="50" t="str">
        <f>IF($B47="","",IF($J47="X",B47,CONCATENATE(VLOOKUP(B47,Competitors!$A$2:$I$650,3,FALSE)," ",VLOOKUP(B47,Competitors!$A$2:$I$650,2,FALSE))))</f>
        <v>Phil Rayner</v>
      </c>
      <c r="I47" s="51">
        <f t="shared" ref="I47:I54" si="2">IF(LEFT($F47,1)="D",UPPER($F47),(C47*3600+D47*60+E47)/86400)</f>
        <v>1.638888888888889E-2</v>
      </c>
      <c r="J47" t="str">
        <f t="shared" si="1"/>
        <v/>
      </c>
    </row>
    <row r="48" spans="1:10" ht="15">
      <c r="A48" s="46" t="s">
        <v>528</v>
      </c>
      <c r="B48" s="47" t="s">
        <v>528</v>
      </c>
      <c r="C48" s="48"/>
      <c r="D48" s="48">
        <v>20</v>
      </c>
      <c r="E48" s="48">
        <v>22</v>
      </c>
      <c r="F48" s="48" t="s">
        <v>544</v>
      </c>
      <c r="G48" s="48"/>
      <c r="H48" s="50" t="str">
        <f>IF($B48="","",IF($J48="X",B48,CONCATENATE(VLOOKUP(B48,Competitors!$A$2:$I$650,3,FALSE)," ",VLOOKUP(B48,Competitors!$A$2:$I$650,2,FALSE))))</f>
        <v>Hudson Hendry</v>
      </c>
      <c r="I48" s="51">
        <f t="shared" si="2"/>
        <v>1.4143518518518519E-2</v>
      </c>
      <c r="J48" t="str">
        <f t="shared" si="1"/>
        <v>X</v>
      </c>
    </row>
    <row r="49" spans="1:10" ht="15">
      <c r="A49" s="46" t="s">
        <v>512</v>
      </c>
      <c r="B49" s="47" t="s">
        <v>567</v>
      </c>
      <c r="C49" s="48"/>
      <c r="D49" s="48">
        <v>29</v>
      </c>
      <c r="E49" s="48">
        <v>58</v>
      </c>
      <c r="F49" s="48" t="s">
        <v>544</v>
      </c>
      <c r="G49" s="48"/>
      <c r="H49" s="50" t="str">
        <f>IF($B49="","",IF($J49="X",B49,CONCATENATE(VLOOKUP(B49,Competitors!$A$2:$I$650,3,FALSE)," ",VLOOKUP(B49,Competitors!$A$2:$I$650,2,FALSE))))</f>
        <v>Paul Eden (Ratae)</v>
      </c>
      <c r="I49" s="51">
        <f t="shared" si="2"/>
        <v>2.0810185185185185E-2</v>
      </c>
      <c r="J49" t="str">
        <f t="shared" si="1"/>
        <v>X</v>
      </c>
    </row>
    <row r="50" spans="1:10" ht="15">
      <c r="A50" s="46" t="s">
        <v>583</v>
      </c>
      <c r="B50" s="47" t="s">
        <v>583</v>
      </c>
      <c r="C50" s="48"/>
      <c r="D50" s="48">
        <v>23</v>
      </c>
      <c r="E50" s="48">
        <v>28</v>
      </c>
      <c r="F50" s="48"/>
      <c r="G50" s="48"/>
      <c r="H50" s="50" t="str">
        <f>IF($B50="","",IF($J50="X",B50,CONCATENATE(VLOOKUP(B50,Competitors!$A$2:$I$650,3,FALSE)," ",VLOOKUP(B50,Competitors!$A$2:$I$650,2,FALSE))))</f>
        <v>Megan Cherry (CAMS Majaco)</v>
      </c>
      <c r="I50" s="51">
        <f t="shared" si="2"/>
        <v>1.6296296296296295E-2</v>
      </c>
      <c r="J50" t="str">
        <f t="shared" si="1"/>
        <v>X</v>
      </c>
    </row>
    <row r="51" spans="1:10" ht="15">
      <c r="A51" s="46" t="s">
        <v>582</v>
      </c>
      <c r="B51" s="47">
        <v>1347</v>
      </c>
      <c r="C51" s="48"/>
      <c r="D51" s="48">
        <v>26</v>
      </c>
      <c r="E51" s="48">
        <v>5</v>
      </c>
      <c r="F51" s="48" t="s">
        <v>544</v>
      </c>
      <c r="G51" s="48"/>
      <c r="H51" s="50" t="str">
        <f>IF($B51="","",IF($J51="X",B51,CONCATENATE(VLOOKUP(B51,Competitors!$A$2:$I$650,3,FALSE)," ",VLOOKUP(B51,Competitors!$A$2:$I$650,2,FALSE))))</f>
        <v>Stuart Simpson-Smith</v>
      </c>
      <c r="I51" s="51">
        <f t="shared" si="2"/>
        <v>1.8113425925925925E-2</v>
      </c>
      <c r="J51" t="str">
        <f t="shared" si="1"/>
        <v/>
      </c>
    </row>
    <row r="52" spans="1:10" ht="15">
      <c r="A52" s="46" t="s">
        <v>414</v>
      </c>
      <c r="B52" s="47">
        <v>699</v>
      </c>
      <c r="C52" s="48"/>
      <c r="D52" s="48">
        <v>22</v>
      </c>
      <c r="E52" s="48">
        <v>39</v>
      </c>
      <c r="F52" s="48"/>
      <c r="G52" s="48"/>
      <c r="H52" s="50" t="str">
        <f>IF($B52="","",IF($J52="X",B52,CONCATENATE(VLOOKUP(B52,Competitors!$A$2:$I$650,3,FALSE)," ",VLOOKUP(B52,Competitors!$A$2:$I$650,2,FALSE))))</f>
        <v>Jonathan Durnin</v>
      </c>
      <c r="I52" s="51">
        <f t="shared" si="2"/>
        <v>1.5729166666666666E-2</v>
      </c>
      <c r="J52" t="str">
        <f t="shared" si="1"/>
        <v/>
      </c>
    </row>
    <row r="53" spans="1:10" ht="15">
      <c r="A53" s="46"/>
      <c r="B53" s="47" t="str">
        <f t="shared" ref="B53:B97" si="3">IF(A53="","",_xlfn.XLOOKUP(A53,ClubNames,ClubNumbers,_xlfn.XLOOKUP(A53,RoundRobinRiderNames,RoundRobinRiderDecoratedNames,A53)))</f>
        <v/>
      </c>
      <c r="C53" s="48"/>
      <c r="D53" s="48"/>
      <c r="E53" s="48"/>
      <c r="F53" s="48"/>
      <c r="G53" s="48"/>
      <c r="H53" s="50" t="str">
        <f>IF($B53="","",IF($J53="X",B53,CONCATENATE(VLOOKUP(B53,Competitors!$A$2:$I$650,3,FALSE)," ",VLOOKUP(B53,Competitors!$A$2:$I$650,2,FALSE))))</f>
        <v/>
      </c>
      <c r="I53" s="51">
        <f t="shared" si="2"/>
        <v>0</v>
      </c>
      <c r="J53" t="str">
        <f t="shared" si="1"/>
        <v/>
      </c>
    </row>
    <row r="54" spans="1:10" ht="15">
      <c r="A54" s="46"/>
      <c r="B54" s="47" t="str">
        <f t="shared" si="3"/>
        <v/>
      </c>
      <c r="C54" s="48"/>
      <c r="D54" s="48"/>
      <c r="E54" s="48"/>
      <c r="F54" s="48"/>
      <c r="G54" s="48"/>
      <c r="H54" s="50" t="str">
        <f>IF($B54="","",IF($J54="X",B54,CONCATENATE(VLOOKUP(B54,Competitors!$A$2:$I$650,3,FALSE)," ",VLOOKUP(B54,Competitors!$A$2:$I$650,2,FALSE))))</f>
        <v/>
      </c>
      <c r="I54" s="51">
        <f t="shared" si="2"/>
        <v>0</v>
      </c>
      <c r="J54" t="str">
        <f t="shared" si="1"/>
        <v/>
      </c>
    </row>
    <row r="55" spans="1:10" ht="15">
      <c r="A55" s="46"/>
      <c r="B55" s="47" t="str">
        <f t="shared" si="3"/>
        <v/>
      </c>
      <c r="C55" s="48"/>
      <c r="D55" s="48"/>
      <c r="E55" s="48"/>
      <c r="F55" s="48"/>
      <c r="G55" s="48"/>
      <c r="H55" s="50" t="str">
        <f>IF($B55="","",IF($J55="X",B55,CONCATENATE(VLOOKUP(B55,Competitors!$A$2:$I$650,3,FALSE)," ",VLOOKUP(B55,Competitors!$A$2:$I$650,2,FALSE))))</f>
        <v/>
      </c>
      <c r="I55" s="51">
        <f t="shared" si="0"/>
        <v>0</v>
      </c>
      <c r="J55" t="str">
        <f t="shared" si="1"/>
        <v/>
      </c>
    </row>
    <row r="56" spans="1:10" ht="15">
      <c r="A56" s="46"/>
      <c r="B56" s="47" t="str">
        <f t="shared" si="3"/>
        <v/>
      </c>
      <c r="C56" s="48"/>
      <c r="D56" s="48"/>
      <c r="E56" s="48"/>
      <c r="F56" s="48"/>
      <c r="G56" s="48"/>
      <c r="H56" s="50" t="str">
        <f>IF($B56="","",IF($J56="X",B56,CONCATENATE(VLOOKUP(B56,Competitors!$A$2:$I$650,3,FALSE)," ",VLOOKUP(B56,Competitors!$A$2:$I$650,2,FALSE))))</f>
        <v/>
      </c>
      <c r="I56" s="51">
        <f t="shared" si="0"/>
        <v>0</v>
      </c>
      <c r="J56" t="str">
        <f t="shared" si="1"/>
        <v/>
      </c>
    </row>
    <row r="57" spans="1:10" ht="15">
      <c r="A57" s="46"/>
      <c r="B57" s="47" t="str">
        <f t="shared" si="3"/>
        <v/>
      </c>
      <c r="C57" s="48"/>
      <c r="D57" s="48"/>
      <c r="E57" s="48"/>
      <c r="F57" s="48"/>
      <c r="G57" s="48"/>
      <c r="H57" s="50" t="str">
        <f>IF($B57="","",IF($J57="X",B57,CONCATENATE(VLOOKUP(B57,Competitors!$A$2:$I$650,3,FALSE)," ",VLOOKUP(B57,Competitors!$A$2:$I$650,2,FALSE))))</f>
        <v/>
      </c>
      <c r="I57" s="51">
        <f t="shared" si="0"/>
        <v>0</v>
      </c>
      <c r="J57" t="str">
        <f t="shared" si="1"/>
        <v/>
      </c>
    </row>
    <row r="58" spans="1:10" ht="15">
      <c r="A58" s="46"/>
      <c r="B58" s="47" t="str">
        <f t="shared" si="3"/>
        <v/>
      </c>
      <c r="C58" s="48"/>
      <c r="D58" s="48"/>
      <c r="E58" s="48"/>
      <c r="F58" s="48"/>
      <c r="G58" s="48"/>
      <c r="H58" s="50" t="str">
        <f>IF($B58="","",IF($J58="X",B58,CONCATENATE(VLOOKUP(B58,Competitors!$A$2:$I$650,3,FALSE)," ",VLOOKUP(B58,Competitors!$A$2:$I$650,2,FALSE))))</f>
        <v/>
      </c>
      <c r="I58" s="51">
        <f t="shared" si="0"/>
        <v>0</v>
      </c>
      <c r="J58" t="str">
        <f t="shared" si="1"/>
        <v/>
      </c>
    </row>
    <row r="59" spans="1:10" ht="15">
      <c r="A59" s="46"/>
      <c r="B59" s="47" t="str">
        <f t="shared" si="3"/>
        <v/>
      </c>
      <c r="C59" s="48"/>
      <c r="D59" s="48"/>
      <c r="E59" s="48"/>
      <c r="F59" s="48"/>
      <c r="G59" s="48"/>
      <c r="H59" s="50" t="str">
        <f>IF($B59="","",IF($J59="X",B59,CONCATENATE(VLOOKUP(B59,Competitors!$A$2:$I$650,3,FALSE)," ",VLOOKUP(B59,Competitors!$A$2:$I$650,2,FALSE))))</f>
        <v/>
      </c>
      <c r="I59" s="51">
        <f t="shared" si="0"/>
        <v>0</v>
      </c>
      <c r="J59" t="str">
        <f t="shared" si="1"/>
        <v/>
      </c>
    </row>
    <row r="60" spans="1:10" ht="15">
      <c r="A60" s="46"/>
      <c r="B60" s="47" t="str">
        <f t="shared" si="3"/>
        <v/>
      </c>
      <c r="C60" s="48"/>
      <c r="D60" s="48"/>
      <c r="E60" s="48"/>
      <c r="F60" s="48"/>
      <c r="G60" s="48"/>
      <c r="H60" s="50" t="str">
        <f>IF($B60="","",IF($J60="X",B60,CONCATENATE(VLOOKUP(B60,Competitors!$A$2:$I$650,3,FALSE)," ",VLOOKUP(B60,Competitors!$A$2:$I$650,2,FALSE))))</f>
        <v/>
      </c>
      <c r="I60" s="51">
        <f t="shared" si="0"/>
        <v>0</v>
      </c>
      <c r="J60" t="str">
        <f t="shared" si="1"/>
        <v/>
      </c>
    </row>
    <row r="61" spans="1:10" ht="15">
      <c r="A61" s="46"/>
      <c r="B61" s="47" t="str">
        <f t="shared" si="3"/>
        <v/>
      </c>
      <c r="C61" s="48"/>
      <c r="D61" s="48"/>
      <c r="E61" s="48"/>
      <c r="F61" s="48"/>
      <c r="G61" s="48"/>
      <c r="H61" s="50" t="str">
        <f>IF($B61="","",IF($J61="X",B61,CONCATENATE(VLOOKUP(B61,Competitors!$A$2:$I$650,3,FALSE)," ",VLOOKUP(B61,Competitors!$A$2:$I$650,2,FALSE))))</f>
        <v/>
      </c>
      <c r="I61" s="51">
        <f t="shared" si="0"/>
        <v>0</v>
      </c>
      <c r="J61" t="str">
        <f t="shared" si="1"/>
        <v/>
      </c>
    </row>
    <row r="62" spans="1:10" ht="15">
      <c r="A62" s="46"/>
      <c r="B62" s="47" t="str">
        <f t="shared" si="3"/>
        <v/>
      </c>
      <c r="C62" s="48"/>
      <c r="D62" s="48"/>
      <c r="E62" s="48"/>
      <c r="F62" s="48"/>
      <c r="G62" s="48"/>
      <c r="H62" s="50" t="str">
        <f>IF($B62="","",IF($J62="X",B62,CONCATENATE(VLOOKUP(B62,Competitors!$A$2:$I$650,3,FALSE)," ",VLOOKUP(B62,Competitors!$A$2:$I$650,2,FALSE))))</f>
        <v/>
      </c>
      <c r="I62" s="51">
        <f t="shared" si="0"/>
        <v>0</v>
      </c>
      <c r="J62" t="str">
        <f t="shared" si="1"/>
        <v/>
      </c>
    </row>
    <row r="63" spans="1:10" ht="15">
      <c r="A63" s="46"/>
      <c r="B63" s="47" t="str">
        <f t="shared" si="3"/>
        <v/>
      </c>
      <c r="C63" s="48"/>
      <c r="D63" s="48"/>
      <c r="E63" s="48"/>
      <c r="F63" s="48"/>
      <c r="G63" s="48"/>
      <c r="H63" s="50" t="str">
        <f>IF($B63="","",IF($J63="X",B63,CONCATENATE(VLOOKUP(B63,Competitors!$A$2:$I$650,3,FALSE)," ",VLOOKUP(B63,Competitors!$A$2:$I$650,2,FALSE))))</f>
        <v/>
      </c>
      <c r="I63" s="51">
        <f t="shared" si="0"/>
        <v>0</v>
      </c>
      <c r="J63" t="str">
        <f t="shared" si="1"/>
        <v/>
      </c>
    </row>
    <row r="64" spans="1:10" ht="15">
      <c r="A64" s="46"/>
      <c r="B64" s="47" t="str">
        <f t="shared" si="3"/>
        <v/>
      </c>
      <c r="C64" s="48"/>
      <c r="D64" s="48"/>
      <c r="E64" s="48"/>
      <c r="F64" s="48"/>
      <c r="G64" s="48"/>
      <c r="H64" s="50" t="str">
        <f>IF($B64="","",IF($J64="X",B64,CONCATENATE(VLOOKUP(B64,Competitors!$A$2:$I$650,3,FALSE)," ",VLOOKUP(B64,Competitors!$A$2:$I$650,2,FALSE))))</f>
        <v/>
      </c>
      <c r="I64" s="51">
        <f t="shared" si="0"/>
        <v>0</v>
      </c>
      <c r="J64" t="str">
        <f t="shared" si="1"/>
        <v/>
      </c>
    </row>
    <row r="65" spans="1:10" ht="15">
      <c r="A65" s="46"/>
      <c r="B65" s="47" t="str">
        <f t="shared" si="3"/>
        <v/>
      </c>
      <c r="C65" s="48"/>
      <c r="D65" s="48"/>
      <c r="E65" s="48"/>
      <c r="F65" s="48"/>
      <c r="G65" s="48"/>
      <c r="H65" s="50" t="str">
        <f>IF($B65="","",IF($J65="X",B65,CONCATENATE(VLOOKUP(B65,Competitors!$A$2:$I$650,3,FALSE)," ",VLOOKUP(B65,Competitors!$A$2:$I$650,2,FALSE))))</f>
        <v/>
      </c>
      <c r="I65" s="51">
        <f t="shared" si="0"/>
        <v>0</v>
      </c>
      <c r="J65" t="str">
        <f t="shared" si="1"/>
        <v/>
      </c>
    </row>
    <row r="66" spans="1:10" ht="15">
      <c r="A66" s="46"/>
      <c r="B66" s="47" t="str">
        <f t="shared" si="3"/>
        <v/>
      </c>
      <c r="C66" s="48"/>
      <c r="D66" s="48"/>
      <c r="E66" s="48"/>
      <c r="F66" s="48"/>
      <c r="G66" s="48"/>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8"/>
      <c r="E67" s="48"/>
      <c r="F67" s="48"/>
      <c r="G67" s="48"/>
      <c r="H67" s="50" t="str">
        <f>IF($B67="","",IF($J67="X",B67,CONCATENATE(VLOOKUP(B67,Competitors!$A$2:$I$650,3,FALSE)," ",VLOOKUP(B67,Competitors!$A$2:$I$650,2,FALSE))))</f>
        <v/>
      </c>
      <c r="I67" s="51">
        <f t="shared" si="4"/>
        <v>0</v>
      </c>
      <c r="J67" t="str">
        <f t="shared" si="5"/>
        <v/>
      </c>
    </row>
    <row r="68" spans="1:10" ht="15">
      <c r="A68" s="46"/>
      <c r="B68" s="47" t="str">
        <f t="shared" si="3"/>
        <v/>
      </c>
      <c r="C68" s="48"/>
      <c r="D68" s="48"/>
      <c r="E68" s="48"/>
      <c r="F68" s="48"/>
      <c r="G68" s="48"/>
      <c r="H68" s="50" t="str">
        <f>IF($B68="","",IF($J68="X",B68,CONCATENATE(VLOOKUP(B68,Competitors!$A$2:$I$650,3,FALSE)," ",VLOOKUP(B68,Competitors!$A$2:$I$650,2,FALSE))))</f>
        <v/>
      </c>
      <c r="I68" s="51">
        <f t="shared" si="4"/>
        <v>0</v>
      </c>
      <c r="J68" t="str">
        <f t="shared" si="5"/>
        <v/>
      </c>
    </row>
    <row r="69" spans="1:10" ht="15">
      <c r="A69" s="46"/>
      <c r="B69" s="47" t="str">
        <f t="shared" si="3"/>
        <v/>
      </c>
      <c r="C69" s="48"/>
      <c r="D69" s="48"/>
      <c r="E69" s="48"/>
      <c r="F69" s="48"/>
      <c r="G69" s="48"/>
      <c r="H69" s="50" t="str">
        <f>IF($B69="","",IF($J69="X",B69,CONCATENATE(VLOOKUP(B69,Competitors!$A$2:$I$650,3,FALSE)," ",VLOOKUP(B69,Competitors!$A$2:$I$650,2,FALSE))))</f>
        <v/>
      </c>
      <c r="I69" s="51">
        <f t="shared" si="4"/>
        <v>0</v>
      </c>
      <c r="J69" t="str">
        <f t="shared" si="5"/>
        <v/>
      </c>
    </row>
    <row r="70" spans="1:10" ht="15">
      <c r="A70" s="46"/>
      <c r="B70" s="47" t="str">
        <f t="shared" si="3"/>
        <v/>
      </c>
      <c r="C70" s="48"/>
      <c r="D70" s="48"/>
      <c r="E70" s="48"/>
      <c r="F70" s="48"/>
      <c r="G70" s="48"/>
      <c r="H70" s="50" t="str">
        <f>IF($B70="","",IF($J70="X",B70,CONCATENATE(VLOOKUP(B70,Competitors!$A$2:$I$650,3,FALSE)," ",VLOOKUP(B70,Competitors!$A$2:$I$650,2,FALSE))))</f>
        <v/>
      </c>
      <c r="I70" s="51">
        <f t="shared" si="4"/>
        <v>0</v>
      </c>
      <c r="J70" t="str">
        <f t="shared" si="5"/>
        <v/>
      </c>
    </row>
    <row r="71" spans="1:10" ht="15">
      <c r="A71" s="46"/>
      <c r="B71" s="47" t="str">
        <f t="shared" si="3"/>
        <v/>
      </c>
      <c r="C71" s="48"/>
      <c r="D71" s="48"/>
      <c r="E71" s="48"/>
      <c r="F71" s="48"/>
      <c r="G71" s="48"/>
      <c r="H71" s="50" t="str">
        <f>IF($B71="","",IF($J71="X",B71,CONCATENATE(VLOOKUP(B71,Competitors!$A$2:$I$650,3,FALSE)," ",VLOOKUP(B71,Competitors!$A$2:$I$650,2,FALSE))))</f>
        <v/>
      </c>
      <c r="I71" s="51">
        <f t="shared" si="4"/>
        <v>0</v>
      </c>
      <c r="J71" t="str">
        <f t="shared" si="5"/>
        <v/>
      </c>
    </row>
    <row r="72" spans="1:10" ht="15">
      <c r="A72" s="46"/>
      <c r="B72" s="47" t="str">
        <f t="shared" si="3"/>
        <v/>
      </c>
      <c r="C72" s="48"/>
      <c r="D72" s="48"/>
      <c r="E72" s="48"/>
      <c r="F72" s="48"/>
      <c r="G72" s="48"/>
      <c r="H72" s="50" t="str">
        <f>IF($B72="","",IF($J72="X",B72,CONCATENATE(VLOOKUP(B72,Competitors!$A$2:$I$650,3,FALSE)," ",VLOOKUP(B72,Competitors!$A$2:$I$650,2,FALSE))))</f>
        <v/>
      </c>
      <c r="I72" s="51">
        <f t="shared" si="4"/>
        <v>0</v>
      </c>
      <c r="J72" t="str">
        <f t="shared" si="5"/>
        <v/>
      </c>
    </row>
    <row r="73" spans="1:10" ht="15">
      <c r="A73" s="46"/>
      <c r="B73" s="47" t="str">
        <f t="shared" si="3"/>
        <v/>
      </c>
      <c r="C73" s="48"/>
      <c r="D73" s="48"/>
      <c r="E73" s="48"/>
      <c r="F73" s="48"/>
      <c r="G73" s="48"/>
      <c r="H73" s="50" t="str">
        <f>IF($B73="","",IF($J73="X",B73,CONCATENATE(VLOOKUP(B73,Competitors!$A$2:$I$650,3,FALSE)," ",VLOOKUP(B73,Competitors!$A$2:$I$650,2,FALSE))))</f>
        <v/>
      </c>
      <c r="I73" s="51">
        <f t="shared" si="4"/>
        <v>0</v>
      </c>
      <c r="J73" t="str">
        <f t="shared" si="5"/>
        <v/>
      </c>
    </row>
    <row r="74" spans="1:10" ht="15">
      <c r="A74" s="46"/>
      <c r="B74" s="47" t="str">
        <f t="shared" si="3"/>
        <v/>
      </c>
      <c r="C74" s="48"/>
      <c r="D74" s="48"/>
      <c r="E74" s="48"/>
      <c r="F74" s="48"/>
      <c r="G74" s="48"/>
      <c r="H74" s="50" t="str">
        <f>IF($B74="","",IF($J74="X",B74,CONCATENATE(VLOOKUP(B74,Competitors!$A$2:$I$650,3,FALSE)," ",VLOOKUP(B74,Competitors!$A$2:$I$650,2,FALSE))))</f>
        <v/>
      </c>
      <c r="I74" s="51">
        <f t="shared" si="4"/>
        <v>0</v>
      </c>
      <c r="J74" t="str">
        <f t="shared" si="5"/>
        <v/>
      </c>
    </row>
    <row r="75" spans="1:10" ht="15">
      <c r="A75" s="46"/>
      <c r="B75" s="47" t="str">
        <f t="shared" si="3"/>
        <v/>
      </c>
      <c r="C75" s="48"/>
      <c r="D75" s="48"/>
      <c r="E75" s="48"/>
      <c r="F75" s="48"/>
      <c r="G75" s="48"/>
      <c r="H75" s="50" t="str">
        <f>IF($B75="","",IF($J75="X",B75,CONCATENATE(VLOOKUP(B75,Competitors!$A$2:$I$650,3,FALSE)," ",VLOOKUP(B75,Competitors!$A$2:$I$650,2,FALSE))))</f>
        <v/>
      </c>
      <c r="I75" s="51">
        <f t="shared" si="4"/>
        <v>0</v>
      </c>
      <c r="J75" t="str">
        <f t="shared" si="5"/>
        <v/>
      </c>
    </row>
    <row r="76" spans="1:10" ht="15">
      <c r="A76" s="46"/>
      <c r="B76" s="47" t="str">
        <f t="shared" si="3"/>
        <v/>
      </c>
      <c r="C76" s="48"/>
      <c r="D76" s="48"/>
      <c r="E76" s="48"/>
      <c r="F76" s="48"/>
      <c r="G76" s="48"/>
      <c r="H76" s="50" t="str">
        <f>IF($B76="","",IF($J76="X",B76,CONCATENATE(VLOOKUP(B76,Competitors!$A$2:$I$650,3,FALSE)," ",VLOOKUP(B76,Competitors!$A$2:$I$650,2,FALSE))))</f>
        <v/>
      </c>
      <c r="I76" s="51">
        <f t="shared" si="4"/>
        <v>0</v>
      </c>
      <c r="J76" t="str">
        <f t="shared" si="5"/>
        <v/>
      </c>
    </row>
    <row r="77" spans="1:10" ht="15">
      <c r="A77" s="46"/>
      <c r="B77" s="47" t="str">
        <f t="shared" si="3"/>
        <v/>
      </c>
      <c r="C77" s="48"/>
      <c r="D77" s="48"/>
      <c r="E77" s="48"/>
      <c r="F77" s="48"/>
      <c r="G77" s="48"/>
      <c r="H77" s="50" t="str">
        <f>IF($B77="","",IF($J77="X",B77,CONCATENATE(VLOOKUP(B77,Competitors!$A$2:$I$650,3,FALSE)," ",VLOOKUP(B77,Competitors!$A$2:$I$650,2,FALSE))))</f>
        <v/>
      </c>
      <c r="I77" s="51">
        <f t="shared" si="4"/>
        <v>0</v>
      </c>
      <c r="J77" t="str">
        <f t="shared" si="5"/>
        <v/>
      </c>
    </row>
    <row r="78" spans="1:10" ht="15">
      <c r="A78" s="46"/>
      <c r="B78" s="47" t="str">
        <f t="shared" si="3"/>
        <v/>
      </c>
      <c r="C78" s="48"/>
      <c r="D78" s="48"/>
      <c r="E78" s="48"/>
      <c r="F78" s="48"/>
      <c r="G78" s="48"/>
      <c r="H78" s="50" t="str">
        <f>IF($B78="","",IF($J78="X",B78,CONCATENATE(VLOOKUP(B78,Competitors!$A$2:$I$650,3,FALSE)," ",VLOOKUP(B78,Competitors!$A$2:$I$650,2,FALSE))))</f>
        <v/>
      </c>
      <c r="I78" s="51">
        <f t="shared" si="4"/>
        <v>0</v>
      </c>
      <c r="J78" t="str">
        <f t="shared" si="5"/>
        <v/>
      </c>
    </row>
    <row r="79" spans="1:10" ht="15">
      <c r="A79" s="46"/>
      <c r="B79" s="47" t="str">
        <f t="shared" si="3"/>
        <v/>
      </c>
      <c r="C79" s="48"/>
      <c r="D79" s="48"/>
      <c r="E79" s="48"/>
      <c r="F79" s="48"/>
      <c r="G79" s="48"/>
      <c r="H79" s="50" t="str">
        <f>IF($B79="","",IF($J79="X",B79,CONCATENATE(VLOOKUP(B79,Competitors!$A$2:$I$650,3,FALSE)," ",VLOOKUP(B79,Competitors!$A$2:$I$650,2,FALSE))))</f>
        <v/>
      </c>
      <c r="I79" s="51">
        <f t="shared" si="4"/>
        <v>0</v>
      </c>
      <c r="J79" t="str">
        <f t="shared" si="5"/>
        <v/>
      </c>
    </row>
    <row r="80" spans="1:10" ht="15">
      <c r="A80" s="46"/>
      <c r="B80" s="47" t="str">
        <f t="shared" si="3"/>
        <v/>
      </c>
      <c r="C80" s="48"/>
      <c r="D80" s="48"/>
      <c r="E80" s="48"/>
      <c r="F80" s="48"/>
      <c r="G80" s="48"/>
      <c r="H80" s="50" t="str">
        <f>IF($B80="","",IF($J80="X",B80,CONCATENATE(VLOOKUP(B80,Competitors!$A$2:$I$650,3,FALSE)," ",VLOOKUP(B80,Competitors!$A$2:$I$650,2,FALSE))))</f>
        <v/>
      </c>
      <c r="I80" s="51">
        <f t="shared" si="4"/>
        <v>0</v>
      </c>
      <c r="J80" t="str">
        <f t="shared" si="5"/>
        <v/>
      </c>
    </row>
    <row r="81" spans="1:10" ht="15">
      <c r="A81" s="46"/>
      <c r="B81" s="47" t="str">
        <f t="shared" si="3"/>
        <v/>
      </c>
      <c r="C81" s="48"/>
      <c r="D81" s="48"/>
      <c r="E81" s="48"/>
      <c r="F81" s="48"/>
      <c r="G81" s="48"/>
      <c r="H81" s="50" t="str">
        <f>IF($B81="","",IF($J81="X",B81,CONCATENATE(VLOOKUP(B81,Competitors!$A$2:$I$650,3,FALSE)," ",VLOOKUP(B81,Competitors!$A$2:$I$650,2,FALSE))))</f>
        <v/>
      </c>
      <c r="I81" s="51">
        <f t="shared" si="4"/>
        <v>0</v>
      </c>
      <c r="J81" t="str">
        <f t="shared" si="5"/>
        <v/>
      </c>
    </row>
    <row r="82" spans="1:10" ht="15">
      <c r="A82" s="46"/>
      <c r="B82" s="47" t="str">
        <f t="shared" si="3"/>
        <v/>
      </c>
      <c r="C82" s="48"/>
      <c r="D82" s="48"/>
      <c r="E82" s="48"/>
      <c r="F82" s="48"/>
      <c r="G82" s="48"/>
      <c r="H82" s="50" t="str">
        <f>IF($B82="","",IF($J82="X",B82,CONCATENATE(VLOOKUP(B82,Competitors!$A$2:$I$650,3,FALSE)," ",VLOOKUP(B82,Competitors!$A$2:$I$650,2,FALSE))))</f>
        <v/>
      </c>
      <c r="I82" s="51">
        <f t="shared" si="4"/>
        <v>0</v>
      </c>
      <c r="J82" t="str">
        <f t="shared" si="5"/>
        <v/>
      </c>
    </row>
    <row r="83" spans="1:10" ht="15">
      <c r="A83" s="46"/>
      <c r="B83" s="47" t="str">
        <f t="shared" si="3"/>
        <v/>
      </c>
      <c r="C83" s="48"/>
      <c r="D83" s="48"/>
      <c r="E83" s="48"/>
      <c r="F83" s="48"/>
      <c r="G83" s="48"/>
      <c r="H83" s="50" t="str">
        <f>IF($B83="","",IF($J83="X",B83,CONCATENATE(VLOOKUP(B83,Competitors!$A$2:$I$650,3,FALSE)," ",VLOOKUP(B83,Competitors!$A$2:$I$650,2,FALSE))))</f>
        <v/>
      </c>
      <c r="I83" s="51">
        <f t="shared" si="4"/>
        <v>0</v>
      </c>
      <c r="J83" t="str">
        <f t="shared" si="5"/>
        <v/>
      </c>
    </row>
    <row r="84" spans="1:10" ht="15">
      <c r="A84" s="46"/>
      <c r="B84" s="47" t="str">
        <f t="shared" si="3"/>
        <v/>
      </c>
      <c r="C84" s="48"/>
      <c r="D84" s="48"/>
      <c r="E84" s="48"/>
      <c r="F84" s="48"/>
      <c r="G84" s="48"/>
      <c r="H84" s="50" t="str">
        <f>IF($B84="","",IF($J84="X",B84,CONCATENATE(VLOOKUP(B84,Competitors!$A$2:$I$650,3,FALSE)," ",VLOOKUP(B84,Competitors!$A$2:$I$650,2,FALSE))))</f>
        <v/>
      </c>
      <c r="I84" s="51">
        <f t="shared" si="4"/>
        <v>0</v>
      </c>
      <c r="J84" t="str">
        <f t="shared" si="5"/>
        <v/>
      </c>
    </row>
    <row r="85" spans="1:10" ht="15">
      <c r="A85" s="46"/>
      <c r="B85" s="47" t="str">
        <f t="shared" si="3"/>
        <v/>
      </c>
      <c r="C85" s="48"/>
      <c r="D85" s="48"/>
      <c r="E85" s="48"/>
      <c r="F85" s="48"/>
      <c r="G85" s="48"/>
      <c r="H85" s="50" t="str">
        <f>IF($B85="","",IF($J85="X",B85,CONCATENATE(VLOOKUP(B85,Competitors!$A$2:$I$650,3,FALSE)," ",VLOOKUP(B85,Competitors!$A$2:$I$650,2,FALSE))))</f>
        <v/>
      </c>
      <c r="I85" s="51">
        <f t="shared" si="4"/>
        <v>0</v>
      </c>
      <c r="J85" t="str">
        <f t="shared" si="5"/>
        <v/>
      </c>
    </row>
    <row r="86" spans="1:10" ht="15">
      <c r="A86" s="46"/>
      <c r="B86" s="47" t="str">
        <f t="shared" si="3"/>
        <v/>
      </c>
      <c r="C86" s="48"/>
      <c r="D86" s="48"/>
      <c r="E86" s="48"/>
      <c r="F86" s="48"/>
      <c r="G86" s="48"/>
      <c r="H86" s="50" t="str">
        <f>IF($B86="","",IF($J86="X",B86,CONCATENATE(VLOOKUP(B86,Competitors!$A$2:$I$650,3,FALSE)," ",VLOOKUP(B86,Competitors!$A$2:$I$650,2,FALSE))))</f>
        <v/>
      </c>
      <c r="I86" s="51">
        <f t="shared" si="4"/>
        <v>0</v>
      </c>
      <c r="J86" t="str">
        <f t="shared" si="5"/>
        <v/>
      </c>
    </row>
    <row r="87" spans="1:10" ht="15">
      <c r="A87" s="46"/>
      <c r="B87" s="47" t="str">
        <f t="shared" si="3"/>
        <v/>
      </c>
      <c r="C87" s="48"/>
      <c r="D87" s="48"/>
      <c r="E87" s="48"/>
      <c r="F87" s="48"/>
      <c r="G87" s="48"/>
      <c r="H87" s="50" t="str">
        <f>IF($B87="","",IF($J87="X",B87,CONCATENATE(VLOOKUP(B87,Competitors!$A$2:$I$650,3,FALSE)," ",VLOOKUP(B87,Competitors!$A$2:$I$650,2,FALSE))))</f>
        <v/>
      </c>
      <c r="I87" s="51">
        <f t="shared" si="4"/>
        <v>0</v>
      </c>
      <c r="J87" t="str">
        <f t="shared" si="5"/>
        <v/>
      </c>
    </row>
    <row r="88" spans="1:10" ht="15">
      <c r="A88" s="46"/>
      <c r="B88" s="47" t="str">
        <f t="shared" si="3"/>
        <v/>
      </c>
      <c r="C88" s="48"/>
      <c r="D88" s="48"/>
      <c r="E88" s="48"/>
      <c r="F88" s="48"/>
      <c r="G88" s="48"/>
      <c r="H88" s="50" t="str">
        <f>IF($B88="","",IF($J88="X",B88,CONCATENATE(VLOOKUP(B88,Competitors!$A$2:$I$650,3,FALSE)," ",VLOOKUP(B88,Competitors!$A$2:$I$650,2,FALSE))))</f>
        <v/>
      </c>
      <c r="I88" s="51">
        <f t="shared" si="4"/>
        <v>0</v>
      </c>
      <c r="J88" t="str">
        <f t="shared" si="5"/>
        <v/>
      </c>
    </row>
    <row r="89" spans="1:10" ht="15">
      <c r="A89" s="46"/>
      <c r="B89" s="47" t="str">
        <f t="shared" si="3"/>
        <v/>
      </c>
      <c r="C89" s="48"/>
      <c r="D89" s="48"/>
      <c r="E89" s="48"/>
      <c r="F89" s="48"/>
      <c r="G89" s="48"/>
      <c r="H89" s="50" t="str">
        <f>IF($B89="","",IF($J89="X",B89,CONCATENATE(VLOOKUP(B89,Competitors!$A$2:$I$650,3,FALSE)," ",VLOOKUP(B89,Competitors!$A$2:$I$650,2,FALSE))))</f>
        <v/>
      </c>
      <c r="I89" s="51">
        <f t="shared" si="4"/>
        <v>0</v>
      </c>
      <c r="J89" t="str">
        <f t="shared" si="5"/>
        <v/>
      </c>
    </row>
    <row r="90" spans="1:10" ht="15">
      <c r="A90" s="46"/>
      <c r="B90" s="47" t="str">
        <f t="shared" si="3"/>
        <v/>
      </c>
      <c r="C90" s="48"/>
      <c r="D90" s="48"/>
      <c r="E90" s="48"/>
      <c r="F90" s="48"/>
      <c r="G90" s="48"/>
      <c r="H90" s="50" t="str">
        <f>IF($B90="","",IF($J90="X",B90,CONCATENATE(VLOOKUP(B90,Competitors!$A$2:$I$650,3,FALSE)," ",VLOOKUP(B90,Competitors!$A$2:$I$650,2,FALSE))))</f>
        <v/>
      </c>
      <c r="I90" s="51">
        <f t="shared" si="4"/>
        <v>0</v>
      </c>
      <c r="J90" t="str">
        <f t="shared" si="5"/>
        <v/>
      </c>
    </row>
    <row r="91" spans="1:10" ht="15">
      <c r="A91" s="46"/>
      <c r="B91" s="47" t="str">
        <f t="shared" si="3"/>
        <v/>
      </c>
      <c r="C91" s="48"/>
      <c r="D91" s="48"/>
      <c r="E91" s="48"/>
      <c r="F91" s="48"/>
      <c r="G91" s="48"/>
      <c r="H91" s="50" t="str">
        <f>IF($B91="","",IF($J91="X",B91,CONCATENATE(VLOOKUP(B91,Competitors!$A$2:$I$650,3,FALSE)," ",VLOOKUP(B91,Competitors!$A$2:$I$650,2,FALSE))))</f>
        <v/>
      </c>
      <c r="I91" s="51">
        <f t="shared" si="4"/>
        <v>0</v>
      </c>
      <c r="J91" t="str">
        <f t="shared" si="5"/>
        <v/>
      </c>
    </row>
    <row r="92" spans="1:10" ht="15">
      <c r="A92" s="46"/>
      <c r="B92" s="47" t="str">
        <f t="shared" si="3"/>
        <v/>
      </c>
      <c r="C92" s="48"/>
      <c r="D92" s="48"/>
      <c r="E92" s="48"/>
      <c r="F92" s="48"/>
      <c r="G92" s="48"/>
      <c r="H92" s="50" t="str">
        <f>IF($B92="","",IF($J92="X",B92,CONCATENATE(VLOOKUP(B92,Competitors!$A$2:$I$650,3,FALSE)," ",VLOOKUP(B92,Competitors!$A$2:$I$650,2,FALSE))))</f>
        <v/>
      </c>
      <c r="I92" s="51">
        <f t="shared" si="4"/>
        <v>0</v>
      </c>
      <c r="J92" t="str">
        <f t="shared" si="5"/>
        <v/>
      </c>
    </row>
    <row r="93" spans="1:10" ht="15">
      <c r="A93" s="46"/>
      <c r="B93" s="47" t="str">
        <f t="shared" si="3"/>
        <v/>
      </c>
      <c r="C93" s="48"/>
      <c r="D93" s="48"/>
      <c r="E93" s="48"/>
      <c r="F93" s="48"/>
      <c r="G93" s="48"/>
      <c r="H93" s="50" t="str">
        <f>IF($B93="","",IF($J93="X",B93,CONCATENATE(VLOOKUP(B93,Competitors!$A$2:$I$650,3,FALSE)," ",VLOOKUP(B93,Competitors!$A$2:$I$650,2,FALSE))))</f>
        <v/>
      </c>
      <c r="I93" s="51">
        <f t="shared" si="4"/>
        <v>0</v>
      </c>
      <c r="J93" t="str">
        <f t="shared" si="5"/>
        <v/>
      </c>
    </row>
    <row r="94" spans="1:10" ht="15">
      <c r="A94" s="46"/>
      <c r="B94" s="47" t="str">
        <f t="shared" si="3"/>
        <v/>
      </c>
      <c r="C94" s="48"/>
      <c r="D94" s="48"/>
      <c r="E94" s="48"/>
      <c r="F94" s="48"/>
      <c r="G94" s="48"/>
      <c r="H94" s="50" t="str">
        <f>IF($B94="","",IF($J94="X",B94,CONCATENATE(VLOOKUP(B94,Competitors!$A$2:$I$650,3,FALSE)," ",VLOOKUP(B94,Competitors!$A$2:$I$650,2,FALSE))))</f>
        <v/>
      </c>
      <c r="I94" s="51">
        <f t="shared" si="4"/>
        <v>0</v>
      </c>
      <c r="J94" t="str">
        <f t="shared" si="5"/>
        <v/>
      </c>
    </row>
    <row r="95" spans="1:10" ht="15">
      <c r="A95" s="46"/>
      <c r="B95" s="47" t="str">
        <f t="shared" si="3"/>
        <v/>
      </c>
      <c r="C95" s="48"/>
      <c r="D95" s="48"/>
      <c r="E95" s="48"/>
      <c r="F95" s="48"/>
      <c r="G95" s="48"/>
      <c r="H95" s="50" t="str">
        <f>IF($B95="","",IF($J95="X",B95,CONCATENATE(VLOOKUP(B95,Competitors!$A$2:$I$650,3,FALSE)," ",VLOOKUP(B95,Competitors!$A$2:$I$650,2,FALSE))))</f>
        <v/>
      </c>
      <c r="I95" s="51">
        <f t="shared" si="4"/>
        <v>0</v>
      </c>
      <c r="J95" t="str">
        <f t="shared" si="5"/>
        <v/>
      </c>
    </row>
    <row r="96" spans="1:10" ht="15">
      <c r="A96" s="46"/>
      <c r="B96" s="47" t="str">
        <f t="shared" si="3"/>
        <v/>
      </c>
      <c r="C96" s="48"/>
      <c r="D96" s="48"/>
      <c r="E96" s="48"/>
      <c r="F96" s="48"/>
      <c r="G96" s="48"/>
      <c r="H96" s="50" t="str">
        <f>IF($B96="","",IF($J96="X",B96,CONCATENATE(VLOOKUP(B96,Competitors!$A$2:$I$650,3,FALSE)," ",VLOOKUP(B96,Competitors!$A$2:$I$650,2,FALSE))))</f>
        <v/>
      </c>
      <c r="I96" s="51">
        <f t="shared" si="4"/>
        <v>0</v>
      </c>
      <c r="J96" t="str">
        <f t="shared" si="5"/>
        <v/>
      </c>
    </row>
    <row r="97" spans="1:10" ht="15">
      <c r="A97" s="46"/>
      <c r="B97" s="47" t="str">
        <f t="shared" si="3"/>
        <v/>
      </c>
      <c r="C97" s="48"/>
      <c r="D97" s="48"/>
      <c r="E97" s="48"/>
      <c r="F97" s="48"/>
      <c r="G97" s="48"/>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8"/>
      <c r="E98" s="48"/>
      <c r="F98" s="48"/>
      <c r="G98" s="48"/>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8"/>
      <c r="E99" s="48"/>
      <c r="F99" s="48"/>
      <c r="G99" s="48"/>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8"/>
      <c r="E100" s="48"/>
      <c r="F100" s="48"/>
      <c r="G100" s="48"/>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8"/>
      <c r="E101" s="48"/>
      <c r="F101" s="48"/>
      <c r="G101" s="48"/>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Event_11</v>
      </c>
    </row>
    <row r="104" spans="1:10">
      <c r="B104" t="s">
        <v>552</v>
      </c>
      <c r="C104" t="str">
        <f ca="1">_xlfn.XLOOKUP(C103,Calendar!O:O,Calendar!H:H,"Event is not in calendar")</f>
        <v/>
      </c>
    </row>
  </sheetData>
  <conditionalFormatting sqref="E2:E101">
    <cfRule type="expression" dxfId="51" priority="3">
      <formula>TEXT($C$104,"@")="Y"</formula>
    </cfRule>
  </conditionalFormatting>
  <conditionalFormatting sqref="H2:I101">
    <cfRule type="expression" dxfId="50" priority="2">
      <formula>$J2="X"</formula>
    </cfRule>
  </conditionalFormatting>
  <conditionalFormatting sqref="I2:I101">
    <cfRule type="expression" dxfId="49" priority="1">
      <formula>TEXT($C$104,"@")="Y"</formula>
    </cfRule>
  </conditionalFormatting>
  <printOptions horizontalCentered="1"/>
  <pageMargins left="0.62992125984251968" right="0.70866141732283472" top="1.7322834645669292" bottom="0.39370078740157477" header="0.31496062992125984" footer="0.31496062992125984"/>
  <pageSetup paperSize="9" scale="45" orientation="portrait"/>
  <headerFooter>
    <oddHeader>&amp;C&amp;24WVCC champs 2016 results</oddHeader>
  </headerFooter>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
  <dimension ref="A1:J104"/>
  <sheetViews>
    <sheetView workbookViewId="0">
      <selection activeCell="B23" sqref="B23"/>
    </sheetView>
    <sheetView workbookViewId="1"/>
  </sheetViews>
  <sheetFormatPr defaultColWidth="9.1328125" defaultRowHeight="12.75"/>
  <cols>
    <col min="1" max="1" width="24.19921875" bestFit="1" customWidth="1"/>
    <col min="2" max="2" width="42.19921875" customWidth="1"/>
    <col min="3" max="5" width="4.796875" customWidth="1"/>
    <col min="6" max="7" width="11.1328125" customWidth="1"/>
    <col min="8" max="8" width="32.19921875" bestFit="1"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446</v>
      </c>
      <c r="B2" s="47">
        <v>1379</v>
      </c>
      <c r="C2" s="48"/>
      <c r="D2" s="49">
        <v>76</v>
      </c>
      <c r="E2" s="49">
        <v>10</v>
      </c>
      <c r="F2" s="49" t="s">
        <v>544</v>
      </c>
      <c r="G2" s="49"/>
      <c r="H2" s="50" t="str">
        <f>IF($B2="","",IF($J2="X",B2,CONCATENATE(VLOOKUP(B2,Competitors!$A$2:$I$650,3, FALSE)," ",VLOOKUP(B2,Competitors!$A$2:$I$650,2,FALSE))))</f>
        <v>Michaela Latham</v>
      </c>
      <c r="I2" s="51">
        <f t="shared" ref="I2:I65" si="0">IF(LEFT($F2,1)="D",UPPER($F2),(C2*3600+D2*60+E2)/86400)</f>
        <v>5.289351851851852E-2</v>
      </c>
      <c r="J2" t="str">
        <f t="shared" ref="J2:J65" si="1">IF(OR(B2="",ISNUMBER(B2)),"","X")</f>
        <v/>
      </c>
    </row>
    <row r="3" spans="1:10" ht="15">
      <c r="A3" s="46" t="s">
        <v>443</v>
      </c>
      <c r="B3" s="47">
        <v>1193</v>
      </c>
      <c r="C3" s="48"/>
      <c r="D3" s="49">
        <v>72</v>
      </c>
      <c r="E3" s="49">
        <v>25</v>
      </c>
      <c r="F3" s="49" t="s">
        <v>544</v>
      </c>
      <c r="G3" s="49"/>
      <c r="H3" s="50" t="str">
        <f>IF($B3="","",IF($J3="X",B3,CONCATENATE(VLOOKUP(B3,Competitors!$A$2:$I$650,3,FALSE)," ",VLOOKUP(B3,Competitors!$A$2:$I$650,2,FALSE))))</f>
        <v>Richard Hardwicke</v>
      </c>
      <c r="I3" s="51">
        <f t="shared" si="0"/>
        <v>5.0289351851851849E-2</v>
      </c>
      <c r="J3" t="str">
        <f t="shared" si="1"/>
        <v/>
      </c>
    </row>
    <row r="4" spans="1:10" ht="15">
      <c r="A4" s="46" t="s">
        <v>523</v>
      </c>
      <c r="B4" s="47" t="s">
        <v>599</v>
      </c>
      <c r="C4" s="48"/>
      <c r="D4" s="49">
        <v>77</v>
      </c>
      <c r="E4" s="49">
        <v>9</v>
      </c>
      <c r="F4" s="49"/>
      <c r="G4" s="49"/>
      <c r="H4" s="50" t="str">
        <f>IF($B4="","",IF($J4="X",B4,CONCATENATE(VLOOKUP(B4,Competitors!$A$2:$I$650,3,FALSE)," ",VLOOKUP(B4,Competitors!$A$2:$I$650,2,FALSE))))</f>
        <v>Lynne Wilkinson-Scofield (RFW)</v>
      </c>
      <c r="I4" s="51">
        <f t="shared" si="0"/>
        <v>5.3576388888888889E-2</v>
      </c>
      <c r="J4" t="str">
        <f t="shared" si="1"/>
        <v>X</v>
      </c>
    </row>
    <row r="5" spans="1:10" ht="15">
      <c r="A5" s="46" t="s">
        <v>447</v>
      </c>
      <c r="B5" s="47">
        <v>1194</v>
      </c>
      <c r="C5" s="48"/>
      <c r="D5" s="49">
        <v>79</v>
      </c>
      <c r="E5" s="49">
        <v>11</v>
      </c>
      <c r="F5" s="49" t="s">
        <v>544</v>
      </c>
      <c r="G5" s="49"/>
      <c r="H5" s="50" t="str">
        <f>IF($B5="","",IF($J5="X",B5,CONCATENATE(VLOOKUP(B5,Competitors!$A$2:$I$650,3,FALSE)," ",VLOOKUP(B5,Competitors!$A$2:$I$650,2,FALSE))))</f>
        <v>Alex Hardwicke</v>
      </c>
      <c r="I5" s="51">
        <f t="shared" si="0"/>
        <v>5.4988425925925927E-2</v>
      </c>
      <c r="J5" t="str">
        <f t="shared" si="1"/>
        <v/>
      </c>
    </row>
    <row r="6" spans="1:10" ht="15">
      <c r="A6" s="46" t="s">
        <v>515</v>
      </c>
      <c r="B6" s="47" t="s">
        <v>600</v>
      </c>
      <c r="C6" s="48"/>
      <c r="D6" s="49">
        <v>63</v>
      </c>
      <c r="E6" s="49">
        <v>57</v>
      </c>
      <c r="F6" s="49"/>
      <c r="G6" s="49"/>
      <c r="H6" s="50" t="str">
        <f>IF($B6="","",IF($J6="X",B6,CONCATENATE(VLOOKUP(B6,Competitors!$A$2:$I$650,3,FALSE)," ",VLOOKUP(B6,Competitors!$A$2:$I$650,2,FALSE))))</f>
        <v>Adam Wells (RFW)</v>
      </c>
      <c r="I6" s="51">
        <f t="shared" si="0"/>
        <v>4.4409722222222225E-2</v>
      </c>
      <c r="J6" t="str">
        <f t="shared" si="1"/>
        <v>X</v>
      </c>
    </row>
    <row r="7" spans="1:10" ht="15">
      <c r="A7" s="46" t="s">
        <v>418</v>
      </c>
      <c r="B7" s="47">
        <v>1355</v>
      </c>
      <c r="C7" s="48"/>
      <c r="D7" s="49">
        <v>64</v>
      </c>
      <c r="E7" s="49">
        <v>46</v>
      </c>
      <c r="F7" s="49" t="s">
        <v>544</v>
      </c>
      <c r="G7" s="49"/>
      <c r="H7" s="50" t="str">
        <f>IF($B7="","",IF($J7="X",B7,CONCATENATE(VLOOKUP(B7,Competitors!$A$2:$I$650,3,FALSE)," ",VLOOKUP(B7,Competitors!$A$2:$I$650,2,FALSE))))</f>
        <v>Aubrey Elmer</v>
      </c>
      <c r="I7" s="51">
        <f t="shared" si="0"/>
        <v>4.4976851851851851E-2</v>
      </c>
      <c r="J7" t="str">
        <f t="shared" si="1"/>
        <v/>
      </c>
    </row>
    <row r="8" spans="1:10" ht="15">
      <c r="A8" s="46" t="s">
        <v>437</v>
      </c>
      <c r="B8" s="47">
        <v>1195</v>
      </c>
      <c r="C8" s="48"/>
      <c r="D8" s="49">
        <v>71</v>
      </c>
      <c r="E8" s="49">
        <v>45</v>
      </c>
      <c r="F8" s="49" t="s">
        <v>544</v>
      </c>
      <c r="G8" s="49"/>
      <c r="H8" s="50" t="str">
        <f>IF($B8="","",IF($J8="X",B8,CONCATENATE(VLOOKUP(B8,Competitors!$A$2:$I$650,3,FALSE)," ",VLOOKUP(B8,Competitors!$A$2:$I$650,2,FALSE))))</f>
        <v>Charlie Hardwicke</v>
      </c>
      <c r="I8" s="51">
        <f t="shared" si="0"/>
        <v>4.9826388888888892E-2</v>
      </c>
      <c r="J8" t="str">
        <f t="shared" si="1"/>
        <v/>
      </c>
    </row>
    <row r="9" spans="1:10" ht="15">
      <c r="A9" s="46" t="s">
        <v>587</v>
      </c>
      <c r="B9" s="47" t="s">
        <v>601</v>
      </c>
      <c r="C9" s="48"/>
      <c r="D9" s="49">
        <v>73</v>
      </c>
      <c r="E9" s="49">
        <v>45</v>
      </c>
      <c r="F9" s="49" t="s">
        <v>593</v>
      </c>
      <c r="G9" s="49"/>
      <c r="H9" s="50" t="str">
        <f>IF($B9="","",IF($J9="X",B9,CONCATENATE(VLOOKUP(B9,Competitors!$A$2:$I$650,3,FALSE)," ",VLOOKUP(B9,Competitors!$A$2:$I$650,2,FALSE))))</f>
        <v>Steve Wickham (RFW)</v>
      </c>
      <c r="I9" s="51">
        <f t="shared" si="0"/>
        <v>5.1215277777777776E-2</v>
      </c>
      <c r="J9" t="str">
        <f t="shared" si="1"/>
        <v>X</v>
      </c>
    </row>
    <row r="10" spans="1:10" ht="15">
      <c r="A10" s="46" t="s">
        <v>438</v>
      </c>
      <c r="B10" s="47">
        <v>704</v>
      </c>
      <c r="C10" s="48"/>
      <c r="D10" s="49">
        <v>73</v>
      </c>
      <c r="E10" s="49">
        <v>50</v>
      </c>
      <c r="F10" s="49" t="s">
        <v>593</v>
      </c>
      <c r="G10" s="49"/>
      <c r="H10" s="50" t="str">
        <f>IF($B10="","",IF($J10="X",B10,CONCATENATE(VLOOKUP(B10,Competitors!$A$2:$I$650,3, FALSE)," ",VLOOKUP(B10,Competitors!$A$2:$I$650,2,FALSE))))</f>
        <v>Chris Dainty</v>
      </c>
      <c r="I10" s="51">
        <f t="shared" si="0"/>
        <v>5.1273148148148151E-2</v>
      </c>
      <c r="J10" t="str">
        <f t="shared" si="1"/>
        <v/>
      </c>
    </row>
    <row r="11" spans="1:10" ht="15">
      <c r="A11" s="46" t="s">
        <v>415</v>
      </c>
      <c r="B11" s="47">
        <v>1161</v>
      </c>
      <c r="C11" s="48"/>
      <c r="D11" s="49">
        <v>63</v>
      </c>
      <c r="E11" s="49">
        <v>25</v>
      </c>
      <c r="F11" s="49"/>
      <c r="G11" s="49"/>
      <c r="H11" s="50" t="str">
        <f>IF($B11="","",IF($J11="X",B11,CONCATENATE(VLOOKUP(B11,Competitors!$A$2:$I$650,3,FALSE)," ",VLOOKUP(B11,Competitors!$A$2:$I$650,2,FALSE))))</f>
        <v>Maciej Suchocki</v>
      </c>
      <c r="I11" s="51">
        <f t="shared" si="0"/>
        <v>4.403935185185185E-2</v>
      </c>
      <c r="J11" t="str">
        <f t="shared" si="1"/>
        <v/>
      </c>
    </row>
    <row r="12" spans="1:10" ht="15">
      <c r="A12" s="46" t="s">
        <v>519</v>
      </c>
      <c r="B12" s="47" t="s">
        <v>602</v>
      </c>
      <c r="C12" s="48"/>
      <c r="D12" s="49">
        <v>72</v>
      </c>
      <c r="E12" s="49">
        <v>32</v>
      </c>
      <c r="F12" s="49" t="s">
        <v>544</v>
      </c>
      <c r="G12" s="49"/>
      <c r="H12" s="50" t="str">
        <f>IF($B12="","",IF($J12="X",B12,CONCATENATE(VLOOKUP(B12,Competitors!$A$2:$I$650,3,FALSE)," ",VLOOKUP(B12,Competitors!$A$2:$I$650,2,FALSE))))</f>
        <v>David Hill (RFW)</v>
      </c>
      <c r="I12" s="51">
        <f t="shared" si="0"/>
        <v>5.0370370370370371E-2</v>
      </c>
      <c r="J12" t="str">
        <f t="shared" si="1"/>
        <v>X</v>
      </c>
    </row>
    <row r="13" spans="1:10" ht="15">
      <c r="A13" s="46" t="s">
        <v>439</v>
      </c>
      <c r="B13" s="47">
        <v>23</v>
      </c>
      <c r="C13" s="48"/>
      <c r="D13" s="49">
        <v>76</v>
      </c>
      <c r="E13" s="49">
        <v>57</v>
      </c>
      <c r="F13" s="49"/>
      <c r="G13" s="49"/>
      <c r="H13" s="50" t="str">
        <f>IF($B13="","",IF($J13="X",B13,CONCATENATE(VLOOKUP(B13,Competitors!$A$2:$I$650,3,FALSE)," ",VLOOKUP(B13,Competitors!$A$2:$I$650,2,FALSE))))</f>
        <v>Chris Hyde</v>
      </c>
      <c r="I13" s="51">
        <f t="shared" si="0"/>
        <v>5.3437499999999999E-2</v>
      </c>
      <c r="J13" t="str">
        <f t="shared" si="1"/>
        <v/>
      </c>
    </row>
    <row r="14" spans="1:10" ht="15">
      <c r="A14" s="46" t="s">
        <v>586</v>
      </c>
      <c r="B14" s="47" t="s">
        <v>603</v>
      </c>
      <c r="C14" s="48"/>
      <c r="D14" s="49">
        <v>66</v>
      </c>
      <c r="E14" s="49">
        <v>18</v>
      </c>
      <c r="F14" s="49"/>
      <c r="G14" s="49"/>
      <c r="H14" s="50" t="str">
        <f>IF($B14="","",IF($J14="X",B14,CONCATENATE(VLOOKUP(B14,Competitors!$A$2:$I$650,3,FALSE)," ",VLOOKUP(B14,Competitors!$A$2:$I$650,2,FALSE))))</f>
        <v>Steve Coombs (RFW)</v>
      </c>
      <c r="I14" s="51">
        <f t="shared" si="0"/>
        <v>4.6041666666666668E-2</v>
      </c>
      <c r="J14" t="str">
        <f t="shared" si="1"/>
        <v>X</v>
      </c>
    </row>
    <row r="15" spans="1:10" ht="15">
      <c r="A15" s="46" t="s">
        <v>422</v>
      </c>
      <c r="B15" s="47">
        <v>1407</v>
      </c>
      <c r="C15" s="48"/>
      <c r="D15" s="49">
        <v>64</v>
      </c>
      <c r="E15" s="49">
        <v>56</v>
      </c>
      <c r="F15" s="49" t="s">
        <v>544</v>
      </c>
      <c r="G15" s="49"/>
      <c r="H15" s="50" t="str">
        <f>IF($B15="","",IF($J15="X",B15,CONCATENATE(VLOOKUP(B15,Competitors!$A$2:$I$650,3,FALSE)," ",VLOOKUP(B15,Competitors!$A$2:$I$650,2,FALSE))))</f>
        <v>Colin Dobson</v>
      </c>
      <c r="I15" s="51">
        <f t="shared" si="0"/>
        <v>4.5092592592592594E-2</v>
      </c>
      <c r="J15" t="str">
        <f t="shared" si="1"/>
        <v/>
      </c>
    </row>
    <row r="16" spans="1:10" ht="15">
      <c r="A16" s="46" t="s">
        <v>429</v>
      </c>
      <c r="B16" s="47">
        <v>1107</v>
      </c>
      <c r="C16" s="48"/>
      <c r="D16" s="49">
        <v>68</v>
      </c>
      <c r="E16" s="49">
        <v>1</v>
      </c>
      <c r="F16" s="49"/>
      <c r="G16" s="49"/>
      <c r="H16" s="50" t="str">
        <f>IF($B16="","",IF($J16="X",B16,CONCATENATE(VLOOKUP(B16,Competitors!$A$2:$I$650,3,FALSE)," ",VLOOKUP(B16,Competitors!$A$2:$I$650,2,FALSE))))</f>
        <v>Milly Pinnock</v>
      </c>
      <c r="I16" s="51">
        <f t="shared" si="0"/>
        <v>4.7233796296296295E-2</v>
      </c>
      <c r="J16" t="str">
        <f t="shared" si="1"/>
        <v/>
      </c>
    </row>
    <row r="17" spans="1:10" ht="15">
      <c r="A17" s="46" t="s">
        <v>585</v>
      </c>
      <c r="B17" s="47" t="s">
        <v>604</v>
      </c>
      <c r="C17" s="48"/>
      <c r="D17" s="49">
        <v>84</v>
      </c>
      <c r="E17" s="49">
        <v>21</v>
      </c>
      <c r="F17" s="49"/>
      <c r="G17" s="49"/>
      <c r="H17" s="50" t="str">
        <f>IF($B17="","",IF($J17="X",B17,CONCATENATE(VLOOKUP(B17,Competitors!$A$2:$I$650,3,FALSE)," ",VLOOKUP(B17,Competitors!$A$2:$I$650,2,FALSE))))</f>
        <v>Maria Cayford (KCC)</v>
      </c>
      <c r="I17" s="51">
        <f t="shared" si="0"/>
        <v>5.8576388888888886E-2</v>
      </c>
      <c r="J17" t="str">
        <f t="shared" si="1"/>
        <v>X</v>
      </c>
    </row>
    <row r="18" spans="1:10" ht="15">
      <c r="A18" s="46" t="s">
        <v>526</v>
      </c>
      <c r="B18" s="47" t="s">
        <v>605</v>
      </c>
      <c r="C18" s="48"/>
      <c r="D18" s="49">
        <v>70</v>
      </c>
      <c r="E18" s="49">
        <v>45</v>
      </c>
      <c r="F18" s="49" t="s">
        <v>544</v>
      </c>
      <c r="G18" s="49"/>
      <c r="H18" s="50" t="str">
        <f>IF($B18="","",IF($J18="X",B18,CONCATENATE(VLOOKUP(B18,Competitors!$A$2:$I$650,3,FALSE)," ",VLOOKUP(B18,Competitors!$A$2:$I$650,2,FALSE))))</f>
        <v>Paul Ryan (RFW)</v>
      </c>
      <c r="I18" s="51">
        <f t="shared" si="0"/>
        <v>4.9131944444444443E-2</v>
      </c>
      <c r="J18" t="str">
        <f t="shared" si="1"/>
        <v>X</v>
      </c>
    </row>
    <row r="19" spans="1:10" ht="15">
      <c r="A19" s="46" t="s">
        <v>435</v>
      </c>
      <c r="B19" s="47">
        <v>846</v>
      </c>
      <c r="C19" s="48"/>
      <c r="D19" s="49"/>
      <c r="E19" s="49"/>
      <c r="F19" s="49"/>
      <c r="G19" s="49" t="s">
        <v>553</v>
      </c>
      <c r="H19" s="50" t="str">
        <f>IF($B19="","",IF($J19="X",B19,CONCATENATE(VLOOKUP(B19,Competitors!$A$2:$I$650,3,FALSE)," ",VLOOKUP(B19,Competitors!$A$2:$I$650,2,FALSE))))</f>
        <v>Roger Kockelbergh</v>
      </c>
      <c r="I19" s="51">
        <f t="shared" si="0"/>
        <v>0</v>
      </c>
      <c r="J19" t="str">
        <f t="shared" si="1"/>
        <v/>
      </c>
    </row>
    <row r="20" spans="1:10" ht="15">
      <c r="A20" s="46" t="s">
        <v>590</v>
      </c>
      <c r="B20" s="47" t="s">
        <v>606</v>
      </c>
      <c r="C20" s="48"/>
      <c r="D20" s="49">
        <v>67</v>
      </c>
      <c r="E20" s="49">
        <v>50</v>
      </c>
      <c r="F20" s="49"/>
      <c r="G20" s="49"/>
      <c r="H20" s="50" t="str">
        <f>IF($B20="","",IF($J20="X",B20,CONCATENATE(VLOOKUP(B20,Competitors!$A$2:$I$650,3,FALSE)," ",VLOOKUP(B20,Competitors!$A$2:$I$650,2,FALSE))))</f>
        <v>Laurence Noble (RFW)</v>
      </c>
      <c r="I20" s="51">
        <f t="shared" si="0"/>
        <v>4.7106481481481478E-2</v>
      </c>
      <c r="J20" t="str">
        <f t="shared" si="1"/>
        <v>X</v>
      </c>
    </row>
    <row r="21" spans="1:10" ht="15">
      <c r="A21" s="46" t="s">
        <v>413</v>
      </c>
      <c r="B21" s="47">
        <v>989</v>
      </c>
      <c r="C21" s="48"/>
      <c r="D21" s="49">
        <v>73</v>
      </c>
      <c r="E21" s="49">
        <v>6</v>
      </c>
      <c r="F21" s="49" t="s">
        <v>544</v>
      </c>
      <c r="G21" s="49"/>
      <c r="H21" s="50" t="str">
        <f>IF($B21="","",IF($J21="X",B21,CONCATENATE(VLOOKUP(B21,Competitors!$A$2:$I$650,3,FALSE)," ",VLOOKUP(B21,Competitors!$A$2:$I$650,2,FALSE))))</f>
        <v>Jason Williams</v>
      </c>
      <c r="I21" s="51">
        <f t="shared" si="0"/>
        <v>5.0763888888888886E-2</v>
      </c>
      <c r="J21" t="str">
        <f t="shared" si="1"/>
        <v/>
      </c>
    </row>
    <row r="22" spans="1:10" ht="15">
      <c r="A22" s="46" t="s">
        <v>584</v>
      </c>
      <c r="B22" s="47" t="s">
        <v>607</v>
      </c>
      <c r="C22" s="48"/>
      <c r="D22" s="49">
        <v>61</v>
      </c>
      <c r="E22" s="49">
        <v>43</v>
      </c>
      <c r="F22" s="49"/>
      <c r="G22" s="49"/>
      <c r="H22" s="50" t="str">
        <f>IF($B22="","",IF($J22="X",B22,CONCATENATE(VLOOKUP(B22,Competitors!$A$2:$I$650,3,FALSE)," ",VLOOKUP(B22,Competitors!$A$2:$I$650,2,FALSE))))</f>
        <v>Graeme Hall (RFW)</v>
      </c>
      <c r="I22" s="51">
        <f t="shared" si="0"/>
        <v>4.2858796296296298E-2</v>
      </c>
      <c r="J22" t="str">
        <f t="shared" si="1"/>
        <v>X</v>
      </c>
    </row>
    <row r="23" spans="1:10" ht="15">
      <c r="A23" s="46" t="s">
        <v>432</v>
      </c>
      <c r="B23" s="47">
        <v>1112</v>
      </c>
      <c r="C23" s="48"/>
      <c r="D23" s="49"/>
      <c r="E23" s="49"/>
      <c r="F23" s="49"/>
      <c r="G23" s="49" t="s">
        <v>553</v>
      </c>
      <c r="H23" s="50" t="str">
        <f>IF($B23="","",IF($J23="X",B23,CONCATENATE(VLOOKUP(B23,Competitors!$A$2:$I$650,3,FALSE)," ",VLOOKUP(B23,Competitors!$A$2:$I$650,2,FALSE))))</f>
        <v>Gary Ashwell</v>
      </c>
      <c r="I23" s="51">
        <f t="shared" si="0"/>
        <v>0</v>
      </c>
      <c r="J23" t="str">
        <f t="shared" si="1"/>
        <v/>
      </c>
    </row>
    <row r="24" spans="1:10" ht="15">
      <c r="A24" s="46" t="s">
        <v>790</v>
      </c>
      <c r="B24" s="47" t="s">
        <v>792</v>
      </c>
      <c r="C24" s="48"/>
      <c r="D24" s="49"/>
      <c r="E24" s="49"/>
      <c r="F24" s="49"/>
      <c r="G24" s="49" t="s">
        <v>553</v>
      </c>
      <c r="H24" s="50" t="str">
        <f>IF($B24="","",IF($J24="X",B24,CONCATENATE(VLOOKUP(B24,Competitors!$A$2:$I$650,3,FALSE)," ",VLOOKUP(B24,Competitors!$A$2:$I$650,2,FALSE))))</f>
        <v>Mike Deely (George Fox CS) (RFW)</v>
      </c>
      <c r="I24" s="51">
        <f t="shared" si="0"/>
        <v>0</v>
      </c>
      <c r="J24" t="str">
        <f t="shared" si="1"/>
        <v>X</v>
      </c>
    </row>
    <row r="25" spans="1:10" ht="15">
      <c r="A25" s="46" t="s">
        <v>433</v>
      </c>
      <c r="B25" s="47">
        <v>1109</v>
      </c>
      <c r="C25" s="48"/>
      <c r="D25" s="49"/>
      <c r="E25" s="49"/>
      <c r="F25" s="49"/>
      <c r="G25" s="49" t="s">
        <v>546</v>
      </c>
      <c r="H25" s="50" t="str">
        <f>IF($B25="","",IF($J25="X",B25,CONCATENATE(VLOOKUP(B25,Competitors!$A$2:$I$650,3,FALSE)," ",VLOOKUP(B25,Competitors!$A$2:$I$650,2,FALSE))))</f>
        <v>Stuart Haycox</v>
      </c>
      <c r="I25" s="51">
        <f t="shared" si="0"/>
        <v>0</v>
      </c>
      <c r="J25" t="str">
        <f t="shared" si="1"/>
        <v/>
      </c>
    </row>
    <row r="26" spans="1:10" ht="15">
      <c r="A26" s="46" t="s">
        <v>524</v>
      </c>
      <c r="B26" s="47" t="s">
        <v>598</v>
      </c>
      <c r="C26" s="48"/>
      <c r="D26" s="49">
        <v>67</v>
      </c>
      <c r="E26" s="49">
        <v>14</v>
      </c>
      <c r="F26" s="49" t="s">
        <v>544</v>
      </c>
      <c r="G26" s="49"/>
      <c r="H26" s="50" t="str">
        <f>IF($B26="","",IF($J26="X",B26,CONCATENATE(VLOOKUP(B26,Competitors!$A$2:$I$650,3,FALSE)," ",VLOOKUP(B26,Competitors!$A$2:$I$650,2,FALSE))))</f>
        <v>Michael Carter (RFW)</v>
      </c>
      <c r="I26" s="51">
        <f t="shared" si="0"/>
        <v>4.6689814814814816E-2</v>
      </c>
      <c r="J26" t="str">
        <f t="shared" si="1"/>
        <v>X</v>
      </c>
    </row>
    <row r="27" spans="1:10" ht="15">
      <c r="A27" s="46" t="s">
        <v>416</v>
      </c>
      <c r="B27" s="47">
        <v>38</v>
      </c>
      <c r="C27" s="48"/>
      <c r="D27" s="49">
        <v>65</v>
      </c>
      <c r="E27" s="49">
        <v>32</v>
      </c>
      <c r="F27" s="49"/>
      <c r="G27" s="49"/>
      <c r="H27" s="50" t="str">
        <f>IF($B27="","",IF($J27="X",B27,CONCATENATE(VLOOKUP(B27,Competitors!$A$2:$I$650,3,FALSE)," ",VLOOKUP(B27,Competitors!$A$2:$I$650,2,FALSE))))</f>
        <v>Phil Rayner</v>
      </c>
      <c r="I27" s="51">
        <f t="shared" si="0"/>
        <v>4.5509259259259256E-2</v>
      </c>
      <c r="J27" t="str">
        <f t="shared" si="1"/>
        <v/>
      </c>
    </row>
    <row r="28" spans="1:10" ht="15">
      <c r="A28" s="46" t="s">
        <v>589</v>
      </c>
      <c r="B28" s="47" t="s">
        <v>608</v>
      </c>
      <c r="C28" s="48"/>
      <c r="D28" s="49">
        <v>61</v>
      </c>
      <c r="E28" s="49">
        <v>34</v>
      </c>
      <c r="F28" s="49" t="s">
        <v>544</v>
      </c>
      <c r="G28" s="49"/>
      <c r="H28" s="50" t="str">
        <f>IF($B28="","",IF($J28="X",B28,CONCATENATE(VLOOKUP(B28,Competitors!$A$2:$I$650,3,FALSE)," ",VLOOKUP(B28,Competitors!$A$2:$I$650,2,FALSE))))</f>
        <v>Alex Barrowman (RFW)</v>
      </c>
      <c r="I28" s="51">
        <f t="shared" si="0"/>
        <v>4.2754629629629629E-2</v>
      </c>
      <c r="J28" t="str">
        <f t="shared" si="1"/>
        <v>X</v>
      </c>
    </row>
    <row r="29" spans="1:10" ht="15">
      <c r="A29" s="46" t="s">
        <v>414</v>
      </c>
      <c r="B29" s="47">
        <v>699</v>
      </c>
      <c r="C29" s="48"/>
      <c r="D29" s="49">
        <v>64</v>
      </c>
      <c r="E29" s="49">
        <v>41</v>
      </c>
      <c r="F29" s="49"/>
      <c r="G29" s="49"/>
      <c r="H29" s="50" t="str">
        <f>IF($B29="","",IF($J29="X",B29,CONCATENATE(VLOOKUP(B29,Competitors!$A$2:$I$650,3,FALSE)," ",VLOOKUP(B29,Competitors!$A$2:$I$650,2,FALSE))))</f>
        <v>Jonathan Durnin</v>
      </c>
      <c r="I29" s="51">
        <f t="shared" si="0"/>
        <v>4.4918981481481483E-2</v>
      </c>
      <c r="J29" t="str">
        <f t="shared" si="1"/>
        <v/>
      </c>
    </row>
    <row r="30" spans="1:10" ht="15">
      <c r="A30" s="46" t="s">
        <v>483</v>
      </c>
      <c r="B30" s="47" t="s">
        <v>597</v>
      </c>
      <c r="C30" s="48"/>
      <c r="D30" s="49">
        <v>63</v>
      </c>
      <c r="E30" s="49">
        <v>43</v>
      </c>
      <c r="F30" s="49" t="s">
        <v>544</v>
      </c>
      <c r="G30" s="49"/>
      <c r="H30" s="50" t="str">
        <f>IF($B30="","",IF($J30="X",B30,CONCATENATE(VLOOKUP(B30,Competitors!$A$2:$I$650,3,FALSE)," ",VLOOKUP(B30,Competitors!$A$2:$I$650,2,FALSE))))</f>
        <v>Andy King (KCC)</v>
      </c>
      <c r="I30" s="51">
        <f t="shared" si="0"/>
        <v>4.4247685185185189E-2</v>
      </c>
      <c r="J30" t="str">
        <f t="shared" si="1"/>
        <v>X</v>
      </c>
    </row>
    <row r="31" spans="1:10" ht="15">
      <c r="A31" s="46" t="s">
        <v>527</v>
      </c>
      <c r="B31" s="47" t="s">
        <v>558</v>
      </c>
      <c r="C31" s="48"/>
      <c r="D31" s="49">
        <v>64</v>
      </c>
      <c r="E31" s="49">
        <v>7</v>
      </c>
      <c r="F31" s="49"/>
      <c r="G31" s="49"/>
      <c r="H31" s="50" t="str">
        <f>IF($B31="","",IF($J31="X",B31,CONCATENATE(VLOOKUP(B31,Competitors!$A$2:$I$650,3,FALSE)," ",VLOOKUP(B31,Competitors!$A$2:$I$650,2,FALSE))))</f>
        <v>Phil Wilkinson (RFW)</v>
      </c>
      <c r="I31" s="51">
        <f t="shared" si="0"/>
        <v>4.4525462962962961E-2</v>
      </c>
      <c r="J31" t="str">
        <f t="shared" si="1"/>
        <v>X</v>
      </c>
    </row>
    <row r="32" spans="1:10" ht="15">
      <c r="A32" s="46" t="s">
        <v>521</v>
      </c>
      <c r="B32" s="47" t="s">
        <v>609</v>
      </c>
      <c r="C32" s="48"/>
      <c r="D32" s="49">
        <v>69</v>
      </c>
      <c r="E32" s="49">
        <v>20</v>
      </c>
      <c r="F32" s="49" t="s">
        <v>544</v>
      </c>
      <c r="G32" s="49"/>
      <c r="H32" s="50" t="str">
        <f>IF($B32="","",IF($J32="X",B32,CONCATENATE(VLOOKUP(B32,Competitors!$A$2:$I$650,3,FALSE)," ",VLOOKUP(B32,Competitors!$A$2:$I$650,2,FALSE))))</f>
        <v>Gregg Payne (RFW)</v>
      </c>
      <c r="I32" s="51">
        <f t="shared" si="0"/>
        <v>4.8148148148148148E-2</v>
      </c>
      <c r="J32" t="str">
        <f t="shared" si="1"/>
        <v>X</v>
      </c>
    </row>
    <row r="33" spans="1:10" ht="15">
      <c r="A33" s="46"/>
      <c r="B33" s="47"/>
      <c r="C33" s="48"/>
      <c r="D33" s="49"/>
      <c r="E33" s="49"/>
      <c r="F33" s="49"/>
      <c r="G33" s="49"/>
      <c r="H33" s="50" t="str">
        <f>IF($B33="","",IF($J33="X",B33,CONCATENATE(VLOOKUP(B33,Competitors!$A$2:$I$650,3,FALSE)," ",VLOOKUP(B33,Competitors!$A$2:$I$650,2,FALSE))))</f>
        <v/>
      </c>
      <c r="I33" s="51">
        <f t="shared" si="0"/>
        <v>0</v>
      </c>
      <c r="J33" t="str">
        <f t="shared" si="1"/>
        <v/>
      </c>
    </row>
    <row r="34" spans="1:10" ht="15">
      <c r="A34" s="46"/>
      <c r="B34" s="47"/>
      <c r="C34" s="48"/>
      <c r="D34" s="49"/>
      <c r="E34" s="49"/>
      <c r="F34" s="49"/>
      <c r="G34" s="49"/>
      <c r="H34" s="50" t="str">
        <f>IF($B34="","",IF($J34="X",B34,CONCATENATE(VLOOKUP(B34,Competitors!$A$2:$I$650,3,FALSE)," ",VLOOKUP(B34,Competitors!$A$2:$I$650,2,FALSE))))</f>
        <v/>
      </c>
      <c r="I34" s="51">
        <f t="shared" si="0"/>
        <v>0</v>
      </c>
      <c r="J34" t="str">
        <f t="shared" si="1"/>
        <v/>
      </c>
    </row>
    <row r="35" spans="1:10" ht="15">
      <c r="A35" s="46"/>
      <c r="B35" s="47"/>
      <c r="C35" s="48"/>
      <c r="D35" s="49"/>
      <c r="E35" s="49"/>
      <c r="F35" s="49"/>
      <c r="G35" s="49"/>
      <c r="H35" s="50" t="str">
        <f>IF($B35="","",IF($J35="X",B35,CONCATENATE(VLOOKUP(B35,Competitors!$A$2:$I$650,3,FALSE)," ",VLOOKUP(B35,Competitors!$A$2:$I$650,2,FALSE))))</f>
        <v/>
      </c>
      <c r="I35" s="51">
        <f t="shared" si="0"/>
        <v>0</v>
      </c>
      <c r="J35" t="str">
        <f t="shared" si="1"/>
        <v/>
      </c>
    </row>
    <row r="36" spans="1:10" ht="15">
      <c r="A36" s="46"/>
      <c r="B36" s="47"/>
      <c r="C36" s="48"/>
      <c r="D36" s="49"/>
      <c r="E36" s="49"/>
      <c r="F36" s="49"/>
      <c r="G36" s="49"/>
      <c r="H36" s="50" t="str">
        <f>IF($B36="","",IF($J36="X",B36,CONCATENATE(VLOOKUP(B36,Competitors!$A$2:$I$650,3,FALSE)," ",VLOOKUP(B36,Competitors!$A$2:$I$650,2,FALSE))))</f>
        <v/>
      </c>
      <c r="I36" s="51">
        <f t="shared" si="0"/>
        <v>0</v>
      </c>
      <c r="J36" t="str">
        <f t="shared" si="1"/>
        <v/>
      </c>
    </row>
    <row r="37" spans="1:10" ht="15">
      <c r="A37" s="46"/>
      <c r="B37" s="47"/>
      <c r="C37" s="48"/>
      <c r="D37" s="49"/>
      <c r="E37" s="49"/>
      <c r="F37" s="49"/>
      <c r="G37" s="49"/>
      <c r="H37" s="50" t="str">
        <f>IF($B37="","",IF($J37="X",B37,CONCATENATE(VLOOKUP(B37,Competitors!$A$2:$I$650,3,FALSE)," ",VLOOKUP(B37,Competitors!$A$2:$I$650,2,FALSE))))</f>
        <v/>
      </c>
      <c r="I37" s="51">
        <f t="shared" si="0"/>
        <v>0</v>
      </c>
      <c r="J37" t="str">
        <f t="shared" si="1"/>
        <v/>
      </c>
    </row>
    <row r="38" spans="1:10" ht="15">
      <c r="A38" s="46"/>
      <c r="B38" s="47"/>
      <c r="C38" s="48"/>
      <c r="D38" s="49"/>
      <c r="E38" s="49"/>
      <c r="F38" s="49"/>
      <c r="G38" s="49"/>
      <c r="H38" s="50" t="str">
        <f>IF($B38="","",IF($J38="X",B38,CONCATENATE(VLOOKUP(B38,Competitors!$A$2:$I$650,3,FALSE)," ",VLOOKUP(B38,Competitors!$A$2:$I$650,2,FALSE))))</f>
        <v/>
      </c>
      <c r="I38" s="51">
        <f t="shared" si="0"/>
        <v>0</v>
      </c>
      <c r="J38" t="str">
        <f t="shared" si="1"/>
        <v/>
      </c>
    </row>
    <row r="39" spans="1:10" ht="15">
      <c r="A39" s="46"/>
      <c r="B39" s="47"/>
      <c r="C39" s="48"/>
      <c r="D39" s="49"/>
      <c r="E39" s="49"/>
      <c r="F39" s="49"/>
      <c r="G39" s="49"/>
      <c r="H39" s="50" t="str">
        <f>IF($B39="","",IF($J39="X",B39,CONCATENATE(VLOOKUP(B39,Competitors!$A$2:$I$650,3,FALSE)," ",VLOOKUP(B39,Competitors!$A$2:$I$650,2,FALSE))))</f>
        <v/>
      </c>
      <c r="I39" s="51">
        <f t="shared" si="0"/>
        <v>0</v>
      </c>
      <c r="J39" t="str">
        <f t="shared" si="1"/>
        <v/>
      </c>
    </row>
    <row r="40" spans="1:10" ht="15">
      <c r="A40" s="46"/>
      <c r="B40" s="47"/>
      <c r="C40" s="48"/>
      <c r="D40" s="49"/>
      <c r="E40" s="49"/>
      <c r="F40" s="49"/>
      <c r="G40" s="49"/>
      <c r="H40" s="50" t="str">
        <f>IF($B40="","",IF($J40="X",B40,CONCATENATE(VLOOKUP(B40,Competitors!$A$2:$I$650,3,FALSE)," ",VLOOKUP(B40,Competitors!$A$2:$I$650,2,FALSE))))</f>
        <v/>
      </c>
      <c r="I40" s="51">
        <f t="shared" si="0"/>
        <v>0</v>
      </c>
      <c r="J40" t="str">
        <f t="shared" si="1"/>
        <v/>
      </c>
    </row>
    <row r="41" spans="1:10" ht="15">
      <c r="A41" s="46"/>
      <c r="B41" s="47"/>
      <c r="C41" s="48"/>
      <c r="D41" s="49"/>
      <c r="E41" s="49"/>
      <c r="F41" s="49"/>
      <c r="G41" s="49"/>
      <c r="H41" s="50" t="str">
        <f>IF($B41="","",IF($J41="X",B41,CONCATENATE(VLOOKUP(B41,Competitors!$A$2:$I$650,3,FALSE)," ",VLOOKUP(B41,Competitors!$A$2:$I$650,2,FALSE))))</f>
        <v/>
      </c>
      <c r="I41" s="51">
        <f t="shared" si="0"/>
        <v>0</v>
      </c>
      <c r="J41" t="str">
        <f t="shared" si="1"/>
        <v/>
      </c>
    </row>
    <row r="42" spans="1:10" ht="15">
      <c r="A42" s="46"/>
      <c r="B42" s="47"/>
      <c r="C42" s="48"/>
      <c r="D42" s="49"/>
      <c r="E42" s="49"/>
      <c r="F42" s="49"/>
      <c r="G42" s="49"/>
      <c r="H42" s="50" t="str">
        <f>IF($B42="","",IF($J42="X",B42,CONCATENATE(VLOOKUP(B42,Competitors!$A$2:$I$650,3,FALSE)," ",VLOOKUP(B42,Competitors!$A$2:$I$650,2,FALSE))))</f>
        <v/>
      </c>
      <c r="I42" s="51">
        <f t="shared" si="0"/>
        <v>0</v>
      </c>
      <c r="J42" t="str">
        <f t="shared" si="1"/>
        <v/>
      </c>
    </row>
    <row r="43" spans="1:10" ht="15">
      <c r="A43" s="46"/>
      <c r="B43" s="47"/>
      <c r="C43" s="48"/>
      <c r="D43" s="49"/>
      <c r="E43" s="49"/>
      <c r="F43" s="49"/>
      <c r="G43" s="49"/>
      <c r="H43" s="50" t="str">
        <f>IF($B43="","",IF($J43="X",B43,CONCATENATE(VLOOKUP(B43,Competitors!$A$2:$I$650,3,FALSE)," ",VLOOKUP(B43,Competitors!$A$2:$I$650,2,FALSE))))</f>
        <v/>
      </c>
      <c r="I43" s="51">
        <f t="shared" si="0"/>
        <v>0</v>
      </c>
      <c r="J43" t="str">
        <f t="shared" si="1"/>
        <v/>
      </c>
    </row>
    <row r="44" spans="1:10" ht="15">
      <c r="A44" s="46"/>
      <c r="B44" s="47"/>
      <c r="C44" s="48"/>
      <c r="D44" s="49"/>
      <c r="E44" s="49"/>
      <c r="F44" s="49"/>
      <c r="G44" s="49"/>
      <c r="H44" s="50" t="str">
        <f>IF($B44="","",IF($J44="X",B44,CONCATENATE(VLOOKUP(B44,Competitors!$A$2:$I$650,3,FALSE)," ",VLOOKUP(B44,Competitors!$A$2:$I$650,2,FALSE))))</f>
        <v/>
      </c>
      <c r="I44" s="51">
        <f t="shared" si="0"/>
        <v>0</v>
      </c>
      <c r="J44" t="str">
        <f t="shared" si="1"/>
        <v/>
      </c>
    </row>
    <row r="45" spans="1:10" ht="15">
      <c r="A45" s="46"/>
      <c r="B45" s="47"/>
      <c r="C45" s="48"/>
      <c r="D45" s="49"/>
      <c r="E45" s="49"/>
      <c r="F45" s="49"/>
      <c r="G45" s="49"/>
      <c r="H45" s="50" t="str">
        <f>IF($B45="","",IF($J45="X",B45,CONCATENATE(VLOOKUP(B45,Competitors!$A$2:$I$650,3,FALSE)," ",VLOOKUP(B45,Competitors!$A$2:$I$650,2,FALSE))))</f>
        <v/>
      </c>
      <c r="I45" s="51">
        <f t="shared" si="0"/>
        <v>0</v>
      </c>
      <c r="J45" t="str">
        <f t="shared" si="1"/>
        <v/>
      </c>
    </row>
    <row r="46" spans="1:10" ht="15">
      <c r="A46" s="46"/>
      <c r="B46" s="47"/>
      <c r="C46" s="48"/>
      <c r="D46" s="49"/>
      <c r="E46" s="49"/>
      <c r="F46" s="49"/>
      <c r="G46" s="49"/>
      <c r="H46" s="50" t="str">
        <f>IF($B46="","",IF($J46="X",B46,CONCATENATE(VLOOKUP(B46,Competitors!$A$2:$I$650,3,FALSE)," ",VLOOKUP(B46,Competitors!$A$2:$I$650,2,FALSE))))</f>
        <v/>
      </c>
      <c r="I46" s="51">
        <f t="shared" si="0"/>
        <v>0</v>
      </c>
      <c r="J46" t="str">
        <f t="shared" si="1"/>
        <v/>
      </c>
    </row>
    <row r="47" spans="1:10" ht="15">
      <c r="A47" s="46"/>
      <c r="B47" s="47"/>
      <c r="C47" s="48"/>
      <c r="D47" s="49"/>
      <c r="E47" s="49"/>
      <c r="F47" s="49"/>
      <c r="G47" s="49"/>
      <c r="H47" s="50" t="str">
        <f>IF($B47="","",IF($J47="X",B47,CONCATENATE(VLOOKUP(B47,Competitors!$A$2:$I$650,3,FALSE)," ",VLOOKUP(B47,Competitors!$A$2:$I$650,2,FALSE))))</f>
        <v/>
      </c>
      <c r="I47" s="51">
        <f t="shared" si="0"/>
        <v>0</v>
      </c>
      <c r="J47" t="str">
        <f t="shared" si="1"/>
        <v/>
      </c>
    </row>
    <row r="48" spans="1:10" ht="15">
      <c r="A48" s="46"/>
      <c r="B48" s="47"/>
      <c r="C48" s="48"/>
      <c r="D48" s="49"/>
      <c r="E48" s="49"/>
      <c r="F48" s="49"/>
      <c r="G48" s="49"/>
      <c r="H48" s="50" t="str">
        <f>IF($B48="","",IF($J48="X",B48,CONCATENATE(VLOOKUP(B48,Competitors!$A$2:$I$650,3,FALSE)," ",VLOOKUP(B48,Competitors!$A$2:$I$650,2,FALSE))))</f>
        <v/>
      </c>
      <c r="I48" s="51">
        <f t="shared" si="0"/>
        <v>0</v>
      </c>
      <c r="J48" t="str">
        <f t="shared" si="1"/>
        <v/>
      </c>
    </row>
    <row r="49" spans="1:10" ht="15">
      <c r="A49" s="46"/>
      <c r="B49" s="47"/>
      <c r="C49" s="48"/>
      <c r="D49" s="49"/>
      <c r="E49" s="49"/>
      <c r="F49" s="49"/>
      <c r="G49" s="49"/>
      <c r="H49" s="50" t="str">
        <f>IF($B49="","",IF($J49="X",B49,CONCATENATE(VLOOKUP(B49,Competitors!$A$2:$I$650,3,FALSE)," ",VLOOKUP(B49,Competitors!$A$2:$I$650,2,FALSE))))</f>
        <v/>
      </c>
      <c r="I49" s="51">
        <f t="shared" si="0"/>
        <v>0</v>
      </c>
      <c r="J49" t="str">
        <f t="shared" si="1"/>
        <v/>
      </c>
    </row>
    <row r="50" spans="1:10" ht="15">
      <c r="A50" s="46"/>
      <c r="B50" s="47"/>
      <c r="C50" s="48"/>
      <c r="D50" s="49"/>
      <c r="E50" s="49"/>
      <c r="F50" s="49"/>
      <c r="G50" s="49"/>
      <c r="H50" s="50" t="str">
        <f>IF($B50="","",IF($J50="X",B50,CONCATENATE(VLOOKUP(B50,Competitors!$A$2:$I$650,3,FALSE)," ",VLOOKUP(B50,Competitors!$A$2:$I$650,2,FALSE))))</f>
        <v/>
      </c>
      <c r="I50" s="51">
        <f t="shared" si="0"/>
        <v>0</v>
      </c>
      <c r="J50" t="str">
        <f t="shared" si="1"/>
        <v/>
      </c>
    </row>
    <row r="51" spans="1:10" ht="15">
      <c r="A51" s="46"/>
      <c r="B51" s="47"/>
      <c r="C51" s="48"/>
      <c r="D51" s="49"/>
      <c r="E51" s="49"/>
      <c r="F51" s="49"/>
      <c r="G51" s="49"/>
      <c r="H51" s="50" t="str">
        <f>IF($B51="","",IF($J51="X",B51,CONCATENATE(VLOOKUP(B51,Competitors!$A$2:$I$650,3,FALSE)," ",VLOOKUP(B51,Competitors!$A$2:$I$650,2,FALSE))))</f>
        <v/>
      </c>
      <c r="I51" s="51">
        <f t="shared" si="0"/>
        <v>0</v>
      </c>
      <c r="J51" t="str">
        <f t="shared" si="1"/>
        <v/>
      </c>
    </row>
    <row r="52" spans="1:10" ht="15">
      <c r="A52" s="46"/>
      <c r="B52" s="47"/>
      <c r="C52" s="48"/>
      <c r="D52" s="49"/>
      <c r="E52" s="49"/>
      <c r="F52" s="49"/>
      <c r="G52" s="49"/>
      <c r="H52" s="50" t="str">
        <f>IF($B52="","",IF($J52="X",B52,CONCATENATE(VLOOKUP(B52,Competitors!$A$2:$I$650,3,FALSE)," ",VLOOKUP(B52,Competitors!$A$2:$I$650,2,FALSE))))</f>
        <v/>
      </c>
      <c r="I52" s="51">
        <f t="shared" si="0"/>
        <v>0</v>
      </c>
      <c r="J52" t="str">
        <f t="shared" si="1"/>
        <v/>
      </c>
    </row>
    <row r="53" spans="1:10" ht="15">
      <c r="A53" s="46"/>
      <c r="B53" s="47"/>
      <c r="C53" s="48"/>
      <c r="D53" s="49"/>
      <c r="E53" s="49"/>
      <c r="F53" s="49"/>
      <c r="G53" s="49"/>
      <c r="H53" s="50" t="str">
        <f>IF($B53="","",IF($J53="X",B53,CONCATENATE(VLOOKUP(B53,Competitors!$A$2:$I$650,3,FALSE)," ",VLOOKUP(B53,Competitors!$A$2:$I$650,2,FALSE))))</f>
        <v/>
      </c>
      <c r="I53" s="51">
        <f t="shared" si="0"/>
        <v>0</v>
      </c>
      <c r="J53" t="str">
        <f t="shared" si="1"/>
        <v/>
      </c>
    </row>
    <row r="54" spans="1:10" ht="15">
      <c r="A54" s="46"/>
      <c r="B54" s="47"/>
      <c r="C54" s="48"/>
      <c r="D54" s="49"/>
      <c r="E54" s="49"/>
      <c r="F54" s="49"/>
      <c r="G54" s="49"/>
      <c r="H54" s="50" t="str">
        <f>IF($B54="","",IF($J54="X",B54,CONCATENATE(VLOOKUP(B54,Competitors!$A$2:$I$650,3,FALSE)," ",VLOOKUP(B54,Competitors!$A$2:$I$650,2,FALSE))))</f>
        <v/>
      </c>
      <c r="I54" s="51">
        <f t="shared" si="0"/>
        <v>0</v>
      </c>
      <c r="J54" t="str">
        <f t="shared" si="1"/>
        <v/>
      </c>
    </row>
    <row r="55" spans="1:10" ht="15">
      <c r="A55" s="46"/>
      <c r="B55" s="47"/>
      <c r="C55" s="48"/>
      <c r="D55" s="49"/>
      <c r="E55" s="49"/>
      <c r="F55" s="49"/>
      <c r="G55" s="49"/>
      <c r="H55" s="50" t="str">
        <f>IF($B55="","",IF($J55="X",B55,CONCATENATE(VLOOKUP(B55,Competitors!$A$2:$I$650,3,FALSE)," ",VLOOKUP(B55,Competitors!$A$2:$I$650,2,FALSE))))</f>
        <v/>
      </c>
      <c r="I55" s="51">
        <f t="shared" si="0"/>
        <v>0</v>
      </c>
      <c r="J55" t="str">
        <f t="shared" si="1"/>
        <v/>
      </c>
    </row>
    <row r="56" spans="1:10" ht="15">
      <c r="A56" s="46"/>
      <c r="B56" s="47"/>
      <c r="C56" s="48"/>
      <c r="D56" s="49"/>
      <c r="E56" s="49"/>
      <c r="F56" s="49"/>
      <c r="G56" s="49"/>
      <c r="H56" s="50" t="str">
        <f>IF($B56="","",IF($J56="X",B56,CONCATENATE(VLOOKUP(B56,Competitors!$A$2:$I$650,3,FALSE)," ",VLOOKUP(B56,Competitors!$A$2:$I$650,2,FALSE))))</f>
        <v/>
      </c>
      <c r="I56" s="51">
        <f t="shared" si="0"/>
        <v>0</v>
      </c>
      <c r="J56" t="str">
        <f t="shared" si="1"/>
        <v/>
      </c>
    </row>
    <row r="57" spans="1:10" ht="15">
      <c r="A57" s="46"/>
      <c r="B57" s="47"/>
      <c r="C57" s="48"/>
      <c r="D57" s="49"/>
      <c r="E57" s="49"/>
      <c r="F57" s="49"/>
      <c r="G57" s="49"/>
      <c r="H57" s="50" t="str">
        <f>IF($B57="","",IF($J57="X",B57,CONCATENATE(VLOOKUP(B57,Competitors!$A$2:$I$650,3,FALSE)," ",VLOOKUP(B57,Competitors!$A$2:$I$650,2,FALSE))))</f>
        <v/>
      </c>
      <c r="I57" s="51">
        <f t="shared" si="0"/>
        <v>0</v>
      </c>
      <c r="J57" t="str">
        <f t="shared" si="1"/>
        <v/>
      </c>
    </row>
    <row r="58" spans="1:10" ht="15">
      <c r="A58" s="46"/>
      <c r="B58" s="47"/>
      <c r="C58" s="48"/>
      <c r="D58" s="49"/>
      <c r="E58" s="49"/>
      <c r="F58" s="49"/>
      <c r="G58" s="49"/>
      <c r="H58" s="50" t="str">
        <f>IF($B58="","",IF($J58="X",B58,CONCATENATE(VLOOKUP(B58,Competitors!$A$2:$I$650,3,FALSE)," ",VLOOKUP(B58,Competitors!$A$2:$I$650,2,FALSE))))</f>
        <v/>
      </c>
      <c r="I58" s="51">
        <f t="shared" si="0"/>
        <v>0</v>
      </c>
      <c r="J58" t="str">
        <f t="shared" si="1"/>
        <v/>
      </c>
    </row>
    <row r="59" spans="1:10" ht="15">
      <c r="A59" s="46"/>
      <c r="B59" s="47"/>
      <c r="C59" s="48"/>
      <c r="D59" s="49"/>
      <c r="E59" s="49"/>
      <c r="F59" s="49"/>
      <c r="G59" s="49"/>
      <c r="H59" s="50" t="str">
        <f>IF($B59="","",IF($J59="X",B59,CONCATENATE(VLOOKUP(B59,Competitors!$A$2:$I$650,3,FALSE)," ",VLOOKUP(B59,Competitors!$A$2:$I$650,2,FALSE))))</f>
        <v/>
      </c>
      <c r="I59" s="51">
        <f t="shared" si="0"/>
        <v>0</v>
      </c>
      <c r="J59" t="str">
        <f t="shared" si="1"/>
        <v/>
      </c>
    </row>
    <row r="60" spans="1:10" ht="15">
      <c r="A60" s="46"/>
      <c r="B60" s="47"/>
      <c r="C60" s="48"/>
      <c r="D60" s="49"/>
      <c r="E60" s="49"/>
      <c r="F60" s="49"/>
      <c r="G60" s="49"/>
      <c r="H60" s="50" t="str">
        <f>IF($B60="","",IF($J60="X",B60,CONCATENATE(VLOOKUP(B60,Competitors!$A$2:$I$650,3,FALSE)," ",VLOOKUP(B60,Competitors!$A$2:$I$650,2,FALSE))))</f>
        <v/>
      </c>
      <c r="I60" s="51">
        <f t="shared" si="0"/>
        <v>0</v>
      </c>
      <c r="J60" t="str">
        <f t="shared" si="1"/>
        <v/>
      </c>
    </row>
    <row r="61" spans="1:10" ht="15">
      <c r="A61" s="46"/>
      <c r="B61" s="47"/>
      <c r="C61" s="48"/>
      <c r="D61" s="49"/>
      <c r="E61" s="49"/>
      <c r="F61" s="49"/>
      <c r="G61" s="49"/>
      <c r="H61" s="50" t="str">
        <f>IF($B61="","",IF($J61="X",B61,CONCATENATE(VLOOKUP(B61,Competitors!$A$2:$I$650,3,FALSE)," ",VLOOKUP(B61,Competitors!$A$2:$I$650,2,FALSE))))</f>
        <v/>
      </c>
      <c r="I61" s="51">
        <f t="shared" si="0"/>
        <v>0</v>
      </c>
      <c r="J61" t="str">
        <f t="shared" si="1"/>
        <v/>
      </c>
    </row>
    <row r="62" spans="1:10" ht="15">
      <c r="A62" s="46"/>
      <c r="B62" s="47"/>
      <c r="C62" s="48"/>
      <c r="D62" s="49"/>
      <c r="E62" s="49"/>
      <c r="F62" s="49"/>
      <c r="G62" s="49"/>
      <c r="H62" s="50" t="str">
        <f>IF($B62="","",IF($J62="X",B62,CONCATENATE(VLOOKUP(B62,Competitors!$A$2:$I$650,3,FALSE)," ",VLOOKUP(B62,Competitors!$A$2:$I$650,2,FALSE))))</f>
        <v/>
      </c>
      <c r="I62" s="51">
        <f t="shared" si="0"/>
        <v>0</v>
      </c>
      <c r="J62" t="str">
        <f t="shared" si="1"/>
        <v/>
      </c>
    </row>
    <row r="63" spans="1:10" ht="15">
      <c r="A63" s="46"/>
      <c r="B63" s="47"/>
      <c r="C63" s="48"/>
      <c r="D63" s="49"/>
      <c r="E63" s="49"/>
      <c r="F63" s="49"/>
      <c r="G63" s="49"/>
      <c r="H63" s="50" t="str">
        <f>IF($B63="","",IF($J63="X",B63,CONCATENATE(VLOOKUP(B63,Competitors!$A$2:$I$650,3,FALSE)," ",VLOOKUP(B63,Competitors!$A$2:$I$650,2,FALSE))))</f>
        <v/>
      </c>
      <c r="I63" s="51">
        <f t="shared" si="0"/>
        <v>0</v>
      </c>
      <c r="J63" t="str">
        <f t="shared" si="1"/>
        <v/>
      </c>
    </row>
    <row r="64" spans="1:10" ht="15">
      <c r="A64" s="46"/>
      <c r="B64" s="47"/>
      <c r="C64" s="48"/>
      <c r="D64" s="49"/>
      <c r="E64" s="49"/>
      <c r="F64" s="49"/>
      <c r="G64" s="49"/>
      <c r="H64" s="50" t="str">
        <f>IF($B64="","",IF($J64="X",B64,CONCATENATE(VLOOKUP(B64,Competitors!$A$2:$I$650,3,FALSE)," ",VLOOKUP(B64,Competitors!$A$2:$I$650,2,FALSE))))</f>
        <v/>
      </c>
      <c r="I64" s="51">
        <f t="shared" si="0"/>
        <v>0</v>
      </c>
      <c r="J64" t="str">
        <f t="shared" si="1"/>
        <v/>
      </c>
    </row>
    <row r="65" spans="1:10" ht="15">
      <c r="A65" s="46"/>
      <c r="B65" s="47"/>
      <c r="C65" s="48"/>
      <c r="D65" s="49"/>
      <c r="E65" s="49"/>
      <c r="F65" s="49"/>
      <c r="G65" s="49"/>
      <c r="H65" s="50" t="str">
        <f>IF($B65="","",IF($J65="X",B65,CONCATENATE(VLOOKUP(B65,Competitors!$A$2:$I$650,3,FALSE)," ",VLOOKUP(B65,Competitors!$A$2:$I$650,2,FALSE))))</f>
        <v/>
      </c>
      <c r="I65" s="51">
        <f t="shared" si="0"/>
        <v>0</v>
      </c>
      <c r="J65" t="str">
        <f t="shared" si="1"/>
        <v/>
      </c>
    </row>
    <row r="66" spans="1:10" ht="15">
      <c r="A66" s="46"/>
      <c r="B66" s="47"/>
      <c r="C66" s="48"/>
      <c r="D66" s="49"/>
      <c r="E66" s="49"/>
      <c r="F66" s="49"/>
      <c r="G66" s="49"/>
      <c r="H66" s="50" t="str">
        <f>IF($B66="","",IF($J66="X",B66,CONCATENATE(VLOOKUP(B66,Competitors!$A$2:$I$650,3,FALSE)," ",VLOOKUP(B66,Competitors!$A$2:$I$650,2,FALSE))))</f>
        <v/>
      </c>
      <c r="I66" s="51">
        <f t="shared" ref="I66:I101" si="2">IF(LEFT($F66,1)="D",UPPER($F66),(C66*3600+D66*60+E66)/86400)</f>
        <v>0</v>
      </c>
      <c r="J66" t="str">
        <f t="shared" ref="J66:J101" si="3">IF(OR(B66="",ISNUMBER(B66)),"","X")</f>
        <v/>
      </c>
    </row>
    <row r="67" spans="1:10" ht="15">
      <c r="A67" s="46"/>
      <c r="B67" s="47"/>
      <c r="C67" s="48"/>
      <c r="D67" s="49"/>
      <c r="E67" s="49"/>
      <c r="F67" s="49"/>
      <c r="G67" s="49"/>
      <c r="H67" s="50" t="str">
        <f>IF($B67="","",IF($J67="X",B67,CONCATENATE(VLOOKUP(B67,Competitors!$A$2:$I$650,3,FALSE)," ",VLOOKUP(B67,Competitors!$A$2:$I$650,2,FALSE))))</f>
        <v/>
      </c>
      <c r="I67" s="51">
        <f t="shared" si="2"/>
        <v>0</v>
      </c>
      <c r="J67" t="str">
        <f t="shared" si="3"/>
        <v/>
      </c>
    </row>
    <row r="68" spans="1:10" ht="15">
      <c r="A68" s="46"/>
      <c r="B68" s="47"/>
      <c r="C68" s="48"/>
      <c r="D68" s="49"/>
      <c r="E68" s="49"/>
      <c r="F68" s="49"/>
      <c r="G68" s="49"/>
      <c r="H68" s="50" t="str">
        <f>IF($B68="","",IF($J68="X",B68,CONCATENATE(VLOOKUP(B68,Competitors!$A$2:$I$650,3,FALSE)," ",VLOOKUP(B68,Competitors!$A$2:$I$650,2,FALSE))))</f>
        <v/>
      </c>
      <c r="I68" s="51">
        <f t="shared" si="2"/>
        <v>0</v>
      </c>
      <c r="J68" t="str">
        <f t="shared" si="3"/>
        <v/>
      </c>
    </row>
    <row r="69" spans="1:10" ht="15">
      <c r="A69" s="46"/>
      <c r="B69" s="47"/>
      <c r="C69" s="48"/>
      <c r="D69" s="49"/>
      <c r="E69" s="49"/>
      <c r="F69" s="49"/>
      <c r="G69" s="49"/>
      <c r="H69" s="50" t="str">
        <f>IF($B69="","",IF($J69="X",B69,CONCATENATE(VLOOKUP(B69,Competitors!$A$2:$I$650,3,FALSE)," ",VLOOKUP(B69,Competitors!$A$2:$I$650,2,FALSE))))</f>
        <v/>
      </c>
      <c r="I69" s="51">
        <f t="shared" si="2"/>
        <v>0</v>
      </c>
      <c r="J69" t="str">
        <f t="shared" si="3"/>
        <v/>
      </c>
    </row>
    <row r="70" spans="1:10" ht="15">
      <c r="A70" s="46"/>
      <c r="B70" s="47"/>
      <c r="C70" s="48"/>
      <c r="D70" s="49"/>
      <c r="E70" s="49"/>
      <c r="F70" s="49"/>
      <c r="G70" s="49"/>
      <c r="H70" s="50" t="str">
        <f>IF($B70="","",IF($J70="X",B70,CONCATENATE(VLOOKUP(B70,Competitors!$A$2:$I$650,3,FALSE)," ",VLOOKUP(B70,Competitors!$A$2:$I$650,2,FALSE))))</f>
        <v/>
      </c>
      <c r="I70" s="51">
        <f t="shared" si="2"/>
        <v>0</v>
      </c>
      <c r="J70" t="str">
        <f t="shared" si="3"/>
        <v/>
      </c>
    </row>
    <row r="71" spans="1:10" ht="15">
      <c r="A71" s="46"/>
      <c r="B71" s="47"/>
      <c r="C71" s="48"/>
      <c r="D71" s="49"/>
      <c r="E71" s="49"/>
      <c r="F71" s="49"/>
      <c r="G71" s="49"/>
      <c r="H71" s="50" t="str">
        <f>IF($B71="","",IF($J71="X",B71,CONCATENATE(VLOOKUP(B71,Competitors!$A$2:$I$650,3,FALSE)," ",VLOOKUP(B71,Competitors!$A$2:$I$650,2,FALSE))))</f>
        <v/>
      </c>
      <c r="I71" s="51">
        <f t="shared" si="2"/>
        <v>0</v>
      </c>
      <c r="J71" t="str">
        <f t="shared" si="3"/>
        <v/>
      </c>
    </row>
    <row r="72" spans="1:10" ht="15">
      <c r="A72" s="46"/>
      <c r="B72" s="47"/>
      <c r="C72" s="48"/>
      <c r="D72" s="49"/>
      <c r="E72" s="49"/>
      <c r="F72" s="49"/>
      <c r="G72" s="49"/>
      <c r="H72" s="50" t="str">
        <f>IF($B72="","",IF($J72="X",B72,CONCATENATE(VLOOKUP(B72,Competitors!$A$2:$I$650,3,FALSE)," ",VLOOKUP(B72,Competitors!$A$2:$I$650,2,FALSE))))</f>
        <v/>
      </c>
      <c r="I72" s="51">
        <f t="shared" si="2"/>
        <v>0</v>
      </c>
      <c r="J72" t="str">
        <f t="shared" si="3"/>
        <v/>
      </c>
    </row>
    <row r="73" spans="1:10" ht="15">
      <c r="A73" s="46"/>
      <c r="B73" s="47"/>
      <c r="C73" s="48"/>
      <c r="D73" s="49"/>
      <c r="E73" s="49"/>
      <c r="F73" s="49"/>
      <c r="G73" s="49"/>
      <c r="H73" s="50" t="str">
        <f>IF($B73="","",IF($J73="X",B73,CONCATENATE(VLOOKUP(B73,Competitors!$A$2:$I$650,3,FALSE)," ",VLOOKUP(B73,Competitors!$A$2:$I$650,2,FALSE))))</f>
        <v/>
      </c>
      <c r="I73" s="51">
        <f t="shared" si="2"/>
        <v>0</v>
      </c>
      <c r="J73" t="str">
        <f t="shared" si="3"/>
        <v/>
      </c>
    </row>
    <row r="74" spans="1:10" ht="15">
      <c r="A74" s="46"/>
      <c r="B74" s="47"/>
      <c r="C74" s="48"/>
      <c r="D74" s="49"/>
      <c r="E74" s="49"/>
      <c r="F74" s="49"/>
      <c r="G74" s="49"/>
      <c r="H74" s="50" t="str">
        <f>IF($B74="","",IF($J74="X",B74,CONCATENATE(VLOOKUP(B74,Competitors!$A$2:$I$650,3,FALSE)," ",VLOOKUP(B74,Competitors!$A$2:$I$650,2,FALSE))))</f>
        <v/>
      </c>
      <c r="I74" s="51">
        <f t="shared" si="2"/>
        <v>0</v>
      </c>
      <c r="J74" t="str">
        <f t="shared" si="3"/>
        <v/>
      </c>
    </row>
    <row r="75" spans="1:10" ht="15">
      <c r="A75" s="46"/>
      <c r="B75" s="47"/>
      <c r="C75" s="48"/>
      <c r="D75" s="49"/>
      <c r="E75" s="49"/>
      <c r="F75" s="49"/>
      <c r="G75" s="49"/>
      <c r="H75" s="50" t="str">
        <f>IF($B75="","",IF($J75="X",B75,CONCATENATE(VLOOKUP(B75,Competitors!$A$2:$I$650,3,FALSE)," ",VLOOKUP(B75,Competitors!$A$2:$I$650,2,FALSE))))</f>
        <v/>
      </c>
      <c r="I75" s="51">
        <f t="shared" si="2"/>
        <v>0</v>
      </c>
      <c r="J75" t="str">
        <f t="shared" si="3"/>
        <v/>
      </c>
    </row>
    <row r="76" spans="1:10" ht="15">
      <c r="A76" s="46"/>
      <c r="B76" s="47"/>
      <c r="C76" s="48"/>
      <c r="D76" s="49"/>
      <c r="E76" s="49"/>
      <c r="F76" s="49"/>
      <c r="G76" s="49"/>
      <c r="H76" s="50" t="str">
        <f>IF($B76="","",IF($J76="X",B76,CONCATENATE(VLOOKUP(B76,Competitors!$A$2:$I$650,3,FALSE)," ",VLOOKUP(B76,Competitors!$A$2:$I$650,2,FALSE))))</f>
        <v/>
      </c>
      <c r="I76" s="51">
        <f t="shared" si="2"/>
        <v>0</v>
      </c>
      <c r="J76" t="str">
        <f t="shared" si="3"/>
        <v/>
      </c>
    </row>
    <row r="77" spans="1:10" ht="15">
      <c r="A77" s="46"/>
      <c r="B77" s="47"/>
      <c r="C77" s="48"/>
      <c r="D77" s="49"/>
      <c r="E77" s="49"/>
      <c r="F77" s="49"/>
      <c r="G77" s="49"/>
      <c r="H77" s="50" t="str">
        <f>IF($B77="","",IF($J77="X",B77,CONCATENATE(VLOOKUP(B77,Competitors!$A$2:$I$650,3,FALSE)," ",VLOOKUP(B77,Competitors!$A$2:$I$650,2,FALSE))))</f>
        <v/>
      </c>
      <c r="I77" s="51">
        <f t="shared" si="2"/>
        <v>0</v>
      </c>
      <c r="J77" t="str">
        <f t="shared" si="3"/>
        <v/>
      </c>
    </row>
    <row r="78" spans="1:10" ht="15">
      <c r="A78" s="46"/>
      <c r="B78" s="47"/>
      <c r="C78" s="48"/>
      <c r="D78" s="49"/>
      <c r="E78" s="49"/>
      <c r="F78" s="49"/>
      <c r="G78" s="49"/>
      <c r="H78" s="50" t="str">
        <f>IF($B78="","",IF($J78="X",B78,CONCATENATE(VLOOKUP(B78,Competitors!$A$2:$I$650,3,FALSE)," ",VLOOKUP(B78,Competitors!$A$2:$I$650,2,FALSE))))</f>
        <v/>
      </c>
      <c r="I78" s="51">
        <f t="shared" si="2"/>
        <v>0</v>
      </c>
      <c r="J78" t="str">
        <f t="shared" si="3"/>
        <v/>
      </c>
    </row>
    <row r="79" spans="1:10" ht="15">
      <c r="A79" s="46"/>
      <c r="B79" s="47"/>
      <c r="C79" s="48"/>
      <c r="D79" s="49"/>
      <c r="E79" s="49"/>
      <c r="F79" s="49"/>
      <c r="G79" s="49"/>
      <c r="H79" s="50" t="str">
        <f>IF($B79="","",IF($J79="X",B79,CONCATENATE(VLOOKUP(B79,Competitors!$A$2:$I$650,3,FALSE)," ",VLOOKUP(B79,Competitors!$A$2:$I$650,2,FALSE))))</f>
        <v/>
      </c>
      <c r="I79" s="51">
        <f t="shared" si="2"/>
        <v>0</v>
      </c>
      <c r="J79" t="str">
        <f t="shared" si="3"/>
        <v/>
      </c>
    </row>
    <row r="80" spans="1:10" ht="15">
      <c r="A80" s="46"/>
      <c r="B80" s="47"/>
      <c r="C80" s="48"/>
      <c r="D80" s="49"/>
      <c r="E80" s="49"/>
      <c r="F80" s="49"/>
      <c r="G80" s="49"/>
      <c r="H80" s="50" t="str">
        <f>IF($B80="","",IF($J80="X",B80,CONCATENATE(VLOOKUP(B80,Competitors!$A$2:$I$650,3,FALSE)," ",VLOOKUP(B80,Competitors!$A$2:$I$650,2,FALSE))))</f>
        <v/>
      </c>
      <c r="I80" s="51">
        <f t="shared" si="2"/>
        <v>0</v>
      </c>
      <c r="J80" t="str">
        <f t="shared" si="3"/>
        <v/>
      </c>
    </row>
    <row r="81" spans="1:10" ht="15">
      <c r="A81" s="46"/>
      <c r="B81" s="47"/>
      <c r="C81" s="48"/>
      <c r="D81" s="49"/>
      <c r="E81" s="49"/>
      <c r="F81" s="49"/>
      <c r="G81" s="49"/>
      <c r="H81" s="50" t="str">
        <f>IF($B81="","",IF($J81="X",B81,CONCATENATE(VLOOKUP(B81,Competitors!$A$2:$I$650,3,FALSE)," ",VLOOKUP(B81,Competitors!$A$2:$I$650,2,FALSE))))</f>
        <v/>
      </c>
      <c r="I81" s="51">
        <f t="shared" si="2"/>
        <v>0</v>
      </c>
      <c r="J81" t="str">
        <f t="shared" si="3"/>
        <v/>
      </c>
    </row>
    <row r="82" spans="1:10" ht="15">
      <c r="A82" s="46"/>
      <c r="B82" s="47"/>
      <c r="C82" s="48"/>
      <c r="D82" s="49"/>
      <c r="E82" s="49"/>
      <c r="F82" s="49"/>
      <c r="G82" s="49"/>
      <c r="H82" s="50" t="str">
        <f>IF($B82="","",IF($J82="X",B82,CONCATENATE(VLOOKUP(B82,Competitors!$A$2:$I$650,3,FALSE)," ",VLOOKUP(B82,Competitors!$A$2:$I$650,2,FALSE))))</f>
        <v/>
      </c>
      <c r="I82" s="51">
        <f t="shared" si="2"/>
        <v>0</v>
      </c>
      <c r="J82" t="str">
        <f t="shared" si="3"/>
        <v/>
      </c>
    </row>
    <row r="83" spans="1:10" ht="15">
      <c r="A83" s="46"/>
      <c r="B83" s="47"/>
      <c r="C83" s="48"/>
      <c r="D83" s="49"/>
      <c r="E83" s="49"/>
      <c r="F83" s="49"/>
      <c r="G83" s="49"/>
      <c r="H83" s="50" t="str">
        <f>IF($B83="","",IF($J83="X",B83,CONCATENATE(VLOOKUP(B83,Competitors!$A$2:$I$650,3,FALSE)," ",VLOOKUP(B83,Competitors!$A$2:$I$650,2,FALSE))))</f>
        <v/>
      </c>
      <c r="I83" s="51">
        <f t="shared" si="2"/>
        <v>0</v>
      </c>
      <c r="J83" t="str">
        <f t="shared" si="3"/>
        <v/>
      </c>
    </row>
    <row r="84" spans="1:10" ht="15">
      <c r="A84" s="46"/>
      <c r="B84" s="47"/>
      <c r="C84" s="48"/>
      <c r="D84" s="49"/>
      <c r="E84" s="49"/>
      <c r="F84" s="49"/>
      <c r="G84" s="49"/>
      <c r="H84" s="50" t="str">
        <f>IF($B84="","",IF($J84="X",B84,CONCATENATE(VLOOKUP(B84,Competitors!$A$2:$I$650,3,FALSE)," ",VLOOKUP(B84,Competitors!$A$2:$I$650,2,FALSE))))</f>
        <v/>
      </c>
      <c r="I84" s="51">
        <f t="shared" si="2"/>
        <v>0</v>
      </c>
      <c r="J84" t="str">
        <f t="shared" si="3"/>
        <v/>
      </c>
    </row>
    <row r="85" spans="1:10" ht="15">
      <c r="A85" s="46"/>
      <c r="B85" s="47"/>
      <c r="C85" s="48"/>
      <c r="D85" s="49"/>
      <c r="E85" s="49"/>
      <c r="F85" s="49"/>
      <c r="G85" s="49"/>
      <c r="H85" s="50" t="str">
        <f>IF($B85="","",IF($J85="X",B85,CONCATENATE(VLOOKUP(B85,Competitors!$A$2:$I$650,3,FALSE)," ",VLOOKUP(B85,Competitors!$A$2:$I$650,2,FALSE))))</f>
        <v/>
      </c>
      <c r="I85" s="51">
        <f t="shared" si="2"/>
        <v>0</v>
      </c>
      <c r="J85" t="str">
        <f t="shared" si="3"/>
        <v/>
      </c>
    </row>
    <row r="86" spans="1:10" ht="15">
      <c r="A86" s="46"/>
      <c r="B86" s="47"/>
      <c r="C86" s="48"/>
      <c r="D86" s="49"/>
      <c r="E86" s="49"/>
      <c r="F86" s="49"/>
      <c r="G86" s="49"/>
      <c r="H86" s="50" t="str">
        <f>IF($B86="","",IF($J86="X",B86,CONCATENATE(VLOOKUP(B86,Competitors!$A$2:$I$650,3,FALSE)," ",VLOOKUP(B86,Competitors!$A$2:$I$650,2,FALSE))))</f>
        <v/>
      </c>
      <c r="I86" s="51">
        <f t="shared" si="2"/>
        <v>0</v>
      </c>
      <c r="J86" t="str">
        <f t="shared" si="3"/>
        <v/>
      </c>
    </row>
    <row r="87" spans="1:10" ht="15">
      <c r="A87" s="46"/>
      <c r="B87" s="47"/>
      <c r="C87" s="48"/>
      <c r="D87" s="49"/>
      <c r="E87" s="49"/>
      <c r="F87" s="49"/>
      <c r="G87" s="49"/>
      <c r="H87" s="50" t="str">
        <f>IF($B87="","",IF($J87="X",B87,CONCATENATE(VLOOKUP(B87,Competitors!$A$2:$I$650,3,FALSE)," ",VLOOKUP(B87,Competitors!$A$2:$I$650,2,FALSE))))</f>
        <v/>
      </c>
      <c r="I87" s="51">
        <f t="shared" si="2"/>
        <v>0</v>
      </c>
      <c r="J87" t="str">
        <f t="shared" si="3"/>
        <v/>
      </c>
    </row>
    <row r="88" spans="1:10" ht="15">
      <c r="A88" s="46"/>
      <c r="B88" s="47"/>
      <c r="C88" s="48"/>
      <c r="D88" s="49"/>
      <c r="E88" s="49"/>
      <c r="F88" s="49"/>
      <c r="G88" s="49"/>
      <c r="H88" s="50" t="str">
        <f>IF($B88="","",IF($J88="X",B88,CONCATENATE(VLOOKUP(B88,Competitors!$A$2:$I$650,3,FALSE)," ",VLOOKUP(B88,Competitors!$A$2:$I$650,2,FALSE))))</f>
        <v/>
      </c>
      <c r="I88" s="51">
        <f t="shared" si="2"/>
        <v>0</v>
      </c>
      <c r="J88" t="str">
        <f t="shared" si="3"/>
        <v/>
      </c>
    </row>
    <row r="89" spans="1:10" ht="15">
      <c r="A89" s="46"/>
      <c r="B89" s="47"/>
      <c r="C89" s="48"/>
      <c r="D89" s="49"/>
      <c r="E89" s="49"/>
      <c r="F89" s="49"/>
      <c r="G89" s="49"/>
      <c r="H89" s="50" t="str">
        <f>IF($B89="","",IF($J89="X",B89,CONCATENATE(VLOOKUP(B89,Competitors!$A$2:$I$650,3,FALSE)," ",VLOOKUP(B89,Competitors!$A$2:$I$650,2,FALSE))))</f>
        <v/>
      </c>
      <c r="I89" s="51">
        <f t="shared" si="2"/>
        <v>0</v>
      </c>
      <c r="J89" t="str">
        <f t="shared" si="3"/>
        <v/>
      </c>
    </row>
    <row r="90" spans="1:10" ht="15">
      <c r="A90" s="46"/>
      <c r="B90" s="47"/>
      <c r="C90" s="48"/>
      <c r="D90" s="49"/>
      <c r="E90" s="49"/>
      <c r="F90" s="49"/>
      <c r="G90" s="49"/>
      <c r="H90" s="50" t="str">
        <f>IF($B90="","",IF($J90="X",B90,CONCATENATE(VLOOKUP(B90,Competitors!$A$2:$I$650,3,FALSE)," ",VLOOKUP(B90,Competitors!$A$2:$I$650,2,FALSE))))</f>
        <v/>
      </c>
      <c r="I90" s="51">
        <f t="shared" si="2"/>
        <v>0</v>
      </c>
      <c r="J90" t="str">
        <f t="shared" si="3"/>
        <v/>
      </c>
    </row>
    <row r="91" spans="1:10" ht="15">
      <c r="A91" s="46"/>
      <c r="B91" s="47"/>
      <c r="C91" s="48"/>
      <c r="D91" s="49"/>
      <c r="E91" s="49"/>
      <c r="F91" s="49"/>
      <c r="G91" s="49"/>
      <c r="H91" s="50" t="str">
        <f>IF($B91="","",IF($J91="X",B91,CONCATENATE(VLOOKUP(B91,Competitors!$A$2:$I$650,3,FALSE)," ",VLOOKUP(B91,Competitors!$A$2:$I$650,2,FALSE))))</f>
        <v/>
      </c>
      <c r="I91" s="51">
        <f t="shared" si="2"/>
        <v>0</v>
      </c>
      <c r="J91" t="str">
        <f t="shared" si="3"/>
        <v/>
      </c>
    </row>
    <row r="92" spans="1:10" ht="15">
      <c r="A92" s="46"/>
      <c r="B92" s="47"/>
      <c r="C92" s="48"/>
      <c r="D92" s="49"/>
      <c r="E92" s="49"/>
      <c r="F92" s="49"/>
      <c r="G92" s="49"/>
      <c r="H92" s="50" t="str">
        <f>IF($B92="","",IF($J92="X",B92,CONCATENATE(VLOOKUP(B92,Competitors!$A$2:$I$650,3,FALSE)," ",VLOOKUP(B92,Competitors!$A$2:$I$650,2,FALSE))))</f>
        <v/>
      </c>
      <c r="I92" s="51">
        <f t="shared" si="2"/>
        <v>0</v>
      </c>
      <c r="J92" t="str">
        <f t="shared" si="3"/>
        <v/>
      </c>
    </row>
    <row r="93" spans="1:10" ht="15">
      <c r="A93" s="46"/>
      <c r="B93" s="47"/>
      <c r="C93" s="48"/>
      <c r="D93" s="49"/>
      <c r="E93" s="49"/>
      <c r="F93" s="49"/>
      <c r="G93" s="49"/>
      <c r="H93" s="50" t="str">
        <f>IF($B93="","",IF($J93="X",B93,CONCATENATE(VLOOKUP(B93,Competitors!$A$2:$I$650,3,FALSE)," ",VLOOKUP(B93,Competitors!$A$2:$I$650,2,FALSE))))</f>
        <v/>
      </c>
      <c r="I93" s="51">
        <f t="shared" si="2"/>
        <v>0</v>
      </c>
      <c r="J93" t="str">
        <f t="shared" si="3"/>
        <v/>
      </c>
    </row>
    <row r="94" spans="1:10" ht="15">
      <c r="A94" s="46"/>
      <c r="B94" s="47"/>
      <c r="C94" s="48"/>
      <c r="D94" s="49"/>
      <c r="E94" s="49"/>
      <c r="F94" s="49"/>
      <c r="G94" s="49"/>
      <c r="H94" s="50" t="str">
        <f>IF($B94="","",IF($J94="X",B94,CONCATENATE(VLOOKUP(B94,Competitors!$A$2:$I$650,3,FALSE)," ",VLOOKUP(B94,Competitors!$A$2:$I$650,2,FALSE))))</f>
        <v/>
      </c>
      <c r="I94" s="51">
        <f t="shared" si="2"/>
        <v>0</v>
      </c>
      <c r="J94" t="str">
        <f t="shared" si="3"/>
        <v/>
      </c>
    </row>
    <row r="95" spans="1:10" ht="15">
      <c r="A95" s="46"/>
      <c r="B95" s="47"/>
      <c r="C95" s="48"/>
      <c r="D95" s="49"/>
      <c r="E95" s="49"/>
      <c r="F95" s="49"/>
      <c r="G95" s="49"/>
      <c r="H95" s="50" t="str">
        <f>IF($B95="","",IF($J95="X",B95,CONCATENATE(VLOOKUP(B95,Competitors!$A$2:$I$650,3,FALSE)," ",VLOOKUP(B95,Competitors!$A$2:$I$650,2,FALSE))))</f>
        <v/>
      </c>
      <c r="I95" s="51">
        <f t="shared" si="2"/>
        <v>0</v>
      </c>
      <c r="J95" t="str">
        <f t="shared" si="3"/>
        <v/>
      </c>
    </row>
    <row r="96" spans="1:10" ht="15">
      <c r="A96" s="46"/>
      <c r="B96" s="47"/>
      <c r="C96" s="48"/>
      <c r="D96" s="49"/>
      <c r="E96" s="49"/>
      <c r="F96" s="49"/>
      <c r="G96" s="49"/>
      <c r="H96" s="50" t="str">
        <f>IF($B96="","",IF($J96="X",B96,CONCATENATE(VLOOKUP(B96,Competitors!$A$2:$I$650,3,FALSE)," ",VLOOKUP(B96,Competitors!$A$2:$I$650,2,FALSE))))</f>
        <v/>
      </c>
      <c r="I96" s="51">
        <f t="shared" si="2"/>
        <v>0</v>
      </c>
      <c r="J96" t="str">
        <f t="shared" si="3"/>
        <v/>
      </c>
    </row>
    <row r="97" spans="1:10" ht="15">
      <c r="A97" s="46"/>
      <c r="B97" s="47"/>
      <c r="C97" s="48"/>
      <c r="D97" s="49"/>
      <c r="E97" s="49"/>
      <c r="F97" s="49"/>
      <c r="G97" s="49"/>
      <c r="H97" s="50" t="str">
        <f>IF($B97="","",IF($J97="X",B97,CONCATENATE(VLOOKUP(B97,Competitors!$A$2:$I$650,3,FALSE)," ",VLOOKUP(B97,Competitors!$A$2:$I$650,2,FALSE))))</f>
        <v/>
      </c>
      <c r="I97" s="51">
        <f t="shared" si="2"/>
        <v>0</v>
      </c>
      <c r="J97" t="str">
        <f t="shared" si="3"/>
        <v/>
      </c>
    </row>
    <row r="98" spans="1:10" ht="15">
      <c r="A98" s="46"/>
      <c r="B98" s="47"/>
      <c r="C98" s="48"/>
      <c r="D98" s="49"/>
      <c r="E98" s="49"/>
      <c r="F98" s="49"/>
      <c r="G98" s="49"/>
      <c r="H98" s="50" t="str">
        <f>IF($B98="","",IF($J98="X",B98,CONCATENATE(VLOOKUP(B98,Competitors!$A$2:$I$650,3,FALSE)," ",VLOOKUP(B98,Competitors!$A$2:$I$650,2,FALSE))))</f>
        <v/>
      </c>
      <c r="I98" s="51">
        <f t="shared" si="2"/>
        <v>0</v>
      </c>
      <c r="J98" t="str">
        <f t="shared" si="3"/>
        <v/>
      </c>
    </row>
    <row r="99" spans="1:10" ht="15">
      <c r="A99" s="46"/>
      <c r="B99" s="47"/>
      <c r="C99" s="48"/>
      <c r="D99" s="49"/>
      <c r="E99" s="49"/>
      <c r="F99" s="49"/>
      <c r="G99" s="49"/>
      <c r="H99" s="50" t="str">
        <f>IF($B99="","",IF($J99="X",B99,CONCATENATE(VLOOKUP(B99,Competitors!$A$2:$I$650,3,FALSE)," ",VLOOKUP(B99,Competitors!$A$2:$I$650,2,FALSE))))</f>
        <v/>
      </c>
      <c r="I99" s="51">
        <f t="shared" si="2"/>
        <v>0</v>
      </c>
      <c r="J99" t="str">
        <f t="shared" si="3"/>
        <v/>
      </c>
    </row>
    <row r="100" spans="1:10" ht="15">
      <c r="A100" s="46"/>
      <c r="B100" s="47"/>
      <c r="C100" s="48"/>
      <c r="D100" s="49"/>
      <c r="E100" s="49"/>
      <c r="F100" s="49"/>
      <c r="G100" s="49"/>
      <c r="H100" s="50" t="str">
        <f>IF($B100="","",IF($J100="X",B100,CONCATENATE(VLOOKUP(B100,Competitors!$A$2:$I$650,3, FALSE)," ",VLOOKUP(B100,Competitors!$A$2:$I$650,2,FALSE))))</f>
        <v/>
      </c>
      <c r="I100" s="51">
        <f t="shared" si="2"/>
        <v>0</v>
      </c>
      <c r="J100" t="str">
        <f t="shared" si="3"/>
        <v/>
      </c>
    </row>
    <row r="101" spans="1:10" ht="15">
      <c r="A101" s="46"/>
      <c r="B101" s="47"/>
      <c r="C101" s="48"/>
      <c r="D101" s="49"/>
      <c r="E101" s="49"/>
      <c r="F101" s="49"/>
      <c r="G101" s="49"/>
      <c r="H101" s="50" t="str">
        <f>IF($B101="","",IF($J101="X",B101,CONCATENATE(VLOOKUP(B101,Competitors!$A$2:$I$650,3,FALSE)," ",VLOOKUP(B101,Competitors!$A$2:$I$650,2,FALSE))))</f>
        <v/>
      </c>
      <c r="I101" s="51">
        <f t="shared" si="2"/>
        <v>0</v>
      </c>
      <c r="J101" t="str">
        <f t="shared" si="3"/>
        <v/>
      </c>
    </row>
    <row r="102" spans="1:10" s="52" customFormat="1">
      <c r="I102" s="53"/>
    </row>
    <row r="103" spans="1:10">
      <c r="B103" t="s">
        <v>551</v>
      </c>
      <c r="C103" t="str" cm="1">
        <f t="array" aca="1" ref="C103" ca="1">MID(CELL("filename",B1),FIND("]",CELL("filename",B1))+1,255)</f>
        <v>Event_12</v>
      </c>
    </row>
    <row r="104" spans="1:10">
      <c r="B104" t="s">
        <v>552</v>
      </c>
      <c r="C104" t="str">
        <f ca="1">_xlfn.XLOOKUP(C103,Calendar!O:O,Calendar!H:H,"Event is not in calendar")</f>
        <v/>
      </c>
    </row>
  </sheetData>
  <conditionalFormatting sqref="E2:E101">
    <cfRule type="expression" dxfId="48" priority="3">
      <formula>TEXT($C$104,"@")="Y"</formula>
    </cfRule>
  </conditionalFormatting>
  <conditionalFormatting sqref="H2:I101">
    <cfRule type="expression" dxfId="47" priority="2">
      <formula>$J2="X"</formula>
    </cfRule>
  </conditionalFormatting>
  <conditionalFormatting sqref="I2:I101">
    <cfRule type="expression" dxfId="46" priority="1">
      <formula>TEXT($C$104,"@")="Y"</formula>
    </cfRule>
  </conditionalFormatting>
  <pageMargins left="0.7" right="0.7" top="0.75" bottom="0.75" header="0.3" footer="0.3"/>
  <pageSetup paperSize="9" orientation="portrait"/>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3"/>
  <dimension ref="A1:J104"/>
  <sheetViews>
    <sheetView workbookViewId="0"/>
    <sheetView workbookViewId="1"/>
  </sheetViews>
  <sheetFormatPr defaultColWidth="9.1328125" defaultRowHeight="12.75"/>
  <cols>
    <col min="1" max="1" width="24.1328125" bestFit="1" customWidth="1"/>
    <col min="2" max="2" width="31.86328125" bestFit="1" customWidth="1"/>
    <col min="3" max="5" width="4.796875" customWidth="1"/>
    <col min="6" max="7" width="11.1328125" customWidth="1"/>
    <col min="8" max="8" width="31.86328125" bestFit="1"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60" t="s">
        <v>616</v>
      </c>
      <c r="B2" s="47">
        <f t="shared" ref="B2:B33" si="0">IF(A2="","",_xlfn.XLOOKUP(A2,ClubNames,ClubNumbers,_xlfn.XLOOKUP(A2,RoundRobinRiderNames,RoundRobinRiderDecoratedNames,A2)))</f>
        <v>990</v>
      </c>
      <c r="C2" s="48"/>
      <c r="D2" s="49">
        <v>33</v>
      </c>
      <c r="E2" s="49">
        <v>30</v>
      </c>
      <c r="F2" s="49" t="s">
        <v>544</v>
      </c>
      <c r="G2" s="65"/>
      <c r="H2" s="50" t="str">
        <f>IF($B2="","",IF($J2="X",B2,CONCATENATE(VLOOKUP(B2,Competitors!$A$2:$I$650,3, FALSE)," ",VLOOKUP(B2,Competitors!$A$2:$I$650,2,FALSE))))</f>
        <v>Jen Hulme</v>
      </c>
      <c r="I2" s="51">
        <f t="shared" ref="I2:I65" si="1">IF(LEFT($F2,1)="D",UPPER($F2),(C2*3600+D2*60+E2)/86400)</f>
        <v>2.326388888888889E-2</v>
      </c>
      <c r="J2" t="str">
        <f t="shared" ref="J2:J65" si="2">IF(OR(B2="",ISNUMBER(B2)),"","X")</f>
        <v/>
      </c>
    </row>
    <row r="3" spans="1:10" ht="15">
      <c r="A3" s="46" t="s">
        <v>579</v>
      </c>
      <c r="B3" s="47">
        <f t="shared" si="0"/>
        <v>1370</v>
      </c>
      <c r="C3" s="48"/>
      <c r="D3" s="49">
        <v>26</v>
      </c>
      <c r="E3" s="49">
        <v>0</v>
      </c>
      <c r="F3" s="49" t="s">
        <v>544</v>
      </c>
      <c r="G3" s="65"/>
      <c r="H3" s="50" t="str">
        <f>IF($B3="","",IF($J3="X",B3,CONCATENATE(VLOOKUP(B3,Competitors!$A$2:$I$650,3,FALSE)," ",VLOOKUP(B3,Competitors!$A$2:$I$650,2,FALSE))))</f>
        <v>Ian Aldridge</v>
      </c>
      <c r="I3" s="51">
        <f t="shared" si="1"/>
        <v>1.8055555555555554E-2</v>
      </c>
      <c r="J3" t="str">
        <f t="shared" si="2"/>
        <v/>
      </c>
    </row>
    <row r="4" spans="1:10" ht="15">
      <c r="A4" s="46" t="s">
        <v>500</v>
      </c>
      <c r="B4" s="47" t="str">
        <f t="shared" si="0"/>
        <v>Brian Lincoln (Ratae)</v>
      </c>
      <c r="C4" s="48"/>
      <c r="D4" s="49">
        <v>30</v>
      </c>
      <c r="E4" s="49">
        <v>58</v>
      </c>
      <c r="F4" s="49"/>
      <c r="G4" s="49"/>
      <c r="H4" s="50" t="str">
        <f>IF($B4="","",IF($J4="X",B4,CONCATENATE(VLOOKUP(B4,Competitors!$A$2:$I$650,3,FALSE)," ",VLOOKUP(B4,Competitors!$A$2:$I$650,2,FALSE))))</f>
        <v>Brian Lincoln (Ratae)</v>
      </c>
      <c r="I4" s="51">
        <f t="shared" si="1"/>
        <v>2.150462962962963E-2</v>
      </c>
      <c r="J4" t="str">
        <f t="shared" si="2"/>
        <v>X</v>
      </c>
    </row>
    <row r="5" spans="1:10" ht="15">
      <c r="A5" s="46" t="s">
        <v>459</v>
      </c>
      <c r="B5" s="47">
        <f t="shared" si="0"/>
        <v>742</v>
      </c>
      <c r="C5" s="48"/>
      <c r="D5" s="49">
        <v>33</v>
      </c>
      <c r="E5" s="49">
        <v>12</v>
      </c>
      <c r="F5" s="49" t="s">
        <v>544</v>
      </c>
      <c r="G5" s="65"/>
      <c r="H5" s="50" t="str">
        <f>IF($B5="","",IF($J5="X",B5,CONCATENATE(VLOOKUP(B5,Competitors!$A$2:$I$650,3,FALSE)," ",VLOOKUP(B5,Competitors!$A$2:$I$650,2,FALSE))))</f>
        <v>Claire Moore</v>
      </c>
      <c r="I5" s="51">
        <f t="shared" si="1"/>
        <v>2.3055555555555555E-2</v>
      </c>
      <c r="J5" t="str">
        <f t="shared" si="2"/>
        <v/>
      </c>
    </row>
    <row r="6" spans="1:10" ht="15">
      <c r="A6" s="46" t="s">
        <v>523</v>
      </c>
      <c r="B6" s="47" t="str">
        <f>IF(A6="","",_xlfn.XLOOKUP(A6,ClubNames,ClubNumbers,_xlfn.XLOOKUP(A6,RoundRobinRiderNames,RoundRobinRiderDecoratedNames,A6)))</f>
        <v>Lynne Wilkinson-Scofield (RFW)</v>
      </c>
      <c r="C6" s="48"/>
      <c r="D6" s="49"/>
      <c r="E6" s="49"/>
      <c r="F6" s="49"/>
      <c r="G6" s="49" t="s">
        <v>553</v>
      </c>
      <c r="H6" s="50" t="str">
        <f>IF($B6="","",IF($J6="X",B6,CONCATENATE(VLOOKUP(B6,Competitors!$A$2:$I$650,3,FALSE)," ",VLOOKUP(B6,Competitors!$A$2:$I$650,2,FALSE))))</f>
        <v>Lynne Wilkinson-Scofield (RFW)</v>
      </c>
      <c r="I6" s="51">
        <f t="shared" si="1"/>
        <v>0</v>
      </c>
      <c r="J6" t="str">
        <f t="shared" si="2"/>
        <v>X</v>
      </c>
    </row>
    <row r="7" spans="1:10" ht="15">
      <c r="A7" s="46" t="s">
        <v>446</v>
      </c>
      <c r="B7" s="47">
        <f t="shared" si="0"/>
        <v>1379</v>
      </c>
      <c r="C7" s="48"/>
      <c r="D7" s="49">
        <v>29</v>
      </c>
      <c r="E7" s="49">
        <v>34</v>
      </c>
      <c r="F7" s="49" t="s">
        <v>544</v>
      </c>
      <c r="G7" s="65"/>
      <c r="H7" s="50" t="str">
        <f>IF($B7="","",IF($J7="X",B7,CONCATENATE(VLOOKUP(B7,Competitors!$A$2:$I$650,3,FALSE)," ",VLOOKUP(B7,Competitors!$A$2:$I$650,2,FALSE))))</f>
        <v>Michaela Latham</v>
      </c>
      <c r="I7" s="51">
        <f t="shared" si="1"/>
        <v>2.0532407407407409E-2</v>
      </c>
      <c r="J7" t="str">
        <f t="shared" si="2"/>
        <v/>
      </c>
    </row>
    <row r="8" spans="1:10" ht="15">
      <c r="A8" s="60" t="s">
        <v>460</v>
      </c>
      <c r="B8" s="47">
        <f t="shared" si="0"/>
        <v>7</v>
      </c>
      <c r="C8" s="48"/>
      <c r="D8" s="49">
        <v>31</v>
      </c>
      <c r="E8" s="49">
        <v>41</v>
      </c>
      <c r="F8" s="49" t="s">
        <v>544</v>
      </c>
      <c r="G8" s="65"/>
      <c r="H8" s="50" t="str">
        <f>IF($B8="","",IF($J8="X",B8,CONCATENATE(VLOOKUP(B8,Competitors!$A$2:$I$650,3,FALSE)," ",VLOOKUP(B8,Competitors!$A$2:$I$650,2,FALSE))))</f>
        <v>Vic Barnett</v>
      </c>
      <c r="I8" s="51">
        <f t="shared" si="1"/>
        <v>2.2002314814814815E-2</v>
      </c>
      <c r="J8" t="str">
        <f t="shared" si="2"/>
        <v/>
      </c>
    </row>
    <row r="9" spans="1:10" ht="15">
      <c r="A9" s="46" t="s">
        <v>582</v>
      </c>
      <c r="B9" s="47">
        <f t="shared" si="0"/>
        <v>1347</v>
      </c>
      <c r="C9" s="48"/>
      <c r="D9" s="49">
        <v>26</v>
      </c>
      <c r="E9" s="49">
        <v>38</v>
      </c>
      <c r="F9" s="49" t="s">
        <v>544</v>
      </c>
      <c r="G9" s="65"/>
      <c r="H9" s="50" t="str">
        <f>IF($B9="","",IF($J9="X",B9,CONCATENATE(VLOOKUP(B9,Competitors!$A$2:$I$650,3,FALSE)," ",VLOOKUP(B9,Competitors!$A$2:$I$650,2,FALSE))))</f>
        <v>Stuart Simpson-Smith</v>
      </c>
      <c r="I9" s="51">
        <f t="shared" si="1"/>
        <v>1.849537037037037E-2</v>
      </c>
      <c r="J9" t="str">
        <f t="shared" si="2"/>
        <v/>
      </c>
    </row>
    <row r="10" spans="1:10" ht="15">
      <c r="A10" s="46" t="s">
        <v>510</v>
      </c>
      <c r="B10" s="47" t="str">
        <f t="shared" si="0"/>
        <v>Marshall Briggs (Ratae)</v>
      </c>
      <c r="C10" s="48"/>
      <c r="D10" s="49">
        <v>27</v>
      </c>
      <c r="E10" s="49">
        <v>1</v>
      </c>
      <c r="F10" s="49"/>
      <c r="G10" s="49"/>
      <c r="H10" s="50" t="str">
        <f>IF($B10="","",IF($J10="X",B10,CONCATENATE(VLOOKUP(B10,Competitors!$A$2:$I$650,3, FALSE)," ",VLOOKUP(B10,Competitors!$A$2:$I$650,2,FALSE))))</f>
        <v>Marshall Briggs (Ratae)</v>
      </c>
      <c r="I10" s="51">
        <f t="shared" si="1"/>
        <v>1.8761574074074073E-2</v>
      </c>
      <c r="J10" t="str">
        <f t="shared" si="2"/>
        <v>X</v>
      </c>
    </row>
    <row r="11" spans="1:10" ht="15">
      <c r="A11" s="46" t="s">
        <v>423</v>
      </c>
      <c r="B11" s="47">
        <f t="shared" si="0"/>
        <v>35</v>
      </c>
      <c r="C11" s="48"/>
      <c r="D11" s="49">
        <v>25</v>
      </c>
      <c r="E11" s="49">
        <v>18</v>
      </c>
      <c r="F11" s="49"/>
      <c r="G11" s="49"/>
      <c r="H11" s="50" t="str">
        <f>IF($B11="","",IF($J11="X",B11,CONCATENATE(VLOOKUP(B11,Competitors!$A$2:$I$650,3,FALSE)," ",VLOOKUP(B11,Competitors!$A$2:$I$650,2,FALSE))))</f>
        <v>Matt Plews</v>
      </c>
      <c r="I11" s="51">
        <f t="shared" si="1"/>
        <v>1.7569444444444443E-2</v>
      </c>
      <c r="J11" t="str">
        <f t="shared" si="2"/>
        <v/>
      </c>
    </row>
    <row r="12" spans="1:10" ht="15">
      <c r="A12" s="46" t="s">
        <v>501</v>
      </c>
      <c r="B12" s="47" t="str">
        <f t="shared" si="0"/>
        <v>Chris Bonsor (Ratae)</v>
      </c>
      <c r="C12" s="48"/>
      <c r="D12" s="49">
        <v>26</v>
      </c>
      <c r="E12" s="49">
        <v>29</v>
      </c>
      <c r="F12" s="49"/>
      <c r="G12" s="49"/>
      <c r="H12" s="50" t="str">
        <f>IF($B12="","",IF($J12="X",B12,CONCATENATE(VLOOKUP(B12,Competitors!$A$2:$I$650,3,FALSE)," ",VLOOKUP(B12,Competitors!$A$2:$I$650,2,FALSE))))</f>
        <v>Chris Bonsor (Ratae)</v>
      </c>
      <c r="I12" s="51">
        <f t="shared" si="1"/>
        <v>1.8391203703703705E-2</v>
      </c>
      <c r="J12" t="str">
        <f t="shared" si="2"/>
        <v>X</v>
      </c>
    </row>
    <row r="13" spans="1:10" ht="15">
      <c r="A13" s="46" t="s">
        <v>614</v>
      </c>
      <c r="B13" s="47">
        <f t="shared" si="0"/>
        <v>1391</v>
      </c>
      <c r="C13" s="48"/>
      <c r="D13" s="49">
        <v>24</v>
      </c>
      <c r="E13" s="49">
        <v>59</v>
      </c>
      <c r="F13" s="49" t="s">
        <v>544</v>
      </c>
      <c r="G13" s="65"/>
      <c r="H13" s="50" t="str">
        <f>IF($B13="","",IF($J13="X",B13,CONCATENATE(VLOOKUP(B13,Competitors!$A$2:$I$650,3,FALSE)," ",VLOOKUP(B13,Competitors!$A$2:$I$650,2,FALSE))))</f>
        <v>Leah Cuthbertson</v>
      </c>
      <c r="I13" s="51">
        <f t="shared" si="1"/>
        <v>1.7349537037037038E-2</v>
      </c>
      <c r="J13" t="str">
        <f t="shared" si="2"/>
        <v/>
      </c>
    </row>
    <row r="14" spans="1:10" ht="15">
      <c r="A14" s="46" t="s">
        <v>514</v>
      </c>
      <c r="B14" s="47" t="str">
        <f t="shared" si="0"/>
        <v>Steve Pearce (Ratae)</v>
      </c>
      <c r="C14" s="48"/>
      <c r="D14" s="49">
        <v>27</v>
      </c>
      <c r="E14" s="49">
        <v>25</v>
      </c>
      <c r="F14" s="49"/>
      <c r="G14" s="49"/>
      <c r="H14" s="50" t="str">
        <f>IF($B14="","",IF($J14="X",B14,CONCATENATE(VLOOKUP(B14,Competitors!$A$2:$I$650,3,FALSE)," ",VLOOKUP(B14,Competitors!$A$2:$I$650,2,FALSE))))</f>
        <v>Steve Pearce (Ratae)</v>
      </c>
      <c r="I14" s="51">
        <f t="shared" si="1"/>
        <v>1.9039351851851852E-2</v>
      </c>
      <c r="J14" t="str">
        <f t="shared" si="2"/>
        <v>X</v>
      </c>
    </row>
    <row r="15" spans="1:10" ht="15">
      <c r="A15" s="46" t="s">
        <v>442</v>
      </c>
      <c r="B15" s="47">
        <f t="shared" si="0"/>
        <v>564</v>
      </c>
      <c r="C15" s="48"/>
      <c r="D15" s="49">
        <v>28</v>
      </c>
      <c r="E15" s="49">
        <v>24</v>
      </c>
      <c r="F15" s="49" t="s">
        <v>544</v>
      </c>
      <c r="G15" s="49"/>
      <c r="H15" s="50" t="str">
        <f>IF($B15="","",IF($J15="X",B15,CONCATENATE(VLOOKUP(B15,Competitors!$A$2:$I$650,3,FALSE)," ",VLOOKUP(B15,Competitors!$A$2:$I$650,2,FALSE))))</f>
        <v>Ian Murdey</v>
      </c>
      <c r="I15" s="51">
        <f t="shared" si="1"/>
        <v>1.9722222222222221E-2</v>
      </c>
      <c r="J15" t="str">
        <f t="shared" si="2"/>
        <v/>
      </c>
    </row>
    <row r="16" spans="1:10" ht="15">
      <c r="A16" s="46" t="s">
        <v>457</v>
      </c>
      <c r="B16" s="47">
        <f t="shared" si="0"/>
        <v>120</v>
      </c>
      <c r="C16" s="48"/>
      <c r="D16" s="49">
        <v>27</v>
      </c>
      <c r="E16" s="49">
        <v>24</v>
      </c>
      <c r="F16" s="49"/>
      <c r="G16" s="65"/>
      <c r="H16" s="50" t="str">
        <f>IF($B16="","",IF($J16="X",B16,CONCATENATE(VLOOKUP(B16,Competitors!$A$2:$I$650,3,FALSE)," ",VLOOKUP(B16,Competitors!$A$2:$I$650,2,FALSE))))</f>
        <v>Linda Hubbard</v>
      </c>
      <c r="I16" s="51">
        <f t="shared" si="1"/>
        <v>1.9027777777777779E-2</v>
      </c>
      <c r="J16" t="str">
        <f t="shared" si="2"/>
        <v/>
      </c>
    </row>
    <row r="17" spans="1:10" ht="15">
      <c r="A17" s="60" t="s">
        <v>576</v>
      </c>
      <c r="B17" s="47">
        <f t="shared" si="0"/>
        <v>741</v>
      </c>
      <c r="C17" s="48"/>
      <c r="D17" s="49">
        <v>24</v>
      </c>
      <c r="E17" s="49">
        <v>8</v>
      </c>
      <c r="F17" s="49" t="s">
        <v>544</v>
      </c>
      <c r="G17" s="65"/>
      <c r="H17" s="50" t="str">
        <f>IF($B17="","",IF($J17="X",B17,CONCATENATE(VLOOKUP(B17,Competitors!$A$2:$I$650,3,FALSE)," ",VLOOKUP(B17,Competitors!$A$2:$I$650,2,FALSE))))</f>
        <v>Rob Moore</v>
      </c>
      <c r="I17" s="51">
        <f t="shared" si="1"/>
        <v>1.6759259259259258E-2</v>
      </c>
      <c r="J17" t="str">
        <f t="shared" si="2"/>
        <v/>
      </c>
    </row>
    <row r="18" spans="1:10" ht="15">
      <c r="A18" s="46" t="s">
        <v>439</v>
      </c>
      <c r="B18" s="47">
        <f t="shared" si="0"/>
        <v>23</v>
      </c>
      <c r="C18" s="48"/>
      <c r="D18" s="49">
        <v>26</v>
      </c>
      <c r="E18" s="49">
        <v>45</v>
      </c>
      <c r="F18" s="49"/>
      <c r="G18" s="49"/>
      <c r="H18" s="50" t="str">
        <f>IF($B18="","",IF($J18="X",B18,CONCATENATE(VLOOKUP(B18,Competitors!$A$2:$I$650,3,FALSE)," ",VLOOKUP(B18,Competitors!$A$2:$I$650,2,FALSE))))</f>
        <v>Chris Hyde</v>
      </c>
      <c r="I18" s="51">
        <f t="shared" si="1"/>
        <v>1.8576388888888889E-2</v>
      </c>
      <c r="J18" t="str">
        <f t="shared" si="2"/>
        <v/>
      </c>
    </row>
    <row r="19" spans="1:10" ht="15">
      <c r="A19" s="46" t="s">
        <v>422</v>
      </c>
      <c r="B19" s="47">
        <f t="shared" si="0"/>
        <v>1407</v>
      </c>
      <c r="C19" s="48"/>
      <c r="D19" s="49">
        <v>26</v>
      </c>
      <c r="E19" s="49">
        <v>38</v>
      </c>
      <c r="F19" s="49" t="s">
        <v>544</v>
      </c>
      <c r="G19" s="65"/>
      <c r="H19" s="50" t="str">
        <f>IF($B19="","",IF($J19="X",B19,CONCATENATE(VLOOKUP(B19,Competitors!$A$2:$I$650,3,FALSE)," ",VLOOKUP(B19,Competitors!$A$2:$I$650,2,FALSE))))</f>
        <v>Colin Dobson</v>
      </c>
      <c r="I19" s="51">
        <f t="shared" si="1"/>
        <v>1.849537037037037E-2</v>
      </c>
      <c r="J19" t="str">
        <f t="shared" si="2"/>
        <v/>
      </c>
    </row>
    <row r="20" spans="1:10" ht="15">
      <c r="A20" s="46" t="s">
        <v>431</v>
      </c>
      <c r="B20" s="47">
        <f t="shared" si="0"/>
        <v>1403</v>
      </c>
      <c r="C20" s="48"/>
      <c r="D20" s="49">
        <v>26</v>
      </c>
      <c r="E20" s="49">
        <v>56</v>
      </c>
      <c r="F20" s="49"/>
      <c r="G20" s="49"/>
      <c r="H20" s="50" t="str">
        <f>IF($B20="","",IF($J20="X",B20,CONCATENATE(VLOOKUP(B20,Competitors!$A$2:$I$650,3,FALSE)," ",VLOOKUP(B20,Competitors!$A$2:$I$650,2,FALSE))))</f>
        <v>Toby Lenehan</v>
      </c>
      <c r="I20" s="51">
        <f t="shared" si="1"/>
        <v>1.8703703703703705E-2</v>
      </c>
      <c r="J20" t="str">
        <f t="shared" si="2"/>
        <v/>
      </c>
    </row>
    <row r="21" spans="1:10" ht="15">
      <c r="A21" s="46" t="s">
        <v>412</v>
      </c>
      <c r="B21" s="47">
        <f t="shared" si="0"/>
        <v>1144</v>
      </c>
      <c r="C21" s="48"/>
      <c r="D21" s="49">
        <v>23</v>
      </c>
      <c r="E21" s="49">
        <v>25</v>
      </c>
      <c r="F21" s="49" t="s">
        <v>544</v>
      </c>
      <c r="G21" s="65"/>
      <c r="H21" s="50" t="str">
        <f>IF($B21="","",IF($J21="X",B21,CONCATENATE(VLOOKUP(B21,Competitors!$A$2:$I$650,3,FALSE)," ",VLOOKUP(B21,Competitors!$A$2:$I$650,2,FALSE))))</f>
        <v>Jamie Kershaw</v>
      </c>
      <c r="I21" s="51">
        <f t="shared" si="1"/>
        <v>1.6261574074074074E-2</v>
      </c>
      <c r="J21" t="str">
        <f t="shared" si="2"/>
        <v/>
      </c>
    </row>
    <row r="22" spans="1:10" ht="15">
      <c r="A22" s="60" t="s">
        <v>790</v>
      </c>
      <c r="B22" s="47" t="str">
        <f t="shared" si="0"/>
        <v>Mike Deely (George Fox CS) (RFW)</v>
      </c>
      <c r="C22" s="48"/>
      <c r="D22" s="49">
        <v>26</v>
      </c>
      <c r="E22" s="49">
        <v>7</v>
      </c>
      <c r="F22" s="49"/>
      <c r="G22" s="49"/>
      <c r="H22" s="50" t="str">
        <f>IF($B22="","",IF($J22="X",B22,CONCATENATE(VLOOKUP(B22,Competitors!$A$2:$I$650,3,FALSE)," ",VLOOKUP(B22,Competitors!$A$2:$I$650,2,FALSE))))</f>
        <v>Mike Deely (George Fox CS) (RFW)</v>
      </c>
      <c r="I22" s="51">
        <f t="shared" si="1"/>
        <v>1.8136574074074076E-2</v>
      </c>
      <c r="J22" t="str">
        <f t="shared" si="2"/>
        <v>X</v>
      </c>
    </row>
    <row r="23" spans="1:10" ht="15">
      <c r="A23" s="46" t="s">
        <v>577</v>
      </c>
      <c r="B23" s="47">
        <f t="shared" si="0"/>
        <v>1048</v>
      </c>
      <c r="C23" s="48"/>
      <c r="D23" s="49"/>
      <c r="E23" s="49"/>
      <c r="F23" s="49" t="s">
        <v>544</v>
      </c>
      <c r="G23" s="65" t="s">
        <v>553</v>
      </c>
      <c r="H23" s="50" t="str">
        <f>IF($B23="","",IF($J23="X",B23,CONCATENATE(VLOOKUP(B23,Competitors!$A$2:$I$650,3,FALSE)," ",VLOOKUP(B23,Competitors!$A$2:$I$650,2,FALSE))))</f>
        <v>Andy Smith</v>
      </c>
      <c r="I23" s="51">
        <f t="shared" si="1"/>
        <v>0</v>
      </c>
      <c r="J23" t="str">
        <f t="shared" si="2"/>
        <v/>
      </c>
    </row>
    <row r="24" spans="1:10" ht="15">
      <c r="A24" s="60" t="s">
        <v>458</v>
      </c>
      <c r="B24" s="47">
        <f t="shared" si="0"/>
        <v>715</v>
      </c>
      <c r="C24" s="48"/>
      <c r="D24" s="49">
        <v>27</v>
      </c>
      <c r="E24" s="49">
        <v>52</v>
      </c>
      <c r="F24" s="49"/>
      <c r="G24" s="49"/>
      <c r="H24" s="50" t="str">
        <f>IF($B24="","",IF($J24="X",B24,CONCATENATE(VLOOKUP(B24,Competitors!$A$2:$I$650,3,FALSE)," ",VLOOKUP(B24,Competitors!$A$2:$I$650,2,FALSE))))</f>
        <v>Steven Coulam</v>
      </c>
      <c r="I24" s="51">
        <f t="shared" si="1"/>
        <v>1.9351851851851853E-2</v>
      </c>
      <c r="J24" t="str">
        <f t="shared" si="2"/>
        <v/>
      </c>
    </row>
    <row r="25" spans="1:10" ht="15">
      <c r="A25" s="46" t="s">
        <v>592</v>
      </c>
      <c r="B25" s="47">
        <f t="shared" si="0"/>
        <v>1390</v>
      </c>
      <c r="C25" s="48"/>
      <c r="D25" s="49">
        <v>24</v>
      </c>
      <c r="E25" s="49">
        <v>51</v>
      </c>
      <c r="F25" s="49" t="s">
        <v>544</v>
      </c>
      <c r="G25" s="65"/>
      <c r="H25" s="50" t="str">
        <f>IF($B25="","",IF($J25="X",B25,CONCATENATE(VLOOKUP(B25,Competitors!$A$2:$I$650,3,FALSE)," ",VLOOKUP(B25,Competitors!$A$2:$I$650,2,FALSE))))</f>
        <v>Diego Patteri</v>
      </c>
      <c r="I25" s="51">
        <f t="shared" si="1"/>
        <v>1.7256944444444443E-2</v>
      </c>
      <c r="J25" t="str">
        <f t="shared" si="2"/>
        <v/>
      </c>
    </row>
    <row r="26" spans="1:10" ht="15">
      <c r="A26" s="46" t="s">
        <v>410</v>
      </c>
      <c r="B26" s="47">
        <f t="shared" si="0"/>
        <v>747</v>
      </c>
      <c r="C26" s="48"/>
      <c r="D26" s="49">
        <v>23</v>
      </c>
      <c r="E26" s="49">
        <v>30</v>
      </c>
      <c r="F26" s="49"/>
      <c r="G26" s="49"/>
      <c r="H26" s="50" t="str">
        <f>IF($B26="","",IF($J26="X",B26,CONCATENATE(VLOOKUP(B26,Competitors!$A$2:$I$650,3,FALSE)," ",VLOOKUP(B26,Competitors!$A$2:$I$650,2,FALSE))))</f>
        <v>James Moore</v>
      </c>
      <c r="I26" s="51">
        <f t="shared" si="1"/>
        <v>1.6319444444444445E-2</v>
      </c>
      <c r="J26" t="str">
        <f t="shared" si="2"/>
        <v/>
      </c>
    </row>
    <row r="27" spans="1:10" ht="15">
      <c r="A27" s="46" t="s">
        <v>428</v>
      </c>
      <c r="B27" s="47">
        <f t="shared" si="0"/>
        <v>1237</v>
      </c>
      <c r="C27" s="48"/>
      <c r="D27" s="49">
        <v>26</v>
      </c>
      <c r="E27" s="49">
        <v>9</v>
      </c>
      <c r="F27" s="49" t="s">
        <v>544</v>
      </c>
      <c r="G27" s="65"/>
      <c r="H27" s="50" t="str">
        <f>IF($B27="","",IF($J27="X",B27,CONCATENATE(VLOOKUP(B27,Competitors!$A$2:$I$650,3,FALSE)," ",VLOOKUP(B27,Competitors!$A$2:$I$650,2,FALSE))))</f>
        <v>John Abbott</v>
      </c>
      <c r="I27" s="51">
        <f t="shared" si="1"/>
        <v>1.8159722222222223E-2</v>
      </c>
      <c r="J27" t="str">
        <f t="shared" si="2"/>
        <v/>
      </c>
    </row>
    <row r="28" spans="1:10" ht="15">
      <c r="A28" s="46" t="s">
        <v>421</v>
      </c>
      <c r="B28" s="47">
        <f t="shared" si="0"/>
        <v>415</v>
      </c>
      <c r="C28" s="48"/>
      <c r="D28" s="49">
        <v>25</v>
      </c>
      <c r="E28" s="49">
        <v>59</v>
      </c>
      <c r="F28" s="49" t="s">
        <v>544</v>
      </c>
      <c r="G28" s="65"/>
      <c r="H28" s="50" t="str">
        <f>IF($B28="","",IF($J28="X",B28,CONCATENATE(VLOOKUP(B28,Competitors!$A$2:$I$650,3,FALSE)," ",VLOOKUP(B28,Competitors!$A$2:$I$650,2,FALSE))))</f>
        <v>Nik Kershaw</v>
      </c>
      <c r="I28" s="51">
        <f t="shared" si="1"/>
        <v>1.804398148148148E-2</v>
      </c>
      <c r="J28" t="str">
        <f t="shared" si="2"/>
        <v/>
      </c>
    </row>
    <row r="29" spans="1:10" ht="15">
      <c r="A29" s="46" t="s">
        <v>509</v>
      </c>
      <c r="B29" s="47" t="str">
        <f t="shared" si="0"/>
        <v>Mark Newton (Ratae)</v>
      </c>
      <c r="C29" s="48"/>
      <c r="D29" s="49">
        <v>26</v>
      </c>
      <c r="E29" s="49">
        <v>7</v>
      </c>
      <c r="F29" s="49"/>
      <c r="G29" s="49"/>
      <c r="H29" s="50" t="str">
        <f>IF($B29="","",IF($J29="X",B29,CONCATENATE(VLOOKUP(B29,Competitors!$A$2:$I$650,3,FALSE)," ",VLOOKUP(B29,Competitors!$A$2:$I$650,2,FALSE))))</f>
        <v>Mark Newton (Ratae)</v>
      </c>
      <c r="I29" s="51">
        <f t="shared" si="1"/>
        <v>1.8136574074074076E-2</v>
      </c>
      <c r="J29" t="str">
        <f t="shared" si="2"/>
        <v>X</v>
      </c>
    </row>
    <row r="30" spans="1:10" ht="15">
      <c r="A30" s="46" t="s">
        <v>413</v>
      </c>
      <c r="B30" s="47">
        <f t="shared" si="0"/>
        <v>989</v>
      </c>
      <c r="C30" s="48"/>
      <c r="D30" s="49"/>
      <c r="E30" s="49"/>
      <c r="F30" s="49" t="s">
        <v>544</v>
      </c>
      <c r="G30" s="65" t="s">
        <v>557</v>
      </c>
      <c r="H30" s="50" t="str">
        <f>IF($B30="","",IF($J30="X",B30,CONCATENATE(VLOOKUP(B30,Competitors!$A$2:$I$650,3,FALSE)," ",VLOOKUP(B30,Competitors!$A$2:$I$650,2,FALSE))))</f>
        <v>Jason Williams</v>
      </c>
      <c r="I30" s="51">
        <f t="shared" si="1"/>
        <v>0</v>
      </c>
      <c r="J30" t="str">
        <f t="shared" si="2"/>
        <v/>
      </c>
    </row>
    <row r="31" spans="1:10" ht="15">
      <c r="A31" s="46" t="s">
        <v>436</v>
      </c>
      <c r="B31" s="47">
        <f t="shared" si="0"/>
        <v>203</v>
      </c>
      <c r="C31" s="48"/>
      <c r="D31" s="49">
        <v>27</v>
      </c>
      <c r="E31" s="49">
        <v>28</v>
      </c>
      <c r="F31" s="49"/>
      <c r="G31" s="49"/>
      <c r="H31" s="50" t="str">
        <f>IF($B31="","",IF($J31="X",B31,CONCATENATE(VLOOKUP(B31,Competitors!$A$2:$I$650,3,FALSE)," ",VLOOKUP(B31,Competitors!$A$2:$I$650,2,FALSE))))</f>
        <v>Adrian Killworth</v>
      </c>
      <c r="I31" s="51">
        <f t="shared" si="1"/>
        <v>1.9074074074074073E-2</v>
      </c>
      <c r="J31" t="str">
        <f t="shared" si="2"/>
        <v/>
      </c>
    </row>
    <row r="32" spans="1:10" ht="15">
      <c r="A32" s="46" t="s">
        <v>429</v>
      </c>
      <c r="B32" s="47">
        <f t="shared" si="0"/>
        <v>1107</v>
      </c>
      <c r="C32" s="48"/>
      <c r="D32" s="49">
        <v>26</v>
      </c>
      <c r="E32" s="49">
        <v>24</v>
      </c>
      <c r="F32" s="49"/>
      <c r="G32" s="49"/>
      <c r="H32" s="50" t="str">
        <f>IF($B32="","",IF($J32="X",B32,CONCATENATE(VLOOKUP(B32,Competitors!$A$2:$I$650,3,FALSE)," ",VLOOKUP(B32,Competitors!$A$2:$I$650,2,FALSE))))</f>
        <v>Milly Pinnock</v>
      </c>
      <c r="I32" s="51">
        <f t="shared" si="1"/>
        <v>1.8333333333333333E-2</v>
      </c>
      <c r="J32" t="str">
        <f t="shared" si="2"/>
        <v/>
      </c>
    </row>
    <row r="33" spans="1:10" ht="15">
      <c r="A33" s="46" t="s">
        <v>430</v>
      </c>
      <c r="B33" s="47">
        <f t="shared" si="0"/>
        <v>616</v>
      </c>
      <c r="C33" s="48"/>
      <c r="D33" s="49">
        <v>27</v>
      </c>
      <c r="E33" s="49">
        <v>29</v>
      </c>
      <c r="F33" s="49"/>
      <c r="G33" s="49"/>
      <c r="H33" s="50" t="str">
        <f>IF($B33="","",IF($J33="X",B33,CONCATENATE(VLOOKUP(B33,Competitors!$A$2:$I$650,3,FALSE)," ",VLOOKUP(B33,Competitors!$A$2:$I$650,2,FALSE))))</f>
        <v>Simon Ward</v>
      </c>
      <c r="I33" s="51">
        <f t="shared" si="1"/>
        <v>1.9085648148148147E-2</v>
      </c>
      <c r="J33" t="str">
        <f t="shared" si="2"/>
        <v/>
      </c>
    </row>
    <row r="34" spans="1:10" ht="15">
      <c r="A34" s="46" t="s">
        <v>691</v>
      </c>
      <c r="B34" s="47" t="str">
        <f>IF(A34="","",_xlfn.XLOOKUP(A34,ClubNames,ClubNumbers,_xlfn.XLOOKUP(A34,RoundRobinRiderNames,RoundRobinRiderDecoratedNames,A34)))</f>
        <v>Paul Akroyd (VTTA E.Mids)</v>
      </c>
      <c r="C34" s="48"/>
      <c r="D34" s="49">
        <v>27</v>
      </c>
      <c r="E34" s="49">
        <v>2</v>
      </c>
      <c r="F34" s="49" t="s">
        <v>544</v>
      </c>
      <c r="G34" s="65"/>
      <c r="H34" s="50" t="str">
        <f>IF($B34="","",IF($J34="X",B34,CONCATENATE(VLOOKUP(B34,Competitors!$A$2:$I$650,3,FALSE)," ",VLOOKUP(B34,Competitors!$A$2:$I$650,2,FALSE))))</f>
        <v>Paul Akroyd (VTTA E.Mids)</v>
      </c>
      <c r="I34" s="51">
        <f t="shared" si="1"/>
        <v>1.8773148148148146E-2</v>
      </c>
      <c r="J34" t="str">
        <f t="shared" si="2"/>
        <v>X</v>
      </c>
    </row>
    <row r="35" spans="1:10" ht="15">
      <c r="A35" s="46" t="s">
        <v>441</v>
      </c>
      <c r="B35" s="47">
        <f t="shared" ref="B35:B97" si="3">IF(A35="","",_xlfn.XLOOKUP(A35,ClubNames,ClubNumbers,_xlfn.XLOOKUP(A35,RoundRobinRiderNames,RoundRobinRiderDecoratedNames,A35)))</f>
        <v>1254</v>
      </c>
      <c r="C35" s="48"/>
      <c r="D35" s="49"/>
      <c r="E35" s="49"/>
      <c r="F35" s="49"/>
      <c r="G35" s="49" t="s">
        <v>553</v>
      </c>
      <c r="H35" s="50" t="str">
        <f>IF($B35="","",IF($J35="X",B35,CONCATENATE(VLOOKUP(B35,Competitors!$A$2:$I$650,3,FALSE)," ",VLOOKUP(B35,Competitors!$A$2:$I$650,2,FALSE))))</f>
        <v>Paul White</v>
      </c>
      <c r="I35" s="51">
        <f t="shared" si="1"/>
        <v>0</v>
      </c>
      <c r="J35" t="str">
        <f t="shared" si="2"/>
        <v/>
      </c>
    </row>
    <row r="36" spans="1:10" ht="15">
      <c r="A36" s="46" t="s">
        <v>427</v>
      </c>
      <c r="B36" s="47">
        <f t="shared" si="3"/>
        <v>915</v>
      </c>
      <c r="C36" s="48"/>
      <c r="D36" s="49"/>
      <c r="E36" s="49"/>
      <c r="F36" s="49"/>
      <c r="G36" s="49" t="s">
        <v>553</v>
      </c>
      <c r="H36" s="50" t="str">
        <f>IF($B36="","",IF($J36="X",B36,CONCATENATE(VLOOKUP(B36,Competitors!$A$2:$I$650,3,FALSE)," ",VLOOKUP(B36,Competitors!$A$2:$I$650,2,FALSE))))</f>
        <v>Julian Twynham</v>
      </c>
      <c r="I36" s="51">
        <f t="shared" si="1"/>
        <v>0</v>
      </c>
      <c r="J36" t="str">
        <f t="shared" si="2"/>
        <v/>
      </c>
    </row>
    <row r="37" spans="1:10" ht="15">
      <c r="A37" s="46" t="s">
        <v>447</v>
      </c>
      <c r="B37" s="47">
        <f t="shared" si="3"/>
        <v>1194</v>
      </c>
      <c r="C37" s="48"/>
      <c r="D37" s="49"/>
      <c r="E37" s="49"/>
      <c r="F37" s="49" t="s">
        <v>544</v>
      </c>
      <c r="G37" s="65" t="s">
        <v>553</v>
      </c>
      <c r="H37" s="50" t="str">
        <f>IF($B37="","",IF($J37="X",B37,CONCATENATE(VLOOKUP(B37,Competitors!$A$2:$I$650,3,FALSE)," ",VLOOKUP(B37,Competitors!$A$2:$I$650,2,FALSE))))</f>
        <v>Alex Hardwicke</v>
      </c>
      <c r="I37" s="51">
        <f t="shared" si="1"/>
        <v>0</v>
      </c>
      <c r="J37" t="str">
        <f t="shared" si="2"/>
        <v/>
      </c>
    </row>
    <row r="38" spans="1:10" ht="15">
      <c r="A38" s="46" t="s">
        <v>443</v>
      </c>
      <c r="B38" s="47">
        <f t="shared" si="3"/>
        <v>1193</v>
      </c>
      <c r="C38" s="48"/>
      <c r="D38" s="49"/>
      <c r="E38" s="49"/>
      <c r="F38" s="49" t="s">
        <v>544</v>
      </c>
      <c r="G38" s="65" t="s">
        <v>553</v>
      </c>
      <c r="H38" s="50" t="str">
        <f>IF($B38="","",IF($J38="X",B38,CONCATENATE(VLOOKUP(B38,Competitors!$A$2:$I$650,3,FALSE)," ",VLOOKUP(B38,Competitors!$A$2:$I$650,2,FALSE))))</f>
        <v>Richard Hardwicke</v>
      </c>
      <c r="I38" s="51">
        <f t="shared" si="1"/>
        <v>0</v>
      </c>
      <c r="J38" t="str">
        <f t="shared" si="2"/>
        <v/>
      </c>
    </row>
    <row r="39" spans="1:10" ht="15">
      <c r="A39" s="46" t="s">
        <v>437</v>
      </c>
      <c r="B39" s="47">
        <f t="shared" si="3"/>
        <v>1195</v>
      </c>
      <c r="C39" s="48"/>
      <c r="D39" s="49"/>
      <c r="E39" s="49"/>
      <c r="F39" s="49" t="s">
        <v>544</v>
      </c>
      <c r="G39" s="65" t="s">
        <v>553</v>
      </c>
      <c r="H39" s="50" t="str">
        <f>IF($B39="","",IF($J39="X",B39,CONCATENATE(VLOOKUP(B39,Competitors!$A$2:$I$650,3,FALSE)," ",VLOOKUP(B39,Competitors!$A$2:$I$650,2,FALSE))))</f>
        <v>Charlie Hardwicke</v>
      </c>
      <c r="I39" s="51">
        <f t="shared" si="1"/>
        <v>0</v>
      </c>
      <c r="J39" t="str">
        <f t="shared" si="2"/>
        <v/>
      </c>
    </row>
    <row r="40" spans="1:10" ht="15">
      <c r="A40" s="46" t="s">
        <v>570</v>
      </c>
      <c r="B40" s="47" t="str">
        <f t="shared" si="3"/>
        <v>Charlie Hoyle</v>
      </c>
      <c r="C40" s="48"/>
      <c r="D40" s="49">
        <v>20</v>
      </c>
      <c r="E40" s="49">
        <v>18</v>
      </c>
      <c r="F40" s="49"/>
      <c r="G40" s="49"/>
      <c r="H40" s="50" t="str">
        <f>IF($B40="","",IF($J40="X",B40,CONCATENATE(VLOOKUP(B40,Competitors!$A$2:$I$650,3,FALSE)," ",VLOOKUP(B40,Competitors!$A$2:$I$650,2,FALSE))))</f>
        <v>Charlie Hoyle</v>
      </c>
      <c r="I40" s="51">
        <f t="shared" si="1"/>
        <v>1.4097222222222223E-2</v>
      </c>
      <c r="J40" t="str">
        <f t="shared" si="2"/>
        <v>X</v>
      </c>
    </row>
    <row r="41" spans="1:10" ht="15">
      <c r="A41" s="46" t="s">
        <v>417</v>
      </c>
      <c r="B41" s="47">
        <f t="shared" si="3"/>
        <v>1152</v>
      </c>
      <c r="C41" s="48"/>
      <c r="D41" s="49">
        <v>25</v>
      </c>
      <c r="E41" s="49">
        <v>30</v>
      </c>
      <c r="F41" s="49"/>
      <c r="G41" s="49"/>
      <c r="H41" s="50" t="str">
        <f>IF($B41="","",IF($J41="X",B41,CONCATENATE(VLOOKUP(B41,Competitors!$A$2:$I$650,3,FALSE)," ",VLOOKUP(B41,Competitors!$A$2:$I$650,2,FALSE))))</f>
        <v>Ruby Isaac</v>
      </c>
      <c r="I41" s="51">
        <f t="shared" si="1"/>
        <v>1.7708333333333333E-2</v>
      </c>
      <c r="J41" t="str">
        <f t="shared" si="2"/>
        <v/>
      </c>
    </row>
    <row r="42" spans="1:10" ht="15">
      <c r="A42" s="46" t="s">
        <v>415</v>
      </c>
      <c r="B42" s="47">
        <f t="shared" si="3"/>
        <v>1161</v>
      </c>
      <c r="C42" s="48"/>
      <c r="D42" s="49">
        <v>24</v>
      </c>
      <c r="E42" s="49">
        <v>17</v>
      </c>
      <c r="F42" s="49"/>
      <c r="G42" s="49"/>
      <c r="H42" s="50" t="str">
        <f>IF($B42="","",IF($J42="X",B42,CONCATENATE(VLOOKUP(B42,Competitors!$A$2:$I$650,3,FALSE)," ",VLOOKUP(B42,Competitors!$A$2:$I$650,2,FALSE))))</f>
        <v>Maciej Suchocki</v>
      </c>
      <c r="I42" s="51">
        <f t="shared" si="1"/>
        <v>1.6863425925925928E-2</v>
      </c>
      <c r="J42" t="str">
        <f t="shared" si="2"/>
        <v/>
      </c>
    </row>
    <row r="43" spans="1:10" ht="15">
      <c r="A43" s="46" t="s">
        <v>435</v>
      </c>
      <c r="B43" s="47">
        <f t="shared" si="3"/>
        <v>846</v>
      </c>
      <c r="C43" s="48"/>
      <c r="D43" s="49">
        <v>26</v>
      </c>
      <c r="E43" s="49">
        <v>11</v>
      </c>
      <c r="F43" s="49"/>
      <c r="G43" s="49"/>
      <c r="H43" s="50" t="str">
        <f>IF($B43="","",IF($J43="X",B43,CONCATENATE(VLOOKUP(B43,Competitors!$A$2:$I$650,3,FALSE)," ",VLOOKUP(B43,Competitors!$A$2:$I$650,2,FALSE))))</f>
        <v>Roger Kockelbergh</v>
      </c>
      <c r="I43" s="51">
        <f t="shared" si="1"/>
        <v>1.818287037037037E-2</v>
      </c>
      <c r="J43" t="str">
        <f t="shared" si="2"/>
        <v/>
      </c>
    </row>
    <row r="44" spans="1:10" ht="15">
      <c r="A44" s="46" t="s">
        <v>426</v>
      </c>
      <c r="B44" s="47">
        <f t="shared" si="3"/>
        <v>1055</v>
      </c>
      <c r="C44" s="48"/>
      <c r="D44" s="49">
        <v>25</v>
      </c>
      <c r="E44" s="49">
        <v>13</v>
      </c>
      <c r="F44" s="49"/>
      <c r="G44" s="49"/>
      <c r="H44" s="50" t="str">
        <f>IF($B44="","",IF($J44="X",B44,CONCATENATE(VLOOKUP(B44,Competitors!$A$2:$I$650,3,FALSE)," ",VLOOKUP(B44,Competitors!$A$2:$I$650,2,FALSE))))</f>
        <v>Austin Smith</v>
      </c>
      <c r="I44" s="51">
        <f t="shared" si="1"/>
        <v>1.7511574074074075E-2</v>
      </c>
      <c r="J44" t="str">
        <f t="shared" si="2"/>
        <v/>
      </c>
    </row>
    <row r="45" spans="1:10" ht="15">
      <c r="A45" s="46" t="s">
        <v>527</v>
      </c>
      <c r="B45" s="47" t="str">
        <f t="shared" si="3"/>
        <v>Phil Wilkinson (RFW)</v>
      </c>
      <c r="C45" s="48"/>
      <c r="D45" s="49"/>
      <c r="E45" s="49"/>
      <c r="F45" s="49"/>
      <c r="G45" s="49" t="s">
        <v>553</v>
      </c>
      <c r="H45" s="50" t="str">
        <f>IF($B45="","",IF($J45="X",B45,CONCATENATE(VLOOKUP(B45,Competitors!$A$2:$I$650,3,FALSE)," ",VLOOKUP(B45,Competitors!$A$2:$I$650,2,FALSE))))</f>
        <v>Phil Wilkinson (RFW)</v>
      </c>
      <c r="I45" s="51">
        <f t="shared" si="1"/>
        <v>0</v>
      </c>
      <c r="J45" t="str">
        <f t="shared" si="2"/>
        <v>X</v>
      </c>
    </row>
    <row r="46" spans="1:10" ht="15">
      <c r="A46" s="46" t="s">
        <v>411</v>
      </c>
      <c r="B46" s="47">
        <f t="shared" si="3"/>
        <v>407</v>
      </c>
      <c r="C46" s="48"/>
      <c r="D46" s="49">
        <v>23</v>
      </c>
      <c r="E46" s="49">
        <v>1</v>
      </c>
      <c r="F46" s="49"/>
      <c r="G46" s="49"/>
      <c r="H46" s="50" t="str">
        <f>IF($B46="","",IF($J46="X",B46,CONCATENATE(VLOOKUP(B46,Competitors!$A$2:$I$650,3,FALSE)," ",VLOOKUP(B46,Competitors!$A$2:$I$650,2,FALSE))))</f>
        <v>Hans van Nierop</v>
      </c>
      <c r="I46" s="51">
        <f t="shared" si="1"/>
        <v>1.5983796296296298E-2</v>
      </c>
      <c r="J46" t="str">
        <f t="shared" si="2"/>
        <v/>
      </c>
    </row>
    <row r="47" spans="1:10" ht="15">
      <c r="A47" s="60" t="s">
        <v>414</v>
      </c>
      <c r="B47" s="47">
        <f t="shared" si="3"/>
        <v>699</v>
      </c>
      <c r="C47" s="48"/>
      <c r="D47" s="49">
        <v>23</v>
      </c>
      <c r="E47" s="49">
        <v>49</v>
      </c>
      <c r="F47" s="49"/>
      <c r="G47" s="49"/>
      <c r="H47" s="50" t="str">
        <f>IF($B47="","",IF($J47="X",B47,CONCATENATE(VLOOKUP(B47,Competitors!$A$2:$I$650,3,FALSE)," ",VLOOKUP(B47,Competitors!$A$2:$I$650,2,FALSE))))</f>
        <v>Jonathan Durnin</v>
      </c>
      <c r="I47" s="51">
        <f t="shared" si="1"/>
        <v>1.653935185185185E-2</v>
      </c>
      <c r="J47" t="str">
        <f t="shared" si="2"/>
        <v/>
      </c>
    </row>
    <row r="48" spans="1:10" ht="15">
      <c r="A48" s="46" t="s">
        <v>619</v>
      </c>
      <c r="B48" s="47">
        <f t="shared" si="3"/>
        <v>1416</v>
      </c>
      <c r="C48" s="48"/>
      <c r="D48" s="49">
        <v>24</v>
      </c>
      <c r="E48" s="49">
        <v>18</v>
      </c>
      <c r="F48" s="49" t="s">
        <v>544</v>
      </c>
      <c r="G48" s="49"/>
      <c r="H48" s="50" t="str">
        <f>IF($B48="","",IF($J48="X",B48,CONCATENATE(VLOOKUP(B48,Competitors!$A$2:$I$650,3,FALSE)," ",VLOOKUP(B48,Competitors!$A$2:$I$650,2,FALSE))))</f>
        <v>Henry Bellamy</v>
      </c>
      <c r="I48" s="51">
        <f t="shared" si="1"/>
        <v>1.6875000000000001E-2</v>
      </c>
      <c r="J48" t="str">
        <f t="shared" si="2"/>
        <v/>
      </c>
    </row>
    <row r="49" spans="1:10" ht="15">
      <c r="A49" s="46" t="s">
        <v>499</v>
      </c>
      <c r="B49" s="47" t="str">
        <f t="shared" si="3"/>
        <v>Alex Whitmore (Ratae)</v>
      </c>
      <c r="C49" s="48"/>
      <c r="D49" s="49">
        <v>22</v>
      </c>
      <c r="E49" s="49">
        <v>44</v>
      </c>
      <c r="F49" s="49" t="s">
        <v>544</v>
      </c>
      <c r="G49" s="49"/>
      <c r="H49" s="50" t="str">
        <f>IF($B49="","",IF($J49="X",B49,CONCATENATE(VLOOKUP(B49,Competitors!$A$2:$I$650,3,FALSE)," ",VLOOKUP(B49,Competitors!$A$2:$I$650,2,FALSE))))</f>
        <v>Alex Whitmore (Ratae)</v>
      </c>
      <c r="I49" s="51">
        <f t="shared" si="1"/>
        <v>1.5787037037037037E-2</v>
      </c>
      <c r="J49" t="str">
        <f t="shared" si="2"/>
        <v>X</v>
      </c>
    </row>
    <row r="50" spans="1:10" ht="15">
      <c r="A50" s="46" t="s">
        <v>620</v>
      </c>
      <c r="B50" s="47" t="s">
        <v>620</v>
      </c>
      <c r="C50" s="48"/>
      <c r="D50" s="49">
        <v>24</v>
      </c>
      <c r="E50" s="49">
        <v>33</v>
      </c>
      <c r="F50" s="49"/>
      <c r="G50" s="49"/>
      <c r="H50" s="50" t="str">
        <f>IF($B50="","",IF($J50="X",B50,CONCATENATE(VLOOKUP(B50,Competitors!$A$2:$I$650,3,FALSE)," ",VLOOKUP(B50,Competitors!$A$2:$I$650,2,FALSE))))</f>
        <v>Michael Burke</v>
      </c>
      <c r="I50" s="51">
        <f t="shared" si="1"/>
        <v>1.7048611111111112E-2</v>
      </c>
      <c r="J50" t="str">
        <f t="shared" si="2"/>
        <v>X</v>
      </c>
    </row>
    <row r="51" spans="1:10" ht="15">
      <c r="A51" s="46" t="s">
        <v>418</v>
      </c>
      <c r="B51" s="47">
        <f t="shared" si="3"/>
        <v>1355</v>
      </c>
      <c r="C51" s="48"/>
      <c r="D51" s="49">
        <v>24</v>
      </c>
      <c r="E51" s="49">
        <v>57</v>
      </c>
      <c r="F51" s="49" t="s">
        <v>544</v>
      </c>
      <c r="G51" s="49"/>
      <c r="H51" s="50" t="str">
        <f>IF($B51="","",IF($J51="X",B51,CONCATENATE(VLOOKUP(B51,Competitors!$A$2:$I$650,3,FALSE)," ",VLOOKUP(B51,Competitors!$A$2:$I$650,2,FALSE))))</f>
        <v>Aubrey Elmer</v>
      </c>
      <c r="I51" s="51">
        <f t="shared" si="1"/>
        <v>1.7326388888888888E-2</v>
      </c>
      <c r="J51" t="str">
        <f t="shared" si="2"/>
        <v/>
      </c>
    </row>
    <row r="52" spans="1:10" ht="15">
      <c r="A52" s="46"/>
      <c r="B52" s="47" t="str">
        <f t="shared" si="3"/>
        <v/>
      </c>
      <c r="C52" s="48"/>
      <c r="D52" s="49"/>
      <c r="E52" s="49"/>
      <c r="F52" s="49"/>
      <c r="G52" s="49"/>
      <c r="H52" s="50" t="str">
        <f>IF($B52="","",IF($J52="X",B52,CONCATENATE(VLOOKUP(B52,Competitors!$A$2:$I$650,3,FALSE)," ",VLOOKUP(B52,Competitors!$A$2:$I$650,2,FALSE))))</f>
        <v/>
      </c>
      <c r="I52" s="51">
        <f t="shared" si="1"/>
        <v>0</v>
      </c>
      <c r="J52" t="str">
        <f t="shared" si="2"/>
        <v/>
      </c>
    </row>
    <row r="53" spans="1:10" ht="15">
      <c r="A53" s="46"/>
      <c r="B53" s="47" t="str">
        <f t="shared" si="3"/>
        <v/>
      </c>
      <c r="C53" s="48"/>
      <c r="D53" s="49"/>
      <c r="E53" s="49"/>
      <c r="F53" s="49"/>
      <c r="G53" s="49"/>
      <c r="H53" s="50" t="str">
        <f>IF($B53="","",IF($J53="X",B53,CONCATENATE(VLOOKUP(B53,Competitors!$A$2:$I$650,3,FALSE)," ",VLOOKUP(B53,Competitors!$A$2:$I$650,2,FALSE))))</f>
        <v/>
      </c>
      <c r="I53" s="51">
        <f t="shared" si="1"/>
        <v>0</v>
      </c>
      <c r="J53" t="str">
        <f t="shared" si="2"/>
        <v/>
      </c>
    </row>
    <row r="54" spans="1:10" ht="15">
      <c r="A54" s="46"/>
      <c r="B54" s="47" t="str">
        <f t="shared" si="3"/>
        <v/>
      </c>
      <c r="C54" s="48"/>
      <c r="D54" s="49"/>
      <c r="E54" s="49"/>
      <c r="F54" s="49"/>
      <c r="G54" s="49"/>
      <c r="H54" s="50" t="str">
        <f>IF($B54="","",IF($J54="X",B54,CONCATENATE(VLOOKUP(B54,Competitors!$A$2:$I$650,3,FALSE)," ",VLOOKUP(B54,Competitors!$A$2:$I$650,2,FALSE))))</f>
        <v/>
      </c>
      <c r="I54" s="51">
        <f t="shared" si="1"/>
        <v>0</v>
      </c>
      <c r="J54" t="str">
        <f t="shared" si="2"/>
        <v/>
      </c>
    </row>
    <row r="55" spans="1:10" ht="15">
      <c r="A55" s="46"/>
      <c r="B55" s="47" t="str">
        <f t="shared" si="3"/>
        <v/>
      </c>
      <c r="C55" s="48"/>
      <c r="D55" s="49"/>
      <c r="E55" s="49"/>
      <c r="F55" s="49"/>
      <c r="G55" s="49"/>
      <c r="H55" s="50" t="str">
        <f>IF($B55="","",IF($J55="X",B55,CONCATENATE(VLOOKUP(B55,Competitors!$A$2:$I$650,3,FALSE)," ",VLOOKUP(B55,Competitors!$A$2:$I$650,2,FALSE))))</f>
        <v/>
      </c>
      <c r="I55" s="51">
        <f t="shared" si="1"/>
        <v>0</v>
      </c>
      <c r="J55" t="str">
        <f t="shared" si="2"/>
        <v/>
      </c>
    </row>
    <row r="56" spans="1:10" ht="15">
      <c r="A56" s="46"/>
      <c r="B56" s="47" t="str">
        <f t="shared" si="3"/>
        <v/>
      </c>
      <c r="C56" s="48"/>
      <c r="D56" s="49"/>
      <c r="E56" s="49"/>
      <c r="F56" s="49"/>
      <c r="G56" s="49"/>
      <c r="H56" s="50" t="str">
        <f>IF($B56="","",IF($J56="X",B56,CONCATENATE(VLOOKUP(B56,Competitors!$A$2:$I$650,3,FALSE)," ",VLOOKUP(B56,Competitors!$A$2:$I$650,2,FALSE))))</f>
        <v/>
      </c>
      <c r="I56" s="51">
        <f t="shared" si="1"/>
        <v>0</v>
      </c>
      <c r="J56" t="str">
        <f t="shared" si="2"/>
        <v/>
      </c>
    </row>
    <row r="57" spans="1:10" ht="15">
      <c r="A57" s="46"/>
      <c r="B57" s="47" t="str">
        <f t="shared" si="3"/>
        <v/>
      </c>
      <c r="C57" s="48"/>
      <c r="D57" s="49"/>
      <c r="E57" s="49"/>
      <c r="F57" s="49"/>
      <c r="G57" s="49"/>
      <c r="H57" s="50" t="str">
        <f>IF($B57="","",IF($J57="X",B57,CONCATENATE(VLOOKUP(B57,Competitors!$A$2:$I$650,3,FALSE)," ",VLOOKUP(B57,Competitors!$A$2:$I$650,2,FALSE))))</f>
        <v/>
      </c>
      <c r="I57" s="51">
        <f t="shared" si="1"/>
        <v>0</v>
      </c>
      <c r="J57" t="str">
        <f t="shared" si="2"/>
        <v/>
      </c>
    </row>
    <row r="58" spans="1:10" ht="15">
      <c r="A58" s="46"/>
      <c r="B58" s="47" t="str">
        <f t="shared" si="3"/>
        <v/>
      </c>
      <c r="C58" s="48"/>
      <c r="D58" s="49"/>
      <c r="E58" s="49"/>
      <c r="F58" s="49"/>
      <c r="G58" s="49"/>
      <c r="H58" s="50" t="str">
        <f>IF($B58="","",IF($J58="X",B58,CONCATENATE(VLOOKUP(B58,Competitors!$A$2:$I$650,3,FALSE)," ",VLOOKUP(B58,Competitors!$A$2:$I$650,2,FALSE))))</f>
        <v/>
      </c>
      <c r="I58" s="51">
        <f t="shared" si="1"/>
        <v>0</v>
      </c>
      <c r="J58" t="str">
        <f t="shared" si="2"/>
        <v/>
      </c>
    </row>
    <row r="59" spans="1:10" ht="15">
      <c r="A59" s="46"/>
      <c r="B59" s="47" t="str">
        <f t="shared" si="3"/>
        <v/>
      </c>
      <c r="C59" s="48"/>
      <c r="D59" s="49"/>
      <c r="E59" s="49"/>
      <c r="F59" s="49"/>
      <c r="G59" s="49"/>
      <c r="H59" s="50" t="str">
        <f>IF($B59="","",IF($J59="X",B59,CONCATENATE(VLOOKUP(B59,Competitors!$A$2:$I$650,3,FALSE)," ",VLOOKUP(B59,Competitors!$A$2:$I$650,2,FALSE))))</f>
        <v/>
      </c>
      <c r="I59" s="51">
        <f t="shared" si="1"/>
        <v>0</v>
      </c>
      <c r="J59" t="str">
        <f t="shared" si="2"/>
        <v/>
      </c>
    </row>
    <row r="60" spans="1:10" ht="15">
      <c r="A60" s="46"/>
      <c r="B60" s="47" t="str">
        <f t="shared" si="3"/>
        <v/>
      </c>
      <c r="C60" s="48"/>
      <c r="D60" s="49"/>
      <c r="E60" s="49"/>
      <c r="F60" s="49"/>
      <c r="G60" s="49"/>
      <c r="H60" s="50" t="str">
        <f>IF($B60="","",IF($J60="X",B60,CONCATENATE(VLOOKUP(B60,Competitors!$A$2:$I$650,3,FALSE)," ",VLOOKUP(B60,Competitors!$A$2:$I$650,2,FALSE))))</f>
        <v/>
      </c>
      <c r="I60" s="51">
        <f t="shared" si="1"/>
        <v>0</v>
      </c>
      <c r="J60" t="str">
        <f t="shared" si="2"/>
        <v/>
      </c>
    </row>
    <row r="61" spans="1:10" ht="15">
      <c r="A61" s="46"/>
      <c r="B61" s="47" t="str">
        <f t="shared" si="3"/>
        <v/>
      </c>
      <c r="C61" s="48"/>
      <c r="D61" s="49"/>
      <c r="E61" s="49"/>
      <c r="F61" s="49"/>
      <c r="G61" s="49"/>
      <c r="H61" s="50" t="str">
        <f>IF($B61="","",IF($J61="X",B61,CONCATENATE(VLOOKUP(B61,Competitors!$A$2:$I$650,3,FALSE)," ",VLOOKUP(B61,Competitors!$A$2:$I$650,2,FALSE))))</f>
        <v/>
      </c>
      <c r="I61" s="51">
        <f t="shared" si="1"/>
        <v>0</v>
      </c>
      <c r="J61" t="str">
        <f t="shared" si="2"/>
        <v/>
      </c>
    </row>
    <row r="62" spans="1:10" ht="15">
      <c r="A62" s="46"/>
      <c r="B62" s="47" t="str">
        <f t="shared" si="3"/>
        <v/>
      </c>
      <c r="C62" s="48"/>
      <c r="D62" s="49"/>
      <c r="E62" s="49"/>
      <c r="F62" s="49"/>
      <c r="G62" s="49"/>
      <c r="H62" s="50" t="str">
        <f>IF($B62="","",IF($J62="X",B62,CONCATENATE(VLOOKUP(B62,Competitors!$A$2:$I$650,3,FALSE)," ",VLOOKUP(B62,Competitors!$A$2:$I$650,2,FALSE))))</f>
        <v/>
      </c>
      <c r="I62" s="51">
        <f t="shared" si="1"/>
        <v>0</v>
      </c>
      <c r="J62" t="str">
        <f t="shared" si="2"/>
        <v/>
      </c>
    </row>
    <row r="63" spans="1:10" ht="15">
      <c r="A63" s="46"/>
      <c r="B63" s="47" t="str">
        <f t="shared" si="3"/>
        <v/>
      </c>
      <c r="C63" s="48"/>
      <c r="D63" s="49"/>
      <c r="E63" s="49"/>
      <c r="F63" s="49"/>
      <c r="G63" s="49"/>
      <c r="H63" s="50" t="str">
        <f>IF($B63="","",IF($J63="X",B63,CONCATENATE(VLOOKUP(B63,Competitors!$A$2:$I$650,3,FALSE)," ",VLOOKUP(B63,Competitors!$A$2:$I$650,2,FALSE))))</f>
        <v/>
      </c>
      <c r="I63" s="51">
        <f t="shared" si="1"/>
        <v>0</v>
      </c>
      <c r="J63" t="str">
        <f t="shared" si="2"/>
        <v/>
      </c>
    </row>
    <row r="64" spans="1:10" ht="15">
      <c r="A64" s="46"/>
      <c r="B64" s="47" t="str">
        <f t="shared" si="3"/>
        <v/>
      </c>
      <c r="C64" s="48"/>
      <c r="D64" s="49"/>
      <c r="E64" s="49"/>
      <c r="F64" s="49"/>
      <c r="G64" s="49"/>
      <c r="H64" s="50" t="str">
        <f>IF($B64="","",IF($J64="X",B64,CONCATENATE(VLOOKUP(B64,Competitors!$A$2:$I$650,3,FALSE)," ",VLOOKUP(B64,Competitors!$A$2:$I$650,2,FALSE))))</f>
        <v/>
      </c>
      <c r="I64" s="51">
        <f t="shared" si="1"/>
        <v>0</v>
      </c>
      <c r="J64" t="str">
        <f t="shared" si="2"/>
        <v/>
      </c>
    </row>
    <row r="65" spans="1:10" ht="15">
      <c r="A65" s="46"/>
      <c r="B65" s="47" t="str">
        <f t="shared" si="3"/>
        <v/>
      </c>
      <c r="C65" s="48"/>
      <c r="D65" s="49"/>
      <c r="E65" s="49"/>
      <c r="F65" s="49"/>
      <c r="G65" s="49"/>
      <c r="H65" s="50" t="str">
        <f>IF($B65="","",IF($J65="X",B65,CONCATENATE(VLOOKUP(B65,Competitors!$A$2:$I$650,3,FALSE)," ",VLOOKUP(B65,Competitors!$A$2:$I$650,2,FALSE))))</f>
        <v/>
      </c>
      <c r="I65" s="51">
        <f t="shared" si="1"/>
        <v>0</v>
      </c>
      <c r="J65" t="str">
        <f t="shared" si="2"/>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4"/>
        <v>0</v>
      </c>
      <c r="J67" t="str">
        <f t="shared" si="5"/>
        <v/>
      </c>
    </row>
    <row r="68" spans="1:10" ht="15">
      <c r="A68" s="46"/>
      <c r="B68" s="47" t="str">
        <f t="shared" si="3"/>
        <v/>
      </c>
      <c r="C68" s="48"/>
      <c r="D68" s="49"/>
      <c r="E68" s="49"/>
      <c r="F68" s="49"/>
      <c r="G68" s="49"/>
      <c r="H68" s="50" t="str">
        <f>IF($B68="","",IF($J68="X",B68,CONCATENATE(VLOOKUP(B68,Competitors!$A$2:$I$650,3,FALSE)," ",VLOOKUP(B68,Competitors!$A$2:$I$650,2,FALSE))))</f>
        <v/>
      </c>
      <c r="I68" s="51">
        <f t="shared" si="4"/>
        <v>0</v>
      </c>
      <c r="J68" t="str">
        <f t="shared" si="5"/>
        <v/>
      </c>
    </row>
    <row r="69" spans="1:10" ht="15">
      <c r="A69" s="46"/>
      <c r="B69" s="47" t="str">
        <f t="shared" si="3"/>
        <v/>
      </c>
      <c r="C69" s="48"/>
      <c r="D69" s="49"/>
      <c r="E69" s="49"/>
      <c r="F69" s="49"/>
      <c r="G69" s="49"/>
      <c r="H69" s="50" t="str">
        <f>IF($B69="","",IF($J69="X",B69,CONCATENATE(VLOOKUP(B69,Competitors!$A$2:$I$650,3,FALSE)," ",VLOOKUP(B69,Competitors!$A$2:$I$650,2,FALSE))))</f>
        <v/>
      </c>
      <c r="I69" s="51">
        <f t="shared" si="4"/>
        <v>0</v>
      </c>
      <c r="J69" t="str">
        <f t="shared" si="5"/>
        <v/>
      </c>
    </row>
    <row r="70" spans="1:10" ht="15">
      <c r="A70" s="46"/>
      <c r="B70" s="47" t="str">
        <f t="shared" si="3"/>
        <v/>
      </c>
      <c r="C70" s="48"/>
      <c r="D70" s="49"/>
      <c r="E70" s="49"/>
      <c r="F70" s="49"/>
      <c r="G70" s="49"/>
      <c r="H70" s="50" t="str">
        <f>IF($B70="","",IF($J70="X",B70,CONCATENATE(VLOOKUP(B70,Competitors!$A$2:$I$650,3,FALSE)," ",VLOOKUP(B70,Competitors!$A$2:$I$650,2,FALSE))))</f>
        <v/>
      </c>
      <c r="I70" s="51">
        <f t="shared" si="4"/>
        <v>0</v>
      </c>
      <c r="J70" t="str">
        <f t="shared" si="5"/>
        <v/>
      </c>
    </row>
    <row r="71" spans="1:10" ht="15">
      <c r="A71" s="46"/>
      <c r="B71" s="47" t="str">
        <f t="shared" si="3"/>
        <v/>
      </c>
      <c r="C71" s="48"/>
      <c r="D71" s="49"/>
      <c r="E71" s="49"/>
      <c r="F71" s="49"/>
      <c r="G71" s="49"/>
      <c r="H71" s="50" t="str">
        <f>IF($B71="","",IF($J71="X",B71,CONCATENATE(VLOOKUP(B71,Competitors!$A$2:$I$650,3,FALSE)," ",VLOOKUP(B71,Competitors!$A$2:$I$650,2,FALSE))))</f>
        <v/>
      </c>
      <c r="I71" s="51">
        <f t="shared" si="4"/>
        <v>0</v>
      </c>
      <c r="J71" t="str">
        <f t="shared" si="5"/>
        <v/>
      </c>
    </row>
    <row r="72" spans="1:10" ht="15">
      <c r="A72" s="46"/>
      <c r="B72" s="47" t="str">
        <f t="shared" si="3"/>
        <v/>
      </c>
      <c r="C72" s="48"/>
      <c r="D72" s="49"/>
      <c r="E72" s="49"/>
      <c r="F72" s="49"/>
      <c r="G72" s="49"/>
      <c r="H72" s="50" t="str">
        <f>IF($B72="","",IF($J72="X",B72,CONCATENATE(VLOOKUP(B72,Competitors!$A$2:$I$650,3,FALSE)," ",VLOOKUP(B72,Competitors!$A$2:$I$650,2,FALSE))))</f>
        <v/>
      </c>
      <c r="I72" s="51">
        <f t="shared" si="4"/>
        <v>0</v>
      </c>
      <c r="J72" t="str">
        <f t="shared" si="5"/>
        <v/>
      </c>
    </row>
    <row r="73" spans="1:10" ht="15">
      <c r="A73" s="46"/>
      <c r="B73" s="47" t="str">
        <f t="shared" si="3"/>
        <v/>
      </c>
      <c r="C73" s="48"/>
      <c r="D73" s="49"/>
      <c r="E73" s="49"/>
      <c r="F73" s="49"/>
      <c r="G73" s="49"/>
      <c r="H73" s="50" t="str">
        <f>IF($B73="","",IF($J73="X",B73,CONCATENATE(VLOOKUP(B73,Competitors!$A$2:$I$650,3,FALSE)," ",VLOOKUP(B73,Competitors!$A$2:$I$650,2,FALSE))))</f>
        <v/>
      </c>
      <c r="I73" s="51">
        <f t="shared" si="4"/>
        <v>0</v>
      </c>
      <c r="J73" t="str">
        <f t="shared" si="5"/>
        <v/>
      </c>
    </row>
    <row r="74" spans="1:10" ht="15">
      <c r="A74" s="46"/>
      <c r="B74" s="47" t="str">
        <f t="shared" si="3"/>
        <v/>
      </c>
      <c r="C74" s="48"/>
      <c r="D74" s="49"/>
      <c r="E74" s="49"/>
      <c r="F74" s="49"/>
      <c r="G74" s="49"/>
      <c r="H74" s="50" t="str">
        <f>IF($B74="","",IF($J74="X",B74,CONCATENATE(VLOOKUP(B74,Competitors!$A$2:$I$650,3,FALSE)," ",VLOOKUP(B74,Competitors!$A$2:$I$650,2,FALSE))))</f>
        <v/>
      </c>
      <c r="I74" s="51">
        <f t="shared" si="4"/>
        <v>0</v>
      </c>
      <c r="J74" t="str">
        <f t="shared" si="5"/>
        <v/>
      </c>
    </row>
    <row r="75" spans="1:10" ht="15">
      <c r="A75" s="46"/>
      <c r="B75" s="47" t="str">
        <f t="shared" si="3"/>
        <v/>
      </c>
      <c r="C75" s="48"/>
      <c r="D75" s="49"/>
      <c r="E75" s="49"/>
      <c r="F75" s="49"/>
      <c r="G75" s="49"/>
      <c r="H75" s="50" t="str">
        <f>IF($B75="","",IF($J75="X",B75,CONCATENATE(VLOOKUP(B75,Competitors!$A$2:$I$650,3,FALSE)," ",VLOOKUP(B75,Competitors!$A$2:$I$650,2,FALSE))))</f>
        <v/>
      </c>
      <c r="I75" s="51">
        <f t="shared" si="4"/>
        <v>0</v>
      </c>
      <c r="J75" t="str">
        <f t="shared" si="5"/>
        <v/>
      </c>
    </row>
    <row r="76" spans="1:10" ht="15">
      <c r="A76" s="46"/>
      <c r="B76" s="47" t="str">
        <f t="shared" si="3"/>
        <v/>
      </c>
      <c r="C76" s="48"/>
      <c r="D76" s="49"/>
      <c r="E76" s="49"/>
      <c r="F76" s="49"/>
      <c r="G76" s="49"/>
      <c r="H76" s="50" t="str">
        <f>IF($B76="","",IF($J76="X",B76,CONCATENATE(VLOOKUP(B76,Competitors!$A$2:$I$650,3,FALSE)," ",VLOOKUP(B76,Competitors!$A$2:$I$650,2,FALSE))))</f>
        <v/>
      </c>
      <c r="I76" s="51">
        <f t="shared" si="4"/>
        <v>0</v>
      </c>
      <c r="J76" t="str">
        <f t="shared" si="5"/>
        <v/>
      </c>
    </row>
    <row r="77" spans="1:10" ht="15">
      <c r="A77" s="46"/>
      <c r="B77" s="47" t="str">
        <f t="shared" si="3"/>
        <v/>
      </c>
      <c r="C77" s="48"/>
      <c r="D77" s="49"/>
      <c r="E77" s="49"/>
      <c r="F77" s="49"/>
      <c r="G77" s="49"/>
      <c r="H77" s="50" t="str">
        <f>IF($B77="","",IF($J77="X",B77,CONCATENATE(VLOOKUP(B77,Competitors!$A$2:$I$650,3,FALSE)," ",VLOOKUP(B77,Competitors!$A$2:$I$650,2,FALSE))))</f>
        <v/>
      </c>
      <c r="I77" s="51">
        <f t="shared" si="4"/>
        <v>0</v>
      </c>
      <c r="J77" t="str">
        <f t="shared" si="5"/>
        <v/>
      </c>
    </row>
    <row r="78" spans="1:10" ht="15">
      <c r="A78" s="46"/>
      <c r="B78" s="47" t="str">
        <f t="shared" si="3"/>
        <v/>
      </c>
      <c r="C78" s="48"/>
      <c r="D78" s="49"/>
      <c r="E78" s="49"/>
      <c r="F78" s="49"/>
      <c r="G78" s="49"/>
      <c r="H78" s="50" t="str">
        <f>IF($B78="","",IF($J78="X",B78,CONCATENATE(VLOOKUP(B78,Competitors!$A$2:$I$650,3,FALSE)," ",VLOOKUP(B78,Competitors!$A$2:$I$650,2,FALSE))))</f>
        <v/>
      </c>
      <c r="I78" s="51">
        <f t="shared" si="4"/>
        <v>0</v>
      </c>
      <c r="J78" t="str">
        <f t="shared" si="5"/>
        <v/>
      </c>
    </row>
    <row r="79" spans="1:10" ht="15">
      <c r="A79" s="46"/>
      <c r="B79" s="47" t="str">
        <f t="shared" si="3"/>
        <v/>
      </c>
      <c r="C79" s="48"/>
      <c r="D79" s="49"/>
      <c r="E79" s="49"/>
      <c r="F79" s="49"/>
      <c r="G79" s="49"/>
      <c r="H79" s="50" t="str">
        <f>IF($B79="","",IF($J79="X",B79,CONCATENATE(VLOOKUP(B79,Competitors!$A$2:$I$650,3,FALSE)," ",VLOOKUP(B79,Competitors!$A$2:$I$650,2,FALSE))))</f>
        <v/>
      </c>
      <c r="I79" s="51">
        <f t="shared" si="4"/>
        <v>0</v>
      </c>
      <c r="J79" t="str">
        <f t="shared" si="5"/>
        <v/>
      </c>
    </row>
    <row r="80" spans="1:10" ht="15">
      <c r="A80" s="46"/>
      <c r="B80" s="47" t="str">
        <f t="shared" si="3"/>
        <v/>
      </c>
      <c r="C80" s="48"/>
      <c r="D80" s="49"/>
      <c r="E80" s="49"/>
      <c r="F80" s="49"/>
      <c r="G80" s="49"/>
      <c r="H80" s="50" t="str">
        <f>IF($B80="","",IF($J80="X",B80,CONCATENATE(VLOOKUP(B80,Competitors!$A$2:$I$650,3,FALSE)," ",VLOOKUP(B80,Competitors!$A$2:$I$650,2,FALSE))))</f>
        <v/>
      </c>
      <c r="I80" s="51">
        <f t="shared" si="4"/>
        <v>0</v>
      </c>
      <c r="J80" t="str">
        <f t="shared" si="5"/>
        <v/>
      </c>
    </row>
    <row r="81" spans="1:10" ht="15">
      <c r="A81" s="46"/>
      <c r="B81" s="47" t="str">
        <f t="shared" si="3"/>
        <v/>
      </c>
      <c r="C81" s="48"/>
      <c r="D81" s="49"/>
      <c r="E81" s="49"/>
      <c r="F81" s="49"/>
      <c r="G81" s="49"/>
      <c r="H81" s="50" t="str">
        <f>IF($B81="","",IF($J81="X",B81,CONCATENATE(VLOOKUP(B81,Competitors!$A$2:$I$650,3,FALSE)," ",VLOOKUP(B81,Competitors!$A$2:$I$650,2,FALSE))))</f>
        <v/>
      </c>
      <c r="I81" s="51">
        <f t="shared" si="4"/>
        <v>0</v>
      </c>
      <c r="J81" t="str">
        <f t="shared" si="5"/>
        <v/>
      </c>
    </row>
    <row r="82" spans="1:10" ht="15">
      <c r="A82" s="46"/>
      <c r="B82" s="47" t="str">
        <f t="shared" si="3"/>
        <v/>
      </c>
      <c r="C82" s="48"/>
      <c r="D82" s="49"/>
      <c r="E82" s="49"/>
      <c r="F82" s="49"/>
      <c r="G82" s="49"/>
      <c r="H82" s="50" t="str">
        <f>IF($B82="","",IF($J82="X",B82,CONCATENATE(VLOOKUP(B82,Competitors!$A$2:$I$650,3,FALSE)," ",VLOOKUP(B82,Competitors!$A$2:$I$650,2,FALSE))))</f>
        <v/>
      </c>
      <c r="I82" s="51">
        <f t="shared" si="4"/>
        <v>0</v>
      </c>
      <c r="J82" t="str">
        <f t="shared" si="5"/>
        <v/>
      </c>
    </row>
    <row r="83" spans="1:10" ht="15">
      <c r="A83" s="46"/>
      <c r="B83" s="47" t="str">
        <f t="shared" si="3"/>
        <v/>
      </c>
      <c r="C83" s="48"/>
      <c r="D83" s="49"/>
      <c r="E83" s="49"/>
      <c r="F83" s="49"/>
      <c r="G83" s="49"/>
      <c r="H83" s="50" t="str">
        <f>IF($B83="","",IF($J83="X",B83,CONCATENATE(VLOOKUP(B83,Competitors!$A$2:$I$650,3,FALSE)," ",VLOOKUP(B83,Competitors!$A$2:$I$650,2,FALSE))))</f>
        <v/>
      </c>
      <c r="I83" s="51">
        <f t="shared" si="4"/>
        <v>0</v>
      </c>
      <c r="J83" t="str">
        <f t="shared" si="5"/>
        <v/>
      </c>
    </row>
    <row r="84" spans="1:10" ht="15">
      <c r="A84" s="46"/>
      <c r="B84" s="47" t="str">
        <f t="shared" si="3"/>
        <v/>
      </c>
      <c r="C84" s="48"/>
      <c r="D84" s="49"/>
      <c r="E84" s="49"/>
      <c r="F84" s="49"/>
      <c r="G84" s="49"/>
      <c r="H84" s="50" t="str">
        <f>IF($B84="","",IF($J84="X",B84,CONCATENATE(VLOOKUP(B84,Competitors!$A$2:$I$650,3,FALSE)," ",VLOOKUP(B84,Competitors!$A$2:$I$650,2,FALSE))))</f>
        <v/>
      </c>
      <c r="I84" s="51">
        <f t="shared" si="4"/>
        <v>0</v>
      </c>
      <c r="J84" t="str">
        <f t="shared" si="5"/>
        <v/>
      </c>
    </row>
    <row r="85" spans="1:10" ht="15">
      <c r="A85" s="46"/>
      <c r="B85" s="47" t="str">
        <f t="shared" si="3"/>
        <v/>
      </c>
      <c r="C85" s="48"/>
      <c r="D85" s="49"/>
      <c r="E85" s="49"/>
      <c r="F85" s="49"/>
      <c r="G85" s="49"/>
      <c r="H85" s="50" t="str">
        <f>IF($B85="","",IF($J85="X",B85,CONCATENATE(VLOOKUP(B85,Competitors!$A$2:$I$650,3,FALSE)," ",VLOOKUP(B85,Competitors!$A$2:$I$650,2,FALSE))))</f>
        <v/>
      </c>
      <c r="I85" s="51">
        <f t="shared" si="4"/>
        <v>0</v>
      </c>
      <c r="J85" t="str">
        <f t="shared" si="5"/>
        <v/>
      </c>
    </row>
    <row r="86" spans="1:10" ht="15">
      <c r="A86" s="46"/>
      <c r="B86" s="47" t="str">
        <f t="shared" si="3"/>
        <v/>
      </c>
      <c r="C86" s="48"/>
      <c r="D86" s="49"/>
      <c r="E86" s="49"/>
      <c r="F86" s="49"/>
      <c r="G86" s="49"/>
      <c r="H86" s="50" t="str">
        <f>IF($B86="","",IF($J86="X",B86,CONCATENATE(VLOOKUP(B86,Competitors!$A$2:$I$650,3,FALSE)," ",VLOOKUP(B86,Competitors!$A$2:$I$650,2,FALSE))))</f>
        <v/>
      </c>
      <c r="I86" s="51">
        <f t="shared" si="4"/>
        <v>0</v>
      </c>
      <c r="J86" t="str">
        <f t="shared" si="5"/>
        <v/>
      </c>
    </row>
    <row r="87" spans="1:10" ht="15">
      <c r="A87" s="46"/>
      <c r="B87" s="47" t="str">
        <f t="shared" si="3"/>
        <v/>
      </c>
      <c r="C87" s="48"/>
      <c r="D87" s="49"/>
      <c r="E87" s="49"/>
      <c r="F87" s="49"/>
      <c r="G87" s="49"/>
      <c r="H87" s="50" t="str">
        <f>IF($B87="","",IF($J87="X",B87,CONCATENATE(VLOOKUP(B87,Competitors!$A$2:$I$650,3,FALSE)," ",VLOOKUP(B87,Competitors!$A$2:$I$650,2,FALSE))))</f>
        <v/>
      </c>
      <c r="I87" s="51">
        <f t="shared" si="4"/>
        <v>0</v>
      </c>
      <c r="J87" t="str">
        <f t="shared" si="5"/>
        <v/>
      </c>
    </row>
    <row r="88" spans="1:10" ht="15">
      <c r="A88" s="46"/>
      <c r="B88" s="47" t="str">
        <f t="shared" si="3"/>
        <v/>
      </c>
      <c r="C88" s="48"/>
      <c r="D88" s="49"/>
      <c r="E88" s="49"/>
      <c r="F88" s="49"/>
      <c r="G88" s="49"/>
      <c r="H88" s="50" t="str">
        <f>IF($B88="","",IF($J88="X",B88,CONCATENATE(VLOOKUP(B88,Competitors!$A$2:$I$650,3,FALSE)," ",VLOOKUP(B88,Competitors!$A$2:$I$650,2,FALSE))))</f>
        <v/>
      </c>
      <c r="I88" s="51">
        <f t="shared" si="4"/>
        <v>0</v>
      </c>
      <c r="J88" t="str">
        <f t="shared" si="5"/>
        <v/>
      </c>
    </row>
    <row r="89" spans="1:10" ht="15">
      <c r="A89" s="46"/>
      <c r="B89" s="47" t="str">
        <f t="shared" si="3"/>
        <v/>
      </c>
      <c r="C89" s="48"/>
      <c r="D89" s="49"/>
      <c r="E89" s="49"/>
      <c r="F89" s="49"/>
      <c r="G89" s="49"/>
      <c r="H89" s="50" t="str">
        <f>IF($B89="","",IF($J89="X",B89,CONCATENATE(VLOOKUP(B89,Competitors!$A$2:$I$650,3,FALSE)," ",VLOOKUP(B89,Competitors!$A$2:$I$650,2,FALSE))))</f>
        <v/>
      </c>
      <c r="I89" s="51">
        <f t="shared" si="4"/>
        <v>0</v>
      </c>
      <c r="J89" t="str">
        <f t="shared" si="5"/>
        <v/>
      </c>
    </row>
    <row r="90" spans="1:10" ht="15">
      <c r="A90" s="46"/>
      <c r="B90" s="47" t="str">
        <f t="shared" si="3"/>
        <v/>
      </c>
      <c r="C90" s="48"/>
      <c r="D90" s="49"/>
      <c r="E90" s="49"/>
      <c r="F90" s="49"/>
      <c r="G90" s="49"/>
      <c r="H90" s="50" t="str">
        <f>IF($B90="","",IF($J90="X",B90,CONCATENATE(VLOOKUP(B90,Competitors!$A$2:$I$650,3,FALSE)," ",VLOOKUP(B90,Competitors!$A$2:$I$650,2,FALSE))))</f>
        <v/>
      </c>
      <c r="I90" s="51">
        <f t="shared" si="4"/>
        <v>0</v>
      </c>
      <c r="J90" t="str">
        <f t="shared" si="5"/>
        <v/>
      </c>
    </row>
    <row r="91" spans="1:10" ht="15">
      <c r="A91" s="46"/>
      <c r="B91" s="47" t="str">
        <f t="shared" si="3"/>
        <v/>
      </c>
      <c r="C91" s="48"/>
      <c r="D91" s="49"/>
      <c r="E91" s="49"/>
      <c r="F91" s="49"/>
      <c r="G91" s="49"/>
      <c r="H91" s="50" t="str">
        <f>IF($B91="","",IF($J91="X",B91,CONCATENATE(VLOOKUP(B91,Competitors!$A$2:$I$650,3,FALSE)," ",VLOOKUP(B91,Competitors!$A$2:$I$650,2,FALSE))))</f>
        <v/>
      </c>
      <c r="I91" s="51">
        <f t="shared" si="4"/>
        <v>0</v>
      </c>
      <c r="J91" t="str">
        <f t="shared" si="5"/>
        <v/>
      </c>
    </row>
    <row r="92" spans="1:10" ht="15">
      <c r="A92" s="46"/>
      <c r="B92" s="47" t="str">
        <f t="shared" si="3"/>
        <v/>
      </c>
      <c r="C92" s="48"/>
      <c r="D92" s="49"/>
      <c r="E92" s="49"/>
      <c r="F92" s="49"/>
      <c r="G92" s="49"/>
      <c r="H92" s="50" t="str">
        <f>IF($B92="","",IF($J92="X",B92,CONCATENATE(VLOOKUP(B92,Competitors!$A$2:$I$650,3,FALSE)," ",VLOOKUP(B92,Competitors!$A$2:$I$650,2,FALSE))))</f>
        <v/>
      </c>
      <c r="I92" s="51">
        <f t="shared" si="4"/>
        <v>0</v>
      </c>
      <c r="J92" t="str">
        <f t="shared" si="5"/>
        <v/>
      </c>
    </row>
    <row r="93" spans="1:10" ht="15">
      <c r="A93" s="46"/>
      <c r="B93" s="47" t="str">
        <f t="shared" si="3"/>
        <v/>
      </c>
      <c r="C93" s="48"/>
      <c r="D93" s="49"/>
      <c r="E93" s="49"/>
      <c r="F93" s="49"/>
      <c r="G93" s="49"/>
      <c r="H93" s="50" t="str">
        <f>IF($B93="","",IF($J93="X",B93,CONCATENATE(VLOOKUP(B93,Competitors!$A$2:$I$650,3,FALSE)," ",VLOOKUP(B93,Competitors!$A$2:$I$650,2,FALSE))))</f>
        <v/>
      </c>
      <c r="I93" s="51">
        <f t="shared" si="4"/>
        <v>0</v>
      </c>
      <c r="J93" t="str">
        <f t="shared" si="5"/>
        <v/>
      </c>
    </row>
    <row r="94" spans="1:10" ht="15">
      <c r="A94" s="46"/>
      <c r="B94" s="47" t="str">
        <f t="shared" si="3"/>
        <v/>
      </c>
      <c r="C94" s="48"/>
      <c r="D94" s="49"/>
      <c r="E94" s="49"/>
      <c r="F94" s="49"/>
      <c r="G94" s="49"/>
      <c r="H94" s="50" t="str">
        <f>IF($B94="","",IF($J94="X",B94,CONCATENATE(VLOOKUP(B94,Competitors!$A$2:$I$650,3,FALSE)," ",VLOOKUP(B94,Competitors!$A$2:$I$650,2,FALSE))))</f>
        <v/>
      </c>
      <c r="I94" s="51">
        <f t="shared" si="4"/>
        <v>0</v>
      </c>
      <c r="J94" t="str">
        <f t="shared" si="5"/>
        <v/>
      </c>
    </row>
    <row r="95" spans="1:10" ht="15">
      <c r="A95" s="46"/>
      <c r="B95" s="47" t="str">
        <f t="shared" si="3"/>
        <v/>
      </c>
      <c r="C95" s="48"/>
      <c r="D95" s="49"/>
      <c r="E95" s="49"/>
      <c r="F95" s="49"/>
      <c r="G95" s="49"/>
      <c r="H95" s="50" t="str">
        <f>IF($B95="","",IF($J95="X",B95,CONCATENATE(VLOOKUP(B95,Competitors!$A$2:$I$650,3,FALSE)," ",VLOOKUP(B95,Competitors!$A$2:$I$650,2,FALSE))))</f>
        <v/>
      </c>
      <c r="I95" s="51">
        <f t="shared" si="4"/>
        <v>0</v>
      </c>
      <c r="J95" t="str">
        <f t="shared" si="5"/>
        <v/>
      </c>
    </row>
    <row r="96" spans="1:10" ht="15">
      <c r="A96" s="46"/>
      <c r="B96" s="47" t="str">
        <f t="shared" si="3"/>
        <v/>
      </c>
      <c r="C96" s="48"/>
      <c r="D96" s="49"/>
      <c r="E96" s="49"/>
      <c r="F96" s="49"/>
      <c r="G96" s="49"/>
      <c r="H96" s="50" t="str">
        <f>IF($B96="","",IF($J96="X",B96,CONCATENATE(VLOOKUP(B96,Competitors!$A$2:$I$650,3,FALSE)," ",VLOOKUP(B96,Competitors!$A$2:$I$650,2,FALSE))))</f>
        <v/>
      </c>
      <c r="I96" s="51">
        <f t="shared" si="4"/>
        <v>0</v>
      </c>
      <c r="J96" t="str">
        <f t="shared" si="5"/>
        <v/>
      </c>
    </row>
    <row r="97" spans="1:10" ht="15">
      <c r="A97" s="46"/>
      <c r="B97" s="47" t="str">
        <f t="shared" si="3"/>
        <v/>
      </c>
      <c r="C97" s="48"/>
      <c r="D97" s="49"/>
      <c r="E97" s="49"/>
      <c r="F97" s="49"/>
      <c r="G97" s="4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Event_13</v>
      </c>
    </row>
    <row r="104" spans="1:10">
      <c r="B104" t="s">
        <v>552</v>
      </c>
      <c r="C104" t="str">
        <f ca="1">_xlfn.XLOOKUP(C103,Calendar!O:O,Calendar!H:H,"Event is not in calendar")</f>
        <v/>
      </c>
    </row>
  </sheetData>
  <autoFilter ref="A1:J101" xr:uid="{00000000-0001-0000-1F00-000000000000}"/>
  <conditionalFormatting sqref="E2:E101">
    <cfRule type="expression" dxfId="45" priority="3">
      <formula>TEXT($C$104,"@")="Y"</formula>
    </cfRule>
  </conditionalFormatting>
  <conditionalFormatting sqref="H2:I101">
    <cfRule type="expression" dxfId="44" priority="2">
      <formula>$J2="X"</formula>
    </cfRule>
  </conditionalFormatting>
  <conditionalFormatting sqref="I2:I101">
    <cfRule type="expression" dxfId="43" priority="1">
      <formula>TEXT($C$104,"@")="Y"</formula>
    </cfRule>
  </conditionalFormatting>
  <pageMargins left="0.7" right="0.7" top="0.75" bottom="0.75" header="0.3" footer="0.3"/>
  <pageSetup paperSize="9" orientation="portrait"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4"/>
  <dimension ref="A1:J104"/>
  <sheetViews>
    <sheetView workbookViewId="0">
      <selection activeCell="B26" sqref="B26"/>
    </sheetView>
    <sheetView workbookViewId="1"/>
  </sheetViews>
  <sheetFormatPr defaultColWidth="9.1328125" defaultRowHeight="12.75"/>
  <cols>
    <col min="1" max="1" width="24.1328125" bestFit="1" customWidth="1"/>
    <col min="2" max="2" width="41.86328125" bestFit="1" customWidth="1"/>
    <col min="3" max="5" width="4.796875" customWidth="1"/>
    <col min="6" max="7" width="11.1328125" customWidth="1"/>
    <col min="8" max="8" width="31.86328125" bestFit="1" customWidth="1"/>
    <col min="9" max="9" width="14.6640625" style="38" bestFit="1" customWidth="1"/>
    <col min="10" max="10" width="4.46484375"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780</v>
      </c>
      <c r="B2" s="47" t="str">
        <f t="shared" ref="B2:B32" si="0">IF(A2="","",_xlfn.XLOOKUP(A2,ClubNames,ClubNumbers,_xlfn.XLOOKUP(A2,RoundRobinRiderNames,RoundRobinRiderDecoratedNames,A2)))</f>
        <v>Geoff Stanbridge (Fenland Clarion) (Ratae)</v>
      </c>
      <c r="C2" s="48"/>
      <c r="D2" s="49">
        <v>40</v>
      </c>
      <c r="E2" s="49">
        <v>37</v>
      </c>
      <c r="F2" s="49" t="s">
        <v>544</v>
      </c>
      <c r="G2" s="49"/>
      <c r="H2" s="50" t="str">
        <f>IF($B2="","",IF($J2="X",B2,CONCATENATE(VLOOKUP(B2,Competitors!$A$2:$I$650,3,FALSE)," ",VLOOKUP(B2,Competitors!$A$2:$I$650,2,FALSE))))</f>
        <v>Geoff Stanbridge (Fenland Clarion) (Ratae)</v>
      </c>
      <c r="I2" s="51">
        <f t="shared" ref="I2:I32" si="1">IF(LEFT($F2,1)="D",UPPER($F2),(C2*3600+D2*60+E2)/86400)</f>
        <v>2.8206018518518519E-2</v>
      </c>
      <c r="J2" t="str">
        <f t="shared" ref="J2:J32" si="2">IF(OR(B2="",ISNUMBER(B2)),"","X")</f>
        <v>X</v>
      </c>
    </row>
    <row r="3" spans="1:10" ht="15">
      <c r="A3" s="46" t="s">
        <v>444</v>
      </c>
      <c r="B3" s="47">
        <f t="shared" si="0"/>
        <v>1386</v>
      </c>
      <c r="C3" s="48"/>
      <c r="D3" s="49">
        <v>29</v>
      </c>
      <c r="E3" s="49">
        <v>6</v>
      </c>
      <c r="F3" s="49" t="s">
        <v>544</v>
      </c>
      <c r="G3" s="49"/>
      <c r="H3" s="50" t="str">
        <f>IF($B3="","",IF($J3="X",B3,CONCATENATE(VLOOKUP(B3,Competitors!$A$2:$I$650,3,FALSE)," ",VLOOKUP(B3,Competitors!$A$2:$I$650,2,FALSE))))</f>
        <v>Mea Moore</v>
      </c>
      <c r="I3" s="51">
        <f t="shared" si="1"/>
        <v>2.0208333333333332E-2</v>
      </c>
      <c r="J3" t="str">
        <f t="shared" si="2"/>
        <v/>
      </c>
    </row>
    <row r="4" spans="1:10" ht="15">
      <c r="A4" s="46" t="s">
        <v>616</v>
      </c>
      <c r="B4" s="47">
        <f t="shared" si="0"/>
        <v>990</v>
      </c>
      <c r="C4" s="48"/>
      <c r="D4" s="49">
        <v>32</v>
      </c>
      <c r="E4" s="49">
        <v>57</v>
      </c>
      <c r="F4" s="49" t="s">
        <v>544</v>
      </c>
      <c r="G4" s="49"/>
      <c r="H4" s="50" t="str">
        <f>IF($B4="","",IF($J4="X",B4,CONCATENATE(VLOOKUP(B4,Competitors!$A$2:$I$650,3,FALSE)," ",VLOOKUP(B4,Competitors!$A$2:$I$650,2,FALSE))))</f>
        <v>Jen Hulme</v>
      </c>
      <c r="I4" s="51">
        <f t="shared" si="1"/>
        <v>2.2881944444444444E-2</v>
      </c>
      <c r="J4" t="str">
        <f t="shared" si="2"/>
        <v/>
      </c>
    </row>
    <row r="5" spans="1:10" ht="15">
      <c r="A5" s="46" t="s">
        <v>617</v>
      </c>
      <c r="B5" s="47" t="str">
        <f t="shared" si="0"/>
        <v>Michael Wheeler (KCC)</v>
      </c>
      <c r="C5" s="48"/>
      <c r="D5" s="49"/>
      <c r="E5" s="49"/>
      <c r="F5" s="49" t="s">
        <v>544</v>
      </c>
      <c r="G5" s="49" t="s">
        <v>553</v>
      </c>
      <c r="H5" s="50" t="str">
        <f>IF($B5="","",IF($J5="X",B5,CONCATENATE(VLOOKUP(B5,Competitors!$A$2:$I$650,3,FALSE)," ",VLOOKUP(B5,Competitors!$A$2:$I$650,2,FALSE))))</f>
        <v>Michael Wheeler (KCC)</v>
      </c>
      <c r="I5" s="51">
        <f t="shared" si="1"/>
        <v>0</v>
      </c>
      <c r="J5" t="str">
        <f t="shared" si="2"/>
        <v>X</v>
      </c>
    </row>
    <row r="6" spans="1:10" ht="15">
      <c r="A6" s="46" t="s">
        <v>459</v>
      </c>
      <c r="B6" s="47">
        <f t="shared" si="0"/>
        <v>742</v>
      </c>
      <c r="C6" s="48"/>
      <c r="D6" s="49">
        <v>33</v>
      </c>
      <c r="E6" s="49">
        <v>3</v>
      </c>
      <c r="F6" s="49" t="s">
        <v>544</v>
      </c>
      <c r="G6" s="49"/>
      <c r="H6" s="50" t="str">
        <f>IF($B6="","",IF($J6="X",B6,CONCATENATE(VLOOKUP(B6,Competitors!$A$2:$I$650,3,FALSE)," ",VLOOKUP(B6,Competitors!$A$2:$I$650,2,FALSE))))</f>
        <v>Claire Moore</v>
      </c>
      <c r="I6" s="51">
        <f t="shared" si="1"/>
        <v>2.2951388888888889E-2</v>
      </c>
      <c r="J6" t="str">
        <f t="shared" si="2"/>
        <v/>
      </c>
    </row>
    <row r="7" spans="1:10" ht="15">
      <c r="A7" s="46" t="s">
        <v>447</v>
      </c>
      <c r="B7" s="47">
        <f t="shared" si="0"/>
        <v>1194</v>
      </c>
      <c r="C7" s="48"/>
      <c r="D7" s="49">
        <v>30</v>
      </c>
      <c r="E7" s="49">
        <v>46</v>
      </c>
      <c r="F7" s="49" t="s">
        <v>544</v>
      </c>
      <c r="G7" s="49"/>
      <c r="H7" s="50" t="str">
        <f>IF($B7="","",IF($J7="X",B7,CONCATENATE(VLOOKUP(B7,Competitors!$A$2:$I$650,3,FALSE)," ",VLOOKUP(B7,Competitors!$A$2:$I$650,2,FALSE))))</f>
        <v>Alex Hardwicke</v>
      </c>
      <c r="I7" s="51">
        <f t="shared" si="1"/>
        <v>2.1365740740740741E-2</v>
      </c>
      <c r="J7" t="str">
        <f t="shared" si="2"/>
        <v/>
      </c>
    </row>
    <row r="8" spans="1:10" ht="15">
      <c r="A8" s="46" t="s">
        <v>452</v>
      </c>
      <c r="B8" s="47">
        <f t="shared" si="0"/>
        <v>1404</v>
      </c>
      <c r="C8" s="48"/>
      <c r="D8" s="49">
        <v>32</v>
      </c>
      <c r="E8" s="49">
        <v>14</v>
      </c>
      <c r="F8" s="49"/>
      <c r="G8" s="49"/>
      <c r="H8" s="50" t="str">
        <f>IF($B8="","",IF($J8="X",B8,CONCATENATE(VLOOKUP(B8,Competitors!$A$2:$I$650,3,FALSE)," ",VLOOKUP(B8,Competitors!$A$2:$I$650,2,FALSE))))</f>
        <v>Millie Lenehan</v>
      </c>
      <c r="I8" s="51">
        <f t="shared" si="1"/>
        <v>2.238425925925926E-2</v>
      </c>
      <c r="J8" t="str">
        <f t="shared" si="2"/>
        <v/>
      </c>
    </row>
    <row r="9" spans="1:10" ht="15">
      <c r="A9" s="46" t="s">
        <v>446</v>
      </c>
      <c r="B9" s="47">
        <f t="shared" si="0"/>
        <v>1379</v>
      </c>
      <c r="C9" s="48"/>
      <c r="D9" s="49">
        <v>29</v>
      </c>
      <c r="E9" s="49">
        <v>30</v>
      </c>
      <c r="F9" s="49" t="s">
        <v>544</v>
      </c>
      <c r="G9" s="49"/>
      <c r="H9" s="50" t="str">
        <f>IF($B9="","",IF($J9="X",B9,CONCATENATE(VLOOKUP(B9,Competitors!$A$2:$I$650,3,FALSE)," ",VLOOKUP(B9,Competitors!$A$2:$I$650,2,FALSE))))</f>
        <v>Michaela Latham</v>
      </c>
      <c r="I9" s="51">
        <f t="shared" si="1"/>
        <v>2.0486111111111111E-2</v>
      </c>
      <c r="J9" t="str">
        <f t="shared" si="2"/>
        <v/>
      </c>
    </row>
    <row r="10" spans="1:10" ht="15">
      <c r="A10" s="46" t="s">
        <v>585</v>
      </c>
      <c r="B10" s="47" t="str">
        <f t="shared" si="0"/>
        <v>Maria Cayford (KCC)</v>
      </c>
      <c r="C10" s="48"/>
      <c r="D10" s="49">
        <v>30</v>
      </c>
      <c r="E10" s="49">
        <v>33</v>
      </c>
      <c r="F10" s="49"/>
      <c r="G10" s="49"/>
      <c r="H10" s="50" t="str">
        <f>IF($B10="","",IF($J10="X",B10,CONCATENATE(VLOOKUP(B10,Competitors!$A$2:$I$650,3,FALSE)," ",VLOOKUP(B10,Competitors!$A$2:$I$650,2,FALSE))))</f>
        <v>Maria Cayford (KCC)</v>
      </c>
      <c r="I10" s="51">
        <f t="shared" si="1"/>
        <v>2.1215277777777777E-2</v>
      </c>
      <c r="J10" t="str">
        <f t="shared" si="2"/>
        <v>X</v>
      </c>
    </row>
    <row r="11" spans="1:10" ht="15">
      <c r="A11" s="46" t="s">
        <v>429</v>
      </c>
      <c r="B11" s="47">
        <f t="shared" si="0"/>
        <v>1107</v>
      </c>
      <c r="C11" s="48"/>
      <c r="D11" s="49">
        <v>26</v>
      </c>
      <c r="E11" s="49">
        <v>53</v>
      </c>
      <c r="F11" s="49"/>
      <c r="G11" s="49"/>
      <c r="H11" s="50" t="str">
        <f>IF($B11="","",IF($J11="X",B11,CONCATENATE(VLOOKUP(B11,Competitors!$A$2:$I$650,3,FALSE)," ",VLOOKUP(B11,Competitors!$A$2:$I$650,2,FALSE))))</f>
        <v>Milly Pinnock</v>
      </c>
      <c r="I11" s="51">
        <f t="shared" si="1"/>
        <v>1.8668981481481481E-2</v>
      </c>
      <c r="J11" t="str">
        <f t="shared" si="2"/>
        <v/>
      </c>
    </row>
    <row r="12" spans="1:10" ht="15">
      <c r="A12" s="46" t="s">
        <v>523</v>
      </c>
      <c r="B12" s="47" t="str">
        <f t="shared" si="0"/>
        <v>Lynne Wilkinson-Scofield (RFW)</v>
      </c>
      <c r="C12" s="48"/>
      <c r="D12" s="49">
        <v>30</v>
      </c>
      <c r="E12" s="49">
        <v>13</v>
      </c>
      <c r="F12" s="49"/>
      <c r="G12" s="49"/>
      <c r="H12" s="50" t="str">
        <f>IF($B12="","",IF($J12="X",B12,CONCATENATE(VLOOKUP(B12,Competitors!$A$2:$I$650,3,FALSE)," ",VLOOKUP(B12,Competitors!$A$2:$I$650,2,FALSE))))</f>
        <v>Lynne Wilkinson-Scofield (RFW)</v>
      </c>
      <c r="I12" s="51">
        <f t="shared" si="1"/>
        <v>2.0983796296296296E-2</v>
      </c>
      <c r="J12" t="str">
        <f t="shared" si="2"/>
        <v>X</v>
      </c>
    </row>
    <row r="13" spans="1:10" ht="15">
      <c r="A13" s="46" t="s">
        <v>457</v>
      </c>
      <c r="B13" s="47">
        <f t="shared" si="0"/>
        <v>120</v>
      </c>
      <c r="C13" s="48"/>
      <c r="D13" s="49">
        <v>27</v>
      </c>
      <c r="E13" s="49">
        <v>25</v>
      </c>
      <c r="F13" s="49"/>
      <c r="G13" s="49"/>
      <c r="H13" s="50" t="str">
        <f>IF($B13="","",IF($J13="X",B13,CONCATENATE(VLOOKUP(B13,Competitors!$A$2:$I$650,3,FALSE)," ",VLOOKUP(B13,Competitors!$A$2:$I$650,2,FALSE))))</f>
        <v>Linda Hubbard</v>
      </c>
      <c r="I13" s="51">
        <f t="shared" si="1"/>
        <v>1.9039351851851852E-2</v>
      </c>
      <c r="J13" t="str">
        <f t="shared" si="2"/>
        <v/>
      </c>
    </row>
    <row r="14" spans="1:10" ht="15">
      <c r="A14" s="46" t="s">
        <v>418</v>
      </c>
      <c r="B14" s="47">
        <f t="shared" si="0"/>
        <v>1355</v>
      </c>
      <c r="C14" s="48"/>
      <c r="D14" s="49">
        <v>25</v>
      </c>
      <c r="E14" s="49">
        <v>10</v>
      </c>
      <c r="F14" s="49" t="s">
        <v>544</v>
      </c>
      <c r="G14" s="49"/>
      <c r="H14" s="50" t="str">
        <f>IF($B14="","",IF($J14="X",B14,CONCATENATE(VLOOKUP(B14,Competitors!$A$2:$I$650,3,FALSE)," ",VLOOKUP(B14,Competitors!$A$2:$I$650,2,FALSE))))</f>
        <v>Aubrey Elmer</v>
      </c>
      <c r="I14" s="51">
        <f t="shared" si="1"/>
        <v>1.7476851851851851E-2</v>
      </c>
      <c r="J14" t="str">
        <f t="shared" si="2"/>
        <v/>
      </c>
    </row>
    <row r="15" spans="1:10" ht="15">
      <c r="A15" s="46" t="s">
        <v>437</v>
      </c>
      <c r="B15" s="47">
        <f t="shared" si="0"/>
        <v>1195</v>
      </c>
      <c r="C15" s="48"/>
      <c r="D15" s="49">
        <v>26</v>
      </c>
      <c r="E15" s="49">
        <v>57</v>
      </c>
      <c r="F15" s="49" t="s">
        <v>544</v>
      </c>
      <c r="G15" s="49"/>
      <c r="H15" s="50" t="str">
        <f>IF($B15="","",IF($J15="X",B15,CONCATENATE(VLOOKUP(B15,Competitors!$A$2:$I$650,3,FALSE)," ",VLOOKUP(B15,Competitors!$A$2:$I$650,2,FALSE))))</f>
        <v>Charlie Hardwicke</v>
      </c>
      <c r="I15" s="51">
        <f t="shared" si="1"/>
        <v>1.8715277777777779E-2</v>
      </c>
      <c r="J15" t="str">
        <f t="shared" si="2"/>
        <v/>
      </c>
    </row>
    <row r="16" spans="1:10" ht="15">
      <c r="A16" s="46" t="s">
        <v>431</v>
      </c>
      <c r="B16" s="47">
        <f t="shared" si="0"/>
        <v>1403</v>
      </c>
      <c r="C16" s="48"/>
      <c r="D16" s="49">
        <v>28</v>
      </c>
      <c r="E16" s="49">
        <v>6</v>
      </c>
      <c r="F16" s="49"/>
      <c r="G16" s="49"/>
      <c r="H16" s="50" t="str">
        <f>IF($B16="","",IF($J16="X",B16,CONCATENATE(VLOOKUP(B16,Competitors!$A$2:$I$650,3,FALSE)," ",VLOOKUP(B16,Competitors!$A$2:$I$650,2,FALSE))))</f>
        <v>Toby Lenehan</v>
      </c>
      <c r="I16" s="51">
        <f t="shared" si="1"/>
        <v>1.951388888888889E-2</v>
      </c>
      <c r="J16" t="str">
        <f t="shared" si="2"/>
        <v/>
      </c>
    </row>
    <row r="17" spans="1:10" ht="15">
      <c r="A17" s="46" t="s">
        <v>691</v>
      </c>
      <c r="B17" s="47" t="str">
        <f t="shared" si="0"/>
        <v>Paul Akroyd (VTTA E.Mids)</v>
      </c>
      <c r="C17" s="48"/>
      <c r="D17" s="49">
        <v>27</v>
      </c>
      <c r="E17" s="49">
        <v>25</v>
      </c>
      <c r="F17" s="49" t="s">
        <v>544</v>
      </c>
      <c r="G17" s="49"/>
      <c r="H17" s="50" t="str">
        <f>IF($B17="","",IF($J17="X",B17,CONCATENATE(VLOOKUP(B17,Competitors!$A$2:$I$650,3,FALSE)," ",VLOOKUP(B17,Competitors!$A$2:$I$650,2,FALSE))))</f>
        <v>Paul Akroyd (VTTA E.Mids)</v>
      </c>
      <c r="I17" s="51">
        <f t="shared" si="1"/>
        <v>1.9039351851851852E-2</v>
      </c>
      <c r="J17" t="str">
        <f t="shared" si="2"/>
        <v>X</v>
      </c>
    </row>
    <row r="18" spans="1:10" ht="15">
      <c r="A18" s="46" t="s">
        <v>443</v>
      </c>
      <c r="B18" s="47">
        <f t="shared" si="0"/>
        <v>1193</v>
      </c>
      <c r="C18" s="48"/>
      <c r="D18" s="49">
        <v>28</v>
      </c>
      <c r="E18" s="49">
        <v>44</v>
      </c>
      <c r="F18" s="49" t="s">
        <v>544</v>
      </c>
      <c r="G18" s="49"/>
      <c r="H18" s="50" t="str">
        <f>IF($B18="","",IF($J18="X",B18,CONCATENATE(VLOOKUP(B18,Competitors!$A$2:$I$650,3,FALSE)," ",VLOOKUP(B18,Competitors!$A$2:$I$650,2,FALSE))))</f>
        <v>Richard Hardwicke</v>
      </c>
      <c r="I18" s="51">
        <f t="shared" si="1"/>
        <v>1.9953703703703703E-2</v>
      </c>
      <c r="J18" t="str">
        <f t="shared" si="2"/>
        <v/>
      </c>
    </row>
    <row r="19" spans="1:10" ht="15">
      <c r="A19" s="46" t="s">
        <v>618</v>
      </c>
      <c r="B19" s="47" t="str">
        <f t="shared" si="0"/>
        <v>Ian Bird (KCC)</v>
      </c>
      <c r="C19" s="48"/>
      <c r="D19" s="49">
        <v>28</v>
      </c>
      <c r="E19" s="49">
        <v>59</v>
      </c>
      <c r="F19" s="49" t="s">
        <v>544</v>
      </c>
      <c r="G19" s="49"/>
      <c r="H19" s="50" t="str">
        <f>IF($B19="","",IF($J19="X",B19,CONCATENATE(VLOOKUP(B19,Competitors!$A$2:$I$650,3,FALSE)," ",VLOOKUP(B19,Competitors!$A$2:$I$650,2,FALSE))))</f>
        <v>Ian Bird (KCC)</v>
      </c>
      <c r="I19" s="51">
        <f t="shared" si="1"/>
        <v>2.0127314814814813E-2</v>
      </c>
      <c r="J19" t="str">
        <f t="shared" si="2"/>
        <v>X</v>
      </c>
    </row>
    <row r="20" spans="1:10" ht="15">
      <c r="A20" s="46" t="s">
        <v>458</v>
      </c>
      <c r="B20" s="47">
        <f t="shared" si="0"/>
        <v>715</v>
      </c>
      <c r="C20" s="48"/>
      <c r="D20" s="49">
        <v>28</v>
      </c>
      <c r="E20" s="49">
        <v>27</v>
      </c>
      <c r="F20" s="49"/>
      <c r="G20" s="49"/>
      <c r="H20" s="50" t="str">
        <f>IF($B20="","",IF($J20="X",B20,CONCATENATE(VLOOKUP(B20,Competitors!$A$2:$I$650,3,FALSE)," ",VLOOKUP(B20,Competitors!$A$2:$I$650,2,FALSE))))</f>
        <v>Steven Coulam</v>
      </c>
      <c r="I20" s="51">
        <f t="shared" si="1"/>
        <v>1.9756944444444445E-2</v>
      </c>
      <c r="J20" t="str">
        <f t="shared" si="2"/>
        <v/>
      </c>
    </row>
    <row r="21" spans="1:10" ht="15">
      <c r="A21" s="46" t="s">
        <v>501</v>
      </c>
      <c r="B21" s="47" t="str">
        <f t="shared" si="0"/>
        <v>Chris Bonsor (Ratae)</v>
      </c>
      <c r="C21" s="48"/>
      <c r="D21" s="49">
        <v>26</v>
      </c>
      <c r="E21" s="49">
        <v>29</v>
      </c>
      <c r="F21" s="49"/>
      <c r="G21" s="49"/>
      <c r="H21" s="50" t="str">
        <f>IF($B21="","",IF($J21="X",B21,CONCATENATE(VLOOKUP(B21,Competitors!$A$2:$I$650,3,FALSE)," ",VLOOKUP(B21,Competitors!$A$2:$I$650,2,FALSE))))</f>
        <v>Chris Bonsor (Ratae)</v>
      </c>
      <c r="I21" s="51">
        <f t="shared" si="1"/>
        <v>1.8391203703703705E-2</v>
      </c>
      <c r="J21" t="str">
        <f t="shared" si="2"/>
        <v>X</v>
      </c>
    </row>
    <row r="22" spans="1:10" ht="15">
      <c r="A22" s="46" t="s">
        <v>509</v>
      </c>
      <c r="B22" s="47" t="str">
        <f t="shared" si="0"/>
        <v>Mark Newton (Ratae)</v>
      </c>
      <c r="C22" s="48"/>
      <c r="D22" s="49">
        <v>25</v>
      </c>
      <c r="E22" s="49">
        <v>59</v>
      </c>
      <c r="F22" s="49"/>
      <c r="G22" s="49"/>
      <c r="H22" s="50" t="str">
        <f>IF($B22="","",IF($J22="X",B22,CONCATENATE(VLOOKUP(B22,Competitors!$A$2:$I$650,3,FALSE)," ",VLOOKUP(B22,Competitors!$A$2:$I$650,2,FALSE))))</f>
        <v>Mark Newton (Ratae)</v>
      </c>
      <c r="I22" s="51">
        <f t="shared" si="1"/>
        <v>1.804398148148148E-2</v>
      </c>
      <c r="J22" t="str">
        <f t="shared" si="2"/>
        <v>X</v>
      </c>
    </row>
    <row r="23" spans="1:10" ht="15">
      <c r="A23" s="46" t="s">
        <v>512</v>
      </c>
      <c r="B23" s="47" t="str">
        <f t="shared" si="0"/>
        <v>Paul Eden (Ratae)</v>
      </c>
      <c r="C23" s="48"/>
      <c r="D23" s="49">
        <v>32</v>
      </c>
      <c r="E23" s="49">
        <v>7</v>
      </c>
      <c r="F23" s="49" t="s">
        <v>544</v>
      </c>
      <c r="G23" s="49"/>
      <c r="H23" s="50" t="str">
        <f>IF($B23="","",IF($J23="X",B23,CONCATENATE(VLOOKUP(B23,Competitors!$A$2:$I$650,3,FALSE)," ",VLOOKUP(B23,Competitors!$A$2:$I$650,2,FALSE))))</f>
        <v>Paul Eden (Ratae)</v>
      </c>
      <c r="I23" s="51">
        <f t="shared" si="1"/>
        <v>2.2303240740740742E-2</v>
      </c>
      <c r="J23" t="str">
        <f t="shared" si="2"/>
        <v>X</v>
      </c>
    </row>
    <row r="24" spans="1:10" ht="15">
      <c r="A24" s="46" t="s">
        <v>435</v>
      </c>
      <c r="B24" s="47">
        <f t="shared" si="0"/>
        <v>846</v>
      </c>
      <c r="C24" s="48"/>
      <c r="D24" s="49">
        <v>26</v>
      </c>
      <c r="E24" s="49">
        <v>49</v>
      </c>
      <c r="F24" s="49"/>
      <c r="G24" s="49"/>
      <c r="H24" s="50" t="str">
        <f>IF($B24="","",IF($J24="X",B24,CONCATENATE(VLOOKUP(B24,Competitors!$A$2:$I$650,3,FALSE)," ",VLOOKUP(B24,Competitors!$A$2:$I$650,2,FALSE))))</f>
        <v>Roger Kockelbergh</v>
      </c>
      <c r="I24" s="51">
        <f t="shared" si="1"/>
        <v>1.8622685185185187E-2</v>
      </c>
      <c r="J24" t="str">
        <f t="shared" si="2"/>
        <v/>
      </c>
    </row>
    <row r="25" spans="1:10" ht="15">
      <c r="A25" s="46" t="s">
        <v>428</v>
      </c>
      <c r="B25" s="47">
        <f t="shared" si="0"/>
        <v>1237</v>
      </c>
      <c r="C25" s="48"/>
      <c r="D25" s="49">
        <v>26</v>
      </c>
      <c r="E25" s="49">
        <v>16</v>
      </c>
      <c r="F25" s="49" t="s">
        <v>544</v>
      </c>
      <c r="G25" s="49"/>
      <c r="H25" s="50" t="str">
        <f>IF($B25="","",IF($J25="X",B25,CONCATENATE(VLOOKUP(B25,Competitors!$A$2:$I$650,3,FALSE)," ",VLOOKUP(B25,Competitors!$A$2:$I$650,2,FALSE))))</f>
        <v>John Abbott</v>
      </c>
      <c r="I25" s="51">
        <f t="shared" si="1"/>
        <v>1.8240740740740741E-2</v>
      </c>
      <c r="J25" t="str">
        <f t="shared" si="2"/>
        <v/>
      </c>
    </row>
    <row r="26" spans="1:10" ht="15">
      <c r="A26" s="46" t="s">
        <v>789</v>
      </c>
      <c r="B26" s="47" t="str">
        <f t="shared" si="0"/>
        <v>Evan Collett (George Fox CS) (KCC)</v>
      </c>
      <c r="C26" s="48"/>
      <c r="D26" s="49">
        <v>25</v>
      </c>
      <c r="E26" s="49">
        <v>9</v>
      </c>
      <c r="F26" s="49"/>
      <c r="G26" s="49"/>
      <c r="H26" s="50" t="str">
        <f>IF($B26="","",IF($J26="X",B26,CONCATENATE(VLOOKUP(B26,Competitors!$A$2:$I$650,3,FALSE)," ",VLOOKUP(B26,Competitors!$A$2:$I$650,2,FALSE))))</f>
        <v>Evan Collett (George Fox CS) (KCC)</v>
      </c>
      <c r="I26" s="51">
        <f t="shared" si="1"/>
        <v>1.7465277777777777E-2</v>
      </c>
      <c r="J26" t="str">
        <f t="shared" si="2"/>
        <v>X</v>
      </c>
    </row>
    <row r="27" spans="1:10" ht="15">
      <c r="A27" s="46" t="s">
        <v>416</v>
      </c>
      <c r="B27" s="47">
        <f t="shared" si="0"/>
        <v>38</v>
      </c>
      <c r="C27" s="48"/>
      <c r="D27" s="49">
        <v>25</v>
      </c>
      <c r="E27" s="49">
        <v>25</v>
      </c>
      <c r="F27" s="49"/>
      <c r="G27" s="49"/>
      <c r="H27" s="50" t="str">
        <f>IF($B27="","",IF($J27="X",B27,CONCATENATE(VLOOKUP(B27,Competitors!$A$2:$I$650,3,FALSE)," ",VLOOKUP(B27,Competitors!$A$2:$I$650,2,FALSE))))</f>
        <v>Phil Rayner</v>
      </c>
      <c r="I27" s="51">
        <f t="shared" si="1"/>
        <v>1.7650462962962962E-2</v>
      </c>
      <c r="J27" t="str">
        <f t="shared" si="2"/>
        <v/>
      </c>
    </row>
    <row r="28" spans="1:10" ht="15">
      <c r="A28" s="46" t="s">
        <v>576</v>
      </c>
      <c r="B28" s="47">
        <f t="shared" si="0"/>
        <v>741</v>
      </c>
      <c r="C28" s="48"/>
      <c r="D28" s="49">
        <v>24</v>
      </c>
      <c r="E28" s="49">
        <v>24</v>
      </c>
      <c r="F28" s="49" t="s">
        <v>544</v>
      </c>
      <c r="G28" s="49"/>
      <c r="H28" s="50" t="str">
        <f>IF($B28="","",IF($J28="X",B28,CONCATENATE(VLOOKUP(B28,Competitors!$A$2:$I$650,3,FALSE)," ",VLOOKUP(B28,Competitors!$A$2:$I$650,2,FALSE))))</f>
        <v>Rob Moore</v>
      </c>
      <c r="I28" s="51">
        <f t="shared" si="1"/>
        <v>1.6944444444444446E-2</v>
      </c>
      <c r="J28" t="str">
        <f t="shared" si="2"/>
        <v/>
      </c>
    </row>
    <row r="29" spans="1:10" ht="15">
      <c r="A29" s="46" t="s">
        <v>411</v>
      </c>
      <c r="B29" s="47">
        <f t="shared" si="0"/>
        <v>407</v>
      </c>
      <c r="C29" s="48"/>
      <c r="D29" s="49">
        <v>23</v>
      </c>
      <c r="E29" s="49">
        <v>12</v>
      </c>
      <c r="F29" s="49"/>
      <c r="G29" s="49"/>
      <c r="H29" s="50" t="str">
        <f>IF($B29="","",IF($J29="X",B29,CONCATENATE(VLOOKUP(B29,Competitors!$A$2:$I$650,3,FALSE)," ",VLOOKUP(B29,Competitors!$A$2:$I$650,2,FALSE))))</f>
        <v>Hans van Nierop</v>
      </c>
      <c r="I29" s="51">
        <f t="shared" si="1"/>
        <v>1.6111111111111111E-2</v>
      </c>
      <c r="J29" t="str">
        <f t="shared" si="2"/>
        <v/>
      </c>
    </row>
    <row r="30" spans="1:10" ht="15">
      <c r="A30" s="46" t="s">
        <v>517</v>
      </c>
      <c r="B30" s="47" t="str">
        <f t="shared" si="0"/>
        <v>Chris Fowler (RFW)</v>
      </c>
      <c r="C30" s="48"/>
      <c r="D30" s="49">
        <v>23</v>
      </c>
      <c r="E30" s="49">
        <v>20</v>
      </c>
      <c r="F30" s="49" t="s">
        <v>544</v>
      </c>
      <c r="G30" s="49"/>
      <c r="H30" s="50" t="str">
        <f>IF($B30="","",IF($J30="X",B30,CONCATENATE(VLOOKUP(B30,Competitors!$A$2:$I$650,3,FALSE)," ",VLOOKUP(B30,Competitors!$A$2:$I$650,2,FALSE))))</f>
        <v>Chris Fowler (RFW)</v>
      </c>
      <c r="I30" s="51">
        <f t="shared" si="1"/>
        <v>1.6203703703703703E-2</v>
      </c>
      <c r="J30" t="str">
        <f t="shared" si="2"/>
        <v>X</v>
      </c>
    </row>
    <row r="31" spans="1:10" ht="15">
      <c r="A31" s="46" t="s">
        <v>527</v>
      </c>
      <c r="B31" s="47" t="str">
        <f t="shared" si="0"/>
        <v>Phil Wilkinson (RFW)</v>
      </c>
      <c r="C31" s="48"/>
      <c r="D31" s="49">
        <v>24</v>
      </c>
      <c r="E31" s="49">
        <v>54</v>
      </c>
      <c r="F31" s="49"/>
      <c r="G31" s="49"/>
      <c r="H31" s="50" t="str">
        <f>IF($B31="","",IF($J31="X",B31,CONCATENATE(VLOOKUP(B31,Competitors!$A$2:$I$650,3,FALSE)," ",VLOOKUP(B31,Competitors!$A$2:$I$650,2,FALSE))))</f>
        <v>Phil Wilkinson (RFW)</v>
      </c>
      <c r="I31" s="51">
        <f t="shared" si="1"/>
        <v>1.7291666666666667E-2</v>
      </c>
      <c r="J31" t="str">
        <f t="shared" si="2"/>
        <v>X</v>
      </c>
    </row>
    <row r="32" spans="1:10" ht="15">
      <c r="A32" s="46" t="s">
        <v>414</v>
      </c>
      <c r="B32" s="47">
        <f t="shared" si="0"/>
        <v>699</v>
      </c>
      <c r="C32" s="48"/>
      <c r="D32" s="49">
        <v>24</v>
      </c>
      <c r="E32" s="49">
        <v>28</v>
      </c>
      <c r="F32" s="49"/>
      <c r="G32" s="49"/>
      <c r="H32" s="50" t="str">
        <f>IF($B32="","",IF($J32="X",B32,CONCATENATE(VLOOKUP(B32,Competitors!$A$2:$I$650,3,FALSE)," ",VLOOKUP(B32,Competitors!$A$2:$I$650,2,FALSE))))</f>
        <v>Jonathan Durnin</v>
      </c>
      <c r="I32" s="51">
        <f t="shared" si="1"/>
        <v>1.699074074074074E-2</v>
      </c>
      <c r="J32" t="str">
        <f t="shared" si="2"/>
        <v/>
      </c>
    </row>
    <row r="33" spans="1:10" ht="15">
      <c r="A33" s="46" t="s">
        <v>410</v>
      </c>
      <c r="B33" s="47">
        <f>IF(A33="","",_xlfn.XLOOKUP(A33,ClubNames,ClubNumbers,_xlfn.XLOOKUP(A33,RoundRobinRiderNames,RoundRobinRiderDecoratedNames,A33)))</f>
        <v>747</v>
      </c>
      <c r="C33" s="48"/>
      <c r="D33" s="49">
        <v>23</v>
      </c>
      <c r="E33" s="49">
        <v>20</v>
      </c>
      <c r="F33" s="49"/>
      <c r="G33" s="49"/>
      <c r="H33" s="50" t="str">
        <f>IF($B33="","",IF($J33="X",B33,CONCATENATE(VLOOKUP(B33,Competitors!$A$2:$I$650,3,FALSE)," ",VLOOKUP(B33,Competitors!$A$2:$I$650,2,FALSE))))</f>
        <v>James Moore</v>
      </c>
      <c r="I33" s="51">
        <f>IF(LEFT($F33,1)="D",UPPER($F33),(C33*3600+D33*60+E33)/86400)</f>
        <v>1.6203703703703703E-2</v>
      </c>
      <c r="J33" t="str">
        <f>IF(OR(B33="",ISNUMBER(B33)),"","X")</f>
        <v/>
      </c>
    </row>
    <row r="34" spans="1:10" ht="15">
      <c r="A34" s="46"/>
      <c r="B34" s="47" t="str">
        <f>IF(A34="","",_xlfn.XLOOKUP(A34,ClubNames,ClubNumbers,_xlfn.XLOOKUP(A34,RoundRobinRiderNames,RoundRobinRiderDecoratedNames,A34)))</f>
        <v/>
      </c>
      <c r="C34" s="48"/>
      <c r="D34" s="49"/>
      <c r="E34" s="49"/>
      <c r="F34" s="49"/>
      <c r="G34" s="49"/>
      <c r="H34" s="50" t="str">
        <f>IF($B34="","",IF($J34="X",B34,CONCATENATE(VLOOKUP(B34,Competitors!$A$2:$I$650,3,FALSE)," ",VLOOKUP(B34,Competitors!$A$2:$I$650,2,FALSE))))</f>
        <v/>
      </c>
      <c r="I34" s="51">
        <f t="shared" ref="I34:I65" si="3">IF(LEFT($F34,1)="D",UPPER($F34),(C34*3600+D34*60+E34)/86400)</f>
        <v>0</v>
      </c>
      <c r="J34" t="str">
        <f t="shared" ref="J34:J65" si="4">IF(OR(B34="",ISNUMBER(B34)),"","X")</f>
        <v/>
      </c>
    </row>
    <row r="35" spans="1:10" ht="15">
      <c r="A35" s="46"/>
      <c r="B35" s="47" t="str">
        <f t="shared" ref="B35:B97" si="5">IF(A35="","",_xlfn.XLOOKUP(A35,ClubNames,ClubNumbers,_xlfn.XLOOKUP(A35,RoundRobinRiderNames,RoundRobinRiderDecoratedNames,A35)))</f>
        <v/>
      </c>
      <c r="C35" s="48"/>
      <c r="D35" s="49"/>
      <c r="E35" s="49"/>
      <c r="F35" s="49"/>
      <c r="G35" s="49"/>
      <c r="H35" s="50" t="str">
        <f>IF($B35="","",IF($J35="X",B35,CONCATENATE(VLOOKUP(B35,Competitors!$A$2:$I$650,3,FALSE)," ",VLOOKUP(B35,Competitors!$A$2:$I$650,2,FALSE))))</f>
        <v/>
      </c>
      <c r="I35" s="51">
        <f t="shared" si="3"/>
        <v>0</v>
      </c>
      <c r="J35" t="str">
        <f t="shared" si="4"/>
        <v/>
      </c>
    </row>
    <row r="36" spans="1:10" ht="15">
      <c r="A36" s="46"/>
      <c r="B36" s="47" t="str">
        <f t="shared" si="5"/>
        <v/>
      </c>
      <c r="C36" s="48"/>
      <c r="D36" s="49"/>
      <c r="E36" s="49"/>
      <c r="F36" s="49"/>
      <c r="G36" s="49"/>
      <c r="H36" s="50" t="str">
        <f>IF($B36="","",IF($J36="X",B36,CONCATENATE(VLOOKUP(B36,Competitors!$A$2:$I$650,3,FALSE)," ",VLOOKUP(B36,Competitors!$A$2:$I$650,2,FALSE))))</f>
        <v/>
      </c>
      <c r="I36" s="51">
        <f t="shared" si="3"/>
        <v>0</v>
      </c>
      <c r="J36" t="str">
        <f t="shared" si="4"/>
        <v/>
      </c>
    </row>
    <row r="37" spans="1:10" ht="15">
      <c r="A37" s="46"/>
      <c r="B37" s="47" t="str">
        <f t="shared" si="5"/>
        <v/>
      </c>
      <c r="C37" s="48"/>
      <c r="D37" s="49"/>
      <c r="E37" s="49"/>
      <c r="F37" s="49"/>
      <c r="G37" s="49"/>
      <c r="H37" s="50" t="str">
        <f>IF($B37="","",IF($J37="X",B37,CONCATENATE(VLOOKUP(B37,Competitors!$A$2:$I$650,3,FALSE)," ",VLOOKUP(B37,Competitors!$A$2:$I$650,2,FALSE))))</f>
        <v/>
      </c>
      <c r="I37" s="51">
        <f t="shared" si="3"/>
        <v>0</v>
      </c>
      <c r="J37" t="str">
        <f t="shared" si="4"/>
        <v/>
      </c>
    </row>
    <row r="38" spans="1:10" ht="15">
      <c r="A38" s="46"/>
      <c r="B38" s="47" t="str">
        <f t="shared" si="5"/>
        <v/>
      </c>
      <c r="C38" s="48"/>
      <c r="D38" s="49"/>
      <c r="E38" s="49"/>
      <c r="F38" s="49"/>
      <c r="G38" s="49"/>
      <c r="H38" s="50" t="str">
        <f>IF($B38="","",IF($J38="X",B38,CONCATENATE(VLOOKUP(B38,Competitors!$A$2:$I$650,3,FALSE)," ",VLOOKUP(B38,Competitors!$A$2:$I$650,2,FALSE))))</f>
        <v/>
      </c>
      <c r="I38" s="51">
        <f t="shared" si="3"/>
        <v>0</v>
      </c>
      <c r="J38" t="str">
        <f t="shared" si="4"/>
        <v/>
      </c>
    </row>
    <row r="39" spans="1:10" ht="15">
      <c r="A39" s="46"/>
      <c r="B39" s="47" t="str">
        <f t="shared" si="5"/>
        <v/>
      </c>
      <c r="C39" s="48"/>
      <c r="D39" s="49"/>
      <c r="E39" s="49"/>
      <c r="F39" s="49"/>
      <c r="G39" s="49"/>
      <c r="H39" s="50" t="str">
        <f>IF($B39="","",IF($J39="X",B39,CONCATENATE(VLOOKUP(B39,Competitors!$A$2:$I$650,3,FALSE)," ",VLOOKUP(B39,Competitors!$A$2:$I$650,2,FALSE))))</f>
        <v/>
      </c>
      <c r="I39" s="51">
        <f t="shared" si="3"/>
        <v>0</v>
      </c>
      <c r="J39" t="str">
        <f t="shared" si="4"/>
        <v/>
      </c>
    </row>
    <row r="40" spans="1:10" ht="15">
      <c r="A40" s="46"/>
      <c r="B40" s="47" t="str">
        <f t="shared" si="5"/>
        <v/>
      </c>
      <c r="C40" s="48"/>
      <c r="D40" s="49"/>
      <c r="E40" s="49"/>
      <c r="F40" s="49"/>
      <c r="G40" s="49"/>
      <c r="H40" s="50" t="str">
        <f>IF($B40="","",IF($J40="X",B40,CONCATENATE(VLOOKUP(B40,Competitors!$A$2:$I$650,3,FALSE)," ",VLOOKUP(B40,Competitors!$A$2:$I$650,2,FALSE))))</f>
        <v/>
      </c>
      <c r="I40" s="51">
        <f t="shared" si="3"/>
        <v>0</v>
      </c>
      <c r="J40" t="str">
        <f t="shared" si="4"/>
        <v/>
      </c>
    </row>
    <row r="41" spans="1:10" ht="15">
      <c r="A41" s="46"/>
      <c r="B41" s="47" t="str">
        <f t="shared" si="5"/>
        <v/>
      </c>
      <c r="C41" s="48"/>
      <c r="D41" s="49"/>
      <c r="E41" s="49"/>
      <c r="F41" s="49"/>
      <c r="G41" s="49"/>
      <c r="H41" s="50" t="str">
        <f>IF($B41="","",IF($J41="X",B41,CONCATENATE(VLOOKUP(B41,Competitors!$A$2:$I$650,3,FALSE)," ",VLOOKUP(B41,Competitors!$A$2:$I$650,2,FALSE))))</f>
        <v/>
      </c>
      <c r="I41" s="51">
        <f t="shared" si="3"/>
        <v>0</v>
      </c>
      <c r="J41" t="str">
        <f t="shared" si="4"/>
        <v/>
      </c>
    </row>
    <row r="42" spans="1:10" ht="15">
      <c r="A42" s="46"/>
      <c r="B42" s="47" t="str">
        <f t="shared" si="5"/>
        <v/>
      </c>
      <c r="C42" s="48"/>
      <c r="D42" s="49"/>
      <c r="E42" s="49"/>
      <c r="F42" s="49"/>
      <c r="G42" s="49"/>
      <c r="H42" s="50" t="str">
        <f>IF($B42="","",IF($J42="X",B42,CONCATENATE(VLOOKUP(B42,Competitors!$A$2:$I$650,3,FALSE)," ",VLOOKUP(B42,Competitors!$A$2:$I$650,2,FALSE))))</f>
        <v/>
      </c>
      <c r="I42" s="51">
        <f t="shared" si="3"/>
        <v>0</v>
      </c>
      <c r="J42" t="str">
        <f t="shared" si="4"/>
        <v/>
      </c>
    </row>
    <row r="43" spans="1:10" ht="15">
      <c r="A43" s="46"/>
      <c r="B43" s="47" t="str">
        <f t="shared" si="5"/>
        <v/>
      </c>
      <c r="C43" s="48"/>
      <c r="D43" s="49"/>
      <c r="E43" s="49"/>
      <c r="F43" s="49"/>
      <c r="G43" s="49"/>
      <c r="H43" s="50" t="str">
        <f>IF($B43="","",IF($J43="X",B43,CONCATENATE(VLOOKUP(B43,Competitors!$A$2:$I$650,3,FALSE)," ",VLOOKUP(B43,Competitors!$A$2:$I$650,2,FALSE))))</f>
        <v/>
      </c>
      <c r="I43" s="51">
        <f t="shared" si="3"/>
        <v>0</v>
      </c>
      <c r="J43" t="str">
        <f t="shared" si="4"/>
        <v/>
      </c>
    </row>
    <row r="44" spans="1:10" ht="15">
      <c r="A44" s="46"/>
      <c r="B44" s="47" t="str">
        <f t="shared" si="5"/>
        <v/>
      </c>
      <c r="C44" s="48"/>
      <c r="D44" s="49"/>
      <c r="E44" s="49"/>
      <c r="F44" s="49"/>
      <c r="G44" s="49"/>
      <c r="H44" s="50" t="str">
        <f>IF($B44="","",IF($J44="X",B44,CONCATENATE(VLOOKUP(B44,Competitors!$A$2:$I$650,3,FALSE)," ",VLOOKUP(B44,Competitors!$A$2:$I$650,2,FALSE))))</f>
        <v/>
      </c>
      <c r="I44" s="51">
        <f t="shared" si="3"/>
        <v>0</v>
      </c>
      <c r="J44" t="str">
        <f t="shared" si="4"/>
        <v/>
      </c>
    </row>
    <row r="45" spans="1:10" ht="15">
      <c r="A45" s="46"/>
      <c r="B45" s="47" t="str">
        <f t="shared" si="5"/>
        <v/>
      </c>
      <c r="C45" s="48"/>
      <c r="D45" s="49"/>
      <c r="E45" s="49"/>
      <c r="F45" s="49"/>
      <c r="G45" s="49"/>
      <c r="H45" s="50" t="str">
        <f>IF($B45="","",IF($J45="X",B45,CONCATENATE(VLOOKUP(B45,Competitors!$A$2:$I$650,3,FALSE)," ",VLOOKUP(B45,Competitors!$A$2:$I$650,2,FALSE))))</f>
        <v/>
      </c>
      <c r="I45" s="51">
        <f t="shared" si="3"/>
        <v>0</v>
      </c>
      <c r="J45" t="str">
        <f t="shared" si="4"/>
        <v/>
      </c>
    </row>
    <row r="46" spans="1:10" ht="15">
      <c r="A46" s="46"/>
      <c r="B46" s="47" t="str">
        <f t="shared" si="5"/>
        <v/>
      </c>
      <c r="C46" s="48"/>
      <c r="D46" s="49"/>
      <c r="E46" s="49"/>
      <c r="F46" s="49"/>
      <c r="G46" s="49"/>
      <c r="H46" s="50" t="str">
        <f>IF($B46="","",IF($J46="X",B46,CONCATENATE(VLOOKUP(B46,Competitors!$A$2:$I$650,3,FALSE)," ",VLOOKUP(B46,Competitors!$A$2:$I$650,2,FALSE))))</f>
        <v/>
      </c>
      <c r="I46" s="51">
        <f t="shared" si="3"/>
        <v>0</v>
      </c>
      <c r="J46" t="str">
        <f t="shared" si="4"/>
        <v/>
      </c>
    </row>
    <row r="47" spans="1:10" ht="15">
      <c r="A47" s="46"/>
      <c r="B47" s="47" t="str">
        <f t="shared" si="5"/>
        <v/>
      </c>
      <c r="C47" s="48"/>
      <c r="D47" s="49"/>
      <c r="E47" s="49"/>
      <c r="F47" s="49"/>
      <c r="G47" s="49"/>
      <c r="H47" s="50" t="str">
        <f>IF($B47="","",IF($J47="X",B47,CONCATENATE(VLOOKUP(B47,Competitors!$A$2:$I$650,3,FALSE)," ",VLOOKUP(B47,Competitors!$A$2:$I$650,2,FALSE))))</f>
        <v/>
      </c>
      <c r="I47" s="51">
        <f t="shared" si="3"/>
        <v>0</v>
      </c>
      <c r="J47" t="str">
        <f t="shared" si="4"/>
        <v/>
      </c>
    </row>
    <row r="48" spans="1:10" ht="15">
      <c r="A48" s="46"/>
      <c r="B48" s="47" t="str">
        <f t="shared" si="5"/>
        <v/>
      </c>
      <c r="C48" s="48"/>
      <c r="D48" s="49"/>
      <c r="E48" s="49"/>
      <c r="F48" s="49"/>
      <c r="G48" s="49"/>
      <c r="H48" s="50" t="str">
        <f>IF($B48="","",IF($J48="X",B48,CONCATENATE(VLOOKUP(B48,Competitors!$A$2:$I$650,3,FALSE)," ",VLOOKUP(B48,Competitors!$A$2:$I$650,2,FALSE))))</f>
        <v/>
      </c>
      <c r="I48" s="51">
        <f t="shared" si="3"/>
        <v>0</v>
      </c>
      <c r="J48" t="str">
        <f t="shared" si="4"/>
        <v/>
      </c>
    </row>
    <row r="49" spans="1:10" ht="15">
      <c r="A49" s="46"/>
      <c r="B49" s="47" t="str">
        <f t="shared" si="5"/>
        <v/>
      </c>
      <c r="C49" s="48"/>
      <c r="D49" s="49"/>
      <c r="E49" s="49"/>
      <c r="F49" s="49"/>
      <c r="G49" s="49"/>
      <c r="H49" s="50" t="str">
        <f>IF($B49="","",IF($J49="X",B49,CONCATENATE(VLOOKUP(B49,Competitors!$A$2:$I$650,3,FALSE)," ",VLOOKUP(B49,Competitors!$A$2:$I$650,2,FALSE))))</f>
        <v/>
      </c>
      <c r="I49" s="51">
        <f t="shared" si="3"/>
        <v>0</v>
      </c>
      <c r="J49" t="str">
        <f t="shared" si="4"/>
        <v/>
      </c>
    </row>
    <row r="50" spans="1:10" ht="15">
      <c r="A50" s="46"/>
      <c r="B50" s="47" t="str">
        <f t="shared" si="5"/>
        <v/>
      </c>
      <c r="C50" s="48"/>
      <c r="D50" s="49"/>
      <c r="E50" s="49"/>
      <c r="F50" s="49"/>
      <c r="G50" s="49"/>
      <c r="H50" s="50" t="str">
        <f>IF($B50="","",IF($J50="X",B50,CONCATENATE(VLOOKUP(B50,Competitors!$A$2:$I$650,3,FALSE)," ",VLOOKUP(B50,Competitors!$A$2:$I$650,2,FALSE))))</f>
        <v/>
      </c>
      <c r="I50" s="51">
        <f t="shared" si="3"/>
        <v>0</v>
      </c>
      <c r="J50" t="str">
        <f t="shared" si="4"/>
        <v/>
      </c>
    </row>
    <row r="51" spans="1:10" ht="15">
      <c r="A51" s="46"/>
      <c r="B51" s="47" t="str">
        <f t="shared" si="5"/>
        <v/>
      </c>
      <c r="C51" s="48"/>
      <c r="D51" s="49"/>
      <c r="E51" s="49"/>
      <c r="F51" s="49"/>
      <c r="G51" s="49"/>
      <c r="H51" s="50" t="str">
        <f>IF($B51="","",IF($J51="X",B51,CONCATENATE(VLOOKUP(B51,Competitors!$A$2:$I$650,3,FALSE)," ",VLOOKUP(B51,Competitors!$A$2:$I$650,2,FALSE))))</f>
        <v/>
      </c>
      <c r="I51" s="51">
        <f t="shared" si="3"/>
        <v>0</v>
      </c>
      <c r="J51" t="str">
        <f t="shared" si="4"/>
        <v/>
      </c>
    </row>
    <row r="52" spans="1:10" ht="15">
      <c r="A52" s="46"/>
      <c r="B52" s="47" t="str">
        <f t="shared" si="5"/>
        <v/>
      </c>
      <c r="C52" s="48"/>
      <c r="D52" s="49"/>
      <c r="E52" s="49"/>
      <c r="F52" s="49"/>
      <c r="G52" s="49"/>
      <c r="H52" s="50" t="str">
        <f>IF($B52="","",IF($J52="X",B52,CONCATENATE(VLOOKUP(B52,Competitors!$A$2:$I$650,3,FALSE)," ",VLOOKUP(B52,Competitors!$A$2:$I$650,2,FALSE))))</f>
        <v/>
      </c>
      <c r="I52" s="51">
        <f t="shared" si="3"/>
        <v>0</v>
      </c>
      <c r="J52" t="str">
        <f t="shared" si="4"/>
        <v/>
      </c>
    </row>
    <row r="53" spans="1:10" ht="15">
      <c r="A53" s="46"/>
      <c r="B53" s="47" t="str">
        <f t="shared" si="5"/>
        <v/>
      </c>
      <c r="C53" s="48"/>
      <c r="D53" s="49"/>
      <c r="E53" s="49"/>
      <c r="F53" s="49"/>
      <c r="G53" s="49"/>
      <c r="H53" s="50" t="str">
        <f>IF($B53="","",IF($J53="X",B53,CONCATENATE(VLOOKUP(B53,Competitors!$A$2:$I$650,3,FALSE)," ",VLOOKUP(B53,Competitors!$A$2:$I$650,2,FALSE))))</f>
        <v/>
      </c>
      <c r="I53" s="51">
        <f t="shared" si="3"/>
        <v>0</v>
      </c>
      <c r="J53" t="str">
        <f t="shared" si="4"/>
        <v/>
      </c>
    </row>
    <row r="54" spans="1:10" ht="15">
      <c r="A54" s="46"/>
      <c r="B54" s="47" t="str">
        <f t="shared" si="5"/>
        <v/>
      </c>
      <c r="C54" s="48"/>
      <c r="D54" s="49"/>
      <c r="E54" s="49"/>
      <c r="F54" s="49"/>
      <c r="G54" s="49"/>
      <c r="H54" s="50" t="str">
        <f>IF($B54="","",IF($J54="X",B54,CONCATENATE(VLOOKUP(B54,Competitors!$A$2:$I$650,3,FALSE)," ",VLOOKUP(B54,Competitors!$A$2:$I$650,2,FALSE))))</f>
        <v/>
      </c>
      <c r="I54" s="51">
        <f t="shared" si="3"/>
        <v>0</v>
      </c>
      <c r="J54" t="str">
        <f t="shared" si="4"/>
        <v/>
      </c>
    </row>
    <row r="55" spans="1:10" ht="15">
      <c r="A55" s="46"/>
      <c r="B55" s="47" t="str">
        <f t="shared" si="5"/>
        <v/>
      </c>
      <c r="C55" s="48"/>
      <c r="D55" s="49"/>
      <c r="E55" s="49"/>
      <c r="F55" s="49"/>
      <c r="G55" s="49"/>
      <c r="H55" s="50" t="str">
        <f>IF($B55="","",IF($J55="X",B55,CONCATENATE(VLOOKUP(B55,Competitors!$A$2:$I$650,3,FALSE)," ",VLOOKUP(B55,Competitors!$A$2:$I$650,2,FALSE))))</f>
        <v/>
      </c>
      <c r="I55" s="51">
        <f t="shared" si="3"/>
        <v>0</v>
      </c>
      <c r="J55" t="str">
        <f t="shared" si="4"/>
        <v/>
      </c>
    </row>
    <row r="56" spans="1:10" ht="15">
      <c r="A56" s="46"/>
      <c r="B56" s="47" t="str">
        <f t="shared" si="5"/>
        <v/>
      </c>
      <c r="C56" s="48"/>
      <c r="D56" s="49"/>
      <c r="E56" s="49"/>
      <c r="F56" s="49"/>
      <c r="G56" s="49"/>
      <c r="H56" s="50" t="str">
        <f>IF($B56="","",IF($J56="X",B56,CONCATENATE(VLOOKUP(B56,Competitors!$A$2:$I$650,3,FALSE)," ",VLOOKUP(B56,Competitors!$A$2:$I$650,2,FALSE))))</f>
        <v/>
      </c>
      <c r="I56" s="51">
        <f t="shared" si="3"/>
        <v>0</v>
      </c>
      <c r="J56" t="str">
        <f t="shared" si="4"/>
        <v/>
      </c>
    </row>
    <row r="57" spans="1:10" ht="15">
      <c r="A57" s="46"/>
      <c r="B57" s="47" t="str">
        <f t="shared" si="5"/>
        <v/>
      </c>
      <c r="C57" s="48"/>
      <c r="D57" s="49"/>
      <c r="E57" s="49"/>
      <c r="F57" s="49"/>
      <c r="G57" s="49"/>
      <c r="H57" s="50" t="str">
        <f>IF($B57="","",IF($J57="X",B57,CONCATENATE(VLOOKUP(B57,Competitors!$A$2:$I$650,3,FALSE)," ",VLOOKUP(B57,Competitors!$A$2:$I$650,2,FALSE))))</f>
        <v/>
      </c>
      <c r="I57" s="51">
        <f t="shared" si="3"/>
        <v>0</v>
      </c>
      <c r="J57" t="str">
        <f t="shared" si="4"/>
        <v/>
      </c>
    </row>
    <row r="58" spans="1:10" ht="15">
      <c r="A58" s="46"/>
      <c r="B58" s="47" t="str">
        <f t="shared" si="5"/>
        <v/>
      </c>
      <c r="C58" s="48"/>
      <c r="D58" s="49"/>
      <c r="E58" s="49"/>
      <c r="F58" s="49"/>
      <c r="G58" s="49"/>
      <c r="H58" s="50" t="str">
        <f>IF($B58="","",IF($J58="X",B58,CONCATENATE(VLOOKUP(B58,Competitors!$A$2:$I$650,3,FALSE)," ",VLOOKUP(B58,Competitors!$A$2:$I$650,2,FALSE))))</f>
        <v/>
      </c>
      <c r="I58" s="51">
        <f t="shared" si="3"/>
        <v>0</v>
      </c>
      <c r="J58" t="str">
        <f t="shared" si="4"/>
        <v/>
      </c>
    </row>
    <row r="59" spans="1:10" ht="15">
      <c r="A59" s="46"/>
      <c r="B59" s="47" t="str">
        <f t="shared" si="5"/>
        <v/>
      </c>
      <c r="C59" s="48"/>
      <c r="D59" s="49"/>
      <c r="E59" s="49"/>
      <c r="F59" s="49"/>
      <c r="G59" s="49"/>
      <c r="H59" s="50" t="str">
        <f>IF($B59="","",IF($J59="X",B59,CONCATENATE(VLOOKUP(B59,Competitors!$A$2:$I$650,3,FALSE)," ",VLOOKUP(B59,Competitors!$A$2:$I$650,2,FALSE))))</f>
        <v/>
      </c>
      <c r="I59" s="51">
        <f t="shared" si="3"/>
        <v>0</v>
      </c>
      <c r="J59" t="str">
        <f t="shared" si="4"/>
        <v/>
      </c>
    </row>
    <row r="60" spans="1:10" ht="15">
      <c r="A60" s="46"/>
      <c r="B60" s="47" t="str">
        <f t="shared" si="5"/>
        <v/>
      </c>
      <c r="C60" s="48"/>
      <c r="D60" s="49"/>
      <c r="E60" s="49"/>
      <c r="F60" s="49"/>
      <c r="G60" s="49"/>
      <c r="H60" s="50" t="str">
        <f>IF($B60="","",IF($J60="X",B60,CONCATENATE(VLOOKUP(B60,Competitors!$A$2:$I$650,3,FALSE)," ",VLOOKUP(B60,Competitors!$A$2:$I$650,2,FALSE))))</f>
        <v/>
      </c>
      <c r="I60" s="51">
        <f t="shared" si="3"/>
        <v>0</v>
      </c>
      <c r="J60" t="str">
        <f t="shared" si="4"/>
        <v/>
      </c>
    </row>
    <row r="61" spans="1:10" ht="15">
      <c r="A61" s="46"/>
      <c r="B61" s="47" t="str">
        <f t="shared" si="5"/>
        <v/>
      </c>
      <c r="C61" s="48"/>
      <c r="D61" s="49"/>
      <c r="E61" s="49"/>
      <c r="F61" s="49"/>
      <c r="G61" s="49"/>
      <c r="H61" s="50" t="str">
        <f>IF($B61="","",IF($J61="X",B61,CONCATENATE(VLOOKUP(B61,Competitors!$A$2:$I$650,3,FALSE)," ",VLOOKUP(B61,Competitors!$A$2:$I$650,2,FALSE))))</f>
        <v/>
      </c>
      <c r="I61" s="51">
        <f t="shared" si="3"/>
        <v>0</v>
      </c>
      <c r="J61" t="str">
        <f t="shared" si="4"/>
        <v/>
      </c>
    </row>
    <row r="62" spans="1:10" ht="15">
      <c r="A62" s="46"/>
      <c r="B62" s="47" t="str">
        <f t="shared" si="5"/>
        <v/>
      </c>
      <c r="C62" s="48"/>
      <c r="D62" s="49"/>
      <c r="E62" s="49"/>
      <c r="F62" s="49"/>
      <c r="G62" s="49"/>
      <c r="H62" s="50" t="str">
        <f>IF($B62="","",IF($J62="X",B62,CONCATENATE(VLOOKUP(B62,Competitors!$A$2:$I$650,3,FALSE)," ",VLOOKUP(B62,Competitors!$A$2:$I$650,2,FALSE))))</f>
        <v/>
      </c>
      <c r="I62" s="51">
        <f t="shared" si="3"/>
        <v>0</v>
      </c>
      <c r="J62" t="str">
        <f t="shared" si="4"/>
        <v/>
      </c>
    </row>
    <row r="63" spans="1:10" ht="15">
      <c r="A63" s="46"/>
      <c r="B63" s="47" t="str">
        <f t="shared" si="5"/>
        <v/>
      </c>
      <c r="C63" s="48"/>
      <c r="D63" s="49"/>
      <c r="E63" s="49"/>
      <c r="F63" s="49"/>
      <c r="G63" s="49"/>
      <c r="H63" s="50" t="str">
        <f>IF($B63="","",IF($J63="X",B63,CONCATENATE(VLOOKUP(B63,Competitors!$A$2:$I$650,3,FALSE)," ",VLOOKUP(B63,Competitors!$A$2:$I$650,2,FALSE))))</f>
        <v/>
      </c>
      <c r="I63" s="51">
        <f t="shared" si="3"/>
        <v>0</v>
      </c>
      <c r="J63" t="str">
        <f t="shared" si="4"/>
        <v/>
      </c>
    </row>
    <row r="64" spans="1:10" ht="15">
      <c r="A64" s="46"/>
      <c r="B64" s="47" t="str">
        <f t="shared" si="5"/>
        <v/>
      </c>
      <c r="C64" s="48"/>
      <c r="D64" s="49"/>
      <c r="E64" s="49"/>
      <c r="F64" s="49"/>
      <c r="G64" s="49"/>
      <c r="H64" s="50" t="str">
        <f>IF($B64="","",IF($J64="X",B64,CONCATENATE(VLOOKUP(B64,Competitors!$A$2:$I$650,3,FALSE)," ",VLOOKUP(B64,Competitors!$A$2:$I$650,2,FALSE))))</f>
        <v/>
      </c>
      <c r="I64" s="51">
        <f t="shared" si="3"/>
        <v>0</v>
      </c>
      <c r="J64" t="str">
        <f t="shared" si="4"/>
        <v/>
      </c>
    </row>
    <row r="65" spans="1:10" ht="15">
      <c r="A65" s="46"/>
      <c r="B65" s="47" t="str">
        <f t="shared" si="5"/>
        <v/>
      </c>
      <c r="C65" s="48"/>
      <c r="D65" s="49"/>
      <c r="E65" s="49"/>
      <c r="F65" s="49"/>
      <c r="G65" s="49"/>
      <c r="H65" s="50" t="str">
        <f>IF($B65="","",IF($J65="X",B65,CONCATENATE(VLOOKUP(B65,Competitors!$A$2:$I$650,3,FALSE)," ",VLOOKUP(B65,Competitors!$A$2:$I$650,2,FALSE))))</f>
        <v/>
      </c>
      <c r="I65" s="51">
        <f t="shared" si="3"/>
        <v>0</v>
      </c>
      <c r="J65" t="str">
        <f t="shared" si="4"/>
        <v/>
      </c>
    </row>
    <row r="66" spans="1:10" ht="15">
      <c r="A66" s="46"/>
      <c r="B66" s="47" t="str">
        <f t="shared" si="5"/>
        <v/>
      </c>
      <c r="C66" s="48"/>
      <c r="D66" s="49"/>
      <c r="E66" s="49"/>
      <c r="F66" s="49"/>
      <c r="G66" s="49"/>
      <c r="H66" s="50" t="str">
        <f>IF($B66="","",IF($J66="X",B66,CONCATENATE(VLOOKUP(B66,Competitors!$A$2:$I$650,3,FALSE)," ",VLOOKUP(B66,Competitors!$A$2:$I$650,2,FALSE))))</f>
        <v/>
      </c>
      <c r="I66" s="51">
        <f t="shared" ref="I66:I101" si="6">IF(LEFT($F66,1)="D",UPPER($F66),(C66*3600+D66*60+E66)/86400)</f>
        <v>0</v>
      </c>
      <c r="J66" t="str">
        <f t="shared" ref="J66:J101" si="7">IF(OR(B66="",ISNUMBER(B66)),"","X")</f>
        <v/>
      </c>
    </row>
    <row r="67" spans="1:10" ht="15">
      <c r="A67" s="46"/>
      <c r="B67" s="47" t="str">
        <f t="shared" si="5"/>
        <v/>
      </c>
      <c r="C67" s="48"/>
      <c r="D67" s="49"/>
      <c r="E67" s="49"/>
      <c r="F67" s="49"/>
      <c r="G67" s="49"/>
      <c r="H67" s="50" t="str">
        <f>IF($B67="","",IF($J67="X",B67,CONCATENATE(VLOOKUP(B67,Competitors!$A$2:$I$650,3,FALSE)," ",VLOOKUP(B67,Competitors!$A$2:$I$650,2,FALSE))))</f>
        <v/>
      </c>
      <c r="I67" s="51">
        <f t="shared" si="6"/>
        <v>0</v>
      </c>
      <c r="J67" t="str">
        <f t="shared" si="7"/>
        <v/>
      </c>
    </row>
    <row r="68" spans="1:10" ht="15">
      <c r="A68" s="46"/>
      <c r="B68" s="47" t="str">
        <f t="shared" si="5"/>
        <v/>
      </c>
      <c r="C68" s="48"/>
      <c r="D68" s="49"/>
      <c r="E68" s="49"/>
      <c r="F68" s="49"/>
      <c r="G68" s="49"/>
      <c r="H68" s="50" t="str">
        <f>IF($B68="","",IF($J68="X",B68,CONCATENATE(VLOOKUP(B68,Competitors!$A$2:$I$650,3,FALSE)," ",VLOOKUP(B68,Competitors!$A$2:$I$650,2,FALSE))))</f>
        <v/>
      </c>
      <c r="I68" s="51">
        <f t="shared" si="6"/>
        <v>0</v>
      </c>
      <c r="J68" t="str">
        <f t="shared" si="7"/>
        <v/>
      </c>
    </row>
    <row r="69" spans="1:10" ht="15">
      <c r="A69" s="46"/>
      <c r="B69" s="47" t="str">
        <f t="shared" si="5"/>
        <v/>
      </c>
      <c r="C69" s="48"/>
      <c r="D69" s="49"/>
      <c r="E69" s="49"/>
      <c r="F69" s="49"/>
      <c r="G69" s="49"/>
      <c r="H69" s="50" t="str">
        <f>IF($B69="","",IF($J69="X",B69,CONCATENATE(VLOOKUP(B69,Competitors!$A$2:$I$650,3,FALSE)," ",VLOOKUP(B69,Competitors!$A$2:$I$650,2,FALSE))))</f>
        <v/>
      </c>
      <c r="I69" s="51">
        <f t="shared" si="6"/>
        <v>0</v>
      </c>
      <c r="J69" t="str">
        <f t="shared" si="7"/>
        <v/>
      </c>
    </row>
    <row r="70" spans="1:10" ht="15">
      <c r="A70" s="46"/>
      <c r="B70" s="47" t="str">
        <f t="shared" si="5"/>
        <v/>
      </c>
      <c r="C70" s="48"/>
      <c r="D70" s="49"/>
      <c r="E70" s="49"/>
      <c r="F70" s="49"/>
      <c r="G70" s="49"/>
      <c r="H70" s="50" t="str">
        <f>IF($B70="","",IF($J70="X",B70,CONCATENATE(VLOOKUP(B70,Competitors!$A$2:$I$650,3,FALSE)," ",VLOOKUP(B70,Competitors!$A$2:$I$650,2,FALSE))))</f>
        <v/>
      </c>
      <c r="I70" s="51">
        <f t="shared" si="6"/>
        <v>0</v>
      </c>
      <c r="J70" t="str">
        <f t="shared" si="7"/>
        <v/>
      </c>
    </row>
    <row r="71" spans="1:10" ht="15">
      <c r="A71" s="46"/>
      <c r="B71" s="47" t="str">
        <f t="shared" si="5"/>
        <v/>
      </c>
      <c r="C71" s="48"/>
      <c r="D71" s="49"/>
      <c r="E71" s="49"/>
      <c r="F71" s="49"/>
      <c r="G71" s="49"/>
      <c r="H71" s="50" t="str">
        <f>IF($B71="","",IF($J71="X",B71,CONCATENATE(VLOOKUP(B71,Competitors!$A$2:$I$650,3,FALSE)," ",VLOOKUP(B71,Competitors!$A$2:$I$650,2,FALSE))))</f>
        <v/>
      </c>
      <c r="I71" s="51">
        <f t="shared" si="6"/>
        <v>0</v>
      </c>
      <c r="J71" t="str">
        <f t="shared" si="7"/>
        <v/>
      </c>
    </row>
    <row r="72" spans="1:10" ht="15">
      <c r="A72" s="46"/>
      <c r="B72" s="47" t="str">
        <f t="shared" si="5"/>
        <v/>
      </c>
      <c r="C72" s="48"/>
      <c r="D72" s="49"/>
      <c r="E72" s="49"/>
      <c r="F72" s="49"/>
      <c r="G72" s="49"/>
      <c r="H72" s="50" t="str">
        <f>IF($B72="","",IF($J72="X",B72,CONCATENATE(VLOOKUP(B72,Competitors!$A$2:$I$650,3,FALSE)," ",VLOOKUP(B72,Competitors!$A$2:$I$650,2,FALSE))))</f>
        <v/>
      </c>
      <c r="I72" s="51">
        <f t="shared" si="6"/>
        <v>0</v>
      </c>
      <c r="J72" t="str">
        <f t="shared" si="7"/>
        <v/>
      </c>
    </row>
    <row r="73" spans="1:10" ht="15">
      <c r="A73" s="46"/>
      <c r="B73" s="47" t="str">
        <f t="shared" si="5"/>
        <v/>
      </c>
      <c r="C73" s="48"/>
      <c r="D73" s="49"/>
      <c r="E73" s="49"/>
      <c r="F73" s="49"/>
      <c r="G73" s="49"/>
      <c r="H73" s="50" t="str">
        <f>IF($B73="","",IF($J73="X",B73,CONCATENATE(VLOOKUP(B73,Competitors!$A$2:$I$650,3,FALSE)," ",VLOOKUP(B73,Competitors!$A$2:$I$650,2,FALSE))))</f>
        <v/>
      </c>
      <c r="I73" s="51">
        <f t="shared" si="6"/>
        <v>0</v>
      </c>
      <c r="J73" t="str">
        <f t="shared" si="7"/>
        <v/>
      </c>
    </row>
    <row r="74" spans="1:10" ht="15">
      <c r="A74" s="46"/>
      <c r="B74" s="47" t="str">
        <f t="shared" si="5"/>
        <v/>
      </c>
      <c r="C74" s="48"/>
      <c r="D74" s="49"/>
      <c r="E74" s="49"/>
      <c r="F74" s="49"/>
      <c r="G74" s="49"/>
      <c r="H74" s="50" t="str">
        <f>IF($B74="","",IF($J74="X",B74,CONCATENATE(VLOOKUP(B74,Competitors!$A$2:$I$650,3,FALSE)," ",VLOOKUP(B74,Competitors!$A$2:$I$650,2,FALSE))))</f>
        <v/>
      </c>
      <c r="I74" s="51">
        <f t="shared" si="6"/>
        <v>0</v>
      </c>
      <c r="J74" t="str">
        <f t="shared" si="7"/>
        <v/>
      </c>
    </row>
    <row r="75" spans="1:10" ht="15">
      <c r="A75" s="46"/>
      <c r="B75" s="47" t="str">
        <f t="shared" si="5"/>
        <v/>
      </c>
      <c r="C75" s="48"/>
      <c r="D75" s="49"/>
      <c r="E75" s="49"/>
      <c r="F75" s="49"/>
      <c r="G75" s="49"/>
      <c r="H75" s="50" t="str">
        <f>IF($B75="","",IF($J75="X",B75,CONCATENATE(VLOOKUP(B75,Competitors!$A$2:$I$650,3,FALSE)," ",VLOOKUP(B75,Competitors!$A$2:$I$650,2,FALSE))))</f>
        <v/>
      </c>
      <c r="I75" s="51">
        <f t="shared" si="6"/>
        <v>0</v>
      </c>
      <c r="J75" t="str">
        <f t="shared" si="7"/>
        <v/>
      </c>
    </row>
    <row r="76" spans="1:10" ht="15">
      <c r="A76" s="46"/>
      <c r="B76" s="47" t="str">
        <f t="shared" si="5"/>
        <v/>
      </c>
      <c r="C76" s="48"/>
      <c r="D76" s="49"/>
      <c r="E76" s="49"/>
      <c r="F76" s="49"/>
      <c r="G76" s="49"/>
      <c r="H76" s="50" t="str">
        <f>IF($B76="","",IF($J76="X",B76,CONCATENATE(VLOOKUP(B76,Competitors!$A$2:$I$650,3,FALSE)," ",VLOOKUP(B76,Competitors!$A$2:$I$650,2,FALSE))))</f>
        <v/>
      </c>
      <c r="I76" s="51">
        <f t="shared" si="6"/>
        <v>0</v>
      </c>
      <c r="J76" t="str">
        <f t="shared" si="7"/>
        <v/>
      </c>
    </row>
    <row r="77" spans="1:10" ht="15">
      <c r="A77" s="46"/>
      <c r="B77" s="47" t="str">
        <f t="shared" si="5"/>
        <v/>
      </c>
      <c r="C77" s="48"/>
      <c r="D77" s="49"/>
      <c r="E77" s="49"/>
      <c r="F77" s="49"/>
      <c r="G77" s="49"/>
      <c r="H77" s="50" t="str">
        <f>IF($B77="","",IF($J77="X",B77,CONCATENATE(VLOOKUP(B77,Competitors!$A$2:$I$650,3,FALSE)," ",VLOOKUP(B77,Competitors!$A$2:$I$650,2,FALSE))))</f>
        <v/>
      </c>
      <c r="I77" s="51">
        <f t="shared" si="6"/>
        <v>0</v>
      </c>
      <c r="J77" t="str">
        <f t="shared" si="7"/>
        <v/>
      </c>
    </row>
    <row r="78" spans="1:10" ht="15">
      <c r="A78" s="46"/>
      <c r="B78" s="47" t="str">
        <f t="shared" si="5"/>
        <v/>
      </c>
      <c r="C78" s="48"/>
      <c r="D78" s="49"/>
      <c r="E78" s="49"/>
      <c r="F78" s="49"/>
      <c r="G78" s="49"/>
      <c r="H78" s="50" t="str">
        <f>IF($B78="","",IF($J78="X",B78,CONCATENATE(VLOOKUP(B78,Competitors!$A$2:$I$650,3,FALSE)," ",VLOOKUP(B78,Competitors!$A$2:$I$650,2,FALSE))))</f>
        <v/>
      </c>
      <c r="I78" s="51">
        <f t="shared" si="6"/>
        <v>0</v>
      </c>
      <c r="J78" t="str">
        <f t="shared" si="7"/>
        <v/>
      </c>
    </row>
    <row r="79" spans="1:10" ht="15">
      <c r="A79" s="46"/>
      <c r="B79" s="47" t="str">
        <f t="shared" si="5"/>
        <v/>
      </c>
      <c r="C79" s="48"/>
      <c r="D79" s="49"/>
      <c r="E79" s="49"/>
      <c r="F79" s="49"/>
      <c r="G79" s="49"/>
      <c r="H79" s="50" t="str">
        <f>IF($B79="","",IF($J79="X",B79,CONCATENATE(VLOOKUP(B79,Competitors!$A$2:$I$650,3,FALSE)," ",VLOOKUP(B79,Competitors!$A$2:$I$650,2,FALSE))))</f>
        <v/>
      </c>
      <c r="I79" s="51">
        <f t="shared" si="6"/>
        <v>0</v>
      </c>
      <c r="J79" t="str">
        <f t="shared" si="7"/>
        <v/>
      </c>
    </row>
    <row r="80" spans="1:10" ht="15">
      <c r="A80" s="46"/>
      <c r="B80" s="47" t="str">
        <f t="shared" si="5"/>
        <v/>
      </c>
      <c r="C80" s="48"/>
      <c r="D80" s="49"/>
      <c r="E80" s="49"/>
      <c r="F80" s="49"/>
      <c r="G80" s="49"/>
      <c r="H80" s="50" t="str">
        <f>IF($B80="","",IF($J80="X",B80,CONCATENATE(VLOOKUP(B80,Competitors!$A$2:$I$650,3,FALSE)," ",VLOOKUP(B80,Competitors!$A$2:$I$650,2,FALSE))))</f>
        <v/>
      </c>
      <c r="I80" s="51">
        <f t="shared" si="6"/>
        <v>0</v>
      </c>
      <c r="J80" t="str">
        <f t="shared" si="7"/>
        <v/>
      </c>
    </row>
    <row r="81" spans="1:10" ht="15">
      <c r="A81" s="46"/>
      <c r="B81" s="47" t="str">
        <f t="shared" si="5"/>
        <v/>
      </c>
      <c r="C81" s="48"/>
      <c r="D81" s="49"/>
      <c r="E81" s="49"/>
      <c r="F81" s="49"/>
      <c r="G81" s="49"/>
      <c r="H81" s="50" t="str">
        <f>IF($B81="","",IF($J81="X",B81,CONCATENATE(VLOOKUP(B81,Competitors!$A$2:$I$650,3,FALSE)," ",VLOOKUP(B81,Competitors!$A$2:$I$650,2,FALSE))))</f>
        <v/>
      </c>
      <c r="I81" s="51">
        <f t="shared" si="6"/>
        <v>0</v>
      </c>
      <c r="J81" t="str">
        <f t="shared" si="7"/>
        <v/>
      </c>
    </row>
    <row r="82" spans="1:10" ht="15">
      <c r="A82" s="46"/>
      <c r="B82" s="47" t="str">
        <f t="shared" si="5"/>
        <v/>
      </c>
      <c r="C82" s="48"/>
      <c r="D82" s="49"/>
      <c r="E82" s="49"/>
      <c r="F82" s="49"/>
      <c r="G82" s="49"/>
      <c r="H82" s="50" t="str">
        <f>IF($B82="","",IF($J82="X",B82,CONCATENATE(VLOOKUP(B82,Competitors!$A$2:$I$650,3,FALSE)," ",VLOOKUP(B82,Competitors!$A$2:$I$650,2,FALSE))))</f>
        <v/>
      </c>
      <c r="I82" s="51">
        <f t="shared" si="6"/>
        <v>0</v>
      </c>
      <c r="J82" t="str">
        <f t="shared" si="7"/>
        <v/>
      </c>
    </row>
    <row r="83" spans="1:10" ht="15">
      <c r="A83" s="46"/>
      <c r="B83" s="47" t="str">
        <f t="shared" si="5"/>
        <v/>
      </c>
      <c r="C83" s="48"/>
      <c r="D83" s="49"/>
      <c r="E83" s="49"/>
      <c r="F83" s="49"/>
      <c r="G83" s="49"/>
      <c r="H83" s="50" t="str">
        <f>IF($B83="","",IF($J83="X",B83,CONCATENATE(VLOOKUP(B83,Competitors!$A$2:$I$650,3,FALSE)," ",VLOOKUP(B83,Competitors!$A$2:$I$650,2,FALSE))))</f>
        <v/>
      </c>
      <c r="I83" s="51">
        <f t="shared" si="6"/>
        <v>0</v>
      </c>
      <c r="J83" t="str">
        <f t="shared" si="7"/>
        <v/>
      </c>
    </row>
    <row r="84" spans="1:10" ht="15">
      <c r="A84" s="46"/>
      <c r="B84" s="47" t="str">
        <f t="shared" si="5"/>
        <v/>
      </c>
      <c r="C84" s="48"/>
      <c r="D84" s="49"/>
      <c r="E84" s="49"/>
      <c r="F84" s="49"/>
      <c r="G84" s="49"/>
      <c r="H84" s="50" t="str">
        <f>IF($B84="","",IF($J84="X",B84,CONCATENATE(VLOOKUP(B84,Competitors!$A$2:$I$650,3,FALSE)," ",VLOOKUP(B84,Competitors!$A$2:$I$650,2,FALSE))))</f>
        <v/>
      </c>
      <c r="I84" s="51">
        <f t="shared" si="6"/>
        <v>0</v>
      </c>
      <c r="J84" t="str">
        <f t="shared" si="7"/>
        <v/>
      </c>
    </row>
    <row r="85" spans="1:10" ht="15">
      <c r="A85" s="46"/>
      <c r="B85" s="47" t="str">
        <f t="shared" si="5"/>
        <v/>
      </c>
      <c r="C85" s="48"/>
      <c r="D85" s="49"/>
      <c r="E85" s="49"/>
      <c r="F85" s="49"/>
      <c r="G85" s="49"/>
      <c r="H85" s="50" t="str">
        <f>IF($B85="","",IF($J85="X",B85,CONCATENATE(VLOOKUP(B85,Competitors!$A$2:$I$650,3,FALSE)," ",VLOOKUP(B85,Competitors!$A$2:$I$650,2,FALSE))))</f>
        <v/>
      </c>
      <c r="I85" s="51">
        <f t="shared" si="6"/>
        <v>0</v>
      </c>
      <c r="J85" t="str">
        <f t="shared" si="7"/>
        <v/>
      </c>
    </row>
    <row r="86" spans="1:10" ht="15">
      <c r="A86" s="46"/>
      <c r="B86" s="47" t="str">
        <f t="shared" si="5"/>
        <v/>
      </c>
      <c r="C86" s="48"/>
      <c r="D86" s="49"/>
      <c r="E86" s="49"/>
      <c r="F86" s="49"/>
      <c r="G86" s="49"/>
      <c r="H86" s="50" t="str">
        <f>IF($B86="","",IF($J86="X",B86,CONCATENATE(VLOOKUP(B86,Competitors!$A$2:$I$650,3,FALSE)," ",VLOOKUP(B86,Competitors!$A$2:$I$650,2,FALSE))))</f>
        <v/>
      </c>
      <c r="I86" s="51">
        <f t="shared" si="6"/>
        <v>0</v>
      </c>
      <c r="J86" t="str">
        <f t="shared" si="7"/>
        <v/>
      </c>
    </row>
    <row r="87" spans="1:10" ht="15">
      <c r="A87" s="46"/>
      <c r="B87" s="47" t="str">
        <f t="shared" si="5"/>
        <v/>
      </c>
      <c r="C87" s="48"/>
      <c r="D87" s="49"/>
      <c r="E87" s="49"/>
      <c r="F87" s="49"/>
      <c r="G87" s="49"/>
      <c r="H87" s="50" t="str">
        <f>IF($B87="","",IF($J87="X",B87,CONCATENATE(VLOOKUP(B87,Competitors!$A$2:$I$650,3,FALSE)," ",VLOOKUP(B87,Competitors!$A$2:$I$650,2,FALSE))))</f>
        <v/>
      </c>
      <c r="I87" s="51">
        <f t="shared" si="6"/>
        <v>0</v>
      </c>
      <c r="J87" t="str">
        <f t="shared" si="7"/>
        <v/>
      </c>
    </row>
    <row r="88" spans="1:10" ht="15">
      <c r="A88" s="46"/>
      <c r="B88" s="47" t="str">
        <f t="shared" si="5"/>
        <v/>
      </c>
      <c r="C88" s="48"/>
      <c r="D88" s="49"/>
      <c r="E88" s="49"/>
      <c r="F88" s="49"/>
      <c r="G88" s="49"/>
      <c r="H88" s="50" t="str">
        <f>IF($B88="","",IF($J88="X",B88,CONCATENATE(VLOOKUP(B88,Competitors!$A$2:$I$650,3,FALSE)," ",VLOOKUP(B88,Competitors!$A$2:$I$650,2,FALSE))))</f>
        <v/>
      </c>
      <c r="I88" s="51">
        <f t="shared" si="6"/>
        <v>0</v>
      </c>
      <c r="J88" t="str">
        <f t="shared" si="7"/>
        <v/>
      </c>
    </row>
    <row r="89" spans="1:10" ht="15">
      <c r="A89" s="46"/>
      <c r="B89" s="47" t="str">
        <f t="shared" si="5"/>
        <v/>
      </c>
      <c r="C89" s="48"/>
      <c r="D89" s="49"/>
      <c r="E89" s="49"/>
      <c r="F89" s="49"/>
      <c r="G89" s="49"/>
      <c r="H89" s="50" t="str">
        <f>IF($B89="","",IF($J89="X",B89,CONCATENATE(VLOOKUP(B89,Competitors!$A$2:$I$650,3,FALSE)," ",VLOOKUP(B89,Competitors!$A$2:$I$650,2,FALSE))))</f>
        <v/>
      </c>
      <c r="I89" s="51">
        <f t="shared" si="6"/>
        <v>0</v>
      </c>
      <c r="J89" t="str">
        <f t="shared" si="7"/>
        <v/>
      </c>
    </row>
    <row r="90" spans="1:10" ht="15">
      <c r="A90" s="46"/>
      <c r="B90" s="47" t="str">
        <f t="shared" si="5"/>
        <v/>
      </c>
      <c r="C90" s="48"/>
      <c r="D90" s="49"/>
      <c r="E90" s="49"/>
      <c r="F90" s="49"/>
      <c r="G90" s="49"/>
      <c r="H90" s="50" t="str">
        <f>IF($B90="","",IF($J90="X",B90,CONCATENATE(VLOOKUP(B90,Competitors!$A$2:$I$650,3,FALSE)," ",VLOOKUP(B90,Competitors!$A$2:$I$650,2,FALSE))))</f>
        <v/>
      </c>
      <c r="I90" s="51">
        <f t="shared" si="6"/>
        <v>0</v>
      </c>
      <c r="J90" t="str">
        <f t="shared" si="7"/>
        <v/>
      </c>
    </row>
    <row r="91" spans="1:10" ht="15">
      <c r="A91" s="46"/>
      <c r="B91" s="47" t="str">
        <f t="shared" si="5"/>
        <v/>
      </c>
      <c r="C91" s="48"/>
      <c r="D91" s="49"/>
      <c r="E91" s="49"/>
      <c r="F91" s="49"/>
      <c r="G91" s="49"/>
      <c r="H91" s="50" t="str">
        <f>IF($B91="","",IF($J91="X",B91,CONCATENATE(VLOOKUP(B91,Competitors!$A$2:$I$650,3,FALSE)," ",VLOOKUP(B91,Competitors!$A$2:$I$650,2,FALSE))))</f>
        <v/>
      </c>
      <c r="I91" s="51">
        <f t="shared" si="6"/>
        <v>0</v>
      </c>
      <c r="J91" t="str">
        <f t="shared" si="7"/>
        <v/>
      </c>
    </row>
    <row r="92" spans="1:10" ht="15">
      <c r="A92" s="46"/>
      <c r="B92" s="47" t="str">
        <f t="shared" si="5"/>
        <v/>
      </c>
      <c r="C92" s="48"/>
      <c r="D92" s="49"/>
      <c r="E92" s="49"/>
      <c r="F92" s="49"/>
      <c r="G92" s="49"/>
      <c r="H92" s="50" t="str">
        <f>IF($B92="","",IF($J92="X",B92,CONCATENATE(VLOOKUP(B92,Competitors!$A$2:$I$650,3,FALSE)," ",VLOOKUP(B92,Competitors!$A$2:$I$650,2,FALSE))))</f>
        <v/>
      </c>
      <c r="I92" s="51">
        <f t="shared" si="6"/>
        <v>0</v>
      </c>
      <c r="J92" t="str">
        <f t="shared" si="7"/>
        <v/>
      </c>
    </row>
    <row r="93" spans="1:10" ht="15">
      <c r="A93" s="46"/>
      <c r="B93" s="47" t="str">
        <f t="shared" si="5"/>
        <v/>
      </c>
      <c r="C93" s="48"/>
      <c r="D93" s="49"/>
      <c r="E93" s="49"/>
      <c r="F93" s="49"/>
      <c r="G93" s="49"/>
      <c r="H93" s="50" t="str">
        <f>IF($B93="","",IF($J93="X",B93,CONCATENATE(VLOOKUP(B93,Competitors!$A$2:$I$650,3,FALSE)," ",VLOOKUP(B93,Competitors!$A$2:$I$650,2,FALSE))))</f>
        <v/>
      </c>
      <c r="I93" s="51">
        <f t="shared" si="6"/>
        <v>0</v>
      </c>
      <c r="J93" t="str">
        <f t="shared" si="7"/>
        <v/>
      </c>
    </row>
    <row r="94" spans="1:10" ht="15">
      <c r="A94" s="46"/>
      <c r="B94" s="47" t="str">
        <f t="shared" si="5"/>
        <v/>
      </c>
      <c r="C94" s="48"/>
      <c r="D94" s="49"/>
      <c r="E94" s="49"/>
      <c r="F94" s="49"/>
      <c r="G94" s="49"/>
      <c r="H94" s="50" t="str">
        <f>IF($B94="","",IF($J94="X",B94,CONCATENATE(VLOOKUP(B94,Competitors!$A$2:$I$650,3,FALSE)," ",VLOOKUP(B94,Competitors!$A$2:$I$650,2,FALSE))))</f>
        <v/>
      </c>
      <c r="I94" s="51">
        <f t="shared" si="6"/>
        <v>0</v>
      </c>
      <c r="J94" t="str">
        <f t="shared" si="7"/>
        <v/>
      </c>
    </row>
    <row r="95" spans="1:10" ht="15">
      <c r="A95" s="46"/>
      <c r="B95" s="47" t="str">
        <f t="shared" si="5"/>
        <v/>
      </c>
      <c r="C95" s="48"/>
      <c r="D95" s="49"/>
      <c r="E95" s="49"/>
      <c r="F95" s="49"/>
      <c r="G95" s="49"/>
      <c r="H95" s="50" t="str">
        <f>IF($B95="","",IF($J95="X",B95,CONCATENATE(VLOOKUP(B95,Competitors!$A$2:$I$650,3,FALSE)," ",VLOOKUP(B95,Competitors!$A$2:$I$650,2,FALSE))))</f>
        <v/>
      </c>
      <c r="I95" s="51">
        <f t="shared" si="6"/>
        <v>0</v>
      </c>
      <c r="J95" t="str">
        <f t="shared" si="7"/>
        <v/>
      </c>
    </row>
    <row r="96" spans="1:10" ht="15">
      <c r="A96" s="46"/>
      <c r="B96" s="47" t="str">
        <f t="shared" si="5"/>
        <v/>
      </c>
      <c r="C96" s="48"/>
      <c r="D96" s="49"/>
      <c r="E96" s="49"/>
      <c r="F96" s="49"/>
      <c r="G96" s="49"/>
      <c r="H96" s="50" t="str">
        <f>IF($B96="","",IF($J96="X",B96,CONCATENATE(VLOOKUP(B96,Competitors!$A$2:$I$650,3,FALSE)," ",VLOOKUP(B96,Competitors!$A$2:$I$650,2,FALSE))))</f>
        <v/>
      </c>
      <c r="I96" s="51">
        <f t="shared" si="6"/>
        <v>0</v>
      </c>
      <c r="J96" t="str">
        <f t="shared" si="7"/>
        <v/>
      </c>
    </row>
    <row r="97" spans="1:10" ht="15">
      <c r="A97" s="46"/>
      <c r="B97" s="47" t="str">
        <f t="shared" si="5"/>
        <v/>
      </c>
      <c r="C97" s="48"/>
      <c r="D97" s="49"/>
      <c r="E97" s="49"/>
      <c r="F97" s="49"/>
      <c r="G97" s="49"/>
      <c r="H97" s="50" t="str">
        <f>IF($B97="","",IF($J97="X",B97,CONCATENATE(VLOOKUP(B97,Competitors!$A$2:$I$650,3,FALSE)," ",VLOOKUP(B97,Competitors!$A$2:$I$650,2,FALSE))))</f>
        <v/>
      </c>
      <c r="I97" s="51">
        <f t="shared" si="6"/>
        <v>0</v>
      </c>
      <c r="J97" t="str">
        <f t="shared" si="7"/>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6"/>
        <v>0</v>
      </c>
      <c r="J98" t="str">
        <f t="shared" si="7"/>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6"/>
        <v>0</v>
      </c>
      <c r="J99" t="str">
        <f t="shared" si="7"/>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6"/>
        <v>0</v>
      </c>
      <c r="J100" t="str">
        <f t="shared" si="7"/>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6"/>
        <v>0</v>
      </c>
      <c r="J101" t="str">
        <f t="shared" si="7"/>
        <v/>
      </c>
    </row>
    <row r="102" spans="1:10" s="52" customFormat="1">
      <c r="I102" s="53"/>
    </row>
    <row r="103" spans="1:10">
      <c r="B103" t="s">
        <v>551</v>
      </c>
      <c r="C103" t="str" cm="1">
        <f t="array" aca="1" ref="C103" ca="1">MID(CELL("filename",B1),FIND("]",CELL("filename",B1))+1,255)</f>
        <v>Event_14</v>
      </c>
    </row>
    <row r="104" spans="1:10">
      <c r="B104" t="s">
        <v>552</v>
      </c>
      <c r="C104" t="str">
        <f ca="1">_xlfn.XLOOKUP(C103,Calendar!O:O,Calendar!H:H,"Event is not in calendar")</f>
        <v/>
      </c>
    </row>
  </sheetData>
  <sortState xmlns:xlrd2="http://schemas.microsoft.com/office/spreadsheetml/2017/richdata2" ref="A2:K32">
    <sortCondition ref="K2:K32"/>
  </sortState>
  <conditionalFormatting sqref="E2:E101">
    <cfRule type="expression" dxfId="42" priority="3">
      <formula>TEXT($C$104,"@")="Y"</formula>
    </cfRule>
  </conditionalFormatting>
  <conditionalFormatting sqref="H2:I101">
    <cfRule type="expression" dxfId="41" priority="2">
      <formula>$J2="X"</formula>
    </cfRule>
  </conditionalFormatting>
  <conditionalFormatting sqref="I2:I101">
    <cfRule type="expression" dxfId="40" priority="1">
      <formula>TEXT($C$104,"@")="Y"</formula>
    </cfRule>
  </conditionalFormatting>
  <pageMargins left="0.7" right="0.7" top="0.75" bottom="0.75" header="0.3" footer="0.3"/>
  <pageSetup paperSize="9" orientation="portrait"/>
  <legacy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5"/>
  <dimension ref="A1:K104"/>
  <sheetViews>
    <sheetView topLeftCell="B28" workbookViewId="0">
      <selection activeCell="H23" sqref="H23"/>
    </sheetView>
    <sheetView workbookViewId="1"/>
  </sheetViews>
  <sheetFormatPr defaultColWidth="9.1328125" defaultRowHeight="12.75"/>
  <cols>
    <col min="1" max="1" width="36.46484375" bestFit="1" customWidth="1"/>
    <col min="2" max="2" width="49.53125" bestFit="1" customWidth="1"/>
    <col min="3" max="5" width="4.796875" customWidth="1"/>
    <col min="6" max="7" width="11.1328125" customWidth="1"/>
    <col min="8" max="8" width="44.796875" customWidth="1"/>
    <col min="9" max="9" width="14.6640625" style="38" bestFit="1" customWidth="1"/>
    <col min="10" max="10" width="19.19921875" bestFit="1" customWidth="1"/>
  </cols>
  <sheetData>
    <row r="1" spans="1:11" ht="15.75" customHeight="1">
      <c r="A1" s="39" t="s">
        <v>535</v>
      </c>
      <c r="B1" s="40" t="s">
        <v>536</v>
      </c>
      <c r="C1" s="41" t="s">
        <v>537</v>
      </c>
      <c r="D1" s="42" t="s">
        <v>538</v>
      </c>
      <c r="E1" s="43" t="s">
        <v>539</v>
      </c>
      <c r="F1" s="44" t="s">
        <v>540</v>
      </c>
      <c r="G1" s="44" t="s">
        <v>541</v>
      </c>
      <c r="H1" s="39" t="s">
        <v>461</v>
      </c>
      <c r="I1" s="45" t="s">
        <v>542</v>
      </c>
      <c r="J1" t="s">
        <v>543</v>
      </c>
    </row>
    <row r="2" spans="1:11" ht="15">
      <c r="A2" s="46" t="s">
        <v>459</v>
      </c>
      <c r="B2" s="47">
        <f t="shared" ref="B2:B45" si="0">IF(A2="","",_xlfn.XLOOKUP(A2,ClubNames,ClubNumbers,_xlfn.XLOOKUP(A2,RoundRobinRiderNames,RoundRobinRiderDecoratedNames,A2)))</f>
        <v>742</v>
      </c>
      <c r="C2" s="48"/>
      <c r="D2" s="49">
        <v>33</v>
      </c>
      <c r="E2" s="49">
        <v>53</v>
      </c>
      <c r="F2" s="49" t="s">
        <v>544</v>
      </c>
      <c r="G2" s="49"/>
      <c r="H2" s="50" t="str">
        <f>IF($B2="","",IF($J2="X",B2,CONCATENATE(VLOOKUP(B2,Competitors!$A$2:$I$650,3,FALSE)," ",VLOOKUP(B2,Competitors!$A$2:$I$650,2,FALSE))))</f>
        <v>Claire Moore</v>
      </c>
      <c r="I2" s="51">
        <f t="shared" ref="I2:I45" si="1">IF(LEFT($F2,1)="D",UPPER($F2),(C2*3600+D2*60+E2)/86400)</f>
        <v>2.3530092592592592E-2</v>
      </c>
      <c r="J2" t="str">
        <f t="shared" ref="J2:J45" si="2">IF(OR(B2="",ISNUMBER(B2)),"","X")</f>
        <v/>
      </c>
      <c r="K2">
        <v>1</v>
      </c>
    </row>
    <row r="3" spans="1:11" ht="15">
      <c r="A3" s="46" t="s">
        <v>460</v>
      </c>
      <c r="B3" s="47">
        <f t="shared" si="0"/>
        <v>7</v>
      </c>
      <c r="C3" s="48"/>
      <c r="D3" s="49">
        <v>32</v>
      </c>
      <c r="E3" s="49">
        <v>35</v>
      </c>
      <c r="F3" s="49" t="s">
        <v>544</v>
      </c>
      <c r="G3" s="49"/>
      <c r="H3" s="50" t="str">
        <f>IF($B3="","",IF($J3="X",B3,CONCATENATE(VLOOKUP(B3,Competitors!$A$2:$I$650,3,FALSE)," ",VLOOKUP(B3,Competitors!$A$2:$I$650,2,FALSE))))</f>
        <v>Vic Barnett</v>
      </c>
      <c r="I3" s="51">
        <f t="shared" si="1"/>
        <v>2.2627314814814815E-2</v>
      </c>
      <c r="J3" t="str">
        <f t="shared" si="2"/>
        <v/>
      </c>
      <c r="K3">
        <v>2</v>
      </c>
    </row>
    <row r="4" spans="1:11" ht="15">
      <c r="A4" s="46" t="s">
        <v>483</v>
      </c>
      <c r="B4" s="47" t="str">
        <f t="shared" si="0"/>
        <v>Andy King (KCC)</v>
      </c>
      <c r="C4" s="48"/>
      <c r="D4" s="49">
        <v>25</v>
      </c>
      <c r="E4" s="49">
        <v>52</v>
      </c>
      <c r="F4" s="49" t="s">
        <v>544</v>
      </c>
      <c r="G4" s="49"/>
      <c r="H4" s="50" t="str">
        <f>IF($B4="","",IF($J4="X",B4,CONCATENATE(VLOOKUP(B4,Competitors!$A$2:$I$650,3,FALSE)," ",VLOOKUP(B4,Competitors!$A$2:$I$650,2,FALSE))))</f>
        <v>Andy King (KCC)</v>
      </c>
      <c r="I4" s="51">
        <f t="shared" si="1"/>
        <v>1.7962962962962962E-2</v>
      </c>
      <c r="J4" t="str">
        <f t="shared" si="2"/>
        <v>X</v>
      </c>
      <c r="K4">
        <v>3</v>
      </c>
    </row>
    <row r="5" spans="1:11" ht="15">
      <c r="A5" s="46" t="s">
        <v>625</v>
      </c>
      <c r="B5" s="47" t="str">
        <f t="shared" si="0"/>
        <v>Ethan Mitchell-Clarke (Team Bottrill Nopinz) (RFW)</v>
      </c>
      <c r="C5" s="48"/>
      <c r="D5" s="49">
        <v>27</v>
      </c>
      <c r="E5" s="49">
        <v>59</v>
      </c>
      <c r="F5" s="49" t="s">
        <v>544</v>
      </c>
      <c r="G5" s="49"/>
      <c r="H5" s="50" t="str">
        <f>IF($B5="","",IF($J5="X",B5,CONCATENATE(VLOOKUP(B5,Competitors!$A$2:$I$650,3,FALSE)," ",VLOOKUP(B5,Competitors!$A$2:$I$650,2,FALSE))))</f>
        <v>Ethan Mitchell-Clarke (Team Bottrill Nopinz) (RFW)</v>
      </c>
      <c r="I5" s="51">
        <f t="shared" si="1"/>
        <v>1.9432870370370371E-2</v>
      </c>
      <c r="J5" t="str">
        <f t="shared" si="2"/>
        <v>X</v>
      </c>
      <c r="K5">
        <v>4</v>
      </c>
    </row>
    <row r="6" spans="1:11" ht="15">
      <c r="A6" s="46" t="s">
        <v>515</v>
      </c>
      <c r="B6" s="47" t="str">
        <f t="shared" si="0"/>
        <v>Adam Wells (RFW)</v>
      </c>
      <c r="C6" s="48"/>
      <c r="D6" s="49">
        <v>26</v>
      </c>
      <c r="E6" s="49">
        <v>8</v>
      </c>
      <c r="F6" s="49" t="s">
        <v>544</v>
      </c>
      <c r="G6" s="49"/>
      <c r="H6" s="50" t="str">
        <f>IF($B6="","",IF($J6="X",B6,CONCATENATE(VLOOKUP(B6,Competitors!$A$2:$I$650,3,FALSE)," ",VLOOKUP(B6,Competitors!$A$2:$I$650,2,FALSE))))</f>
        <v>Adam Wells (RFW)</v>
      </c>
      <c r="I6" s="51">
        <f t="shared" si="1"/>
        <v>1.8148148148148149E-2</v>
      </c>
      <c r="J6" t="str">
        <f t="shared" si="2"/>
        <v>X</v>
      </c>
      <c r="K6">
        <v>5</v>
      </c>
    </row>
    <row r="7" spans="1:11" ht="15">
      <c r="A7" s="46" t="s">
        <v>579</v>
      </c>
      <c r="B7" s="47">
        <f t="shared" si="0"/>
        <v>1370</v>
      </c>
      <c r="C7" s="48"/>
      <c r="D7" s="49">
        <v>26</v>
      </c>
      <c r="E7" s="49">
        <v>19</v>
      </c>
      <c r="F7" s="49" t="s">
        <v>544</v>
      </c>
      <c r="G7" s="49"/>
      <c r="H7" s="50" t="str">
        <f>IF($B7="","",IF($J7="X",B7,CONCATENATE(VLOOKUP(B7,Competitors!$A$2:$I$650,3,FALSE)," ",VLOOKUP(B7,Competitors!$A$2:$I$650,2,FALSE))))</f>
        <v>Ian Aldridge</v>
      </c>
      <c r="I7" s="51">
        <f t="shared" si="1"/>
        <v>1.8275462962962962E-2</v>
      </c>
      <c r="J7" t="str">
        <f t="shared" si="2"/>
        <v/>
      </c>
      <c r="K7">
        <v>6</v>
      </c>
    </row>
    <row r="8" spans="1:11" ht="15">
      <c r="A8" s="46" t="s">
        <v>440</v>
      </c>
      <c r="B8" s="47">
        <f t="shared" si="0"/>
        <v>245</v>
      </c>
      <c r="C8" s="48"/>
      <c r="D8" s="49">
        <v>29</v>
      </c>
      <c r="E8" s="49">
        <v>44</v>
      </c>
      <c r="F8" s="49"/>
      <c r="G8" s="49"/>
      <c r="H8" s="50" t="str">
        <f>IF($B8="","",IF($J8="X",B8,CONCATENATE(VLOOKUP(B8,Competitors!$A$2:$I$650,3,FALSE)," ",VLOOKUP(B8,Competitors!$A$2:$I$650,2,FALSE))))</f>
        <v>David Reay</v>
      </c>
      <c r="I8" s="51">
        <f t="shared" si="1"/>
        <v>2.0648148148148148E-2</v>
      </c>
      <c r="J8" t="str">
        <f t="shared" si="2"/>
        <v/>
      </c>
      <c r="K8">
        <v>7</v>
      </c>
    </row>
    <row r="9" spans="1:11" ht="15">
      <c r="A9" s="46" t="s">
        <v>628</v>
      </c>
      <c r="B9" s="47">
        <f t="shared" si="0"/>
        <v>1415</v>
      </c>
      <c r="C9" s="48"/>
      <c r="D9" s="49">
        <v>31</v>
      </c>
      <c r="E9" s="49">
        <v>22</v>
      </c>
      <c r="F9" s="49" t="s">
        <v>544</v>
      </c>
      <c r="G9" s="49"/>
      <c r="H9" s="50" t="str">
        <f>IF($B9="","",IF($J9="X",B9,CONCATENATE(VLOOKUP(B9,Competitors!$A$2:$I$650,3,FALSE)," ",VLOOKUP(B9,Competitors!$A$2:$I$650,2,FALSE))))</f>
        <v>James Aldridge</v>
      </c>
      <c r="I9" s="51">
        <f t="shared" si="1"/>
        <v>2.1782407407407407E-2</v>
      </c>
      <c r="J9" t="str">
        <f t="shared" si="2"/>
        <v/>
      </c>
      <c r="K9">
        <v>8</v>
      </c>
    </row>
    <row r="10" spans="1:11" ht="15">
      <c r="A10" s="46" t="s">
        <v>576</v>
      </c>
      <c r="B10" s="47">
        <f t="shared" si="0"/>
        <v>741</v>
      </c>
      <c r="C10" s="48"/>
      <c r="D10" s="49">
        <v>24</v>
      </c>
      <c r="E10" s="49">
        <v>54</v>
      </c>
      <c r="F10" s="49" t="s">
        <v>544</v>
      </c>
      <c r="G10" s="49"/>
      <c r="H10" s="50" t="str">
        <f>IF($B10="","",IF($J10="X",B10,CONCATENATE(VLOOKUP(B10,Competitors!$A$2:$I$650,3,FALSE)," ",VLOOKUP(B10,Competitors!$A$2:$I$650,2,FALSE))))</f>
        <v>Rob Moore</v>
      </c>
      <c r="I10" s="51">
        <f t="shared" si="1"/>
        <v>1.7291666666666667E-2</v>
      </c>
      <c r="J10" t="str">
        <f t="shared" si="2"/>
        <v/>
      </c>
      <c r="K10">
        <v>9</v>
      </c>
    </row>
    <row r="11" spans="1:11" ht="15">
      <c r="A11" s="46" t="s">
        <v>523</v>
      </c>
      <c r="B11" s="47" t="str">
        <f t="shared" si="0"/>
        <v>Lynne Wilkinson-Scofield (RFW)</v>
      </c>
      <c r="C11" s="48"/>
      <c r="D11" s="49">
        <v>30</v>
      </c>
      <c r="E11" s="49">
        <v>20</v>
      </c>
      <c r="F11" s="49"/>
      <c r="G11" s="49"/>
      <c r="H11" s="50" t="str">
        <f>IF($B11="","",IF($J11="X",B11,CONCATENATE(VLOOKUP(B11,Competitors!$A$2:$I$650,3,FALSE)," ",VLOOKUP(B11,Competitors!$A$2:$I$650,2,FALSE))))</f>
        <v>Lynne Wilkinson-Scofield (RFW)</v>
      </c>
      <c r="I11" s="51">
        <f t="shared" si="1"/>
        <v>2.1064814814814814E-2</v>
      </c>
      <c r="J11" t="str">
        <f t="shared" si="2"/>
        <v>X</v>
      </c>
      <c r="K11">
        <v>10</v>
      </c>
    </row>
    <row r="12" spans="1:11" ht="15">
      <c r="A12" s="46" t="s">
        <v>446</v>
      </c>
      <c r="B12" s="47">
        <f t="shared" si="0"/>
        <v>1379</v>
      </c>
      <c r="C12" s="48"/>
      <c r="D12" s="49">
        <v>29</v>
      </c>
      <c r="E12" s="49">
        <v>54</v>
      </c>
      <c r="F12" s="49" t="s">
        <v>544</v>
      </c>
      <c r="G12" s="49"/>
      <c r="H12" s="50" t="str">
        <f>IF($B12="","",IF($J12="X",B12,CONCATENATE(VLOOKUP(B12,Competitors!$A$2:$I$650,3,FALSE)," ",VLOOKUP(B12,Competitors!$A$2:$I$650,2,FALSE))))</f>
        <v>Michaela Latham</v>
      </c>
      <c r="I12" s="51">
        <f t="shared" si="1"/>
        <v>2.0763888888888887E-2</v>
      </c>
      <c r="J12" t="str">
        <f t="shared" si="2"/>
        <v/>
      </c>
      <c r="K12">
        <v>11</v>
      </c>
    </row>
    <row r="13" spans="1:11" ht="15">
      <c r="A13" s="46" t="s">
        <v>430</v>
      </c>
      <c r="B13" s="47">
        <f t="shared" si="0"/>
        <v>616</v>
      </c>
      <c r="C13" s="48"/>
      <c r="D13" s="49">
        <v>29</v>
      </c>
      <c r="E13" s="49">
        <v>12</v>
      </c>
      <c r="F13" s="49"/>
      <c r="G13" s="49"/>
      <c r="H13" s="50" t="str">
        <f>IF($B13="","",IF($J13="X",B13,CONCATENATE(VLOOKUP(B13,Competitors!$A$2:$I$650,3,FALSE)," ",VLOOKUP(B13,Competitors!$A$2:$I$650,2,FALSE))))</f>
        <v>Simon Ward</v>
      </c>
      <c r="I13" s="51">
        <f t="shared" si="1"/>
        <v>2.0277777777777777E-2</v>
      </c>
      <c r="J13" t="str">
        <f t="shared" si="2"/>
        <v/>
      </c>
      <c r="K13">
        <v>12</v>
      </c>
    </row>
    <row r="14" spans="1:11" ht="15">
      <c r="A14" s="46" t="s">
        <v>519</v>
      </c>
      <c r="B14" s="47" t="str">
        <f t="shared" si="0"/>
        <v>David Hill (RFW)</v>
      </c>
      <c r="C14" s="48"/>
      <c r="D14" s="49">
        <v>28</v>
      </c>
      <c r="E14" s="49">
        <v>46</v>
      </c>
      <c r="F14" s="49" t="s">
        <v>544</v>
      </c>
      <c r="G14" s="49"/>
      <c r="H14" s="50" t="str">
        <f>IF($B14="","",IF($J14="X",B14,CONCATENATE(VLOOKUP(B14,Competitors!$A$2:$I$650,3,FALSE)," ",VLOOKUP(B14,Competitors!$A$2:$I$650,2,FALSE))))</f>
        <v>David Hill (RFW)</v>
      </c>
      <c r="I14" s="51">
        <f t="shared" si="1"/>
        <v>1.9976851851851853E-2</v>
      </c>
      <c r="J14" t="str">
        <f t="shared" si="2"/>
        <v>X</v>
      </c>
      <c r="K14">
        <v>13</v>
      </c>
    </row>
    <row r="15" spans="1:11" ht="15">
      <c r="A15" s="46" t="s">
        <v>512</v>
      </c>
      <c r="B15" s="47" t="str">
        <f t="shared" si="0"/>
        <v>Paul Eden (Ratae)</v>
      </c>
      <c r="C15" s="48"/>
      <c r="D15" s="49">
        <v>32</v>
      </c>
      <c r="E15" s="49">
        <v>30</v>
      </c>
      <c r="F15" s="49" t="s">
        <v>544</v>
      </c>
      <c r="G15" s="49"/>
      <c r="H15" s="50" t="str">
        <f>IF($B15="","",IF($J15="X",B15,CONCATENATE(VLOOKUP(B15,Competitors!$A$2:$I$650,3,FALSE)," ",VLOOKUP(B15,Competitors!$A$2:$I$650,2,FALSE))))</f>
        <v>Paul Eden (Ratae)</v>
      </c>
      <c r="I15" s="51">
        <f t="shared" si="1"/>
        <v>2.2569444444444444E-2</v>
      </c>
      <c r="J15" t="str">
        <f t="shared" si="2"/>
        <v>X</v>
      </c>
      <c r="K15">
        <v>14</v>
      </c>
    </row>
    <row r="16" spans="1:11" ht="15">
      <c r="A16" s="46" t="s">
        <v>586</v>
      </c>
      <c r="B16" s="47" t="str">
        <f t="shared" si="0"/>
        <v>Steve Coombs (RFW)</v>
      </c>
      <c r="C16" s="48"/>
      <c r="D16" s="49">
        <v>25</v>
      </c>
      <c r="E16" s="49">
        <v>34</v>
      </c>
      <c r="F16" s="49"/>
      <c r="G16" s="49"/>
      <c r="H16" s="50" t="str">
        <f>IF($B16="","",IF($J16="X",B16,CONCATENATE(VLOOKUP(B16,Competitors!$A$2:$I$650,3,FALSE)," ",VLOOKUP(B16,Competitors!$A$2:$I$650,2,FALSE))))</f>
        <v>Steve Coombs (RFW)</v>
      </c>
      <c r="I16" s="51">
        <f t="shared" si="1"/>
        <v>1.7754629629629631E-2</v>
      </c>
      <c r="J16" t="str">
        <f t="shared" si="2"/>
        <v>X</v>
      </c>
      <c r="K16">
        <v>15</v>
      </c>
    </row>
    <row r="17" spans="1:11" ht="15">
      <c r="A17" s="46" t="s">
        <v>422</v>
      </c>
      <c r="B17" s="47">
        <f t="shared" si="0"/>
        <v>1407</v>
      </c>
      <c r="C17" s="48"/>
      <c r="D17" s="49">
        <v>26</v>
      </c>
      <c r="E17" s="49">
        <v>21</v>
      </c>
      <c r="F17" s="49" t="s">
        <v>544</v>
      </c>
      <c r="G17" s="49"/>
      <c r="H17" s="50" t="str">
        <f>IF($B17="","",IF($J17="X",B17,CONCATENATE(VLOOKUP(B17,Competitors!$A$2:$I$650,3,FALSE)," ",VLOOKUP(B17,Competitors!$A$2:$I$650,2,FALSE))))</f>
        <v>Colin Dobson</v>
      </c>
      <c r="I17" s="51">
        <f t="shared" si="1"/>
        <v>1.8298611111111113E-2</v>
      </c>
      <c r="J17" t="str">
        <f t="shared" si="2"/>
        <v/>
      </c>
      <c r="K17">
        <v>16</v>
      </c>
    </row>
    <row r="18" spans="1:11" ht="15">
      <c r="A18" s="46" t="s">
        <v>436</v>
      </c>
      <c r="B18" s="47">
        <f t="shared" si="0"/>
        <v>203</v>
      </c>
      <c r="C18" s="48"/>
      <c r="D18" s="49">
        <v>29</v>
      </c>
      <c r="E18" s="49">
        <v>1</v>
      </c>
      <c r="F18" s="49"/>
      <c r="G18" s="49"/>
      <c r="H18" s="50" t="str">
        <f>IF($B18="","",IF($J18="X",B18,CONCATENATE(VLOOKUP(B18,Competitors!$A$2:$I$650,3,FALSE)," ",VLOOKUP(B18,Competitors!$A$2:$I$650,2,FALSE))))</f>
        <v>Adrian Killworth</v>
      </c>
      <c r="I18" s="51">
        <f t="shared" si="1"/>
        <v>2.0150462962962964E-2</v>
      </c>
      <c r="J18" t="str">
        <f t="shared" si="2"/>
        <v/>
      </c>
      <c r="K18">
        <v>17</v>
      </c>
    </row>
    <row r="19" spans="1:11" ht="15">
      <c r="A19" s="46" t="s">
        <v>501</v>
      </c>
      <c r="B19" s="47" t="str">
        <f t="shared" si="0"/>
        <v>Chris Bonsor (Ratae)</v>
      </c>
      <c r="C19" s="48"/>
      <c r="D19" s="49">
        <v>27</v>
      </c>
      <c r="E19" s="49">
        <v>9</v>
      </c>
      <c r="F19" s="49"/>
      <c r="G19" s="49"/>
      <c r="H19" s="50" t="str">
        <f>IF($B19="","",IF($J19="X",B19,CONCATENATE(VLOOKUP(B19,Competitors!$A$2:$I$650,3,FALSE)," ",VLOOKUP(B19,Competitors!$A$2:$I$650,2,FALSE))))</f>
        <v>Chris Bonsor (Ratae)</v>
      </c>
      <c r="I19" s="51">
        <f t="shared" si="1"/>
        <v>1.8854166666666668E-2</v>
      </c>
      <c r="J19" t="str">
        <f t="shared" si="2"/>
        <v>X</v>
      </c>
      <c r="K19">
        <v>18</v>
      </c>
    </row>
    <row r="20" spans="1:11" ht="15">
      <c r="A20" s="46" t="s">
        <v>421</v>
      </c>
      <c r="B20" s="47">
        <f t="shared" si="0"/>
        <v>415</v>
      </c>
      <c r="C20" s="48"/>
      <c r="D20" s="49">
        <v>26</v>
      </c>
      <c r="E20" s="49">
        <v>43</v>
      </c>
      <c r="F20" s="49" t="s">
        <v>544</v>
      </c>
      <c r="G20" s="49"/>
      <c r="H20" s="50" t="str">
        <f>IF($B20="","",IF($J20="X",B20,CONCATENATE(VLOOKUP(B20,Competitors!$A$2:$I$650,3,FALSE)," ",VLOOKUP(B20,Competitors!$A$2:$I$650,2,FALSE))))</f>
        <v>Nik Kershaw</v>
      </c>
      <c r="I20" s="51">
        <f t="shared" si="1"/>
        <v>1.8553240740740742E-2</v>
      </c>
      <c r="J20" t="str">
        <f t="shared" si="2"/>
        <v/>
      </c>
      <c r="K20">
        <v>19</v>
      </c>
    </row>
    <row r="21" spans="1:11" ht="15">
      <c r="A21" s="46" t="s">
        <v>590</v>
      </c>
      <c r="B21" s="47" t="str">
        <f t="shared" si="0"/>
        <v>Laurence Noble (RFW)</v>
      </c>
      <c r="C21" s="48"/>
      <c r="D21" s="49">
        <v>26</v>
      </c>
      <c r="E21" s="49">
        <v>6</v>
      </c>
      <c r="F21" s="49"/>
      <c r="G21" s="49"/>
      <c r="H21" s="50" t="str">
        <f>IF($B21="","",IF($J21="X",B21,CONCATENATE(VLOOKUP(B21,Competitors!$A$2:$I$650,3,FALSE)," ",VLOOKUP(B21,Competitors!$A$2:$I$650,2,FALSE))))</f>
        <v>Laurence Noble (RFW)</v>
      </c>
      <c r="I21" s="51">
        <f t="shared" si="1"/>
        <v>1.8124999999999999E-2</v>
      </c>
      <c r="J21" t="str">
        <f t="shared" si="2"/>
        <v>X</v>
      </c>
      <c r="K21">
        <v>20</v>
      </c>
    </row>
    <row r="22" spans="1:11" ht="15">
      <c r="A22" s="46" t="s">
        <v>444</v>
      </c>
      <c r="B22" s="47">
        <f t="shared" si="0"/>
        <v>1386</v>
      </c>
      <c r="C22" s="48"/>
      <c r="D22" s="49">
        <v>29</v>
      </c>
      <c r="E22" s="49">
        <v>30</v>
      </c>
      <c r="F22" s="49" t="s">
        <v>544</v>
      </c>
      <c r="G22" s="49"/>
      <c r="H22" s="50" t="str">
        <f>IF($B22="","",IF($J22="X",B22,CONCATENATE(VLOOKUP(B22,Competitors!$A$2:$I$650,3,FALSE)," ",VLOOKUP(B22,Competitors!$A$2:$I$650,2,FALSE))))</f>
        <v>Mea Moore</v>
      </c>
      <c r="I22" s="51">
        <f t="shared" si="1"/>
        <v>2.0486111111111111E-2</v>
      </c>
      <c r="J22" t="str">
        <f t="shared" si="2"/>
        <v/>
      </c>
      <c r="K22">
        <v>21</v>
      </c>
    </row>
    <row r="23" spans="1:11" ht="15">
      <c r="A23" s="46" t="s">
        <v>429</v>
      </c>
      <c r="B23" s="47">
        <f t="shared" si="0"/>
        <v>1107</v>
      </c>
      <c r="C23" s="48"/>
      <c r="D23" s="49">
        <v>28</v>
      </c>
      <c r="E23" s="49">
        <v>9</v>
      </c>
      <c r="F23" s="49" t="s">
        <v>544</v>
      </c>
      <c r="G23" s="49"/>
      <c r="H23" s="50" t="str">
        <f>IF($B23="","",IF($J23="X",B23,CONCATENATE(VLOOKUP(B23,Competitors!$A$2:$I$650,3,FALSE)," ",VLOOKUP(B23,Competitors!$A$2:$I$650,2,FALSE))))</f>
        <v>Milly Pinnock</v>
      </c>
      <c r="I23" s="51">
        <f t="shared" si="1"/>
        <v>1.954861111111111E-2</v>
      </c>
      <c r="J23" t="str">
        <f t="shared" si="2"/>
        <v/>
      </c>
      <c r="K23">
        <v>22</v>
      </c>
    </row>
    <row r="24" spans="1:11" ht="15">
      <c r="A24" s="46" t="s">
        <v>627</v>
      </c>
      <c r="B24" s="47">
        <f t="shared" si="0"/>
        <v>567</v>
      </c>
      <c r="C24" s="48"/>
      <c r="D24" s="49">
        <v>28</v>
      </c>
      <c r="E24" s="49">
        <v>41</v>
      </c>
      <c r="F24" s="49" t="s">
        <v>544</v>
      </c>
      <c r="G24" s="49"/>
      <c r="H24" s="50" t="str">
        <f>IF($B24="","",IF($J24="X",B24,CONCATENATE(VLOOKUP(B24,Competitors!$A$2:$I$650,3,FALSE)," ",VLOOKUP(B24,Competitors!$A$2:$I$650,2,FALSE))))</f>
        <v>Lawrence Cox</v>
      </c>
      <c r="I24" s="51">
        <f t="shared" si="1"/>
        <v>1.9918981481481482E-2</v>
      </c>
      <c r="J24" t="str">
        <f t="shared" si="2"/>
        <v/>
      </c>
      <c r="K24">
        <v>23</v>
      </c>
    </row>
    <row r="25" spans="1:11" ht="15">
      <c r="A25" s="46" t="s">
        <v>614</v>
      </c>
      <c r="B25" s="47">
        <f t="shared" si="0"/>
        <v>1391</v>
      </c>
      <c r="C25" s="48"/>
      <c r="D25" s="49">
        <v>25</v>
      </c>
      <c r="E25" s="49">
        <v>59</v>
      </c>
      <c r="F25" s="49" t="s">
        <v>544</v>
      </c>
      <c r="G25" s="49"/>
      <c r="H25" s="50" t="str">
        <f>IF($B25="","",IF($J25="X",B25,CONCATENATE(VLOOKUP(B25,Competitors!$A$2:$I$650,3,FALSE)," ",VLOOKUP(B25,Competitors!$A$2:$I$650,2,FALSE))))</f>
        <v>Leah Cuthbertson</v>
      </c>
      <c r="I25" s="51">
        <f t="shared" si="1"/>
        <v>1.804398148148148E-2</v>
      </c>
      <c r="J25" t="str">
        <f t="shared" si="2"/>
        <v/>
      </c>
      <c r="K25">
        <v>24</v>
      </c>
    </row>
    <row r="26" spans="1:11" ht="15">
      <c r="A26" s="46" t="s">
        <v>514</v>
      </c>
      <c r="B26" s="47" t="str">
        <f t="shared" si="0"/>
        <v>Steve Pearce (Ratae)</v>
      </c>
      <c r="C26" s="48"/>
      <c r="D26" s="49">
        <v>28</v>
      </c>
      <c r="E26" s="49">
        <v>46</v>
      </c>
      <c r="F26" s="49"/>
      <c r="G26" s="49"/>
      <c r="H26" s="50" t="str">
        <f>IF($B26="","",IF($J26="X",B26,CONCATENATE(VLOOKUP(B26,Competitors!$A$2:$I$650,3,FALSE)," ",VLOOKUP(B26,Competitors!$A$2:$I$650,2,FALSE))))</f>
        <v>Steve Pearce (Ratae)</v>
      </c>
      <c r="I26" s="51">
        <f t="shared" si="1"/>
        <v>1.9976851851851853E-2</v>
      </c>
      <c r="J26" t="str">
        <f t="shared" si="2"/>
        <v>X</v>
      </c>
      <c r="K26">
        <v>25</v>
      </c>
    </row>
    <row r="27" spans="1:11" ht="15">
      <c r="A27" s="46" t="s">
        <v>418</v>
      </c>
      <c r="B27" s="47">
        <f t="shared" si="0"/>
        <v>1355</v>
      </c>
      <c r="C27" s="48"/>
      <c r="D27" s="49">
        <v>25</v>
      </c>
      <c r="E27" s="49">
        <v>23</v>
      </c>
      <c r="F27" s="49" t="s">
        <v>544</v>
      </c>
      <c r="G27" s="49"/>
      <c r="H27" s="50" t="str">
        <f>IF($B27="","",IF($J27="X",B27,CONCATENATE(VLOOKUP(B27,Competitors!$A$2:$I$650,3, FALSE)," ",VLOOKUP(B27,Competitors!$A$2:$I$650,2,FALSE))))</f>
        <v>Aubrey Elmer</v>
      </c>
      <c r="I27" s="51">
        <f t="shared" si="1"/>
        <v>1.7627314814814814E-2</v>
      </c>
      <c r="J27" t="str">
        <f t="shared" si="2"/>
        <v/>
      </c>
      <c r="K27">
        <v>26</v>
      </c>
    </row>
    <row r="28" spans="1:11" ht="15">
      <c r="A28" s="46" t="s">
        <v>413</v>
      </c>
      <c r="B28" s="47">
        <f t="shared" si="0"/>
        <v>989</v>
      </c>
      <c r="C28" s="48"/>
      <c r="D28" s="49">
        <v>24</v>
      </c>
      <c r="E28" s="49">
        <v>14</v>
      </c>
      <c r="F28" s="49" t="s">
        <v>544</v>
      </c>
      <c r="G28" s="49"/>
      <c r="H28" s="50" t="str">
        <f>IF($B28="","",IF($J28="X",B28,CONCATENATE(VLOOKUP(B28,Competitors!$A$2:$I$650,3,FALSE)," ",VLOOKUP(B28,Competitors!$A$2:$I$650,2,FALSE))))</f>
        <v>Jason Williams</v>
      </c>
      <c r="I28" s="51">
        <f t="shared" si="1"/>
        <v>1.6828703703703703E-2</v>
      </c>
      <c r="J28" t="str">
        <f t="shared" si="2"/>
        <v/>
      </c>
      <c r="K28">
        <v>27</v>
      </c>
    </row>
    <row r="29" spans="1:11" ht="15">
      <c r="A29" s="46" t="s">
        <v>412</v>
      </c>
      <c r="B29" s="47">
        <f t="shared" si="0"/>
        <v>1144</v>
      </c>
      <c r="C29" s="48"/>
      <c r="D29" s="49">
        <v>24</v>
      </c>
      <c r="E29" s="49">
        <v>0</v>
      </c>
      <c r="F29" s="49" t="s">
        <v>544</v>
      </c>
      <c r="G29" s="49"/>
      <c r="H29" s="50" t="str">
        <f>IF($B29="","",IF($J29="X",B29,CONCATENATE(VLOOKUP(B29,Competitors!$A$2:$I$650,3,FALSE)," ",VLOOKUP(B29,Competitors!$A$2:$I$650,2,FALSE))))</f>
        <v>Jamie Kershaw</v>
      </c>
      <c r="I29" s="51">
        <f t="shared" si="1"/>
        <v>1.6666666666666666E-2</v>
      </c>
      <c r="J29" t="str">
        <f t="shared" si="2"/>
        <v/>
      </c>
      <c r="K29">
        <v>28</v>
      </c>
    </row>
    <row r="30" spans="1:11" ht="15">
      <c r="A30" s="46" t="s">
        <v>457</v>
      </c>
      <c r="B30" s="47">
        <f t="shared" si="0"/>
        <v>120</v>
      </c>
      <c r="C30" s="48"/>
      <c r="D30" s="49">
        <v>28</v>
      </c>
      <c r="E30" s="49">
        <v>58</v>
      </c>
      <c r="F30" s="49"/>
      <c r="G30" s="49"/>
      <c r="H30" s="50" t="str">
        <f>IF($B30="","",IF($J30="X",B30,CONCATENATE(VLOOKUP(B30,Competitors!$A$2:$I$650,3,FALSE)," ",VLOOKUP(B30,Competitors!$A$2:$I$650,2,FALSE))))</f>
        <v>Linda Hubbard</v>
      </c>
      <c r="I30" s="51">
        <f t="shared" si="1"/>
        <v>2.011574074074074E-2</v>
      </c>
      <c r="J30" t="str">
        <f t="shared" si="2"/>
        <v/>
      </c>
      <c r="K30">
        <v>29</v>
      </c>
    </row>
    <row r="31" spans="1:11" ht="15">
      <c r="A31" s="46" t="s">
        <v>789</v>
      </c>
      <c r="B31" s="47" t="str">
        <f t="shared" si="0"/>
        <v>Evan Collett (George Fox CS) (KCC)</v>
      </c>
      <c r="C31" s="48"/>
      <c r="D31" s="49">
        <v>25</v>
      </c>
      <c r="E31" s="49">
        <v>45</v>
      </c>
      <c r="F31" s="49"/>
      <c r="G31" s="49"/>
      <c r="H31" s="50" t="str">
        <f>IF($B31="","",IF($J31="X",B31,CONCATENATE(VLOOKUP(B31,Competitors!$A$2:$I$650,3,FALSE)," ",VLOOKUP(B31,Competitors!$A$2:$I$650,2,FALSE))))</f>
        <v>Evan Collett (George Fox CS) (KCC)</v>
      </c>
      <c r="I31" s="51">
        <f t="shared" si="1"/>
        <v>1.7881944444444443E-2</v>
      </c>
      <c r="J31" t="str">
        <f t="shared" si="2"/>
        <v>X</v>
      </c>
      <c r="K31">
        <v>30</v>
      </c>
    </row>
    <row r="32" spans="1:11" ht="15">
      <c r="A32" s="46" t="s">
        <v>626</v>
      </c>
      <c r="B32" s="47" t="str">
        <f t="shared" si="0"/>
        <v>Pete Bradshaw (RFW)</v>
      </c>
      <c r="C32" s="48"/>
      <c r="D32" s="49">
        <v>25</v>
      </c>
      <c r="E32" s="49">
        <v>7</v>
      </c>
      <c r="F32" s="49" t="s">
        <v>544</v>
      </c>
      <c r="G32" s="49"/>
      <c r="H32" s="50" t="str">
        <f>IF($B32="","",IF($J32="X",B32,CONCATENATE(VLOOKUP(B32,Competitors!$A$2:$I$650,3,FALSE)," ",VLOOKUP(B32,Competitors!$A$2:$I$650,2,FALSE))))</f>
        <v>Pete Bradshaw (RFW)</v>
      </c>
      <c r="I32" s="51">
        <f t="shared" si="1"/>
        <v>1.744212962962963E-2</v>
      </c>
      <c r="J32" t="str">
        <f t="shared" si="2"/>
        <v>X</v>
      </c>
      <c r="K32">
        <v>31</v>
      </c>
    </row>
    <row r="33" spans="1:11" ht="15">
      <c r="A33" s="46" t="s">
        <v>433</v>
      </c>
      <c r="B33" s="47">
        <f t="shared" si="0"/>
        <v>1109</v>
      </c>
      <c r="C33" s="48"/>
      <c r="D33" s="49">
        <v>28</v>
      </c>
      <c r="E33" s="49">
        <v>36</v>
      </c>
      <c r="F33" s="49" t="s">
        <v>544</v>
      </c>
      <c r="G33" s="49"/>
      <c r="H33" s="50" t="str">
        <f>IF($B33="","",IF($J33="X",B33,CONCATENATE(VLOOKUP(B33,Competitors!$A$2:$I$650,3,FALSE)," ",VLOOKUP(B33,Competitors!$A$2:$I$650,2,FALSE))))</f>
        <v>Stuart Haycox</v>
      </c>
      <c r="I33" s="51">
        <f t="shared" si="1"/>
        <v>1.9861111111111111E-2</v>
      </c>
      <c r="J33" t="str">
        <f t="shared" si="2"/>
        <v/>
      </c>
      <c r="K33">
        <v>32</v>
      </c>
    </row>
    <row r="34" spans="1:11" ht="15">
      <c r="A34" s="46" t="s">
        <v>509</v>
      </c>
      <c r="B34" s="47" t="str">
        <f t="shared" si="0"/>
        <v>Mark Newton (Ratae)</v>
      </c>
      <c r="C34" s="48"/>
      <c r="D34" s="49">
        <v>26</v>
      </c>
      <c r="E34" s="49">
        <v>34</v>
      </c>
      <c r="F34" s="49"/>
      <c r="G34" s="49"/>
      <c r="H34" s="50" t="str">
        <f>IF($B34="","",IF($J34="X",B34,CONCATENATE(VLOOKUP(B34,Competitors!$A$2:$I$650,3,FALSE)," ",VLOOKUP(B34,Competitors!$A$2:$I$650,2,FALSE))))</f>
        <v>Mark Newton (Ratae)</v>
      </c>
      <c r="I34" s="51">
        <f t="shared" si="1"/>
        <v>1.8449074074074073E-2</v>
      </c>
      <c r="J34" t="str">
        <f t="shared" si="2"/>
        <v>X</v>
      </c>
      <c r="K34">
        <v>33</v>
      </c>
    </row>
    <row r="35" spans="1:11" ht="15">
      <c r="A35" s="46" t="s">
        <v>524</v>
      </c>
      <c r="B35" s="47" t="str">
        <f t="shared" si="0"/>
        <v>Michael Carter (RFW)</v>
      </c>
      <c r="C35" s="48"/>
      <c r="D35" s="49">
        <v>26</v>
      </c>
      <c r="E35" s="49">
        <v>33</v>
      </c>
      <c r="F35" s="49" t="s">
        <v>544</v>
      </c>
      <c r="G35" s="49"/>
      <c r="H35" s="50" t="str">
        <f>IF($B35="","",IF($J35="X",B35,CONCATENATE(VLOOKUP(B35,Competitors!$A$2:$I$650,3,FALSE)," ",VLOOKUP(B35,Competitors!$A$2:$I$650,2,FALSE))))</f>
        <v>Michael Carter (RFW)</v>
      </c>
      <c r="I35" s="51">
        <f t="shared" si="1"/>
        <v>1.8437499999999999E-2</v>
      </c>
      <c r="J35" t="str">
        <f t="shared" si="2"/>
        <v>X</v>
      </c>
      <c r="K35">
        <v>34</v>
      </c>
    </row>
    <row r="36" spans="1:11" ht="15">
      <c r="A36" s="46" t="s">
        <v>416</v>
      </c>
      <c r="B36" s="47">
        <f t="shared" si="0"/>
        <v>38</v>
      </c>
      <c r="C36" s="48"/>
      <c r="D36" s="49">
        <v>26</v>
      </c>
      <c r="E36" s="49">
        <v>54</v>
      </c>
      <c r="F36" s="49"/>
      <c r="G36" s="49"/>
      <c r="H36" s="50" t="str">
        <f>IF($B36="","",IF($J36="X",B36,CONCATENATE(VLOOKUP(B36,Competitors!$A$2:$I$650,3,FALSE)," ",VLOOKUP(B36,Competitors!$A$2:$I$650,2,FALSE))))</f>
        <v>Phil Rayner</v>
      </c>
      <c r="I36" s="51">
        <f t="shared" si="1"/>
        <v>1.8680555555555554E-2</v>
      </c>
      <c r="J36" t="str">
        <f t="shared" si="2"/>
        <v/>
      </c>
      <c r="K36">
        <v>35</v>
      </c>
    </row>
    <row r="37" spans="1:11" ht="15">
      <c r="A37" s="46" t="s">
        <v>589</v>
      </c>
      <c r="B37" s="47" t="str">
        <f t="shared" si="0"/>
        <v>Alex Barrowman (RFW)</v>
      </c>
      <c r="C37" s="48"/>
      <c r="D37" s="49">
        <v>24</v>
      </c>
      <c r="E37" s="49">
        <v>25</v>
      </c>
      <c r="F37" s="49" t="s">
        <v>544</v>
      </c>
      <c r="G37" s="49"/>
      <c r="H37" s="50" t="str">
        <f>IF($B37="","",IF($J37="X",B37,CONCATENATE(VLOOKUP(B37,Competitors!$A$2:$I$650,3,FALSE)," ",VLOOKUP(B37,Competitors!$A$2:$I$650,2,FALSE))))</f>
        <v>Alex Barrowman (RFW)</v>
      </c>
      <c r="I37" s="51">
        <f t="shared" si="1"/>
        <v>1.695601851851852E-2</v>
      </c>
      <c r="J37" t="str">
        <f t="shared" si="2"/>
        <v>X</v>
      </c>
      <c r="K37">
        <v>36</v>
      </c>
    </row>
    <row r="38" spans="1:11" ht="15">
      <c r="A38" s="46" t="s">
        <v>410</v>
      </c>
      <c r="B38" s="47">
        <f t="shared" si="0"/>
        <v>747</v>
      </c>
      <c r="C38" s="48"/>
      <c r="D38" s="49">
        <v>23</v>
      </c>
      <c r="E38" s="49">
        <v>43</v>
      </c>
      <c r="F38" s="49"/>
      <c r="G38" s="49"/>
      <c r="H38" s="50" t="str">
        <f>IF($B38="","",IF($J38="X",B38,CONCATENATE(VLOOKUP(B38,Competitors!$A$2:$I$650,3,FALSE)," ",VLOOKUP(B38,Competitors!$A$2:$I$650,2,FALSE))))</f>
        <v>James Moore</v>
      </c>
      <c r="I38" s="51">
        <f t="shared" si="1"/>
        <v>1.6469907407407409E-2</v>
      </c>
      <c r="J38" t="str">
        <f t="shared" si="2"/>
        <v/>
      </c>
      <c r="K38">
        <v>37</v>
      </c>
    </row>
    <row r="39" spans="1:11" ht="15">
      <c r="A39" s="46" t="s">
        <v>411</v>
      </c>
      <c r="B39" s="47">
        <f t="shared" si="0"/>
        <v>407</v>
      </c>
      <c r="C39" s="48"/>
      <c r="D39" s="49">
        <v>23</v>
      </c>
      <c r="E39" s="49">
        <v>30</v>
      </c>
      <c r="F39" s="49"/>
      <c r="G39" s="49"/>
      <c r="H39" s="50" t="str">
        <f>IF($B39="","",IF($J39="X",B39,CONCATENATE(VLOOKUP(B39,Competitors!$A$2:$I$650,3,FALSE)," ",VLOOKUP(B39,Competitors!$A$2:$I$650,2,FALSE))))</f>
        <v>Hans van Nierop</v>
      </c>
      <c r="I39" s="51">
        <f t="shared" si="1"/>
        <v>1.6319444444444445E-2</v>
      </c>
      <c r="J39" t="str">
        <f t="shared" si="2"/>
        <v/>
      </c>
      <c r="K39">
        <v>38</v>
      </c>
    </row>
    <row r="40" spans="1:11" ht="15">
      <c r="A40" s="46" t="s">
        <v>517</v>
      </c>
      <c r="B40" s="47" t="str">
        <f t="shared" si="0"/>
        <v>Chris Fowler (RFW)</v>
      </c>
      <c r="C40" s="48"/>
      <c r="D40" s="49">
        <v>24</v>
      </c>
      <c r="E40" s="49">
        <v>32</v>
      </c>
      <c r="F40" s="49" t="s">
        <v>544</v>
      </c>
      <c r="G40" s="49"/>
      <c r="H40" s="50" t="str">
        <f>IF($B40="","",IF($J40="X",B40,CONCATENATE(VLOOKUP(B40,Competitors!$A$2:$I$650,3,FALSE)," ",VLOOKUP(B40,Competitors!$A$2:$I$650,2,FALSE))))</f>
        <v>Chris Fowler (RFW)</v>
      </c>
      <c r="I40" s="51">
        <f t="shared" si="1"/>
        <v>1.7037037037037038E-2</v>
      </c>
      <c r="J40" t="str">
        <f t="shared" si="2"/>
        <v>X</v>
      </c>
      <c r="K40">
        <v>39</v>
      </c>
    </row>
    <row r="41" spans="1:11" ht="15">
      <c r="A41" s="46" t="s">
        <v>415</v>
      </c>
      <c r="B41" s="47">
        <f t="shared" si="0"/>
        <v>1161</v>
      </c>
      <c r="C41" s="48"/>
      <c r="D41" s="49">
        <v>25</v>
      </c>
      <c r="E41" s="49">
        <v>39</v>
      </c>
      <c r="F41" s="49"/>
      <c r="G41" s="49"/>
      <c r="H41" s="50" t="str">
        <f>IF($B41="","",IF($J41="X",B41,CONCATENATE(VLOOKUP(B41,Competitors!$A$2:$I$650,3,FALSE)," ",VLOOKUP(B41,Competitors!$A$2:$I$650,2,FALSE))))</f>
        <v>Maciej Suchocki</v>
      </c>
      <c r="I41" s="51">
        <f t="shared" si="1"/>
        <v>1.7812499999999998E-2</v>
      </c>
      <c r="J41" t="str">
        <f t="shared" si="2"/>
        <v/>
      </c>
      <c r="K41">
        <v>40</v>
      </c>
    </row>
    <row r="42" spans="1:11" ht="15">
      <c r="A42" s="46" t="s">
        <v>592</v>
      </c>
      <c r="B42" s="47">
        <f t="shared" si="0"/>
        <v>1390</v>
      </c>
      <c r="C42" s="48"/>
      <c r="D42" s="49">
        <v>26</v>
      </c>
      <c r="E42" s="49">
        <v>8</v>
      </c>
      <c r="F42" s="49" t="s">
        <v>544</v>
      </c>
      <c r="G42" s="49"/>
      <c r="H42" s="50" t="str">
        <f>IF($B42="","",IF($J42="X",B42,CONCATENATE(VLOOKUP(B42,Competitors!$A$2:$I$650,3,FALSE)," ",VLOOKUP(B42,Competitors!$A$2:$I$650,2,FALSE))))</f>
        <v>Diego Patteri</v>
      </c>
      <c r="I42" s="51">
        <f t="shared" si="1"/>
        <v>1.8148148148148149E-2</v>
      </c>
      <c r="J42" t="str">
        <f t="shared" si="2"/>
        <v/>
      </c>
      <c r="K42">
        <v>41</v>
      </c>
    </row>
    <row r="43" spans="1:11" ht="15">
      <c r="A43" s="46" t="s">
        <v>499</v>
      </c>
      <c r="B43" s="47" t="str">
        <f t="shared" si="0"/>
        <v>Alex Whitmore (Ratae)</v>
      </c>
      <c r="C43" s="48"/>
      <c r="D43" s="49">
        <v>23</v>
      </c>
      <c r="E43" s="49">
        <v>45</v>
      </c>
      <c r="F43" s="49" t="s">
        <v>544</v>
      </c>
      <c r="G43" s="49"/>
      <c r="H43" s="50" t="str">
        <f>IF($B43="","",IF($J43="X",B43,CONCATENATE(VLOOKUP(B43,Competitors!$A$2:$I$650,3,FALSE)," ",VLOOKUP(B43,Competitors!$A$2:$I$650,2,FALSE))))</f>
        <v>Alex Whitmore (Ratae)</v>
      </c>
      <c r="I43" s="51">
        <f t="shared" si="1"/>
        <v>1.6493055555555556E-2</v>
      </c>
      <c r="J43" t="str">
        <f t="shared" si="2"/>
        <v>X</v>
      </c>
      <c r="K43">
        <v>42</v>
      </c>
    </row>
    <row r="44" spans="1:11" ht="15">
      <c r="A44" s="46" t="s">
        <v>790</v>
      </c>
      <c r="B44" s="47" t="str">
        <f t="shared" si="0"/>
        <v>Mike Deely (George Fox CS) (RFW)</v>
      </c>
      <c r="C44" s="48"/>
      <c r="D44" s="49">
        <v>28</v>
      </c>
      <c r="E44" s="49">
        <v>44</v>
      </c>
      <c r="F44" s="49"/>
      <c r="G44" s="49"/>
      <c r="H44" s="50" t="str">
        <f>IF($B44="","",IF($J44="X",B44,CONCATENATE(VLOOKUP(B44,Competitors!$A$2:$I$650,3,FALSE)," ",VLOOKUP(B44,Competitors!$A$2:$I$650,2,FALSE))))</f>
        <v>Mike Deely (George Fox CS) (RFW)</v>
      </c>
      <c r="I44" s="51">
        <f t="shared" si="1"/>
        <v>1.9953703703703703E-2</v>
      </c>
      <c r="J44" t="str">
        <f t="shared" si="2"/>
        <v>X</v>
      </c>
    </row>
    <row r="45" spans="1:11" ht="15">
      <c r="A45" s="46"/>
      <c r="B45" s="47" t="str">
        <f t="shared" si="0"/>
        <v/>
      </c>
      <c r="C45" s="48"/>
      <c r="D45" s="49"/>
      <c r="E45" s="49"/>
      <c r="F45" s="49"/>
      <c r="G45" s="49"/>
      <c r="H45" s="50" t="str">
        <f>IF($B45="","",IF($J45="X",B45,CONCATENATE(VLOOKUP(B45,Competitors!$A$2:$I$650,3,FALSE)," ",VLOOKUP(B45,Competitors!$A$2:$I$650,2,FALSE))))</f>
        <v/>
      </c>
      <c r="I45" s="51">
        <f t="shared" si="1"/>
        <v>0</v>
      </c>
      <c r="J45" t="str">
        <f t="shared" si="2"/>
        <v/>
      </c>
    </row>
    <row r="46" spans="1:11" ht="15">
      <c r="A46" s="46"/>
      <c r="B46" s="47" t="str">
        <f t="shared" ref="B46:B97" si="3">IF(A46="","",_xlfn.XLOOKUP(A46,ClubNames,ClubNumbers,_xlfn.XLOOKUP(A46,RoundRobinRiderNames,RoundRobinRiderDecoratedNames,A46)))</f>
        <v/>
      </c>
      <c r="C46" s="48"/>
      <c r="D46" s="49"/>
      <c r="E46" s="49"/>
      <c r="F46" s="49"/>
      <c r="G46" s="49"/>
      <c r="H46" s="50" t="str">
        <f>IF($B46="","",IF($J46="X",B46,CONCATENATE(VLOOKUP(B46,Competitors!$A$2:$I$650,3,FALSE)," ",VLOOKUP(B46,Competitors!$A$2:$I$650,2,FALSE))))</f>
        <v/>
      </c>
      <c r="I46" s="51">
        <f t="shared" ref="I46:I65" si="4">IF(LEFT($F46,1)="D",UPPER($F46),(C46*3600+D46*60+E46)/86400)</f>
        <v>0</v>
      </c>
      <c r="J46" t="str">
        <f t="shared" ref="J46:J65" si="5">IF(OR(B46="",ISNUMBER(B46)),"","X")</f>
        <v/>
      </c>
    </row>
    <row r="47" spans="1:11" ht="15">
      <c r="A47" s="46"/>
      <c r="B47" s="47" t="str">
        <f t="shared" si="3"/>
        <v/>
      </c>
      <c r="C47" s="48"/>
      <c r="D47" s="49"/>
      <c r="E47" s="49"/>
      <c r="F47" s="49"/>
      <c r="G47" s="49"/>
      <c r="H47" s="50" t="str">
        <f>IF($B47="","",IF($J47="X",B47,CONCATENATE(VLOOKUP(B47,Competitors!$A$2:$I$650,3,FALSE)," ",VLOOKUP(B47,Competitors!$A$2:$I$650,2,FALSE))))</f>
        <v/>
      </c>
      <c r="I47" s="51">
        <f t="shared" si="4"/>
        <v>0</v>
      </c>
      <c r="J47" t="str">
        <f t="shared" si="5"/>
        <v/>
      </c>
    </row>
    <row r="48" spans="1:11" ht="15">
      <c r="A48" s="46"/>
      <c r="B48" s="47" t="str">
        <f t="shared" si="3"/>
        <v/>
      </c>
      <c r="C48" s="48"/>
      <c r="D48" s="49"/>
      <c r="E48" s="49"/>
      <c r="F48" s="49"/>
      <c r="G48" s="49"/>
      <c r="H48" s="50" t="str">
        <f>IF($B48="","",IF($J48="X",B48,CONCATENATE(VLOOKUP(B48,Competitors!$A$2:$I$650,3,FALSE)," ",VLOOKUP(B48,Competitors!$A$2:$I$650,2,FALSE))))</f>
        <v/>
      </c>
      <c r="I48" s="51">
        <f t="shared" si="4"/>
        <v>0</v>
      </c>
      <c r="J48" t="str">
        <f t="shared" si="5"/>
        <v/>
      </c>
    </row>
    <row r="49" spans="1:10" ht="15">
      <c r="A49" s="46"/>
      <c r="B49" s="47" t="str">
        <f t="shared" si="3"/>
        <v/>
      </c>
      <c r="C49" s="48"/>
      <c r="D49" s="49"/>
      <c r="E49" s="49"/>
      <c r="F49" s="49"/>
      <c r="G49" s="49"/>
      <c r="H49" s="50" t="str">
        <f>IF($B49="","",IF($J49="X",B49,CONCATENATE(VLOOKUP(B49,Competitors!$A$2:$I$650,3,FALSE)," ",VLOOKUP(B49,Competitors!$A$2:$I$650,2,FALSE))))</f>
        <v/>
      </c>
      <c r="I49" s="51">
        <f t="shared" si="4"/>
        <v>0</v>
      </c>
      <c r="J49" t="str">
        <f t="shared" si="5"/>
        <v/>
      </c>
    </row>
    <row r="50" spans="1:10" ht="15">
      <c r="A50" s="46"/>
      <c r="B50" s="47" t="str">
        <f t="shared" si="3"/>
        <v/>
      </c>
      <c r="C50" s="48"/>
      <c r="D50" s="49"/>
      <c r="E50" s="49"/>
      <c r="F50" s="49"/>
      <c r="G50" s="49"/>
      <c r="H50" s="50" t="str">
        <f>IF($B50="","",IF($J50="X",B50,CONCATENATE(VLOOKUP(B50,Competitors!$A$2:$I$650,3,FALSE)," ",VLOOKUP(B50,Competitors!$A$2:$I$650,2,FALSE))))</f>
        <v/>
      </c>
      <c r="I50" s="51">
        <f t="shared" si="4"/>
        <v>0</v>
      </c>
      <c r="J50" t="str">
        <f t="shared" si="5"/>
        <v/>
      </c>
    </row>
    <row r="51" spans="1:10" ht="15">
      <c r="A51" s="46"/>
      <c r="B51" s="47" t="str">
        <f t="shared" si="3"/>
        <v/>
      </c>
      <c r="C51" s="48"/>
      <c r="D51" s="49"/>
      <c r="E51" s="49"/>
      <c r="F51" s="49"/>
      <c r="G51" s="49"/>
      <c r="H51" s="50" t="str">
        <f>IF($B51="","",IF($J51="X",B51,CONCATENATE(VLOOKUP(B51,Competitors!$A$2:$I$650,3,FALSE)," ",VLOOKUP(B51,Competitors!$A$2:$I$650,2,FALSE))))</f>
        <v/>
      </c>
      <c r="I51" s="51">
        <f t="shared" si="4"/>
        <v>0</v>
      </c>
      <c r="J51" t="str">
        <f t="shared" si="5"/>
        <v/>
      </c>
    </row>
    <row r="52" spans="1:10" ht="15">
      <c r="A52" s="46"/>
      <c r="B52" s="47" t="str">
        <f t="shared" si="3"/>
        <v/>
      </c>
      <c r="C52" s="48"/>
      <c r="D52" s="49"/>
      <c r="E52" s="49"/>
      <c r="F52" s="49"/>
      <c r="G52" s="49"/>
      <c r="H52" s="50" t="str">
        <f>IF($B52="","",IF($J52="X",B52,CONCATENATE(VLOOKUP(B52,Competitors!$A$2:$I$650,3,FALSE)," ",VLOOKUP(B52,Competitors!$A$2:$I$650,2,FALSE))))</f>
        <v/>
      </c>
      <c r="I52" s="51">
        <f t="shared" si="4"/>
        <v>0</v>
      </c>
      <c r="J52" t="str">
        <f t="shared" si="5"/>
        <v/>
      </c>
    </row>
    <row r="53" spans="1:10" ht="15">
      <c r="A53" s="46"/>
      <c r="B53" s="47" t="str">
        <f t="shared" si="3"/>
        <v/>
      </c>
      <c r="C53" s="48"/>
      <c r="D53" s="49"/>
      <c r="E53" s="49"/>
      <c r="F53" s="49"/>
      <c r="G53" s="49"/>
      <c r="H53" s="50" t="str">
        <f>IF($B53="","",IF($J53="X",B53,CONCATENATE(VLOOKUP(B53,Competitors!$A$2:$I$650,3,FALSE)," ",VLOOKUP(B53,Competitors!$A$2:$I$650,2,FALSE))))</f>
        <v/>
      </c>
      <c r="I53" s="51">
        <f t="shared" si="4"/>
        <v>0</v>
      </c>
      <c r="J53" t="str">
        <f t="shared" si="5"/>
        <v/>
      </c>
    </row>
    <row r="54" spans="1:10" ht="15">
      <c r="A54" s="46"/>
      <c r="B54" s="47" t="str">
        <f t="shared" si="3"/>
        <v/>
      </c>
      <c r="C54" s="48"/>
      <c r="D54" s="49"/>
      <c r="E54" s="49"/>
      <c r="F54" s="49"/>
      <c r="G54" s="49"/>
      <c r="H54" s="50" t="str">
        <f>IF($B54="","",IF($J54="X",B54,CONCATENATE(VLOOKUP(B54,Competitors!$A$2:$I$650,3,FALSE)," ",VLOOKUP(B54,Competitors!$A$2:$I$650,2,FALSE))))</f>
        <v/>
      </c>
      <c r="I54" s="51">
        <f t="shared" si="4"/>
        <v>0</v>
      </c>
      <c r="J54" t="str">
        <f t="shared" si="5"/>
        <v/>
      </c>
    </row>
    <row r="55" spans="1:10" ht="15">
      <c r="A55" s="46"/>
      <c r="B55" s="47" t="str">
        <f t="shared" si="3"/>
        <v/>
      </c>
      <c r="C55" s="48"/>
      <c r="D55" s="49"/>
      <c r="E55" s="49"/>
      <c r="F55" s="49"/>
      <c r="G55" s="49"/>
      <c r="H55" s="50" t="str">
        <f>IF($B55="","",IF($J55="X",B55,CONCATENATE(VLOOKUP(B55,Competitors!$A$2:$I$650,3,FALSE)," ",VLOOKUP(B55,Competitors!$A$2:$I$650,2,FALSE))))</f>
        <v/>
      </c>
      <c r="I55" s="51">
        <f t="shared" si="4"/>
        <v>0</v>
      </c>
      <c r="J55" t="str">
        <f t="shared" si="5"/>
        <v/>
      </c>
    </row>
    <row r="56" spans="1:10" ht="15">
      <c r="A56" s="46"/>
      <c r="B56" s="47" t="str">
        <f t="shared" si="3"/>
        <v/>
      </c>
      <c r="C56" s="48"/>
      <c r="D56" s="49"/>
      <c r="E56" s="49"/>
      <c r="F56" s="49"/>
      <c r="G56" s="49"/>
      <c r="H56" s="50" t="str">
        <f>IF($B56="","",IF($J56="X",B56,CONCATENATE(VLOOKUP(B56,Competitors!$A$2:$I$650,3,FALSE)," ",VLOOKUP(B56,Competitors!$A$2:$I$650,2,FALSE))))</f>
        <v/>
      </c>
      <c r="I56" s="51">
        <f t="shared" si="4"/>
        <v>0</v>
      </c>
      <c r="J56" t="str">
        <f t="shared" si="5"/>
        <v/>
      </c>
    </row>
    <row r="57" spans="1:10" ht="15">
      <c r="A57" s="46"/>
      <c r="B57" s="47" t="str">
        <f t="shared" si="3"/>
        <v/>
      </c>
      <c r="C57" s="48"/>
      <c r="D57" s="49"/>
      <c r="E57" s="49"/>
      <c r="F57" s="49"/>
      <c r="G57" s="49"/>
      <c r="H57" s="50" t="str">
        <f>IF($B57="","",IF($J57="X",B57,CONCATENATE(VLOOKUP(B57,Competitors!$A$2:$I$650,3,FALSE)," ",VLOOKUP(B57,Competitors!$A$2:$I$650,2,FALSE))))</f>
        <v/>
      </c>
      <c r="I57" s="51">
        <f t="shared" si="4"/>
        <v>0</v>
      </c>
      <c r="J57" t="str">
        <f t="shared" si="5"/>
        <v/>
      </c>
    </row>
    <row r="58" spans="1:10" ht="15">
      <c r="A58" s="46"/>
      <c r="B58" s="47" t="str">
        <f t="shared" si="3"/>
        <v/>
      </c>
      <c r="C58" s="48"/>
      <c r="D58" s="49"/>
      <c r="E58" s="49"/>
      <c r="F58" s="49"/>
      <c r="G58" s="49"/>
      <c r="H58" s="50" t="str">
        <f>IF($B58="","",IF($J58="X",B58,CONCATENATE(VLOOKUP(B58,Competitors!$A$2:$I$650,3,FALSE)," ",VLOOKUP(B58,Competitors!$A$2:$I$650,2,FALSE))))</f>
        <v/>
      </c>
      <c r="I58" s="51">
        <f t="shared" si="4"/>
        <v>0</v>
      </c>
      <c r="J58" t="str">
        <f t="shared" si="5"/>
        <v/>
      </c>
    </row>
    <row r="59" spans="1:10" ht="15">
      <c r="A59" s="46"/>
      <c r="B59" s="47" t="str">
        <f t="shared" si="3"/>
        <v/>
      </c>
      <c r="C59" s="48"/>
      <c r="D59" s="49"/>
      <c r="E59" s="49"/>
      <c r="F59" s="49"/>
      <c r="G59" s="49"/>
      <c r="H59" s="50" t="str">
        <f>IF($B59="","",IF($J59="X",B59,CONCATENATE(VLOOKUP(B59,Competitors!$A$2:$I$650,3,FALSE)," ",VLOOKUP(B59,Competitors!$A$2:$I$650,2,FALSE))))</f>
        <v/>
      </c>
      <c r="I59" s="51">
        <f t="shared" si="4"/>
        <v>0</v>
      </c>
      <c r="J59" t="str">
        <f t="shared" si="5"/>
        <v/>
      </c>
    </row>
    <row r="60" spans="1:10" ht="15">
      <c r="A60" s="46"/>
      <c r="B60" s="47" t="str">
        <f t="shared" si="3"/>
        <v/>
      </c>
      <c r="C60" s="48"/>
      <c r="D60" s="49"/>
      <c r="E60" s="49"/>
      <c r="F60" s="49"/>
      <c r="G60" s="49"/>
      <c r="H60" s="50" t="str">
        <f>IF($B60="","",IF($J60="X",B60,CONCATENATE(VLOOKUP(B60,Competitors!$A$2:$I$650,3,FALSE)," ",VLOOKUP(B60,Competitors!$A$2:$I$650,2,FALSE))))</f>
        <v/>
      </c>
      <c r="I60" s="51">
        <f t="shared" si="4"/>
        <v>0</v>
      </c>
      <c r="J60" t="str">
        <f t="shared" si="5"/>
        <v/>
      </c>
    </row>
    <row r="61" spans="1:10" ht="15">
      <c r="A61" s="46"/>
      <c r="B61" s="47" t="str">
        <f t="shared" si="3"/>
        <v/>
      </c>
      <c r="C61" s="48"/>
      <c r="D61" s="49"/>
      <c r="E61" s="49"/>
      <c r="F61" s="49"/>
      <c r="G61" s="49"/>
      <c r="H61" s="50" t="str">
        <f>IF($B61="","",IF($J61="X",B61,CONCATENATE(VLOOKUP(B61,Competitors!$A$2:$I$650,3,FALSE)," ",VLOOKUP(B61,Competitors!$A$2:$I$650,2,FALSE))))</f>
        <v/>
      </c>
      <c r="I61" s="51">
        <f t="shared" si="4"/>
        <v>0</v>
      </c>
      <c r="J61" t="str">
        <f t="shared" si="5"/>
        <v/>
      </c>
    </row>
    <row r="62" spans="1:10" ht="15">
      <c r="A62" s="46"/>
      <c r="B62" s="47" t="str">
        <f t="shared" si="3"/>
        <v/>
      </c>
      <c r="C62" s="48"/>
      <c r="D62" s="49"/>
      <c r="E62" s="49"/>
      <c r="F62" s="49"/>
      <c r="G62" s="49"/>
      <c r="H62" s="50" t="str">
        <f>IF($B62="","",IF($J62="X",B62,CONCATENATE(VLOOKUP(B62,Competitors!$A$2:$I$650,3,FALSE)," ",VLOOKUP(B62,Competitors!$A$2:$I$650,2,FALSE))))</f>
        <v/>
      </c>
      <c r="I62" s="51">
        <f t="shared" si="4"/>
        <v>0</v>
      </c>
      <c r="J62" t="str">
        <f t="shared" si="5"/>
        <v/>
      </c>
    </row>
    <row r="63" spans="1:10" ht="15">
      <c r="A63" s="46"/>
      <c r="B63" s="47" t="str">
        <f t="shared" si="3"/>
        <v/>
      </c>
      <c r="C63" s="48"/>
      <c r="D63" s="49"/>
      <c r="E63" s="49"/>
      <c r="F63" s="49"/>
      <c r="G63" s="49"/>
      <c r="H63" s="50" t="str">
        <f>IF($B63="","",IF($J63="X",B63,CONCATENATE(VLOOKUP(B63,Competitors!$A$2:$I$650,3,FALSE)," ",VLOOKUP(B63,Competitors!$A$2:$I$650,2,FALSE))))</f>
        <v/>
      </c>
      <c r="I63" s="51">
        <f t="shared" si="4"/>
        <v>0</v>
      </c>
      <c r="J63" t="str">
        <f t="shared" si="5"/>
        <v/>
      </c>
    </row>
    <row r="64" spans="1:10" ht="15">
      <c r="A64" s="46"/>
      <c r="B64" s="47" t="str">
        <f t="shared" si="3"/>
        <v/>
      </c>
      <c r="C64" s="48"/>
      <c r="D64" s="49"/>
      <c r="E64" s="49"/>
      <c r="F64" s="49"/>
      <c r="G64" s="49"/>
      <c r="H64" s="50" t="str">
        <f>IF($B64="","",IF($J64="X",B64,CONCATENATE(VLOOKUP(B64,Competitors!$A$2:$I$650,3,FALSE)," ",VLOOKUP(B64,Competitors!$A$2:$I$650,2,FALSE))))</f>
        <v/>
      </c>
      <c r="I64" s="51">
        <f t="shared" si="4"/>
        <v>0</v>
      </c>
      <c r="J64" t="str">
        <f t="shared" si="5"/>
        <v/>
      </c>
    </row>
    <row r="65" spans="1:10" ht="15">
      <c r="A65" s="46"/>
      <c r="B65" s="47" t="str">
        <f t="shared" si="3"/>
        <v/>
      </c>
      <c r="C65" s="48"/>
      <c r="D65" s="49"/>
      <c r="E65" s="49"/>
      <c r="F65" s="49"/>
      <c r="G65" s="49"/>
      <c r="H65" s="50" t="str">
        <f>IF($B65="","",IF($J65="X",B65,CONCATENATE(VLOOKUP(B65,Competitors!$A$2:$I$650,3,FALSE)," ",VLOOKUP(B65,Competitors!$A$2:$I$650,2,FALSE))))</f>
        <v/>
      </c>
      <c r="I65" s="51">
        <f t="shared" si="4"/>
        <v>0</v>
      </c>
      <c r="J65" t="str">
        <f t="shared" si="5"/>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6">IF(LEFT($F66,1)="D",UPPER($F66),(C66*3600+D66*60+E66)/86400)</f>
        <v>0</v>
      </c>
      <c r="J66" t="str">
        <f t="shared" ref="J66:J101" si="7">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6"/>
        <v>0</v>
      </c>
      <c r="J67" t="str">
        <f t="shared" si="7"/>
        <v/>
      </c>
    </row>
    <row r="68" spans="1:10" ht="15">
      <c r="A68" s="46"/>
      <c r="B68" s="47" t="str">
        <f t="shared" si="3"/>
        <v/>
      </c>
      <c r="C68" s="48"/>
      <c r="D68" s="49"/>
      <c r="E68" s="49"/>
      <c r="F68" s="49"/>
      <c r="G68" s="49"/>
      <c r="H68" s="50" t="str">
        <f>IF($B68="","",IF($J68="X",B68,CONCATENATE(VLOOKUP(B68,Competitors!$A$2:$I$650,3,FALSE)," ",VLOOKUP(B68,Competitors!$A$2:$I$650,2,FALSE))))</f>
        <v/>
      </c>
      <c r="I68" s="51">
        <f t="shared" si="6"/>
        <v>0</v>
      </c>
      <c r="J68" t="str">
        <f t="shared" si="7"/>
        <v/>
      </c>
    </row>
    <row r="69" spans="1:10" ht="15">
      <c r="A69" s="46"/>
      <c r="B69" s="47" t="str">
        <f t="shared" si="3"/>
        <v/>
      </c>
      <c r="C69" s="48"/>
      <c r="D69" s="49"/>
      <c r="E69" s="49"/>
      <c r="F69" s="49"/>
      <c r="G69" s="49"/>
      <c r="H69" s="50" t="str">
        <f>IF($B69="","",IF($J69="X",B69,CONCATENATE(VLOOKUP(B69,Competitors!$A$2:$I$650,3,FALSE)," ",VLOOKUP(B69,Competitors!$A$2:$I$650,2,FALSE))))</f>
        <v/>
      </c>
      <c r="I69" s="51">
        <f t="shared" si="6"/>
        <v>0</v>
      </c>
      <c r="J69" t="str">
        <f t="shared" si="7"/>
        <v/>
      </c>
    </row>
    <row r="70" spans="1:10" ht="15">
      <c r="A70" s="46"/>
      <c r="B70" s="47" t="str">
        <f t="shared" si="3"/>
        <v/>
      </c>
      <c r="C70" s="48"/>
      <c r="D70" s="49"/>
      <c r="E70" s="49"/>
      <c r="F70" s="49"/>
      <c r="G70" s="49"/>
      <c r="H70" s="50" t="str">
        <f>IF($B70="","",IF($J70="X",B70,CONCATENATE(VLOOKUP(B70,Competitors!$A$2:$I$650,3,FALSE)," ",VLOOKUP(B70,Competitors!$A$2:$I$650,2,FALSE))))</f>
        <v/>
      </c>
      <c r="I70" s="51">
        <f t="shared" si="6"/>
        <v>0</v>
      </c>
      <c r="J70" t="str">
        <f t="shared" si="7"/>
        <v/>
      </c>
    </row>
    <row r="71" spans="1:10" ht="15">
      <c r="A71" s="46"/>
      <c r="B71" s="47" t="str">
        <f t="shared" si="3"/>
        <v/>
      </c>
      <c r="C71" s="48"/>
      <c r="D71" s="49"/>
      <c r="E71" s="49"/>
      <c r="F71" s="49"/>
      <c r="G71" s="49"/>
      <c r="H71" s="50" t="str">
        <f>IF($B71="","",IF($J71="X",B71,CONCATENATE(VLOOKUP(B71,Competitors!$A$2:$I$650,3,FALSE)," ",VLOOKUP(B71,Competitors!$A$2:$I$650,2,FALSE))))</f>
        <v/>
      </c>
      <c r="I71" s="51">
        <f t="shared" si="6"/>
        <v>0</v>
      </c>
      <c r="J71" t="str">
        <f t="shared" si="7"/>
        <v/>
      </c>
    </row>
    <row r="72" spans="1:10" ht="15">
      <c r="A72" s="46"/>
      <c r="B72" s="47" t="str">
        <f t="shared" si="3"/>
        <v/>
      </c>
      <c r="C72" s="48"/>
      <c r="D72" s="49"/>
      <c r="E72" s="49"/>
      <c r="F72" s="49"/>
      <c r="G72" s="49"/>
      <c r="H72" s="50" t="str">
        <f>IF($B72="","",IF($J72="X",B72,CONCATENATE(VLOOKUP(B72,Competitors!$A$2:$I$650,3,FALSE)," ",VLOOKUP(B72,Competitors!$A$2:$I$650,2,FALSE))))</f>
        <v/>
      </c>
      <c r="I72" s="51">
        <f t="shared" si="6"/>
        <v>0</v>
      </c>
      <c r="J72" t="str">
        <f t="shared" si="7"/>
        <v/>
      </c>
    </row>
    <row r="73" spans="1:10" ht="15">
      <c r="A73" s="46"/>
      <c r="B73" s="47" t="str">
        <f t="shared" si="3"/>
        <v/>
      </c>
      <c r="C73" s="48"/>
      <c r="D73" s="49"/>
      <c r="E73" s="49"/>
      <c r="F73" s="49"/>
      <c r="G73" s="49"/>
      <c r="H73" s="50" t="str">
        <f>IF($B73="","",IF($J73="X",B73,CONCATENATE(VLOOKUP(B73,Competitors!$A$2:$I$650,3,FALSE)," ",VLOOKUP(B73,Competitors!$A$2:$I$650,2,FALSE))))</f>
        <v/>
      </c>
      <c r="I73" s="51">
        <f t="shared" si="6"/>
        <v>0</v>
      </c>
      <c r="J73" t="str">
        <f t="shared" si="7"/>
        <v/>
      </c>
    </row>
    <row r="74" spans="1:10" ht="15">
      <c r="A74" s="46"/>
      <c r="B74" s="47" t="str">
        <f t="shared" si="3"/>
        <v/>
      </c>
      <c r="C74" s="48"/>
      <c r="D74" s="49"/>
      <c r="E74" s="49"/>
      <c r="F74" s="49"/>
      <c r="G74" s="49"/>
      <c r="H74" s="50" t="str">
        <f>IF($B74="","",IF($J74="X",B74,CONCATENATE(VLOOKUP(B74,Competitors!$A$2:$I$650,3,FALSE)," ",VLOOKUP(B74,Competitors!$A$2:$I$650,2,FALSE))))</f>
        <v/>
      </c>
      <c r="I74" s="51">
        <f t="shared" si="6"/>
        <v>0</v>
      </c>
      <c r="J74" t="str">
        <f t="shared" si="7"/>
        <v/>
      </c>
    </row>
    <row r="75" spans="1:10" ht="15">
      <c r="A75" s="46"/>
      <c r="B75" s="47" t="str">
        <f t="shared" si="3"/>
        <v/>
      </c>
      <c r="C75" s="48"/>
      <c r="D75" s="49"/>
      <c r="E75" s="49"/>
      <c r="F75" s="49"/>
      <c r="G75" s="49"/>
      <c r="H75" s="50" t="str">
        <f>IF($B75="","",IF($J75="X",B75,CONCATENATE(VLOOKUP(B75,Competitors!$A$2:$I$650,3,FALSE)," ",VLOOKUP(B75,Competitors!$A$2:$I$650,2,FALSE))))</f>
        <v/>
      </c>
      <c r="I75" s="51">
        <f t="shared" si="6"/>
        <v>0</v>
      </c>
      <c r="J75" t="str">
        <f t="shared" si="7"/>
        <v/>
      </c>
    </row>
    <row r="76" spans="1:10" ht="15">
      <c r="A76" s="46"/>
      <c r="B76" s="47" t="str">
        <f t="shared" si="3"/>
        <v/>
      </c>
      <c r="C76" s="48"/>
      <c r="D76" s="49"/>
      <c r="E76" s="49"/>
      <c r="F76" s="49"/>
      <c r="G76" s="49"/>
      <c r="H76" s="50" t="str">
        <f>IF($B76="","",IF($J76="X",B76,CONCATENATE(VLOOKUP(B76,Competitors!$A$2:$I$650,3,FALSE)," ",VLOOKUP(B76,Competitors!$A$2:$I$650,2,FALSE))))</f>
        <v/>
      </c>
      <c r="I76" s="51">
        <f t="shared" si="6"/>
        <v>0</v>
      </c>
      <c r="J76" t="str">
        <f t="shared" si="7"/>
        <v/>
      </c>
    </row>
    <row r="77" spans="1:10" ht="15">
      <c r="A77" s="46"/>
      <c r="B77" s="47" t="str">
        <f t="shared" si="3"/>
        <v/>
      </c>
      <c r="C77" s="48"/>
      <c r="D77" s="49"/>
      <c r="E77" s="49"/>
      <c r="F77" s="49"/>
      <c r="G77" s="49"/>
      <c r="H77" s="50" t="str">
        <f>IF($B77="","",IF($J77="X",B77,CONCATENATE(VLOOKUP(B77,Competitors!$A$2:$I$650,3,FALSE)," ",VLOOKUP(B77,Competitors!$A$2:$I$650,2,FALSE))))</f>
        <v/>
      </c>
      <c r="I77" s="51">
        <f t="shared" si="6"/>
        <v>0</v>
      </c>
      <c r="J77" t="str">
        <f t="shared" si="7"/>
        <v/>
      </c>
    </row>
    <row r="78" spans="1:10" ht="15">
      <c r="A78" s="46"/>
      <c r="B78" s="47" t="str">
        <f t="shared" si="3"/>
        <v/>
      </c>
      <c r="C78" s="48"/>
      <c r="D78" s="49"/>
      <c r="E78" s="49"/>
      <c r="F78" s="49"/>
      <c r="G78" s="49"/>
      <c r="H78" s="50" t="str">
        <f>IF($B78="","",IF($J78="X",B78,CONCATENATE(VLOOKUP(B78,Competitors!$A$2:$I$650,3,FALSE)," ",VLOOKUP(B78,Competitors!$A$2:$I$650,2,FALSE))))</f>
        <v/>
      </c>
      <c r="I78" s="51">
        <f t="shared" si="6"/>
        <v>0</v>
      </c>
      <c r="J78" t="str">
        <f t="shared" si="7"/>
        <v/>
      </c>
    </row>
    <row r="79" spans="1:10" ht="15">
      <c r="A79" s="46"/>
      <c r="B79" s="47" t="str">
        <f t="shared" si="3"/>
        <v/>
      </c>
      <c r="C79" s="48"/>
      <c r="D79" s="49"/>
      <c r="E79" s="49"/>
      <c r="F79" s="49"/>
      <c r="G79" s="49"/>
      <c r="H79" s="50" t="str">
        <f>IF($B79="","",IF($J79="X",B79,CONCATENATE(VLOOKUP(B79,Competitors!$A$2:$I$650,3,FALSE)," ",VLOOKUP(B79,Competitors!$A$2:$I$650,2,FALSE))))</f>
        <v/>
      </c>
      <c r="I79" s="51">
        <f t="shared" si="6"/>
        <v>0</v>
      </c>
      <c r="J79" t="str">
        <f t="shared" si="7"/>
        <v/>
      </c>
    </row>
    <row r="80" spans="1:10" ht="15">
      <c r="A80" s="46"/>
      <c r="B80" s="47" t="str">
        <f t="shared" si="3"/>
        <v/>
      </c>
      <c r="C80" s="48"/>
      <c r="D80" s="49"/>
      <c r="E80" s="49"/>
      <c r="F80" s="49"/>
      <c r="G80" s="49"/>
      <c r="H80" s="50" t="str">
        <f>IF($B80="","",IF($J80="X",B80,CONCATENATE(VLOOKUP(B80,Competitors!$A$2:$I$650,3,FALSE)," ",VLOOKUP(B80,Competitors!$A$2:$I$650,2,FALSE))))</f>
        <v/>
      </c>
      <c r="I80" s="51">
        <f t="shared" si="6"/>
        <v>0</v>
      </c>
      <c r="J80" t="str">
        <f t="shared" si="7"/>
        <v/>
      </c>
    </row>
    <row r="81" spans="1:10" ht="15">
      <c r="A81" s="46"/>
      <c r="B81" s="47" t="str">
        <f t="shared" si="3"/>
        <v/>
      </c>
      <c r="C81" s="48"/>
      <c r="D81" s="49"/>
      <c r="E81" s="49"/>
      <c r="F81" s="49"/>
      <c r="G81" s="49"/>
      <c r="H81" s="50" t="str">
        <f>IF($B81="","",IF($J81="X",B81,CONCATENATE(VLOOKUP(B81,Competitors!$A$2:$I$650,3,FALSE)," ",VLOOKUP(B81,Competitors!$A$2:$I$650,2,FALSE))))</f>
        <v/>
      </c>
      <c r="I81" s="51">
        <f t="shared" si="6"/>
        <v>0</v>
      </c>
      <c r="J81" t="str">
        <f t="shared" si="7"/>
        <v/>
      </c>
    </row>
    <row r="82" spans="1:10" ht="15">
      <c r="A82" s="46"/>
      <c r="B82" s="47" t="str">
        <f t="shared" si="3"/>
        <v/>
      </c>
      <c r="C82" s="48"/>
      <c r="D82" s="49"/>
      <c r="E82" s="49"/>
      <c r="F82" s="49"/>
      <c r="G82" s="49"/>
      <c r="H82" s="50" t="str">
        <f>IF($B82="","",IF($J82="X",B82,CONCATENATE(VLOOKUP(B82,Competitors!$A$2:$I$650,3,FALSE)," ",VLOOKUP(B82,Competitors!$A$2:$I$650,2,FALSE))))</f>
        <v/>
      </c>
      <c r="I82" s="51">
        <f t="shared" si="6"/>
        <v>0</v>
      </c>
      <c r="J82" t="str">
        <f t="shared" si="7"/>
        <v/>
      </c>
    </row>
    <row r="83" spans="1:10" ht="15">
      <c r="A83" s="46"/>
      <c r="B83" s="47" t="str">
        <f t="shared" si="3"/>
        <v/>
      </c>
      <c r="C83" s="48"/>
      <c r="D83" s="49"/>
      <c r="E83" s="49"/>
      <c r="F83" s="49"/>
      <c r="G83" s="49"/>
      <c r="H83" s="50" t="str">
        <f>IF($B83="","",IF($J83="X",B83,CONCATENATE(VLOOKUP(B83,Competitors!$A$2:$I$650,3,FALSE)," ",VLOOKUP(B83,Competitors!$A$2:$I$650,2,FALSE))))</f>
        <v/>
      </c>
      <c r="I83" s="51">
        <f t="shared" si="6"/>
        <v>0</v>
      </c>
      <c r="J83" t="str">
        <f t="shared" si="7"/>
        <v/>
      </c>
    </row>
    <row r="84" spans="1:10" ht="15">
      <c r="A84" s="46"/>
      <c r="B84" s="47" t="str">
        <f t="shared" si="3"/>
        <v/>
      </c>
      <c r="C84" s="48"/>
      <c r="D84" s="49"/>
      <c r="E84" s="49"/>
      <c r="F84" s="49"/>
      <c r="G84" s="49"/>
      <c r="H84" s="50" t="str">
        <f>IF($B84="","",IF($J84="X",B84,CONCATENATE(VLOOKUP(B84,Competitors!$A$2:$I$650,3,FALSE)," ",VLOOKUP(B84,Competitors!$A$2:$I$650,2,FALSE))))</f>
        <v/>
      </c>
      <c r="I84" s="51">
        <f t="shared" si="6"/>
        <v>0</v>
      </c>
      <c r="J84" t="str">
        <f t="shared" si="7"/>
        <v/>
      </c>
    </row>
    <row r="85" spans="1:10" ht="15">
      <c r="A85" s="46"/>
      <c r="B85" s="47" t="str">
        <f t="shared" si="3"/>
        <v/>
      </c>
      <c r="C85" s="48"/>
      <c r="D85" s="49"/>
      <c r="E85" s="49"/>
      <c r="F85" s="49"/>
      <c r="G85" s="49"/>
      <c r="H85" s="50" t="str">
        <f>IF($B85="","",IF($J85="X",B85,CONCATENATE(VLOOKUP(B85,Competitors!$A$2:$I$650,3,FALSE)," ",VLOOKUP(B85,Competitors!$A$2:$I$650,2,FALSE))))</f>
        <v/>
      </c>
      <c r="I85" s="51">
        <f t="shared" si="6"/>
        <v>0</v>
      </c>
      <c r="J85" t="str">
        <f t="shared" si="7"/>
        <v/>
      </c>
    </row>
    <row r="86" spans="1:10" ht="15">
      <c r="A86" s="46"/>
      <c r="B86" s="47" t="str">
        <f t="shared" si="3"/>
        <v/>
      </c>
      <c r="C86" s="48"/>
      <c r="D86" s="49"/>
      <c r="E86" s="49"/>
      <c r="F86" s="49"/>
      <c r="G86" s="49"/>
      <c r="H86" s="50" t="str">
        <f>IF($B86="","",IF($J86="X",B86,CONCATENATE(VLOOKUP(B86,Competitors!$A$2:$I$650,3,FALSE)," ",VLOOKUP(B86,Competitors!$A$2:$I$650,2,FALSE))))</f>
        <v/>
      </c>
      <c r="I86" s="51">
        <f t="shared" si="6"/>
        <v>0</v>
      </c>
      <c r="J86" t="str">
        <f t="shared" si="7"/>
        <v/>
      </c>
    </row>
    <row r="87" spans="1:10" ht="15">
      <c r="A87" s="46"/>
      <c r="B87" s="47" t="str">
        <f t="shared" si="3"/>
        <v/>
      </c>
      <c r="C87" s="48"/>
      <c r="D87" s="49"/>
      <c r="E87" s="49"/>
      <c r="F87" s="49"/>
      <c r="G87" s="49"/>
      <c r="H87" s="50" t="str">
        <f>IF($B87="","",IF($J87="X",B87,CONCATENATE(VLOOKUP(B87,Competitors!$A$2:$I$650,3,FALSE)," ",VLOOKUP(B87,Competitors!$A$2:$I$650,2,FALSE))))</f>
        <v/>
      </c>
      <c r="I87" s="51">
        <f t="shared" si="6"/>
        <v>0</v>
      </c>
      <c r="J87" t="str">
        <f t="shared" si="7"/>
        <v/>
      </c>
    </row>
    <row r="88" spans="1:10" ht="15">
      <c r="A88" s="46"/>
      <c r="B88" s="47" t="str">
        <f t="shared" si="3"/>
        <v/>
      </c>
      <c r="C88" s="48"/>
      <c r="D88" s="49"/>
      <c r="E88" s="49"/>
      <c r="F88" s="49"/>
      <c r="G88" s="49"/>
      <c r="H88" s="50" t="str">
        <f>IF($B88="","",IF($J88="X",B88,CONCATENATE(VLOOKUP(B88,Competitors!$A$2:$I$650,3,FALSE)," ",VLOOKUP(B88,Competitors!$A$2:$I$650,2,FALSE))))</f>
        <v/>
      </c>
      <c r="I88" s="51">
        <f t="shared" si="6"/>
        <v>0</v>
      </c>
      <c r="J88" t="str">
        <f t="shared" si="7"/>
        <v/>
      </c>
    </row>
    <row r="89" spans="1:10" ht="15">
      <c r="A89" s="46"/>
      <c r="B89" s="47" t="str">
        <f t="shared" si="3"/>
        <v/>
      </c>
      <c r="C89" s="48"/>
      <c r="D89" s="49"/>
      <c r="E89" s="49"/>
      <c r="F89" s="49"/>
      <c r="G89" s="49"/>
      <c r="H89" s="50" t="str">
        <f>IF($B89="","",IF($J89="X",B89,CONCATENATE(VLOOKUP(B89,Competitors!$A$2:$I$650,3,FALSE)," ",VLOOKUP(B89,Competitors!$A$2:$I$650,2,FALSE))))</f>
        <v/>
      </c>
      <c r="I89" s="51">
        <f t="shared" si="6"/>
        <v>0</v>
      </c>
      <c r="J89" t="str">
        <f t="shared" si="7"/>
        <v/>
      </c>
    </row>
    <row r="90" spans="1:10" ht="15">
      <c r="A90" s="46"/>
      <c r="B90" s="47" t="str">
        <f t="shared" si="3"/>
        <v/>
      </c>
      <c r="C90" s="48"/>
      <c r="D90" s="49"/>
      <c r="E90" s="49"/>
      <c r="F90" s="49"/>
      <c r="G90" s="49"/>
      <c r="H90" s="50" t="str">
        <f>IF($B90="","",IF($J90="X",B90,CONCATENATE(VLOOKUP(B90,Competitors!$A$2:$I$650,3,FALSE)," ",VLOOKUP(B90,Competitors!$A$2:$I$650,2,FALSE))))</f>
        <v/>
      </c>
      <c r="I90" s="51">
        <f t="shared" si="6"/>
        <v>0</v>
      </c>
      <c r="J90" t="str">
        <f t="shared" si="7"/>
        <v/>
      </c>
    </row>
    <row r="91" spans="1:10" ht="15">
      <c r="A91" s="46"/>
      <c r="B91" s="47" t="str">
        <f t="shared" si="3"/>
        <v/>
      </c>
      <c r="C91" s="48"/>
      <c r="D91" s="49"/>
      <c r="E91" s="49"/>
      <c r="F91" s="49"/>
      <c r="G91" s="49"/>
      <c r="H91" s="50" t="str">
        <f>IF($B91="","",IF($J91="X",B91,CONCATENATE(VLOOKUP(B91,Competitors!$A$2:$I$650,3,FALSE)," ",VLOOKUP(B91,Competitors!$A$2:$I$650,2,FALSE))))</f>
        <v/>
      </c>
      <c r="I91" s="51">
        <f t="shared" si="6"/>
        <v>0</v>
      </c>
      <c r="J91" t="str">
        <f t="shared" si="7"/>
        <v/>
      </c>
    </row>
    <row r="92" spans="1:10" ht="15">
      <c r="A92" s="46"/>
      <c r="B92" s="47" t="str">
        <f t="shared" si="3"/>
        <v/>
      </c>
      <c r="C92" s="48"/>
      <c r="D92" s="49"/>
      <c r="E92" s="49"/>
      <c r="F92" s="49"/>
      <c r="G92" s="49"/>
      <c r="H92" s="50" t="str">
        <f>IF($B92="","",IF($J92="X",B92,CONCATENATE(VLOOKUP(B92,Competitors!$A$2:$I$650,3,FALSE)," ",VLOOKUP(B92,Competitors!$A$2:$I$650,2,FALSE))))</f>
        <v/>
      </c>
      <c r="I92" s="51">
        <f t="shared" si="6"/>
        <v>0</v>
      </c>
      <c r="J92" t="str">
        <f t="shared" si="7"/>
        <v/>
      </c>
    </row>
    <row r="93" spans="1:10" ht="15">
      <c r="A93" s="46"/>
      <c r="B93" s="47" t="str">
        <f t="shared" si="3"/>
        <v/>
      </c>
      <c r="C93" s="48"/>
      <c r="D93" s="49"/>
      <c r="E93" s="49"/>
      <c r="F93" s="49"/>
      <c r="G93" s="49"/>
      <c r="H93" s="50" t="str">
        <f>IF($B93="","",IF($J93="X",B93,CONCATENATE(VLOOKUP(B93,Competitors!$A$2:$I$650,3,FALSE)," ",VLOOKUP(B93,Competitors!$A$2:$I$650,2,FALSE))))</f>
        <v/>
      </c>
      <c r="I93" s="51">
        <f t="shared" si="6"/>
        <v>0</v>
      </c>
      <c r="J93" t="str">
        <f t="shared" si="7"/>
        <v/>
      </c>
    </row>
    <row r="94" spans="1:10" ht="15">
      <c r="A94" s="46"/>
      <c r="B94" s="47" t="str">
        <f t="shared" si="3"/>
        <v/>
      </c>
      <c r="C94" s="48"/>
      <c r="D94" s="49"/>
      <c r="E94" s="49"/>
      <c r="F94" s="49"/>
      <c r="G94" s="49"/>
      <c r="H94" s="50" t="str">
        <f>IF($B94="","",IF($J94="X",B94,CONCATENATE(VLOOKUP(B94,Competitors!$A$2:$I$650,3,FALSE)," ",VLOOKUP(B94,Competitors!$A$2:$I$650,2,FALSE))))</f>
        <v/>
      </c>
      <c r="I94" s="51">
        <f t="shared" si="6"/>
        <v>0</v>
      </c>
      <c r="J94" t="str">
        <f t="shared" si="7"/>
        <v/>
      </c>
    </row>
    <row r="95" spans="1:10" ht="15">
      <c r="A95" s="46"/>
      <c r="B95" s="47" t="str">
        <f t="shared" si="3"/>
        <v/>
      </c>
      <c r="C95" s="48"/>
      <c r="D95" s="49"/>
      <c r="E95" s="49"/>
      <c r="F95" s="49"/>
      <c r="G95" s="49"/>
      <c r="H95" s="50" t="str">
        <f>IF($B95="","",IF($J95="X",B95,CONCATENATE(VLOOKUP(B95,Competitors!$A$2:$I$650,3,FALSE)," ",VLOOKUP(B95,Competitors!$A$2:$I$650,2,FALSE))))</f>
        <v/>
      </c>
      <c r="I95" s="51">
        <f t="shared" si="6"/>
        <v>0</v>
      </c>
      <c r="J95" t="str">
        <f t="shared" si="7"/>
        <v/>
      </c>
    </row>
    <row r="96" spans="1:10" ht="15">
      <c r="A96" s="46"/>
      <c r="B96" s="47" t="str">
        <f t="shared" si="3"/>
        <v/>
      </c>
      <c r="C96" s="48"/>
      <c r="D96" s="49"/>
      <c r="E96" s="49"/>
      <c r="F96" s="49"/>
      <c r="G96" s="49"/>
      <c r="H96" s="50" t="str">
        <f>IF($B96="","",IF($J96="X",B96,CONCATENATE(VLOOKUP(B96,Competitors!$A$2:$I$650,3,FALSE)," ",VLOOKUP(B96,Competitors!$A$2:$I$650,2,FALSE))))</f>
        <v/>
      </c>
      <c r="I96" s="51">
        <f t="shared" si="6"/>
        <v>0</v>
      </c>
      <c r="J96" t="str">
        <f t="shared" si="7"/>
        <v/>
      </c>
    </row>
    <row r="97" spans="1:10" ht="15">
      <c r="A97" s="46"/>
      <c r="B97" s="47" t="str">
        <f t="shared" si="3"/>
        <v/>
      </c>
      <c r="C97" s="48"/>
      <c r="D97" s="49"/>
      <c r="E97" s="49"/>
      <c r="F97" s="49"/>
      <c r="G97" s="49"/>
      <c r="H97" s="50" t="str">
        <f>IF($B97="","",IF($J97="X",B97,CONCATENATE(VLOOKUP(B97,Competitors!$A$2:$I$650,3,FALSE)," ",VLOOKUP(B97,Competitors!$A$2:$I$650,2,FALSE))))</f>
        <v/>
      </c>
      <c r="I97" s="51">
        <f t="shared" si="6"/>
        <v>0</v>
      </c>
      <c r="J97" t="str">
        <f t="shared" si="7"/>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6"/>
        <v>0</v>
      </c>
      <c r="J98" t="str">
        <f t="shared" si="7"/>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6"/>
        <v>0</v>
      </c>
      <c r="J99" t="str">
        <f t="shared" si="7"/>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6"/>
        <v>0</v>
      </c>
      <c r="J100" t="str">
        <f t="shared" si="7"/>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6"/>
        <v>0</v>
      </c>
      <c r="J101" t="str">
        <f t="shared" si="7"/>
        <v/>
      </c>
    </row>
    <row r="102" spans="1:10" s="52" customFormat="1">
      <c r="I102" s="53"/>
    </row>
    <row r="103" spans="1:10">
      <c r="B103" t="s">
        <v>551</v>
      </c>
      <c r="C103" t="str" cm="1">
        <f t="array" aca="1" ref="C103" ca="1">MID(CELL("filename",B1),FIND("]",CELL("filename",B1))+1,255)</f>
        <v>Event_15</v>
      </c>
    </row>
    <row r="104" spans="1:10">
      <c r="B104" t="s">
        <v>552</v>
      </c>
      <c r="C104" t="str">
        <f ca="1">_xlfn.XLOOKUP(C103,Calendar!O:O,Calendar!H:H,"Event is not in calendar")</f>
        <v/>
      </c>
    </row>
  </sheetData>
  <sortState xmlns:xlrd2="http://schemas.microsoft.com/office/spreadsheetml/2017/richdata2" ref="A2:K45">
    <sortCondition ref="K2:K45"/>
  </sortState>
  <conditionalFormatting sqref="E2:E101">
    <cfRule type="expression" dxfId="39" priority="3">
      <formula>TEXT($C$104,"@")="Y"</formula>
    </cfRule>
  </conditionalFormatting>
  <conditionalFormatting sqref="H2:I101">
    <cfRule type="expression" dxfId="38" priority="2">
      <formula>$J2="X"</formula>
    </cfRule>
  </conditionalFormatting>
  <conditionalFormatting sqref="I2:I101">
    <cfRule type="expression" dxfId="37" priority="1">
      <formula>TEXT($C$104,"@")="Y"</formula>
    </cfRule>
  </conditionalFormatting>
  <pageMargins left="0.7" right="0.7" top="0.75" bottom="0.75" header="0.3" footer="0.3"/>
  <pageSetup paperSize="9" orientation="portrait"/>
  <legacy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6"/>
  <dimension ref="A1:K104"/>
  <sheetViews>
    <sheetView workbookViewId="0">
      <selection activeCell="A16" sqref="A16"/>
    </sheetView>
    <sheetView workbookViewId="1"/>
  </sheetViews>
  <sheetFormatPr defaultColWidth="9.1328125" defaultRowHeight="12.75"/>
  <cols>
    <col min="1" max="1" width="20.19921875" bestFit="1" customWidth="1"/>
    <col min="2" max="2" width="33.53125" bestFit="1" customWidth="1"/>
    <col min="3" max="3" width="8.796875" customWidth="1"/>
    <col min="4" max="6" width="4.796875" customWidth="1"/>
    <col min="7" max="8" width="11.1328125" customWidth="1"/>
    <col min="9" max="9" width="29.46484375" bestFit="1" customWidth="1"/>
    <col min="10" max="10" width="14.6640625" style="38" bestFit="1" customWidth="1"/>
    <col min="11" max="11" width="19.19921875" bestFit="1" customWidth="1"/>
  </cols>
  <sheetData>
    <row r="1" spans="1:11" ht="15.75" customHeight="1">
      <c r="A1" s="39" t="s">
        <v>535</v>
      </c>
      <c r="B1" s="40" t="s">
        <v>536</v>
      </c>
      <c r="C1" s="66"/>
      <c r="D1" s="41" t="s">
        <v>537</v>
      </c>
      <c r="E1" s="42" t="s">
        <v>538</v>
      </c>
      <c r="F1" s="43" t="s">
        <v>539</v>
      </c>
      <c r="G1" s="44" t="s">
        <v>540</v>
      </c>
      <c r="H1" s="44" t="s">
        <v>541</v>
      </c>
      <c r="I1" s="39" t="s">
        <v>461</v>
      </c>
      <c r="J1" s="45" t="s">
        <v>542</v>
      </c>
      <c r="K1" t="s">
        <v>543</v>
      </c>
    </row>
    <row r="2" spans="1:11" ht="15">
      <c r="A2" s="46" t="s">
        <v>629</v>
      </c>
      <c r="B2" s="47" t="str">
        <f t="shared" ref="B2:B33" si="0">IF(A2="","",_xlfn.XLOOKUP(A2,ClubNames,ClubNumbers,_xlfn.XLOOKUP(A2,RoundRobinRiderNames,RoundRobinRiderDecoratedNames,A2)))</f>
        <v>Jeff Jones (LFCC)</v>
      </c>
      <c r="C2" s="47" t="s">
        <v>655</v>
      </c>
      <c r="D2" s="48"/>
      <c r="E2" s="49"/>
      <c r="F2" s="49"/>
      <c r="G2" s="49"/>
      <c r="H2" s="49" t="s">
        <v>557</v>
      </c>
      <c r="I2" s="50" t="str">
        <f>IF($B2="","",IF($K2="X",B2,CONCATENATE(VLOOKUP(B2,Competitors!$A$2:$I$650,3, FALSE)," ",VLOOKUP(B2,Competitors!$A$2:$I$650,2,FALSE))))</f>
        <v>Jeff Jones (LFCC)</v>
      </c>
      <c r="J2" s="51">
        <f t="shared" ref="J2:J65" si="1">IF(LEFT($G2,1)="D",UPPER($G2),(D2*3600+E2*60+F2)/86400)</f>
        <v>0</v>
      </c>
      <c r="K2" t="str">
        <f t="shared" ref="K2:K65" si="2">IF(OR(B2="",ISNUMBER(B2)),"","X")</f>
        <v>X</v>
      </c>
    </row>
    <row r="3" spans="1:11" ht="15">
      <c r="A3" s="46" t="s">
        <v>630</v>
      </c>
      <c r="B3" s="47" t="str">
        <f t="shared" si="0"/>
        <v>Joshua Jones (LFCC)</v>
      </c>
      <c r="C3" s="47" t="s">
        <v>656</v>
      </c>
      <c r="D3" s="48"/>
      <c r="E3" s="49">
        <v>17</v>
      </c>
      <c r="F3" s="49">
        <v>36</v>
      </c>
      <c r="G3" s="49"/>
      <c r="H3" s="49"/>
      <c r="I3" s="50" t="str">
        <f>IF($B3="","",IF($K3="X",B3,CONCATENATE(VLOOKUP(B3,Competitors!$A$2:$I$650,3,FALSE)," ",VLOOKUP(B3,Competitors!$A$2:$I$650,2,FALSE))))</f>
        <v>Joshua Jones (LFCC)</v>
      </c>
      <c r="J3" s="51">
        <f t="shared" si="1"/>
        <v>1.2222222222222223E-2</v>
      </c>
      <c r="K3" t="str">
        <f t="shared" si="2"/>
        <v>X</v>
      </c>
    </row>
    <row r="4" spans="1:11" ht="15">
      <c r="A4" s="46" t="s">
        <v>631</v>
      </c>
      <c r="B4" s="47" t="str">
        <f t="shared" si="0"/>
        <v>Simon Jones (LFCC)</v>
      </c>
      <c r="C4" s="47" t="s">
        <v>657</v>
      </c>
      <c r="D4" s="48"/>
      <c r="E4" s="49">
        <v>19</v>
      </c>
      <c r="F4" s="49">
        <v>24</v>
      </c>
      <c r="G4" s="49"/>
      <c r="H4" s="49"/>
      <c r="I4" s="50" t="str">
        <f>IF($B4="","",IF($K4="X",B4,CONCATENATE(VLOOKUP(B4,Competitors!$A$2:$I$650,3,FALSE)," ",VLOOKUP(B4,Competitors!$A$2:$I$650,2,FALSE))))</f>
        <v>Simon Jones (LFCC)</v>
      </c>
      <c r="J4" s="51">
        <f t="shared" si="1"/>
        <v>1.3472222222222222E-2</v>
      </c>
      <c r="K4" t="str">
        <f t="shared" si="2"/>
        <v>X</v>
      </c>
    </row>
    <row r="5" spans="1:11" ht="15">
      <c r="A5" s="46" t="s">
        <v>616</v>
      </c>
      <c r="B5" s="47">
        <f t="shared" si="0"/>
        <v>990</v>
      </c>
      <c r="C5" s="47" t="s">
        <v>658</v>
      </c>
      <c r="D5" s="48"/>
      <c r="E5" s="49">
        <v>20</v>
      </c>
      <c r="F5" s="49">
        <v>15</v>
      </c>
      <c r="G5" s="49" t="s">
        <v>544</v>
      </c>
      <c r="H5" s="49"/>
      <c r="I5" s="50" t="str">
        <f>IF($B5="","",IF($K5="X",B5,CONCATENATE(VLOOKUP(B5,Competitors!$A$2:$I$650,3,FALSE)," ",VLOOKUP(B5,Competitors!$A$2:$I$650,2,FALSE))))</f>
        <v>Jen Hulme</v>
      </c>
      <c r="J5" s="51">
        <f t="shared" si="1"/>
        <v>1.40625E-2</v>
      </c>
      <c r="K5" t="str">
        <f t="shared" si="2"/>
        <v/>
      </c>
    </row>
    <row r="6" spans="1:11" ht="15">
      <c r="A6" s="46" t="s">
        <v>486</v>
      </c>
      <c r="B6" s="47" t="str">
        <f t="shared" si="0"/>
        <v>Matt Finch (LFCC)</v>
      </c>
      <c r="C6" s="47" t="s">
        <v>659</v>
      </c>
      <c r="D6" s="48"/>
      <c r="E6" s="49">
        <v>17</v>
      </c>
      <c r="F6" s="49">
        <v>52</v>
      </c>
      <c r="G6" s="49"/>
      <c r="H6" s="49"/>
      <c r="I6" s="50" t="str">
        <f>IF($B6="","",IF($K6="X",B6,CONCATENATE(VLOOKUP(B6,Competitors!$A$2:$I$650,3,FALSE)," ",VLOOKUP(B6,Competitors!$A$2:$I$650,2,FALSE))))</f>
        <v>Matt Finch (LFCC)</v>
      </c>
      <c r="J6" s="51">
        <f t="shared" si="1"/>
        <v>1.2407407407407407E-2</v>
      </c>
      <c r="K6" t="str">
        <f t="shared" si="2"/>
        <v>X</v>
      </c>
    </row>
    <row r="7" spans="1:11" ht="15">
      <c r="A7" s="46" t="s">
        <v>690</v>
      </c>
      <c r="B7" s="47" t="str">
        <f t="shared" si="0"/>
        <v>Laura Ayres (MOCC)</v>
      </c>
      <c r="C7" s="47" t="s">
        <v>660</v>
      </c>
      <c r="D7" s="48"/>
      <c r="E7" s="49">
        <v>17</v>
      </c>
      <c r="F7" s="49">
        <v>46</v>
      </c>
      <c r="G7" s="49" t="s">
        <v>544</v>
      </c>
      <c r="H7" s="49"/>
      <c r="I7" s="50" t="str">
        <f>IF($B7="","",IF($K7="X",B7,CONCATENATE(VLOOKUP(B7,Competitors!$A$2:$I$650,3,FALSE)," ",VLOOKUP(B7,Competitors!$A$2:$I$650,2,FALSE))))</f>
        <v>Laura Ayres (MOCC)</v>
      </c>
      <c r="J7" s="51">
        <f t="shared" si="1"/>
        <v>1.2337962962962964E-2</v>
      </c>
      <c r="K7" t="str">
        <f t="shared" si="2"/>
        <v>X</v>
      </c>
    </row>
    <row r="8" spans="1:11" ht="15">
      <c r="A8" s="46" t="s">
        <v>632</v>
      </c>
      <c r="B8" s="47" t="str">
        <f t="shared" si="0"/>
        <v>Sue Bonsor (Ratae)</v>
      </c>
      <c r="C8" s="47" t="s">
        <v>661</v>
      </c>
      <c r="D8" s="48"/>
      <c r="E8" s="49">
        <v>21</v>
      </c>
      <c r="F8" s="49">
        <v>6</v>
      </c>
      <c r="G8" s="49" t="s">
        <v>544</v>
      </c>
      <c r="H8" s="49"/>
      <c r="I8" s="50" t="str">
        <f>IF($B8="","",IF($K8="X",B8,CONCATENATE(VLOOKUP(B8,Competitors!$A$2:$I$650,3,FALSE)," ",VLOOKUP(B8,Competitors!$A$2:$I$650,2,FALSE))))</f>
        <v>Sue Bonsor (Ratae)</v>
      </c>
      <c r="J8" s="51">
        <f t="shared" si="1"/>
        <v>1.4652777777777778E-2</v>
      </c>
      <c r="K8" t="str">
        <f t="shared" si="2"/>
        <v>X</v>
      </c>
    </row>
    <row r="9" spans="1:11" ht="15">
      <c r="A9" s="46" t="s">
        <v>501</v>
      </c>
      <c r="B9" s="47" t="str">
        <f t="shared" si="0"/>
        <v>Chris Bonsor (Ratae)</v>
      </c>
      <c r="C9" s="47" t="s">
        <v>662</v>
      </c>
      <c r="D9" s="48"/>
      <c r="E9" s="49">
        <v>15</v>
      </c>
      <c r="F9" s="49">
        <v>53</v>
      </c>
      <c r="G9" s="49"/>
      <c r="H9" s="49"/>
      <c r="I9" s="50" t="str">
        <f>IF($B9="","",IF($K9="X",B9,CONCATENATE(VLOOKUP(B9,Competitors!$A$2:$I$650,3,FALSE)," ",VLOOKUP(B9,Competitors!$A$2:$I$650,2,FALSE))))</f>
        <v>Chris Bonsor (Ratae)</v>
      </c>
      <c r="J9" s="51">
        <f t="shared" si="1"/>
        <v>1.1030092592592593E-2</v>
      </c>
      <c r="K9" t="str">
        <f t="shared" si="2"/>
        <v>X</v>
      </c>
    </row>
    <row r="10" spans="1:11" ht="15">
      <c r="A10" s="46" t="s">
        <v>577</v>
      </c>
      <c r="B10" s="47">
        <f t="shared" si="0"/>
        <v>1048</v>
      </c>
      <c r="C10" s="47" t="s">
        <v>663</v>
      </c>
      <c r="D10" s="48"/>
      <c r="E10" s="49">
        <v>18</v>
      </c>
      <c r="F10" s="49">
        <v>40</v>
      </c>
      <c r="G10" s="49" t="s">
        <v>544</v>
      </c>
      <c r="H10" s="49"/>
      <c r="I10" s="50" t="str">
        <f>IF($B10="","",IF($K10="X",B10,CONCATENATE(VLOOKUP(B10,Competitors!$A$2:$I$650,3,FALSE)," ",VLOOKUP(B10,Competitors!$A$2:$I$650,2,FALSE))))</f>
        <v>Andy Smith</v>
      </c>
      <c r="J10" s="51">
        <f t="shared" si="1"/>
        <v>1.2962962962962963E-2</v>
      </c>
      <c r="K10" t="str">
        <f t="shared" si="2"/>
        <v/>
      </c>
    </row>
    <row r="11" spans="1:11" ht="15">
      <c r="A11" s="46" t="s">
        <v>500</v>
      </c>
      <c r="B11" s="47" t="str">
        <f t="shared" si="0"/>
        <v>Brian Lincoln (Ratae)</v>
      </c>
      <c r="C11" s="47" t="s">
        <v>664</v>
      </c>
      <c r="D11" s="48"/>
      <c r="E11" s="49">
        <v>19</v>
      </c>
      <c r="F11" s="49">
        <v>27</v>
      </c>
      <c r="G11" s="49"/>
      <c r="H11" s="49"/>
      <c r="I11" s="50" t="str">
        <f>IF($B11="","",IF($K11="X",B11,CONCATENATE(VLOOKUP(B11,Competitors!$A$2:$I$650,3,FALSE)," ",VLOOKUP(B11,Competitors!$A$2:$I$650,2,FALSE))))</f>
        <v>Brian Lincoln (Ratae)</v>
      </c>
      <c r="J11" s="51">
        <f t="shared" si="1"/>
        <v>1.3506944444444445E-2</v>
      </c>
      <c r="K11" t="str">
        <f t="shared" si="2"/>
        <v>X</v>
      </c>
    </row>
    <row r="12" spans="1:11" ht="15">
      <c r="A12" s="46" t="s">
        <v>514</v>
      </c>
      <c r="B12" s="47" t="str">
        <f t="shared" si="0"/>
        <v>Steve Pearce (Ratae)</v>
      </c>
      <c r="C12" s="47" t="s">
        <v>665</v>
      </c>
      <c r="D12" s="48"/>
      <c r="E12" s="49">
        <v>16</v>
      </c>
      <c r="F12" s="49">
        <v>57</v>
      </c>
      <c r="G12" s="49"/>
      <c r="H12" s="49"/>
      <c r="I12" s="50" t="str">
        <f>IF($B12="","",IF($K12="X",B12,CONCATENATE(VLOOKUP(B12,Competitors!$A$2:$I$650,3,FALSE)," ",VLOOKUP(B12,Competitors!$A$2:$I$650,2,FALSE))))</f>
        <v>Steve Pearce (Ratae)</v>
      </c>
      <c r="J12" s="51">
        <f t="shared" si="1"/>
        <v>1.1770833333333333E-2</v>
      </c>
      <c r="K12" t="str">
        <f t="shared" si="2"/>
        <v>X</v>
      </c>
    </row>
    <row r="13" spans="1:11" ht="15">
      <c r="A13" s="46" t="s">
        <v>510</v>
      </c>
      <c r="B13" s="47" t="str">
        <f t="shared" si="0"/>
        <v>Marshall Briggs (Ratae)</v>
      </c>
      <c r="C13" s="47" t="s">
        <v>666</v>
      </c>
      <c r="D13" s="48"/>
      <c r="E13" s="49">
        <v>17</v>
      </c>
      <c r="F13" s="49">
        <v>11</v>
      </c>
      <c r="G13" s="49"/>
      <c r="H13" s="49"/>
      <c r="I13" s="50" t="str">
        <f>IF($B13="","",IF($K13="X",B13,CONCATENATE(VLOOKUP(B13,Competitors!$A$2:$I$650,3,FALSE)," ",VLOOKUP(B13,Competitors!$A$2:$I$650,2,FALSE))))</f>
        <v>Marshall Briggs (Ratae)</v>
      </c>
      <c r="J13" s="51">
        <f t="shared" si="1"/>
        <v>1.193287037037037E-2</v>
      </c>
      <c r="K13" t="str">
        <f t="shared" si="2"/>
        <v>X</v>
      </c>
    </row>
    <row r="14" spans="1:11" ht="15">
      <c r="A14" s="46" t="s">
        <v>507</v>
      </c>
      <c r="B14" s="47" t="str">
        <f t="shared" si="0"/>
        <v>Lucy Sturgess (Ratae)</v>
      </c>
      <c r="C14" s="47" t="s">
        <v>667</v>
      </c>
      <c r="D14" s="48"/>
      <c r="E14" s="49">
        <v>17</v>
      </c>
      <c r="F14" s="49">
        <v>19</v>
      </c>
      <c r="G14" s="49"/>
      <c r="H14" s="49"/>
      <c r="I14" s="50" t="str">
        <f>IF($B14="","",IF($K14="X",B14,CONCATENATE(VLOOKUP(B14,Competitors!$A$2:$I$650,3,FALSE)," ",VLOOKUP(B14,Competitors!$A$2:$I$650,2,FALSE))))</f>
        <v>Lucy Sturgess (Ratae)</v>
      </c>
      <c r="J14" s="51">
        <f t="shared" si="1"/>
        <v>1.2025462962962963E-2</v>
      </c>
      <c r="K14" t="str">
        <f t="shared" si="2"/>
        <v>X</v>
      </c>
    </row>
    <row r="15" spans="1:11" ht="15">
      <c r="A15" s="46" t="s">
        <v>633</v>
      </c>
      <c r="B15" s="47" t="str">
        <f t="shared" si="0"/>
        <v>Shareeq S. Shaikh (BOB CC)</v>
      </c>
      <c r="C15" s="47" t="s">
        <v>668</v>
      </c>
      <c r="D15" s="48"/>
      <c r="E15" s="49">
        <v>18</v>
      </c>
      <c r="F15" s="49">
        <v>10</v>
      </c>
      <c r="G15" s="49"/>
      <c r="H15" s="49"/>
      <c r="I15" s="50" t="str">
        <f>IF($B15="","",IF($K15="X",B15,CONCATENATE(VLOOKUP(B15,Competitors!$A$2:$I$650,3,FALSE)," ",VLOOKUP(B15,Competitors!$A$2:$I$650,2,FALSE))))</f>
        <v>Shareeq S. Shaikh (BOB CC)</v>
      </c>
      <c r="J15" s="51">
        <f t="shared" si="1"/>
        <v>1.2615740740740742E-2</v>
      </c>
      <c r="K15" t="str">
        <f t="shared" si="2"/>
        <v>X</v>
      </c>
    </row>
    <row r="16" spans="1:11" ht="15">
      <c r="A16" s="46" t="s">
        <v>634</v>
      </c>
      <c r="B16" s="47" t="str">
        <f t="shared" si="0"/>
        <v>Marc Fairclough (Beeston RC)</v>
      </c>
      <c r="C16" s="47" t="s">
        <v>669</v>
      </c>
      <c r="D16" s="48"/>
      <c r="E16" s="49">
        <v>15</v>
      </c>
      <c r="F16" s="49">
        <v>57</v>
      </c>
      <c r="G16" s="49"/>
      <c r="H16" s="49"/>
      <c r="I16" s="50" t="str">
        <f>IF($B16="","",IF($K16="X",B16,CONCATENATE(VLOOKUP(B16,Competitors!$A$2:$I$650,3,FALSE)," ",VLOOKUP(B16,Competitors!$A$2:$I$650,2,FALSE))))</f>
        <v>Marc Fairclough (Beeston RC)</v>
      </c>
      <c r="J16" s="51">
        <f t="shared" si="1"/>
        <v>1.1076388888888889E-2</v>
      </c>
      <c r="K16" t="str">
        <f t="shared" si="2"/>
        <v>X</v>
      </c>
    </row>
    <row r="17" spans="1:11" ht="15">
      <c r="A17" s="46" t="s">
        <v>636</v>
      </c>
      <c r="B17" s="47" t="str">
        <f t="shared" si="0"/>
        <v>Umair Nurgat (Gapped RT)</v>
      </c>
      <c r="C17" s="47" t="s">
        <v>670</v>
      </c>
      <c r="D17" s="48"/>
      <c r="E17" s="49">
        <v>16</v>
      </c>
      <c r="F17" s="49">
        <v>34</v>
      </c>
      <c r="G17" s="49" t="s">
        <v>544</v>
      </c>
      <c r="H17" s="49"/>
      <c r="I17" s="50" t="str">
        <f>IF($B17="","",IF($K17="X",B17,CONCATENATE(VLOOKUP(B17,Competitors!$A$2:$I$650,3,FALSE)," ",VLOOKUP(B17,Competitors!$A$2:$I$650,2,FALSE))))</f>
        <v>Umair Nurgat (Gapped RT)</v>
      </c>
      <c r="J17" s="51">
        <f t="shared" si="1"/>
        <v>1.150462962962963E-2</v>
      </c>
      <c r="K17" t="str">
        <f t="shared" si="2"/>
        <v>X</v>
      </c>
    </row>
    <row r="18" spans="1:11" ht="15">
      <c r="A18" s="46" t="s">
        <v>638</v>
      </c>
      <c r="B18" s="47" t="str">
        <f t="shared" si="0"/>
        <v>James Dexter (Coalville Wheelers)</v>
      </c>
      <c r="C18" s="47" t="s">
        <v>671</v>
      </c>
      <c r="D18" s="48"/>
      <c r="E18" s="49">
        <v>15</v>
      </c>
      <c r="F18" s="49">
        <v>26</v>
      </c>
      <c r="G18" s="49" t="s">
        <v>544</v>
      </c>
      <c r="H18" s="49"/>
      <c r="I18" s="50" t="str">
        <f>IF($B18="","",IF($K18="X",B18,CONCATENATE(VLOOKUP(B18,Competitors!$A$2:$I$650,3,FALSE)," ",VLOOKUP(B18,Competitors!$A$2:$I$650,2,FALSE))))</f>
        <v>James Dexter (Coalville Wheelers)</v>
      </c>
      <c r="J18" s="51">
        <f t="shared" si="1"/>
        <v>1.0717592592592593E-2</v>
      </c>
      <c r="K18" t="str">
        <f t="shared" si="2"/>
        <v>X</v>
      </c>
    </row>
    <row r="19" spans="1:11" ht="15">
      <c r="A19" s="46" t="s">
        <v>639</v>
      </c>
      <c r="B19" s="47" t="str">
        <f t="shared" si="0"/>
        <v>Muhammad Sheikh (Gapped RT)</v>
      </c>
      <c r="C19" s="47" t="s">
        <v>672</v>
      </c>
      <c r="D19" s="48"/>
      <c r="E19" s="49">
        <v>17</v>
      </c>
      <c r="F19" s="49">
        <v>45</v>
      </c>
      <c r="G19" s="49" t="s">
        <v>544</v>
      </c>
      <c r="H19" s="49"/>
      <c r="I19" s="50" t="str">
        <f>IF($B19="","",IF($K19="X",B19,CONCATENATE(VLOOKUP(B19,Competitors!$A$2:$I$650,3,FALSE)," ",VLOOKUP(B19,Competitors!$A$2:$I$650,2,FALSE))))</f>
        <v>Muhammad Sheikh (Gapped RT)</v>
      </c>
      <c r="J19" s="51">
        <f t="shared" si="1"/>
        <v>1.2326388888888888E-2</v>
      </c>
      <c r="K19" t="str">
        <f t="shared" si="2"/>
        <v>X</v>
      </c>
    </row>
    <row r="20" spans="1:11" ht="15">
      <c r="A20" s="46" t="s">
        <v>506</v>
      </c>
      <c r="B20" s="47" t="str">
        <f t="shared" si="0"/>
        <v>Lesley Allden (Ratae)</v>
      </c>
      <c r="C20" s="47" t="s">
        <v>673</v>
      </c>
      <c r="D20" s="48"/>
      <c r="E20" s="49">
        <v>21</v>
      </c>
      <c r="F20" s="49">
        <v>2</v>
      </c>
      <c r="G20" s="49" t="s">
        <v>544</v>
      </c>
      <c r="H20" s="49"/>
      <c r="I20" s="50" t="str">
        <f>IF($B20="","",IF($K20="X",B20,CONCATENATE(VLOOKUP(B20,Competitors!$A$2:$I$650,3,FALSE)," ",VLOOKUP(B20,Competitors!$A$2:$I$650,2,FALSE))))</f>
        <v>Lesley Allden (Ratae)</v>
      </c>
      <c r="J20" s="51">
        <f t="shared" si="1"/>
        <v>1.4606481481481481E-2</v>
      </c>
      <c r="K20" t="str">
        <f t="shared" si="2"/>
        <v>X</v>
      </c>
    </row>
    <row r="21" spans="1:11" ht="15">
      <c r="A21" s="46" t="s">
        <v>640</v>
      </c>
      <c r="B21" s="47" t="str">
        <f t="shared" si="0"/>
        <v>Karl Williams (Ratae)</v>
      </c>
      <c r="C21" s="47" t="s">
        <v>674</v>
      </c>
      <c r="D21" s="48"/>
      <c r="E21" s="49">
        <v>17</v>
      </c>
      <c r="F21" s="49">
        <v>25</v>
      </c>
      <c r="G21" s="49" t="s">
        <v>544</v>
      </c>
      <c r="H21" s="49"/>
      <c r="I21" s="50" t="str">
        <f>IF($B21="","",IF($K21="X",B21,CONCATENATE(VLOOKUP(B21,Competitors!$A$2:$I$650,3,FALSE)," ",VLOOKUP(B21,Competitors!$A$2:$I$650,2,FALSE))))</f>
        <v>Karl Williams (Ratae)</v>
      </c>
      <c r="J21" s="51">
        <f t="shared" si="1"/>
        <v>1.2094907407407407E-2</v>
      </c>
      <c r="K21" t="str">
        <f t="shared" si="2"/>
        <v>X</v>
      </c>
    </row>
    <row r="22" spans="1:11" ht="15">
      <c r="A22" s="46" t="s">
        <v>492</v>
      </c>
      <c r="B22" s="47" t="str">
        <f t="shared" si="0"/>
        <v>Chris Booth (MOCC)</v>
      </c>
      <c r="C22" s="47" t="s">
        <v>675</v>
      </c>
      <c r="D22" s="48"/>
      <c r="E22" s="49">
        <v>15</v>
      </c>
      <c r="F22" s="49">
        <v>40</v>
      </c>
      <c r="G22" s="49" t="s">
        <v>544</v>
      </c>
      <c r="H22" s="49"/>
      <c r="I22" s="50" t="str">
        <f>IF($B22="","",IF($K22="X",B22,CONCATENATE(VLOOKUP(B22,Competitors!$A$2:$I$650,3,FALSE)," ",VLOOKUP(B22,Competitors!$A$2:$I$650,2,FALSE))))</f>
        <v>Chris Booth (MOCC)</v>
      </c>
      <c r="J22" s="51">
        <f t="shared" si="1"/>
        <v>1.087962962962963E-2</v>
      </c>
      <c r="K22" t="str">
        <f t="shared" si="2"/>
        <v>X</v>
      </c>
    </row>
    <row r="23" spans="1:11" ht="15">
      <c r="A23" s="46" t="s">
        <v>495</v>
      </c>
      <c r="B23" s="47" t="str">
        <f t="shared" si="0"/>
        <v>Jamie Haines (MOCC)</v>
      </c>
      <c r="C23" s="47" t="s">
        <v>676</v>
      </c>
      <c r="D23" s="48"/>
      <c r="E23" s="49">
        <v>14</v>
      </c>
      <c r="F23" s="49">
        <v>19</v>
      </c>
      <c r="G23" s="49" t="s">
        <v>544</v>
      </c>
      <c r="H23" s="49"/>
      <c r="I23" s="50" t="str">
        <f>IF($B23="","",IF($K23="X",B23,CONCATENATE(VLOOKUP(B23,Competitors!$A$2:$I$650,3,FALSE)," ",VLOOKUP(B23,Competitors!$A$2:$I$650,2,FALSE))))</f>
        <v>Jamie Haines (MOCC)</v>
      </c>
      <c r="J23" s="51">
        <f t="shared" si="1"/>
        <v>9.9421296296296289E-3</v>
      </c>
      <c r="K23" t="str">
        <f t="shared" si="2"/>
        <v>X</v>
      </c>
    </row>
    <row r="24" spans="1:11" ht="15">
      <c r="A24" s="46" t="s">
        <v>411</v>
      </c>
      <c r="B24" s="47">
        <f t="shared" si="0"/>
        <v>407</v>
      </c>
      <c r="C24" s="47" t="s">
        <v>677</v>
      </c>
      <c r="D24" s="48"/>
      <c r="E24" s="49">
        <v>15</v>
      </c>
      <c r="F24" s="49">
        <v>2</v>
      </c>
      <c r="G24" s="49"/>
      <c r="H24" s="49"/>
      <c r="I24" s="50" t="str">
        <f>IF($B24="","",IF($K24="X",B24,CONCATENATE(VLOOKUP(B24,Competitors!$A$2:$I$650,3,FALSE)," ",VLOOKUP(B24,Competitors!$A$2:$I$650,2,FALSE))))</f>
        <v>Hans van Nierop</v>
      </c>
      <c r="J24" s="51">
        <f t="shared" si="1"/>
        <v>1.0439814814814815E-2</v>
      </c>
      <c r="K24" t="str">
        <f t="shared" si="2"/>
        <v/>
      </c>
    </row>
    <row r="25" spans="1:11" ht="15">
      <c r="A25" s="46" t="s">
        <v>780</v>
      </c>
      <c r="B25" s="47" t="str">
        <f t="shared" si="0"/>
        <v>Geoff Stanbridge (Fenland Clarion) (Ratae)</v>
      </c>
      <c r="C25" s="47" t="s">
        <v>678</v>
      </c>
      <c r="D25" s="48"/>
      <c r="E25" s="49">
        <v>24</v>
      </c>
      <c r="F25" s="49">
        <v>33</v>
      </c>
      <c r="G25" s="49" t="s">
        <v>544</v>
      </c>
      <c r="H25" s="49"/>
      <c r="I25" s="50" t="str">
        <f>IF($B25="","",IF($K25="X",B25,CONCATENATE(VLOOKUP(B25,Competitors!$A$2:$I$650,3,FALSE)," ",VLOOKUP(B25,Competitors!$A$2:$I$650,2,FALSE))))</f>
        <v>Geoff Stanbridge (Fenland Clarion) (Ratae)</v>
      </c>
      <c r="J25" s="51">
        <f t="shared" si="1"/>
        <v>1.7048611111111112E-2</v>
      </c>
      <c r="K25" t="str">
        <f t="shared" si="2"/>
        <v>X</v>
      </c>
    </row>
    <row r="26" spans="1:11" ht="15">
      <c r="A26" s="46" t="s">
        <v>431</v>
      </c>
      <c r="B26" s="47">
        <f t="shared" si="0"/>
        <v>1403</v>
      </c>
      <c r="C26" s="47" t="s">
        <v>641</v>
      </c>
      <c r="D26" s="48"/>
      <c r="E26" s="49">
        <v>17</v>
      </c>
      <c r="F26" s="49">
        <v>14</v>
      </c>
      <c r="G26" s="49"/>
      <c r="H26" s="49"/>
      <c r="I26" s="50" t="str">
        <f>IF($B26="","",IF($K26="X",B26,CONCATENATE(VLOOKUP(B26,Competitors!$A$2:$I$650,3,FALSE)," ",VLOOKUP(B26,Competitors!$A$2:$I$650,2,FALSE))))</f>
        <v>Toby Lenehan</v>
      </c>
      <c r="J26" s="51">
        <f t="shared" si="1"/>
        <v>1.1967592592592592E-2</v>
      </c>
      <c r="K26" t="str">
        <f t="shared" si="2"/>
        <v/>
      </c>
    </row>
    <row r="27" spans="1:11" ht="15">
      <c r="A27" s="46" t="s">
        <v>418</v>
      </c>
      <c r="B27" s="47">
        <f t="shared" si="0"/>
        <v>1355</v>
      </c>
      <c r="C27" s="47" t="s">
        <v>642</v>
      </c>
      <c r="D27" s="48"/>
      <c r="E27" s="49">
        <v>15</v>
      </c>
      <c r="F27" s="49">
        <v>27</v>
      </c>
      <c r="G27" s="49" t="s">
        <v>544</v>
      </c>
      <c r="H27" s="49"/>
      <c r="I27" s="50" t="str">
        <f>IF($B27="","",IF($K27="X",B27,CONCATENATE(VLOOKUP(B27,Competitors!$A$2:$I$650,3,FALSE)," ",VLOOKUP(B27,Competitors!$A$2:$I$650,2,FALSE))))</f>
        <v>Aubrey Elmer</v>
      </c>
      <c r="J27" s="51">
        <f t="shared" si="1"/>
        <v>1.0729166666666666E-2</v>
      </c>
      <c r="K27" t="str">
        <f t="shared" si="2"/>
        <v/>
      </c>
    </row>
    <row r="28" spans="1:11" ht="15">
      <c r="A28" s="46" t="s">
        <v>685</v>
      </c>
      <c r="B28" s="47" t="str">
        <f t="shared" si="0"/>
        <v>Steve Walsh (LFCC)</v>
      </c>
      <c r="C28" s="47" t="s">
        <v>643</v>
      </c>
      <c r="D28" s="48"/>
      <c r="E28" s="49">
        <v>18</v>
      </c>
      <c r="F28" s="49">
        <v>22</v>
      </c>
      <c r="G28" s="49" t="s">
        <v>544</v>
      </c>
      <c r="H28" s="49"/>
      <c r="I28" s="50" t="str">
        <f>IF($B28="","",IF($K28="X",B28,CONCATENATE(VLOOKUP(B28,Competitors!$A$2:$I$650,3,FALSE)," ",VLOOKUP(B28,Competitors!$A$2:$I$650,2,FALSE))))</f>
        <v>Steve Walsh (LFCC)</v>
      </c>
      <c r="J28" s="51">
        <f t="shared" si="1"/>
        <v>1.275462962962963E-2</v>
      </c>
      <c r="K28" t="str">
        <f t="shared" si="2"/>
        <v>X</v>
      </c>
    </row>
    <row r="29" spans="1:11" ht="15">
      <c r="A29" s="46" t="s">
        <v>458</v>
      </c>
      <c r="B29" s="47">
        <f t="shared" si="0"/>
        <v>715</v>
      </c>
      <c r="C29" s="47" t="s">
        <v>644</v>
      </c>
      <c r="D29" s="48"/>
      <c r="E29" s="49">
        <v>17</v>
      </c>
      <c r="F29" s="49">
        <v>39</v>
      </c>
      <c r="G29" s="49"/>
      <c r="H29" s="49"/>
      <c r="I29" s="50" t="str">
        <f>IF($B29="","",IF($K29="X",B29,CONCATENATE(VLOOKUP(B29,Competitors!$A$2:$I$650,3,FALSE)," ",VLOOKUP(B29,Competitors!$A$2:$I$650,2,FALSE))))</f>
        <v>Steven Coulam</v>
      </c>
      <c r="J29" s="51">
        <f t="shared" si="1"/>
        <v>1.2256944444444445E-2</v>
      </c>
      <c r="K29" t="str">
        <f t="shared" si="2"/>
        <v/>
      </c>
    </row>
    <row r="30" spans="1:11" ht="15">
      <c r="A30" s="46" t="s">
        <v>447</v>
      </c>
      <c r="B30" s="47">
        <f t="shared" si="0"/>
        <v>1194</v>
      </c>
      <c r="C30" s="47" t="s">
        <v>645</v>
      </c>
      <c r="D30" s="48"/>
      <c r="E30" s="49">
        <v>18</v>
      </c>
      <c r="F30" s="49">
        <v>50</v>
      </c>
      <c r="G30" s="49" t="s">
        <v>544</v>
      </c>
      <c r="H30" s="49"/>
      <c r="I30" s="50" t="str">
        <f>IF($B30="","",IF($K30="X",B30,CONCATENATE(VLOOKUP(B30,Competitors!$A$2:$I$650,3,FALSE)," ",VLOOKUP(B30,Competitors!$A$2:$I$650,2,FALSE))))</f>
        <v>Alex Hardwicke</v>
      </c>
      <c r="J30" s="51">
        <f t="shared" si="1"/>
        <v>1.3078703703703703E-2</v>
      </c>
      <c r="K30" t="str">
        <f t="shared" si="2"/>
        <v/>
      </c>
    </row>
    <row r="31" spans="1:11" ht="15">
      <c r="A31" s="46" t="s">
        <v>443</v>
      </c>
      <c r="B31" s="47">
        <f t="shared" si="0"/>
        <v>1193</v>
      </c>
      <c r="C31" s="47" t="s">
        <v>646</v>
      </c>
      <c r="D31" s="48"/>
      <c r="E31" s="49">
        <v>17</v>
      </c>
      <c r="F31" s="49">
        <v>27</v>
      </c>
      <c r="G31" s="49" t="s">
        <v>544</v>
      </c>
      <c r="H31" s="49"/>
      <c r="I31" s="50" t="str">
        <f>IF($B31="","",IF($K31="X",B31,CONCATENATE(VLOOKUP(B31,Competitors!$A$2:$I$650,3,FALSE)," ",VLOOKUP(B31,Competitors!$A$2:$I$650,2,FALSE))))</f>
        <v>Richard Hardwicke</v>
      </c>
      <c r="J31" s="51">
        <f t="shared" si="1"/>
        <v>1.2118055555555556E-2</v>
      </c>
      <c r="K31" t="str">
        <f t="shared" si="2"/>
        <v/>
      </c>
    </row>
    <row r="32" spans="1:11" ht="15">
      <c r="A32" s="46" t="s">
        <v>437</v>
      </c>
      <c r="B32" s="47">
        <f t="shared" si="0"/>
        <v>1195</v>
      </c>
      <c r="C32" s="47" t="s">
        <v>647</v>
      </c>
      <c r="D32" s="48"/>
      <c r="E32" s="49">
        <v>16</v>
      </c>
      <c r="F32" s="49">
        <v>28</v>
      </c>
      <c r="G32" s="49" t="s">
        <v>544</v>
      </c>
      <c r="H32" s="49"/>
      <c r="I32" s="50" t="str">
        <f>IF($B32="","",IF($K32="X",B32,CONCATENATE(VLOOKUP(B32,Competitors!$A$2:$I$650,3,FALSE)," ",VLOOKUP(B32,Competitors!$A$2:$I$650,2,FALSE))))</f>
        <v>Charlie Hardwicke</v>
      </c>
      <c r="J32" s="51">
        <f t="shared" si="1"/>
        <v>1.1435185185185185E-2</v>
      </c>
      <c r="K32" t="str">
        <f t="shared" si="2"/>
        <v/>
      </c>
    </row>
    <row r="33" spans="1:11" ht="15">
      <c r="A33" s="46" t="s">
        <v>505</v>
      </c>
      <c r="B33" s="47" t="str">
        <f t="shared" si="0"/>
        <v>Jonathon Clarke (Ratae)</v>
      </c>
      <c r="C33" s="47" t="s">
        <v>648</v>
      </c>
      <c r="D33" s="48"/>
      <c r="E33" s="49">
        <v>17</v>
      </c>
      <c r="F33" s="49">
        <v>10</v>
      </c>
      <c r="G33" s="49" t="s">
        <v>544</v>
      </c>
      <c r="H33" s="49"/>
      <c r="I33" s="50" t="str">
        <f>IF($B33="","",IF($K33="X",B33,CONCATENATE(VLOOKUP(B33,Competitors!$A$2:$I$650,3,FALSE)," ",VLOOKUP(B33,Competitors!$A$2:$I$650,2,FALSE))))</f>
        <v>Jonathon Clarke (Ratae)</v>
      </c>
      <c r="J33" s="51">
        <f t="shared" si="1"/>
        <v>1.1921296296296296E-2</v>
      </c>
      <c r="K33" t="str">
        <f t="shared" si="2"/>
        <v>X</v>
      </c>
    </row>
    <row r="34" spans="1:11" ht="15">
      <c r="A34" s="46" t="s">
        <v>686</v>
      </c>
      <c r="B34" s="47" t="str">
        <f t="shared" ref="B34:B97" si="3">IF(A34="","",_xlfn.XLOOKUP(A34,ClubNames,ClubNumbers,_xlfn.XLOOKUP(A34,RoundRobinRiderNames,RoundRobinRiderDecoratedNames,A34)))</f>
        <v>Tom Swan (Speedhub)</v>
      </c>
      <c r="C34" s="47" t="s">
        <v>649</v>
      </c>
      <c r="D34" s="48"/>
      <c r="E34" s="49">
        <v>17</v>
      </c>
      <c r="F34" s="49">
        <v>36</v>
      </c>
      <c r="G34" s="49"/>
      <c r="H34" s="49"/>
      <c r="I34" s="50" t="str">
        <f>IF($B34="","",IF($K34="X",B34,CONCATENATE(VLOOKUP(B34,Competitors!$A$2:$I$650,3,FALSE)," ",VLOOKUP(B34,Competitors!$A$2:$I$650,2,FALSE))))</f>
        <v>Tom Swan (Speedhub)</v>
      </c>
      <c r="J34" s="51">
        <f t="shared" si="1"/>
        <v>1.2222222222222223E-2</v>
      </c>
      <c r="K34" t="str">
        <f t="shared" si="2"/>
        <v>X</v>
      </c>
    </row>
    <row r="35" spans="1:11" ht="15">
      <c r="A35" s="46" t="s">
        <v>687</v>
      </c>
      <c r="B35" s="47" t="str">
        <f t="shared" si="3"/>
        <v>Tom Scott-Collins (Velo Elite)</v>
      </c>
      <c r="C35" s="47" t="s">
        <v>650</v>
      </c>
      <c r="D35" s="48"/>
      <c r="E35" s="49">
        <v>14</v>
      </c>
      <c r="F35" s="49">
        <v>43</v>
      </c>
      <c r="G35" s="49" t="s">
        <v>544</v>
      </c>
      <c r="H35" s="49"/>
      <c r="I35" s="50" t="str">
        <f>IF($B35="","",IF($K35="X",B35,CONCATENATE(VLOOKUP(B35,Competitors!$A$2:$I$650,3,FALSE)," ",VLOOKUP(B35,Competitors!$A$2:$I$650,2,FALSE))))</f>
        <v>Tom Scott-Collins (Velo Elite)</v>
      </c>
      <c r="J35" s="51">
        <f t="shared" si="1"/>
        <v>1.0219907407407407E-2</v>
      </c>
      <c r="K35" t="str">
        <f t="shared" si="2"/>
        <v>X</v>
      </c>
    </row>
    <row r="36" spans="1:11" ht="15">
      <c r="A36" s="46" t="s">
        <v>591</v>
      </c>
      <c r="B36" s="47" t="str">
        <f t="shared" si="3"/>
        <v>Mohammed Nurgat (BOB CC)</v>
      </c>
      <c r="C36" s="47" t="s">
        <v>651</v>
      </c>
      <c r="D36" s="48"/>
      <c r="E36" s="49">
        <v>17</v>
      </c>
      <c r="F36" s="49">
        <v>22</v>
      </c>
      <c r="G36" s="49" t="s">
        <v>544</v>
      </c>
      <c r="H36" s="49"/>
      <c r="I36" s="50" t="str">
        <f>IF($B36="","",IF($K36="X",B36,CONCATENATE(VLOOKUP(B36,Competitors!$A$2:$I$650,3,FALSE)," ",VLOOKUP(B36,Competitors!$A$2:$I$650,2,FALSE))))</f>
        <v>Mohammed Nurgat (BOB CC)</v>
      </c>
      <c r="J36" s="51">
        <f t="shared" si="1"/>
        <v>1.2060185185185186E-2</v>
      </c>
      <c r="K36" t="str">
        <f t="shared" si="2"/>
        <v>X</v>
      </c>
    </row>
    <row r="37" spans="1:11" ht="15">
      <c r="A37" s="46" t="s">
        <v>689</v>
      </c>
      <c r="B37" s="47" t="str">
        <f t="shared" si="3"/>
        <v>Ali Nurgat (BOB CC)</v>
      </c>
      <c r="C37" s="47" t="s">
        <v>652</v>
      </c>
      <c r="D37" s="48"/>
      <c r="E37" s="49">
        <v>17</v>
      </c>
      <c r="F37" s="49">
        <v>26</v>
      </c>
      <c r="G37" s="49" t="s">
        <v>544</v>
      </c>
      <c r="H37" s="49"/>
      <c r="I37" s="50" t="str">
        <f>IF($B37="","",IF($K37="X",B37,CONCATENATE(VLOOKUP(B37,Competitors!$A$2:$I$650,3,FALSE)," ",VLOOKUP(B37,Competitors!$A$2:$I$650,2,FALSE))))</f>
        <v>Ali Nurgat (BOB CC)</v>
      </c>
      <c r="J37" s="51">
        <f t="shared" si="1"/>
        <v>1.2106481481481482E-2</v>
      </c>
      <c r="K37" t="str">
        <f t="shared" si="2"/>
        <v>X</v>
      </c>
    </row>
    <row r="38" spans="1:11" ht="15">
      <c r="A38" s="46" t="s">
        <v>499</v>
      </c>
      <c r="B38" s="47" t="str">
        <f t="shared" si="3"/>
        <v>Alex Whitmore (Ratae)</v>
      </c>
      <c r="C38" s="47" t="s">
        <v>679</v>
      </c>
      <c r="D38" s="48"/>
      <c r="E38" s="49">
        <v>14</v>
      </c>
      <c r="F38" s="49">
        <v>12</v>
      </c>
      <c r="G38" s="49" t="s">
        <v>544</v>
      </c>
      <c r="H38" s="49"/>
      <c r="I38" s="50" t="str">
        <f>IF($B38="","",IF($K38="X",B38,CONCATENATE(VLOOKUP(B38,Competitors!$A$2:$I$650,3,FALSE)," ",VLOOKUP(B38,Competitors!$A$2:$I$650,2,FALSE))))</f>
        <v>Alex Whitmore (Ratae)</v>
      </c>
      <c r="J38" s="51">
        <f t="shared" si="1"/>
        <v>9.8611111111111104E-3</v>
      </c>
      <c r="K38" t="str">
        <f t="shared" si="2"/>
        <v>X</v>
      </c>
    </row>
    <row r="39" spans="1:11" ht="15">
      <c r="A39" s="46" t="s">
        <v>435</v>
      </c>
      <c r="B39" s="47">
        <f t="shared" si="3"/>
        <v>846</v>
      </c>
      <c r="C39" s="47" t="s">
        <v>680</v>
      </c>
      <c r="D39" s="48"/>
      <c r="E39" s="49">
        <v>16</v>
      </c>
      <c r="F39" s="49">
        <v>39</v>
      </c>
      <c r="G39" s="49"/>
      <c r="H39" s="49"/>
      <c r="I39" s="50" t="str">
        <f>IF($B39="","",IF($K39="X",B39,CONCATENATE(VLOOKUP(B39,Competitors!$A$2:$I$650,3,FALSE)," ",VLOOKUP(B39,Competitors!$A$2:$I$650,2,FALSE))))</f>
        <v>Roger Kockelbergh</v>
      </c>
      <c r="J39" s="51">
        <f t="shared" si="1"/>
        <v>1.15625E-2</v>
      </c>
      <c r="K39" t="str">
        <f t="shared" si="2"/>
        <v/>
      </c>
    </row>
    <row r="40" spans="1:11" ht="15">
      <c r="A40" s="46" t="s">
        <v>436</v>
      </c>
      <c r="B40" s="47">
        <f t="shared" si="3"/>
        <v>203</v>
      </c>
      <c r="C40" s="47" t="s">
        <v>681</v>
      </c>
      <c r="D40" s="48"/>
      <c r="E40" s="49">
        <v>17</v>
      </c>
      <c r="F40" s="49">
        <v>42</v>
      </c>
      <c r="G40" s="49"/>
      <c r="H40" s="49"/>
      <c r="I40" s="50" t="str">
        <f>IF($B40="","",IF($K40="X",B40,CONCATENATE(VLOOKUP(B40,Competitors!$A$2:$I$650,3,FALSE)," ",VLOOKUP(B40,Competitors!$A$2:$I$650,2,FALSE))))</f>
        <v>Adrian Killworth</v>
      </c>
      <c r="J40" s="51">
        <f t="shared" si="1"/>
        <v>1.2291666666666666E-2</v>
      </c>
      <c r="K40" t="str">
        <f t="shared" si="2"/>
        <v/>
      </c>
    </row>
    <row r="41" spans="1:11" ht="15">
      <c r="A41" s="46" t="s">
        <v>653</v>
      </c>
      <c r="B41" s="47" t="str">
        <f t="shared" si="3"/>
        <v>Brigitte Gaillard (Ratae)</v>
      </c>
      <c r="C41" s="47" t="s">
        <v>682</v>
      </c>
      <c r="D41" s="48"/>
      <c r="E41" s="49">
        <v>20</v>
      </c>
      <c r="F41" s="49">
        <v>26</v>
      </c>
      <c r="G41" s="49"/>
      <c r="H41" s="49"/>
      <c r="I41" s="50" t="str">
        <f>IF($B41="","",IF($K41="X",B41,CONCATENATE(VLOOKUP(B41,Competitors!$A$2:$I$650,3,FALSE)," ",VLOOKUP(B41,Competitors!$A$2:$I$650,2,FALSE))))</f>
        <v>Brigitte Gaillard (Ratae)</v>
      </c>
      <c r="J41" s="51">
        <f t="shared" si="1"/>
        <v>1.4189814814814815E-2</v>
      </c>
      <c r="K41" t="str">
        <f t="shared" si="2"/>
        <v>X</v>
      </c>
    </row>
    <row r="42" spans="1:11" ht="15">
      <c r="A42" s="46" t="s">
        <v>654</v>
      </c>
      <c r="B42" s="47" t="str">
        <f t="shared" si="3"/>
        <v>Peter Kott (Ratae)</v>
      </c>
      <c r="C42" s="47" t="s">
        <v>683</v>
      </c>
      <c r="D42" s="48"/>
      <c r="E42" s="49">
        <v>21</v>
      </c>
      <c r="F42" s="49">
        <v>0</v>
      </c>
      <c r="G42" s="49"/>
      <c r="H42" s="49"/>
      <c r="I42" s="50" t="str">
        <f>IF($B42="","",IF($K42="X",B42,CONCATENATE(VLOOKUP(B42,Competitors!$A$2:$I$650,3,FALSE)," ",VLOOKUP(B42,Competitors!$A$2:$I$650,2,FALSE))))</f>
        <v>Peter Kott (Ratae)</v>
      </c>
      <c r="J42" s="51">
        <f t="shared" si="1"/>
        <v>1.4583333333333334E-2</v>
      </c>
      <c r="K42" t="str">
        <f t="shared" si="2"/>
        <v>X</v>
      </c>
    </row>
    <row r="43" spans="1:11" ht="15">
      <c r="A43" s="46"/>
      <c r="B43" s="47" t="str">
        <f t="shared" si="3"/>
        <v/>
      </c>
      <c r="C43" s="47"/>
      <c r="D43" s="48"/>
      <c r="E43" s="49"/>
      <c r="F43" s="49"/>
      <c r="G43" s="49"/>
      <c r="H43" s="49"/>
      <c r="I43" s="50" t="str">
        <f>IF($B43="","",IF($K43="X",B43,CONCATENATE(VLOOKUP(B43,Competitors!$A$2:$I$650,3,FALSE)," ",VLOOKUP(B43,Competitors!$A$2:$I$650,2,FALSE))))</f>
        <v/>
      </c>
      <c r="J43" s="51">
        <f t="shared" si="1"/>
        <v>0</v>
      </c>
      <c r="K43" t="str">
        <f t="shared" si="2"/>
        <v/>
      </c>
    </row>
    <row r="44" spans="1:11" ht="15">
      <c r="A44" s="46"/>
      <c r="B44" s="47" t="str">
        <f t="shared" si="3"/>
        <v/>
      </c>
      <c r="C44" s="47"/>
      <c r="D44" s="48"/>
      <c r="E44" s="49"/>
      <c r="F44" s="49"/>
      <c r="G44" s="49"/>
      <c r="H44" s="49"/>
      <c r="I44" s="50" t="str">
        <f>IF($B44="","",IF($K44="X",B44,CONCATENATE(VLOOKUP(B44,Competitors!$A$2:$I$650,3,FALSE)," ",VLOOKUP(B44,Competitors!$A$2:$I$650,2,FALSE))))</f>
        <v/>
      </c>
      <c r="J44" s="51">
        <f t="shared" si="1"/>
        <v>0</v>
      </c>
      <c r="K44" t="str">
        <f t="shared" si="2"/>
        <v/>
      </c>
    </row>
    <row r="45" spans="1:11" ht="15">
      <c r="A45" s="46"/>
      <c r="B45" s="47" t="str">
        <f t="shared" si="3"/>
        <v/>
      </c>
      <c r="C45" s="47"/>
      <c r="D45" s="48"/>
      <c r="E45" s="49"/>
      <c r="F45" s="49"/>
      <c r="G45" s="49"/>
      <c r="H45" s="49"/>
      <c r="I45" s="50" t="str">
        <f>IF($B45="","",IF($K45="X",B45,CONCATENATE(VLOOKUP(B45,Competitors!$A$2:$I$650,3,FALSE)," ",VLOOKUP(B45,Competitors!$A$2:$I$650,2,FALSE))))</f>
        <v/>
      </c>
      <c r="J45" s="51">
        <f t="shared" si="1"/>
        <v>0</v>
      </c>
      <c r="K45" t="str">
        <f t="shared" si="2"/>
        <v/>
      </c>
    </row>
    <row r="46" spans="1:11" ht="15">
      <c r="A46" s="46"/>
      <c r="B46" s="47" t="str">
        <f t="shared" si="3"/>
        <v/>
      </c>
      <c r="C46" s="47"/>
      <c r="D46" s="48"/>
      <c r="E46" s="49"/>
      <c r="F46" s="49"/>
      <c r="G46" s="49"/>
      <c r="H46" s="49"/>
      <c r="I46" s="50" t="str">
        <f>IF($B46="","",IF($K46="X",B46,CONCATENATE(VLOOKUP(B46,Competitors!$A$2:$I$650,3,FALSE)," ",VLOOKUP(B46,Competitors!$A$2:$I$650,2,FALSE))))</f>
        <v/>
      </c>
      <c r="J46" s="51">
        <f t="shared" si="1"/>
        <v>0</v>
      </c>
      <c r="K46" t="str">
        <f t="shared" si="2"/>
        <v/>
      </c>
    </row>
    <row r="47" spans="1:11" ht="15">
      <c r="A47" s="46"/>
      <c r="B47" s="47" t="str">
        <f t="shared" si="3"/>
        <v/>
      </c>
      <c r="C47" s="47"/>
      <c r="D47" s="48"/>
      <c r="E47" s="49"/>
      <c r="F47" s="49"/>
      <c r="G47" s="49"/>
      <c r="H47" s="49"/>
      <c r="I47" s="50" t="str">
        <f>IF($B47="","",IF($K47="X",B47,CONCATENATE(VLOOKUP(B47,Competitors!$A$2:$I$650,3,FALSE)," ",VLOOKUP(B47,Competitors!$A$2:$I$650,2,FALSE))))</f>
        <v/>
      </c>
      <c r="J47" s="51">
        <f t="shared" si="1"/>
        <v>0</v>
      </c>
      <c r="K47" t="str">
        <f t="shared" si="2"/>
        <v/>
      </c>
    </row>
    <row r="48" spans="1:11" ht="15">
      <c r="A48" s="46"/>
      <c r="B48" s="47" t="str">
        <f t="shared" si="3"/>
        <v/>
      </c>
      <c r="C48" s="47"/>
      <c r="D48" s="48"/>
      <c r="E48" s="49"/>
      <c r="F48" s="49"/>
      <c r="G48" s="49"/>
      <c r="H48" s="49"/>
      <c r="I48" s="50" t="str">
        <f>IF($B48="","",IF($K48="X",B48,CONCATENATE(VLOOKUP(B48,Competitors!$A$2:$I$650,3,FALSE)," ",VLOOKUP(B48,Competitors!$A$2:$I$650,2,FALSE))))</f>
        <v/>
      </c>
      <c r="J48" s="51">
        <f t="shared" si="1"/>
        <v>0</v>
      </c>
      <c r="K48" t="str">
        <f t="shared" si="2"/>
        <v/>
      </c>
    </row>
    <row r="49" spans="1:11" ht="15">
      <c r="A49" s="46"/>
      <c r="B49" s="47" t="str">
        <f t="shared" si="3"/>
        <v/>
      </c>
      <c r="C49" s="47"/>
      <c r="D49" s="48"/>
      <c r="E49" s="49"/>
      <c r="F49" s="49"/>
      <c r="G49" s="49"/>
      <c r="H49" s="49"/>
      <c r="I49" s="50" t="str">
        <f>IF($B49="","",IF($K49="X",B49,CONCATENATE(VLOOKUP(B49,Competitors!$A$2:$I$650,3,FALSE)," ",VLOOKUP(B49,Competitors!$A$2:$I$650,2,FALSE))))</f>
        <v/>
      </c>
      <c r="J49" s="51">
        <f t="shared" si="1"/>
        <v>0</v>
      </c>
      <c r="K49" t="str">
        <f t="shared" si="2"/>
        <v/>
      </c>
    </row>
    <row r="50" spans="1:11" ht="15">
      <c r="A50" s="46"/>
      <c r="B50" s="47" t="str">
        <f t="shared" si="3"/>
        <v/>
      </c>
      <c r="C50" s="47"/>
      <c r="D50" s="48"/>
      <c r="E50" s="49"/>
      <c r="F50" s="49"/>
      <c r="G50" s="49"/>
      <c r="H50" s="49"/>
      <c r="I50" s="50" t="str">
        <f>IF($B50="","",IF($K50="X",B50,CONCATENATE(VLOOKUP(B50,Competitors!$A$2:$I$650,3,FALSE)," ",VLOOKUP(B50,Competitors!$A$2:$I$650,2,FALSE))))</f>
        <v/>
      </c>
      <c r="J50" s="51">
        <f t="shared" si="1"/>
        <v>0</v>
      </c>
      <c r="K50" t="str">
        <f t="shared" si="2"/>
        <v/>
      </c>
    </row>
    <row r="51" spans="1:11" ht="15">
      <c r="A51" s="46"/>
      <c r="B51" s="47" t="str">
        <f t="shared" si="3"/>
        <v/>
      </c>
      <c r="C51" s="47"/>
      <c r="D51" s="48"/>
      <c r="E51" s="49"/>
      <c r="F51" s="49"/>
      <c r="G51" s="49"/>
      <c r="H51" s="49"/>
      <c r="I51" s="50" t="str">
        <f>IF($B51="","",IF($K51="X",B51,CONCATENATE(VLOOKUP(B51,Competitors!$A$2:$I$650,3,FALSE)," ",VLOOKUP(B51,Competitors!$A$2:$I$650,2,FALSE))))</f>
        <v/>
      </c>
      <c r="J51" s="51">
        <f t="shared" si="1"/>
        <v>0</v>
      </c>
      <c r="K51" t="str">
        <f t="shared" si="2"/>
        <v/>
      </c>
    </row>
    <row r="52" spans="1:11" ht="15">
      <c r="A52" s="46"/>
      <c r="B52" s="47" t="str">
        <f t="shared" si="3"/>
        <v/>
      </c>
      <c r="C52" s="47"/>
      <c r="D52" s="48"/>
      <c r="E52" s="49"/>
      <c r="F52" s="49"/>
      <c r="G52" s="49"/>
      <c r="H52" s="49"/>
      <c r="I52" s="50" t="str">
        <f>IF($B52="","",IF($K52="X",B52,CONCATENATE(VLOOKUP(B52,Competitors!$A$2:$I$650,3,FALSE)," ",VLOOKUP(B52,Competitors!$A$2:$I$650,2,FALSE))))</f>
        <v/>
      </c>
      <c r="J52" s="51">
        <f t="shared" si="1"/>
        <v>0</v>
      </c>
      <c r="K52" t="str">
        <f t="shared" si="2"/>
        <v/>
      </c>
    </row>
    <row r="53" spans="1:11" ht="15">
      <c r="A53" s="46"/>
      <c r="B53" s="47" t="str">
        <f t="shared" si="3"/>
        <v/>
      </c>
      <c r="C53" s="47"/>
      <c r="D53" s="48"/>
      <c r="E53" s="49"/>
      <c r="F53" s="49"/>
      <c r="G53" s="49"/>
      <c r="H53" s="49"/>
      <c r="I53" s="50" t="str">
        <f>IF($B53="","",IF($K53="X",B53,CONCATENATE(VLOOKUP(B53,Competitors!$A$2:$I$650,3,FALSE)," ",VLOOKUP(B53,Competitors!$A$2:$I$650,2,FALSE))))</f>
        <v/>
      </c>
      <c r="J53" s="51">
        <f t="shared" si="1"/>
        <v>0</v>
      </c>
      <c r="K53" t="str">
        <f t="shared" si="2"/>
        <v/>
      </c>
    </row>
    <row r="54" spans="1:11" ht="15">
      <c r="A54" s="46"/>
      <c r="B54" s="47" t="str">
        <f t="shared" si="3"/>
        <v/>
      </c>
      <c r="C54" s="47"/>
      <c r="D54" s="48"/>
      <c r="E54" s="49"/>
      <c r="F54" s="49"/>
      <c r="G54" s="49"/>
      <c r="H54" s="49"/>
      <c r="I54" s="50" t="str">
        <f>IF($B54="","",IF($K54="X",B54,CONCATENATE(VLOOKUP(B54,Competitors!$A$2:$I$650,3,FALSE)," ",VLOOKUP(B54,Competitors!$A$2:$I$650,2,FALSE))))</f>
        <v/>
      </c>
      <c r="J54" s="51">
        <f t="shared" si="1"/>
        <v>0</v>
      </c>
      <c r="K54" t="str">
        <f t="shared" si="2"/>
        <v/>
      </c>
    </row>
    <row r="55" spans="1:11" ht="15">
      <c r="A55" s="46"/>
      <c r="B55" s="47" t="str">
        <f t="shared" si="3"/>
        <v/>
      </c>
      <c r="C55" s="47"/>
      <c r="D55" s="48"/>
      <c r="E55" s="49"/>
      <c r="F55" s="49"/>
      <c r="G55" s="49"/>
      <c r="H55" s="49"/>
      <c r="I55" s="50" t="str">
        <f>IF($B55="","",IF($K55="X",B55,CONCATENATE(VLOOKUP(B55,Competitors!$A$2:$I$650,3,FALSE)," ",VLOOKUP(B55,Competitors!$A$2:$I$650,2,FALSE))))</f>
        <v/>
      </c>
      <c r="J55" s="51">
        <f t="shared" si="1"/>
        <v>0</v>
      </c>
      <c r="K55" t="str">
        <f t="shared" si="2"/>
        <v/>
      </c>
    </row>
    <row r="56" spans="1:11" ht="15">
      <c r="A56" s="46"/>
      <c r="B56" s="47" t="str">
        <f t="shared" si="3"/>
        <v/>
      </c>
      <c r="C56" s="47"/>
      <c r="D56" s="48"/>
      <c r="E56" s="49"/>
      <c r="F56" s="49"/>
      <c r="G56" s="49"/>
      <c r="H56" s="49"/>
      <c r="I56" s="50" t="str">
        <f>IF($B56="","",IF($K56="X",B56,CONCATENATE(VLOOKUP(B56,Competitors!$A$2:$I$650,3,FALSE)," ",VLOOKUP(B56,Competitors!$A$2:$I$650,2,FALSE))))</f>
        <v/>
      </c>
      <c r="J56" s="51">
        <f t="shared" si="1"/>
        <v>0</v>
      </c>
      <c r="K56" t="str">
        <f t="shared" si="2"/>
        <v/>
      </c>
    </row>
    <row r="57" spans="1:11" ht="15">
      <c r="A57" s="46"/>
      <c r="B57" s="47" t="str">
        <f t="shared" si="3"/>
        <v/>
      </c>
      <c r="C57" s="47"/>
      <c r="D57" s="48"/>
      <c r="E57" s="49"/>
      <c r="F57" s="49"/>
      <c r="G57" s="49"/>
      <c r="H57" s="49"/>
      <c r="I57" s="50" t="str">
        <f>IF($B57="","",IF($K57="X",B57,CONCATENATE(VLOOKUP(B57,Competitors!$A$2:$I$650,3,FALSE)," ",VLOOKUP(B57,Competitors!$A$2:$I$650,2,FALSE))))</f>
        <v/>
      </c>
      <c r="J57" s="51">
        <f t="shared" si="1"/>
        <v>0</v>
      </c>
      <c r="K57" t="str">
        <f t="shared" si="2"/>
        <v/>
      </c>
    </row>
    <row r="58" spans="1:11" ht="15">
      <c r="A58" s="46"/>
      <c r="B58" s="47" t="str">
        <f t="shared" si="3"/>
        <v/>
      </c>
      <c r="C58" s="47"/>
      <c r="D58" s="48"/>
      <c r="E58" s="49"/>
      <c r="F58" s="49"/>
      <c r="G58" s="49"/>
      <c r="H58" s="49"/>
      <c r="I58" s="50" t="str">
        <f>IF($B58="","",IF($K58="X",B58,CONCATENATE(VLOOKUP(B58,Competitors!$A$2:$I$650,3,FALSE)," ",VLOOKUP(B58,Competitors!$A$2:$I$650,2,FALSE))))</f>
        <v/>
      </c>
      <c r="J58" s="51">
        <f t="shared" si="1"/>
        <v>0</v>
      </c>
      <c r="K58" t="str">
        <f t="shared" si="2"/>
        <v/>
      </c>
    </row>
    <row r="59" spans="1:11" ht="15">
      <c r="A59" s="46"/>
      <c r="B59" s="47" t="str">
        <f t="shared" si="3"/>
        <v/>
      </c>
      <c r="C59" s="47"/>
      <c r="D59" s="48"/>
      <c r="E59" s="49"/>
      <c r="F59" s="49"/>
      <c r="G59" s="49"/>
      <c r="H59" s="49"/>
      <c r="I59" s="50" t="str">
        <f>IF($B59="","",IF($K59="X",B59,CONCATENATE(VLOOKUP(B59,Competitors!$A$2:$I$650,3,FALSE)," ",VLOOKUP(B59,Competitors!$A$2:$I$650,2,FALSE))))</f>
        <v/>
      </c>
      <c r="J59" s="51">
        <f t="shared" si="1"/>
        <v>0</v>
      </c>
      <c r="K59" t="str">
        <f t="shared" si="2"/>
        <v/>
      </c>
    </row>
    <row r="60" spans="1:11" ht="15">
      <c r="A60" s="46"/>
      <c r="B60" s="47" t="str">
        <f t="shared" si="3"/>
        <v/>
      </c>
      <c r="C60" s="47"/>
      <c r="D60" s="48"/>
      <c r="E60" s="49"/>
      <c r="F60" s="49"/>
      <c r="G60" s="49"/>
      <c r="H60" s="49"/>
      <c r="I60" s="50" t="str">
        <f>IF($B60="","",IF($K60="X",B60,CONCATENATE(VLOOKUP(B60,Competitors!$A$2:$I$650,3,FALSE)," ",VLOOKUP(B60,Competitors!$A$2:$I$650,2,FALSE))))</f>
        <v/>
      </c>
      <c r="J60" s="51">
        <f t="shared" si="1"/>
        <v>0</v>
      </c>
      <c r="K60" t="str">
        <f t="shared" si="2"/>
        <v/>
      </c>
    </row>
    <row r="61" spans="1:11" ht="15">
      <c r="A61" s="46"/>
      <c r="B61" s="47" t="str">
        <f t="shared" si="3"/>
        <v/>
      </c>
      <c r="C61" s="47"/>
      <c r="D61" s="48"/>
      <c r="E61" s="49"/>
      <c r="F61" s="49"/>
      <c r="G61" s="49"/>
      <c r="H61" s="49"/>
      <c r="I61" s="50" t="str">
        <f>IF($B61="","",IF($K61="X",B61,CONCATENATE(VLOOKUP(B61,Competitors!$A$2:$I$650,3,FALSE)," ",VLOOKUP(B61,Competitors!$A$2:$I$650,2,FALSE))))</f>
        <v/>
      </c>
      <c r="J61" s="51">
        <f t="shared" si="1"/>
        <v>0</v>
      </c>
      <c r="K61" t="str">
        <f t="shared" si="2"/>
        <v/>
      </c>
    </row>
    <row r="62" spans="1:11" ht="15">
      <c r="A62" s="46"/>
      <c r="B62" s="47" t="str">
        <f t="shared" si="3"/>
        <v/>
      </c>
      <c r="C62" s="47"/>
      <c r="D62" s="48"/>
      <c r="E62" s="49"/>
      <c r="F62" s="49"/>
      <c r="G62" s="49"/>
      <c r="H62" s="49"/>
      <c r="I62" s="50" t="str">
        <f>IF($B62="","",IF($K62="X",B62,CONCATENATE(VLOOKUP(B62,Competitors!$A$2:$I$650,3,FALSE)," ",VLOOKUP(B62,Competitors!$A$2:$I$650,2,FALSE))))</f>
        <v/>
      </c>
      <c r="J62" s="51">
        <f t="shared" si="1"/>
        <v>0</v>
      </c>
      <c r="K62" t="str">
        <f t="shared" si="2"/>
        <v/>
      </c>
    </row>
    <row r="63" spans="1:11" ht="15">
      <c r="A63" s="46"/>
      <c r="B63" s="47" t="str">
        <f t="shared" si="3"/>
        <v/>
      </c>
      <c r="C63" s="47"/>
      <c r="D63" s="48"/>
      <c r="E63" s="49"/>
      <c r="F63" s="49"/>
      <c r="G63" s="49"/>
      <c r="H63" s="49"/>
      <c r="I63" s="50" t="str">
        <f>IF($B63="","",IF($K63="X",B63,CONCATENATE(VLOOKUP(B63,Competitors!$A$2:$I$650,3,FALSE)," ",VLOOKUP(B63,Competitors!$A$2:$I$650,2,FALSE))))</f>
        <v/>
      </c>
      <c r="J63" s="51">
        <f t="shared" si="1"/>
        <v>0</v>
      </c>
      <c r="K63" t="str">
        <f t="shared" si="2"/>
        <v/>
      </c>
    </row>
    <row r="64" spans="1:11" ht="15">
      <c r="A64" s="46"/>
      <c r="B64" s="47" t="str">
        <f t="shared" si="3"/>
        <v/>
      </c>
      <c r="C64" s="47"/>
      <c r="D64" s="48"/>
      <c r="E64" s="49"/>
      <c r="F64" s="49"/>
      <c r="G64" s="49"/>
      <c r="H64" s="49"/>
      <c r="I64" s="50" t="str">
        <f>IF($B64="","",IF($K64="X",B64,CONCATENATE(VLOOKUP(B64,Competitors!$A$2:$I$650,3,FALSE)," ",VLOOKUP(B64,Competitors!$A$2:$I$650,2,FALSE))))</f>
        <v/>
      </c>
      <c r="J64" s="51">
        <f t="shared" si="1"/>
        <v>0</v>
      </c>
      <c r="K64" t="str">
        <f t="shared" si="2"/>
        <v/>
      </c>
    </row>
    <row r="65" spans="1:11" ht="15">
      <c r="A65" s="46"/>
      <c r="B65" s="47" t="str">
        <f t="shared" si="3"/>
        <v/>
      </c>
      <c r="C65" s="47"/>
      <c r="D65" s="48"/>
      <c r="E65" s="49"/>
      <c r="F65" s="49"/>
      <c r="G65" s="49"/>
      <c r="H65" s="49"/>
      <c r="I65" s="50" t="str">
        <f>IF($B65="","",IF($K65="X",B65,CONCATENATE(VLOOKUP(B65,Competitors!$A$2:$I$650,3,FALSE)," ",VLOOKUP(B65,Competitors!$A$2:$I$650,2,FALSE))))</f>
        <v/>
      </c>
      <c r="J65" s="51">
        <f t="shared" si="1"/>
        <v>0</v>
      </c>
      <c r="K65" t="str">
        <f t="shared" si="2"/>
        <v/>
      </c>
    </row>
    <row r="66" spans="1:11" ht="15">
      <c r="A66" s="46"/>
      <c r="B66" s="47" t="str">
        <f t="shared" si="3"/>
        <v/>
      </c>
      <c r="C66" s="47"/>
      <c r="D66" s="48"/>
      <c r="E66" s="49"/>
      <c r="F66" s="49"/>
      <c r="G66" s="49"/>
      <c r="H66" s="49"/>
      <c r="I66" s="50" t="str">
        <f>IF($B66="","",IF($K66="X",B66,CONCATENATE(VLOOKUP(B66,Competitors!$A$2:$I$650,3,FALSE)," ",VLOOKUP(B66,Competitors!$A$2:$I$650,2,FALSE))))</f>
        <v/>
      </c>
      <c r="J66" s="51">
        <f t="shared" ref="J66:J101" si="4">IF(LEFT($G66,1)="D",UPPER($G66),(D66*3600+E66*60+F66)/86400)</f>
        <v>0</v>
      </c>
      <c r="K66" t="str">
        <f t="shared" ref="K66:K101" si="5">IF(OR(B66="",ISNUMBER(B66)),"","X")</f>
        <v/>
      </c>
    </row>
    <row r="67" spans="1:11" ht="15">
      <c r="A67" s="46"/>
      <c r="B67" s="47" t="str">
        <f t="shared" si="3"/>
        <v/>
      </c>
      <c r="C67" s="47"/>
      <c r="D67" s="48"/>
      <c r="E67" s="49"/>
      <c r="F67" s="49"/>
      <c r="G67" s="49"/>
      <c r="H67" s="49"/>
      <c r="I67" s="50" t="str">
        <f>IF($B67="","",IF($K67="X",B67,CONCATENATE(VLOOKUP(B67,Competitors!$A$2:$I$650,3,FALSE)," ",VLOOKUP(B67,Competitors!$A$2:$I$650,2,FALSE))))</f>
        <v/>
      </c>
      <c r="J67" s="51">
        <f t="shared" si="4"/>
        <v>0</v>
      </c>
      <c r="K67" t="str">
        <f t="shared" si="5"/>
        <v/>
      </c>
    </row>
    <row r="68" spans="1:11" ht="15">
      <c r="A68" s="46"/>
      <c r="B68" s="47" t="str">
        <f t="shared" si="3"/>
        <v/>
      </c>
      <c r="C68" s="47"/>
      <c r="D68" s="48"/>
      <c r="E68" s="49"/>
      <c r="F68" s="49"/>
      <c r="G68" s="49"/>
      <c r="H68" s="49"/>
      <c r="I68" s="50" t="str">
        <f>IF($B68="","",IF($K68="X",B68,CONCATENATE(VLOOKUP(B68,Competitors!$A$2:$I$650,3,FALSE)," ",VLOOKUP(B68,Competitors!$A$2:$I$650,2,FALSE))))</f>
        <v/>
      </c>
      <c r="J68" s="51">
        <f t="shared" si="4"/>
        <v>0</v>
      </c>
      <c r="K68" t="str">
        <f t="shared" si="5"/>
        <v/>
      </c>
    </row>
    <row r="69" spans="1:11" ht="15">
      <c r="A69" s="46"/>
      <c r="B69" s="47" t="str">
        <f t="shared" si="3"/>
        <v/>
      </c>
      <c r="C69" s="47"/>
      <c r="D69" s="48"/>
      <c r="E69" s="49"/>
      <c r="F69" s="49"/>
      <c r="G69" s="49"/>
      <c r="H69" s="49"/>
      <c r="I69" s="50" t="str">
        <f>IF($B69="","",IF($K69="X",B69,CONCATENATE(VLOOKUP(B69,Competitors!$A$2:$I$650,3,FALSE)," ",VLOOKUP(B69,Competitors!$A$2:$I$650,2,FALSE))))</f>
        <v/>
      </c>
      <c r="J69" s="51">
        <f t="shared" si="4"/>
        <v>0</v>
      </c>
      <c r="K69" t="str">
        <f t="shared" si="5"/>
        <v/>
      </c>
    </row>
    <row r="70" spans="1:11" ht="15">
      <c r="A70" s="46"/>
      <c r="B70" s="47" t="str">
        <f t="shared" si="3"/>
        <v/>
      </c>
      <c r="C70" s="47"/>
      <c r="D70" s="48"/>
      <c r="E70" s="49"/>
      <c r="F70" s="49"/>
      <c r="G70" s="49"/>
      <c r="H70" s="49"/>
      <c r="I70" s="50" t="str">
        <f>IF($B70="","",IF($K70="X",B70,CONCATENATE(VLOOKUP(B70,Competitors!$A$2:$I$650,3,FALSE)," ",VLOOKUP(B70,Competitors!$A$2:$I$650,2,FALSE))))</f>
        <v/>
      </c>
      <c r="J70" s="51">
        <f t="shared" si="4"/>
        <v>0</v>
      </c>
      <c r="K70" t="str">
        <f t="shared" si="5"/>
        <v/>
      </c>
    </row>
    <row r="71" spans="1:11" ht="15">
      <c r="A71" s="46"/>
      <c r="B71" s="47" t="str">
        <f t="shared" si="3"/>
        <v/>
      </c>
      <c r="C71" s="47"/>
      <c r="D71" s="48"/>
      <c r="E71" s="49"/>
      <c r="F71" s="49"/>
      <c r="G71" s="49"/>
      <c r="H71" s="49"/>
      <c r="I71" s="50" t="str">
        <f>IF($B71="","",IF($K71="X",B71,CONCATENATE(VLOOKUP(B71,Competitors!$A$2:$I$650,3,FALSE)," ",VLOOKUP(B71,Competitors!$A$2:$I$650,2,FALSE))))</f>
        <v/>
      </c>
      <c r="J71" s="51">
        <f t="shared" si="4"/>
        <v>0</v>
      </c>
      <c r="K71" t="str">
        <f t="shared" si="5"/>
        <v/>
      </c>
    </row>
    <row r="72" spans="1:11" ht="15">
      <c r="A72" s="46"/>
      <c r="B72" s="47" t="str">
        <f t="shared" si="3"/>
        <v/>
      </c>
      <c r="C72" s="47"/>
      <c r="D72" s="48"/>
      <c r="E72" s="49"/>
      <c r="F72" s="49"/>
      <c r="G72" s="49"/>
      <c r="H72" s="49"/>
      <c r="I72" s="50" t="str">
        <f>IF($B72="","",IF($K72="X",B72,CONCATENATE(VLOOKUP(B72,Competitors!$A$2:$I$650,3,FALSE)," ",VLOOKUP(B72,Competitors!$A$2:$I$650,2,FALSE))))</f>
        <v/>
      </c>
      <c r="J72" s="51">
        <f t="shared" si="4"/>
        <v>0</v>
      </c>
      <c r="K72" t="str">
        <f t="shared" si="5"/>
        <v/>
      </c>
    </row>
    <row r="73" spans="1:11" ht="15">
      <c r="A73" s="46"/>
      <c r="B73" s="47" t="str">
        <f t="shared" si="3"/>
        <v/>
      </c>
      <c r="C73" s="47"/>
      <c r="D73" s="48"/>
      <c r="E73" s="49"/>
      <c r="F73" s="49"/>
      <c r="G73" s="49"/>
      <c r="H73" s="49"/>
      <c r="I73" s="50" t="str">
        <f>IF($B73="","",IF($K73="X",B73,CONCATENATE(VLOOKUP(B73,Competitors!$A$2:$I$650,3,FALSE)," ",VLOOKUP(B73,Competitors!$A$2:$I$650,2,FALSE))))</f>
        <v/>
      </c>
      <c r="J73" s="51">
        <f t="shared" si="4"/>
        <v>0</v>
      </c>
      <c r="K73" t="str">
        <f t="shared" si="5"/>
        <v/>
      </c>
    </row>
    <row r="74" spans="1:11" ht="15">
      <c r="A74" s="46"/>
      <c r="B74" s="47" t="str">
        <f t="shared" si="3"/>
        <v/>
      </c>
      <c r="C74" s="47"/>
      <c r="D74" s="48"/>
      <c r="E74" s="49"/>
      <c r="F74" s="49"/>
      <c r="G74" s="49"/>
      <c r="H74" s="49"/>
      <c r="I74" s="50" t="str">
        <f>IF($B74="","",IF($K74="X",B74,CONCATENATE(VLOOKUP(B74,Competitors!$A$2:$I$650,3,FALSE)," ",VLOOKUP(B74,Competitors!$A$2:$I$650,2,FALSE))))</f>
        <v/>
      </c>
      <c r="J74" s="51">
        <f t="shared" si="4"/>
        <v>0</v>
      </c>
      <c r="K74" t="str">
        <f t="shared" si="5"/>
        <v/>
      </c>
    </row>
    <row r="75" spans="1:11" ht="15">
      <c r="A75" s="46"/>
      <c r="B75" s="47" t="str">
        <f t="shared" si="3"/>
        <v/>
      </c>
      <c r="C75" s="47"/>
      <c r="D75" s="48"/>
      <c r="E75" s="49"/>
      <c r="F75" s="49"/>
      <c r="G75" s="49"/>
      <c r="H75" s="49"/>
      <c r="I75" s="50" t="str">
        <f>IF($B75="","",IF($K75="X",B75,CONCATENATE(VLOOKUP(B75,Competitors!$A$2:$I$650,3,FALSE)," ",VLOOKUP(B75,Competitors!$A$2:$I$650,2,FALSE))))</f>
        <v/>
      </c>
      <c r="J75" s="51">
        <f t="shared" si="4"/>
        <v>0</v>
      </c>
      <c r="K75" t="str">
        <f t="shared" si="5"/>
        <v/>
      </c>
    </row>
    <row r="76" spans="1:11" ht="15">
      <c r="A76" s="46"/>
      <c r="B76" s="47" t="str">
        <f t="shared" si="3"/>
        <v/>
      </c>
      <c r="C76" s="47"/>
      <c r="D76" s="48"/>
      <c r="E76" s="49"/>
      <c r="F76" s="49"/>
      <c r="G76" s="49"/>
      <c r="H76" s="49"/>
      <c r="I76" s="50" t="str">
        <f>IF($B76="","",IF($K76="X",B76,CONCATENATE(VLOOKUP(B76,Competitors!$A$2:$I$650,3,FALSE)," ",VLOOKUP(B76,Competitors!$A$2:$I$650,2,FALSE))))</f>
        <v/>
      </c>
      <c r="J76" s="51">
        <f t="shared" si="4"/>
        <v>0</v>
      </c>
      <c r="K76" t="str">
        <f t="shared" si="5"/>
        <v/>
      </c>
    </row>
    <row r="77" spans="1:11" ht="15">
      <c r="A77" s="46"/>
      <c r="B77" s="47" t="str">
        <f t="shared" si="3"/>
        <v/>
      </c>
      <c r="C77" s="47"/>
      <c r="D77" s="48"/>
      <c r="E77" s="49"/>
      <c r="F77" s="49"/>
      <c r="G77" s="49"/>
      <c r="H77" s="49"/>
      <c r="I77" s="50" t="str">
        <f>IF($B77="","",IF($K77="X",B77,CONCATENATE(VLOOKUP(B77,Competitors!$A$2:$I$650,3,FALSE)," ",VLOOKUP(B77,Competitors!$A$2:$I$650,2,FALSE))))</f>
        <v/>
      </c>
      <c r="J77" s="51">
        <f t="shared" si="4"/>
        <v>0</v>
      </c>
      <c r="K77" t="str">
        <f t="shared" si="5"/>
        <v/>
      </c>
    </row>
    <row r="78" spans="1:11" ht="15">
      <c r="A78" s="46"/>
      <c r="B78" s="47" t="str">
        <f t="shared" si="3"/>
        <v/>
      </c>
      <c r="C78" s="47"/>
      <c r="D78" s="48"/>
      <c r="E78" s="49"/>
      <c r="F78" s="49"/>
      <c r="G78" s="49"/>
      <c r="H78" s="49"/>
      <c r="I78" s="50" t="str">
        <f>IF($B78="","",IF($K78="X",B78,CONCATENATE(VLOOKUP(B78,Competitors!$A$2:$I$650,3,FALSE)," ",VLOOKUP(B78,Competitors!$A$2:$I$650,2,FALSE))))</f>
        <v/>
      </c>
      <c r="J78" s="51">
        <f t="shared" si="4"/>
        <v>0</v>
      </c>
      <c r="K78" t="str">
        <f t="shared" si="5"/>
        <v/>
      </c>
    </row>
    <row r="79" spans="1:11" ht="15">
      <c r="A79" s="46"/>
      <c r="B79" s="47" t="str">
        <f t="shared" si="3"/>
        <v/>
      </c>
      <c r="C79" s="47"/>
      <c r="D79" s="48"/>
      <c r="E79" s="49"/>
      <c r="F79" s="49"/>
      <c r="G79" s="49"/>
      <c r="H79" s="49"/>
      <c r="I79" s="50" t="str">
        <f>IF($B79="","",IF($K79="X",B79,CONCATENATE(VLOOKUP(B79,Competitors!$A$2:$I$650,3,FALSE)," ",VLOOKUP(B79,Competitors!$A$2:$I$650,2,FALSE))))</f>
        <v/>
      </c>
      <c r="J79" s="51">
        <f t="shared" si="4"/>
        <v>0</v>
      </c>
      <c r="K79" t="str">
        <f t="shared" si="5"/>
        <v/>
      </c>
    </row>
    <row r="80" spans="1:11" ht="15">
      <c r="A80" s="46"/>
      <c r="B80" s="47" t="str">
        <f t="shared" si="3"/>
        <v/>
      </c>
      <c r="C80" s="47"/>
      <c r="D80" s="48"/>
      <c r="E80" s="49"/>
      <c r="F80" s="49"/>
      <c r="G80" s="49"/>
      <c r="H80" s="49"/>
      <c r="I80" s="50" t="str">
        <f>IF($B80="","",IF($K80="X",B80,CONCATENATE(VLOOKUP(B80,Competitors!$A$2:$I$650,3,FALSE)," ",VLOOKUP(B80,Competitors!$A$2:$I$650,2,FALSE))))</f>
        <v/>
      </c>
      <c r="J80" s="51">
        <f t="shared" si="4"/>
        <v>0</v>
      </c>
      <c r="K80" t="str">
        <f t="shared" si="5"/>
        <v/>
      </c>
    </row>
    <row r="81" spans="1:11" ht="15">
      <c r="A81" s="46"/>
      <c r="B81" s="47" t="str">
        <f t="shared" si="3"/>
        <v/>
      </c>
      <c r="C81" s="47"/>
      <c r="D81" s="48"/>
      <c r="E81" s="49"/>
      <c r="F81" s="49"/>
      <c r="G81" s="49"/>
      <c r="H81" s="49"/>
      <c r="I81" s="50" t="str">
        <f>IF($B81="","",IF($K81="X",B81,CONCATENATE(VLOOKUP(B81,Competitors!$A$2:$I$650,3,FALSE)," ",VLOOKUP(B81,Competitors!$A$2:$I$650,2,FALSE))))</f>
        <v/>
      </c>
      <c r="J81" s="51">
        <f t="shared" si="4"/>
        <v>0</v>
      </c>
      <c r="K81" t="str">
        <f t="shared" si="5"/>
        <v/>
      </c>
    </row>
    <row r="82" spans="1:11" ht="15">
      <c r="A82" s="46"/>
      <c r="B82" s="47" t="str">
        <f t="shared" si="3"/>
        <v/>
      </c>
      <c r="C82" s="47"/>
      <c r="D82" s="48"/>
      <c r="E82" s="49"/>
      <c r="F82" s="49"/>
      <c r="G82" s="49"/>
      <c r="H82" s="49"/>
      <c r="I82" s="50" t="str">
        <f>IF($B82="","",IF($K82="X",B82,CONCATENATE(VLOOKUP(B82,Competitors!$A$2:$I$650,3,FALSE)," ",VLOOKUP(B82,Competitors!$A$2:$I$650,2,FALSE))))</f>
        <v/>
      </c>
      <c r="J82" s="51">
        <f t="shared" si="4"/>
        <v>0</v>
      </c>
      <c r="K82" t="str">
        <f t="shared" si="5"/>
        <v/>
      </c>
    </row>
    <row r="83" spans="1:11" ht="15">
      <c r="A83" s="46"/>
      <c r="B83" s="47" t="str">
        <f t="shared" si="3"/>
        <v/>
      </c>
      <c r="C83" s="47"/>
      <c r="D83" s="48"/>
      <c r="E83" s="49"/>
      <c r="F83" s="49"/>
      <c r="G83" s="49"/>
      <c r="H83" s="49"/>
      <c r="I83" s="50" t="str">
        <f>IF($B83="","",IF($K83="X",B83,CONCATENATE(VLOOKUP(B83,Competitors!$A$2:$I$650,3,FALSE)," ",VLOOKUP(B83,Competitors!$A$2:$I$650,2,FALSE))))</f>
        <v/>
      </c>
      <c r="J83" s="51">
        <f t="shared" si="4"/>
        <v>0</v>
      </c>
      <c r="K83" t="str">
        <f t="shared" si="5"/>
        <v/>
      </c>
    </row>
    <row r="84" spans="1:11" ht="15">
      <c r="A84" s="46"/>
      <c r="B84" s="47" t="str">
        <f t="shared" si="3"/>
        <v/>
      </c>
      <c r="C84" s="47"/>
      <c r="D84" s="48"/>
      <c r="E84" s="49"/>
      <c r="F84" s="49"/>
      <c r="G84" s="49"/>
      <c r="H84" s="49"/>
      <c r="I84" s="50" t="str">
        <f>IF($B84="","",IF($K84="X",B84,CONCATENATE(VLOOKUP(B84,Competitors!$A$2:$I$650,3,FALSE)," ",VLOOKUP(B84,Competitors!$A$2:$I$650,2,FALSE))))</f>
        <v/>
      </c>
      <c r="J84" s="51">
        <f t="shared" si="4"/>
        <v>0</v>
      </c>
      <c r="K84" t="str">
        <f t="shared" si="5"/>
        <v/>
      </c>
    </row>
    <row r="85" spans="1:11" ht="15">
      <c r="A85" s="46"/>
      <c r="B85" s="47" t="str">
        <f t="shared" si="3"/>
        <v/>
      </c>
      <c r="C85" s="47"/>
      <c r="D85" s="48"/>
      <c r="E85" s="49"/>
      <c r="F85" s="49"/>
      <c r="G85" s="49"/>
      <c r="H85" s="49"/>
      <c r="I85" s="50" t="str">
        <f>IF($B85="","",IF($K85="X",B85,CONCATENATE(VLOOKUP(B85,Competitors!$A$2:$I$650,3,FALSE)," ",VLOOKUP(B85,Competitors!$A$2:$I$650,2,FALSE))))</f>
        <v/>
      </c>
      <c r="J85" s="51">
        <f t="shared" si="4"/>
        <v>0</v>
      </c>
      <c r="K85" t="str">
        <f t="shared" si="5"/>
        <v/>
      </c>
    </row>
    <row r="86" spans="1:11" ht="15">
      <c r="A86" s="46"/>
      <c r="B86" s="47" t="str">
        <f t="shared" si="3"/>
        <v/>
      </c>
      <c r="C86" s="47"/>
      <c r="D86" s="48"/>
      <c r="E86" s="49"/>
      <c r="F86" s="49"/>
      <c r="G86" s="49"/>
      <c r="H86" s="49"/>
      <c r="I86" s="50" t="str">
        <f>IF($B86="","",IF($K86="X",B86,CONCATENATE(VLOOKUP(B86,Competitors!$A$2:$I$650,3,FALSE)," ",VLOOKUP(B86,Competitors!$A$2:$I$650,2,FALSE))))</f>
        <v/>
      </c>
      <c r="J86" s="51">
        <f t="shared" si="4"/>
        <v>0</v>
      </c>
      <c r="K86" t="str">
        <f t="shared" si="5"/>
        <v/>
      </c>
    </row>
    <row r="87" spans="1:11" ht="15">
      <c r="A87" s="46"/>
      <c r="B87" s="47" t="str">
        <f t="shared" si="3"/>
        <v/>
      </c>
      <c r="C87" s="47"/>
      <c r="D87" s="48"/>
      <c r="E87" s="49"/>
      <c r="F87" s="49"/>
      <c r="G87" s="49"/>
      <c r="H87" s="49"/>
      <c r="I87" s="50" t="str">
        <f>IF($B87="","",IF($K87="X",B87,CONCATENATE(VLOOKUP(B87,Competitors!$A$2:$I$650,3,FALSE)," ",VLOOKUP(B87,Competitors!$A$2:$I$650,2,FALSE))))</f>
        <v/>
      </c>
      <c r="J87" s="51">
        <f t="shared" si="4"/>
        <v>0</v>
      </c>
      <c r="K87" t="str">
        <f t="shared" si="5"/>
        <v/>
      </c>
    </row>
    <row r="88" spans="1:11" ht="15">
      <c r="A88" s="46"/>
      <c r="B88" s="47" t="str">
        <f t="shared" si="3"/>
        <v/>
      </c>
      <c r="C88" s="47"/>
      <c r="D88" s="48"/>
      <c r="E88" s="49"/>
      <c r="F88" s="49"/>
      <c r="G88" s="49"/>
      <c r="H88" s="49"/>
      <c r="I88" s="50" t="str">
        <f>IF($B88="","",IF($K88="X",B88,CONCATENATE(VLOOKUP(B88,Competitors!$A$2:$I$650,3,FALSE)," ",VLOOKUP(B88,Competitors!$A$2:$I$650,2,FALSE))))</f>
        <v/>
      </c>
      <c r="J88" s="51">
        <f t="shared" si="4"/>
        <v>0</v>
      </c>
      <c r="K88" t="str">
        <f t="shared" si="5"/>
        <v/>
      </c>
    </row>
    <row r="89" spans="1:11" ht="15">
      <c r="A89" s="46"/>
      <c r="B89" s="47" t="str">
        <f t="shared" si="3"/>
        <v/>
      </c>
      <c r="C89" s="47"/>
      <c r="D89" s="48"/>
      <c r="E89" s="49"/>
      <c r="F89" s="49"/>
      <c r="G89" s="49"/>
      <c r="H89" s="49"/>
      <c r="I89" s="50" t="str">
        <f>IF($B89="","",IF($K89="X",B89,CONCATENATE(VLOOKUP(B89,Competitors!$A$2:$I$650,3,FALSE)," ",VLOOKUP(B89,Competitors!$A$2:$I$650,2,FALSE))))</f>
        <v/>
      </c>
      <c r="J89" s="51">
        <f t="shared" si="4"/>
        <v>0</v>
      </c>
      <c r="K89" t="str">
        <f t="shared" si="5"/>
        <v/>
      </c>
    </row>
    <row r="90" spans="1:11" ht="15">
      <c r="A90" s="46"/>
      <c r="B90" s="47" t="str">
        <f t="shared" si="3"/>
        <v/>
      </c>
      <c r="C90" s="47"/>
      <c r="D90" s="48"/>
      <c r="E90" s="49"/>
      <c r="F90" s="49"/>
      <c r="G90" s="49"/>
      <c r="H90" s="49"/>
      <c r="I90" s="50" t="str">
        <f>IF($B90="","",IF($K90="X",B90,CONCATENATE(VLOOKUP(B90,Competitors!$A$2:$I$650,3,FALSE)," ",VLOOKUP(B90,Competitors!$A$2:$I$650,2,FALSE))))</f>
        <v/>
      </c>
      <c r="J90" s="51">
        <f t="shared" si="4"/>
        <v>0</v>
      </c>
      <c r="K90" t="str">
        <f t="shared" si="5"/>
        <v/>
      </c>
    </row>
    <row r="91" spans="1:11" ht="15">
      <c r="A91" s="46"/>
      <c r="B91" s="47" t="str">
        <f t="shared" si="3"/>
        <v/>
      </c>
      <c r="C91" s="47"/>
      <c r="D91" s="48"/>
      <c r="E91" s="49"/>
      <c r="F91" s="49"/>
      <c r="G91" s="49"/>
      <c r="H91" s="49"/>
      <c r="I91" s="50" t="str">
        <f>IF($B91="","",IF($K91="X",B91,CONCATENATE(VLOOKUP(B91,Competitors!$A$2:$I$650,3,FALSE)," ",VLOOKUP(B91,Competitors!$A$2:$I$650,2,FALSE))))</f>
        <v/>
      </c>
      <c r="J91" s="51">
        <f t="shared" si="4"/>
        <v>0</v>
      </c>
      <c r="K91" t="str">
        <f t="shared" si="5"/>
        <v/>
      </c>
    </row>
    <row r="92" spans="1:11" ht="15">
      <c r="A92" s="46"/>
      <c r="B92" s="47" t="str">
        <f t="shared" si="3"/>
        <v/>
      </c>
      <c r="C92" s="47"/>
      <c r="D92" s="48"/>
      <c r="E92" s="49"/>
      <c r="F92" s="49"/>
      <c r="G92" s="49"/>
      <c r="H92" s="49"/>
      <c r="I92" s="50" t="str">
        <f>IF($B92="","",IF($K92="X",B92,CONCATENATE(VLOOKUP(B92,Competitors!$A$2:$I$650,3,FALSE)," ",VLOOKUP(B92,Competitors!$A$2:$I$650,2,FALSE))))</f>
        <v/>
      </c>
      <c r="J92" s="51">
        <f t="shared" si="4"/>
        <v>0</v>
      </c>
      <c r="K92" t="str">
        <f t="shared" si="5"/>
        <v/>
      </c>
    </row>
    <row r="93" spans="1:11" ht="15">
      <c r="A93" s="46"/>
      <c r="B93" s="47" t="str">
        <f t="shared" si="3"/>
        <v/>
      </c>
      <c r="C93" s="47"/>
      <c r="D93" s="48"/>
      <c r="E93" s="49"/>
      <c r="F93" s="49"/>
      <c r="G93" s="49"/>
      <c r="H93" s="49"/>
      <c r="I93" s="50" t="str">
        <f>IF($B93="","",IF($K93="X",B93,CONCATENATE(VLOOKUP(B93,Competitors!$A$2:$I$650,3,FALSE)," ",VLOOKUP(B93,Competitors!$A$2:$I$650,2,FALSE))))</f>
        <v/>
      </c>
      <c r="J93" s="51">
        <f t="shared" si="4"/>
        <v>0</v>
      </c>
      <c r="K93" t="str">
        <f t="shared" si="5"/>
        <v/>
      </c>
    </row>
    <row r="94" spans="1:11" ht="15">
      <c r="A94" s="46"/>
      <c r="B94" s="47" t="str">
        <f t="shared" si="3"/>
        <v/>
      </c>
      <c r="C94" s="47"/>
      <c r="D94" s="48"/>
      <c r="E94" s="49"/>
      <c r="F94" s="49"/>
      <c r="G94" s="49"/>
      <c r="H94" s="49"/>
      <c r="I94" s="50" t="str">
        <f>IF($B94="","",IF($K94="X",B94,CONCATENATE(VLOOKUP(B94,Competitors!$A$2:$I$650,3,FALSE)," ",VLOOKUP(B94,Competitors!$A$2:$I$650,2,FALSE))))</f>
        <v/>
      </c>
      <c r="J94" s="51">
        <f t="shared" si="4"/>
        <v>0</v>
      </c>
      <c r="K94" t="str">
        <f t="shared" si="5"/>
        <v/>
      </c>
    </row>
    <row r="95" spans="1:11" ht="15">
      <c r="A95" s="46"/>
      <c r="B95" s="47" t="str">
        <f t="shared" si="3"/>
        <v/>
      </c>
      <c r="C95" s="47"/>
      <c r="D95" s="48"/>
      <c r="E95" s="49"/>
      <c r="F95" s="49"/>
      <c r="G95" s="49"/>
      <c r="H95" s="49"/>
      <c r="I95" s="50" t="str">
        <f>IF($B95="","",IF($K95="X",B95,CONCATENATE(VLOOKUP(B95,Competitors!$A$2:$I$650,3,FALSE)," ",VLOOKUP(B95,Competitors!$A$2:$I$650,2,FALSE))))</f>
        <v/>
      </c>
      <c r="J95" s="51">
        <f t="shared" si="4"/>
        <v>0</v>
      </c>
      <c r="K95" t="str">
        <f t="shared" si="5"/>
        <v/>
      </c>
    </row>
    <row r="96" spans="1:11" ht="15">
      <c r="A96" s="46"/>
      <c r="B96" s="47" t="str">
        <f t="shared" si="3"/>
        <v/>
      </c>
      <c r="C96" s="47"/>
      <c r="D96" s="48"/>
      <c r="E96" s="49"/>
      <c r="F96" s="49"/>
      <c r="G96" s="49"/>
      <c r="H96" s="49"/>
      <c r="I96" s="50" t="str">
        <f>IF($B96="","",IF($K96="X",B96,CONCATENATE(VLOOKUP(B96,Competitors!$A$2:$I$650,3,FALSE)," ",VLOOKUP(B96,Competitors!$A$2:$I$650,2,FALSE))))</f>
        <v/>
      </c>
      <c r="J96" s="51">
        <f t="shared" si="4"/>
        <v>0</v>
      </c>
      <c r="K96" t="str">
        <f t="shared" si="5"/>
        <v/>
      </c>
    </row>
    <row r="97" spans="1:11" ht="15">
      <c r="A97" s="46"/>
      <c r="B97" s="47" t="str">
        <f t="shared" si="3"/>
        <v/>
      </c>
      <c r="C97" s="47"/>
      <c r="D97" s="48"/>
      <c r="E97" s="49"/>
      <c r="F97" s="49"/>
      <c r="G97" s="49"/>
      <c r="H97" s="49"/>
      <c r="I97" s="50" t="str">
        <f>IF($B97="","",IF($K97="X",B97,CONCATENATE(VLOOKUP(B97,Competitors!$A$2:$I$650,3,FALSE)," ",VLOOKUP(B97,Competitors!$A$2:$I$650,2,FALSE))))</f>
        <v/>
      </c>
      <c r="J97" s="51">
        <f t="shared" si="4"/>
        <v>0</v>
      </c>
      <c r="K97" t="str">
        <f t="shared" si="5"/>
        <v/>
      </c>
    </row>
    <row r="98" spans="1:11" ht="15">
      <c r="A98" s="46"/>
      <c r="B98" s="47" t="str">
        <f>IF(A98="","",_xlfn.XLOOKUP(A98,ClubNames,ClubNumbers,_xlfn.XLOOKUP(A98,RoundRobinRiderNames,RoundRobinRiderDecoratedNames,A98)))</f>
        <v/>
      </c>
      <c r="C98" s="47"/>
      <c r="D98" s="48"/>
      <c r="E98" s="49"/>
      <c r="F98" s="49"/>
      <c r="G98" s="49"/>
      <c r="H98" s="49"/>
      <c r="I98" s="50" t="str">
        <f>IF($B98="","",IF($K98="X",B98,CONCATENATE(VLOOKUP(B98,Competitors!$A$2:$I$650,3,FALSE)," ",VLOOKUP(B98,Competitors!$A$2:$I$650,2,FALSE))))</f>
        <v/>
      </c>
      <c r="J98" s="51">
        <f t="shared" si="4"/>
        <v>0</v>
      </c>
      <c r="K98" t="str">
        <f t="shared" si="5"/>
        <v/>
      </c>
    </row>
    <row r="99" spans="1:11" ht="15">
      <c r="A99" s="46"/>
      <c r="B99" s="47" t="str">
        <f>IF(A99="","",_xlfn.XLOOKUP(A99,ClubNames,ClubNumbers,_xlfn.XLOOKUP(A99,RoundRobinRiderNames,RoundRobinRiderDecoratedNames,A99)))</f>
        <v/>
      </c>
      <c r="C99" s="47"/>
      <c r="D99" s="48"/>
      <c r="E99" s="49"/>
      <c r="F99" s="49"/>
      <c r="G99" s="49"/>
      <c r="H99" s="49"/>
      <c r="I99" s="50" t="str">
        <f>IF($B99="","",IF($K99="X",B99,CONCATENATE(VLOOKUP(B99,Competitors!$A$2:$I$650,3,FALSE)," ",VLOOKUP(B99,Competitors!$A$2:$I$650,2,FALSE))))</f>
        <v/>
      </c>
      <c r="J99" s="51">
        <f t="shared" si="4"/>
        <v>0</v>
      </c>
      <c r="K99" t="str">
        <f t="shared" si="5"/>
        <v/>
      </c>
    </row>
    <row r="100" spans="1:11" ht="15">
      <c r="A100" s="46"/>
      <c r="B100" s="47" t="str">
        <f>IF(A100="","",_xlfn.XLOOKUP(A100,ClubNames,ClubNumbers,_xlfn.XLOOKUP(A100,RoundRobinRiderNames,RoundRobinRiderDecoratedNames,A100)))</f>
        <v/>
      </c>
      <c r="C100" s="47"/>
      <c r="D100" s="48"/>
      <c r="E100" s="49"/>
      <c r="F100" s="49"/>
      <c r="G100" s="49"/>
      <c r="H100" s="49"/>
      <c r="I100" s="50" t="str">
        <f>IF($B100="","",IF($K100="X",B100,CONCATENATE(VLOOKUP(B100,Competitors!$A$2:$I$650,3, FALSE)," ",VLOOKUP(B100,Competitors!$A$2:$I$650,2,FALSE))))</f>
        <v/>
      </c>
      <c r="J100" s="51">
        <f t="shared" si="4"/>
        <v>0</v>
      </c>
      <c r="K100" t="str">
        <f t="shared" si="5"/>
        <v/>
      </c>
    </row>
    <row r="101" spans="1:11" ht="15">
      <c r="A101" s="46"/>
      <c r="B101" s="47" t="str">
        <f>IF(A101="","",_xlfn.XLOOKUP(A101,ClubNames,ClubNumbers,_xlfn.XLOOKUP(A101,RoundRobinRiderNames,RoundRobinRiderDecoratedNames,A101)))</f>
        <v/>
      </c>
      <c r="C101" s="47"/>
      <c r="D101" s="48"/>
      <c r="E101" s="49"/>
      <c r="F101" s="49"/>
      <c r="G101" s="49"/>
      <c r="H101" s="49"/>
      <c r="I101" s="50" t="str">
        <f>IF($B101="","",IF($K101="X",B101,CONCATENATE(VLOOKUP(B101,Competitors!$A$2:$I$650,3,FALSE)," ",VLOOKUP(B101,Competitors!$A$2:$I$650,2,FALSE))))</f>
        <v/>
      </c>
      <c r="J101" s="51">
        <f t="shared" si="4"/>
        <v>0</v>
      </c>
      <c r="K101" t="str">
        <f t="shared" si="5"/>
        <v/>
      </c>
    </row>
    <row r="102" spans="1:11" s="52" customFormat="1">
      <c r="J102" s="53"/>
    </row>
    <row r="103" spans="1:11">
      <c r="B103" t="s">
        <v>551</v>
      </c>
      <c r="D103" t="str" cm="1">
        <f t="array" aca="1" ref="D103" ca="1">MID(CELL("filename",B1),FIND("]",CELL("filename",B1))+1,255)</f>
        <v>Event_16</v>
      </c>
    </row>
    <row r="104" spans="1:11">
      <c r="B104" t="s">
        <v>552</v>
      </c>
      <c r="D104" t="str">
        <f ca="1">_xlfn.XLOOKUP(D103,Calendar!O:O,Calendar!H:H,"Event is not in calendar")</f>
        <v/>
      </c>
    </row>
  </sheetData>
  <phoneticPr fontId="18" type="noConversion"/>
  <conditionalFormatting sqref="F2:F101">
    <cfRule type="expression" dxfId="36" priority="3">
      <formula>TEXT($D$104,"@")="Y"</formula>
    </cfRule>
  </conditionalFormatting>
  <conditionalFormatting sqref="I2:J101">
    <cfRule type="expression" dxfId="35" priority="2">
      <formula>$K2="X"</formula>
    </cfRule>
  </conditionalFormatting>
  <conditionalFormatting sqref="J2:J101">
    <cfRule type="expression" dxfId="34" priority="1">
      <formula>TEXT($D$104,"@")="Y"</formula>
    </cfRule>
  </conditionalFormatting>
  <pageMargins left="0.7" right="0.7" top="0.75" bottom="0.75" header="0.3" footer="0.3"/>
  <pageSetup paperSize="9" orientation="portrait"/>
  <legacy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9"/>
  <dimension ref="A1:K104"/>
  <sheetViews>
    <sheetView workbookViewId="0"/>
    <sheetView workbookViewId="1"/>
  </sheetViews>
  <sheetFormatPr defaultColWidth="9.1328125" defaultRowHeight="12.75"/>
  <cols>
    <col min="1" max="1" width="22" bestFit="1" customWidth="1"/>
    <col min="2" max="2" width="34.86328125" bestFit="1" customWidth="1"/>
    <col min="3" max="3" width="7" customWidth="1"/>
    <col min="4" max="6" width="4.796875" customWidth="1"/>
    <col min="7" max="8" width="11.1328125" customWidth="1"/>
    <col min="9" max="9" width="32.796875" bestFit="1" customWidth="1"/>
    <col min="10" max="10" width="14.6640625" style="38" bestFit="1" customWidth="1"/>
    <col min="11" max="11" width="19.19921875" bestFit="1" customWidth="1"/>
  </cols>
  <sheetData>
    <row r="1" spans="1:11" ht="15.75" customHeight="1">
      <c r="A1" s="39" t="s">
        <v>535</v>
      </c>
      <c r="B1" s="40" t="s">
        <v>536</v>
      </c>
      <c r="C1" s="66"/>
      <c r="D1" s="41" t="s">
        <v>537</v>
      </c>
      <c r="E1" s="42" t="s">
        <v>538</v>
      </c>
      <c r="F1" s="43" t="s">
        <v>539</v>
      </c>
      <c r="G1" s="44" t="s">
        <v>540</v>
      </c>
      <c r="H1" s="44" t="s">
        <v>541</v>
      </c>
      <c r="I1" s="39" t="s">
        <v>461</v>
      </c>
      <c r="J1" s="45" t="s">
        <v>542</v>
      </c>
      <c r="K1" t="s">
        <v>543</v>
      </c>
    </row>
    <row r="2" spans="1:11" ht="15">
      <c r="A2" s="46" t="s">
        <v>460</v>
      </c>
      <c r="B2" s="47">
        <f t="shared" ref="B2:B33" si="0">IF(A2="","",_xlfn.XLOOKUP(A2,ClubNames,ClubNumbers,_xlfn.XLOOKUP(A2,RoundRobinRiderNames,RoundRobinRiderDecoratedNames,A2)))</f>
        <v>7</v>
      </c>
      <c r="C2" s="47" t="s">
        <v>704</v>
      </c>
      <c r="D2" s="48"/>
      <c r="E2" s="49">
        <v>31</v>
      </c>
      <c r="F2" s="49">
        <v>23</v>
      </c>
      <c r="G2" s="49" t="s">
        <v>544</v>
      </c>
      <c r="H2" s="49"/>
      <c r="I2" s="50" t="str">
        <f>IF($B2="","",IF($K2="X",B2,CONCATENATE(VLOOKUP(B2,Competitors!$A$2:$I$650,3,FALSE)," ",VLOOKUP(B2,Competitors!$A$2:$I$650,2,FALSE))))</f>
        <v>Vic Barnett</v>
      </c>
      <c r="J2" s="51">
        <f t="shared" ref="J2:J33" si="1">IF(LEFT($G2,1)="D",UPPER($G2),(D2*3600+E2*60+F2)/86400)</f>
        <v>2.179398148148148E-2</v>
      </c>
      <c r="K2" t="str">
        <f t="shared" ref="K2:K33" si="2">IF(OR(B2="",ISNUMBER(B2)),"","X")</f>
        <v/>
      </c>
    </row>
    <row r="3" spans="1:11" ht="15">
      <c r="A3" s="46" t="s">
        <v>514</v>
      </c>
      <c r="B3" s="47" t="str">
        <f t="shared" si="0"/>
        <v>Steve Pearce (Ratae)</v>
      </c>
      <c r="C3" s="47" t="s">
        <v>711</v>
      </c>
      <c r="D3" s="48"/>
      <c r="E3" s="49">
        <v>25</v>
      </c>
      <c r="F3" s="49">
        <v>43</v>
      </c>
      <c r="G3" s="49"/>
      <c r="H3" s="49"/>
      <c r="I3" s="50" t="str">
        <f>IF($B3="","",IF($K3="X",B3,CONCATENATE(VLOOKUP(B3,Competitors!$A$2:$I$650,3,FALSE)," ",VLOOKUP(B3,Competitors!$A$2:$I$650,2,FALSE))))</f>
        <v>Steve Pearce (Ratae)</v>
      </c>
      <c r="J3" s="51">
        <f t="shared" si="1"/>
        <v>1.7858796296296296E-2</v>
      </c>
      <c r="K3" t="str">
        <f t="shared" si="2"/>
        <v>X</v>
      </c>
    </row>
    <row r="4" spans="1:11" ht="15">
      <c r="A4" s="46" t="s">
        <v>510</v>
      </c>
      <c r="B4" s="47" t="str">
        <f t="shared" si="0"/>
        <v>Marshall Briggs (Ratae)</v>
      </c>
      <c r="C4" s="47" t="s">
        <v>705</v>
      </c>
      <c r="D4" s="48"/>
      <c r="E4" s="49">
        <v>25</v>
      </c>
      <c r="F4" s="49">
        <v>49</v>
      </c>
      <c r="G4" s="49"/>
      <c r="H4" s="49"/>
      <c r="I4" s="50" t="str">
        <f>IF($B4="","",IF($K4="X",B4,CONCATENATE(VLOOKUP(B4,Competitors!$A$2:$I$650,3,FALSE)," ",VLOOKUP(B4,Competitors!$A$2:$I$650,2,FALSE))))</f>
        <v>Marshall Briggs (Ratae)</v>
      </c>
      <c r="J4" s="51">
        <f t="shared" si="1"/>
        <v>1.7928240740740741E-2</v>
      </c>
      <c r="K4" t="str">
        <f t="shared" si="2"/>
        <v>X</v>
      </c>
    </row>
    <row r="5" spans="1:11" ht="15">
      <c r="A5" s="46" t="s">
        <v>616</v>
      </c>
      <c r="B5" s="47">
        <f t="shared" si="0"/>
        <v>990</v>
      </c>
      <c r="C5" s="47" t="s">
        <v>706</v>
      </c>
      <c r="D5" s="48"/>
      <c r="E5" s="49">
        <v>31</v>
      </c>
      <c r="F5" s="49">
        <v>35</v>
      </c>
      <c r="G5" s="49" t="s">
        <v>544</v>
      </c>
      <c r="H5" s="49"/>
      <c r="I5" s="50" t="str">
        <f>IF($B5="","",IF($K5="X",B5,CONCATENATE(VLOOKUP(B5,Competitors!$A$2:$I$650,3,FALSE)," ",VLOOKUP(B5,Competitors!$A$2:$I$650,2,FALSE))))</f>
        <v>Jen Hulme</v>
      </c>
      <c r="J5" s="51">
        <f t="shared" si="1"/>
        <v>2.193287037037037E-2</v>
      </c>
      <c r="K5" t="str">
        <f t="shared" si="2"/>
        <v/>
      </c>
    </row>
    <row r="6" spans="1:11" ht="15">
      <c r="A6" s="46" t="s">
        <v>780</v>
      </c>
      <c r="B6" s="47" t="str">
        <f t="shared" si="0"/>
        <v>Geoff Stanbridge (Fenland Clarion) (Ratae)</v>
      </c>
      <c r="C6" s="47" t="s">
        <v>707</v>
      </c>
      <c r="D6" s="48"/>
      <c r="E6" s="49">
        <v>37</v>
      </c>
      <c r="F6" s="49">
        <v>13</v>
      </c>
      <c r="G6" s="49" t="s">
        <v>544</v>
      </c>
      <c r="H6" s="49"/>
      <c r="I6" s="50" t="str">
        <f>IF($B6="","",IF($K6="X",B6,CONCATENATE(VLOOKUP(B6,Competitors!$A$2:$I$650,3,FALSE)," ",VLOOKUP(B6,Competitors!$A$2:$I$650,2,FALSE))))</f>
        <v>Geoff Stanbridge (Fenland Clarion) (Ratae)</v>
      </c>
      <c r="J6" s="51">
        <f t="shared" si="1"/>
        <v>2.5844907407407407E-2</v>
      </c>
      <c r="K6" t="str">
        <f t="shared" si="2"/>
        <v>X</v>
      </c>
    </row>
    <row r="7" spans="1:11" ht="15">
      <c r="A7" s="46" t="s">
        <v>653</v>
      </c>
      <c r="B7" s="47" t="str">
        <f t="shared" si="0"/>
        <v>Brigitte Gaillard (Ratae)</v>
      </c>
      <c r="C7" s="47" t="s">
        <v>703</v>
      </c>
      <c r="D7" s="48"/>
      <c r="E7" s="49">
        <v>29</v>
      </c>
      <c r="F7" s="49">
        <v>53</v>
      </c>
      <c r="G7" s="49" t="s">
        <v>544</v>
      </c>
      <c r="H7" s="49"/>
      <c r="I7" s="50" t="str">
        <f>IF($B7="","",IF($K7="X",B7,CONCATENATE(VLOOKUP(B7,Competitors!$A$2:$I$650,3,FALSE)," ",VLOOKUP(B7,Competitors!$A$2:$I$650,2,FALSE))))</f>
        <v>Brigitte Gaillard (Ratae)</v>
      </c>
      <c r="J7" s="51">
        <f t="shared" si="1"/>
        <v>2.0752314814814814E-2</v>
      </c>
      <c r="K7" t="str">
        <f t="shared" si="2"/>
        <v>X</v>
      </c>
    </row>
    <row r="8" spans="1:11" ht="15">
      <c r="A8" s="46" t="s">
        <v>685</v>
      </c>
      <c r="B8" s="47" t="str">
        <f t="shared" si="0"/>
        <v>Steve Walsh (LFCC)</v>
      </c>
      <c r="C8" s="47" t="s">
        <v>708</v>
      </c>
      <c r="D8" s="48"/>
      <c r="E8" s="49">
        <v>28</v>
      </c>
      <c r="F8" s="49">
        <v>20</v>
      </c>
      <c r="G8" s="49" t="s">
        <v>544</v>
      </c>
      <c r="H8" s="49"/>
      <c r="I8" s="50" t="str">
        <f>IF($B8="","",IF($K8="X",B8,CONCATENATE(VLOOKUP(B8,Competitors!$A$2:$I$650,3,FALSE)," ",VLOOKUP(B8,Competitors!$A$2:$I$650,2,FALSE))))</f>
        <v>Steve Walsh (LFCC)</v>
      </c>
      <c r="J8" s="51">
        <f t="shared" si="1"/>
        <v>1.9675925925925927E-2</v>
      </c>
      <c r="K8" t="str">
        <f t="shared" si="2"/>
        <v>X</v>
      </c>
    </row>
    <row r="9" spans="1:11" ht="15">
      <c r="A9" s="46" t="s">
        <v>577</v>
      </c>
      <c r="B9" s="47">
        <f t="shared" si="0"/>
        <v>1048</v>
      </c>
      <c r="C9" s="47" t="s">
        <v>709</v>
      </c>
      <c r="D9" s="48"/>
      <c r="E9" s="49">
        <v>28</v>
      </c>
      <c r="F9" s="49">
        <v>46</v>
      </c>
      <c r="G9" s="49" t="s">
        <v>544</v>
      </c>
      <c r="H9" s="49"/>
      <c r="I9" s="50" t="str">
        <f>IF($B9="","",IF($K9="X",B9,CONCATENATE(VLOOKUP(B9,Competitors!$A$2:$I$650,3,FALSE)," ",VLOOKUP(B9,Competitors!$A$2:$I$650,2,FALSE))))</f>
        <v>Andy Smith</v>
      </c>
      <c r="J9" s="51">
        <f t="shared" si="1"/>
        <v>1.9976851851851853E-2</v>
      </c>
      <c r="K9" t="str">
        <f t="shared" si="2"/>
        <v/>
      </c>
    </row>
    <row r="10" spans="1:11" ht="15">
      <c r="A10" s="46" t="s">
        <v>694</v>
      </c>
      <c r="B10" s="47" t="str">
        <f t="shared" si="0"/>
        <v>Joe Murray (M.I. Racing) (HCRC)</v>
      </c>
      <c r="C10" s="47" t="s">
        <v>710</v>
      </c>
      <c r="D10" s="48"/>
      <c r="E10" s="49">
        <v>22</v>
      </c>
      <c r="F10" s="49">
        <v>46</v>
      </c>
      <c r="G10" s="49"/>
      <c r="H10" s="49"/>
      <c r="I10" s="50" t="str">
        <f>IF($B10="","",IF($K10="X",B10,CONCATENATE(VLOOKUP(B10,Competitors!$A$2:$I$650,3,FALSE)," ",VLOOKUP(B10,Competitors!$A$2:$I$650,2,FALSE))))</f>
        <v>Joe Murray (M.I. Racing) (HCRC)</v>
      </c>
      <c r="J10" s="51">
        <f t="shared" si="1"/>
        <v>1.5810185185185184E-2</v>
      </c>
      <c r="K10" t="str">
        <f t="shared" si="2"/>
        <v>X</v>
      </c>
    </row>
    <row r="11" spans="1:11" ht="15">
      <c r="A11" s="46" t="s">
        <v>473</v>
      </c>
      <c r="B11" s="47" t="str">
        <f t="shared" si="0"/>
        <v>John Capel (Coalville Wheelers)</v>
      </c>
      <c r="C11" s="47" t="s">
        <v>664</v>
      </c>
      <c r="D11" s="48"/>
      <c r="E11" s="49">
        <v>25</v>
      </c>
      <c r="F11" s="49">
        <v>52</v>
      </c>
      <c r="G11" s="49"/>
      <c r="H11" s="49"/>
      <c r="I11" s="50" t="str">
        <f>IF($B11="","",IF($K11="X",B11,CONCATENATE(VLOOKUP(B11,Competitors!$A$2:$I$650,3,FALSE)," ",VLOOKUP(B11,Competitors!$A$2:$I$650,2,FALSE))))</f>
        <v>John Capel (Coalville Wheelers)</v>
      </c>
      <c r="J11" s="51">
        <f t="shared" si="1"/>
        <v>1.7962962962962962E-2</v>
      </c>
      <c r="K11" t="str">
        <f t="shared" si="2"/>
        <v>X</v>
      </c>
    </row>
    <row r="12" spans="1:11" ht="15">
      <c r="A12" s="46" t="s">
        <v>444</v>
      </c>
      <c r="B12" s="47">
        <f t="shared" si="0"/>
        <v>1386</v>
      </c>
      <c r="C12" s="47" t="s">
        <v>728</v>
      </c>
      <c r="D12" s="48"/>
      <c r="E12" s="49">
        <v>28</v>
      </c>
      <c r="F12" s="49">
        <v>8</v>
      </c>
      <c r="G12" s="49" t="s">
        <v>544</v>
      </c>
      <c r="H12" s="49"/>
      <c r="I12" s="50" t="str">
        <f>IF($B12="","",IF($K12="X",B12,CONCATENATE(VLOOKUP(B12,Competitors!$A$2:$I$650,3,FALSE)," ",VLOOKUP(B12,Competitors!$A$2:$I$650,2,FALSE))))</f>
        <v>Mea Moore</v>
      </c>
      <c r="J12" s="51">
        <f t="shared" si="1"/>
        <v>1.9537037037037037E-2</v>
      </c>
      <c r="K12" t="str">
        <f t="shared" si="2"/>
        <v/>
      </c>
    </row>
    <row r="13" spans="1:11" ht="15">
      <c r="A13" s="46" t="s">
        <v>500</v>
      </c>
      <c r="B13" s="47" t="str">
        <f t="shared" si="0"/>
        <v>Brian Lincoln (Ratae)</v>
      </c>
      <c r="C13" s="47" t="s">
        <v>665</v>
      </c>
      <c r="D13" s="48"/>
      <c r="E13" s="49">
        <v>29</v>
      </c>
      <c r="F13" s="49">
        <v>33</v>
      </c>
      <c r="G13" s="49" t="s">
        <v>544</v>
      </c>
      <c r="H13" s="49"/>
      <c r="I13" s="50" t="str">
        <f>IF($B13="","",IF($K13="X",B13,CONCATENATE(VLOOKUP(B13,Competitors!$A$2:$I$650,3,FALSE)," ",VLOOKUP(B13,Competitors!$A$2:$I$650,2,FALSE))))</f>
        <v>Brian Lincoln (Ratae)</v>
      </c>
      <c r="J13" s="51">
        <f t="shared" si="1"/>
        <v>2.0520833333333332E-2</v>
      </c>
      <c r="K13" t="str">
        <f t="shared" si="2"/>
        <v>X</v>
      </c>
    </row>
    <row r="14" spans="1:11" ht="15">
      <c r="A14" s="46" t="s">
        <v>492</v>
      </c>
      <c r="B14" s="47" t="str">
        <f t="shared" si="0"/>
        <v>Chris Booth (MOCC)</v>
      </c>
      <c r="C14" s="47" t="s">
        <v>666</v>
      </c>
      <c r="D14" s="48"/>
      <c r="E14" s="49">
        <v>24</v>
      </c>
      <c r="F14" s="49">
        <v>20</v>
      </c>
      <c r="G14" s="49" t="s">
        <v>544</v>
      </c>
      <c r="H14" s="49"/>
      <c r="I14" s="50" t="str">
        <f>IF($B14="","",IF($K14="X",B14,CONCATENATE(VLOOKUP(B14,Competitors!$A$2:$I$650,3,FALSE)," ",VLOOKUP(B14,Competitors!$A$2:$I$650,2,FALSE))))</f>
        <v>Chris Booth (MOCC)</v>
      </c>
      <c r="J14" s="51">
        <f t="shared" si="1"/>
        <v>1.6898148148148148E-2</v>
      </c>
      <c r="K14" t="str">
        <f t="shared" si="2"/>
        <v>X</v>
      </c>
    </row>
    <row r="15" spans="1:11" ht="15">
      <c r="A15" s="46" t="s">
        <v>509</v>
      </c>
      <c r="B15" s="47" t="str">
        <f t="shared" si="0"/>
        <v>Mark Newton (Ratae)</v>
      </c>
      <c r="C15" s="47" t="s">
        <v>667</v>
      </c>
      <c r="D15" s="48"/>
      <c r="E15" s="49">
        <v>24</v>
      </c>
      <c r="F15" s="49">
        <v>4</v>
      </c>
      <c r="G15" s="49"/>
      <c r="H15" s="49"/>
      <c r="I15" s="50" t="str">
        <f>IF($B15="","",IF($K15="X",B15,CONCATENATE(VLOOKUP(B15,Competitors!$A$2:$I$650,3,FALSE)," ",VLOOKUP(B15,Competitors!$A$2:$I$650,2,FALSE))))</f>
        <v>Mark Newton (Ratae)</v>
      </c>
      <c r="J15" s="51">
        <f t="shared" si="1"/>
        <v>1.6712962962962964E-2</v>
      </c>
      <c r="K15" t="str">
        <f t="shared" si="2"/>
        <v>X</v>
      </c>
    </row>
    <row r="16" spans="1:11" ht="15">
      <c r="A16" s="46" t="s">
        <v>432</v>
      </c>
      <c r="B16" s="47">
        <f t="shared" si="0"/>
        <v>1112</v>
      </c>
      <c r="C16" s="47" t="s">
        <v>668</v>
      </c>
      <c r="D16" s="48"/>
      <c r="E16" s="49"/>
      <c r="F16" s="49"/>
      <c r="G16" s="49"/>
      <c r="H16" s="49" t="s">
        <v>553</v>
      </c>
      <c r="I16" s="50" t="str">
        <f>IF($B16="","",IF($K16="X",B16,CONCATENATE(VLOOKUP(B16,Competitors!$A$2:$I$650,3,FALSE)," ",VLOOKUP(B16,Competitors!$A$2:$I$650,2,FALSE))))</f>
        <v>Gary Ashwell</v>
      </c>
      <c r="J16" s="51">
        <f t="shared" si="1"/>
        <v>0</v>
      </c>
      <c r="K16" t="str">
        <f t="shared" si="2"/>
        <v/>
      </c>
    </row>
    <row r="17" spans="1:11" ht="15">
      <c r="A17" s="46" t="s">
        <v>529</v>
      </c>
      <c r="B17" s="47" t="str">
        <f t="shared" si="0"/>
        <v>Adrian James (Rugby RCC)</v>
      </c>
      <c r="C17" s="47" t="s">
        <v>669</v>
      </c>
      <c r="D17" s="48"/>
      <c r="E17" s="49">
        <v>27</v>
      </c>
      <c r="F17" s="49">
        <v>48</v>
      </c>
      <c r="G17" s="49"/>
      <c r="H17" s="49"/>
      <c r="I17" s="50" t="str">
        <f>IF($B17="","",IF($K17="X",B17,CONCATENATE(VLOOKUP(B17,Competitors!$A$2:$I$650,3,FALSE)," ",VLOOKUP(B17,Competitors!$A$2:$I$650,2,FALSE))))</f>
        <v>Adrian James (Rugby RCC)</v>
      </c>
      <c r="J17" s="51">
        <f t="shared" si="1"/>
        <v>1.9305555555555555E-2</v>
      </c>
      <c r="K17" t="str">
        <f t="shared" si="2"/>
        <v>X</v>
      </c>
    </row>
    <row r="18" spans="1:11" ht="15">
      <c r="A18" s="46" t="s">
        <v>413</v>
      </c>
      <c r="B18" s="47">
        <f t="shared" si="0"/>
        <v>989</v>
      </c>
      <c r="C18" s="47" t="s">
        <v>670</v>
      </c>
      <c r="D18" s="48"/>
      <c r="E18" s="49">
        <v>23</v>
      </c>
      <c r="F18" s="49">
        <v>44</v>
      </c>
      <c r="G18" s="49" t="s">
        <v>544</v>
      </c>
      <c r="H18" s="49"/>
      <c r="I18" s="50" t="str">
        <f>IF($B18="","",IF($K18="X",B18,CONCATENATE(VLOOKUP(B18,Competitors!$A$2:$I$650,3,FALSE)," ",VLOOKUP(B18,Competitors!$A$2:$I$650,2,FALSE))))</f>
        <v>Jason Williams</v>
      </c>
      <c r="J18" s="51">
        <f t="shared" si="1"/>
        <v>1.6481481481481482E-2</v>
      </c>
      <c r="K18" t="str">
        <f t="shared" si="2"/>
        <v/>
      </c>
    </row>
    <row r="19" spans="1:11" ht="15">
      <c r="A19" s="46" t="s">
        <v>437</v>
      </c>
      <c r="B19" s="47">
        <f t="shared" si="0"/>
        <v>1195</v>
      </c>
      <c r="C19" s="47" t="s">
        <v>671</v>
      </c>
      <c r="D19" s="48"/>
      <c r="E19" s="49">
        <v>25</v>
      </c>
      <c r="F19" s="49">
        <v>51</v>
      </c>
      <c r="G19" s="49" t="s">
        <v>544</v>
      </c>
      <c r="H19" s="49"/>
      <c r="I19" s="50" t="str">
        <f>IF($B19="","",IF($K19="X",B19,CONCATENATE(VLOOKUP(B19,Competitors!$A$2:$I$650,3,FALSE)," ",VLOOKUP(B19,Competitors!$A$2:$I$650,2,FALSE))))</f>
        <v>Charlie Hardwicke</v>
      </c>
      <c r="J19" s="51">
        <f t="shared" si="1"/>
        <v>1.7951388888888888E-2</v>
      </c>
      <c r="K19" t="str">
        <f t="shared" si="2"/>
        <v/>
      </c>
    </row>
    <row r="20" spans="1:11" ht="15">
      <c r="A20" s="46" t="s">
        <v>418</v>
      </c>
      <c r="B20" s="47">
        <f t="shared" si="0"/>
        <v>1355</v>
      </c>
      <c r="C20" s="47" t="s">
        <v>672</v>
      </c>
      <c r="D20" s="48"/>
      <c r="E20" s="49">
        <v>24</v>
      </c>
      <c r="F20" s="49">
        <v>5</v>
      </c>
      <c r="G20" s="49" t="s">
        <v>544</v>
      </c>
      <c r="H20" s="49"/>
      <c r="I20" s="50" t="str">
        <f>IF($B20="","",IF($K20="X",B20,CONCATENATE(VLOOKUP(B20,Competitors!$A$2:$I$650,3,FALSE)," ",VLOOKUP(B20,Competitors!$A$2:$I$650,2,FALSE))))</f>
        <v>Aubrey Elmer</v>
      </c>
      <c r="J20" s="51">
        <f t="shared" si="1"/>
        <v>1.6724537037037038E-2</v>
      </c>
      <c r="K20" t="str">
        <f t="shared" si="2"/>
        <v/>
      </c>
    </row>
    <row r="21" spans="1:11" ht="15">
      <c r="A21" s="46" t="s">
        <v>420</v>
      </c>
      <c r="B21" s="47">
        <f t="shared" si="0"/>
        <v>1192</v>
      </c>
      <c r="C21" s="47" t="s">
        <v>673</v>
      </c>
      <c r="D21" s="48"/>
      <c r="E21" s="49">
        <v>24</v>
      </c>
      <c r="F21" s="49">
        <v>26</v>
      </c>
      <c r="G21" s="49"/>
      <c r="H21" s="49"/>
      <c r="I21" s="50" t="str">
        <f>IF($B21="","",IF($K21="X",B21,CONCATENATE(VLOOKUP(B21,Competitors!$A$2:$I$650,3,FALSE)," ",VLOOKUP(B21,Competitors!$A$2:$I$650,2,FALSE))))</f>
        <v>Dale Norris</v>
      </c>
      <c r="J21" s="51">
        <f t="shared" si="1"/>
        <v>1.6967592592592593E-2</v>
      </c>
      <c r="K21" t="str">
        <f t="shared" si="2"/>
        <v/>
      </c>
    </row>
    <row r="22" spans="1:11" ht="15">
      <c r="A22" s="46" t="s">
        <v>592</v>
      </c>
      <c r="B22" s="47">
        <f t="shared" si="0"/>
        <v>1390</v>
      </c>
      <c r="C22" s="47" t="s">
        <v>674</v>
      </c>
      <c r="D22" s="48"/>
      <c r="E22" s="49">
        <v>23</v>
      </c>
      <c r="F22" s="49">
        <v>42</v>
      </c>
      <c r="G22" s="49" t="s">
        <v>544</v>
      </c>
      <c r="H22" s="49"/>
      <c r="I22" s="50" t="str">
        <f>IF($B22="","",IF($K22="X",B22,CONCATENATE(VLOOKUP(B22,Competitors!$A$2:$I$650,3,FALSE)," ",VLOOKUP(B22,Competitors!$A$2:$I$650,2,FALSE))))</f>
        <v>Diego Patteri</v>
      </c>
      <c r="J22" s="51">
        <f t="shared" si="1"/>
        <v>1.6458333333333332E-2</v>
      </c>
      <c r="K22" t="str">
        <f t="shared" si="2"/>
        <v/>
      </c>
    </row>
    <row r="23" spans="1:11" ht="15">
      <c r="A23" s="46" t="s">
        <v>693</v>
      </c>
      <c r="B23" s="47" t="str">
        <f t="shared" si="0"/>
        <v>Zoe Shepherd (M.I. Racing)</v>
      </c>
      <c r="C23" s="47" t="s">
        <v>675</v>
      </c>
      <c r="D23" s="48"/>
      <c r="E23" s="49">
        <v>26</v>
      </c>
      <c r="F23" s="49">
        <v>50</v>
      </c>
      <c r="G23" s="49"/>
      <c r="H23" s="49"/>
      <c r="I23" s="50" t="str">
        <f>IF($B23="","",IF($K23="X",B23,CONCATENATE(VLOOKUP(B23,Competitors!$A$2:$I$650,3,FALSE)," ",VLOOKUP(B23,Competitors!$A$2:$I$650,2,FALSE))))</f>
        <v>Zoe Shepherd (M.I. Racing)</v>
      </c>
      <c r="J23" s="51">
        <f t="shared" si="1"/>
        <v>1.863425925925926E-2</v>
      </c>
      <c r="K23" t="str">
        <f t="shared" si="2"/>
        <v>X</v>
      </c>
    </row>
    <row r="24" spans="1:11" ht="15">
      <c r="A24" s="46" t="s">
        <v>486</v>
      </c>
      <c r="B24" s="47" t="str">
        <f t="shared" si="0"/>
        <v>Matt Finch (LFCC)</v>
      </c>
      <c r="C24" s="47" t="s">
        <v>676</v>
      </c>
      <c r="D24" s="48"/>
      <c r="E24" s="49">
        <v>28</v>
      </c>
      <c r="F24" s="49">
        <v>48</v>
      </c>
      <c r="G24" s="49" t="s">
        <v>544</v>
      </c>
      <c r="H24" s="49"/>
      <c r="I24" s="50" t="str">
        <f>IF($B24="","",IF($K24="X",B24,CONCATENATE(VLOOKUP(B24,Competitors!$A$2:$I$650,3,FALSE)," ",VLOOKUP(B24,Competitors!$A$2:$I$650,2,FALSE))))</f>
        <v>Matt Finch (LFCC)</v>
      </c>
      <c r="J24" s="51">
        <f t="shared" si="1"/>
        <v>0.02</v>
      </c>
      <c r="K24" t="str">
        <f t="shared" si="2"/>
        <v>X</v>
      </c>
    </row>
    <row r="25" spans="1:11" ht="15">
      <c r="A25" s="46" t="s">
        <v>691</v>
      </c>
      <c r="B25" s="47" t="str">
        <f t="shared" si="0"/>
        <v>Paul Akroyd (VTTA E.Mids)</v>
      </c>
      <c r="C25" s="47" t="s">
        <v>677</v>
      </c>
      <c r="D25" s="48"/>
      <c r="E25" s="49">
        <v>25</v>
      </c>
      <c r="F25" s="49">
        <v>45</v>
      </c>
      <c r="G25" s="49" t="s">
        <v>544</v>
      </c>
      <c r="H25" s="49"/>
      <c r="I25" s="50" t="str">
        <f>IF($B25="","",IF($K25="X",B25,CONCATENATE(VLOOKUP(B25,Competitors!$A$2:$I$650,3,FALSE)," ",VLOOKUP(B25,Competitors!$A$2:$I$650,2,FALSE))))</f>
        <v>Paul Akroyd (VTTA E.Mids)</v>
      </c>
      <c r="J25" s="51">
        <f t="shared" si="1"/>
        <v>1.7881944444444443E-2</v>
      </c>
      <c r="K25" t="str">
        <f t="shared" si="2"/>
        <v>X</v>
      </c>
    </row>
    <row r="26" spans="1:11" ht="15">
      <c r="A26" s="46" t="s">
        <v>512</v>
      </c>
      <c r="B26" s="47" t="str">
        <f t="shared" si="0"/>
        <v>Paul Eden (Ratae)</v>
      </c>
      <c r="C26" s="47" t="s">
        <v>678</v>
      </c>
      <c r="D26" s="48"/>
      <c r="E26" s="49">
        <v>30</v>
      </c>
      <c r="F26" s="49">
        <v>11</v>
      </c>
      <c r="G26" s="49" t="s">
        <v>544</v>
      </c>
      <c r="H26" s="49"/>
      <c r="I26" s="50" t="str">
        <f>IF($B26="","",IF($K26="X",B26,CONCATENATE(VLOOKUP(B26,Competitors!$A$2:$I$650,3,FALSE)," ",VLOOKUP(B26,Competitors!$A$2:$I$650,2,FALSE))))</f>
        <v>Paul Eden (Ratae)</v>
      </c>
      <c r="J26" s="51">
        <f t="shared" si="1"/>
        <v>2.0960648148148148E-2</v>
      </c>
      <c r="K26" t="str">
        <f t="shared" si="2"/>
        <v>X</v>
      </c>
    </row>
    <row r="27" spans="1:11" ht="15">
      <c r="A27" s="46" t="s">
        <v>431</v>
      </c>
      <c r="B27" s="47">
        <f t="shared" si="0"/>
        <v>1403</v>
      </c>
      <c r="C27" s="47" t="s">
        <v>641</v>
      </c>
      <c r="D27" s="48"/>
      <c r="E27" s="49">
        <v>25</v>
      </c>
      <c r="F27" s="49">
        <v>50</v>
      </c>
      <c r="G27" s="49"/>
      <c r="H27" s="49"/>
      <c r="I27" s="50" t="str">
        <f>IF($B27="","",IF($K27="X",B27,CONCATENATE(VLOOKUP(B27,Competitors!$A$2:$I$650,3,FALSE)," ",VLOOKUP(B27,Competitors!$A$2:$I$650,2,FALSE))))</f>
        <v>Toby Lenehan</v>
      </c>
      <c r="J27" s="51">
        <f t="shared" si="1"/>
        <v>1.7939814814814815E-2</v>
      </c>
      <c r="K27" t="str">
        <f t="shared" si="2"/>
        <v/>
      </c>
    </row>
    <row r="28" spans="1:11" ht="15">
      <c r="A28" s="46" t="s">
        <v>429</v>
      </c>
      <c r="B28" s="47">
        <f t="shared" si="0"/>
        <v>1107</v>
      </c>
      <c r="C28" s="47" t="s">
        <v>642</v>
      </c>
      <c r="D28" s="48"/>
      <c r="E28" s="49">
        <v>26</v>
      </c>
      <c r="F28" s="49">
        <v>10</v>
      </c>
      <c r="G28" s="49" t="s">
        <v>544</v>
      </c>
      <c r="H28" s="49"/>
      <c r="I28" s="50" t="str">
        <f>IF($B28="","",IF($K28="X",B28,CONCATENATE(VLOOKUP(B28,Competitors!$A$2:$I$650,3,FALSE)," ",VLOOKUP(B28,Competitors!$A$2:$I$650,2,FALSE))))</f>
        <v>Milly Pinnock</v>
      </c>
      <c r="J28" s="51">
        <f t="shared" si="1"/>
        <v>1.8171296296296297E-2</v>
      </c>
      <c r="K28" t="str">
        <f t="shared" si="2"/>
        <v/>
      </c>
    </row>
    <row r="29" spans="1:11" ht="15">
      <c r="A29" s="46" t="s">
        <v>430</v>
      </c>
      <c r="B29" s="47">
        <f t="shared" si="0"/>
        <v>616</v>
      </c>
      <c r="C29" s="47" t="s">
        <v>643</v>
      </c>
      <c r="D29" s="48"/>
      <c r="E29" s="49">
        <v>27</v>
      </c>
      <c r="F29" s="49">
        <v>2</v>
      </c>
      <c r="G29" s="49"/>
      <c r="H29" s="49"/>
      <c r="I29" s="50" t="str">
        <f>IF($B29="","",IF($K29="X",B29,CONCATENATE(VLOOKUP(B29,Competitors!$A$2:$I$650,3,FALSE)," ",VLOOKUP(B29,Competitors!$A$2:$I$650,2,FALSE))))</f>
        <v>Simon Ward</v>
      </c>
      <c r="J29" s="51">
        <f t="shared" si="1"/>
        <v>1.8773148148148146E-2</v>
      </c>
      <c r="K29" t="str">
        <f t="shared" si="2"/>
        <v/>
      </c>
    </row>
    <row r="30" spans="1:11" ht="15">
      <c r="A30" s="46" t="s">
        <v>511</v>
      </c>
      <c r="B30" s="47" t="str">
        <f t="shared" si="0"/>
        <v>Natalie Harris (Ratae)</v>
      </c>
      <c r="C30" s="47" t="s">
        <v>644</v>
      </c>
      <c r="D30" s="48"/>
      <c r="E30" s="49">
        <v>29</v>
      </c>
      <c r="F30" s="49">
        <v>35</v>
      </c>
      <c r="G30" s="49" t="s">
        <v>544</v>
      </c>
      <c r="H30" s="49"/>
      <c r="I30" s="50" t="str">
        <f>IF($B30="","",IF($K30="X",B30,CONCATENATE(VLOOKUP(B30,Competitors!$A$2:$I$650,3,FALSE)," ",VLOOKUP(B30,Competitors!$A$2:$I$650,2,FALSE))))</f>
        <v>Natalie Harris (Ratae)</v>
      </c>
      <c r="J30" s="51">
        <f t="shared" si="1"/>
        <v>2.0543981481481483E-2</v>
      </c>
      <c r="K30" t="str">
        <f t="shared" si="2"/>
        <v>X</v>
      </c>
    </row>
    <row r="31" spans="1:11" ht="15">
      <c r="A31" s="46" t="s">
        <v>614</v>
      </c>
      <c r="B31" s="47">
        <f t="shared" si="0"/>
        <v>1391</v>
      </c>
      <c r="C31" s="47" t="s">
        <v>645</v>
      </c>
      <c r="D31" s="48"/>
      <c r="E31" s="49">
        <v>23</v>
      </c>
      <c r="F31" s="49">
        <v>50</v>
      </c>
      <c r="G31" s="49" t="s">
        <v>544</v>
      </c>
      <c r="H31" s="49"/>
      <c r="I31" s="50" t="str">
        <f>IF($B31="","",IF($K31="X",B31,CONCATENATE(VLOOKUP(B31,Competitors!$A$2:$I$650,3,FALSE)," ",VLOOKUP(B31,Competitors!$A$2:$I$650,2,FALSE))))</f>
        <v>Leah Cuthbertson</v>
      </c>
      <c r="J31" s="51">
        <f t="shared" si="1"/>
        <v>1.6550925925925927E-2</v>
      </c>
      <c r="K31" t="str">
        <f t="shared" si="2"/>
        <v/>
      </c>
    </row>
    <row r="32" spans="1:11" ht="15">
      <c r="A32" s="46" t="s">
        <v>421</v>
      </c>
      <c r="B32" s="47">
        <f t="shared" si="0"/>
        <v>415</v>
      </c>
      <c r="C32" s="47" t="s">
        <v>646</v>
      </c>
      <c r="D32" s="48"/>
      <c r="E32" s="49">
        <v>25</v>
      </c>
      <c r="F32" s="49">
        <v>34</v>
      </c>
      <c r="G32" s="49" t="s">
        <v>544</v>
      </c>
      <c r="H32" s="49"/>
      <c r="I32" s="50" t="str">
        <f>IF($B32="","",IF($K32="X",B32,CONCATENATE(VLOOKUP(B32,Competitors!$A$2:$I$650,3,FALSE)," ",VLOOKUP(B32,Competitors!$A$2:$I$650,2,FALSE))))</f>
        <v>Nik Kershaw</v>
      </c>
      <c r="J32" s="51">
        <f t="shared" si="1"/>
        <v>1.7754629629629631E-2</v>
      </c>
      <c r="K32" t="str">
        <f t="shared" si="2"/>
        <v/>
      </c>
    </row>
    <row r="33" spans="1:11" ht="15">
      <c r="A33" s="46" t="s">
        <v>412</v>
      </c>
      <c r="B33" s="47">
        <f t="shared" si="0"/>
        <v>1144</v>
      </c>
      <c r="C33" s="47" t="s">
        <v>647</v>
      </c>
      <c r="D33" s="48"/>
      <c r="E33" s="49">
        <v>22</v>
      </c>
      <c r="F33" s="49">
        <v>13</v>
      </c>
      <c r="G33" s="49"/>
      <c r="H33" s="49"/>
      <c r="I33" s="50" t="str">
        <f>IF($B33="","",IF($K33="X",B33,CONCATENATE(VLOOKUP(B33,Competitors!$A$2:$I$650,3,FALSE)," ",VLOOKUP(B33,Competitors!$A$2:$I$650,2,FALSE))))</f>
        <v>Jamie Kershaw</v>
      </c>
      <c r="J33" s="51">
        <f t="shared" si="1"/>
        <v>1.5428240740740741E-2</v>
      </c>
      <c r="K33" t="str">
        <f t="shared" si="2"/>
        <v/>
      </c>
    </row>
    <row r="34" spans="1:11" ht="15">
      <c r="A34" s="46" t="s">
        <v>422</v>
      </c>
      <c r="B34" s="47">
        <f t="shared" ref="B34:B53" si="3">IF(A34="","",_xlfn.XLOOKUP(A34,ClubNames,ClubNumbers,_xlfn.XLOOKUP(A34,RoundRobinRiderNames,RoundRobinRiderDecoratedNames,A34)))</f>
        <v>1407</v>
      </c>
      <c r="C34" s="47" t="s">
        <v>648</v>
      </c>
      <c r="D34" s="48"/>
      <c r="E34" s="49">
        <v>25</v>
      </c>
      <c r="F34" s="49">
        <v>9</v>
      </c>
      <c r="G34" s="49" t="s">
        <v>544</v>
      </c>
      <c r="H34" s="49"/>
      <c r="I34" s="50" t="str">
        <f>IF($B34="","",IF($K34="X",B34,CONCATENATE(VLOOKUP(B34,Competitors!$A$2:$I$650,3,FALSE)," ",VLOOKUP(B34,Competitors!$A$2:$I$650,2,FALSE))))</f>
        <v>Colin Dobson</v>
      </c>
      <c r="J34" s="51">
        <f t="shared" ref="J34:J53" si="4">IF(LEFT($G34,1)="D",UPPER($G34),(D34*3600+E34*60+F34)/86400)</f>
        <v>1.7465277777777777E-2</v>
      </c>
      <c r="K34" t="str">
        <f t="shared" ref="K34:K53" si="5">IF(OR(B34="",ISNUMBER(B34)),"","X")</f>
        <v/>
      </c>
    </row>
    <row r="35" spans="1:11" ht="15">
      <c r="A35" s="46" t="s">
        <v>629</v>
      </c>
      <c r="B35" s="47" t="str">
        <f t="shared" si="3"/>
        <v>Jeff Jones (LFCC)</v>
      </c>
      <c r="C35" s="47" t="s">
        <v>649</v>
      </c>
      <c r="D35" s="48"/>
      <c r="E35" s="49">
        <v>32</v>
      </c>
      <c r="F35" s="49">
        <v>31</v>
      </c>
      <c r="G35" s="49"/>
      <c r="H35" s="49"/>
      <c r="I35" s="50" t="str">
        <f>IF($B35="","",IF($K35="X",B35,CONCATENATE(VLOOKUP(B35,Competitors!$A$2:$I$650,3,FALSE)," ",VLOOKUP(B35,Competitors!$A$2:$I$650,2,FALSE))))</f>
        <v>Jeff Jones (LFCC)</v>
      </c>
      <c r="J35" s="51">
        <f t="shared" si="4"/>
        <v>2.2581018518518518E-2</v>
      </c>
      <c r="K35" t="str">
        <f t="shared" si="5"/>
        <v>X</v>
      </c>
    </row>
    <row r="36" spans="1:11" ht="15">
      <c r="A36" s="46" t="s">
        <v>715</v>
      </c>
      <c r="B36" s="47" t="str">
        <f t="shared" si="3"/>
        <v>Josh Jones (LFCC)</v>
      </c>
      <c r="C36" s="47" t="s">
        <v>650</v>
      </c>
      <c r="D36" s="48"/>
      <c r="E36" s="49">
        <v>26</v>
      </c>
      <c r="F36" s="49">
        <v>52</v>
      </c>
      <c r="G36" s="49"/>
      <c r="H36" s="49"/>
      <c r="I36" s="50" t="str">
        <f>IF($B36="","",IF($K36="X",B36,CONCATENATE(VLOOKUP(B36,Competitors!$A$2:$I$650,3,FALSE)," ",VLOOKUP(B36,Competitors!$A$2:$I$650,2,FALSE))))</f>
        <v>Josh Jones (LFCC)</v>
      </c>
      <c r="J36" s="51">
        <f t="shared" si="4"/>
        <v>1.8657407407407407E-2</v>
      </c>
      <c r="K36" t="str">
        <f t="shared" si="5"/>
        <v>X</v>
      </c>
    </row>
    <row r="37" spans="1:11" ht="15">
      <c r="A37" s="46" t="s">
        <v>631</v>
      </c>
      <c r="B37" s="47" t="str">
        <f t="shared" si="3"/>
        <v>Simon Jones (LFCC)</v>
      </c>
      <c r="C37" s="47" t="s">
        <v>651</v>
      </c>
      <c r="D37" s="48"/>
      <c r="E37" s="49">
        <v>28</v>
      </c>
      <c r="F37" s="49">
        <v>35</v>
      </c>
      <c r="G37" s="49"/>
      <c r="H37" s="49"/>
      <c r="I37" s="50" t="str">
        <f>IF($B37="","",IF($K37="X",B37,CONCATENATE(VLOOKUP(B37,Competitors!$A$2:$I$650,3,FALSE)," ",VLOOKUP(B37,Competitors!$A$2:$I$650,2,FALSE))))</f>
        <v>Simon Jones (LFCC)</v>
      </c>
      <c r="J37" s="51">
        <f t="shared" si="4"/>
        <v>1.9849537037037037E-2</v>
      </c>
      <c r="K37" t="str">
        <f t="shared" si="5"/>
        <v>X</v>
      </c>
    </row>
    <row r="38" spans="1:11" ht="15">
      <c r="A38" s="46" t="s">
        <v>423</v>
      </c>
      <c r="B38" s="47">
        <f t="shared" si="3"/>
        <v>35</v>
      </c>
      <c r="C38" s="47" t="s">
        <v>652</v>
      </c>
      <c r="D38" s="48"/>
      <c r="E38" s="49">
        <v>24</v>
      </c>
      <c r="F38" s="49">
        <v>35</v>
      </c>
      <c r="G38" s="49"/>
      <c r="H38" s="49"/>
      <c r="I38" s="50" t="str">
        <f>IF($B38="","",IF($K38="X",B38,CONCATENATE(VLOOKUP(B38,Competitors!$A$2:$I$650,3,FALSE)," ",VLOOKUP(B38,Competitors!$A$2:$I$650,2,FALSE))))</f>
        <v>Matt Plews</v>
      </c>
      <c r="J38" s="51">
        <f t="shared" si="4"/>
        <v>1.7071759259259259E-2</v>
      </c>
      <c r="K38" t="str">
        <f t="shared" si="5"/>
        <v/>
      </c>
    </row>
    <row r="39" spans="1:11" ht="15">
      <c r="A39" s="46" t="s">
        <v>441</v>
      </c>
      <c r="B39" s="47">
        <f t="shared" si="3"/>
        <v>1254</v>
      </c>
      <c r="C39" s="47" t="s">
        <v>679</v>
      </c>
      <c r="D39" s="48"/>
      <c r="E39" s="49">
        <v>26</v>
      </c>
      <c r="F39" s="49">
        <v>27</v>
      </c>
      <c r="G39" s="49"/>
      <c r="H39" s="49"/>
      <c r="I39" s="50" t="str">
        <f>IF($B39="","",IF($K39="X",B39,CONCATENATE(VLOOKUP(B39,Competitors!$A$2:$I$650,3,FALSE)," ",VLOOKUP(B39,Competitors!$A$2:$I$650,2,FALSE))))</f>
        <v>Paul White</v>
      </c>
      <c r="J39" s="51">
        <f t="shared" si="4"/>
        <v>1.8368055555555554E-2</v>
      </c>
      <c r="K39" t="str">
        <f t="shared" si="5"/>
        <v/>
      </c>
    </row>
    <row r="40" spans="1:11" ht="15">
      <c r="A40" s="46" t="s">
        <v>411</v>
      </c>
      <c r="B40" s="47">
        <f t="shared" si="3"/>
        <v>407</v>
      </c>
      <c r="C40" s="47" t="s">
        <v>680</v>
      </c>
      <c r="D40" s="48"/>
      <c r="E40" s="49">
        <v>22</v>
      </c>
      <c r="F40" s="49">
        <v>7</v>
      </c>
      <c r="G40" s="49"/>
      <c r="H40" s="49"/>
      <c r="I40" s="50" t="str">
        <f>IF($B40="","",IF($K40="X",B40,CONCATENATE(VLOOKUP(B40,Competitors!$A$2:$I$650,3,FALSE)," ",VLOOKUP(B40,Competitors!$A$2:$I$650,2,FALSE))))</f>
        <v>Hans van Nierop</v>
      </c>
      <c r="J40" s="51">
        <f t="shared" si="4"/>
        <v>1.5358796296296296E-2</v>
      </c>
      <c r="K40" t="str">
        <f t="shared" si="5"/>
        <v/>
      </c>
    </row>
    <row r="41" spans="1:11" ht="15">
      <c r="A41" s="46" t="s">
        <v>716</v>
      </c>
      <c r="B41" s="47" t="str">
        <f t="shared" si="3"/>
        <v>David Mead (M.I. Racing)</v>
      </c>
      <c r="C41" s="47" t="s">
        <v>681</v>
      </c>
      <c r="D41" s="48"/>
      <c r="E41" s="49">
        <v>20</v>
      </c>
      <c r="F41" s="49">
        <v>22</v>
      </c>
      <c r="G41" s="49"/>
      <c r="H41" s="49"/>
      <c r="I41" s="50" t="str">
        <f>IF($B41="","",IF($K41="X",B41,CONCATENATE(VLOOKUP(B41,Competitors!$A$2:$I$650,3,FALSE)," ",VLOOKUP(B41,Competitors!$A$2:$I$650,2,FALSE))))</f>
        <v>David Mead (M.I. Racing)</v>
      </c>
      <c r="J41" s="51">
        <f t="shared" si="4"/>
        <v>1.4143518518518519E-2</v>
      </c>
      <c r="K41" t="str">
        <f t="shared" si="5"/>
        <v>X</v>
      </c>
    </row>
    <row r="42" spans="1:11" ht="15">
      <c r="A42" s="46" t="s">
        <v>496</v>
      </c>
      <c r="B42" s="47">
        <f t="shared" si="3"/>
        <v>1166</v>
      </c>
      <c r="C42" s="47" t="s">
        <v>682</v>
      </c>
      <c r="D42" s="48"/>
      <c r="E42" s="49">
        <v>24</v>
      </c>
      <c r="F42" s="49">
        <v>2</v>
      </c>
      <c r="G42" s="49"/>
      <c r="H42" s="49"/>
      <c r="I42" s="50" t="str">
        <f>IF($B42="","",IF($K42="X",B42,CONCATENATE(VLOOKUP(B42,Competitors!$A$2:$I$650,3,FALSE)," ",VLOOKUP(B42,Competitors!$A$2:$I$650,2,FALSE))))</f>
        <v>Ed Tarelli</v>
      </c>
      <c r="J42" s="51">
        <f t="shared" si="4"/>
        <v>1.6689814814814814E-2</v>
      </c>
      <c r="K42" t="str">
        <f t="shared" si="5"/>
        <v/>
      </c>
    </row>
    <row r="43" spans="1:11" ht="15">
      <c r="A43" s="46" t="s">
        <v>435</v>
      </c>
      <c r="B43" s="47">
        <f t="shared" si="3"/>
        <v>846</v>
      </c>
      <c r="C43" s="47" t="s">
        <v>683</v>
      </c>
      <c r="D43" s="48"/>
      <c r="E43" s="49">
        <v>25</v>
      </c>
      <c r="F43" s="49">
        <v>41</v>
      </c>
      <c r="G43" s="49"/>
      <c r="H43" s="49"/>
      <c r="I43" s="50" t="str">
        <f>IF($B43="","",IF($K43="X",B43,CONCATENATE(VLOOKUP(B43,Competitors!$A$2:$I$650,3,FALSE)," ",VLOOKUP(B43,Competitors!$A$2:$I$650,2,FALSE))))</f>
        <v>Roger Kockelbergh</v>
      </c>
      <c r="J43" s="51">
        <f t="shared" si="4"/>
        <v>1.7835648148148149E-2</v>
      </c>
      <c r="K43" t="str">
        <f t="shared" si="5"/>
        <v/>
      </c>
    </row>
    <row r="44" spans="1:11" ht="15">
      <c r="A44" s="46" t="s">
        <v>428</v>
      </c>
      <c r="B44" s="47">
        <f t="shared" si="3"/>
        <v>1237</v>
      </c>
      <c r="C44" s="47" t="s">
        <v>717</v>
      </c>
      <c r="D44" s="48"/>
      <c r="E44" s="49">
        <v>25</v>
      </c>
      <c r="F44" s="49">
        <v>13</v>
      </c>
      <c r="G44" s="49" t="s">
        <v>544</v>
      </c>
      <c r="H44" s="49"/>
      <c r="I44" s="50" t="str">
        <f>IF($B44="","",IF($K44="X",B44,CONCATENATE(VLOOKUP(B44,Competitors!$A$2:$I$650,3,FALSE)," ",VLOOKUP(B44,Competitors!$A$2:$I$650,2,FALSE))))</f>
        <v>John Abbott</v>
      </c>
      <c r="J44" s="51">
        <f t="shared" si="4"/>
        <v>1.7511574074074075E-2</v>
      </c>
      <c r="K44" t="str">
        <f t="shared" si="5"/>
        <v/>
      </c>
    </row>
    <row r="45" spans="1:11" ht="15">
      <c r="A45" s="46" t="s">
        <v>712</v>
      </c>
      <c r="B45" s="47" t="str">
        <f t="shared" si="3"/>
        <v>Mark Wise (M.I. Racing)</v>
      </c>
      <c r="C45" s="47" t="s">
        <v>718</v>
      </c>
      <c r="D45" s="48"/>
      <c r="E45" s="49">
        <v>24</v>
      </c>
      <c r="F45" s="49">
        <v>2</v>
      </c>
      <c r="G45" s="49" t="s">
        <v>544</v>
      </c>
      <c r="H45" s="49"/>
      <c r="I45" s="50" t="str">
        <f>IF($B45="","",IF($K45="X",B45,CONCATENATE(VLOOKUP(B45,Competitors!$A$2:$I$650,3,FALSE)," ",VLOOKUP(B45,Competitors!$A$2:$I$650,2,FALSE))))</f>
        <v>Mark Wise (M.I. Racing)</v>
      </c>
      <c r="J45" s="51">
        <f t="shared" si="4"/>
        <v>1.6689814814814814E-2</v>
      </c>
      <c r="K45" t="str">
        <f t="shared" si="5"/>
        <v>X</v>
      </c>
    </row>
    <row r="46" spans="1:11" ht="15">
      <c r="A46" s="46" t="s">
        <v>499</v>
      </c>
      <c r="B46" s="47" t="str">
        <f t="shared" si="3"/>
        <v>Alex Whitmore (Ratae)</v>
      </c>
      <c r="C46" s="47" t="s">
        <v>719</v>
      </c>
      <c r="D46" s="48"/>
      <c r="E46" s="49">
        <v>21</v>
      </c>
      <c r="F46" s="49">
        <v>37</v>
      </c>
      <c r="G46" s="49" t="s">
        <v>544</v>
      </c>
      <c r="H46" s="49"/>
      <c r="I46" s="50" t="str">
        <f>IF($B46="","",IF($K46="X",B46,CONCATENATE(VLOOKUP(B46,Competitors!$A$2:$I$650,3,FALSE)," ",VLOOKUP(B46,Competitors!$A$2:$I$650,2,FALSE))))</f>
        <v>Alex Whitmore (Ratae)</v>
      </c>
      <c r="J46" s="51">
        <f t="shared" si="4"/>
        <v>1.5011574074074075E-2</v>
      </c>
      <c r="K46" t="str">
        <f t="shared" si="5"/>
        <v>X</v>
      </c>
    </row>
    <row r="47" spans="1:11" ht="15">
      <c r="A47" s="46" t="s">
        <v>743</v>
      </c>
      <c r="B47" s="47" t="str">
        <f t="shared" si="3"/>
        <v>David Alexander (Coalville Wheelers)</v>
      </c>
      <c r="C47" s="47" t="s">
        <v>720</v>
      </c>
      <c r="D47" s="48"/>
      <c r="E47" s="49">
        <v>23</v>
      </c>
      <c r="F47" s="49">
        <v>51</v>
      </c>
      <c r="G47" s="49"/>
      <c r="H47" s="49"/>
      <c r="I47" s="50" t="str">
        <f>IF($B47="","",IF($K47="X",B47,CONCATENATE(VLOOKUP(B47,Competitors!$A$2:$I$650,3,FALSE)," ",VLOOKUP(B47,Competitors!$A$2:$I$650,2,FALSE))))</f>
        <v>David Alexander (Coalville Wheelers)</v>
      </c>
      <c r="J47" s="51">
        <f t="shared" si="4"/>
        <v>1.6562500000000001E-2</v>
      </c>
      <c r="K47" t="str">
        <f t="shared" si="5"/>
        <v>X</v>
      </c>
    </row>
    <row r="48" spans="1:11" ht="15">
      <c r="A48" s="46" t="s">
        <v>410</v>
      </c>
      <c r="B48" s="47">
        <f t="shared" si="3"/>
        <v>747</v>
      </c>
      <c r="C48" s="47" t="s">
        <v>721</v>
      </c>
      <c r="D48" s="48"/>
      <c r="E48" s="49">
        <v>22</v>
      </c>
      <c r="F48" s="49">
        <v>11</v>
      </c>
      <c r="G48" s="49"/>
      <c r="H48" s="49"/>
      <c r="I48" s="50" t="str">
        <f>IF($B48="","",IF($K48="X",B48,CONCATENATE(VLOOKUP(B48,Competitors!$A$2:$I$650,3,FALSE)," ",VLOOKUP(B48,Competitors!$A$2:$I$650,2,FALSE))))</f>
        <v>James Moore</v>
      </c>
      <c r="J48" s="51">
        <f t="shared" si="4"/>
        <v>1.5405092592592592E-2</v>
      </c>
      <c r="K48" t="str">
        <f t="shared" si="5"/>
        <v/>
      </c>
    </row>
    <row r="49" spans="1:11" ht="15">
      <c r="A49" s="46" t="s">
        <v>488</v>
      </c>
      <c r="B49" s="47" t="str">
        <f t="shared" si="3"/>
        <v>Sam Nettel (LFCC)</v>
      </c>
      <c r="C49" s="47" t="s">
        <v>722</v>
      </c>
      <c r="D49" s="48"/>
      <c r="E49" s="49">
        <v>23</v>
      </c>
      <c r="F49" s="49">
        <v>40</v>
      </c>
      <c r="G49" s="49"/>
      <c r="H49" s="49"/>
      <c r="I49" s="50" t="str">
        <f>IF($B49="","",IF($K49="X",B49,CONCATENATE(VLOOKUP(B49,Competitors!$A$2:$I$650,3,FALSE)," ",VLOOKUP(B49,Competitors!$A$2:$I$650,2,FALSE))))</f>
        <v>Sam Nettel (LFCC)</v>
      </c>
      <c r="J49" s="51">
        <f t="shared" si="4"/>
        <v>1.6435185185185185E-2</v>
      </c>
      <c r="K49" t="str">
        <f t="shared" si="5"/>
        <v>X</v>
      </c>
    </row>
    <row r="50" spans="1:11" ht="15">
      <c r="A50" s="46" t="s">
        <v>714</v>
      </c>
      <c r="B50" s="47" t="str">
        <f t="shared" si="3"/>
        <v>David Melhuish (Cov Tri)</v>
      </c>
      <c r="C50" s="47" t="s">
        <v>723</v>
      </c>
      <c r="D50" s="48"/>
      <c r="E50" s="49">
        <v>23</v>
      </c>
      <c r="F50" s="49">
        <v>30</v>
      </c>
      <c r="G50" s="49"/>
      <c r="H50" s="49"/>
      <c r="I50" s="50" t="str">
        <f>IF($B50="","",IF($K50="X",B50,CONCATENATE(VLOOKUP(B50,Competitors!$A$2:$I$650,3,FALSE)," ",VLOOKUP(B50,Competitors!$A$2:$I$650,2,FALSE))))</f>
        <v>David Melhuish (Cov Tri)</v>
      </c>
      <c r="J50" s="51">
        <f t="shared" si="4"/>
        <v>1.6319444444444445E-2</v>
      </c>
      <c r="K50" t="str">
        <f t="shared" si="5"/>
        <v>X</v>
      </c>
    </row>
    <row r="51" spans="1:11" ht="15">
      <c r="A51" s="46" t="s">
        <v>713</v>
      </c>
      <c r="B51" s="47" t="str">
        <f t="shared" si="3"/>
        <v>Alex Williamson (Cov Tri)</v>
      </c>
      <c r="C51" s="47" t="s">
        <v>724</v>
      </c>
      <c r="D51" s="48"/>
      <c r="E51" s="49">
        <v>22</v>
      </c>
      <c r="F51" s="49">
        <v>52</v>
      </c>
      <c r="G51" s="49"/>
      <c r="H51" s="49"/>
      <c r="I51" s="50" t="str">
        <f>IF($B51="","",IF($K51="X",B51,CONCATENATE(VLOOKUP(B51,Competitors!$A$2:$I$650,3,FALSE)," ",VLOOKUP(B51,Competitors!$A$2:$I$650,2,FALSE))))</f>
        <v>Alex Williamson (Cov Tri)</v>
      </c>
      <c r="J51" s="51">
        <f t="shared" si="4"/>
        <v>1.5879629629629629E-2</v>
      </c>
      <c r="K51" t="str">
        <f t="shared" si="5"/>
        <v>X</v>
      </c>
    </row>
    <row r="52" spans="1:11" ht="15">
      <c r="A52" s="46" t="s">
        <v>725</v>
      </c>
      <c r="B52" s="47" t="str">
        <f t="shared" si="3"/>
        <v>Simon Law (M.I. Racing)</v>
      </c>
      <c r="C52" s="47" t="s">
        <v>726</v>
      </c>
      <c r="D52" s="48"/>
      <c r="E52" s="49">
        <v>22</v>
      </c>
      <c r="F52" s="49">
        <v>13</v>
      </c>
      <c r="G52" s="49"/>
      <c r="H52" s="49"/>
      <c r="I52" s="50" t="str">
        <f>IF($B52="","",IF($K52="X",B52,CONCATENATE(VLOOKUP(B52,Competitors!$A$2:$I$650,3,FALSE)," ",VLOOKUP(B52,Competitors!$A$2:$I$650,2,FALSE))))</f>
        <v>Simon Law (M.I. Racing)</v>
      </c>
      <c r="J52" s="51">
        <f t="shared" si="4"/>
        <v>1.5428240740740741E-2</v>
      </c>
      <c r="K52" t="str">
        <f t="shared" si="5"/>
        <v>X</v>
      </c>
    </row>
    <row r="53" spans="1:11" ht="15">
      <c r="A53" s="46" t="s">
        <v>482</v>
      </c>
      <c r="B53" s="47" t="str">
        <f t="shared" si="3"/>
        <v>Colin Parkinson (SWRC) (HCRC)</v>
      </c>
      <c r="C53" s="47" t="s">
        <v>727</v>
      </c>
      <c r="D53" s="48"/>
      <c r="E53" s="49">
        <v>24</v>
      </c>
      <c r="F53" s="49">
        <v>18</v>
      </c>
      <c r="G53" s="49"/>
      <c r="H53" s="49"/>
      <c r="I53" s="50" t="str">
        <f>IF($B53="","",IF($K53="X",B53,CONCATENATE(VLOOKUP(B53,Competitors!$A$2:$I$650,3,FALSE)," ",VLOOKUP(B53,Competitors!$A$2:$I$650,2,FALSE))))</f>
        <v>Colin Parkinson (SWRC) (HCRC)</v>
      </c>
      <c r="J53" s="51">
        <f t="shared" si="4"/>
        <v>1.6875000000000001E-2</v>
      </c>
      <c r="K53" t="str">
        <f t="shared" si="5"/>
        <v>X</v>
      </c>
    </row>
    <row r="54" spans="1:11" ht="15">
      <c r="A54" s="46"/>
      <c r="B54" s="47" t="str">
        <f t="shared" ref="B54:B97" si="6">IF(A54="","",_xlfn.XLOOKUP(A54,ClubNames,ClubNumbers,_xlfn.XLOOKUP(A54,RoundRobinRiderNames,RoundRobinRiderDecoratedNames,A54)))</f>
        <v/>
      </c>
      <c r="C54" s="47"/>
      <c r="D54" s="48"/>
      <c r="E54" s="49"/>
      <c r="F54" s="49"/>
      <c r="G54" s="49"/>
      <c r="H54" s="49"/>
      <c r="I54" s="50" t="str">
        <f>IF($B54="","",IF($K54="X",B54,CONCATENATE(VLOOKUP(B54,Competitors!$A$2:$I$650,3,FALSE)," ",VLOOKUP(B54,Competitors!$A$2:$I$650,2,FALSE))))</f>
        <v/>
      </c>
      <c r="J54" s="51">
        <f t="shared" ref="J54:J65" si="7">IF(LEFT($G54,1)="D",UPPER($G54),(D54*3600+E54*60+F54)/86400)</f>
        <v>0</v>
      </c>
      <c r="K54" t="str">
        <f t="shared" ref="K54:K65" si="8">IF(OR(B54="",ISNUMBER(B54)),"","X")</f>
        <v/>
      </c>
    </row>
    <row r="55" spans="1:11" ht="15">
      <c r="A55" s="46"/>
      <c r="B55" s="47" t="str">
        <f t="shared" si="6"/>
        <v/>
      </c>
      <c r="C55" s="47"/>
      <c r="D55" s="48"/>
      <c r="E55" s="49"/>
      <c r="F55" s="49"/>
      <c r="G55" s="49"/>
      <c r="H55" s="49"/>
      <c r="I55" s="50" t="str">
        <f>IF($B55="","",IF($K55="X",B55,CONCATENATE(VLOOKUP(B55,Competitors!$A$2:$I$650,3,FALSE)," ",VLOOKUP(B55,Competitors!$A$2:$I$650,2,FALSE))))</f>
        <v/>
      </c>
      <c r="J55" s="51">
        <f t="shared" si="7"/>
        <v>0</v>
      </c>
      <c r="K55" t="str">
        <f t="shared" si="8"/>
        <v/>
      </c>
    </row>
    <row r="56" spans="1:11" ht="15">
      <c r="A56" s="46"/>
      <c r="B56" s="47" t="str">
        <f t="shared" si="6"/>
        <v/>
      </c>
      <c r="C56" s="47"/>
      <c r="D56" s="48"/>
      <c r="E56" s="49"/>
      <c r="F56" s="49"/>
      <c r="G56" s="49"/>
      <c r="H56" s="49"/>
      <c r="I56" s="50" t="str">
        <f>IF($B56="","",IF($K56="X",B56,CONCATENATE(VLOOKUP(B56,Competitors!$A$2:$I$650,3,FALSE)," ",VLOOKUP(B56,Competitors!$A$2:$I$650,2,FALSE))))</f>
        <v/>
      </c>
      <c r="J56" s="51">
        <f t="shared" si="7"/>
        <v>0</v>
      </c>
      <c r="K56" t="str">
        <f t="shared" si="8"/>
        <v/>
      </c>
    </row>
    <row r="57" spans="1:11" ht="15">
      <c r="A57" s="46"/>
      <c r="B57" s="47" t="str">
        <f t="shared" si="6"/>
        <v/>
      </c>
      <c r="C57" s="47"/>
      <c r="D57" s="48"/>
      <c r="E57" s="49"/>
      <c r="F57" s="49"/>
      <c r="G57" s="49"/>
      <c r="H57" s="49"/>
      <c r="I57" s="50" t="str">
        <f>IF($B57="","",IF($K57="X",B57,CONCATENATE(VLOOKUP(B57,Competitors!$A$2:$I$650,3,FALSE)," ",VLOOKUP(B57,Competitors!$A$2:$I$650,2,FALSE))))</f>
        <v/>
      </c>
      <c r="J57" s="51">
        <f t="shared" si="7"/>
        <v>0</v>
      </c>
      <c r="K57" t="str">
        <f t="shared" si="8"/>
        <v/>
      </c>
    </row>
    <row r="58" spans="1:11" ht="15">
      <c r="A58" s="46"/>
      <c r="B58" s="47" t="str">
        <f t="shared" si="6"/>
        <v/>
      </c>
      <c r="C58" s="47"/>
      <c r="D58" s="48"/>
      <c r="E58" s="49"/>
      <c r="F58" s="49"/>
      <c r="G58" s="49"/>
      <c r="H58" s="49"/>
      <c r="I58" s="50" t="str">
        <f>IF($B58="","",IF($K58="X",B58,CONCATENATE(VLOOKUP(B58,Competitors!$A$2:$I$650,3,FALSE)," ",VLOOKUP(B58,Competitors!$A$2:$I$650,2,FALSE))))</f>
        <v/>
      </c>
      <c r="J58" s="51">
        <f t="shared" si="7"/>
        <v>0</v>
      </c>
      <c r="K58" t="str">
        <f t="shared" si="8"/>
        <v/>
      </c>
    </row>
    <row r="59" spans="1:11" ht="15">
      <c r="A59" s="46"/>
      <c r="B59" s="47" t="str">
        <f t="shared" si="6"/>
        <v/>
      </c>
      <c r="C59" s="47"/>
      <c r="D59" s="48"/>
      <c r="E59" s="49"/>
      <c r="F59" s="49"/>
      <c r="G59" s="49"/>
      <c r="H59" s="49"/>
      <c r="I59" s="50" t="str">
        <f>IF($B59="","",IF($K59="X",B59,CONCATENATE(VLOOKUP(B59,Competitors!$A$2:$I$650,3,FALSE)," ",VLOOKUP(B59,Competitors!$A$2:$I$650,2,FALSE))))</f>
        <v/>
      </c>
      <c r="J59" s="51">
        <f t="shared" si="7"/>
        <v>0</v>
      </c>
      <c r="K59" t="str">
        <f t="shared" si="8"/>
        <v/>
      </c>
    </row>
    <row r="60" spans="1:11" ht="15">
      <c r="A60" s="46"/>
      <c r="B60" s="47" t="str">
        <f t="shared" si="6"/>
        <v/>
      </c>
      <c r="C60" s="47"/>
      <c r="D60" s="48"/>
      <c r="E60" s="49"/>
      <c r="F60" s="49"/>
      <c r="G60" s="49"/>
      <c r="H60" s="49"/>
      <c r="I60" s="50" t="str">
        <f>IF($B60="","",IF($K60="X",B60,CONCATENATE(VLOOKUP(B60,Competitors!$A$2:$I$650,3,FALSE)," ",VLOOKUP(B60,Competitors!$A$2:$I$650,2,FALSE))))</f>
        <v/>
      </c>
      <c r="J60" s="51">
        <f t="shared" si="7"/>
        <v>0</v>
      </c>
      <c r="K60" t="str">
        <f t="shared" si="8"/>
        <v/>
      </c>
    </row>
    <row r="61" spans="1:11" ht="15">
      <c r="A61" s="46"/>
      <c r="B61" s="47" t="str">
        <f t="shared" si="6"/>
        <v/>
      </c>
      <c r="C61" s="47"/>
      <c r="D61" s="48"/>
      <c r="E61" s="49"/>
      <c r="F61" s="49"/>
      <c r="G61" s="49"/>
      <c r="H61" s="49"/>
      <c r="I61" s="50" t="str">
        <f>IF($B61="","",IF($K61="X",B61,CONCATENATE(VLOOKUP(B61,Competitors!$A$2:$I$650,3,FALSE)," ",VLOOKUP(B61,Competitors!$A$2:$I$650,2,FALSE))))</f>
        <v/>
      </c>
      <c r="J61" s="51">
        <f t="shared" si="7"/>
        <v>0</v>
      </c>
      <c r="K61" t="str">
        <f t="shared" si="8"/>
        <v/>
      </c>
    </row>
    <row r="62" spans="1:11" ht="15">
      <c r="A62" s="46"/>
      <c r="B62" s="47" t="str">
        <f t="shared" si="6"/>
        <v/>
      </c>
      <c r="C62" s="47"/>
      <c r="D62" s="48"/>
      <c r="E62" s="49"/>
      <c r="F62" s="49"/>
      <c r="G62" s="49"/>
      <c r="H62" s="49"/>
      <c r="I62" s="50" t="str">
        <f>IF($B62="","",IF($K62="X",B62,CONCATENATE(VLOOKUP(B62,Competitors!$A$2:$I$650,3,FALSE)," ",VLOOKUP(B62,Competitors!$A$2:$I$650,2,FALSE))))</f>
        <v/>
      </c>
      <c r="J62" s="51">
        <f t="shared" si="7"/>
        <v>0</v>
      </c>
      <c r="K62" t="str">
        <f t="shared" si="8"/>
        <v/>
      </c>
    </row>
    <row r="63" spans="1:11" ht="15">
      <c r="A63" s="46"/>
      <c r="B63" s="47" t="str">
        <f t="shared" si="6"/>
        <v/>
      </c>
      <c r="C63" s="47"/>
      <c r="D63" s="48"/>
      <c r="E63" s="49"/>
      <c r="F63" s="49"/>
      <c r="G63" s="49"/>
      <c r="H63" s="49"/>
      <c r="I63" s="50" t="str">
        <f>IF($B63="","",IF($K63="X",B63,CONCATENATE(VLOOKUP(B63,Competitors!$A$2:$I$650,3,FALSE)," ",VLOOKUP(B63,Competitors!$A$2:$I$650,2,FALSE))))</f>
        <v/>
      </c>
      <c r="J63" s="51">
        <f t="shared" si="7"/>
        <v>0</v>
      </c>
      <c r="K63" t="str">
        <f t="shared" si="8"/>
        <v/>
      </c>
    </row>
    <row r="64" spans="1:11" ht="15">
      <c r="A64" s="46"/>
      <c r="B64" s="47" t="str">
        <f t="shared" si="6"/>
        <v/>
      </c>
      <c r="C64" s="47"/>
      <c r="D64" s="48"/>
      <c r="E64" s="49"/>
      <c r="F64" s="49"/>
      <c r="G64" s="49"/>
      <c r="H64" s="49"/>
      <c r="I64" s="50" t="str">
        <f>IF($B64="","",IF($K64="X",B64,CONCATENATE(VLOOKUP(B64,Competitors!$A$2:$I$650,3,FALSE)," ",VLOOKUP(B64,Competitors!$A$2:$I$650,2,FALSE))))</f>
        <v/>
      </c>
      <c r="J64" s="51">
        <f t="shared" si="7"/>
        <v>0</v>
      </c>
      <c r="K64" t="str">
        <f t="shared" si="8"/>
        <v/>
      </c>
    </row>
    <row r="65" spans="1:11" ht="15">
      <c r="A65" s="46"/>
      <c r="B65" s="47" t="str">
        <f t="shared" si="6"/>
        <v/>
      </c>
      <c r="C65" s="47"/>
      <c r="D65" s="48"/>
      <c r="E65" s="49"/>
      <c r="F65" s="49"/>
      <c r="G65" s="49"/>
      <c r="H65" s="49"/>
      <c r="I65" s="50" t="str">
        <f>IF($B65="","",IF($K65="X",B65,CONCATENATE(VLOOKUP(B65,Competitors!$A$2:$I$650,3,FALSE)," ",VLOOKUP(B65,Competitors!$A$2:$I$650,2,FALSE))))</f>
        <v/>
      </c>
      <c r="J65" s="51">
        <f t="shared" si="7"/>
        <v>0</v>
      </c>
      <c r="K65" t="str">
        <f t="shared" si="8"/>
        <v/>
      </c>
    </row>
    <row r="66" spans="1:11" ht="15">
      <c r="A66" s="46"/>
      <c r="B66" s="47" t="str">
        <f t="shared" si="6"/>
        <v/>
      </c>
      <c r="C66" s="47"/>
      <c r="D66" s="48"/>
      <c r="E66" s="49"/>
      <c r="F66" s="49"/>
      <c r="G66" s="49"/>
      <c r="H66" s="49"/>
      <c r="I66" s="50" t="str">
        <f>IF($B66="","",IF($K66="X",B66,CONCATENATE(VLOOKUP(B66,Competitors!$A$2:$I$650,3,FALSE)," ",VLOOKUP(B66,Competitors!$A$2:$I$650,2,FALSE))))</f>
        <v/>
      </c>
      <c r="J66" s="51">
        <f t="shared" ref="J66:J101" si="9">IF(LEFT($G66,1)="D",UPPER($G66),(D66*3600+E66*60+F66)/86400)</f>
        <v>0</v>
      </c>
      <c r="K66" t="str">
        <f t="shared" ref="K66:K101" si="10">IF(OR(B66="",ISNUMBER(B66)),"","X")</f>
        <v/>
      </c>
    </row>
    <row r="67" spans="1:11" ht="15">
      <c r="A67" s="46"/>
      <c r="B67" s="47" t="str">
        <f t="shared" si="6"/>
        <v/>
      </c>
      <c r="C67" s="47"/>
      <c r="D67" s="48"/>
      <c r="E67" s="49"/>
      <c r="F67" s="49"/>
      <c r="G67" s="49"/>
      <c r="H67" s="49"/>
      <c r="I67" s="50" t="str">
        <f>IF($B67="","",IF($K67="X",B67,CONCATENATE(VLOOKUP(B67,Competitors!$A$2:$I$650,3,FALSE)," ",VLOOKUP(B67,Competitors!$A$2:$I$650,2,FALSE))))</f>
        <v/>
      </c>
      <c r="J67" s="51">
        <f t="shared" si="9"/>
        <v>0</v>
      </c>
      <c r="K67" t="str">
        <f t="shared" si="10"/>
        <v/>
      </c>
    </row>
    <row r="68" spans="1:11" ht="15">
      <c r="A68" s="46"/>
      <c r="B68" s="47" t="str">
        <f t="shared" si="6"/>
        <v/>
      </c>
      <c r="C68" s="47"/>
      <c r="D68" s="48"/>
      <c r="E68" s="49"/>
      <c r="F68" s="49"/>
      <c r="G68" s="49"/>
      <c r="H68" s="49"/>
      <c r="I68" s="50" t="str">
        <f>IF($B68="","",IF($K68="X",B68,CONCATENATE(VLOOKUP(B68,Competitors!$A$2:$I$650,3,FALSE)," ",VLOOKUP(B68,Competitors!$A$2:$I$650,2,FALSE))))</f>
        <v/>
      </c>
      <c r="J68" s="51">
        <f t="shared" si="9"/>
        <v>0</v>
      </c>
      <c r="K68" t="str">
        <f t="shared" si="10"/>
        <v/>
      </c>
    </row>
    <row r="69" spans="1:11" ht="15">
      <c r="A69" s="46"/>
      <c r="B69" s="47" t="str">
        <f t="shared" si="6"/>
        <v/>
      </c>
      <c r="C69" s="47"/>
      <c r="D69" s="48"/>
      <c r="E69" s="49"/>
      <c r="F69" s="49"/>
      <c r="G69" s="49"/>
      <c r="H69" s="49"/>
      <c r="I69" s="50" t="str">
        <f>IF($B69="","",IF($K69="X",B69,CONCATENATE(VLOOKUP(B69,Competitors!$A$2:$I$650,3,FALSE)," ",VLOOKUP(B69,Competitors!$A$2:$I$650,2,FALSE))))</f>
        <v/>
      </c>
      <c r="J69" s="51">
        <f t="shared" si="9"/>
        <v>0</v>
      </c>
      <c r="K69" t="str">
        <f t="shared" si="10"/>
        <v/>
      </c>
    </row>
    <row r="70" spans="1:11" ht="15">
      <c r="A70" s="46"/>
      <c r="B70" s="47" t="str">
        <f t="shared" si="6"/>
        <v/>
      </c>
      <c r="C70" s="47"/>
      <c r="D70" s="48"/>
      <c r="E70" s="49"/>
      <c r="F70" s="49"/>
      <c r="G70" s="49"/>
      <c r="H70" s="49"/>
      <c r="I70" s="50" t="str">
        <f>IF($B70="","",IF($K70="X",B70,CONCATENATE(VLOOKUP(B70,Competitors!$A$2:$I$650,3,FALSE)," ",VLOOKUP(B70,Competitors!$A$2:$I$650,2,FALSE))))</f>
        <v/>
      </c>
      <c r="J70" s="51">
        <f t="shared" si="9"/>
        <v>0</v>
      </c>
      <c r="K70" t="str">
        <f t="shared" si="10"/>
        <v/>
      </c>
    </row>
    <row r="71" spans="1:11" ht="15">
      <c r="A71" s="46"/>
      <c r="B71" s="47" t="str">
        <f t="shared" si="6"/>
        <v/>
      </c>
      <c r="C71" s="47"/>
      <c r="D71" s="48"/>
      <c r="E71" s="49"/>
      <c r="F71" s="49"/>
      <c r="G71" s="49"/>
      <c r="H71" s="49"/>
      <c r="I71" s="50" t="str">
        <f>IF($B71="","",IF($K71="X",B71,CONCATENATE(VLOOKUP(B71,Competitors!$A$2:$I$650,3,FALSE)," ",VLOOKUP(B71,Competitors!$A$2:$I$650,2,FALSE))))</f>
        <v/>
      </c>
      <c r="J71" s="51">
        <f t="shared" si="9"/>
        <v>0</v>
      </c>
      <c r="K71" t="str">
        <f t="shared" si="10"/>
        <v/>
      </c>
    </row>
    <row r="72" spans="1:11" ht="15">
      <c r="A72" s="46"/>
      <c r="B72" s="47" t="str">
        <f t="shared" si="6"/>
        <v/>
      </c>
      <c r="C72" s="47"/>
      <c r="D72" s="48"/>
      <c r="E72" s="49"/>
      <c r="F72" s="49"/>
      <c r="G72" s="49"/>
      <c r="H72" s="49"/>
      <c r="I72" s="50" t="str">
        <f>IF($B72="","",IF($K72="X",B72,CONCATENATE(VLOOKUP(B72,Competitors!$A$2:$I$650,3,FALSE)," ",VLOOKUP(B72,Competitors!$A$2:$I$650,2,FALSE))))</f>
        <v/>
      </c>
      <c r="J72" s="51">
        <f t="shared" si="9"/>
        <v>0</v>
      </c>
      <c r="K72" t="str">
        <f t="shared" si="10"/>
        <v/>
      </c>
    </row>
    <row r="73" spans="1:11" ht="15">
      <c r="A73" s="46"/>
      <c r="B73" s="47" t="str">
        <f t="shared" si="6"/>
        <v/>
      </c>
      <c r="C73" s="47"/>
      <c r="D73" s="48"/>
      <c r="E73" s="49"/>
      <c r="F73" s="49"/>
      <c r="G73" s="49"/>
      <c r="H73" s="49"/>
      <c r="I73" s="50" t="str">
        <f>IF($B73="","",IF($K73="X",B73,CONCATENATE(VLOOKUP(B73,Competitors!$A$2:$I$650,3,FALSE)," ",VLOOKUP(B73,Competitors!$A$2:$I$650,2,FALSE))))</f>
        <v/>
      </c>
      <c r="J73" s="51">
        <f t="shared" si="9"/>
        <v>0</v>
      </c>
      <c r="K73" t="str">
        <f t="shared" si="10"/>
        <v/>
      </c>
    </row>
    <row r="74" spans="1:11" ht="15">
      <c r="A74" s="46"/>
      <c r="B74" s="47" t="str">
        <f t="shared" si="6"/>
        <v/>
      </c>
      <c r="C74" s="47"/>
      <c r="D74" s="48"/>
      <c r="E74" s="49"/>
      <c r="F74" s="49"/>
      <c r="G74" s="49"/>
      <c r="H74" s="49"/>
      <c r="I74" s="50" t="str">
        <f>IF($B74="","",IF($K74="X",B74,CONCATENATE(VLOOKUP(B74,Competitors!$A$2:$I$650,3,FALSE)," ",VLOOKUP(B74,Competitors!$A$2:$I$650,2,FALSE))))</f>
        <v/>
      </c>
      <c r="J74" s="51">
        <f t="shared" si="9"/>
        <v>0</v>
      </c>
      <c r="K74" t="str">
        <f t="shared" si="10"/>
        <v/>
      </c>
    </row>
    <row r="75" spans="1:11" ht="15">
      <c r="A75" s="46"/>
      <c r="B75" s="47" t="str">
        <f t="shared" si="6"/>
        <v/>
      </c>
      <c r="C75" s="47"/>
      <c r="D75" s="48"/>
      <c r="E75" s="49"/>
      <c r="F75" s="49"/>
      <c r="G75" s="49"/>
      <c r="H75" s="49"/>
      <c r="I75" s="50" t="str">
        <f>IF($B75="","",IF($K75="X",B75,CONCATENATE(VLOOKUP(B75,Competitors!$A$2:$I$650,3,FALSE)," ",VLOOKUP(B75,Competitors!$A$2:$I$650,2,FALSE))))</f>
        <v/>
      </c>
      <c r="J75" s="51">
        <f t="shared" si="9"/>
        <v>0</v>
      </c>
      <c r="K75" t="str">
        <f t="shared" si="10"/>
        <v/>
      </c>
    </row>
    <row r="76" spans="1:11" ht="15">
      <c r="A76" s="46"/>
      <c r="B76" s="47" t="str">
        <f t="shared" si="6"/>
        <v/>
      </c>
      <c r="C76" s="47"/>
      <c r="D76" s="48"/>
      <c r="E76" s="49"/>
      <c r="F76" s="49"/>
      <c r="G76" s="49"/>
      <c r="H76" s="49"/>
      <c r="I76" s="50" t="str">
        <f>IF($B76="","",IF($K76="X",B76,CONCATENATE(VLOOKUP(B76,Competitors!$A$2:$I$650,3,FALSE)," ",VLOOKUP(B76,Competitors!$A$2:$I$650,2,FALSE))))</f>
        <v/>
      </c>
      <c r="J76" s="51">
        <f t="shared" si="9"/>
        <v>0</v>
      </c>
      <c r="K76" t="str">
        <f t="shared" si="10"/>
        <v/>
      </c>
    </row>
    <row r="77" spans="1:11" ht="15">
      <c r="A77" s="46"/>
      <c r="B77" s="47" t="str">
        <f t="shared" si="6"/>
        <v/>
      </c>
      <c r="C77" s="47"/>
      <c r="D77" s="48"/>
      <c r="E77" s="49"/>
      <c r="F77" s="49"/>
      <c r="G77" s="49"/>
      <c r="H77" s="49"/>
      <c r="I77" s="50" t="str">
        <f>IF($B77="","",IF($K77="X",B77,CONCATENATE(VLOOKUP(B77,Competitors!$A$2:$I$650,3,FALSE)," ",VLOOKUP(B77,Competitors!$A$2:$I$650,2,FALSE))))</f>
        <v/>
      </c>
      <c r="J77" s="51">
        <f t="shared" si="9"/>
        <v>0</v>
      </c>
      <c r="K77" t="str">
        <f t="shared" si="10"/>
        <v/>
      </c>
    </row>
    <row r="78" spans="1:11" ht="15">
      <c r="A78" s="46"/>
      <c r="B78" s="47" t="str">
        <f t="shared" si="6"/>
        <v/>
      </c>
      <c r="C78" s="47"/>
      <c r="D78" s="48"/>
      <c r="E78" s="49"/>
      <c r="F78" s="49"/>
      <c r="G78" s="49"/>
      <c r="H78" s="49"/>
      <c r="I78" s="50" t="str">
        <f>IF($B78="","",IF($K78="X",B78,CONCATENATE(VLOOKUP(B78,Competitors!$A$2:$I$650,3,FALSE)," ",VLOOKUP(B78,Competitors!$A$2:$I$650,2,FALSE))))</f>
        <v/>
      </c>
      <c r="J78" s="51">
        <f t="shared" si="9"/>
        <v>0</v>
      </c>
      <c r="K78" t="str">
        <f t="shared" si="10"/>
        <v/>
      </c>
    </row>
    <row r="79" spans="1:11" ht="15">
      <c r="A79" s="46"/>
      <c r="B79" s="47" t="str">
        <f t="shared" si="6"/>
        <v/>
      </c>
      <c r="C79" s="47"/>
      <c r="D79" s="48"/>
      <c r="E79" s="49"/>
      <c r="F79" s="49"/>
      <c r="G79" s="49"/>
      <c r="H79" s="49"/>
      <c r="I79" s="50" t="str">
        <f>IF($B79="","",IF($K79="X",B79,CONCATENATE(VLOOKUP(B79,Competitors!$A$2:$I$650,3,FALSE)," ",VLOOKUP(B79,Competitors!$A$2:$I$650,2,FALSE))))</f>
        <v/>
      </c>
      <c r="J79" s="51">
        <f t="shared" si="9"/>
        <v>0</v>
      </c>
      <c r="K79" t="str">
        <f t="shared" si="10"/>
        <v/>
      </c>
    </row>
    <row r="80" spans="1:11" ht="15">
      <c r="A80" s="46"/>
      <c r="B80" s="47" t="str">
        <f t="shared" si="6"/>
        <v/>
      </c>
      <c r="C80" s="47"/>
      <c r="D80" s="48"/>
      <c r="E80" s="49"/>
      <c r="F80" s="49"/>
      <c r="G80" s="49"/>
      <c r="H80" s="49"/>
      <c r="I80" s="50" t="str">
        <f>IF($B80="","",IF($K80="X",B80,CONCATENATE(VLOOKUP(B80,Competitors!$A$2:$I$650,3,FALSE)," ",VLOOKUP(B80,Competitors!$A$2:$I$650,2,FALSE))))</f>
        <v/>
      </c>
      <c r="J80" s="51">
        <f t="shared" si="9"/>
        <v>0</v>
      </c>
      <c r="K80" t="str">
        <f t="shared" si="10"/>
        <v/>
      </c>
    </row>
    <row r="81" spans="1:11" ht="15">
      <c r="A81" s="46"/>
      <c r="B81" s="47" t="str">
        <f t="shared" si="6"/>
        <v/>
      </c>
      <c r="C81" s="47"/>
      <c r="D81" s="48"/>
      <c r="E81" s="49"/>
      <c r="F81" s="49"/>
      <c r="G81" s="49"/>
      <c r="H81" s="49"/>
      <c r="I81" s="50" t="str">
        <f>IF($B81="","",IF($K81="X",B81,CONCATENATE(VLOOKUP(B81,Competitors!$A$2:$I$650,3,FALSE)," ",VLOOKUP(B81,Competitors!$A$2:$I$650,2,FALSE))))</f>
        <v/>
      </c>
      <c r="J81" s="51">
        <f t="shared" si="9"/>
        <v>0</v>
      </c>
      <c r="K81" t="str">
        <f t="shared" si="10"/>
        <v/>
      </c>
    </row>
    <row r="82" spans="1:11" ht="15">
      <c r="A82" s="46"/>
      <c r="B82" s="47" t="str">
        <f t="shared" si="6"/>
        <v/>
      </c>
      <c r="C82" s="47"/>
      <c r="D82" s="48"/>
      <c r="E82" s="49"/>
      <c r="F82" s="49"/>
      <c r="G82" s="49"/>
      <c r="H82" s="49"/>
      <c r="I82" s="50" t="str">
        <f>IF($B82="","",IF($K82="X",B82,CONCATENATE(VLOOKUP(B82,Competitors!$A$2:$I$650,3,FALSE)," ",VLOOKUP(B82,Competitors!$A$2:$I$650,2,FALSE))))</f>
        <v/>
      </c>
      <c r="J82" s="51">
        <f t="shared" si="9"/>
        <v>0</v>
      </c>
      <c r="K82" t="str">
        <f t="shared" si="10"/>
        <v/>
      </c>
    </row>
    <row r="83" spans="1:11" ht="15">
      <c r="A83" s="46"/>
      <c r="B83" s="47" t="str">
        <f t="shared" si="6"/>
        <v/>
      </c>
      <c r="C83" s="47"/>
      <c r="D83" s="48"/>
      <c r="E83" s="49"/>
      <c r="F83" s="49"/>
      <c r="G83" s="49"/>
      <c r="H83" s="49"/>
      <c r="I83" s="50" t="str">
        <f>IF($B83="","",IF($K83="X",B83,CONCATENATE(VLOOKUP(B83,Competitors!$A$2:$I$650,3,FALSE)," ",VLOOKUP(B83,Competitors!$A$2:$I$650,2,FALSE))))</f>
        <v/>
      </c>
      <c r="J83" s="51">
        <f t="shared" si="9"/>
        <v>0</v>
      </c>
      <c r="K83" t="str">
        <f t="shared" si="10"/>
        <v/>
      </c>
    </row>
    <row r="84" spans="1:11" ht="15">
      <c r="A84" s="46"/>
      <c r="B84" s="47" t="str">
        <f t="shared" si="6"/>
        <v/>
      </c>
      <c r="C84" s="47"/>
      <c r="D84" s="48"/>
      <c r="E84" s="49"/>
      <c r="F84" s="49"/>
      <c r="G84" s="49"/>
      <c r="H84" s="49"/>
      <c r="I84" s="50" t="str">
        <f>IF($B84="","",IF($K84="X",B84,CONCATENATE(VLOOKUP(B84,Competitors!$A$2:$I$650,3,FALSE)," ",VLOOKUP(B84,Competitors!$A$2:$I$650,2,FALSE))))</f>
        <v/>
      </c>
      <c r="J84" s="51">
        <f t="shared" si="9"/>
        <v>0</v>
      </c>
      <c r="K84" t="str">
        <f t="shared" si="10"/>
        <v/>
      </c>
    </row>
    <row r="85" spans="1:11" ht="15">
      <c r="A85" s="46"/>
      <c r="B85" s="47" t="str">
        <f t="shared" si="6"/>
        <v/>
      </c>
      <c r="C85" s="47"/>
      <c r="D85" s="48"/>
      <c r="E85" s="49"/>
      <c r="F85" s="49"/>
      <c r="G85" s="49"/>
      <c r="H85" s="49"/>
      <c r="I85" s="50" t="str">
        <f>IF($B85="","",IF($K85="X",B85,CONCATENATE(VLOOKUP(B85,Competitors!$A$2:$I$650,3,FALSE)," ",VLOOKUP(B85,Competitors!$A$2:$I$650,2,FALSE))))</f>
        <v/>
      </c>
      <c r="J85" s="51">
        <f t="shared" si="9"/>
        <v>0</v>
      </c>
      <c r="K85" t="str">
        <f t="shared" si="10"/>
        <v/>
      </c>
    </row>
    <row r="86" spans="1:11" ht="15">
      <c r="A86" s="46"/>
      <c r="B86" s="47" t="str">
        <f t="shared" si="6"/>
        <v/>
      </c>
      <c r="C86" s="47"/>
      <c r="D86" s="48"/>
      <c r="E86" s="49"/>
      <c r="F86" s="49"/>
      <c r="G86" s="49"/>
      <c r="H86" s="49"/>
      <c r="I86" s="50" t="str">
        <f>IF($B86="","",IF($K86="X",B86,CONCATENATE(VLOOKUP(B86,Competitors!$A$2:$I$650,3,FALSE)," ",VLOOKUP(B86,Competitors!$A$2:$I$650,2,FALSE))))</f>
        <v/>
      </c>
      <c r="J86" s="51">
        <f t="shared" si="9"/>
        <v>0</v>
      </c>
      <c r="K86" t="str">
        <f t="shared" si="10"/>
        <v/>
      </c>
    </row>
    <row r="87" spans="1:11" ht="15">
      <c r="A87" s="46"/>
      <c r="B87" s="47" t="str">
        <f t="shared" si="6"/>
        <v/>
      </c>
      <c r="C87" s="47"/>
      <c r="D87" s="48"/>
      <c r="E87" s="49"/>
      <c r="F87" s="49"/>
      <c r="G87" s="49"/>
      <c r="H87" s="49"/>
      <c r="I87" s="50" t="str">
        <f>IF($B87="","",IF($K87="X",B87,CONCATENATE(VLOOKUP(B87,Competitors!$A$2:$I$650,3,FALSE)," ",VLOOKUP(B87,Competitors!$A$2:$I$650,2,FALSE))))</f>
        <v/>
      </c>
      <c r="J87" s="51">
        <f t="shared" si="9"/>
        <v>0</v>
      </c>
      <c r="K87" t="str">
        <f t="shared" si="10"/>
        <v/>
      </c>
    </row>
    <row r="88" spans="1:11" ht="15">
      <c r="A88" s="46"/>
      <c r="B88" s="47" t="str">
        <f t="shared" si="6"/>
        <v/>
      </c>
      <c r="C88" s="47"/>
      <c r="D88" s="48"/>
      <c r="E88" s="49"/>
      <c r="F88" s="49"/>
      <c r="G88" s="49"/>
      <c r="H88" s="49"/>
      <c r="I88" s="50" t="str">
        <f>IF($B88="","",IF($K88="X",B88,CONCATENATE(VLOOKUP(B88,Competitors!$A$2:$I$650,3,FALSE)," ",VLOOKUP(B88,Competitors!$A$2:$I$650,2,FALSE))))</f>
        <v/>
      </c>
      <c r="J88" s="51">
        <f t="shared" si="9"/>
        <v>0</v>
      </c>
      <c r="K88" t="str">
        <f t="shared" si="10"/>
        <v/>
      </c>
    </row>
    <row r="89" spans="1:11" ht="15">
      <c r="A89" s="46"/>
      <c r="B89" s="47" t="str">
        <f t="shared" si="6"/>
        <v/>
      </c>
      <c r="C89" s="47"/>
      <c r="D89" s="48"/>
      <c r="E89" s="49"/>
      <c r="F89" s="49"/>
      <c r="G89" s="49"/>
      <c r="H89" s="49"/>
      <c r="I89" s="50" t="str">
        <f>IF($B89="","",IF($K89="X",B89,CONCATENATE(VLOOKUP(B89,Competitors!$A$2:$I$650,3,FALSE)," ",VLOOKUP(B89,Competitors!$A$2:$I$650,2,FALSE))))</f>
        <v/>
      </c>
      <c r="J89" s="51">
        <f t="shared" si="9"/>
        <v>0</v>
      </c>
      <c r="K89" t="str">
        <f t="shared" si="10"/>
        <v/>
      </c>
    </row>
    <row r="90" spans="1:11" ht="15">
      <c r="A90" s="46"/>
      <c r="B90" s="47" t="str">
        <f t="shared" si="6"/>
        <v/>
      </c>
      <c r="C90" s="47"/>
      <c r="D90" s="48"/>
      <c r="E90" s="49"/>
      <c r="F90" s="49"/>
      <c r="G90" s="49"/>
      <c r="H90" s="49"/>
      <c r="I90" s="50" t="str">
        <f>IF($B90="","",IF($K90="X",B90,CONCATENATE(VLOOKUP(B90,Competitors!$A$2:$I$650,3,FALSE)," ",VLOOKUP(B90,Competitors!$A$2:$I$650,2,FALSE))))</f>
        <v/>
      </c>
      <c r="J90" s="51">
        <f t="shared" si="9"/>
        <v>0</v>
      </c>
      <c r="K90" t="str">
        <f t="shared" si="10"/>
        <v/>
      </c>
    </row>
    <row r="91" spans="1:11" ht="15">
      <c r="A91" s="46"/>
      <c r="B91" s="47" t="str">
        <f t="shared" si="6"/>
        <v/>
      </c>
      <c r="C91" s="47"/>
      <c r="D91" s="48"/>
      <c r="E91" s="49"/>
      <c r="F91" s="49"/>
      <c r="G91" s="49"/>
      <c r="H91" s="49"/>
      <c r="I91" s="50" t="str">
        <f>IF($B91="","",IF($K91="X",B91,CONCATENATE(VLOOKUP(B91,Competitors!$A$2:$I$650,3,FALSE)," ",VLOOKUP(B91,Competitors!$A$2:$I$650,2,FALSE))))</f>
        <v/>
      </c>
      <c r="J91" s="51">
        <f t="shared" si="9"/>
        <v>0</v>
      </c>
      <c r="K91" t="str">
        <f t="shared" si="10"/>
        <v/>
      </c>
    </row>
    <row r="92" spans="1:11" ht="15">
      <c r="A92" s="46"/>
      <c r="B92" s="47" t="str">
        <f t="shared" si="6"/>
        <v/>
      </c>
      <c r="C92" s="47"/>
      <c r="D92" s="48"/>
      <c r="E92" s="49"/>
      <c r="F92" s="49"/>
      <c r="G92" s="49"/>
      <c r="H92" s="49"/>
      <c r="I92" s="50" t="str">
        <f>IF($B92="","",IF($K92="X",B92,CONCATENATE(VLOOKUP(B92,Competitors!$A$2:$I$650,3,FALSE)," ",VLOOKUP(B92,Competitors!$A$2:$I$650,2,FALSE))))</f>
        <v/>
      </c>
      <c r="J92" s="51">
        <f t="shared" si="9"/>
        <v>0</v>
      </c>
      <c r="K92" t="str">
        <f t="shared" si="10"/>
        <v/>
      </c>
    </row>
    <row r="93" spans="1:11" ht="15">
      <c r="A93" s="46"/>
      <c r="B93" s="47" t="str">
        <f t="shared" si="6"/>
        <v/>
      </c>
      <c r="C93" s="47"/>
      <c r="D93" s="48"/>
      <c r="E93" s="49"/>
      <c r="F93" s="49"/>
      <c r="G93" s="49"/>
      <c r="H93" s="49"/>
      <c r="I93" s="50" t="str">
        <f>IF($B93="","",IF($K93="X",B93,CONCATENATE(VLOOKUP(B93,Competitors!$A$2:$I$650,3,FALSE)," ",VLOOKUP(B93,Competitors!$A$2:$I$650,2,FALSE))))</f>
        <v/>
      </c>
      <c r="J93" s="51">
        <f t="shared" si="9"/>
        <v>0</v>
      </c>
      <c r="K93" t="str">
        <f t="shared" si="10"/>
        <v/>
      </c>
    </row>
    <row r="94" spans="1:11" ht="15">
      <c r="A94" s="46"/>
      <c r="B94" s="47" t="str">
        <f t="shared" si="6"/>
        <v/>
      </c>
      <c r="C94" s="47"/>
      <c r="D94" s="48"/>
      <c r="E94" s="49"/>
      <c r="F94" s="49"/>
      <c r="G94" s="49"/>
      <c r="H94" s="49"/>
      <c r="I94" s="50" t="str">
        <f>IF($B94="","",IF($K94="X",B94,CONCATENATE(VLOOKUP(B94,Competitors!$A$2:$I$650,3,FALSE)," ",VLOOKUP(B94,Competitors!$A$2:$I$650,2,FALSE))))</f>
        <v/>
      </c>
      <c r="J94" s="51">
        <f t="shared" si="9"/>
        <v>0</v>
      </c>
      <c r="K94" t="str">
        <f t="shared" si="10"/>
        <v/>
      </c>
    </row>
    <row r="95" spans="1:11" ht="15">
      <c r="A95" s="46"/>
      <c r="B95" s="47" t="str">
        <f t="shared" si="6"/>
        <v/>
      </c>
      <c r="C95" s="47"/>
      <c r="D95" s="48"/>
      <c r="E95" s="49"/>
      <c r="F95" s="49"/>
      <c r="G95" s="49"/>
      <c r="H95" s="49"/>
      <c r="I95" s="50" t="str">
        <f>IF($B95="","",IF($K95="X",B95,CONCATENATE(VLOOKUP(B95,Competitors!$A$2:$I$650,3,FALSE)," ",VLOOKUP(B95,Competitors!$A$2:$I$650,2,FALSE))))</f>
        <v/>
      </c>
      <c r="J95" s="51">
        <f t="shared" si="9"/>
        <v>0</v>
      </c>
      <c r="K95" t="str">
        <f t="shared" si="10"/>
        <v/>
      </c>
    </row>
    <row r="96" spans="1:11" ht="15">
      <c r="A96" s="46"/>
      <c r="B96" s="47" t="str">
        <f t="shared" si="6"/>
        <v/>
      </c>
      <c r="C96" s="47"/>
      <c r="D96" s="48"/>
      <c r="E96" s="49"/>
      <c r="F96" s="49"/>
      <c r="G96" s="49"/>
      <c r="H96" s="49"/>
      <c r="I96" s="50" t="str">
        <f>IF($B96="","",IF($K96="X",B96,CONCATENATE(VLOOKUP(B96,Competitors!$A$2:$I$650,3,FALSE)," ",VLOOKUP(B96,Competitors!$A$2:$I$650,2,FALSE))))</f>
        <v/>
      </c>
      <c r="J96" s="51">
        <f t="shared" si="9"/>
        <v>0</v>
      </c>
      <c r="K96" t="str">
        <f t="shared" si="10"/>
        <v/>
      </c>
    </row>
    <row r="97" spans="1:11" ht="15">
      <c r="A97" s="46"/>
      <c r="B97" s="47" t="str">
        <f t="shared" si="6"/>
        <v/>
      </c>
      <c r="C97" s="47"/>
      <c r="D97" s="48"/>
      <c r="E97" s="49"/>
      <c r="F97" s="49"/>
      <c r="G97" s="49"/>
      <c r="H97" s="49"/>
      <c r="I97" s="50" t="str">
        <f>IF($B97="","",IF($K97="X",B97,CONCATENATE(VLOOKUP(B97,Competitors!$A$2:$I$650,3,FALSE)," ",VLOOKUP(B97,Competitors!$A$2:$I$650,2,FALSE))))</f>
        <v/>
      </c>
      <c r="J97" s="51">
        <f t="shared" si="9"/>
        <v>0</v>
      </c>
      <c r="K97" t="str">
        <f t="shared" si="10"/>
        <v/>
      </c>
    </row>
    <row r="98" spans="1:11" ht="15">
      <c r="A98" s="46"/>
      <c r="B98" s="47" t="str">
        <f>IF(A98="","",_xlfn.XLOOKUP(A98,ClubNames,ClubNumbers,_xlfn.XLOOKUP(A98,RoundRobinRiderNames,RoundRobinRiderDecoratedNames,A98)))</f>
        <v/>
      </c>
      <c r="C98" s="47"/>
      <c r="D98" s="48"/>
      <c r="E98" s="49"/>
      <c r="F98" s="49"/>
      <c r="G98" s="49"/>
      <c r="H98" s="49"/>
      <c r="I98" s="50" t="str">
        <f>IF($B98="","",IF($K98="X",B98,CONCATENATE(VLOOKUP(B98,Competitors!$A$2:$I$650,3,FALSE)," ",VLOOKUP(B98,Competitors!$A$2:$I$650,2,FALSE))))</f>
        <v/>
      </c>
      <c r="J98" s="51">
        <f t="shared" si="9"/>
        <v>0</v>
      </c>
      <c r="K98" t="str">
        <f t="shared" si="10"/>
        <v/>
      </c>
    </row>
    <row r="99" spans="1:11" ht="15">
      <c r="A99" s="46"/>
      <c r="B99" s="47" t="str">
        <f>IF(A99="","",_xlfn.XLOOKUP(A99,ClubNames,ClubNumbers,_xlfn.XLOOKUP(A99,RoundRobinRiderNames,RoundRobinRiderDecoratedNames,A99)))</f>
        <v/>
      </c>
      <c r="C99" s="47"/>
      <c r="D99" s="48"/>
      <c r="E99" s="49"/>
      <c r="F99" s="49"/>
      <c r="G99" s="49"/>
      <c r="H99" s="49"/>
      <c r="I99" s="50" t="str">
        <f>IF($B99="","",IF($K99="X",B99,CONCATENATE(VLOOKUP(B99,Competitors!$A$2:$I$650,3,FALSE)," ",VLOOKUP(B99,Competitors!$A$2:$I$650,2,FALSE))))</f>
        <v/>
      </c>
      <c r="J99" s="51">
        <f t="shared" si="9"/>
        <v>0</v>
      </c>
      <c r="K99" t="str">
        <f t="shared" si="10"/>
        <v/>
      </c>
    </row>
    <row r="100" spans="1:11" ht="15">
      <c r="A100" s="46"/>
      <c r="B100" s="47" t="str">
        <f>IF(A100="","",_xlfn.XLOOKUP(A100,ClubNames,ClubNumbers,_xlfn.XLOOKUP(A100,RoundRobinRiderNames,RoundRobinRiderDecoratedNames,A100)))</f>
        <v/>
      </c>
      <c r="C100" s="47"/>
      <c r="D100" s="48"/>
      <c r="E100" s="49"/>
      <c r="F100" s="49"/>
      <c r="G100" s="49"/>
      <c r="H100" s="49"/>
      <c r="I100" s="50" t="str">
        <f>IF($B100="","",IF($K100="X",B100,CONCATENATE(VLOOKUP(B100,Competitors!$A$2:$I$650,3, FALSE)," ",VLOOKUP(B100,Competitors!$A$2:$I$650,2,FALSE))))</f>
        <v/>
      </c>
      <c r="J100" s="51">
        <f t="shared" si="9"/>
        <v>0</v>
      </c>
      <c r="K100" t="str">
        <f t="shared" si="10"/>
        <v/>
      </c>
    </row>
    <row r="101" spans="1:11" ht="15">
      <c r="A101" s="46"/>
      <c r="B101" s="47" t="str">
        <f>IF(A101="","",_xlfn.XLOOKUP(A101,ClubNames,ClubNumbers,_xlfn.XLOOKUP(A101,RoundRobinRiderNames,RoundRobinRiderDecoratedNames,A101)))</f>
        <v/>
      </c>
      <c r="C101" s="47"/>
      <c r="D101" s="48"/>
      <c r="E101" s="49"/>
      <c r="F101" s="49"/>
      <c r="G101" s="49"/>
      <c r="H101" s="49"/>
      <c r="I101" s="50" t="str">
        <f>IF($B101="","",IF($K101="X",B101,CONCATENATE(VLOOKUP(B101,Competitors!$A$2:$I$650,3,FALSE)," ",VLOOKUP(B101,Competitors!$A$2:$I$650,2,FALSE))))</f>
        <v/>
      </c>
      <c r="J101" s="51">
        <f t="shared" si="9"/>
        <v>0</v>
      </c>
      <c r="K101" t="str">
        <f t="shared" si="10"/>
        <v/>
      </c>
    </row>
    <row r="102" spans="1:11" s="52" customFormat="1">
      <c r="J102" s="53"/>
    </row>
    <row r="103" spans="1:11">
      <c r="B103" t="s">
        <v>551</v>
      </c>
      <c r="D103" t="str" cm="1">
        <f t="array" aca="1" ref="D103" ca="1">MID(CELL("filename",B1),FIND("]",CELL("filename",B1))+1,255)</f>
        <v>Event_17</v>
      </c>
    </row>
    <row r="104" spans="1:11">
      <c r="B104" t="s">
        <v>552</v>
      </c>
      <c r="D104" t="str">
        <f ca="1">_xlfn.XLOOKUP(D103,Calendar!O:O,Calendar!H:H,"Event is not in calendar")</f>
        <v/>
      </c>
    </row>
  </sheetData>
  <sortState xmlns:xlrd2="http://schemas.microsoft.com/office/spreadsheetml/2017/richdata2" ref="A2:K53">
    <sortCondition ref="C2:C53"/>
  </sortState>
  <phoneticPr fontId="18" type="noConversion"/>
  <conditionalFormatting sqref="F2:F101">
    <cfRule type="expression" dxfId="33" priority="3">
      <formula>TEXT($D$104,"@")="Y"</formula>
    </cfRule>
  </conditionalFormatting>
  <conditionalFormatting sqref="I2:J101">
    <cfRule type="expression" dxfId="32" priority="2">
      <formula>$K2="X"</formula>
    </cfRule>
  </conditionalFormatting>
  <conditionalFormatting sqref="J2:J101">
    <cfRule type="expression" dxfId="31" priority="1">
      <formula>TEXT($D$104,"@")="Y"</formula>
    </cfRule>
  </conditionalFormatting>
  <pageMargins left="0.7" right="0.7" top="0.75" bottom="0.75" header="0.3" footer="0.3"/>
  <pageSetup paperSize="9" orientation="portrait"/>
  <legacy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0"/>
  <dimension ref="A1:J104"/>
  <sheetViews>
    <sheetView workbookViewId="0">
      <selection activeCell="A22" sqref="A22"/>
    </sheetView>
    <sheetView workbookViewId="1"/>
  </sheetViews>
  <sheetFormatPr defaultColWidth="9.1328125" defaultRowHeight="12.75"/>
  <cols>
    <col min="1" max="1" width="24.6640625" bestFit="1" customWidth="1"/>
    <col min="2" max="2" width="36.53125" bestFit="1" customWidth="1"/>
    <col min="3" max="5" width="4.796875" customWidth="1"/>
    <col min="6" max="7" width="11.1328125" customWidth="1"/>
    <col min="8" max="8" width="32.86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730</v>
      </c>
      <c r="B2" s="47" t="str">
        <f t="shared" ref="B2:B33" si="0">IF(A2="","",_xlfn.XLOOKUP(A2,ClubNames,ClubNumbers,_xlfn.XLOOKUP(A2,RoundRobinRiderNames,RoundRobinRiderDecoratedNames,A2)))</f>
        <v>Eric Fullerton (LFCC)</v>
      </c>
      <c r="C2" s="48"/>
      <c r="D2" s="49">
        <v>30</v>
      </c>
      <c r="E2" s="49">
        <v>55</v>
      </c>
      <c r="F2" s="49"/>
      <c r="G2" s="49"/>
      <c r="H2" s="50" t="str">
        <f>IF($B2="","",IF($J2="X",B2,CONCATENATE(VLOOKUP(B2,Competitors!$A$2:$I$650,3, FALSE)," ",VLOOKUP(B2,Competitors!$A$2:$I$650,2,FALSE))))</f>
        <v>Eric Fullerton (LFCC)</v>
      </c>
      <c r="I2" s="51">
        <f t="shared" ref="I2:I65" si="1">IF(LEFT($F2,1)="D",UPPER($F2),(C2*3600+D2*60+E2)/86400)</f>
        <v>2.1469907407407406E-2</v>
      </c>
      <c r="J2" t="str">
        <f t="shared" ref="J2:J65" si="2">IF(OR(B2="",ISNUMBER(B2)),"","X")</f>
        <v>X</v>
      </c>
    </row>
    <row r="3" spans="1:10" ht="15">
      <c r="A3" s="46" t="s">
        <v>507</v>
      </c>
      <c r="B3" s="47" t="str">
        <f t="shared" si="0"/>
        <v>Lucy Sturgess (Ratae)</v>
      </c>
      <c r="C3" s="48"/>
      <c r="D3" s="49"/>
      <c r="E3" s="49"/>
      <c r="F3" s="49"/>
      <c r="G3" s="49" t="s">
        <v>553</v>
      </c>
      <c r="H3" s="50" t="str">
        <f>IF($B3="","",IF($J3="X",B3,CONCATENATE(VLOOKUP(B3,Competitors!$A$2:$I$650,3,FALSE)," ",VLOOKUP(B3,Competitors!$A$2:$I$650,2,FALSE))))</f>
        <v>Lucy Sturgess (Ratae)</v>
      </c>
      <c r="I3" s="51">
        <f t="shared" si="1"/>
        <v>0</v>
      </c>
      <c r="J3" t="str">
        <f t="shared" si="2"/>
        <v>X</v>
      </c>
    </row>
    <row r="4" spans="1:10" ht="15">
      <c r="A4" s="46" t="s">
        <v>512</v>
      </c>
      <c r="B4" s="47" t="str">
        <f t="shared" si="0"/>
        <v>Paul Eden (Ratae)</v>
      </c>
      <c r="C4" s="48"/>
      <c r="D4" s="49">
        <v>33</v>
      </c>
      <c r="E4" s="49">
        <v>6</v>
      </c>
      <c r="F4" s="49"/>
      <c r="G4" s="49"/>
      <c r="H4" s="50" t="str">
        <f>IF($B4="","",IF($J4="X",B4,CONCATENATE(VLOOKUP(B4,Competitors!$A$2:$I$650,3,FALSE)," ",VLOOKUP(B4,Competitors!$A$2:$I$650,2,FALSE))))</f>
        <v>Paul Eden (Ratae)</v>
      </c>
      <c r="I4" s="51">
        <f t="shared" si="1"/>
        <v>2.298611111111111E-2</v>
      </c>
      <c r="J4" t="str">
        <f t="shared" si="2"/>
        <v>X</v>
      </c>
    </row>
    <row r="5" spans="1:10" ht="15">
      <c r="A5" s="46" t="s">
        <v>414</v>
      </c>
      <c r="B5" s="47">
        <f t="shared" si="0"/>
        <v>699</v>
      </c>
      <c r="C5" s="48"/>
      <c r="D5" s="49">
        <v>25</v>
      </c>
      <c r="E5" s="49">
        <v>28</v>
      </c>
      <c r="F5" s="49"/>
      <c r="G5" s="49"/>
      <c r="H5" s="50" t="str">
        <f>IF($B5="","",IF($J5="X",B5,CONCATENATE(VLOOKUP(B5,Competitors!$A$2:$I$650,3,FALSE)," ",VLOOKUP(B5,Competitors!$A$2:$I$650,2,FALSE))))</f>
        <v>Jonathan Durnin</v>
      </c>
      <c r="I5" s="51">
        <f t="shared" si="1"/>
        <v>1.7685185185185186E-2</v>
      </c>
      <c r="J5" t="str">
        <f t="shared" si="2"/>
        <v/>
      </c>
    </row>
    <row r="6" spans="1:10" ht="15">
      <c r="A6" s="46" t="s">
        <v>422</v>
      </c>
      <c r="B6" s="47">
        <f t="shared" si="0"/>
        <v>1407</v>
      </c>
      <c r="C6" s="48"/>
      <c r="D6" s="49">
        <v>26</v>
      </c>
      <c r="E6" s="49">
        <v>32</v>
      </c>
      <c r="F6" s="49" t="s">
        <v>544</v>
      </c>
      <c r="G6" s="49"/>
      <c r="H6" s="50" t="str">
        <f>IF($B6="","",IF($J6="X",B6,CONCATENATE(VLOOKUP(B6,Competitors!$A$2:$I$650,3,FALSE)," ",VLOOKUP(B6,Competitors!$A$2:$I$650,2,FALSE))))</f>
        <v>Colin Dobson</v>
      </c>
      <c r="I6" s="51">
        <f t="shared" si="1"/>
        <v>1.8425925925925925E-2</v>
      </c>
      <c r="J6" t="str">
        <f t="shared" si="2"/>
        <v/>
      </c>
    </row>
    <row r="7" spans="1:10" ht="15">
      <c r="A7" s="46" t="s">
        <v>435</v>
      </c>
      <c r="B7" s="47">
        <f t="shared" si="0"/>
        <v>846</v>
      </c>
      <c r="C7" s="48"/>
      <c r="D7" s="49">
        <v>27</v>
      </c>
      <c r="E7" s="49">
        <v>59</v>
      </c>
      <c r="F7" s="49"/>
      <c r="G7" s="49"/>
      <c r="H7" s="50" t="str">
        <f>IF($B7="","",IF($J7="X",B7,CONCATENATE(VLOOKUP(B7,Competitors!$A$2:$I$650,3,FALSE)," ",VLOOKUP(B7,Competitors!$A$2:$I$650,2,FALSE))))</f>
        <v>Roger Kockelbergh</v>
      </c>
      <c r="I7" s="51">
        <f t="shared" si="1"/>
        <v>1.9432870370370371E-2</v>
      </c>
      <c r="J7" t="str">
        <f t="shared" si="2"/>
        <v/>
      </c>
    </row>
    <row r="8" spans="1:10" ht="15">
      <c r="A8" s="46" t="s">
        <v>420</v>
      </c>
      <c r="B8" s="47">
        <f t="shared" si="0"/>
        <v>1192</v>
      </c>
      <c r="C8" s="48"/>
      <c r="D8" s="49">
        <v>26</v>
      </c>
      <c r="E8" s="49">
        <v>40</v>
      </c>
      <c r="F8" s="49"/>
      <c r="G8" s="49"/>
      <c r="H8" s="50" t="str">
        <f>IF($B8="","",IF($J8="X",B8,CONCATENATE(VLOOKUP(B8,Competitors!$A$2:$I$650,3,FALSE)," ",VLOOKUP(B8,Competitors!$A$2:$I$650,2,FALSE))))</f>
        <v>Dale Norris</v>
      </c>
      <c r="I8" s="51">
        <f t="shared" si="1"/>
        <v>1.8518518518518517E-2</v>
      </c>
      <c r="J8" t="str">
        <f t="shared" si="2"/>
        <v/>
      </c>
    </row>
    <row r="9" spans="1:10" ht="15">
      <c r="A9" s="46" t="s">
        <v>413</v>
      </c>
      <c r="B9" s="47">
        <f t="shared" si="0"/>
        <v>989</v>
      </c>
      <c r="C9" s="48"/>
      <c r="D9" s="49">
        <v>25</v>
      </c>
      <c r="E9" s="49">
        <v>24</v>
      </c>
      <c r="F9" s="49" t="s">
        <v>544</v>
      </c>
      <c r="G9" s="49"/>
      <c r="H9" s="50" t="str">
        <f>IF($B9="","",IF($J9="X",B9,CONCATENATE(VLOOKUP(B9,Competitors!$A$2:$I$650,3,FALSE)," ",VLOOKUP(B9,Competitors!$A$2:$I$650,2,FALSE))))</f>
        <v>Jason Williams</v>
      </c>
      <c r="I9" s="51">
        <f t="shared" si="1"/>
        <v>1.7638888888888888E-2</v>
      </c>
      <c r="J9" t="str">
        <f t="shared" si="2"/>
        <v/>
      </c>
    </row>
    <row r="10" spans="1:10" ht="15">
      <c r="A10" s="46" t="s">
        <v>446</v>
      </c>
      <c r="B10" s="47">
        <f t="shared" si="0"/>
        <v>1379</v>
      </c>
      <c r="C10" s="48"/>
      <c r="D10" s="49">
        <v>30</v>
      </c>
      <c r="E10" s="49">
        <v>11</v>
      </c>
      <c r="F10" s="49" t="s">
        <v>544</v>
      </c>
      <c r="G10" s="49"/>
      <c r="H10" s="50" t="str">
        <f>IF($B10="","",IF($J10="X",B10,CONCATENATE(VLOOKUP(B10,Competitors!$A$2:$I$650,3, FALSE)," ",VLOOKUP(B10,Competitors!$A$2:$I$650,2,FALSE))))</f>
        <v>Michaela Latham</v>
      </c>
      <c r="I10" s="51">
        <f t="shared" si="1"/>
        <v>2.0960648148148148E-2</v>
      </c>
      <c r="J10" t="str">
        <f t="shared" si="2"/>
        <v/>
      </c>
    </row>
    <row r="11" spans="1:10" ht="15">
      <c r="A11" s="46" t="s">
        <v>733</v>
      </c>
      <c r="B11" s="47" t="str">
        <f t="shared" si="0"/>
        <v>Pietro Saman (LFCC)</v>
      </c>
      <c r="C11" s="48"/>
      <c r="D11" s="49"/>
      <c r="E11" s="49"/>
      <c r="F11" s="49"/>
      <c r="G11" s="49" t="s">
        <v>553</v>
      </c>
      <c r="H11" s="50" t="str">
        <f>IF($B11="","",IF($J11="X",B11,CONCATENATE(VLOOKUP(B11,Competitors!$A$2:$I$650,3,FALSE)," ",VLOOKUP(B11,Competitors!$A$2:$I$650,2,FALSE))))</f>
        <v>Pietro Saman (LFCC)</v>
      </c>
      <c r="I11" s="51">
        <f t="shared" si="1"/>
        <v>0</v>
      </c>
      <c r="J11" t="str">
        <f t="shared" si="2"/>
        <v>X</v>
      </c>
    </row>
    <row r="12" spans="1:10" ht="15">
      <c r="A12" s="46" t="s">
        <v>437</v>
      </c>
      <c r="B12" s="47">
        <f t="shared" si="0"/>
        <v>1195</v>
      </c>
      <c r="C12" s="48"/>
      <c r="D12" s="49">
        <v>27</v>
      </c>
      <c r="E12" s="49">
        <v>23</v>
      </c>
      <c r="F12" s="49" t="s">
        <v>544</v>
      </c>
      <c r="G12" s="49"/>
      <c r="H12" s="50" t="str">
        <f>IF($B12="","",IF($J12="X",B12,CONCATENATE(VLOOKUP(B12,Competitors!$A$2:$I$650,3,FALSE)," ",VLOOKUP(B12,Competitors!$A$2:$I$650,2,FALSE))))</f>
        <v>Charlie Hardwicke</v>
      </c>
      <c r="I12" s="51">
        <f t="shared" si="1"/>
        <v>1.9016203703703705E-2</v>
      </c>
      <c r="J12" t="str">
        <f t="shared" si="2"/>
        <v/>
      </c>
    </row>
    <row r="13" spans="1:10" ht="15">
      <c r="A13" s="46" t="s">
        <v>443</v>
      </c>
      <c r="B13" s="47">
        <f t="shared" si="0"/>
        <v>1193</v>
      </c>
      <c r="C13" s="48"/>
      <c r="D13" s="49">
        <v>29</v>
      </c>
      <c r="E13" s="49">
        <v>34</v>
      </c>
      <c r="F13" s="49" t="s">
        <v>544</v>
      </c>
      <c r="G13" s="49"/>
      <c r="H13" s="50" t="str">
        <f>IF($B13="","",IF($J13="X",B13,CONCATENATE(VLOOKUP(B13,Competitors!$A$2:$I$650,3,FALSE)," ",VLOOKUP(B13,Competitors!$A$2:$I$650,2,FALSE))))</f>
        <v>Richard Hardwicke</v>
      </c>
      <c r="I13" s="51">
        <f t="shared" si="1"/>
        <v>2.0532407407407409E-2</v>
      </c>
      <c r="J13" t="str">
        <f t="shared" si="2"/>
        <v/>
      </c>
    </row>
    <row r="14" spans="1:10" ht="15">
      <c r="A14" s="46" t="s">
        <v>447</v>
      </c>
      <c r="B14" s="47">
        <f t="shared" si="0"/>
        <v>1194</v>
      </c>
      <c r="C14" s="48"/>
      <c r="D14" s="49">
        <v>31</v>
      </c>
      <c r="E14" s="49">
        <v>43</v>
      </c>
      <c r="F14" s="49" t="s">
        <v>544</v>
      </c>
      <c r="G14" s="49"/>
      <c r="H14" s="50" t="str">
        <f>IF($B14="","",IF($J14="X",B14,CONCATENATE(VLOOKUP(B14,Competitors!$A$2:$I$650,3,FALSE)," ",VLOOKUP(B14,Competitors!$A$2:$I$650,2,FALSE))))</f>
        <v>Alex Hardwicke</v>
      </c>
      <c r="I14" s="51">
        <f t="shared" si="1"/>
        <v>2.2025462962962962E-2</v>
      </c>
      <c r="J14" t="str">
        <f t="shared" si="2"/>
        <v/>
      </c>
    </row>
    <row r="15" spans="1:10" ht="15">
      <c r="A15" s="46" t="s">
        <v>488</v>
      </c>
      <c r="B15" s="47" t="str">
        <f t="shared" si="0"/>
        <v>Sam Nettel (LFCC)</v>
      </c>
      <c r="C15" s="48"/>
      <c r="D15" s="49">
        <v>25</v>
      </c>
      <c r="E15" s="49">
        <v>20</v>
      </c>
      <c r="F15" s="49"/>
      <c r="G15" s="49"/>
      <c r="H15" s="50" t="str">
        <f>IF($B15="","",IF($J15="X",B15,CONCATENATE(VLOOKUP(B15,Competitors!$A$2:$I$650,3,FALSE)," ",VLOOKUP(B15,Competitors!$A$2:$I$650,2,FALSE))))</f>
        <v>Sam Nettel (LFCC)</v>
      </c>
      <c r="I15" s="51">
        <f t="shared" si="1"/>
        <v>1.7592592592592594E-2</v>
      </c>
      <c r="J15" t="str">
        <f t="shared" si="2"/>
        <v>X</v>
      </c>
    </row>
    <row r="16" spans="1:10" ht="15">
      <c r="A16" s="46" t="s">
        <v>509</v>
      </c>
      <c r="B16" s="47" t="str">
        <f t="shared" si="0"/>
        <v>Mark Newton (Ratae)</v>
      </c>
      <c r="C16" s="48"/>
      <c r="D16" s="49">
        <v>26</v>
      </c>
      <c r="E16" s="49">
        <v>48</v>
      </c>
      <c r="F16" s="49"/>
      <c r="G16" s="49"/>
      <c r="H16" s="50" t="str">
        <f>IF($B16="","",IF($J16="X",B16,CONCATENATE(VLOOKUP(B16,Competitors!$A$2:$I$650,3,FALSE)," ",VLOOKUP(B16,Competitors!$A$2:$I$650,2,FALSE))))</f>
        <v>Mark Newton (Ratae)</v>
      </c>
      <c r="I16" s="51">
        <f t="shared" si="1"/>
        <v>1.861111111111111E-2</v>
      </c>
      <c r="J16" t="str">
        <f t="shared" si="2"/>
        <v>X</v>
      </c>
    </row>
    <row r="17" spans="1:10" ht="15">
      <c r="A17" s="46" t="s">
        <v>432</v>
      </c>
      <c r="B17" s="47">
        <f t="shared" si="0"/>
        <v>1112</v>
      </c>
      <c r="C17" s="48"/>
      <c r="D17" s="49"/>
      <c r="E17" s="49"/>
      <c r="F17" s="49"/>
      <c r="G17" s="49" t="s">
        <v>553</v>
      </c>
      <c r="H17" s="50" t="str">
        <f>IF($B17="","",IF($J17="X",B17,CONCATENATE(VLOOKUP(B17,Competitors!$A$2:$I$650,3,FALSE)," ",VLOOKUP(B17,Competitors!$A$2:$I$650,2,FALSE))))</f>
        <v>Gary Ashwell</v>
      </c>
      <c r="I17" s="51">
        <f t="shared" si="1"/>
        <v>0</v>
      </c>
      <c r="J17" t="str">
        <f t="shared" si="2"/>
        <v/>
      </c>
    </row>
    <row r="18" spans="1:10" ht="15">
      <c r="A18" s="46" t="s">
        <v>731</v>
      </c>
      <c r="B18" s="47" t="str">
        <f t="shared" si="0"/>
        <v>Dave Tomlinson (LFCC)</v>
      </c>
      <c r="C18" s="48"/>
      <c r="D18" s="49"/>
      <c r="E18" s="49"/>
      <c r="F18" s="49"/>
      <c r="G18" s="49" t="s">
        <v>553</v>
      </c>
      <c r="H18" s="50" t="str">
        <f>IF($B18="","",IF($J18="X",B18,CONCATENATE(VLOOKUP(B18,Competitors!$A$2:$I$650,3,FALSE)," ",VLOOKUP(B18,Competitors!$A$2:$I$650,2,FALSE))))</f>
        <v>Dave Tomlinson (LFCC)</v>
      </c>
      <c r="I18" s="51">
        <f t="shared" si="1"/>
        <v>0</v>
      </c>
      <c r="J18" t="str">
        <f t="shared" si="2"/>
        <v>X</v>
      </c>
    </row>
    <row r="19" spans="1:10" ht="15">
      <c r="A19" s="46" t="s">
        <v>732</v>
      </c>
      <c r="B19" s="47" t="str">
        <f t="shared" si="0"/>
        <v>Edward Dring</v>
      </c>
      <c r="C19" s="48"/>
      <c r="D19" s="49">
        <v>29</v>
      </c>
      <c r="E19" s="49">
        <v>44</v>
      </c>
      <c r="F19" s="49"/>
      <c r="G19" s="49"/>
      <c r="H19" s="50" t="str">
        <f>IF($B19="","",IF($J19="X",B19,CONCATENATE(VLOOKUP(B19,Competitors!$A$2:$I$650,3,FALSE)," ",VLOOKUP(B19,Competitors!$A$2:$I$650,2,FALSE))))</f>
        <v>Edward Dring</v>
      </c>
      <c r="I19" s="51">
        <f t="shared" si="1"/>
        <v>2.0648148148148148E-2</v>
      </c>
      <c r="J19" t="str">
        <f t="shared" si="2"/>
        <v>X</v>
      </c>
    </row>
    <row r="20" spans="1:10" ht="15">
      <c r="A20" s="46" t="s">
        <v>691</v>
      </c>
      <c r="B20" s="47" t="str">
        <f t="shared" si="0"/>
        <v>Paul Akroyd (VTTA E.Mids)</v>
      </c>
      <c r="C20" s="48"/>
      <c r="D20" s="49"/>
      <c r="E20" s="49"/>
      <c r="F20" s="49"/>
      <c r="G20" s="49" t="s">
        <v>553</v>
      </c>
      <c r="H20" s="50" t="str">
        <f>IF($B20="","",IF($J20="X",B20,CONCATENATE(VLOOKUP(B20,Competitors!$A$2:$I$650,3,FALSE)," ",VLOOKUP(B20,Competitors!$A$2:$I$650,2,FALSE))))</f>
        <v>Paul Akroyd (VTTA E.Mids)</v>
      </c>
      <c r="I20" s="51">
        <f t="shared" si="1"/>
        <v>0</v>
      </c>
      <c r="J20" t="str">
        <f t="shared" si="2"/>
        <v>X</v>
      </c>
    </row>
    <row r="21" spans="1:10" ht="15">
      <c r="A21" s="46" t="s">
        <v>614</v>
      </c>
      <c r="B21" s="47">
        <f t="shared" si="0"/>
        <v>1391</v>
      </c>
      <c r="C21" s="48"/>
      <c r="D21" s="49">
        <v>25</v>
      </c>
      <c r="E21" s="49">
        <v>49</v>
      </c>
      <c r="F21" s="49" t="s">
        <v>544</v>
      </c>
      <c r="G21" s="49"/>
      <c r="H21" s="50" t="str">
        <f>IF($B21="","",IF($J21="X",B21,CONCATENATE(VLOOKUP(B21,Competitors!$A$2:$I$650,3,FALSE)," ",VLOOKUP(B21,Competitors!$A$2:$I$650,2,FALSE))))</f>
        <v>Leah Cuthbertson</v>
      </c>
      <c r="I21" s="51">
        <f t="shared" si="1"/>
        <v>1.7928240740740741E-2</v>
      </c>
      <c r="J21" t="str">
        <f t="shared" si="2"/>
        <v/>
      </c>
    </row>
    <row r="22" spans="1:10" ht="15">
      <c r="A22" s="46" t="s">
        <v>787</v>
      </c>
      <c r="B22" s="47" t="str">
        <f t="shared" si="0"/>
        <v>Harriet Hughes (Beeston CC) (LFCC)</v>
      </c>
      <c r="C22" s="48"/>
      <c r="D22" s="49">
        <v>30</v>
      </c>
      <c r="E22" s="49">
        <v>23</v>
      </c>
      <c r="F22" s="49"/>
      <c r="G22" s="49"/>
      <c r="H22" s="50" t="str">
        <f>IF($B22="","",IF($J22="X",B22,CONCATENATE(VLOOKUP(B22,Competitors!$A$2:$I$650,3,FALSE)," ",VLOOKUP(B22,Competitors!$A$2:$I$650,2,FALSE))))</f>
        <v>Harriet Hughes (Beeston CC) (LFCC)</v>
      </c>
      <c r="I22" s="51">
        <f t="shared" si="1"/>
        <v>2.1099537037037038E-2</v>
      </c>
      <c r="J22" t="str">
        <f t="shared" si="2"/>
        <v>X</v>
      </c>
    </row>
    <row r="23" spans="1:10" ht="15">
      <c r="A23" s="46" t="s">
        <v>592</v>
      </c>
      <c r="B23" s="47">
        <f t="shared" si="0"/>
        <v>1390</v>
      </c>
      <c r="C23" s="48"/>
      <c r="D23" s="49">
        <v>25</v>
      </c>
      <c r="E23" s="49">
        <v>28</v>
      </c>
      <c r="F23" s="49" t="s">
        <v>544</v>
      </c>
      <c r="G23" s="49"/>
      <c r="H23" s="50" t="str">
        <f>IF($B23="","",IF($J23="X",B23,CONCATENATE(VLOOKUP(B23,Competitors!$A$2:$I$650,3,FALSE)," ",VLOOKUP(B23,Competitors!$A$2:$I$650,2,FALSE))))</f>
        <v>Diego Patteri</v>
      </c>
      <c r="I23" s="51">
        <f t="shared" si="1"/>
        <v>1.7685185185185186E-2</v>
      </c>
      <c r="J23" t="str">
        <f t="shared" si="2"/>
        <v/>
      </c>
    </row>
    <row r="24" spans="1:10" ht="15">
      <c r="A24" s="46" t="s">
        <v>734</v>
      </c>
      <c r="B24" s="47" t="str">
        <f t="shared" si="0"/>
        <v>Tayyib Farook</v>
      </c>
      <c r="C24" s="48"/>
      <c r="D24" s="49"/>
      <c r="E24" s="49"/>
      <c r="F24" s="49"/>
      <c r="G24" s="49" t="s">
        <v>553</v>
      </c>
      <c r="H24" s="50" t="str">
        <f>IF($B24="","",IF($J24="X",B24,CONCATENATE(VLOOKUP(B24,Competitors!$A$2:$I$650,3,FALSE)," ",VLOOKUP(B24,Competitors!$A$2:$I$650,2,FALSE))))</f>
        <v>Tayyib Farook</v>
      </c>
      <c r="I24" s="51">
        <f t="shared" si="1"/>
        <v>0</v>
      </c>
      <c r="J24" t="str">
        <f t="shared" si="2"/>
        <v>X</v>
      </c>
    </row>
    <row r="25" spans="1:10" ht="15">
      <c r="A25" s="46" t="s">
        <v>434</v>
      </c>
      <c r="B25" s="47">
        <f t="shared" si="0"/>
        <v>1419</v>
      </c>
      <c r="C25" s="48"/>
      <c r="D25" s="49"/>
      <c r="E25" s="49"/>
      <c r="F25" s="49" t="s">
        <v>593</v>
      </c>
      <c r="G25" s="49" t="s">
        <v>553</v>
      </c>
      <c r="H25" s="50" t="str">
        <f>IF($B25="","",IF($J25="X",B25,CONCATENATE(VLOOKUP(B25,Competitors!$A$2:$I$650,3,FALSE)," ",VLOOKUP(B25,Competitors!$A$2:$I$650,2,FALSE))))</f>
        <v>Ethan Marsh</v>
      </c>
      <c r="I25" s="51">
        <f t="shared" si="1"/>
        <v>0</v>
      </c>
      <c r="J25" t="str">
        <f t="shared" si="2"/>
        <v/>
      </c>
    </row>
    <row r="26" spans="1:10" ht="15">
      <c r="A26" s="46" t="s">
        <v>629</v>
      </c>
      <c r="B26" s="47" t="str">
        <f t="shared" si="0"/>
        <v>Jeff Jones (LFCC)</v>
      </c>
      <c r="C26" s="48"/>
      <c r="D26" s="49">
        <v>35</v>
      </c>
      <c r="E26" s="49">
        <v>53</v>
      </c>
      <c r="F26" s="49"/>
      <c r="G26" s="49"/>
      <c r="H26" s="50" t="str">
        <f>IF($B26="","",IF($J26="X",B26,CONCATENATE(VLOOKUP(B26,Competitors!$A$2:$I$650,3,FALSE)," ",VLOOKUP(B26,Competitors!$A$2:$I$650,2,FALSE))))</f>
        <v>Jeff Jones (LFCC)</v>
      </c>
      <c r="I26" s="51">
        <f t="shared" si="1"/>
        <v>2.4918981481481483E-2</v>
      </c>
      <c r="J26" t="str">
        <f t="shared" si="2"/>
        <v>X</v>
      </c>
    </row>
    <row r="27" spans="1:10" ht="15">
      <c r="A27" s="46" t="s">
        <v>631</v>
      </c>
      <c r="B27" s="47" t="str">
        <f t="shared" si="0"/>
        <v>Simon Jones (LFCC)</v>
      </c>
      <c r="C27" s="48"/>
      <c r="D27" s="49">
        <v>30</v>
      </c>
      <c r="E27" s="49">
        <v>36</v>
      </c>
      <c r="F27" s="49"/>
      <c r="G27" s="49"/>
      <c r="H27" s="50" t="str">
        <f>IF($B27="","",IF($J27="X",B27,CONCATENATE(VLOOKUP(B27,Competitors!$A$2:$I$650,3,FALSE)," ",VLOOKUP(B27,Competitors!$A$2:$I$650,2,FALSE))))</f>
        <v>Simon Jones (LFCC)</v>
      </c>
      <c r="I27" s="51">
        <f t="shared" si="1"/>
        <v>2.1250000000000002E-2</v>
      </c>
      <c r="J27" t="str">
        <f t="shared" si="2"/>
        <v>X</v>
      </c>
    </row>
    <row r="28" spans="1:10" ht="15">
      <c r="A28" s="46" t="s">
        <v>715</v>
      </c>
      <c r="B28" s="47" t="str">
        <f t="shared" si="0"/>
        <v>Josh Jones (LFCC)</v>
      </c>
      <c r="C28" s="48"/>
      <c r="D28" s="49">
        <v>29</v>
      </c>
      <c r="E28" s="49">
        <v>16</v>
      </c>
      <c r="F28" s="49"/>
      <c r="G28" s="49"/>
      <c r="H28" s="50" t="str">
        <f>IF($B28="","",IF($J28="X",B28,CONCATENATE(VLOOKUP(B28,Competitors!$A$2:$I$650,3,FALSE)," ",VLOOKUP(B28,Competitors!$A$2:$I$650,2,FALSE))))</f>
        <v>Josh Jones (LFCC)</v>
      </c>
      <c r="I28" s="51">
        <f t="shared" si="1"/>
        <v>2.0324074074074074E-2</v>
      </c>
      <c r="J28" t="str">
        <f t="shared" si="2"/>
        <v>X</v>
      </c>
    </row>
    <row r="29" spans="1:10" ht="15">
      <c r="A29" s="46" t="s">
        <v>735</v>
      </c>
      <c r="B29" s="47" t="str">
        <f t="shared" si="0"/>
        <v>Juraj Rys (MOCC)</v>
      </c>
      <c r="C29" s="48"/>
      <c r="D29" s="49">
        <v>25</v>
      </c>
      <c r="E29" s="49">
        <v>29</v>
      </c>
      <c r="F29" s="49"/>
      <c r="G29" s="49"/>
      <c r="H29" s="50" t="str">
        <f>IF($B29="","",IF($J29="X",B29,CONCATENATE(VLOOKUP(B29,Competitors!$A$2:$I$650,3,FALSE)," ",VLOOKUP(B29,Competitors!$A$2:$I$650,2,FALSE))))</f>
        <v>Juraj Rys (MOCC)</v>
      </c>
      <c r="I29" s="51">
        <f t="shared" si="1"/>
        <v>1.7696759259259259E-2</v>
      </c>
      <c r="J29" t="str">
        <f t="shared" si="2"/>
        <v>X</v>
      </c>
    </row>
    <row r="30" spans="1:10" ht="15">
      <c r="A30" s="46" t="s">
        <v>653</v>
      </c>
      <c r="B30" s="47" t="str">
        <f t="shared" si="0"/>
        <v>Brigitte Gaillard (Ratae)</v>
      </c>
      <c r="C30" s="48"/>
      <c r="D30" s="49">
        <v>33</v>
      </c>
      <c r="E30" s="49">
        <v>14</v>
      </c>
      <c r="F30" s="49"/>
      <c r="G30" s="49"/>
      <c r="H30" s="50" t="str">
        <f>IF($B30="","",IF($J30="X",B30,CONCATENATE(VLOOKUP(B30,Competitors!$A$2:$I$650,3,FALSE)," ",VLOOKUP(B30,Competitors!$A$2:$I$650,2,FALSE))))</f>
        <v>Brigitte Gaillard (Ratae)</v>
      </c>
      <c r="I30" s="51">
        <f t="shared" si="1"/>
        <v>2.3078703703703702E-2</v>
      </c>
      <c r="J30" t="str">
        <f t="shared" si="2"/>
        <v>X</v>
      </c>
    </row>
    <row r="31" spans="1:10" ht="15">
      <c r="A31" s="46"/>
      <c r="B31" s="47" t="str">
        <f t="shared" si="0"/>
        <v/>
      </c>
      <c r="C31" s="48"/>
      <c r="D31" s="49"/>
      <c r="E31" s="49"/>
      <c r="F31" s="49"/>
      <c r="G31" s="49"/>
      <c r="H31" s="50" t="str">
        <f>IF($B31="","",IF($J31="X",B31,CONCATENATE(VLOOKUP(B31,Competitors!$A$2:$I$650,3,FALSE)," ",VLOOKUP(B31,Competitors!$A$2:$I$650,2,FALSE))))</f>
        <v/>
      </c>
      <c r="I31" s="51">
        <f t="shared" si="1"/>
        <v>0</v>
      </c>
      <c r="J31" t="str">
        <f t="shared" si="2"/>
        <v/>
      </c>
    </row>
    <row r="32" spans="1:10" ht="15">
      <c r="A32" s="46"/>
      <c r="B32" s="47" t="str">
        <f t="shared" si="0"/>
        <v/>
      </c>
      <c r="C32" s="48"/>
      <c r="D32" s="49"/>
      <c r="E32" s="49"/>
      <c r="F32" s="49"/>
      <c r="G32" s="49"/>
      <c r="H32" s="50" t="str">
        <f>IF($B32="","",IF($J32="X",B32,CONCATENATE(VLOOKUP(B32,Competitors!$A$2:$I$650,3,FALSE)," ",VLOOKUP(B32,Competitors!$A$2:$I$650,2,FALSE))))</f>
        <v/>
      </c>
      <c r="I32" s="51">
        <f t="shared" si="1"/>
        <v>0</v>
      </c>
      <c r="J32" t="str">
        <f t="shared" si="2"/>
        <v/>
      </c>
    </row>
    <row r="33" spans="1:10" ht="15">
      <c r="A33" s="46"/>
      <c r="B33" s="47" t="str">
        <f t="shared" si="0"/>
        <v/>
      </c>
      <c r="C33" s="48"/>
      <c r="D33" s="49"/>
      <c r="E33" s="49"/>
      <c r="F33" s="49"/>
      <c r="G33" s="49"/>
      <c r="H33" s="50" t="str">
        <f>IF($B33="","",IF($J33="X",B33,CONCATENATE(VLOOKUP(B33,Competitors!$A$2:$I$650,3,FALSE)," ",VLOOKUP(B33,Competitors!$A$2:$I$650,2,FALSE))))</f>
        <v/>
      </c>
      <c r="I33" s="51">
        <f t="shared" si="1"/>
        <v>0</v>
      </c>
      <c r="J33" t="str">
        <f t="shared" si="2"/>
        <v/>
      </c>
    </row>
    <row r="34" spans="1:10" ht="15">
      <c r="A34" s="46"/>
      <c r="B34" s="47" t="str">
        <f t="shared" ref="B34:B97" si="3">IF(A34="","",_xlfn.XLOOKUP(A34,ClubNames,ClubNumbers,_xlfn.XLOOKUP(A34,RoundRobinRiderNames,RoundRobinRiderDecoratedNames,A34)))</f>
        <v/>
      </c>
      <c r="C34" s="48"/>
      <c r="D34" s="49"/>
      <c r="E34" s="49"/>
      <c r="F34" s="49"/>
      <c r="G34" s="49"/>
      <c r="H34" s="50" t="str">
        <f>IF($B34="","",IF($J34="X",B34,CONCATENATE(VLOOKUP(B34,Competitors!$A$2:$I$650,3,FALSE)," ",VLOOKUP(B34,Competitors!$A$2:$I$650,2,FALSE))))</f>
        <v/>
      </c>
      <c r="I34" s="51">
        <f t="shared" si="1"/>
        <v>0</v>
      </c>
      <c r="J34" t="str">
        <f t="shared" si="2"/>
        <v/>
      </c>
    </row>
    <row r="35" spans="1:10" ht="15">
      <c r="A35" s="46"/>
      <c r="B35" s="47" t="str">
        <f t="shared" si="3"/>
        <v/>
      </c>
      <c r="C35" s="48"/>
      <c r="D35" s="49"/>
      <c r="E35" s="49"/>
      <c r="F35" s="49"/>
      <c r="G35" s="49"/>
      <c r="H35" s="50" t="str">
        <f>IF($B35="","",IF($J35="X",B35,CONCATENATE(VLOOKUP(B35,Competitors!$A$2:$I$650,3,FALSE)," ",VLOOKUP(B35,Competitors!$A$2:$I$650,2,FALSE))))</f>
        <v/>
      </c>
      <c r="I35" s="51">
        <f t="shared" si="1"/>
        <v>0</v>
      </c>
      <c r="J35" t="str">
        <f t="shared" si="2"/>
        <v/>
      </c>
    </row>
    <row r="36" spans="1:10" ht="15">
      <c r="A36" s="46"/>
      <c r="B36" s="47" t="str">
        <f t="shared" si="3"/>
        <v/>
      </c>
      <c r="C36" s="48"/>
      <c r="D36" s="49"/>
      <c r="E36" s="49"/>
      <c r="F36" s="49"/>
      <c r="G36" s="49"/>
      <c r="H36" s="50" t="str">
        <f>IF($B36="","",IF($J36="X",B36,CONCATENATE(VLOOKUP(B36,Competitors!$A$2:$I$650,3,FALSE)," ",VLOOKUP(B36,Competitors!$A$2:$I$650,2,FALSE))))</f>
        <v/>
      </c>
      <c r="I36" s="51">
        <f t="shared" si="1"/>
        <v>0</v>
      </c>
      <c r="J36" t="str">
        <f t="shared" si="2"/>
        <v/>
      </c>
    </row>
    <row r="37" spans="1:10" ht="15">
      <c r="A37" s="46"/>
      <c r="B37" s="47" t="str">
        <f t="shared" si="3"/>
        <v/>
      </c>
      <c r="C37" s="48"/>
      <c r="D37" s="49"/>
      <c r="E37" s="49"/>
      <c r="F37" s="49"/>
      <c r="G37" s="49"/>
      <c r="H37" s="50" t="str">
        <f>IF($B37="","",IF($J37="X",B37,CONCATENATE(VLOOKUP(B37,Competitors!$A$2:$I$650,3,FALSE)," ",VLOOKUP(B37,Competitors!$A$2:$I$650,2,FALSE))))</f>
        <v/>
      </c>
      <c r="I37" s="51">
        <f t="shared" si="1"/>
        <v>0</v>
      </c>
      <c r="J37" t="str">
        <f t="shared" si="2"/>
        <v/>
      </c>
    </row>
    <row r="38" spans="1:10" ht="15">
      <c r="A38" s="46"/>
      <c r="B38" s="47" t="str">
        <f t="shared" si="3"/>
        <v/>
      </c>
      <c r="C38" s="48"/>
      <c r="D38" s="49"/>
      <c r="E38" s="49"/>
      <c r="F38" s="49"/>
      <c r="G38" s="49"/>
      <c r="H38" s="50" t="str">
        <f>IF($B38="","",IF($J38="X",B38,CONCATENATE(VLOOKUP(B38,Competitors!$A$2:$I$650,3,FALSE)," ",VLOOKUP(B38,Competitors!$A$2:$I$650,2,FALSE))))</f>
        <v/>
      </c>
      <c r="I38" s="51">
        <f t="shared" si="1"/>
        <v>0</v>
      </c>
      <c r="J38" t="str">
        <f t="shared" si="2"/>
        <v/>
      </c>
    </row>
    <row r="39" spans="1:10" ht="15">
      <c r="A39" s="46"/>
      <c r="B39" s="47" t="str">
        <f t="shared" si="3"/>
        <v/>
      </c>
      <c r="C39" s="48"/>
      <c r="D39" s="49"/>
      <c r="E39" s="49"/>
      <c r="F39" s="49"/>
      <c r="G39" s="49"/>
      <c r="H39" s="50" t="str">
        <f>IF($B39="","",IF($J39="X",B39,CONCATENATE(VLOOKUP(B39,Competitors!$A$2:$I$650,3,FALSE)," ",VLOOKUP(B39,Competitors!$A$2:$I$650,2,FALSE))))</f>
        <v/>
      </c>
      <c r="I39" s="51">
        <f t="shared" si="1"/>
        <v>0</v>
      </c>
      <c r="J39" t="str">
        <f t="shared" si="2"/>
        <v/>
      </c>
    </row>
    <row r="40" spans="1:10" ht="15">
      <c r="A40" s="46"/>
      <c r="B40" s="47" t="str">
        <f t="shared" si="3"/>
        <v/>
      </c>
      <c r="C40" s="48"/>
      <c r="D40" s="49"/>
      <c r="E40" s="49"/>
      <c r="F40" s="49"/>
      <c r="G40" s="49"/>
      <c r="H40" s="50" t="str">
        <f>IF($B40="","",IF($J40="X",B40,CONCATENATE(VLOOKUP(B40,Competitors!$A$2:$I$650,3,FALSE)," ",VLOOKUP(B40,Competitors!$A$2:$I$650,2,FALSE))))</f>
        <v/>
      </c>
      <c r="I40" s="51">
        <f t="shared" si="1"/>
        <v>0</v>
      </c>
      <c r="J40" t="str">
        <f t="shared" si="2"/>
        <v/>
      </c>
    </row>
    <row r="41" spans="1:10" ht="15">
      <c r="A41" s="46"/>
      <c r="B41" s="47" t="str">
        <f t="shared" si="3"/>
        <v/>
      </c>
      <c r="C41" s="48"/>
      <c r="D41" s="49"/>
      <c r="E41" s="49"/>
      <c r="F41" s="49"/>
      <c r="G41" s="49"/>
      <c r="H41" s="50" t="str">
        <f>IF($B41="","",IF($J41="X",B41,CONCATENATE(VLOOKUP(B41,Competitors!$A$2:$I$650,3,FALSE)," ",VLOOKUP(B41,Competitors!$A$2:$I$650,2,FALSE))))</f>
        <v/>
      </c>
      <c r="I41" s="51">
        <f t="shared" si="1"/>
        <v>0</v>
      </c>
      <c r="J41" t="str">
        <f t="shared" si="2"/>
        <v/>
      </c>
    </row>
    <row r="42" spans="1:10" ht="15">
      <c r="A42" s="46"/>
      <c r="B42" s="47" t="str">
        <f t="shared" si="3"/>
        <v/>
      </c>
      <c r="C42" s="48"/>
      <c r="D42" s="49"/>
      <c r="E42" s="49"/>
      <c r="F42" s="49"/>
      <c r="G42" s="49"/>
      <c r="H42" s="50" t="str">
        <f>IF($B42="","",IF($J42="X",B42,CONCATENATE(VLOOKUP(B42,Competitors!$A$2:$I$650,3,FALSE)," ",VLOOKUP(B42,Competitors!$A$2:$I$650,2,FALSE))))</f>
        <v/>
      </c>
      <c r="I42" s="51">
        <f t="shared" si="1"/>
        <v>0</v>
      </c>
      <c r="J42" t="str">
        <f t="shared" si="2"/>
        <v/>
      </c>
    </row>
    <row r="43" spans="1:10" ht="15">
      <c r="A43" s="46"/>
      <c r="B43" s="47" t="str">
        <f t="shared" si="3"/>
        <v/>
      </c>
      <c r="C43" s="48"/>
      <c r="D43" s="49"/>
      <c r="E43" s="49"/>
      <c r="F43" s="49"/>
      <c r="G43" s="49"/>
      <c r="H43" s="50" t="str">
        <f>IF($B43="","",IF($J43="X",B43,CONCATENATE(VLOOKUP(B43,Competitors!$A$2:$I$650,3,FALSE)," ",VLOOKUP(B43,Competitors!$A$2:$I$650,2,FALSE))))</f>
        <v/>
      </c>
      <c r="I43" s="51">
        <f t="shared" si="1"/>
        <v>0</v>
      </c>
      <c r="J43" t="str">
        <f t="shared" si="2"/>
        <v/>
      </c>
    </row>
    <row r="44" spans="1:10" ht="15">
      <c r="A44" s="46"/>
      <c r="B44" s="47" t="str">
        <f t="shared" si="3"/>
        <v/>
      </c>
      <c r="C44" s="48"/>
      <c r="D44" s="49"/>
      <c r="E44" s="49"/>
      <c r="F44" s="49"/>
      <c r="G44" s="49"/>
      <c r="H44" s="50" t="str">
        <f>IF($B44="","",IF($J44="X",B44,CONCATENATE(VLOOKUP(B44,Competitors!$A$2:$I$650,3,FALSE)," ",VLOOKUP(B44,Competitors!$A$2:$I$650,2,FALSE))))</f>
        <v/>
      </c>
      <c r="I44" s="51">
        <f t="shared" si="1"/>
        <v>0</v>
      </c>
      <c r="J44" t="str">
        <f t="shared" si="2"/>
        <v/>
      </c>
    </row>
    <row r="45" spans="1:10" ht="15">
      <c r="A45" s="46"/>
      <c r="B45" s="47" t="str">
        <f t="shared" si="3"/>
        <v/>
      </c>
      <c r="C45" s="48"/>
      <c r="D45" s="49"/>
      <c r="E45" s="49"/>
      <c r="F45" s="49"/>
      <c r="G45" s="49"/>
      <c r="H45" s="50" t="str">
        <f>IF($B45="","",IF($J45="X",B45,CONCATENATE(VLOOKUP(B45,Competitors!$A$2:$I$650,3,FALSE)," ",VLOOKUP(B45,Competitors!$A$2:$I$650,2,FALSE))))</f>
        <v/>
      </c>
      <c r="I45" s="51">
        <f t="shared" si="1"/>
        <v>0</v>
      </c>
      <c r="J45" t="str">
        <f t="shared" si="2"/>
        <v/>
      </c>
    </row>
    <row r="46" spans="1:10" ht="15">
      <c r="A46" s="46"/>
      <c r="B46" s="47" t="str">
        <f t="shared" si="3"/>
        <v/>
      </c>
      <c r="C46" s="48"/>
      <c r="D46" s="49"/>
      <c r="E46" s="49"/>
      <c r="F46" s="49"/>
      <c r="G46" s="49"/>
      <c r="H46" s="50" t="str">
        <f>IF($B46="","",IF($J46="X",B46,CONCATENATE(VLOOKUP(B46,Competitors!$A$2:$I$650,3,FALSE)," ",VLOOKUP(B46,Competitors!$A$2:$I$650,2,FALSE))))</f>
        <v/>
      </c>
      <c r="I46" s="51">
        <f t="shared" si="1"/>
        <v>0</v>
      </c>
      <c r="J46" t="str">
        <f t="shared" si="2"/>
        <v/>
      </c>
    </row>
    <row r="47" spans="1:10" ht="15">
      <c r="A47" s="46"/>
      <c r="B47" s="47" t="str">
        <f t="shared" si="3"/>
        <v/>
      </c>
      <c r="C47" s="48"/>
      <c r="D47" s="49"/>
      <c r="E47" s="49"/>
      <c r="F47" s="49"/>
      <c r="G47" s="49"/>
      <c r="H47" s="50" t="str">
        <f>IF($B47="","",IF($J47="X",B47,CONCATENATE(VLOOKUP(B47,Competitors!$A$2:$I$650,3,FALSE)," ",VLOOKUP(B47,Competitors!$A$2:$I$650,2,FALSE))))</f>
        <v/>
      </c>
      <c r="I47" s="51">
        <f t="shared" si="1"/>
        <v>0</v>
      </c>
      <c r="J47" t="str">
        <f t="shared" si="2"/>
        <v/>
      </c>
    </row>
    <row r="48" spans="1:10" ht="15">
      <c r="A48" s="46"/>
      <c r="B48" s="47" t="str">
        <f t="shared" si="3"/>
        <v/>
      </c>
      <c r="C48" s="48"/>
      <c r="D48" s="49"/>
      <c r="E48" s="49"/>
      <c r="F48" s="49"/>
      <c r="G48" s="49"/>
      <c r="H48" s="50" t="str">
        <f>IF($B48="","",IF($J48="X",B48,CONCATENATE(VLOOKUP(B48,Competitors!$A$2:$I$650,3,FALSE)," ",VLOOKUP(B48,Competitors!$A$2:$I$650,2,FALSE))))</f>
        <v/>
      </c>
      <c r="I48" s="51">
        <f t="shared" si="1"/>
        <v>0</v>
      </c>
      <c r="J48" t="str">
        <f t="shared" si="2"/>
        <v/>
      </c>
    </row>
    <row r="49" spans="1:10" ht="15">
      <c r="A49" s="46"/>
      <c r="B49" s="47" t="str">
        <f t="shared" si="3"/>
        <v/>
      </c>
      <c r="C49" s="48"/>
      <c r="D49" s="49"/>
      <c r="E49" s="49"/>
      <c r="F49" s="49"/>
      <c r="G49" s="49"/>
      <c r="H49" s="50" t="str">
        <f>IF($B49="","",IF($J49="X",B49,CONCATENATE(VLOOKUP(B49,Competitors!$A$2:$I$650,3,FALSE)," ",VLOOKUP(B49,Competitors!$A$2:$I$650,2,FALSE))))</f>
        <v/>
      </c>
      <c r="I49" s="51">
        <f t="shared" si="1"/>
        <v>0</v>
      </c>
      <c r="J49" t="str">
        <f t="shared" si="2"/>
        <v/>
      </c>
    </row>
    <row r="50" spans="1:10" ht="15">
      <c r="A50" s="46"/>
      <c r="B50" s="47" t="str">
        <f t="shared" si="3"/>
        <v/>
      </c>
      <c r="C50" s="48"/>
      <c r="D50" s="49"/>
      <c r="E50" s="49"/>
      <c r="F50" s="49"/>
      <c r="G50" s="49"/>
      <c r="H50" s="50" t="str">
        <f>IF($B50="","",IF($J50="X",B50,CONCATENATE(VLOOKUP(B50,Competitors!$A$2:$I$650,3,FALSE)," ",VLOOKUP(B50,Competitors!$A$2:$I$650,2,FALSE))))</f>
        <v/>
      </c>
      <c r="I50" s="51">
        <f t="shared" si="1"/>
        <v>0</v>
      </c>
      <c r="J50" t="str">
        <f t="shared" si="2"/>
        <v/>
      </c>
    </row>
    <row r="51" spans="1:10" ht="15">
      <c r="A51" s="46"/>
      <c r="B51" s="47" t="str">
        <f t="shared" si="3"/>
        <v/>
      </c>
      <c r="C51" s="48"/>
      <c r="D51" s="49"/>
      <c r="E51" s="49"/>
      <c r="F51" s="49"/>
      <c r="G51" s="49"/>
      <c r="H51" s="50" t="str">
        <f>IF($B51="","",IF($J51="X",B51,CONCATENATE(VLOOKUP(B51,Competitors!$A$2:$I$650,3,FALSE)," ",VLOOKUP(B51,Competitors!$A$2:$I$650,2,FALSE))))</f>
        <v/>
      </c>
      <c r="I51" s="51">
        <f t="shared" si="1"/>
        <v>0</v>
      </c>
      <c r="J51" t="str">
        <f t="shared" si="2"/>
        <v/>
      </c>
    </row>
    <row r="52" spans="1:10" ht="15">
      <c r="A52" s="46"/>
      <c r="B52" s="47" t="str">
        <f t="shared" si="3"/>
        <v/>
      </c>
      <c r="C52" s="48"/>
      <c r="D52" s="49"/>
      <c r="E52" s="49"/>
      <c r="F52" s="49"/>
      <c r="G52" s="49"/>
      <c r="H52" s="50" t="str">
        <f>IF($B52="","",IF($J52="X",B52,CONCATENATE(VLOOKUP(B52,Competitors!$A$2:$I$650,3,FALSE)," ",VLOOKUP(B52,Competitors!$A$2:$I$650,2,FALSE))))</f>
        <v/>
      </c>
      <c r="I52" s="51">
        <f t="shared" si="1"/>
        <v>0</v>
      </c>
      <c r="J52" t="str">
        <f t="shared" si="2"/>
        <v/>
      </c>
    </row>
    <row r="53" spans="1:10" ht="15">
      <c r="A53" s="46"/>
      <c r="B53" s="47" t="str">
        <f t="shared" si="3"/>
        <v/>
      </c>
      <c r="C53" s="48"/>
      <c r="D53" s="49"/>
      <c r="E53" s="49"/>
      <c r="F53" s="49"/>
      <c r="G53" s="49"/>
      <c r="H53" s="50" t="str">
        <f>IF($B53="","",IF($J53="X",B53,CONCATENATE(VLOOKUP(B53,Competitors!$A$2:$I$650,3,FALSE)," ",VLOOKUP(B53,Competitors!$A$2:$I$650,2,FALSE))))</f>
        <v/>
      </c>
      <c r="I53" s="51">
        <f t="shared" si="1"/>
        <v>0</v>
      </c>
      <c r="J53" t="str">
        <f t="shared" si="2"/>
        <v/>
      </c>
    </row>
    <row r="54" spans="1:10" ht="15">
      <c r="A54" s="46"/>
      <c r="B54" s="47" t="str">
        <f t="shared" si="3"/>
        <v/>
      </c>
      <c r="C54" s="48"/>
      <c r="D54" s="49"/>
      <c r="E54" s="49"/>
      <c r="F54" s="49"/>
      <c r="G54" s="49"/>
      <c r="H54" s="50" t="str">
        <f>IF($B54="","",IF($J54="X",B54,CONCATENATE(VLOOKUP(B54,Competitors!$A$2:$I$650,3,FALSE)," ",VLOOKUP(B54,Competitors!$A$2:$I$650,2,FALSE))))</f>
        <v/>
      </c>
      <c r="I54" s="51">
        <f t="shared" si="1"/>
        <v>0</v>
      </c>
      <c r="J54" t="str">
        <f t="shared" si="2"/>
        <v/>
      </c>
    </row>
    <row r="55" spans="1:10" ht="15">
      <c r="A55" s="46"/>
      <c r="B55" s="47" t="str">
        <f t="shared" si="3"/>
        <v/>
      </c>
      <c r="C55" s="48"/>
      <c r="D55" s="49"/>
      <c r="E55" s="49"/>
      <c r="F55" s="49"/>
      <c r="G55" s="49"/>
      <c r="H55" s="50" t="str">
        <f>IF($B55="","",IF($J55="X",B55,CONCATENATE(VLOOKUP(B55,Competitors!$A$2:$I$650,3,FALSE)," ",VLOOKUP(B55,Competitors!$A$2:$I$650,2,FALSE))))</f>
        <v/>
      </c>
      <c r="I55" s="51">
        <f t="shared" si="1"/>
        <v>0</v>
      </c>
      <c r="J55" t="str">
        <f t="shared" si="2"/>
        <v/>
      </c>
    </row>
    <row r="56" spans="1:10" ht="15">
      <c r="A56" s="46"/>
      <c r="B56" s="47" t="str">
        <f t="shared" si="3"/>
        <v/>
      </c>
      <c r="C56" s="48"/>
      <c r="D56" s="49"/>
      <c r="E56" s="49"/>
      <c r="F56" s="49"/>
      <c r="G56" s="49"/>
      <c r="H56" s="50" t="str">
        <f>IF($B56="","",IF($J56="X",B56,CONCATENATE(VLOOKUP(B56,Competitors!$A$2:$I$650,3,FALSE)," ",VLOOKUP(B56,Competitors!$A$2:$I$650,2,FALSE))))</f>
        <v/>
      </c>
      <c r="I56" s="51">
        <f t="shared" si="1"/>
        <v>0</v>
      </c>
      <c r="J56" t="str">
        <f t="shared" si="2"/>
        <v/>
      </c>
    </row>
    <row r="57" spans="1:10" ht="15">
      <c r="A57" s="46"/>
      <c r="B57" s="47" t="str">
        <f t="shared" si="3"/>
        <v/>
      </c>
      <c r="C57" s="48"/>
      <c r="D57" s="49"/>
      <c r="E57" s="49"/>
      <c r="F57" s="49"/>
      <c r="G57" s="49"/>
      <c r="H57" s="50" t="str">
        <f>IF($B57="","",IF($J57="X",B57,CONCATENATE(VLOOKUP(B57,Competitors!$A$2:$I$650,3,FALSE)," ",VLOOKUP(B57,Competitors!$A$2:$I$650,2,FALSE))))</f>
        <v/>
      </c>
      <c r="I57" s="51">
        <f t="shared" si="1"/>
        <v>0</v>
      </c>
      <c r="J57" t="str">
        <f t="shared" si="2"/>
        <v/>
      </c>
    </row>
    <row r="58" spans="1:10" ht="15">
      <c r="A58" s="46"/>
      <c r="B58" s="47" t="str">
        <f t="shared" si="3"/>
        <v/>
      </c>
      <c r="C58" s="48"/>
      <c r="D58" s="49"/>
      <c r="E58" s="49"/>
      <c r="F58" s="49"/>
      <c r="G58" s="49"/>
      <c r="H58" s="50" t="str">
        <f>IF($B58="","",IF($J58="X",B58,CONCATENATE(VLOOKUP(B58,Competitors!$A$2:$I$650,3,FALSE)," ",VLOOKUP(B58,Competitors!$A$2:$I$650,2,FALSE))))</f>
        <v/>
      </c>
      <c r="I58" s="51">
        <f t="shared" si="1"/>
        <v>0</v>
      </c>
      <c r="J58" t="str">
        <f t="shared" si="2"/>
        <v/>
      </c>
    </row>
    <row r="59" spans="1:10" ht="15">
      <c r="A59" s="46"/>
      <c r="B59" s="47" t="str">
        <f t="shared" si="3"/>
        <v/>
      </c>
      <c r="C59" s="48"/>
      <c r="D59" s="49"/>
      <c r="E59" s="49"/>
      <c r="F59" s="49"/>
      <c r="G59" s="49"/>
      <c r="H59" s="50" t="str">
        <f>IF($B59="","",IF($J59="X",B59,CONCATENATE(VLOOKUP(B59,Competitors!$A$2:$I$650,3,FALSE)," ",VLOOKUP(B59,Competitors!$A$2:$I$650,2,FALSE))))</f>
        <v/>
      </c>
      <c r="I59" s="51">
        <f t="shared" si="1"/>
        <v>0</v>
      </c>
      <c r="J59" t="str">
        <f t="shared" si="2"/>
        <v/>
      </c>
    </row>
    <row r="60" spans="1:10" ht="15">
      <c r="A60" s="46"/>
      <c r="B60" s="47" t="str">
        <f t="shared" si="3"/>
        <v/>
      </c>
      <c r="C60" s="48"/>
      <c r="D60" s="49"/>
      <c r="E60" s="49"/>
      <c r="F60" s="49"/>
      <c r="G60" s="49"/>
      <c r="H60" s="50" t="str">
        <f>IF($B60="","",IF($J60="X",B60,CONCATENATE(VLOOKUP(B60,Competitors!$A$2:$I$650,3,FALSE)," ",VLOOKUP(B60,Competitors!$A$2:$I$650,2,FALSE))))</f>
        <v/>
      </c>
      <c r="I60" s="51">
        <f t="shared" si="1"/>
        <v>0</v>
      </c>
      <c r="J60" t="str">
        <f t="shared" si="2"/>
        <v/>
      </c>
    </row>
    <row r="61" spans="1:10" ht="15">
      <c r="A61" s="46"/>
      <c r="B61" s="47" t="str">
        <f t="shared" si="3"/>
        <v/>
      </c>
      <c r="C61" s="48"/>
      <c r="D61" s="49"/>
      <c r="E61" s="49"/>
      <c r="F61" s="49"/>
      <c r="G61" s="49"/>
      <c r="H61" s="50" t="str">
        <f>IF($B61="","",IF($J61="X",B61,CONCATENATE(VLOOKUP(B61,Competitors!$A$2:$I$650,3,FALSE)," ",VLOOKUP(B61,Competitors!$A$2:$I$650,2,FALSE))))</f>
        <v/>
      </c>
      <c r="I61" s="51">
        <f t="shared" si="1"/>
        <v>0</v>
      </c>
      <c r="J61" t="str">
        <f t="shared" si="2"/>
        <v/>
      </c>
    </row>
    <row r="62" spans="1:10" ht="15">
      <c r="A62" s="46"/>
      <c r="B62" s="47" t="str">
        <f t="shared" si="3"/>
        <v/>
      </c>
      <c r="C62" s="48"/>
      <c r="D62" s="49"/>
      <c r="E62" s="49"/>
      <c r="F62" s="49"/>
      <c r="G62" s="49"/>
      <c r="H62" s="50" t="str">
        <f>IF($B62="","",IF($J62="X",B62,CONCATENATE(VLOOKUP(B62,Competitors!$A$2:$I$650,3,FALSE)," ",VLOOKUP(B62,Competitors!$A$2:$I$650,2,FALSE))))</f>
        <v/>
      </c>
      <c r="I62" s="51">
        <f t="shared" si="1"/>
        <v>0</v>
      </c>
      <c r="J62" t="str">
        <f t="shared" si="2"/>
        <v/>
      </c>
    </row>
    <row r="63" spans="1:10" ht="15">
      <c r="A63" s="46"/>
      <c r="B63" s="47" t="str">
        <f t="shared" si="3"/>
        <v/>
      </c>
      <c r="C63" s="48"/>
      <c r="D63" s="49"/>
      <c r="E63" s="49"/>
      <c r="F63" s="49"/>
      <c r="G63" s="49"/>
      <c r="H63" s="50" t="str">
        <f>IF($B63="","",IF($J63="X",B63,CONCATENATE(VLOOKUP(B63,Competitors!$A$2:$I$650,3,FALSE)," ",VLOOKUP(B63,Competitors!$A$2:$I$650,2,FALSE))))</f>
        <v/>
      </c>
      <c r="I63" s="51">
        <f t="shared" si="1"/>
        <v>0</v>
      </c>
      <c r="J63" t="str">
        <f t="shared" si="2"/>
        <v/>
      </c>
    </row>
    <row r="64" spans="1:10" ht="15">
      <c r="A64" s="46"/>
      <c r="B64" s="47" t="str">
        <f t="shared" si="3"/>
        <v/>
      </c>
      <c r="C64" s="48"/>
      <c r="D64" s="49"/>
      <c r="E64" s="49"/>
      <c r="F64" s="49"/>
      <c r="G64" s="49"/>
      <c r="H64" s="50" t="str">
        <f>IF($B64="","",IF($J64="X",B64,CONCATENATE(VLOOKUP(B64,Competitors!$A$2:$I$650,3,FALSE)," ",VLOOKUP(B64,Competitors!$A$2:$I$650,2,FALSE))))</f>
        <v/>
      </c>
      <c r="I64" s="51">
        <f t="shared" si="1"/>
        <v>0</v>
      </c>
      <c r="J64" t="str">
        <f t="shared" si="2"/>
        <v/>
      </c>
    </row>
    <row r="65" spans="1:10" ht="15">
      <c r="A65" s="46"/>
      <c r="B65" s="47" t="str">
        <f t="shared" si="3"/>
        <v/>
      </c>
      <c r="C65" s="48"/>
      <c r="D65" s="49"/>
      <c r="E65" s="49"/>
      <c r="F65" s="49"/>
      <c r="G65" s="49"/>
      <c r="H65" s="50" t="str">
        <f>IF($B65="","",IF($J65="X",B65,CONCATENATE(VLOOKUP(B65,Competitors!$A$2:$I$650,3,FALSE)," ",VLOOKUP(B65,Competitors!$A$2:$I$650,2,FALSE))))</f>
        <v/>
      </c>
      <c r="I65" s="51">
        <f t="shared" si="1"/>
        <v>0</v>
      </c>
      <c r="J65" t="str">
        <f t="shared" si="2"/>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4"/>
        <v>0</v>
      </c>
      <c r="J67" t="str">
        <f t="shared" si="5"/>
        <v/>
      </c>
    </row>
    <row r="68" spans="1:10" ht="15">
      <c r="A68" s="46"/>
      <c r="B68" s="47" t="str">
        <f t="shared" si="3"/>
        <v/>
      </c>
      <c r="C68" s="48"/>
      <c r="D68" s="49"/>
      <c r="E68" s="49"/>
      <c r="F68" s="49"/>
      <c r="G68" s="49"/>
      <c r="H68" s="50" t="str">
        <f>IF($B68="","",IF($J68="X",B68,CONCATENATE(VLOOKUP(B68,Competitors!$A$2:$I$650,3,FALSE)," ",VLOOKUP(B68,Competitors!$A$2:$I$650,2,FALSE))))</f>
        <v/>
      </c>
      <c r="I68" s="51">
        <f t="shared" si="4"/>
        <v>0</v>
      </c>
      <c r="J68" t="str">
        <f t="shared" si="5"/>
        <v/>
      </c>
    </row>
    <row r="69" spans="1:10" ht="15">
      <c r="A69" s="46"/>
      <c r="B69" s="47" t="str">
        <f t="shared" si="3"/>
        <v/>
      </c>
      <c r="C69" s="48"/>
      <c r="D69" s="49"/>
      <c r="E69" s="49"/>
      <c r="F69" s="49"/>
      <c r="G69" s="49"/>
      <c r="H69" s="50" t="str">
        <f>IF($B69="","",IF($J69="X",B69,CONCATENATE(VLOOKUP(B69,Competitors!$A$2:$I$650,3,FALSE)," ",VLOOKUP(B69,Competitors!$A$2:$I$650,2,FALSE))))</f>
        <v/>
      </c>
      <c r="I69" s="51">
        <f t="shared" si="4"/>
        <v>0</v>
      </c>
      <c r="J69" t="str">
        <f t="shared" si="5"/>
        <v/>
      </c>
    </row>
    <row r="70" spans="1:10" ht="15">
      <c r="A70" s="46"/>
      <c r="B70" s="47" t="str">
        <f t="shared" si="3"/>
        <v/>
      </c>
      <c r="C70" s="48"/>
      <c r="D70" s="49"/>
      <c r="E70" s="49"/>
      <c r="F70" s="49"/>
      <c r="G70" s="49"/>
      <c r="H70" s="50" t="str">
        <f>IF($B70="","",IF($J70="X",B70,CONCATENATE(VLOOKUP(B70,Competitors!$A$2:$I$650,3,FALSE)," ",VLOOKUP(B70,Competitors!$A$2:$I$650,2,FALSE))))</f>
        <v/>
      </c>
      <c r="I70" s="51">
        <f t="shared" si="4"/>
        <v>0</v>
      </c>
      <c r="J70" t="str">
        <f t="shared" si="5"/>
        <v/>
      </c>
    </row>
    <row r="71" spans="1:10" ht="15">
      <c r="A71" s="46"/>
      <c r="B71" s="47" t="str">
        <f t="shared" si="3"/>
        <v/>
      </c>
      <c r="C71" s="48"/>
      <c r="D71" s="49"/>
      <c r="E71" s="49"/>
      <c r="F71" s="49"/>
      <c r="G71" s="49"/>
      <c r="H71" s="50" t="str">
        <f>IF($B71="","",IF($J71="X",B71,CONCATENATE(VLOOKUP(B71,Competitors!$A$2:$I$650,3,FALSE)," ",VLOOKUP(B71,Competitors!$A$2:$I$650,2,FALSE))))</f>
        <v/>
      </c>
      <c r="I71" s="51">
        <f t="shared" si="4"/>
        <v>0</v>
      </c>
      <c r="J71" t="str">
        <f t="shared" si="5"/>
        <v/>
      </c>
    </row>
    <row r="72" spans="1:10" ht="15">
      <c r="A72" s="46"/>
      <c r="B72" s="47" t="str">
        <f t="shared" si="3"/>
        <v/>
      </c>
      <c r="C72" s="48"/>
      <c r="D72" s="49"/>
      <c r="E72" s="49"/>
      <c r="F72" s="49"/>
      <c r="G72" s="49"/>
      <c r="H72" s="50" t="str">
        <f>IF($B72="","",IF($J72="X",B72,CONCATENATE(VLOOKUP(B72,Competitors!$A$2:$I$650,3,FALSE)," ",VLOOKUP(B72,Competitors!$A$2:$I$650,2,FALSE))))</f>
        <v/>
      </c>
      <c r="I72" s="51">
        <f t="shared" si="4"/>
        <v>0</v>
      </c>
      <c r="J72" t="str">
        <f t="shared" si="5"/>
        <v/>
      </c>
    </row>
    <row r="73" spans="1:10" ht="15">
      <c r="A73" s="46"/>
      <c r="B73" s="47" t="str">
        <f t="shared" si="3"/>
        <v/>
      </c>
      <c r="C73" s="48"/>
      <c r="D73" s="49"/>
      <c r="E73" s="49"/>
      <c r="F73" s="49"/>
      <c r="G73" s="49"/>
      <c r="H73" s="50" t="str">
        <f>IF($B73="","",IF($J73="X",B73,CONCATENATE(VLOOKUP(B73,Competitors!$A$2:$I$650,3,FALSE)," ",VLOOKUP(B73,Competitors!$A$2:$I$650,2,FALSE))))</f>
        <v/>
      </c>
      <c r="I73" s="51">
        <f t="shared" si="4"/>
        <v>0</v>
      </c>
      <c r="J73" t="str">
        <f t="shared" si="5"/>
        <v/>
      </c>
    </row>
    <row r="74" spans="1:10" ht="15">
      <c r="A74" s="46"/>
      <c r="B74" s="47" t="str">
        <f t="shared" si="3"/>
        <v/>
      </c>
      <c r="C74" s="48"/>
      <c r="D74" s="49"/>
      <c r="E74" s="49"/>
      <c r="F74" s="49"/>
      <c r="G74" s="49"/>
      <c r="H74" s="50" t="str">
        <f>IF($B74="","",IF($J74="X",B74,CONCATENATE(VLOOKUP(B74,Competitors!$A$2:$I$650,3,FALSE)," ",VLOOKUP(B74,Competitors!$A$2:$I$650,2,FALSE))))</f>
        <v/>
      </c>
      <c r="I74" s="51">
        <f t="shared" si="4"/>
        <v>0</v>
      </c>
      <c r="J74" t="str">
        <f t="shared" si="5"/>
        <v/>
      </c>
    </row>
    <row r="75" spans="1:10" ht="15">
      <c r="A75" s="46"/>
      <c r="B75" s="47" t="str">
        <f t="shared" si="3"/>
        <v/>
      </c>
      <c r="C75" s="48"/>
      <c r="D75" s="49"/>
      <c r="E75" s="49"/>
      <c r="F75" s="49"/>
      <c r="G75" s="49"/>
      <c r="H75" s="50" t="str">
        <f>IF($B75="","",IF($J75="X",B75,CONCATENATE(VLOOKUP(B75,Competitors!$A$2:$I$650,3,FALSE)," ",VLOOKUP(B75,Competitors!$A$2:$I$650,2,FALSE))))</f>
        <v/>
      </c>
      <c r="I75" s="51">
        <f t="shared" si="4"/>
        <v>0</v>
      </c>
      <c r="J75" t="str">
        <f t="shared" si="5"/>
        <v/>
      </c>
    </row>
    <row r="76" spans="1:10" ht="15">
      <c r="A76" s="46"/>
      <c r="B76" s="47" t="str">
        <f t="shared" si="3"/>
        <v/>
      </c>
      <c r="C76" s="48"/>
      <c r="D76" s="49"/>
      <c r="E76" s="49"/>
      <c r="F76" s="49"/>
      <c r="G76" s="49"/>
      <c r="H76" s="50" t="str">
        <f>IF($B76="","",IF($J76="X",B76,CONCATENATE(VLOOKUP(B76,Competitors!$A$2:$I$650,3,FALSE)," ",VLOOKUP(B76,Competitors!$A$2:$I$650,2,FALSE))))</f>
        <v/>
      </c>
      <c r="I76" s="51">
        <f t="shared" si="4"/>
        <v>0</v>
      </c>
      <c r="J76" t="str">
        <f t="shared" si="5"/>
        <v/>
      </c>
    </row>
    <row r="77" spans="1:10" ht="15">
      <c r="A77" s="46"/>
      <c r="B77" s="47" t="str">
        <f t="shared" si="3"/>
        <v/>
      </c>
      <c r="C77" s="48"/>
      <c r="D77" s="49"/>
      <c r="E77" s="49"/>
      <c r="F77" s="49"/>
      <c r="G77" s="49"/>
      <c r="H77" s="50" t="str">
        <f>IF($B77="","",IF($J77="X",B77,CONCATENATE(VLOOKUP(B77,Competitors!$A$2:$I$650,3,FALSE)," ",VLOOKUP(B77,Competitors!$A$2:$I$650,2,FALSE))))</f>
        <v/>
      </c>
      <c r="I77" s="51">
        <f t="shared" si="4"/>
        <v>0</v>
      </c>
      <c r="J77" t="str">
        <f t="shared" si="5"/>
        <v/>
      </c>
    </row>
    <row r="78" spans="1:10" ht="15">
      <c r="A78" s="46"/>
      <c r="B78" s="47" t="str">
        <f t="shared" si="3"/>
        <v/>
      </c>
      <c r="C78" s="48"/>
      <c r="D78" s="49"/>
      <c r="E78" s="49"/>
      <c r="F78" s="49"/>
      <c r="G78" s="49"/>
      <c r="H78" s="50" t="str">
        <f>IF($B78="","",IF($J78="X",B78,CONCATENATE(VLOOKUP(B78,Competitors!$A$2:$I$650,3,FALSE)," ",VLOOKUP(B78,Competitors!$A$2:$I$650,2,FALSE))))</f>
        <v/>
      </c>
      <c r="I78" s="51">
        <f t="shared" si="4"/>
        <v>0</v>
      </c>
      <c r="J78" t="str">
        <f t="shared" si="5"/>
        <v/>
      </c>
    </row>
    <row r="79" spans="1:10" ht="15">
      <c r="A79" s="46"/>
      <c r="B79" s="47" t="str">
        <f t="shared" si="3"/>
        <v/>
      </c>
      <c r="C79" s="48"/>
      <c r="D79" s="49"/>
      <c r="E79" s="49"/>
      <c r="F79" s="49"/>
      <c r="G79" s="49"/>
      <c r="H79" s="50" t="str">
        <f>IF($B79="","",IF($J79="X",B79,CONCATENATE(VLOOKUP(B79,Competitors!$A$2:$I$650,3,FALSE)," ",VLOOKUP(B79,Competitors!$A$2:$I$650,2,FALSE))))</f>
        <v/>
      </c>
      <c r="I79" s="51">
        <f t="shared" si="4"/>
        <v>0</v>
      </c>
      <c r="J79" t="str">
        <f t="shared" si="5"/>
        <v/>
      </c>
    </row>
    <row r="80" spans="1:10" ht="15">
      <c r="A80" s="46"/>
      <c r="B80" s="47" t="str">
        <f t="shared" si="3"/>
        <v/>
      </c>
      <c r="C80" s="48"/>
      <c r="D80" s="49"/>
      <c r="E80" s="49"/>
      <c r="F80" s="49"/>
      <c r="G80" s="49"/>
      <c r="H80" s="50" t="str">
        <f>IF($B80="","",IF($J80="X",B80,CONCATENATE(VLOOKUP(B80,Competitors!$A$2:$I$650,3,FALSE)," ",VLOOKUP(B80,Competitors!$A$2:$I$650,2,FALSE))))</f>
        <v/>
      </c>
      <c r="I80" s="51">
        <f t="shared" si="4"/>
        <v>0</v>
      </c>
      <c r="J80" t="str">
        <f t="shared" si="5"/>
        <v/>
      </c>
    </row>
    <row r="81" spans="1:10" ht="15">
      <c r="A81" s="46"/>
      <c r="B81" s="47" t="str">
        <f t="shared" si="3"/>
        <v/>
      </c>
      <c r="C81" s="48"/>
      <c r="D81" s="49"/>
      <c r="E81" s="49"/>
      <c r="F81" s="49"/>
      <c r="G81" s="49"/>
      <c r="H81" s="50" t="str">
        <f>IF($B81="","",IF($J81="X",B81,CONCATENATE(VLOOKUP(B81,Competitors!$A$2:$I$650,3,FALSE)," ",VLOOKUP(B81,Competitors!$A$2:$I$650,2,FALSE))))</f>
        <v/>
      </c>
      <c r="I81" s="51">
        <f t="shared" si="4"/>
        <v>0</v>
      </c>
      <c r="J81" t="str">
        <f t="shared" si="5"/>
        <v/>
      </c>
    </row>
    <row r="82" spans="1:10" ht="15">
      <c r="A82" s="46"/>
      <c r="B82" s="47" t="str">
        <f t="shared" si="3"/>
        <v/>
      </c>
      <c r="C82" s="48"/>
      <c r="D82" s="49"/>
      <c r="E82" s="49"/>
      <c r="F82" s="49"/>
      <c r="G82" s="49"/>
      <c r="H82" s="50" t="str">
        <f>IF($B82="","",IF($J82="X",B82,CONCATENATE(VLOOKUP(B82,Competitors!$A$2:$I$650,3,FALSE)," ",VLOOKUP(B82,Competitors!$A$2:$I$650,2,FALSE))))</f>
        <v/>
      </c>
      <c r="I82" s="51">
        <f t="shared" si="4"/>
        <v>0</v>
      </c>
      <c r="J82" t="str">
        <f t="shared" si="5"/>
        <v/>
      </c>
    </row>
    <row r="83" spans="1:10" ht="15">
      <c r="A83" s="46"/>
      <c r="B83" s="47" t="str">
        <f t="shared" si="3"/>
        <v/>
      </c>
      <c r="C83" s="48"/>
      <c r="D83" s="49"/>
      <c r="E83" s="49"/>
      <c r="F83" s="49"/>
      <c r="G83" s="49"/>
      <c r="H83" s="50" t="str">
        <f>IF($B83="","",IF($J83="X",B83,CONCATENATE(VLOOKUP(B83,Competitors!$A$2:$I$650,3,FALSE)," ",VLOOKUP(B83,Competitors!$A$2:$I$650,2,FALSE))))</f>
        <v/>
      </c>
      <c r="I83" s="51">
        <f t="shared" si="4"/>
        <v>0</v>
      </c>
      <c r="J83" t="str">
        <f t="shared" si="5"/>
        <v/>
      </c>
    </row>
    <row r="84" spans="1:10" ht="15">
      <c r="A84" s="46"/>
      <c r="B84" s="47" t="str">
        <f t="shared" si="3"/>
        <v/>
      </c>
      <c r="C84" s="48"/>
      <c r="D84" s="49"/>
      <c r="E84" s="49"/>
      <c r="F84" s="49"/>
      <c r="G84" s="49"/>
      <c r="H84" s="50" t="str">
        <f>IF($B84="","",IF($J84="X",B84,CONCATENATE(VLOOKUP(B84,Competitors!$A$2:$I$650,3,FALSE)," ",VLOOKUP(B84,Competitors!$A$2:$I$650,2,FALSE))))</f>
        <v/>
      </c>
      <c r="I84" s="51">
        <f t="shared" si="4"/>
        <v>0</v>
      </c>
      <c r="J84" t="str">
        <f t="shared" si="5"/>
        <v/>
      </c>
    </row>
    <row r="85" spans="1:10" ht="15">
      <c r="A85" s="46"/>
      <c r="B85" s="47" t="str">
        <f t="shared" si="3"/>
        <v/>
      </c>
      <c r="C85" s="48"/>
      <c r="D85" s="49"/>
      <c r="E85" s="49"/>
      <c r="F85" s="49"/>
      <c r="G85" s="49"/>
      <c r="H85" s="50" t="str">
        <f>IF($B85="","",IF($J85="X",B85,CONCATENATE(VLOOKUP(B85,Competitors!$A$2:$I$650,3,FALSE)," ",VLOOKUP(B85,Competitors!$A$2:$I$650,2,FALSE))))</f>
        <v/>
      </c>
      <c r="I85" s="51">
        <f t="shared" si="4"/>
        <v>0</v>
      </c>
      <c r="J85" t="str">
        <f t="shared" si="5"/>
        <v/>
      </c>
    </row>
    <row r="86" spans="1:10" ht="15">
      <c r="A86" s="46"/>
      <c r="B86" s="47" t="str">
        <f t="shared" si="3"/>
        <v/>
      </c>
      <c r="C86" s="48"/>
      <c r="D86" s="49"/>
      <c r="E86" s="49"/>
      <c r="F86" s="49"/>
      <c r="G86" s="49"/>
      <c r="H86" s="50" t="str">
        <f>IF($B86="","",IF($J86="X",B86,CONCATENATE(VLOOKUP(B86,Competitors!$A$2:$I$650,3,FALSE)," ",VLOOKUP(B86,Competitors!$A$2:$I$650,2,FALSE))))</f>
        <v/>
      </c>
      <c r="I86" s="51">
        <f t="shared" si="4"/>
        <v>0</v>
      </c>
      <c r="J86" t="str">
        <f t="shared" si="5"/>
        <v/>
      </c>
    </row>
    <row r="87" spans="1:10" ht="15">
      <c r="A87" s="46"/>
      <c r="B87" s="47" t="str">
        <f t="shared" si="3"/>
        <v/>
      </c>
      <c r="C87" s="48"/>
      <c r="D87" s="49"/>
      <c r="E87" s="49"/>
      <c r="F87" s="49"/>
      <c r="G87" s="49"/>
      <c r="H87" s="50" t="str">
        <f>IF($B87="","",IF($J87="X",B87,CONCATENATE(VLOOKUP(B87,Competitors!$A$2:$I$650,3,FALSE)," ",VLOOKUP(B87,Competitors!$A$2:$I$650,2,FALSE))))</f>
        <v/>
      </c>
      <c r="I87" s="51">
        <f t="shared" si="4"/>
        <v>0</v>
      </c>
      <c r="J87" t="str">
        <f t="shared" si="5"/>
        <v/>
      </c>
    </row>
    <row r="88" spans="1:10" ht="15">
      <c r="A88" s="46"/>
      <c r="B88" s="47" t="str">
        <f t="shared" si="3"/>
        <v/>
      </c>
      <c r="C88" s="48"/>
      <c r="D88" s="49"/>
      <c r="E88" s="49"/>
      <c r="F88" s="49"/>
      <c r="G88" s="49"/>
      <c r="H88" s="50" t="str">
        <f>IF($B88="","",IF($J88="X",B88,CONCATENATE(VLOOKUP(B88,Competitors!$A$2:$I$650,3,FALSE)," ",VLOOKUP(B88,Competitors!$A$2:$I$650,2,FALSE))))</f>
        <v/>
      </c>
      <c r="I88" s="51">
        <f t="shared" si="4"/>
        <v>0</v>
      </c>
      <c r="J88" t="str">
        <f t="shared" si="5"/>
        <v/>
      </c>
    </row>
    <row r="89" spans="1:10" ht="15">
      <c r="A89" s="46"/>
      <c r="B89" s="47" t="str">
        <f t="shared" si="3"/>
        <v/>
      </c>
      <c r="C89" s="48"/>
      <c r="D89" s="49"/>
      <c r="E89" s="49"/>
      <c r="F89" s="49"/>
      <c r="G89" s="49"/>
      <c r="H89" s="50" t="str">
        <f>IF($B89="","",IF($J89="X",B89,CONCATENATE(VLOOKUP(B89,Competitors!$A$2:$I$650,3,FALSE)," ",VLOOKUP(B89,Competitors!$A$2:$I$650,2,FALSE))))</f>
        <v/>
      </c>
      <c r="I89" s="51">
        <f t="shared" si="4"/>
        <v>0</v>
      </c>
      <c r="J89" t="str">
        <f t="shared" si="5"/>
        <v/>
      </c>
    </row>
    <row r="90" spans="1:10" ht="15">
      <c r="A90" s="46"/>
      <c r="B90" s="47" t="str">
        <f t="shared" si="3"/>
        <v/>
      </c>
      <c r="C90" s="48"/>
      <c r="D90" s="49"/>
      <c r="E90" s="49"/>
      <c r="F90" s="49"/>
      <c r="G90" s="49"/>
      <c r="H90" s="50" t="str">
        <f>IF($B90="","",IF($J90="X",B90,CONCATENATE(VLOOKUP(B90,Competitors!$A$2:$I$650,3,FALSE)," ",VLOOKUP(B90,Competitors!$A$2:$I$650,2,FALSE))))</f>
        <v/>
      </c>
      <c r="I90" s="51">
        <f t="shared" si="4"/>
        <v>0</v>
      </c>
      <c r="J90" t="str">
        <f t="shared" si="5"/>
        <v/>
      </c>
    </row>
    <row r="91" spans="1:10" ht="15">
      <c r="A91" s="46"/>
      <c r="B91" s="47" t="str">
        <f t="shared" si="3"/>
        <v/>
      </c>
      <c r="C91" s="48"/>
      <c r="D91" s="49"/>
      <c r="E91" s="49"/>
      <c r="F91" s="49"/>
      <c r="G91" s="49"/>
      <c r="H91" s="50" t="str">
        <f>IF($B91="","",IF($J91="X",B91,CONCATENATE(VLOOKUP(B91,Competitors!$A$2:$I$650,3,FALSE)," ",VLOOKUP(B91,Competitors!$A$2:$I$650,2,FALSE))))</f>
        <v/>
      </c>
      <c r="I91" s="51">
        <f t="shared" si="4"/>
        <v>0</v>
      </c>
      <c r="J91" t="str">
        <f t="shared" si="5"/>
        <v/>
      </c>
    </row>
    <row r="92" spans="1:10" ht="15">
      <c r="A92" s="46"/>
      <c r="B92" s="47" t="str">
        <f t="shared" si="3"/>
        <v/>
      </c>
      <c r="C92" s="48"/>
      <c r="D92" s="49"/>
      <c r="E92" s="49"/>
      <c r="F92" s="49"/>
      <c r="G92" s="49"/>
      <c r="H92" s="50" t="str">
        <f>IF($B92="","",IF($J92="X",B92,CONCATENATE(VLOOKUP(B92,Competitors!$A$2:$I$650,3,FALSE)," ",VLOOKUP(B92,Competitors!$A$2:$I$650,2,FALSE))))</f>
        <v/>
      </c>
      <c r="I92" s="51">
        <f t="shared" si="4"/>
        <v>0</v>
      </c>
      <c r="J92" t="str">
        <f t="shared" si="5"/>
        <v/>
      </c>
    </row>
    <row r="93" spans="1:10" ht="15">
      <c r="A93" s="46"/>
      <c r="B93" s="47" t="str">
        <f t="shared" si="3"/>
        <v/>
      </c>
      <c r="C93" s="48"/>
      <c r="D93" s="49"/>
      <c r="E93" s="49"/>
      <c r="F93" s="49"/>
      <c r="G93" s="49"/>
      <c r="H93" s="50" t="str">
        <f>IF($B93="","",IF($J93="X",B93,CONCATENATE(VLOOKUP(B93,Competitors!$A$2:$I$650,3,FALSE)," ",VLOOKUP(B93,Competitors!$A$2:$I$650,2,FALSE))))</f>
        <v/>
      </c>
      <c r="I93" s="51">
        <f t="shared" si="4"/>
        <v>0</v>
      </c>
      <c r="J93" t="str">
        <f t="shared" si="5"/>
        <v/>
      </c>
    </row>
    <row r="94" spans="1:10" ht="15">
      <c r="A94" s="46"/>
      <c r="B94" s="47" t="str">
        <f t="shared" si="3"/>
        <v/>
      </c>
      <c r="C94" s="48"/>
      <c r="D94" s="49"/>
      <c r="E94" s="49"/>
      <c r="F94" s="49"/>
      <c r="G94" s="49"/>
      <c r="H94" s="50" t="str">
        <f>IF($B94="","",IF($J94="X",B94,CONCATENATE(VLOOKUP(B94,Competitors!$A$2:$I$650,3,FALSE)," ",VLOOKUP(B94,Competitors!$A$2:$I$650,2,FALSE))))</f>
        <v/>
      </c>
      <c r="I94" s="51">
        <f t="shared" si="4"/>
        <v>0</v>
      </c>
      <c r="J94" t="str">
        <f t="shared" si="5"/>
        <v/>
      </c>
    </row>
    <row r="95" spans="1:10" ht="15">
      <c r="A95" s="46"/>
      <c r="B95" s="47" t="str">
        <f t="shared" si="3"/>
        <v/>
      </c>
      <c r="C95" s="48"/>
      <c r="D95" s="49"/>
      <c r="E95" s="49"/>
      <c r="F95" s="49"/>
      <c r="G95" s="49"/>
      <c r="H95" s="50" t="str">
        <f>IF($B95="","",IF($J95="X",B95,CONCATENATE(VLOOKUP(B95,Competitors!$A$2:$I$650,3,FALSE)," ",VLOOKUP(B95,Competitors!$A$2:$I$650,2,FALSE))))</f>
        <v/>
      </c>
      <c r="I95" s="51">
        <f t="shared" si="4"/>
        <v>0</v>
      </c>
      <c r="J95" t="str">
        <f t="shared" si="5"/>
        <v/>
      </c>
    </row>
    <row r="96" spans="1:10" ht="15">
      <c r="A96" s="46"/>
      <c r="B96" s="47" t="str">
        <f t="shared" si="3"/>
        <v/>
      </c>
      <c r="C96" s="48"/>
      <c r="D96" s="49"/>
      <c r="E96" s="49"/>
      <c r="F96" s="49"/>
      <c r="G96" s="49"/>
      <c r="H96" s="50" t="str">
        <f>IF($B96="","",IF($J96="X",B96,CONCATENATE(VLOOKUP(B96,Competitors!$A$2:$I$650,3,FALSE)," ",VLOOKUP(B96,Competitors!$A$2:$I$650,2,FALSE))))</f>
        <v/>
      </c>
      <c r="I96" s="51">
        <f t="shared" si="4"/>
        <v>0</v>
      </c>
      <c r="J96" t="str">
        <f t="shared" si="5"/>
        <v/>
      </c>
    </row>
    <row r="97" spans="1:10" ht="15">
      <c r="A97" s="46"/>
      <c r="B97" s="47" t="str">
        <f t="shared" si="3"/>
        <v/>
      </c>
      <c r="C97" s="48"/>
      <c r="D97" s="49"/>
      <c r="E97" s="49"/>
      <c r="F97" s="49"/>
      <c r="G97" s="4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Event_18</v>
      </c>
    </row>
    <row r="104" spans="1:10">
      <c r="B104" t="s">
        <v>552</v>
      </c>
      <c r="C104" t="str">
        <f ca="1">_xlfn.XLOOKUP(C103,Calendar!O:O,Calendar!H:H,"Event is not in calendar")</f>
        <v/>
      </c>
    </row>
  </sheetData>
  <conditionalFormatting sqref="E2:E101">
    <cfRule type="expression" dxfId="30" priority="3">
      <formula>TEXT($C$104,"@")="Y"</formula>
    </cfRule>
  </conditionalFormatting>
  <conditionalFormatting sqref="H2:I101">
    <cfRule type="expression" dxfId="29" priority="2">
      <formula>$J2="X"</formula>
    </cfRule>
  </conditionalFormatting>
  <conditionalFormatting sqref="I2:I101">
    <cfRule type="expression" dxfId="28" priority="1">
      <formula>TEXT($C$104,"@")="Y"</formula>
    </cfRule>
  </conditionalFormatting>
  <pageMargins left="0.7" right="0.7" top="0.75" bottom="0.75" header="0.3" footer="0.3"/>
  <pageSetup paperSize="9" orientation="portrait"/>
  <legacy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8"/>
  <dimension ref="A1:J104"/>
  <sheetViews>
    <sheetView workbookViewId="0"/>
    <sheetView workbookViewId="1"/>
  </sheetViews>
  <sheetFormatPr defaultColWidth="9.1328125" defaultRowHeight="12.75"/>
  <cols>
    <col min="1" max="1" width="20.33203125" bestFit="1" customWidth="1"/>
    <col min="2" max="2" width="36.6640625" bestFit="1" customWidth="1"/>
    <col min="3" max="5" width="4.796875"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736</v>
      </c>
      <c r="B2" s="47" t="str">
        <f t="shared" ref="B2:B33" si="0">IF(A2="","",_xlfn.XLOOKUP(A2,ClubNames,ClubNumbers,_xlfn.XLOOKUP(A2,RoundRobinRiderNames,RoundRobinRiderDecoratedNames,A2)))</f>
        <v>Jim Smith (Ratae)</v>
      </c>
      <c r="C2" s="48"/>
      <c r="D2" s="49">
        <v>35</v>
      </c>
      <c r="E2" s="49">
        <v>6</v>
      </c>
      <c r="F2" s="49"/>
      <c r="G2" s="49"/>
      <c r="H2" s="50" t="str">
        <f>IF($B2="","",IF($J2="X",B2,CONCATENATE(VLOOKUP(B2,Competitors!$A$2:$I$650,3, FALSE)," ",VLOOKUP(B2,Competitors!$A$2:$I$650,2,FALSE))))</f>
        <v>Jim Smith (Ratae)</v>
      </c>
      <c r="I2" s="51">
        <f t="shared" ref="I2:I65" si="1">IF(LEFT($F2,1)="D",UPPER($F2),(C2*3600+D2*60+E2)/86400)</f>
        <v>2.4375000000000001E-2</v>
      </c>
      <c r="J2" t="str">
        <f t="shared" ref="J2:J65" si="2">IF(OR(B2="",ISNUMBER(B2)),"","X")</f>
        <v>X</v>
      </c>
    </row>
    <row r="3" spans="1:10" ht="15">
      <c r="A3" s="46" t="s">
        <v>511</v>
      </c>
      <c r="B3" s="47" t="str">
        <f t="shared" si="0"/>
        <v>Natalie Harris (Ratae)</v>
      </c>
      <c r="C3" s="48"/>
      <c r="D3" s="49">
        <v>31</v>
      </c>
      <c r="E3" s="49">
        <v>37</v>
      </c>
      <c r="F3" s="49"/>
      <c r="G3" s="49"/>
      <c r="H3" s="50" t="str">
        <f>IF($B3="","",IF($J3="X",B3,CONCATENATE(VLOOKUP(B3,Competitors!$A$2:$I$650,3,FALSE)," ",VLOOKUP(B3,Competitors!$A$2:$I$650,2,FALSE))))</f>
        <v>Natalie Harris (Ratae)</v>
      </c>
      <c r="I3" s="51">
        <f t="shared" si="1"/>
        <v>2.1956018518518517E-2</v>
      </c>
      <c r="J3" t="str">
        <f t="shared" si="2"/>
        <v>X</v>
      </c>
    </row>
    <row r="4" spans="1:10" ht="15">
      <c r="A4" s="46" t="s">
        <v>789</v>
      </c>
      <c r="B4" s="47" t="str">
        <f t="shared" si="0"/>
        <v>Evan Collett (George Fox CS) (KCC)</v>
      </c>
      <c r="C4" s="48"/>
      <c r="D4" s="49">
        <v>24</v>
      </c>
      <c r="E4" s="49">
        <v>3</v>
      </c>
      <c r="F4" s="49"/>
      <c r="G4" s="49"/>
      <c r="H4" s="50" t="str">
        <f>IF($B4="","",IF($J4="X",B4,CONCATENATE(VLOOKUP(B4,Competitors!$A$2:$I$650,3,FALSE)," ",VLOOKUP(B4,Competitors!$A$2:$I$650,2,FALSE))))</f>
        <v>Evan Collett (George Fox CS) (KCC)</v>
      </c>
      <c r="I4" s="51">
        <f t="shared" si="1"/>
        <v>1.6701388888888891E-2</v>
      </c>
      <c r="J4" t="str">
        <f t="shared" si="2"/>
        <v>X</v>
      </c>
    </row>
    <row r="5" spans="1:10" ht="15">
      <c r="A5" s="46" t="s">
        <v>499</v>
      </c>
      <c r="B5" s="47" t="str">
        <f t="shared" si="0"/>
        <v>Alex Whitmore (Ratae)</v>
      </c>
      <c r="C5" s="48"/>
      <c r="D5" s="49">
        <v>22</v>
      </c>
      <c r="E5" s="49">
        <v>39</v>
      </c>
      <c r="F5" s="49" t="s">
        <v>544</v>
      </c>
      <c r="G5" s="49"/>
      <c r="H5" s="50" t="str">
        <f>IF($B5="","",IF($J5="X",B5,CONCATENATE(VLOOKUP(B5,Competitors!$A$2:$I$650,3,FALSE)," ",VLOOKUP(B5,Competitors!$A$2:$I$650,2,FALSE))))</f>
        <v>Alex Whitmore (Ratae)</v>
      </c>
      <c r="I5" s="51">
        <f t="shared" si="1"/>
        <v>1.5729166666666666E-2</v>
      </c>
      <c r="J5" t="str">
        <f t="shared" si="2"/>
        <v>X</v>
      </c>
    </row>
    <row r="6" spans="1:10" ht="15">
      <c r="A6" s="46" t="s">
        <v>503</v>
      </c>
      <c r="B6" s="47" t="str">
        <f t="shared" si="0"/>
        <v>Debbie Cooper (Ratae)</v>
      </c>
      <c r="C6" s="48"/>
      <c r="D6" s="49">
        <v>29</v>
      </c>
      <c r="E6" s="49">
        <v>6</v>
      </c>
      <c r="F6" s="49"/>
      <c r="G6" s="49"/>
      <c r="H6" s="50" t="str">
        <f>IF($B6="","",IF($J6="X",B6,CONCATENATE(VLOOKUP(B6,Competitors!$A$2:$I$650,3,FALSE)," ",VLOOKUP(B6,Competitors!$A$2:$I$650,2,FALSE))))</f>
        <v>Debbie Cooper (Ratae)</v>
      </c>
      <c r="I6" s="51">
        <f t="shared" si="1"/>
        <v>2.0208333333333332E-2</v>
      </c>
      <c r="J6" t="str">
        <f t="shared" si="2"/>
        <v>X</v>
      </c>
    </row>
    <row r="7" spans="1:10" ht="15">
      <c r="A7" s="46" t="s">
        <v>629</v>
      </c>
      <c r="B7" s="47" t="str">
        <f t="shared" si="0"/>
        <v>Jeff Jones (LFCC)</v>
      </c>
      <c r="C7" s="48"/>
      <c r="D7" s="49">
        <v>34</v>
      </c>
      <c r="E7" s="49">
        <v>32</v>
      </c>
      <c r="F7" s="49"/>
      <c r="G7" s="49"/>
      <c r="H7" s="50" t="str">
        <f>IF($B7="","",IF($J7="X",B7,CONCATENATE(VLOOKUP(B7,Competitors!$A$2:$I$650,3,FALSE)," ",VLOOKUP(B7,Competitors!$A$2:$I$650,2,FALSE))))</f>
        <v>Jeff Jones (LFCC)</v>
      </c>
      <c r="I7" s="51">
        <f t="shared" si="1"/>
        <v>2.3981481481481482E-2</v>
      </c>
      <c r="J7" t="str">
        <f t="shared" si="2"/>
        <v>X</v>
      </c>
    </row>
    <row r="8" spans="1:10" ht="15">
      <c r="A8" s="46" t="s">
        <v>631</v>
      </c>
      <c r="B8" s="47" t="str">
        <f t="shared" si="0"/>
        <v>Simon Jones (LFCC)</v>
      </c>
      <c r="C8" s="48"/>
      <c r="D8" s="49">
        <v>30</v>
      </c>
      <c r="E8" s="49">
        <v>37</v>
      </c>
      <c r="F8" s="49"/>
      <c r="G8" s="49"/>
      <c r="H8" s="50" t="str">
        <f>IF($B8="","",IF($J8="X",B8,CONCATENATE(VLOOKUP(B8,Competitors!$A$2:$I$650,3,FALSE)," ",VLOOKUP(B8,Competitors!$A$2:$I$650,2,FALSE))))</f>
        <v>Simon Jones (LFCC)</v>
      </c>
      <c r="I8" s="51">
        <f t="shared" si="1"/>
        <v>2.1261574074074075E-2</v>
      </c>
      <c r="J8" t="str">
        <f t="shared" si="2"/>
        <v>X</v>
      </c>
    </row>
    <row r="9" spans="1:10" ht="15">
      <c r="A9" s="46" t="s">
        <v>715</v>
      </c>
      <c r="B9" s="47" t="str">
        <f t="shared" si="0"/>
        <v>Josh Jones (LFCC)</v>
      </c>
      <c r="C9" s="48"/>
      <c r="D9" s="49">
        <v>28</v>
      </c>
      <c r="E9" s="49">
        <v>31</v>
      </c>
      <c r="F9" s="49"/>
      <c r="G9" s="49"/>
      <c r="H9" s="50" t="str">
        <f>IF($B9="","",IF($J9="X",B9,CONCATENATE(VLOOKUP(B9,Competitors!$A$2:$I$650,3,FALSE)," ",VLOOKUP(B9,Competitors!$A$2:$I$650,2,FALSE))))</f>
        <v>Josh Jones (LFCC)</v>
      </c>
      <c r="I9" s="51">
        <f t="shared" si="1"/>
        <v>1.9803240740740739E-2</v>
      </c>
      <c r="J9" t="str">
        <f t="shared" si="2"/>
        <v>X</v>
      </c>
    </row>
    <row r="10" spans="1:10" ht="15">
      <c r="A10" s="46" t="s">
        <v>475</v>
      </c>
      <c r="B10" s="47" t="str">
        <f t="shared" si="0"/>
        <v>Pamela Moore (Coalville Wheelers)</v>
      </c>
      <c r="C10" s="48"/>
      <c r="D10" s="49">
        <v>28</v>
      </c>
      <c r="E10" s="49">
        <v>51</v>
      </c>
      <c r="F10" s="49"/>
      <c r="G10" s="49"/>
      <c r="H10" s="50" t="str">
        <f>IF($B10="","",IF($J10="X",B10,CONCATENATE(VLOOKUP(B10,Competitors!$A$2:$I$650,3, FALSE)," ",VLOOKUP(B10,Competitors!$A$2:$I$650,2,FALSE))))</f>
        <v>Pamela Moore (Coalville Wheelers)</v>
      </c>
      <c r="I10" s="51">
        <f t="shared" si="1"/>
        <v>2.0034722222222221E-2</v>
      </c>
      <c r="J10" t="str">
        <f t="shared" si="2"/>
        <v>X</v>
      </c>
    </row>
    <row r="11" spans="1:10" ht="15">
      <c r="A11" s="46" t="s">
        <v>737</v>
      </c>
      <c r="B11" s="47" t="str">
        <f t="shared" si="0"/>
        <v>Gary Morris</v>
      </c>
      <c r="C11" s="48"/>
      <c r="D11" s="49">
        <v>29</v>
      </c>
      <c r="E11" s="49">
        <v>26</v>
      </c>
      <c r="F11" s="49"/>
      <c r="G11" s="49"/>
      <c r="H11" s="50" t="str">
        <f>IF($B11="","",IF($J11="X",B11,CONCATENATE(VLOOKUP(B11,Competitors!$A$2:$I$650,3,FALSE)," ",VLOOKUP(B11,Competitors!$A$2:$I$650,2,FALSE))))</f>
        <v>Gary Morris</v>
      </c>
      <c r="I11" s="51">
        <f t="shared" si="1"/>
        <v>2.0439814814814813E-2</v>
      </c>
      <c r="J11" t="str">
        <f t="shared" si="2"/>
        <v>X</v>
      </c>
    </row>
    <row r="12" spans="1:10" ht="15">
      <c r="A12" s="46" t="s">
        <v>738</v>
      </c>
      <c r="B12" s="47" t="str">
        <f t="shared" si="0"/>
        <v>Andrea Winkless (Coalville Wheelers)</v>
      </c>
      <c r="C12" s="48"/>
      <c r="D12" s="49">
        <v>25</v>
      </c>
      <c r="E12" s="49">
        <v>59</v>
      </c>
      <c r="F12" s="49"/>
      <c r="G12" s="49"/>
      <c r="H12" s="50" t="str">
        <f>IF($B12="","",IF($J12="X",B12,CONCATENATE(VLOOKUP(B12,Competitors!$A$2:$I$650,3,FALSE)," ",VLOOKUP(B12,Competitors!$A$2:$I$650,2,FALSE))))</f>
        <v>Andrea Winkless (Coalville Wheelers)</v>
      </c>
      <c r="I12" s="51">
        <f t="shared" si="1"/>
        <v>1.804398148148148E-2</v>
      </c>
      <c r="J12" t="str">
        <f t="shared" si="2"/>
        <v>X</v>
      </c>
    </row>
    <row r="13" spans="1:10" ht="15">
      <c r="A13" s="46" t="s">
        <v>441</v>
      </c>
      <c r="B13" s="47">
        <f t="shared" si="0"/>
        <v>1254</v>
      </c>
      <c r="C13" s="48"/>
      <c r="D13" s="49">
        <v>26</v>
      </c>
      <c r="E13" s="49">
        <v>30</v>
      </c>
      <c r="F13" s="49"/>
      <c r="G13" s="49"/>
      <c r="H13" s="50" t="str">
        <f>IF($B13="","",IF($J13="X",B13,CONCATENATE(VLOOKUP(B13,Competitors!$A$2:$I$650,3,FALSE)," ",VLOOKUP(B13,Competitors!$A$2:$I$650,2,FALSE))))</f>
        <v>Paul White</v>
      </c>
      <c r="I13" s="51">
        <f t="shared" si="1"/>
        <v>1.8402777777777778E-2</v>
      </c>
      <c r="J13" t="str">
        <f t="shared" si="2"/>
        <v/>
      </c>
    </row>
    <row r="14" spans="1:10" ht="15">
      <c r="A14" s="60" t="s">
        <v>770</v>
      </c>
      <c r="B14" s="47" t="str">
        <f t="shared" si="0"/>
        <v>Sally Richards (Ratae)</v>
      </c>
      <c r="C14" s="48"/>
      <c r="D14" s="49">
        <v>29</v>
      </c>
      <c r="E14" s="49">
        <v>14</v>
      </c>
      <c r="F14" s="49"/>
      <c r="G14" s="49"/>
      <c r="H14" s="50" t="str">
        <f>IF($B14="","",IF($J14="X",B14,CONCATENATE(VLOOKUP(B14,Competitors!$A$2:$I$650,3,FALSE)," ",VLOOKUP(B14,Competitors!$A$2:$I$650,2,FALSE))))</f>
        <v>Sally Richards (Ratae)</v>
      </c>
      <c r="I14" s="51">
        <f t="shared" si="1"/>
        <v>2.0300925925925927E-2</v>
      </c>
      <c r="J14" t="str">
        <f t="shared" si="2"/>
        <v>X</v>
      </c>
    </row>
    <row r="15" spans="1:10" ht="15">
      <c r="A15" s="46" t="s">
        <v>501</v>
      </c>
      <c r="B15" s="47" t="str">
        <f t="shared" si="0"/>
        <v>Chris Bonsor (Ratae)</v>
      </c>
      <c r="C15" s="48"/>
      <c r="D15" s="49">
        <v>26</v>
      </c>
      <c r="E15" s="49">
        <v>16</v>
      </c>
      <c r="F15" s="49"/>
      <c r="G15" s="49"/>
      <c r="H15" s="50" t="str">
        <f>IF($B15="","",IF($J15="X",B15,CONCATENATE(VLOOKUP(B15,Competitors!$A$2:$I$650,3,FALSE)," ",VLOOKUP(B15,Competitors!$A$2:$I$650,2,FALSE))))</f>
        <v>Chris Bonsor (Ratae)</v>
      </c>
      <c r="I15" s="51">
        <f t="shared" si="1"/>
        <v>1.8240740740740741E-2</v>
      </c>
      <c r="J15" t="str">
        <f t="shared" si="2"/>
        <v>X</v>
      </c>
    </row>
    <row r="16" spans="1:10" ht="15">
      <c r="A16" s="46" t="s">
        <v>508</v>
      </c>
      <c r="B16" s="47" t="str">
        <f t="shared" si="0"/>
        <v>Mark Marmoy (Ratae)</v>
      </c>
      <c r="C16" s="48"/>
      <c r="D16" s="49">
        <v>27</v>
      </c>
      <c r="E16" s="49">
        <v>8</v>
      </c>
      <c r="F16" s="49"/>
      <c r="G16" s="49"/>
      <c r="H16" s="50" t="str">
        <f>IF($B16="","",IF($J16="X",B16,CONCATENATE(VLOOKUP(B16,Competitors!$A$2:$I$650,3,FALSE)," ",VLOOKUP(B16,Competitors!$A$2:$I$650,2,FALSE))))</f>
        <v>Mark Marmoy (Ratae)</v>
      </c>
      <c r="I16" s="51">
        <f t="shared" si="1"/>
        <v>1.8842592592592591E-2</v>
      </c>
      <c r="J16" t="str">
        <f t="shared" si="2"/>
        <v>X</v>
      </c>
    </row>
    <row r="17" spans="1:10" ht="15">
      <c r="A17" s="46" t="s">
        <v>500</v>
      </c>
      <c r="B17" s="47" t="str">
        <f t="shared" si="0"/>
        <v>Brian Lincoln (Ratae)</v>
      </c>
      <c r="C17" s="48"/>
      <c r="D17" s="49">
        <v>29</v>
      </c>
      <c r="E17" s="49">
        <v>48</v>
      </c>
      <c r="F17" s="49"/>
      <c r="G17" s="49"/>
      <c r="H17" s="50" t="str">
        <f>IF($B17="","",IF($J17="X",B17,CONCATENATE(VLOOKUP(B17,Competitors!$A$2:$I$650,3,FALSE)," ",VLOOKUP(B17,Competitors!$A$2:$I$650,2,FALSE))))</f>
        <v>Brian Lincoln (Ratae)</v>
      </c>
      <c r="I17" s="51">
        <f t="shared" si="1"/>
        <v>2.0694444444444446E-2</v>
      </c>
      <c r="J17" t="str">
        <f t="shared" si="2"/>
        <v>X</v>
      </c>
    </row>
    <row r="18" spans="1:10" ht="15">
      <c r="A18" s="46" t="s">
        <v>510</v>
      </c>
      <c r="B18" s="47" t="str">
        <f t="shared" si="0"/>
        <v>Marshall Briggs (Ratae)</v>
      </c>
      <c r="C18" s="48"/>
      <c r="D18" s="49">
        <v>26</v>
      </c>
      <c r="E18" s="49">
        <v>50</v>
      </c>
      <c r="F18" s="49"/>
      <c r="G18" s="49"/>
      <c r="H18" s="50" t="str">
        <f>IF($B18="","",IF($J18="X",B18,CONCATENATE(VLOOKUP(B18,Competitors!$A$2:$I$650,3,FALSE)," ",VLOOKUP(B18,Competitors!$A$2:$I$650,2,FALSE))))</f>
        <v>Marshall Briggs (Ratae)</v>
      </c>
      <c r="I18" s="51">
        <f t="shared" si="1"/>
        <v>1.863425925925926E-2</v>
      </c>
      <c r="J18" t="str">
        <f t="shared" si="2"/>
        <v>X</v>
      </c>
    </row>
    <row r="19" spans="1:10" ht="15">
      <c r="A19" s="46" t="s">
        <v>514</v>
      </c>
      <c r="B19" s="47" t="str">
        <f t="shared" si="0"/>
        <v>Steve Pearce (Ratae)</v>
      </c>
      <c r="C19" s="48"/>
      <c r="D19" s="49">
        <v>26</v>
      </c>
      <c r="E19" s="49">
        <v>40</v>
      </c>
      <c r="F19" s="49"/>
      <c r="G19" s="49"/>
      <c r="H19" s="50" t="str">
        <f>IF($B19="","",IF($J19="X",B19,CONCATENATE(VLOOKUP(B19,Competitors!$A$2:$I$650,3,FALSE)," ",VLOOKUP(B19,Competitors!$A$2:$I$650,2,FALSE))))</f>
        <v>Steve Pearce (Ratae)</v>
      </c>
      <c r="I19" s="51">
        <f t="shared" si="1"/>
        <v>1.8518518518518517E-2</v>
      </c>
      <c r="J19" t="str">
        <f t="shared" si="2"/>
        <v>X</v>
      </c>
    </row>
    <row r="20" spans="1:10" ht="15">
      <c r="A20" s="46" t="s">
        <v>616</v>
      </c>
      <c r="B20" s="47">
        <f t="shared" si="0"/>
        <v>990</v>
      </c>
      <c r="C20" s="48"/>
      <c r="D20" s="49">
        <v>33</v>
      </c>
      <c r="E20" s="49">
        <v>39</v>
      </c>
      <c r="F20" s="49" t="s">
        <v>544</v>
      </c>
      <c r="G20" s="49"/>
      <c r="H20" s="50" t="str">
        <f>IF($B20="","",IF($J20="X",B20,CONCATENATE(VLOOKUP(B20,Competitors!$A$2:$I$650,3,FALSE)," ",VLOOKUP(B20,Competitors!$A$2:$I$650,2,FALSE))))</f>
        <v>Jen Hulme</v>
      </c>
      <c r="I20" s="51">
        <f t="shared" si="1"/>
        <v>2.3368055555555555E-2</v>
      </c>
      <c r="J20" t="str">
        <f t="shared" si="2"/>
        <v/>
      </c>
    </row>
    <row r="21" spans="1:10" ht="15">
      <c r="A21" s="46" t="s">
        <v>506</v>
      </c>
      <c r="B21" s="47" t="str">
        <f t="shared" si="0"/>
        <v>Lesley Allden (Ratae)</v>
      </c>
      <c r="C21" s="48"/>
      <c r="D21" s="49">
        <v>33</v>
      </c>
      <c r="E21" s="49">
        <v>10</v>
      </c>
      <c r="F21" s="49"/>
      <c r="G21" s="49"/>
      <c r="H21" s="50" t="str">
        <f>IF($B21="","",IF($J21="X",B21,CONCATENATE(VLOOKUP(B21,Competitors!$A$2:$I$650,3,FALSE)," ",VLOOKUP(B21,Competitors!$A$2:$I$650,2,FALSE))))</f>
        <v>Lesley Allden (Ratae)</v>
      </c>
      <c r="I21" s="51">
        <f t="shared" si="1"/>
        <v>2.3032407407407408E-2</v>
      </c>
      <c r="J21" t="str">
        <f t="shared" si="2"/>
        <v>X</v>
      </c>
    </row>
    <row r="22" spans="1:10" ht="15">
      <c r="A22" s="46" t="s">
        <v>430</v>
      </c>
      <c r="B22" s="47">
        <f t="shared" si="0"/>
        <v>616</v>
      </c>
      <c r="C22" s="48"/>
      <c r="D22" s="49">
        <v>27</v>
      </c>
      <c r="E22" s="49">
        <v>39</v>
      </c>
      <c r="F22" s="49"/>
      <c r="G22" s="49"/>
      <c r="H22" s="50" t="str">
        <f>IF($B22="","",IF($J22="X",B22,CONCATENATE(VLOOKUP(B22,Competitors!$A$2:$I$650,3,FALSE)," ",VLOOKUP(B22,Competitors!$A$2:$I$650,2,FALSE))))</f>
        <v>Simon Ward</v>
      </c>
      <c r="I22" s="51">
        <f t="shared" si="1"/>
        <v>1.9201388888888889E-2</v>
      </c>
      <c r="J22" t="str">
        <f t="shared" si="2"/>
        <v/>
      </c>
    </row>
    <row r="23" spans="1:10" ht="15">
      <c r="A23" s="46" t="s">
        <v>446</v>
      </c>
      <c r="B23" s="47">
        <f t="shared" si="0"/>
        <v>1379</v>
      </c>
      <c r="C23" s="48"/>
      <c r="D23" s="49">
        <v>28</v>
      </c>
      <c r="E23" s="49">
        <v>45</v>
      </c>
      <c r="F23" s="49" t="s">
        <v>544</v>
      </c>
      <c r="G23" s="49"/>
      <c r="H23" s="50" t="str">
        <f>IF($B23="","",IF($J23="X",B23,CONCATENATE(VLOOKUP(B23,Competitors!$A$2:$I$650,3,FALSE)," ",VLOOKUP(B23,Competitors!$A$2:$I$650,2,FALSE))))</f>
        <v>Michaela Latham</v>
      </c>
      <c r="I23" s="51">
        <f t="shared" si="1"/>
        <v>1.9965277777777776E-2</v>
      </c>
      <c r="J23" t="str">
        <f t="shared" si="2"/>
        <v/>
      </c>
    </row>
    <row r="24" spans="1:10" ht="15">
      <c r="A24" s="46" t="s">
        <v>730</v>
      </c>
      <c r="B24" s="47" t="str">
        <f t="shared" si="0"/>
        <v>Eric Fullerton (LFCC)</v>
      </c>
      <c r="C24" s="48"/>
      <c r="D24" s="49">
        <v>29</v>
      </c>
      <c r="E24" s="49">
        <v>43</v>
      </c>
      <c r="F24" s="49"/>
      <c r="G24" s="49"/>
      <c r="H24" s="50" t="str">
        <f>IF($B24="","",IF($J24="X",B24,CONCATENATE(VLOOKUP(B24,Competitors!$A$2:$I$650,3,FALSE)," ",VLOOKUP(B24,Competitors!$A$2:$I$650,2,FALSE))))</f>
        <v>Eric Fullerton (LFCC)</v>
      </c>
      <c r="I24" s="51">
        <f t="shared" si="1"/>
        <v>2.0636574074074075E-2</v>
      </c>
      <c r="J24" t="str">
        <f t="shared" si="2"/>
        <v>X</v>
      </c>
    </row>
    <row r="25" spans="1:10" ht="15">
      <c r="A25" s="46" t="s">
        <v>739</v>
      </c>
      <c r="B25" s="47" t="str">
        <f t="shared" si="0"/>
        <v>Tom Swain (Rugby Tri)</v>
      </c>
      <c r="C25" s="48"/>
      <c r="D25" s="49">
        <v>26</v>
      </c>
      <c r="E25" s="49">
        <v>10</v>
      </c>
      <c r="F25" s="49"/>
      <c r="G25" s="49"/>
      <c r="H25" s="50" t="str">
        <f>IF($B25="","",IF($J25="X",B25,CONCATENATE(VLOOKUP(B25,Competitors!$A$2:$I$650,3,FALSE)," ",VLOOKUP(B25,Competitors!$A$2:$I$650,2,FALSE))))</f>
        <v>Tom Swain (Rugby Tri)</v>
      </c>
      <c r="I25" s="51">
        <f t="shared" si="1"/>
        <v>1.8171296296296297E-2</v>
      </c>
      <c r="J25" t="str">
        <f t="shared" si="2"/>
        <v>X</v>
      </c>
    </row>
    <row r="26" spans="1:10" ht="15">
      <c r="A26" s="46" t="s">
        <v>687</v>
      </c>
      <c r="B26" s="47" t="str">
        <f t="shared" si="0"/>
        <v>Tom Scott-Collins (Velo Elite)</v>
      </c>
      <c r="C26" s="48"/>
      <c r="D26" s="49">
        <v>23</v>
      </c>
      <c r="E26" s="49">
        <v>3</v>
      </c>
      <c r="F26" s="49"/>
      <c r="G26" s="49"/>
      <c r="H26" s="50" t="str">
        <f>IF($B26="","",IF($J26="X",B26,CONCATENATE(VLOOKUP(B26,Competitors!$A$2:$I$650,3,FALSE)," ",VLOOKUP(B26,Competitors!$A$2:$I$650,2,FALSE))))</f>
        <v>Tom Scott-Collins (Velo Elite)</v>
      </c>
      <c r="I26" s="51">
        <f t="shared" si="1"/>
        <v>1.6006944444444445E-2</v>
      </c>
      <c r="J26" t="str">
        <f t="shared" si="2"/>
        <v>X</v>
      </c>
    </row>
    <row r="27" spans="1:10" ht="15">
      <c r="A27" s="46" t="s">
        <v>628</v>
      </c>
      <c r="B27" s="47">
        <f t="shared" si="0"/>
        <v>1415</v>
      </c>
      <c r="C27" s="48"/>
      <c r="D27" s="49">
        <v>29</v>
      </c>
      <c r="E27" s="49">
        <v>9</v>
      </c>
      <c r="F27" s="49" t="s">
        <v>544</v>
      </c>
      <c r="G27" s="49"/>
      <c r="H27" s="50" t="str">
        <f>IF($B27="","",IF($J27="X",B27,CONCATENATE(VLOOKUP(B27,Competitors!$A$2:$I$650,3,FALSE)," ",VLOOKUP(B27,Competitors!$A$2:$I$650,2,FALSE))))</f>
        <v>James Aldridge</v>
      </c>
      <c r="I27" s="51">
        <f t="shared" si="1"/>
        <v>2.0243055555555556E-2</v>
      </c>
      <c r="J27" t="str">
        <f t="shared" si="2"/>
        <v/>
      </c>
    </row>
    <row r="28" spans="1:10" ht="15">
      <c r="A28" s="46" t="s">
        <v>579</v>
      </c>
      <c r="B28" s="47">
        <f t="shared" si="0"/>
        <v>1370</v>
      </c>
      <c r="C28" s="48"/>
      <c r="D28" s="49">
        <v>25</v>
      </c>
      <c r="E28" s="49">
        <v>41</v>
      </c>
      <c r="F28" s="49" t="s">
        <v>544</v>
      </c>
      <c r="G28" s="49"/>
      <c r="H28" s="50" t="str">
        <f>IF($B28="","",IF($J28="X",B28,CONCATENATE(VLOOKUP(B28,Competitors!$A$2:$I$650,3,FALSE)," ",VLOOKUP(B28,Competitors!$A$2:$I$650,2,FALSE))))</f>
        <v>Ian Aldridge</v>
      </c>
      <c r="I28" s="51">
        <f t="shared" si="1"/>
        <v>1.7835648148148149E-2</v>
      </c>
      <c r="J28" t="str">
        <f t="shared" si="2"/>
        <v/>
      </c>
    </row>
    <row r="29" spans="1:10" ht="15">
      <c r="A29" s="46" t="s">
        <v>433</v>
      </c>
      <c r="B29" s="47">
        <f t="shared" si="0"/>
        <v>1109</v>
      </c>
      <c r="C29" s="48"/>
      <c r="D29" s="49">
        <v>27</v>
      </c>
      <c r="E29" s="49">
        <v>32</v>
      </c>
      <c r="F29" s="49" t="s">
        <v>544</v>
      </c>
      <c r="G29" s="49"/>
      <c r="H29" s="50" t="str">
        <f>IF($B29="","",IF($J29="X",B29,CONCATENATE(VLOOKUP(B29,Competitors!$A$2:$I$650,3,FALSE)," ",VLOOKUP(B29,Competitors!$A$2:$I$650,2,FALSE))))</f>
        <v>Stuart Haycox</v>
      </c>
      <c r="I29" s="51">
        <f t="shared" si="1"/>
        <v>1.9120370370370371E-2</v>
      </c>
      <c r="J29" t="str">
        <f t="shared" si="2"/>
        <v/>
      </c>
    </row>
    <row r="30" spans="1:10" ht="15">
      <c r="A30" s="46" t="s">
        <v>414</v>
      </c>
      <c r="B30" s="47">
        <f t="shared" si="0"/>
        <v>699</v>
      </c>
      <c r="C30" s="48"/>
      <c r="D30" s="49">
        <v>24</v>
      </c>
      <c r="E30" s="49">
        <v>28</v>
      </c>
      <c r="F30" s="49"/>
      <c r="G30" s="49"/>
      <c r="H30" s="50" t="str">
        <f>IF($B30="","",IF($J30="X",B30,CONCATENATE(VLOOKUP(B30,Competitors!$A$2:$I$650,3,FALSE)," ",VLOOKUP(B30,Competitors!$A$2:$I$650,2,FALSE))))</f>
        <v>Jonathan Durnin</v>
      </c>
      <c r="I30" s="51">
        <f t="shared" si="1"/>
        <v>1.699074074074074E-2</v>
      </c>
      <c r="J30" t="str">
        <f t="shared" si="2"/>
        <v/>
      </c>
    </row>
    <row r="31" spans="1:10" ht="15">
      <c r="A31" s="46" t="s">
        <v>741</v>
      </c>
      <c r="B31" s="47">
        <f t="shared" si="0"/>
        <v>1200</v>
      </c>
      <c r="C31" s="48"/>
      <c r="D31" s="49">
        <v>31</v>
      </c>
      <c r="E31" s="49">
        <v>45</v>
      </c>
      <c r="F31" s="49" t="s">
        <v>544</v>
      </c>
      <c r="G31" s="49"/>
      <c r="H31" s="50" t="str">
        <f>IF($B31="","",IF($J31="X",B31,CONCATENATE(VLOOKUP(B31,Competitors!$A$2:$I$650,3,FALSE)," ",VLOOKUP(B31,Competitors!$A$2:$I$650,2,FALSE))))</f>
        <v>Jules Wilks</v>
      </c>
      <c r="I31" s="51">
        <f t="shared" si="1"/>
        <v>2.2048611111111113E-2</v>
      </c>
      <c r="J31" t="str">
        <f t="shared" si="2"/>
        <v/>
      </c>
    </row>
    <row r="32" spans="1:10" ht="15">
      <c r="A32" s="46" t="s">
        <v>505</v>
      </c>
      <c r="B32" s="47" t="str">
        <f t="shared" si="0"/>
        <v>Jonathon Clarke (Ratae)</v>
      </c>
      <c r="C32" s="48"/>
      <c r="D32" s="49">
        <v>27</v>
      </c>
      <c r="E32" s="49">
        <v>56</v>
      </c>
      <c r="F32" s="49"/>
      <c r="G32" s="49"/>
      <c r="H32" s="50" t="str">
        <f>IF($B32="","",IF($J32="X",B32,CONCATENATE(VLOOKUP(B32,Competitors!$A$2:$I$650,3,FALSE)," ",VLOOKUP(B32,Competitors!$A$2:$I$650,2,FALSE))))</f>
        <v>Jonathon Clarke (Ratae)</v>
      </c>
      <c r="I32" s="51">
        <f t="shared" si="1"/>
        <v>1.9398148148148147E-2</v>
      </c>
      <c r="J32" t="str">
        <f t="shared" si="2"/>
        <v>X</v>
      </c>
    </row>
    <row r="33" spans="1:10" ht="15">
      <c r="A33" s="46" t="s">
        <v>685</v>
      </c>
      <c r="B33" s="47" t="str">
        <f t="shared" si="0"/>
        <v>Steve Walsh (LFCC)</v>
      </c>
      <c r="C33" s="48"/>
      <c r="D33" s="49">
        <v>29</v>
      </c>
      <c r="E33" s="49">
        <v>17</v>
      </c>
      <c r="F33" s="49"/>
      <c r="G33" s="49"/>
      <c r="H33" s="50" t="str">
        <f>IF($B33="","",IF($J33="X",B33,CONCATENATE(VLOOKUP(B33,Competitors!$A$2:$I$650,3,FALSE)," ",VLOOKUP(B33,Competitors!$A$2:$I$650,2,FALSE))))</f>
        <v>Steve Walsh (LFCC)</v>
      </c>
      <c r="I33" s="51">
        <f t="shared" si="1"/>
        <v>2.0335648148148148E-2</v>
      </c>
      <c r="J33" t="str">
        <f t="shared" si="2"/>
        <v>X</v>
      </c>
    </row>
    <row r="34" spans="1:10" ht="15">
      <c r="A34" s="46" t="s">
        <v>443</v>
      </c>
      <c r="B34" s="47">
        <f t="shared" ref="B34:B97" si="3">IF(A34="","",_xlfn.XLOOKUP(A34,ClubNames,ClubNumbers,_xlfn.XLOOKUP(A34,RoundRobinRiderNames,RoundRobinRiderDecoratedNames,A34)))</f>
        <v>1193</v>
      </c>
      <c r="C34" s="48"/>
      <c r="D34" s="49">
        <v>28</v>
      </c>
      <c r="E34" s="49">
        <v>21</v>
      </c>
      <c r="F34" s="49" t="s">
        <v>544</v>
      </c>
      <c r="G34" s="49"/>
      <c r="H34" s="50" t="str">
        <f>IF($B34="","",IF($J34="X",B34,CONCATENATE(VLOOKUP(B34,Competitors!$A$2:$I$650,3,FALSE)," ",VLOOKUP(B34,Competitors!$A$2:$I$650,2,FALSE))))</f>
        <v>Richard Hardwicke</v>
      </c>
      <c r="I34" s="51">
        <f t="shared" si="1"/>
        <v>1.96875E-2</v>
      </c>
      <c r="J34" t="str">
        <f t="shared" si="2"/>
        <v/>
      </c>
    </row>
    <row r="35" spans="1:10" ht="15">
      <c r="A35" s="46" t="s">
        <v>437</v>
      </c>
      <c r="B35" s="47">
        <f t="shared" si="3"/>
        <v>1195</v>
      </c>
      <c r="C35" s="48"/>
      <c r="D35" s="49">
        <v>26</v>
      </c>
      <c r="E35" s="49">
        <v>9</v>
      </c>
      <c r="F35" s="49" t="s">
        <v>544</v>
      </c>
      <c r="G35" s="49"/>
      <c r="H35" s="50" t="str">
        <f>IF($B35="","",IF($J35="X",B35,CONCATENATE(VLOOKUP(B35,Competitors!$A$2:$I$650,3,FALSE)," ",VLOOKUP(B35,Competitors!$A$2:$I$650,2,FALSE))))</f>
        <v>Charlie Hardwicke</v>
      </c>
      <c r="I35" s="51">
        <f t="shared" si="1"/>
        <v>1.8159722222222223E-2</v>
      </c>
      <c r="J35" t="str">
        <f t="shared" si="2"/>
        <v/>
      </c>
    </row>
    <row r="36" spans="1:10" ht="15">
      <c r="A36" s="46" t="s">
        <v>636</v>
      </c>
      <c r="B36" s="47" t="str">
        <f t="shared" si="3"/>
        <v>Umair Nurgat (Gapped RT)</v>
      </c>
      <c r="C36" s="48"/>
      <c r="D36" s="49">
        <v>26</v>
      </c>
      <c r="E36" s="49">
        <v>19</v>
      </c>
      <c r="F36" s="49"/>
      <c r="G36" s="49"/>
      <c r="H36" s="50" t="str">
        <f>IF($B36="","",IF($J36="X",B36,CONCATENATE(VLOOKUP(B36,Competitors!$A$2:$I$650,3,FALSE)," ",VLOOKUP(B36,Competitors!$A$2:$I$650,2,FALSE))))</f>
        <v>Umair Nurgat (Gapped RT)</v>
      </c>
      <c r="I36" s="51">
        <f t="shared" si="1"/>
        <v>1.8275462962962962E-2</v>
      </c>
      <c r="J36" t="str">
        <f t="shared" si="2"/>
        <v>X</v>
      </c>
    </row>
    <row r="37" spans="1:10" ht="15">
      <c r="A37" s="46" t="s">
        <v>780</v>
      </c>
      <c r="B37" s="47" t="str">
        <f t="shared" si="3"/>
        <v>Geoff Stanbridge (Fenland Clarion) (Ratae)</v>
      </c>
      <c r="C37" s="48"/>
      <c r="D37" s="49">
        <v>40</v>
      </c>
      <c r="E37" s="49">
        <v>28</v>
      </c>
      <c r="F37" s="49"/>
      <c r="G37" s="49"/>
      <c r="H37" s="50" t="str">
        <f>IF($B37="","",IF($J37="X",B37,CONCATENATE(VLOOKUP(B37,Competitors!$A$2:$I$650,3,FALSE)," ",VLOOKUP(B37,Competitors!$A$2:$I$650,2,FALSE))))</f>
        <v>Geoff Stanbridge (Fenland Clarion) (Ratae)</v>
      </c>
      <c r="I37" s="51">
        <f t="shared" si="1"/>
        <v>2.8101851851851854E-2</v>
      </c>
      <c r="J37" t="str">
        <f t="shared" si="2"/>
        <v>X</v>
      </c>
    </row>
    <row r="38" spans="1:10" ht="15">
      <c r="A38" s="46" t="s">
        <v>488</v>
      </c>
      <c r="B38" s="47" t="str">
        <f t="shared" si="3"/>
        <v>Sam Nettel (LFCC)</v>
      </c>
      <c r="C38" s="48"/>
      <c r="D38" s="49">
        <v>24</v>
      </c>
      <c r="E38" s="49">
        <v>26</v>
      </c>
      <c r="F38" s="49"/>
      <c r="G38" s="49"/>
      <c r="H38" s="50" t="str">
        <f>IF($B38="","",IF($J38="X",B38,CONCATENATE(VLOOKUP(B38,Competitors!$A$2:$I$650,3,FALSE)," ",VLOOKUP(B38,Competitors!$A$2:$I$650,2,FALSE))))</f>
        <v>Sam Nettel (LFCC)</v>
      </c>
      <c r="I38" s="51">
        <f t="shared" si="1"/>
        <v>1.6967592592592593E-2</v>
      </c>
      <c r="J38" t="str">
        <f t="shared" si="2"/>
        <v>X</v>
      </c>
    </row>
    <row r="39" spans="1:10" ht="15">
      <c r="A39" s="46" t="s">
        <v>421</v>
      </c>
      <c r="B39" s="47">
        <f t="shared" si="3"/>
        <v>415</v>
      </c>
      <c r="C39" s="48"/>
      <c r="D39" s="49">
        <v>26</v>
      </c>
      <c r="E39" s="49">
        <v>1</v>
      </c>
      <c r="F39" s="49" t="s">
        <v>544</v>
      </c>
      <c r="G39" s="49"/>
      <c r="H39" s="50" t="str">
        <f>IF($B39="","",IF($J39="X",B39,CONCATENATE(VLOOKUP(B39,Competitors!$A$2:$I$650,3,FALSE)," ",VLOOKUP(B39,Competitors!$A$2:$I$650,2,FALSE))))</f>
        <v>Nik Kershaw</v>
      </c>
      <c r="I39" s="51">
        <f t="shared" si="1"/>
        <v>1.8067129629629631E-2</v>
      </c>
      <c r="J39" t="str">
        <f t="shared" si="2"/>
        <v/>
      </c>
    </row>
    <row r="40" spans="1:10" ht="15">
      <c r="A40" s="46" t="s">
        <v>689</v>
      </c>
      <c r="B40" s="47" t="str">
        <f t="shared" si="3"/>
        <v>Ali Nurgat (BOB CC)</v>
      </c>
      <c r="C40" s="48"/>
      <c r="D40" s="49">
        <v>28</v>
      </c>
      <c r="E40" s="49">
        <v>1</v>
      </c>
      <c r="F40" s="49"/>
      <c r="G40" s="49"/>
      <c r="H40" s="50" t="str">
        <f>IF($B40="","",IF($J40="X",B40,CONCATENATE(VLOOKUP(B40,Competitors!$A$2:$I$650,3,FALSE)," ",VLOOKUP(B40,Competitors!$A$2:$I$650,2,FALSE))))</f>
        <v>Ali Nurgat (BOB CC)</v>
      </c>
      <c r="I40" s="51">
        <f t="shared" si="1"/>
        <v>1.9456018518518518E-2</v>
      </c>
      <c r="J40" t="str">
        <f t="shared" si="2"/>
        <v>X</v>
      </c>
    </row>
    <row r="41" spans="1:10" ht="15">
      <c r="A41" s="46" t="s">
        <v>422</v>
      </c>
      <c r="B41" s="47">
        <f t="shared" si="3"/>
        <v>1407</v>
      </c>
      <c r="C41" s="48"/>
      <c r="D41" s="49">
        <v>25</v>
      </c>
      <c r="E41" s="49">
        <v>31</v>
      </c>
      <c r="F41" s="49" t="s">
        <v>544</v>
      </c>
      <c r="G41" s="49"/>
      <c r="H41" s="50" t="str">
        <f>IF($B41="","",IF($J41="X",B41,CONCATENATE(VLOOKUP(B41,Competitors!$A$2:$I$650,3,FALSE)," ",VLOOKUP(B41,Competitors!$A$2:$I$650,2,FALSE))))</f>
        <v>Colin Dobson</v>
      </c>
      <c r="I41" s="51">
        <f t="shared" si="1"/>
        <v>1.7719907407407406E-2</v>
      </c>
      <c r="J41" t="str">
        <f t="shared" si="2"/>
        <v/>
      </c>
    </row>
    <row r="42" spans="1:10" ht="15">
      <c r="A42" s="46"/>
      <c r="B42" s="47" t="str">
        <f t="shared" si="3"/>
        <v/>
      </c>
      <c r="C42" s="48"/>
      <c r="D42" s="49"/>
      <c r="E42" s="49"/>
      <c r="F42" s="49"/>
      <c r="G42" s="49"/>
      <c r="H42" s="50" t="str">
        <f>IF($B42="","",IF($J42="X",B42,CONCATENATE(VLOOKUP(B42,Competitors!$A$2:$I$650,3,FALSE)," ",VLOOKUP(B42,Competitors!$A$2:$I$650,2,FALSE))))</f>
        <v/>
      </c>
      <c r="I42" s="51">
        <f t="shared" si="1"/>
        <v>0</v>
      </c>
      <c r="J42" t="str">
        <f t="shared" si="2"/>
        <v/>
      </c>
    </row>
    <row r="43" spans="1:10" ht="15">
      <c r="A43" s="46"/>
      <c r="B43" s="47" t="str">
        <f t="shared" si="3"/>
        <v/>
      </c>
      <c r="C43" s="48"/>
      <c r="D43" s="49"/>
      <c r="E43" s="49"/>
      <c r="F43" s="49"/>
      <c r="G43" s="49"/>
      <c r="H43" s="50" t="str">
        <f>IF($B43="","",IF($J43="X",B43,CONCATENATE(VLOOKUP(B43,Competitors!$A$2:$I$650,3,FALSE)," ",VLOOKUP(B43,Competitors!$A$2:$I$650,2,FALSE))))</f>
        <v/>
      </c>
      <c r="I43" s="51">
        <f t="shared" si="1"/>
        <v>0</v>
      </c>
      <c r="J43" t="str">
        <f t="shared" si="2"/>
        <v/>
      </c>
    </row>
    <row r="44" spans="1:10" ht="15">
      <c r="A44" s="46"/>
      <c r="B44" s="47" t="str">
        <f t="shared" si="3"/>
        <v/>
      </c>
      <c r="C44" s="48"/>
      <c r="D44" s="49"/>
      <c r="E44" s="49"/>
      <c r="F44" s="49"/>
      <c r="G44" s="49"/>
      <c r="H44" s="50" t="str">
        <f>IF($B44="","",IF($J44="X",B44,CONCATENATE(VLOOKUP(B44,Competitors!$A$2:$I$650,3,FALSE)," ",VLOOKUP(B44,Competitors!$A$2:$I$650,2,FALSE))))</f>
        <v/>
      </c>
      <c r="I44" s="51">
        <f t="shared" si="1"/>
        <v>0</v>
      </c>
      <c r="J44" t="str">
        <f t="shared" si="2"/>
        <v/>
      </c>
    </row>
    <row r="45" spans="1:10" ht="15">
      <c r="A45" s="46"/>
      <c r="B45" s="47" t="str">
        <f t="shared" si="3"/>
        <v/>
      </c>
      <c r="C45" s="48"/>
      <c r="D45" s="49"/>
      <c r="E45" s="49"/>
      <c r="F45" s="49"/>
      <c r="G45" s="49"/>
      <c r="H45" s="50" t="str">
        <f>IF($B45="","",IF($J45="X",B45,CONCATENATE(VLOOKUP(B45,Competitors!$A$2:$I$650,3,FALSE)," ",VLOOKUP(B45,Competitors!$A$2:$I$650,2,FALSE))))</f>
        <v/>
      </c>
      <c r="I45" s="51">
        <f t="shared" si="1"/>
        <v>0</v>
      </c>
      <c r="J45" t="str">
        <f t="shared" si="2"/>
        <v/>
      </c>
    </row>
    <row r="46" spans="1:10" ht="15">
      <c r="A46" s="46"/>
      <c r="B46" s="47" t="str">
        <f t="shared" si="3"/>
        <v/>
      </c>
      <c r="C46" s="48"/>
      <c r="D46" s="49"/>
      <c r="E46" s="49"/>
      <c r="F46" s="49"/>
      <c r="G46" s="49"/>
      <c r="H46" s="50" t="str">
        <f>IF($B46="","",IF($J46="X",B46,CONCATENATE(VLOOKUP(B46,Competitors!$A$2:$I$650,3,FALSE)," ",VLOOKUP(B46,Competitors!$A$2:$I$650,2,FALSE))))</f>
        <v/>
      </c>
      <c r="I46" s="51">
        <f t="shared" si="1"/>
        <v>0</v>
      </c>
      <c r="J46" t="str">
        <f t="shared" si="2"/>
        <v/>
      </c>
    </row>
    <row r="47" spans="1:10" ht="15">
      <c r="A47" s="46"/>
      <c r="B47" s="47" t="str">
        <f t="shared" si="3"/>
        <v/>
      </c>
      <c r="C47" s="48"/>
      <c r="D47" s="49"/>
      <c r="E47" s="49"/>
      <c r="F47" s="49"/>
      <c r="G47" s="49"/>
      <c r="H47" s="50" t="str">
        <f>IF($B47="","",IF($J47="X",B47,CONCATENATE(VLOOKUP(B47,Competitors!$A$2:$I$650,3,FALSE)," ",VLOOKUP(B47,Competitors!$A$2:$I$650,2,FALSE))))</f>
        <v/>
      </c>
      <c r="I47" s="51">
        <f t="shared" si="1"/>
        <v>0</v>
      </c>
      <c r="J47" t="str">
        <f t="shared" si="2"/>
        <v/>
      </c>
    </row>
    <row r="48" spans="1:10" ht="15">
      <c r="A48" s="46"/>
      <c r="B48" s="47" t="str">
        <f t="shared" si="3"/>
        <v/>
      </c>
      <c r="C48" s="48"/>
      <c r="D48" s="49"/>
      <c r="E48" s="49"/>
      <c r="F48" s="49"/>
      <c r="G48" s="49"/>
      <c r="H48" s="50" t="str">
        <f>IF($B48="","",IF($J48="X",B48,CONCATENATE(VLOOKUP(B48,Competitors!$A$2:$I$650,3,FALSE)," ",VLOOKUP(B48,Competitors!$A$2:$I$650,2,FALSE))))</f>
        <v/>
      </c>
      <c r="I48" s="51">
        <f t="shared" si="1"/>
        <v>0</v>
      </c>
      <c r="J48" t="str">
        <f t="shared" si="2"/>
        <v/>
      </c>
    </row>
    <row r="49" spans="1:10" ht="15">
      <c r="A49" s="46"/>
      <c r="B49" s="47" t="str">
        <f t="shared" si="3"/>
        <v/>
      </c>
      <c r="C49" s="48"/>
      <c r="D49" s="49"/>
      <c r="E49" s="49"/>
      <c r="F49" s="49"/>
      <c r="G49" s="49"/>
      <c r="H49" s="50" t="str">
        <f>IF($B49="","",IF($J49="X",B49,CONCATENATE(VLOOKUP(B49,Competitors!$A$2:$I$650,3,FALSE)," ",VLOOKUP(B49,Competitors!$A$2:$I$650,2,FALSE))))</f>
        <v/>
      </c>
      <c r="I49" s="51">
        <f t="shared" si="1"/>
        <v>0</v>
      </c>
      <c r="J49" t="str">
        <f t="shared" si="2"/>
        <v/>
      </c>
    </row>
    <row r="50" spans="1:10" ht="15">
      <c r="A50" s="46"/>
      <c r="B50" s="47" t="str">
        <f t="shared" si="3"/>
        <v/>
      </c>
      <c r="C50" s="48"/>
      <c r="D50" s="49"/>
      <c r="E50" s="49"/>
      <c r="F50" s="49"/>
      <c r="G50" s="49"/>
      <c r="H50" s="50" t="str">
        <f>IF($B50="","",IF($J50="X",B50,CONCATENATE(VLOOKUP(B50,Competitors!$A$2:$I$650,3,FALSE)," ",VLOOKUP(B50,Competitors!$A$2:$I$650,2,FALSE))))</f>
        <v/>
      </c>
      <c r="I50" s="51">
        <f t="shared" si="1"/>
        <v>0</v>
      </c>
      <c r="J50" t="str">
        <f t="shared" si="2"/>
        <v/>
      </c>
    </row>
    <row r="51" spans="1:10" ht="15">
      <c r="A51" s="46"/>
      <c r="B51" s="47" t="str">
        <f t="shared" si="3"/>
        <v/>
      </c>
      <c r="C51" s="48"/>
      <c r="D51" s="49"/>
      <c r="E51" s="49"/>
      <c r="F51" s="49"/>
      <c r="G51" s="49"/>
      <c r="H51" s="50" t="str">
        <f>IF($B51="","",IF($J51="X",B51,CONCATENATE(VLOOKUP(B51,Competitors!$A$2:$I$650,3,FALSE)," ",VLOOKUP(B51,Competitors!$A$2:$I$650,2,FALSE))))</f>
        <v/>
      </c>
      <c r="I51" s="51">
        <f t="shared" si="1"/>
        <v>0</v>
      </c>
      <c r="J51" t="str">
        <f t="shared" si="2"/>
        <v/>
      </c>
    </row>
    <row r="52" spans="1:10" ht="15">
      <c r="A52" s="46"/>
      <c r="B52" s="47" t="str">
        <f t="shared" si="3"/>
        <v/>
      </c>
      <c r="C52" s="48"/>
      <c r="D52" s="49"/>
      <c r="E52" s="49"/>
      <c r="F52" s="49"/>
      <c r="G52" s="49"/>
      <c r="H52" s="50" t="str">
        <f>IF($B52="","",IF($J52="X",B52,CONCATENATE(VLOOKUP(B52,Competitors!$A$2:$I$650,3,FALSE)," ",VLOOKUP(B52,Competitors!$A$2:$I$650,2,FALSE))))</f>
        <v/>
      </c>
      <c r="I52" s="51">
        <f t="shared" si="1"/>
        <v>0</v>
      </c>
      <c r="J52" t="str">
        <f t="shared" si="2"/>
        <v/>
      </c>
    </row>
    <row r="53" spans="1:10" ht="15">
      <c r="A53" s="46"/>
      <c r="B53" s="47" t="str">
        <f t="shared" si="3"/>
        <v/>
      </c>
      <c r="C53" s="48"/>
      <c r="D53" s="49"/>
      <c r="E53" s="49"/>
      <c r="F53" s="49"/>
      <c r="G53" s="49"/>
      <c r="H53" s="50" t="str">
        <f>IF($B53="","",IF($J53="X",B53,CONCATENATE(VLOOKUP(B53,Competitors!$A$2:$I$650,3,FALSE)," ",VLOOKUP(B53,Competitors!$A$2:$I$650,2,FALSE))))</f>
        <v/>
      </c>
      <c r="I53" s="51">
        <f t="shared" si="1"/>
        <v>0</v>
      </c>
      <c r="J53" t="str">
        <f t="shared" si="2"/>
        <v/>
      </c>
    </row>
    <row r="54" spans="1:10" ht="15">
      <c r="A54" s="46"/>
      <c r="B54" s="47" t="str">
        <f t="shared" si="3"/>
        <v/>
      </c>
      <c r="C54" s="48"/>
      <c r="D54" s="49"/>
      <c r="E54" s="49"/>
      <c r="F54" s="49"/>
      <c r="G54" s="49"/>
      <c r="H54" s="50" t="str">
        <f>IF($B54="","",IF($J54="X",B54,CONCATENATE(VLOOKUP(B54,Competitors!$A$2:$I$650,3,FALSE)," ",VLOOKUP(B54,Competitors!$A$2:$I$650,2,FALSE))))</f>
        <v/>
      </c>
      <c r="I54" s="51">
        <f t="shared" si="1"/>
        <v>0</v>
      </c>
      <c r="J54" t="str">
        <f t="shared" si="2"/>
        <v/>
      </c>
    </row>
    <row r="55" spans="1:10" ht="15">
      <c r="A55" s="46"/>
      <c r="B55" s="47" t="str">
        <f t="shared" si="3"/>
        <v/>
      </c>
      <c r="C55" s="48"/>
      <c r="D55" s="49"/>
      <c r="E55" s="49"/>
      <c r="F55" s="49"/>
      <c r="G55" s="49"/>
      <c r="H55" s="50" t="str">
        <f>IF($B55="","",IF($J55="X",B55,CONCATENATE(VLOOKUP(B55,Competitors!$A$2:$I$650,3,FALSE)," ",VLOOKUP(B55,Competitors!$A$2:$I$650,2,FALSE))))</f>
        <v/>
      </c>
      <c r="I55" s="51">
        <f t="shared" si="1"/>
        <v>0</v>
      </c>
      <c r="J55" t="str">
        <f t="shared" si="2"/>
        <v/>
      </c>
    </row>
    <row r="56" spans="1:10" ht="15">
      <c r="A56" s="46"/>
      <c r="B56" s="47" t="str">
        <f t="shared" si="3"/>
        <v/>
      </c>
      <c r="C56" s="48"/>
      <c r="D56" s="49"/>
      <c r="E56" s="49"/>
      <c r="F56" s="49"/>
      <c r="G56" s="49"/>
      <c r="H56" s="50" t="str">
        <f>IF($B56="","",IF($J56="X",B56,CONCATENATE(VLOOKUP(B56,Competitors!$A$2:$I$650,3,FALSE)," ",VLOOKUP(B56,Competitors!$A$2:$I$650,2,FALSE))))</f>
        <v/>
      </c>
      <c r="I56" s="51">
        <f t="shared" si="1"/>
        <v>0</v>
      </c>
      <c r="J56" t="str">
        <f t="shared" si="2"/>
        <v/>
      </c>
    </row>
    <row r="57" spans="1:10" ht="15">
      <c r="A57" s="46"/>
      <c r="B57" s="47" t="str">
        <f t="shared" si="3"/>
        <v/>
      </c>
      <c r="C57" s="48"/>
      <c r="D57" s="49"/>
      <c r="E57" s="49"/>
      <c r="F57" s="49"/>
      <c r="G57" s="49"/>
      <c r="H57" s="50" t="str">
        <f>IF($B57="","",IF($J57="X",B57,CONCATENATE(VLOOKUP(B57,Competitors!$A$2:$I$650,3,FALSE)," ",VLOOKUP(B57,Competitors!$A$2:$I$650,2,FALSE))))</f>
        <v/>
      </c>
      <c r="I57" s="51">
        <f t="shared" si="1"/>
        <v>0</v>
      </c>
      <c r="J57" t="str">
        <f t="shared" si="2"/>
        <v/>
      </c>
    </row>
    <row r="58" spans="1:10" ht="15">
      <c r="A58" s="46"/>
      <c r="B58" s="47" t="str">
        <f t="shared" si="3"/>
        <v/>
      </c>
      <c r="C58" s="48"/>
      <c r="D58" s="49"/>
      <c r="E58" s="49"/>
      <c r="F58" s="49"/>
      <c r="G58" s="49"/>
      <c r="H58" s="50" t="str">
        <f>IF($B58="","",IF($J58="X",B58,CONCATENATE(VLOOKUP(B58,Competitors!$A$2:$I$650,3,FALSE)," ",VLOOKUP(B58,Competitors!$A$2:$I$650,2,FALSE))))</f>
        <v/>
      </c>
      <c r="I58" s="51">
        <f t="shared" si="1"/>
        <v>0</v>
      </c>
      <c r="J58" t="str">
        <f t="shared" si="2"/>
        <v/>
      </c>
    </row>
    <row r="59" spans="1:10" ht="15">
      <c r="A59" s="46"/>
      <c r="B59" s="47" t="str">
        <f t="shared" si="3"/>
        <v/>
      </c>
      <c r="C59" s="48"/>
      <c r="D59" s="49"/>
      <c r="E59" s="49"/>
      <c r="F59" s="49"/>
      <c r="G59" s="49"/>
      <c r="H59" s="50" t="str">
        <f>IF($B59="","",IF($J59="X",B59,CONCATENATE(VLOOKUP(B59,Competitors!$A$2:$I$650,3,FALSE)," ",VLOOKUP(B59,Competitors!$A$2:$I$650,2,FALSE))))</f>
        <v/>
      </c>
      <c r="I59" s="51">
        <f t="shared" si="1"/>
        <v>0</v>
      </c>
      <c r="J59" t="str">
        <f t="shared" si="2"/>
        <v/>
      </c>
    </row>
    <row r="60" spans="1:10" ht="15">
      <c r="A60" s="46"/>
      <c r="B60" s="47" t="str">
        <f t="shared" si="3"/>
        <v/>
      </c>
      <c r="C60" s="48"/>
      <c r="D60" s="49"/>
      <c r="E60" s="49"/>
      <c r="F60" s="49"/>
      <c r="G60" s="49"/>
      <c r="H60" s="50" t="str">
        <f>IF($B60="","",IF($J60="X",B60,CONCATENATE(VLOOKUP(B60,Competitors!$A$2:$I$650,3,FALSE)," ",VLOOKUP(B60,Competitors!$A$2:$I$650,2,FALSE))))</f>
        <v/>
      </c>
      <c r="I60" s="51">
        <f t="shared" si="1"/>
        <v>0</v>
      </c>
      <c r="J60" t="str">
        <f t="shared" si="2"/>
        <v/>
      </c>
    </row>
    <row r="61" spans="1:10" ht="15">
      <c r="A61" s="46"/>
      <c r="B61" s="47" t="str">
        <f t="shared" si="3"/>
        <v/>
      </c>
      <c r="C61" s="48"/>
      <c r="D61" s="49"/>
      <c r="E61" s="49"/>
      <c r="F61" s="49"/>
      <c r="G61" s="49"/>
      <c r="H61" s="50" t="str">
        <f>IF($B61="","",IF($J61="X",B61,CONCATENATE(VLOOKUP(B61,Competitors!$A$2:$I$650,3,FALSE)," ",VLOOKUP(B61,Competitors!$A$2:$I$650,2,FALSE))))</f>
        <v/>
      </c>
      <c r="I61" s="51">
        <f t="shared" si="1"/>
        <v>0</v>
      </c>
      <c r="J61" t="str">
        <f t="shared" si="2"/>
        <v/>
      </c>
    </row>
    <row r="62" spans="1:10" ht="15">
      <c r="A62" s="46"/>
      <c r="B62" s="47" t="str">
        <f t="shared" si="3"/>
        <v/>
      </c>
      <c r="C62" s="48"/>
      <c r="D62" s="49"/>
      <c r="E62" s="49"/>
      <c r="F62" s="49"/>
      <c r="G62" s="49"/>
      <c r="H62" s="50" t="str">
        <f>IF($B62="","",IF($J62="X",B62,CONCATENATE(VLOOKUP(B62,Competitors!$A$2:$I$650,3,FALSE)," ",VLOOKUP(B62,Competitors!$A$2:$I$650,2,FALSE))))</f>
        <v/>
      </c>
      <c r="I62" s="51">
        <f t="shared" si="1"/>
        <v>0</v>
      </c>
      <c r="J62" t="str">
        <f t="shared" si="2"/>
        <v/>
      </c>
    </row>
    <row r="63" spans="1:10" ht="15">
      <c r="A63" s="46"/>
      <c r="B63" s="47" t="str">
        <f t="shared" si="3"/>
        <v/>
      </c>
      <c r="C63" s="48"/>
      <c r="D63" s="49"/>
      <c r="E63" s="49"/>
      <c r="F63" s="49"/>
      <c r="G63" s="49"/>
      <c r="H63" s="50" t="str">
        <f>IF($B63="","",IF($J63="X",B63,CONCATENATE(VLOOKUP(B63,Competitors!$A$2:$I$650,3,FALSE)," ",VLOOKUP(B63,Competitors!$A$2:$I$650,2,FALSE))))</f>
        <v/>
      </c>
      <c r="I63" s="51">
        <f t="shared" si="1"/>
        <v>0</v>
      </c>
      <c r="J63" t="str">
        <f t="shared" si="2"/>
        <v/>
      </c>
    </row>
    <row r="64" spans="1:10" ht="15">
      <c r="A64" s="46"/>
      <c r="B64" s="47" t="str">
        <f t="shared" si="3"/>
        <v/>
      </c>
      <c r="C64" s="48"/>
      <c r="D64" s="49"/>
      <c r="E64" s="49"/>
      <c r="F64" s="49"/>
      <c r="G64" s="49"/>
      <c r="H64" s="50" t="str">
        <f>IF($B64="","",IF($J64="X",B64,CONCATENATE(VLOOKUP(B64,Competitors!$A$2:$I$650,3,FALSE)," ",VLOOKUP(B64,Competitors!$A$2:$I$650,2,FALSE))))</f>
        <v/>
      </c>
      <c r="I64" s="51">
        <f t="shared" si="1"/>
        <v>0</v>
      </c>
      <c r="J64" t="str">
        <f t="shared" si="2"/>
        <v/>
      </c>
    </row>
    <row r="65" spans="1:10" ht="15">
      <c r="A65" s="46"/>
      <c r="B65" s="47" t="str">
        <f t="shared" si="3"/>
        <v/>
      </c>
      <c r="C65" s="48"/>
      <c r="D65" s="49"/>
      <c r="E65" s="49"/>
      <c r="F65" s="49"/>
      <c r="G65" s="49"/>
      <c r="H65" s="50" t="str">
        <f>IF($B65="","",IF($J65="X",B65,CONCATENATE(VLOOKUP(B65,Competitors!$A$2:$I$650,3,FALSE)," ",VLOOKUP(B65,Competitors!$A$2:$I$650,2,FALSE))))</f>
        <v/>
      </c>
      <c r="I65" s="51">
        <f t="shared" si="1"/>
        <v>0</v>
      </c>
      <c r="J65" t="str">
        <f t="shared" si="2"/>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4"/>
        <v>0</v>
      </c>
      <c r="J67" t="str">
        <f t="shared" si="5"/>
        <v/>
      </c>
    </row>
    <row r="68" spans="1:10" ht="15">
      <c r="A68" s="46"/>
      <c r="B68" s="47" t="str">
        <f t="shared" si="3"/>
        <v/>
      </c>
      <c r="C68" s="48"/>
      <c r="D68" s="49"/>
      <c r="E68" s="49"/>
      <c r="F68" s="49"/>
      <c r="G68" s="49"/>
      <c r="H68" s="50" t="str">
        <f>IF($B68="","",IF($J68="X",B68,CONCATENATE(VLOOKUP(B68,Competitors!$A$2:$I$650,3,FALSE)," ",VLOOKUP(B68,Competitors!$A$2:$I$650,2,FALSE))))</f>
        <v/>
      </c>
      <c r="I68" s="51">
        <f t="shared" si="4"/>
        <v>0</v>
      </c>
      <c r="J68" t="str">
        <f t="shared" si="5"/>
        <v/>
      </c>
    </row>
    <row r="69" spans="1:10" ht="15">
      <c r="A69" s="46"/>
      <c r="B69" s="47" t="str">
        <f t="shared" si="3"/>
        <v/>
      </c>
      <c r="C69" s="48"/>
      <c r="D69" s="49"/>
      <c r="E69" s="49"/>
      <c r="F69" s="49"/>
      <c r="G69" s="49"/>
      <c r="H69" s="50" t="str">
        <f>IF($B69="","",IF($J69="X",B69,CONCATENATE(VLOOKUP(B69,Competitors!$A$2:$I$650,3,FALSE)," ",VLOOKUP(B69,Competitors!$A$2:$I$650,2,FALSE))))</f>
        <v/>
      </c>
      <c r="I69" s="51">
        <f t="shared" si="4"/>
        <v>0</v>
      </c>
      <c r="J69" t="str">
        <f t="shared" si="5"/>
        <v/>
      </c>
    </row>
    <row r="70" spans="1:10" ht="15">
      <c r="A70" s="46"/>
      <c r="B70" s="47" t="str">
        <f t="shared" si="3"/>
        <v/>
      </c>
      <c r="C70" s="48"/>
      <c r="D70" s="49"/>
      <c r="E70" s="49"/>
      <c r="F70" s="49"/>
      <c r="G70" s="49"/>
      <c r="H70" s="50" t="str">
        <f>IF($B70="","",IF($J70="X",B70,CONCATENATE(VLOOKUP(B70,Competitors!$A$2:$I$650,3,FALSE)," ",VLOOKUP(B70,Competitors!$A$2:$I$650,2,FALSE))))</f>
        <v/>
      </c>
      <c r="I70" s="51">
        <f t="shared" si="4"/>
        <v>0</v>
      </c>
      <c r="J70" t="str">
        <f t="shared" si="5"/>
        <v/>
      </c>
    </row>
    <row r="71" spans="1:10" ht="15">
      <c r="A71" s="46"/>
      <c r="B71" s="47" t="str">
        <f t="shared" si="3"/>
        <v/>
      </c>
      <c r="C71" s="48"/>
      <c r="D71" s="49"/>
      <c r="E71" s="49"/>
      <c r="F71" s="49"/>
      <c r="G71" s="49"/>
      <c r="H71" s="50" t="str">
        <f>IF($B71="","",IF($J71="X",B71,CONCATENATE(VLOOKUP(B71,Competitors!$A$2:$I$650,3,FALSE)," ",VLOOKUP(B71,Competitors!$A$2:$I$650,2,FALSE))))</f>
        <v/>
      </c>
      <c r="I71" s="51">
        <f t="shared" si="4"/>
        <v>0</v>
      </c>
      <c r="J71" t="str">
        <f t="shared" si="5"/>
        <v/>
      </c>
    </row>
    <row r="72" spans="1:10" ht="15">
      <c r="A72" s="46"/>
      <c r="B72" s="47" t="str">
        <f t="shared" si="3"/>
        <v/>
      </c>
      <c r="C72" s="48"/>
      <c r="D72" s="49"/>
      <c r="E72" s="49"/>
      <c r="F72" s="49"/>
      <c r="G72" s="49"/>
      <c r="H72" s="50" t="str">
        <f>IF($B72="","",IF($J72="X",B72,CONCATENATE(VLOOKUP(B72,Competitors!$A$2:$I$650,3,FALSE)," ",VLOOKUP(B72,Competitors!$A$2:$I$650,2,FALSE))))</f>
        <v/>
      </c>
      <c r="I72" s="51">
        <f t="shared" si="4"/>
        <v>0</v>
      </c>
      <c r="J72" t="str">
        <f t="shared" si="5"/>
        <v/>
      </c>
    </row>
    <row r="73" spans="1:10" ht="15">
      <c r="A73" s="46"/>
      <c r="B73" s="47" t="str">
        <f t="shared" si="3"/>
        <v/>
      </c>
      <c r="C73" s="48"/>
      <c r="D73" s="49"/>
      <c r="E73" s="49"/>
      <c r="F73" s="49"/>
      <c r="G73" s="49"/>
      <c r="H73" s="50" t="str">
        <f>IF($B73="","",IF($J73="X",B73,CONCATENATE(VLOOKUP(B73,Competitors!$A$2:$I$650,3,FALSE)," ",VLOOKUP(B73,Competitors!$A$2:$I$650,2,FALSE))))</f>
        <v/>
      </c>
      <c r="I73" s="51">
        <f t="shared" si="4"/>
        <v>0</v>
      </c>
      <c r="J73" t="str">
        <f t="shared" si="5"/>
        <v/>
      </c>
    </row>
    <row r="74" spans="1:10" ht="15">
      <c r="A74" s="46"/>
      <c r="B74" s="47" t="str">
        <f t="shared" si="3"/>
        <v/>
      </c>
      <c r="C74" s="48"/>
      <c r="D74" s="49"/>
      <c r="E74" s="49"/>
      <c r="F74" s="49"/>
      <c r="G74" s="49"/>
      <c r="H74" s="50" t="str">
        <f>IF($B74="","",IF($J74="X",B74,CONCATENATE(VLOOKUP(B74,Competitors!$A$2:$I$650,3,FALSE)," ",VLOOKUP(B74,Competitors!$A$2:$I$650,2,FALSE))))</f>
        <v/>
      </c>
      <c r="I74" s="51">
        <f t="shared" si="4"/>
        <v>0</v>
      </c>
      <c r="J74" t="str">
        <f t="shared" si="5"/>
        <v/>
      </c>
    </row>
    <row r="75" spans="1:10" ht="15">
      <c r="A75" s="46"/>
      <c r="B75" s="47" t="str">
        <f t="shared" si="3"/>
        <v/>
      </c>
      <c r="C75" s="48"/>
      <c r="D75" s="49"/>
      <c r="E75" s="49"/>
      <c r="F75" s="49"/>
      <c r="G75" s="49"/>
      <c r="H75" s="50" t="str">
        <f>IF($B75="","",IF($J75="X",B75,CONCATENATE(VLOOKUP(B75,Competitors!$A$2:$I$650,3,FALSE)," ",VLOOKUP(B75,Competitors!$A$2:$I$650,2,FALSE))))</f>
        <v/>
      </c>
      <c r="I75" s="51">
        <f t="shared" si="4"/>
        <v>0</v>
      </c>
      <c r="J75" t="str">
        <f t="shared" si="5"/>
        <v/>
      </c>
    </row>
    <row r="76" spans="1:10" ht="15">
      <c r="A76" s="46"/>
      <c r="B76" s="47" t="str">
        <f t="shared" si="3"/>
        <v/>
      </c>
      <c r="C76" s="48"/>
      <c r="D76" s="49"/>
      <c r="E76" s="49"/>
      <c r="F76" s="49"/>
      <c r="G76" s="49"/>
      <c r="H76" s="50" t="str">
        <f>IF($B76="","",IF($J76="X",B76,CONCATENATE(VLOOKUP(B76,Competitors!$A$2:$I$650,3,FALSE)," ",VLOOKUP(B76,Competitors!$A$2:$I$650,2,FALSE))))</f>
        <v/>
      </c>
      <c r="I76" s="51">
        <f t="shared" si="4"/>
        <v>0</v>
      </c>
      <c r="J76" t="str">
        <f t="shared" si="5"/>
        <v/>
      </c>
    </row>
    <row r="77" spans="1:10" ht="15">
      <c r="A77" s="46"/>
      <c r="B77" s="47" t="str">
        <f t="shared" si="3"/>
        <v/>
      </c>
      <c r="C77" s="48"/>
      <c r="D77" s="49"/>
      <c r="E77" s="49"/>
      <c r="F77" s="49"/>
      <c r="G77" s="49"/>
      <c r="H77" s="50" t="str">
        <f>IF($B77="","",IF($J77="X",B77,CONCATENATE(VLOOKUP(B77,Competitors!$A$2:$I$650,3,FALSE)," ",VLOOKUP(B77,Competitors!$A$2:$I$650,2,FALSE))))</f>
        <v/>
      </c>
      <c r="I77" s="51">
        <f t="shared" si="4"/>
        <v>0</v>
      </c>
      <c r="J77" t="str">
        <f t="shared" si="5"/>
        <v/>
      </c>
    </row>
    <row r="78" spans="1:10" ht="15">
      <c r="A78" s="46"/>
      <c r="B78" s="47" t="str">
        <f t="shared" si="3"/>
        <v/>
      </c>
      <c r="C78" s="48"/>
      <c r="D78" s="49"/>
      <c r="E78" s="49"/>
      <c r="F78" s="49"/>
      <c r="G78" s="49"/>
      <c r="H78" s="50" t="str">
        <f>IF($B78="","",IF($J78="X",B78,CONCATENATE(VLOOKUP(B78,Competitors!$A$2:$I$650,3,FALSE)," ",VLOOKUP(B78,Competitors!$A$2:$I$650,2,FALSE))))</f>
        <v/>
      </c>
      <c r="I78" s="51">
        <f t="shared" si="4"/>
        <v>0</v>
      </c>
      <c r="J78" t="str">
        <f t="shared" si="5"/>
        <v/>
      </c>
    </row>
    <row r="79" spans="1:10" ht="15">
      <c r="A79" s="46"/>
      <c r="B79" s="47" t="str">
        <f t="shared" si="3"/>
        <v/>
      </c>
      <c r="C79" s="48"/>
      <c r="D79" s="49"/>
      <c r="E79" s="49"/>
      <c r="F79" s="49"/>
      <c r="G79" s="49"/>
      <c r="H79" s="50" t="str">
        <f>IF($B79="","",IF($J79="X",B79,CONCATENATE(VLOOKUP(B79,Competitors!$A$2:$I$650,3,FALSE)," ",VLOOKUP(B79,Competitors!$A$2:$I$650,2,FALSE))))</f>
        <v/>
      </c>
      <c r="I79" s="51">
        <f t="shared" si="4"/>
        <v>0</v>
      </c>
      <c r="J79" t="str">
        <f t="shared" si="5"/>
        <v/>
      </c>
    </row>
    <row r="80" spans="1:10" ht="15">
      <c r="A80" s="46"/>
      <c r="B80" s="47" t="str">
        <f t="shared" si="3"/>
        <v/>
      </c>
      <c r="C80" s="48"/>
      <c r="D80" s="49"/>
      <c r="E80" s="49"/>
      <c r="F80" s="49"/>
      <c r="G80" s="49"/>
      <c r="H80" s="50" t="str">
        <f>IF($B80="","",IF($J80="X",B80,CONCATENATE(VLOOKUP(B80,Competitors!$A$2:$I$650,3,FALSE)," ",VLOOKUP(B80,Competitors!$A$2:$I$650,2,FALSE))))</f>
        <v/>
      </c>
      <c r="I80" s="51">
        <f t="shared" si="4"/>
        <v>0</v>
      </c>
      <c r="J80" t="str">
        <f t="shared" si="5"/>
        <v/>
      </c>
    </row>
    <row r="81" spans="1:10" ht="15">
      <c r="A81" s="46"/>
      <c r="B81" s="47" t="str">
        <f t="shared" si="3"/>
        <v/>
      </c>
      <c r="C81" s="48"/>
      <c r="D81" s="49"/>
      <c r="E81" s="49"/>
      <c r="F81" s="49"/>
      <c r="G81" s="49"/>
      <c r="H81" s="50" t="str">
        <f>IF($B81="","",IF($J81="X",B81,CONCATENATE(VLOOKUP(B81,Competitors!$A$2:$I$650,3,FALSE)," ",VLOOKUP(B81,Competitors!$A$2:$I$650,2,FALSE))))</f>
        <v/>
      </c>
      <c r="I81" s="51">
        <f t="shared" si="4"/>
        <v>0</v>
      </c>
      <c r="J81" t="str">
        <f t="shared" si="5"/>
        <v/>
      </c>
    </row>
    <row r="82" spans="1:10" ht="15">
      <c r="A82" s="46"/>
      <c r="B82" s="47" t="str">
        <f t="shared" si="3"/>
        <v/>
      </c>
      <c r="C82" s="48"/>
      <c r="D82" s="49"/>
      <c r="E82" s="49"/>
      <c r="F82" s="49"/>
      <c r="G82" s="49"/>
      <c r="H82" s="50" t="str">
        <f>IF($B82="","",IF($J82="X",B82,CONCATENATE(VLOOKUP(B82,Competitors!$A$2:$I$650,3,FALSE)," ",VLOOKUP(B82,Competitors!$A$2:$I$650,2,FALSE))))</f>
        <v/>
      </c>
      <c r="I82" s="51">
        <f t="shared" si="4"/>
        <v>0</v>
      </c>
      <c r="J82" t="str">
        <f t="shared" si="5"/>
        <v/>
      </c>
    </row>
    <row r="83" spans="1:10" ht="15">
      <c r="A83" s="46"/>
      <c r="B83" s="47" t="str">
        <f t="shared" si="3"/>
        <v/>
      </c>
      <c r="C83" s="48"/>
      <c r="D83" s="49"/>
      <c r="E83" s="49"/>
      <c r="F83" s="49"/>
      <c r="G83" s="49"/>
      <c r="H83" s="50" t="str">
        <f>IF($B83="","",IF($J83="X",B83,CONCATENATE(VLOOKUP(B83,Competitors!$A$2:$I$650,3,FALSE)," ",VLOOKUP(B83,Competitors!$A$2:$I$650,2,FALSE))))</f>
        <v/>
      </c>
      <c r="I83" s="51">
        <f t="shared" si="4"/>
        <v>0</v>
      </c>
      <c r="J83" t="str">
        <f t="shared" si="5"/>
        <v/>
      </c>
    </row>
    <row r="84" spans="1:10" ht="15">
      <c r="A84" s="46"/>
      <c r="B84" s="47" t="str">
        <f t="shared" si="3"/>
        <v/>
      </c>
      <c r="C84" s="48"/>
      <c r="D84" s="49"/>
      <c r="E84" s="49"/>
      <c r="F84" s="49"/>
      <c r="G84" s="49"/>
      <c r="H84" s="50" t="str">
        <f>IF($B84="","",IF($J84="X",B84,CONCATENATE(VLOOKUP(B84,Competitors!$A$2:$I$650,3,FALSE)," ",VLOOKUP(B84,Competitors!$A$2:$I$650,2,FALSE))))</f>
        <v/>
      </c>
      <c r="I84" s="51">
        <f t="shared" si="4"/>
        <v>0</v>
      </c>
      <c r="J84" t="str">
        <f t="shared" si="5"/>
        <v/>
      </c>
    </row>
    <row r="85" spans="1:10" ht="15">
      <c r="A85" s="46"/>
      <c r="B85" s="47" t="str">
        <f t="shared" si="3"/>
        <v/>
      </c>
      <c r="C85" s="48"/>
      <c r="D85" s="49"/>
      <c r="E85" s="49"/>
      <c r="F85" s="49"/>
      <c r="G85" s="49"/>
      <c r="H85" s="50" t="str">
        <f>IF($B85="","",IF($J85="X",B85,CONCATENATE(VLOOKUP(B85,Competitors!$A$2:$I$650,3,FALSE)," ",VLOOKUP(B85,Competitors!$A$2:$I$650,2,FALSE))))</f>
        <v/>
      </c>
      <c r="I85" s="51">
        <f t="shared" si="4"/>
        <v>0</v>
      </c>
      <c r="J85" t="str">
        <f t="shared" si="5"/>
        <v/>
      </c>
    </row>
    <row r="86" spans="1:10" ht="15">
      <c r="A86" s="46"/>
      <c r="B86" s="47" t="str">
        <f t="shared" si="3"/>
        <v/>
      </c>
      <c r="C86" s="48"/>
      <c r="D86" s="49"/>
      <c r="E86" s="49"/>
      <c r="F86" s="49"/>
      <c r="G86" s="49"/>
      <c r="H86" s="50" t="str">
        <f>IF($B86="","",IF($J86="X",B86,CONCATENATE(VLOOKUP(B86,Competitors!$A$2:$I$650,3,FALSE)," ",VLOOKUP(B86,Competitors!$A$2:$I$650,2,FALSE))))</f>
        <v/>
      </c>
      <c r="I86" s="51">
        <f t="shared" si="4"/>
        <v>0</v>
      </c>
      <c r="J86" t="str">
        <f t="shared" si="5"/>
        <v/>
      </c>
    </row>
    <row r="87" spans="1:10" ht="15">
      <c r="A87" s="46"/>
      <c r="B87" s="47" t="str">
        <f t="shared" si="3"/>
        <v/>
      </c>
      <c r="C87" s="48"/>
      <c r="D87" s="49"/>
      <c r="E87" s="49"/>
      <c r="F87" s="49"/>
      <c r="G87" s="49"/>
      <c r="H87" s="50" t="str">
        <f>IF($B87="","",IF($J87="X",B87,CONCATENATE(VLOOKUP(B87,Competitors!$A$2:$I$650,3,FALSE)," ",VLOOKUP(B87,Competitors!$A$2:$I$650,2,FALSE))))</f>
        <v/>
      </c>
      <c r="I87" s="51">
        <f t="shared" si="4"/>
        <v>0</v>
      </c>
      <c r="J87" t="str">
        <f t="shared" si="5"/>
        <v/>
      </c>
    </row>
    <row r="88" spans="1:10" ht="15">
      <c r="A88" s="46"/>
      <c r="B88" s="47" t="str">
        <f t="shared" si="3"/>
        <v/>
      </c>
      <c r="C88" s="48"/>
      <c r="D88" s="49"/>
      <c r="E88" s="49"/>
      <c r="F88" s="49"/>
      <c r="G88" s="49"/>
      <c r="H88" s="50" t="str">
        <f>IF($B88="","",IF($J88="X",B88,CONCATENATE(VLOOKUP(B88,Competitors!$A$2:$I$650,3,FALSE)," ",VLOOKUP(B88,Competitors!$A$2:$I$650,2,FALSE))))</f>
        <v/>
      </c>
      <c r="I88" s="51">
        <f t="shared" si="4"/>
        <v>0</v>
      </c>
      <c r="J88" t="str">
        <f t="shared" si="5"/>
        <v/>
      </c>
    </row>
    <row r="89" spans="1:10" ht="15">
      <c r="A89" s="46"/>
      <c r="B89" s="47" t="str">
        <f t="shared" si="3"/>
        <v/>
      </c>
      <c r="C89" s="48"/>
      <c r="D89" s="49"/>
      <c r="E89" s="49"/>
      <c r="F89" s="49"/>
      <c r="G89" s="49"/>
      <c r="H89" s="50" t="str">
        <f>IF($B89="","",IF($J89="X",B89,CONCATENATE(VLOOKUP(B89,Competitors!$A$2:$I$650,3,FALSE)," ",VLOOKUP(B89,Competitors!$A$2:$I$650,2,FALSE))))</f>
        <v/>
      </c>
      <c r="I89" s="51">
        <f t="shared" si="4"/>
        <v>0</v>
      </c>
      <c r="J89" t="str">
        <f t="shared" si="5"/>
        <v/>
      </c>
    </row>
    <row r="90" spans="1:10" ht="15">
      <c r="A90" s="46"/>
      <c r="B90" s="47" t="str">
        <f t="shared" si="3"/>
        <v/>
      </c>
      <c r="C90" s="48"/>
      <c r="D90" s="49"/>
      <c r="E90" s="49"/>
      <c r="F90" s="49"/>
      <c r="G90" s="49"/>
      <c r="H90" s="50" t="str">
        <f>IF($B90="","",IF($J90="X",B90,CONCATENATE(VLOOKUP(B90,Competitors!$A$2:$I$650,3,FALSE)," ",VLOOKUP(B90,Competitors!$A$2:$I$650,2,FALSE))))</f>
        <v/>
      </c>
      <c r="I90" s="51">
        <f t="shared" si="4"/>
        <v>0</v>
      </c>
      <c r="J90" t="str">
        <f t="shared" si="5"/>
        <v/>
      </c>
    </row>
    <row r="91" spans="1:10" ht="15">
      <c r="A91" s="46"/>
      <c r="B91" s="47" t="str">
        <f t="shared" si="3"/>
        <v/>
      </c>
      <c r="C91" s="48"/>
      <c r="D91" s="49"/>
      <c r="E91" s="49"/>
      <c r="F91" s="49"/>
      <c r="G91" s="49"/>
      <c r="H91" s="50" t="str">
        <f>IF($B91="","",IF($J91="X",B91,CONCATENATE(VLOOKUP(B91,Competitors!$A$2:$I$650,3,FALSE)," ",VLOOKUP(B91,Competitors!$A$2:$I$650,2,FALSE))))</f>
        <v/>
      </c>
      <c r="I91" s="51">
        <f t="shared" si="4"/>
        <v>0</v>
      </c>
      <c r="J91" t="str">
        <f t="shared" si="5"/>
        <v/>
      </c>
    </row>
    <row r="92" spans="1:10" ht="15">
      <c r="A92" s="46"/>
      <c r="B92" s="47" t="str">
        <f t="shared" si="3"/>
        <v/>
      </c>
      <c r="C92" s="48"/>
      <c r="D92" s="49"/>
      <c r="E92" s="49"/>
      <c r="F92" s="49"/>
      <c r="G92" s="49"/>
      <c r="H92" s="50" t="str">
        <f>IF($B92="","",IF($J92="X",B92,CONCATENATE(VLOOKUP(B92,Competitors!$A$2:$I$650,3,FALSE)," ",VLOOKUP(B92,Competitors!$A$2:$I$650,2,FALSE))))</f>
        <v/>
      </c>
      <c r="I92" s="51">
        <f t="shared" si="4"/>
        <v>0</v>
      </c>
      <c r="J92" t="str">
        <f t="shared" si="5"/>
        <v/>
      </c>
    </row>
    <row r="93" spans="1:10" ht="15">
      <c r="A93" s="46"/>
      <c r="B93" s="47" t="str">
        <f t="shared" si="3"/>
        <v/>
      </c>
      <c r="C93" s="48"/>
      <c r="D93" s="49"/>
      <c r="E93" s="49"/>
      <c r="F93" s="49"/>
      <c r="G93" s="49"/>
      <c r="H93" s="50" t="str">
        <f>IF($B93="","",IF($J93="X",B93,CONCATENATE(VLOOKUP(B93,Competitors!$A$2:$I$650,3,FALSE)," ",VLOOKUP(B93,Competitors!$A$2:$I$650,2,FALSE))))</f>
        <v/>
      </c>
      <c r="I93" s="51">
        <f t="shared" si="4"/>
        <v>0</v>
      </c>
      <c r="J93" t="str">
        <f t="shared" si="5"/>
        <v/>
      </c>
    </row>
    <row r="94" spans="1:10" ht="15">
      <c r="A94" s="46"/>
      <c r="B94" s="47" t="str">
        <f t="shared" si="3"/>
        <v/>
      </c>
      <c r="C94" s="48"/>
      <c r="D94" s="49"/>
      <c r="E94" s="49"/>
      <c r="F94" s="49"/>
      <c r="G94" s="49"/>
      <c r="H94" s="50" t="str">
        <f>IF($B94="","",IF($J94="X",B94,CONCATENATE(VLOOKUP(B94,Competitors!$A$2:$I$650,3,FALSE)," ",VLOOKUP(B94,Competitors!$A$2:$I$650,2,FALSE))))</f>
        <v/>
      </c>
      <c r="I94" s="51">
        <f t="shared" si="4"/>
        <v>0</v>
      </c>
      <c r="J94" t="str">
        <f t="shared" si="5"/>
        <v/>
      </c>
    </row>
    <row r="95" spans="1:10" ht="15">
      <c r="A95" s="46"/>
      <c r="B95" s="47" t="str">
        <f t="shared" si="3"/>
        <v/>
      </c>
      <c r="C95" s="48"/>
      <c r="D95" s="49"/>
      <c r="E95" s="49"/>
      <c r="F95" s="49"/>
      <c r="G95" s="49"/>
      <c r="H95" s="50" t="str">
        <f>IF($B95="","",IF($J95="X",B95,CONCATENATE(VLOOKUP(B95,Competitors!$A$2:$I$650,3,FALSE)," ",VLOOKUP(B95,Competitors!$A$2:$I$650,2,FALSE))))</f>
        <v/>
      </c>
      <c r="I95" s="51">
        <f t="shared" si="4"/>
        <v>0</v>
      </c>
      <c r="J95" t="str">
        <f t="shared" si="5"/>
        <v/>
      </c>
    </row>
    <row r="96" spans="1:10" ht="15">
      <c r="A96" s="46"/>
      <c r="B96" s="47" t="str">
        <f t="shared" si="3"/>
        <v/>
      </c>
      <c r="C96" s="48"/>
      <c r="D96" s="49"/>
      <c r="E96" s="49"/>
      <c r="F96" s="49"/>
      <c r="G96" s="49"/>
      <c r="H96" s="50" t="str">
        <f>IF($B96="","",IF($J96="X",B96,CONCATENATE(VLOOKUP(B96,Competitors!$A$2:$I$650,3,FALSE)," ",VLOOKUP(B96,Competitors!$A$2:$I$650,2,FALSE))))</f>
        <v/>
      </c>
      <c r="I96" s="51">
        <f t="shared" si="4"/>
        <v>0</v>
      </c>
      <c r="J96" t="str">
        <f t="shared" si="5"/>
        <v/>
      </c>
    </row>
    <row r="97" spans="1:10" ht="15">
      <c r="A97" s="46"/>
      <c r="B97" s="47" t="str">
        <f t="shared" si="3"/>
        <v/>
      </c>
      <c r="C97" s="48"/>
      <c r="D97" s="49"/>
      <c r="E97" s="49"/>
      <c r="F97" s="49"/>
      <c r="G97" s="4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Event_19</v>
      </c>
    </row>
    <row r="104" spans="1:10">
      <c r="B104" t="s">
        <v>552</v>
      </c>
      <c r="C104" t="str">
        <f ca="1">_xlfn.XLOOKUP(C103,Calendar!O:O,Calendar!H:H,"Event is not in calendar")</f>
        <v/>
      </c>
    </row>
  </sheetData>
  <conditionalFormatting sqref="E2:E101">
    <cfRule type="expression" dxfId="27" priority="3">
      <formula>TEXT($C$104,"@")="Y"</formula>
    </cfRule>
  </conditionalFormatting>
  <conditionalFormatting sqref="H2:I101">
    <cfRule type="expression" dxfId="26" priority="2">
      <formula>$J2="X"</formula>
    </cfRule>
  </conditionalFormatting>
  <conditionalFormatting sqref="I2:I101">
    <cfRule type="expression" dxfId="25" priority="1">
      <formula>TEXT($C$104,"@")="Y"</formula>
    </cfRule>
  </conditionalFormatting>
  <pageMargins left="0.7" right="0.7" top="0.75" bottom="0.75" header="0.3" footer="0.3"/>
  <pageSetup paperSize="9" orientation="portrait"/>
  <legacy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26"/>
  <dimension ref="A1:K104"/>
  <sheetViews>
    <sheetView workbookViewId="0"/>
    <sheetView workbookViewId="1"/>
  </sheetViews>
  <sheetFormatPr defaultColWidth="9.1328125" defaultRowHeight="12.75"/>
  <cols>
    <col min="1" max="1" width="20.33203125" bestFit="1" customWidth="1"/>
    <col min="2" max="2" width="39.46484375" bestFit="1" customWidth="1"/>
    <col min="3" max="3" width="10.53125" customWidth="1"/>
    <col min="4" max="5" width="4.796875" customWidth="1"/>
    <col min="6" max="6" width="6.19921875" bestFit="1" customWidth="1"/>
    <col min="7" max="8" width="11.1328125" customWidth="1"/>
    <col min="9" max="9" width="30.1328125" customWidth="1"/>
    <col min="10" max="10" width="14.6640625" style="38" bestFit="1" customWidth="1"/>
    <col min="11" max="11" width="19.19921875" bestFit="1" customWidth="1"/>
  </cols>
  <sheetData>
    <row r="1" spans="1:11" ht="15.75" customHeight="1">
      <c r="A1" s="39" t="s">
        <v>535</v>
      </c>
      <c r="B1" s="40" t="s">
        <v>536</v>
      </c>
      <c r="C1" s="66"/>
      <c r="D1" s="41" t="s">
        <v>537</v>
      </c>
      <c r="E1" s="42" t="s">
        <v>538</v>
      </c>
      <c r="F1" s="43" t="s">
        <v>539</v>
      </c>
      <c r="G1" s="44" t="s">
        <v>540</v>
      </c>
      <c r="H1" s="44" t="s">
        <v>541</v>
      </c>
      <c r="I1" s="39" t="s">
        <v>461</v>
      </c>
      <c r="J1" s="45" t="s">
        <v>542</v>
      </c>
      <c r="K1" t="s">
        <v>543</v>
      </c>
    </row>
    <row r="2" spans="1:11" ht="15">
      <c r="A2" s="46" t="s">
        <v>616</v>
      </c>
      <c r="B2" s="47">
        <f t="shared" ref="B2:B42" si="0">IF(A2="","",_xlfn.XLOOKUP(A2,ClubNames,ClubNumbers,_xlfn.XLOOKUP(A2,RoundRobinRiderNames,RoundRobinRiderDecoratedNames,A2)))</f>
        <v>990</v>
      </c>
      <c r="C2" s="47" t="s">
        <v>704</v>
      </c>
      <c r="D2" s="48"/>
      <c r="E2" s="49">
        <v>31</v>
      </c>
      <c r="F2" s="49">
        <v>16</v>
      </c>
      <c r="G2" s="49" t="s">
        <v>544</v>
      </c>
      <c r="H2" s="49"/>
      <c r="I2" s="50" t="str">
        <f>IF($B2="","",IF($K2="X",B2,CONCATENATE(VLOOKUP(B2,Competitors!$A$2:$I$650,3, FALSE)," ",VLOOKUP(B2,Competitors!$A$2:$I$650,2,FALSE))))</f>
        <v>Jen Hulme</v>
      </c>
      <c r="J2" s="51">
        <f t="shared" ref="J2:J42" si="1">IF(LEFT($G2,1)="D",UPPER($G2),(D2*3600+E2*60+F2)/86400)</f>
        <v>2.1712962962962962E-2</v>
      </c>
      <c r="K2" t="str">
        <f t="shared" ref="K2:K42" si="2">IF(OR(B2="",ISNUMBER(B2)),"","X")</f>
        <v/>
      </c>
    </row>
    <row r="3" spans="1:11" ht="15">
      <c r="A3" s="46" t="s">
        <v>742</v>
      </c>
      <c r="B3" s="47" t="str">
        <f t="shared" si="0"/>
        <v>Angus Gordon (Rugby RCC)</v>
      </c>
      <c r="C3" s="47" t="s">
        <v>711</v>
      </c>
      <c r="D3" s="48"/>
      <c r="E3" s="49">
        <v>28</v>
      </c>
      <c r="F3" s="49">
        <v>11</v>
      </c>
      <c r="G3" s="49" t="s">
        <v>544</v>
      </c>
      <c r="H3" s="49"/>
      <c r="I3" s="50" t="str">
        <f>IF($B3="","",IF($K3="X",B3,CONCATENATE(VLOOKUP(B3,Competitors!$A$2:$I$650,3,FALSE)," ",VLOOKUP(B3,Competitors!$A$2:$I$650,2,FALSE))))</f>
        <v>Angus Gordon (Rugby RCC)</v>
      </c>
      <c r="J3" s="51">
        <f t="shared" si="1"/>
        <v>1.9571759259259261E-2</v>
      </c>
      <c r="K3" t="str">
        <f t="shared" si="2"/>
        <v>X</v>
      </c>
    </row>
    <row r="4" spans="1:11" ht="15">
      <c r="A4" s="46" t="s">
        <v>444</v>
      </c>
      <c r="B4" s="47">
        <f t="shared" si="0"/>
        <v>1386</v>
      </c>
      <c r="C4" s="47" t="s">
        <v>705</v>
      </c>
      <c r="D4" s="48"/>
      <c r="E4" s="49">
        <v>28</v>
      </c>
      <c r="F4" s="49">
        <v>6</v>
      </c>
      <c r="G4" s="49" t="s">
        <v>544</v>
      </c>
      <c r="H4" s="49"/>
      <c r="I4" s="50" t="str">
        <f>IF($B4="","",IF($K4="X",B4,CONCATENATE(VLOOKUP(B4,Competitors!$A$2:$I$650,3,FALSE)," ",VLOOKUP(B4,Competitors!$A$2:$I$650,2,FALSE))))</f>
        <v>Mea Moore</v>
      </c>
      <c r="J4" s="51">
        <f t="shared" si="1"/>
        <v>1.951388888888889E-2</v>
      </c>
      <c r="K4" t="str">
        <f t="shared" si="2"/>
        <v/>
      </c>
    </row>
    <row r="5" spans="1:11" ht="15">
      <c r="A5" s="46" t="s">
        <v>500</v>
      </c>
      <c r="B5" s="47" t="str">
        <f t="shared" si="0"/>
        <v>Brian Lincoln (Ratae)</v>
      </c>
      <c r="C5" s="47" t="s">
        <v>706</v>
      </c>
      <c r="D5" s="48"/>
      <c r="E5" s="49">
        <v>28</v>
      </c>
      <c r="F5" s="49">
        <v>5</v>
      </c>
      <c r="G5" s="49" t="s">
        <v>544</v>
      </c>
      <c r="H5" s="49"/>
      <c r="I5" s="50" t="str">
        <f>IF($B5="","",IF($K5="X",B5,CONCATENATE(VLOOKUP(B5,Competitors!$A$2:$I$650,3,FALSE)," ",VLOOKUP(B5,Competitors!$A$2:$I$650,2,FALSE))))</f>
        <v>Brian Lincoln (Ratae)</v>
      </c>
      <c r="J5" s="51">
        <f t="shared" si="1"/>
        <v>1.9502314814814816E-2</v>
      </c>
      <c r="K5" t="str">
        <f t="shared" si="2"/>
        <v>X</v>
      </c>
    </row>
    <row r="6" spans="1:11" ht="15">
      <c r="A6" s="46" t="s">
        <v>510</v>
      </c>
      <c r="B6" s="47" t="str">
        <f t="shared" si="0"/>
        <v>Marshall Briggs (Ratae)</v>
      </c>
      <c r="C6" s="47" t="s">
        <v>707</v>
      </c>
      <c r="D6" s="48"/>
      <c r="E6" s="49">
        <v>25</v>
      </c>
      <c r="F6" s="49">
        <v>11</v>
      </c>
      <c r="G6" s="49"/>
      <c r="H6" s="49"/>
      <c r="I6" s="50" t="str">
        <f>IF($B6="","",IF($K6="X",B6,CONCATENATE(VLOOKUP(B6,Competitors!$A$2:$I$650,3,FALSE)," ",VLOOKUP(B6,Competitors!$A$2:$I$650,2,FALSE))))</f>
        <v>Marshall Briggs (Ratae)</v>
      </c>
      <c r="J6" s="51">
        <f t="shared" si="1"/>
        <v>1.7488425925925925E-2</v>
      </c>
      <c r="K6" t="str">
        <f t="shared" si="2"/>
        <v>X</v>
      </c>
    </row>
    <row r="7" spans="1:11" ht="15">
      <c r="A7" s="46" t="s">
        <v>514</v>
      </c>
      <c r="B7" s="47" t="str">
        <f t="shared" si="0"/>
        <v>Steve Pearce (Ratae)</v>
      </c>
      <c r="C7" s="47" t="s">
        <v>703</v>
      </c>
      <c r="D7" s="48"/>
      <c r="E7" s="49">
        <v>25</v>
      </c>
      <c r="F7" s="49">
        <v>54</v>
      </c>
      <c r="G7" s="49"/>
      <c r="H7" s="49"/>
      <c r="I7" s="50" t="str">
        <f>IF($B7="","",IF($K7="X",B7,CONCATENATE(VLOOKUP(B7,Competitors!$A$2:$I$650,3,FALSE)," ",VLOOKUP(B7,Competitors!$A$2:$I$650,2,FALSE))))</f>
        <v>Steve Pearce (Ratae)</v>
      </c>
      <c r="J7" s="51">
        <f t="shared" si="1"/>
        <v>1.7986111111111112E-2</v>
      </c>
      <c r="K7" t="str">
        <f t="shared" si="2"/>
        <v>X</v>
      </c>
    </row>
    <row r="8" spans="1:11" ht="15">
      <c r="A8" s="46" t="s">
        <v>423</v>
      </c>
      <c r="B8" s="47">
        <f t="shared" si="0"/>
        <v>35</v>
      </c>
      <c r="C8" s="47" t="s">
        <v>708</v>
      </c>
      <c r="D8" s="48"/>
      <c r="E8" s="49">
        <v>24</v>
      </c>
      <c r="F8" s="49">
        <v>35</v>
      </c>
      <c r="G8" s="49"/>
      <c r="H8" s="49"/>
      <c r="I8" s="50" t="str">
        <f>IF($B8="","",IF($K8="X",B8,CONCATENATE(VLOOKUP(B8,Competitors!$A$2:$I$650,3,FALSE)," ",VLOOKUP(B8,Competitors!$A$2:$I$650,2,FALSE))))</f>
        <v>Matt Plews</v>
      </c>
      <c r="J8" s="51">
        <f t="shared" si="1"/>
        <v>1.7071759259259259E-2</v>
      </c>
      <c r="K8" t="str">
        <f t="shared" si="2"/>
        <v/>
      </c>
    </row>
    <row r="9" spans="1:11" ht="15">
      <c r="A9" s="46" t="s">
        <v>441</v>
      </c>
      <c r="B9" s="47">
        <f t="shared" si="0"/>
        <v>1254</v>
      </c>
      <c r="C9" s="47" t="s">
        <v>709</v>
      </c>
      <c r="D9" s="48"/>
      <c r="E9" s="49">
        <v>25</v>
      </c>
      <c r="F9" s="49">
        <v>40</v>
      </c>
      <c r="G9" s="49"/>
      <c r="H9" s="49"/>
      <c r="I9" s="50" t="str">
        <f>IF($B9="","",IF($K9="X",B9,CONCATENATE(VLOOKUP(B9,Competitors!$A$2:$I$650,3, FALSE)," ",VLOOKUP(B9,Competitors!$A$2:$I$650,2,FALSE))))</f>
        <v>Paul White</v>
      </c>
      <c r="J9" s="51">
        <f t="shared" si="1"/>
        <v>1.7824074074074076E-2</v>
      </c>
      <c r="K9" t="str">
        <f t="shared" si="2"/>
        <v/>
      </c>
    </row>
    <row r="10" spans="1:11" ht="15">
      <c r="A10" s="46" t="s">
        <v>579</v>
      </c>
      <c r="B10" s="47">
        <f t="shared" si="0"/>
        <v>1370</v>
      </c>
      <c r="C10" s="47" t="s">
        <v>710</v>
      </c>
      <c r="D10" s="48"/>
      <c r="E10" s="49">
        <v>25</v>
      </c>
      <c r="F10" s="49">
        <v>1</v>
      </c>
      <c r="G10" s="49" t="s">
        <v>544</v>
      </c>
      <c r="H10" s="49"/>
      <c r="I10" s="50" t="str">
        <f>IF($B10="","",IF($K10="X",B10,CONCATENATE(VLOOKUP(B10,Competitors!$A$2:$I$650,3,FALSE)," ",VLOOKUP(B10,Competitors!$A$2:$I$650,2,FALSE))))</f>
        <v>Ian Aldridge</v>
      </c>
      <c r="J10" s="51">
        <f t="shared" si="1"/>
        <v>1.7372685185185185E-2</v>
      </c>
      <c r="K10" t="str">
        <f t="shared" si="2"/>
        <v/>
      </c>
    </row>
    <row r="11" spans="1:11" ht="15">
      <c r="A11" s="46" t="s">
        <v>509</v>
      </c>
      <c r="B11" s="47" t="str">
        <f t="shared" si="0"/>
        <v>Mark Newton (Ratae)</v>
      </c>
      <c r="C11" s="47" t="s">
        <v>664</v>
      </c>
      <c r="D11" s="48"/>
      <c r="E11" s="49">
        <v>24</v>
      </c>
      <c r="F11" s="49">
        <v>13</v>
      </c>
      <c r="G11" s="49"/>
      <c r="H11" s="49"/>
      <c r="I11" s="50" t="str">
        <f>IF($B11="","",IF($K11="X",B11,CONCATENATE(VLOOKUP(B11,Competitors!$A$2:$I$650,3,FALSE)," ",VLOOKUP(B11,Competitors!$A$2:$I$650,2,FALSE))))</f>
        <v>Mark Newton (Ratae)</v>
      </c>
      <c r="J11" s="51">
        <f t="shared" si="1"/>
        <v>1.681712962962963E-2</v>
      </c>
      <c r="K11" t="str">
        <f t="shared" si="2"/>
        <v>X</v>
      </c>
    </row>
    <row r="12" spans="1:11" ht="15">
      <c r="A12" s="46" t="s">
        <v>512</v>
      </c>
      <c r="B12" s="47" t="str">
        <f t="shared" si="0"/>
        <v>Paul Eden (Ratae)</v>
      </c>
      <c r="C12" s="47" t="s">
        <v>665</v>
      </c>
      <c r="D12" s="48"/>
      <c r="E12" s="49">
        <v>30</v>
      </c>
      <c r="F12" s="49">
        <v>18</v>
      </c>
      <c r="G12" s="49" t="s">
        <v>544</v>
      </c>
      <c r="H12" s="49"/>
      <c r="I12" s="50" t="str">
        <f>IF($B12="","",IF($K12="X",B12,CONCATENATE(VLOOKUP(B12,Competitors!$A$2:$I$650,3,FALSE)," ",VLOOKUP(B12,Competitors!$A$2:$I$650,2,FALSE))))</f>
        <v>Paul Eden (Ratae)</v>
      </c>
      <c r="J12" s="51">
        <f t="shared" si="1"/>
        <v>2.1041666666666667E-2</v>
      </c>
      <c r="K12" t="str">
        <f t="shared" si="2"/>
        <v>X</v>
      </c>
    </row>
    <row r="13" spans="1:11" ht="15">
      <c r="A13" s="46" t="s">
        <v>577</v>
      </c>
      <c r="B13" s="47">
        <f t="shared" si="0"/>
        <v>1048</v>
      </c>
      <c r="C13" s="47" t="s">
        <v>666</v>
      </c>
      <c r="D13" s="48"/>
      <c r="E13" s="49">
        <v>28</v>
      </c>
      <c r="F13" s="49">
        <v>31</v>
      </c>
      <c r="G13" s="49" t="s">
        <v>544</v>
      </c>
      <c r="H13" s="49"/>
      <c r="I13" s="50" t="str">
        <f>IF($B13="","",IF($K13="X",B13,CONCATENATE(VLOOKUP(B13,Competitors!$A$2:$I$650,3,FALSE)," ",VLOOKUP(B13,Competitors!$A$2:$I$650,2,FALSE))))</f>
        <v>Andy Smith</v>
      </c>
      <c r="J13" s="51">
        <f t="shared" si="1"/>
        <v>1.9803240740740739E-2</v>
      </c>
      <c r="K13" t="str">
        <f t="shared" si="2"/>
        <v/>
      </c>
    </row>
    <row r="14" spans="1:11" ht="15">
      <c r="A14" s="46" t="s">
        <v>473</v>
      </c>
      <c r="B14" s="47" t="str">
        <f t="shared" si="0"/>
        <v>John Capel (Coalville Wheelers)</v>
      </c>
      <c r="C14" s="47" t="s">
        <v>667</v>
      </c>
      <c r="D14" s="48"/>
      <c r="E14" s="49">
        <v>25</v>
      </c>
      <c r="F14" s="49">
        <v>12</v>
      </c>
      <c r="G14" s="49"/>
      <c r="H14" s="49"/>
      <c r="I14" s="50" t="str">
        <f>IF($B14="","",IF($K14="X",B14,CONCATENATE(VLOOKUP(B14,Competitors!$A$2:$I$650,3,FALSE)," ",VLOOKUP(B14,Competitors!$A$2:$I$650,2,FALSE))))</f>
        <v>John Capel (Coalville Wheelers)</v>
      </c>
      <c r="J14" s="51">
        <f t="shared" si="1"/>
        <v>1.7500000000000002E-2</v>
      </c>
      <c r="K14" t="str">
        <f t="shared" si="2"/>
        <v>X</v>
      </c>
    </row>
    <row r="15" spans="1:11" ht="15">
      <c r="A15" s="46" t="s">
        <v>414</v>
      </c>
      <c r="B15" s="47">
        <f t="shared" si="0"/>
        <v>699</v>
      </c>
      <c r="C15" s="47" t="s">
        <v>668</v>
      </c>
      <c r="D15" s="48"/>
      <c r="E15" s="49">
        <v>22</v>
      </c>
      <c r="F15" s="49">
        <v>59</v>
      </c>
      <c r="G15" s="49"/>
      <c r="H15" s="49"/>
      <c r="I15" s="50" t="str">
        <f>IF($B15="","",IF($K15="X",B15,CONCATENATE(VLOOKUP(B15,Competitors!$A$2:$I$650,3,FALSE)," ",VLOOKUP(B15,Competitors!$A$2:$I$650,2,FALSE))))</f>
        <v>Jonathan Durnin</v>
      </c>
      <c r="J15" s="51">
        <f t="shared" si="1"/>
        <v>1.5960648148148147E-2</v>
      </c>
      <c r="K15" t="str">
        <f t="shared" si="2"/>
        <v/>
      </c>
    </row>
    <row r="16" spans="1:11" ht="15">
      <c r="A16" s="46" t="s">
        <v>743</v>
      </c>
      <c r="B16" s="47" t="str">
        <f t="shared" si="0"/>
        <v>David Alexander (Coalville Wheelers)</v>
      </c>
      <c r="C16" s="47" t="s">
        <v>669</v>
      </c>
      <c r="D16" s="48"/>
      <c r="E16" s="49">
        <v>23</v>
      </c>
      <c r="F16" s="49">
        <v>32</v>
      </c>
      <c r="G16" s="49"/>
      <c r="H16" s="49"/>
      <c r="I16" s="50" t="str">
        <f>IF($B16="","",IF($K16="X",B16,CONCATENATE(VLOOKUP(B16,Competitors!$A$2:$I$650,3,FALSE)," ",VLOOKUP(B16,Competitors!$A$2:$I$650,2,FALSE))))</f>
        <v>David Alexander (Coalville Wheelers)</v>
      </c>
      <c r="J16" s="51">
        <f t="shared" si="1"/>
        <v>1.6342592592592593E-2</v>
      </c>
      <c r="K16" t="str">
        <f t="shared" si="2"/>
        <v>X</v>
      </c>
    </row>
    <row r="17" spans="1:11" ht="15">
      <c r="A17" s="46" t="s">
        <v>475</v>
      </c>
      <c r="B17" s="47" t="str">
        <f t="shared" si="0"/>
        <v>Pamela Moore (Coalville Wheelers)</v>
      </c>
      <c r="C17" s="47" t="s">
        <v>670</v>
      </c>
      <c r="D17" s="48"/>
      <c r="E17" s="49">
        <v>28</v>
      </c>
      <c r="F17" s="49">
        <v>33</v>
      </c>
      <c r="G17" s="49"/>
      <c r="H17" s="49"/>
      <c r="I17" s="50" t="str">
        <f>IF($B17="","",IF($K17="X",B17,CONCATENATE(VLOOKUP(B17,Competitors!$A$2:$I$650,3,FALSE)," ",VLOOKUP(B17,Competitors!$A$2:$I$650,2,FALSE))))</f>
        <v>Pamela Moore (Coalville Wheelers)</v>
      </c>
      <c r="J17" s="51">
        <f t="shared" si="1"/>
        <v>1.982638888888889E-2</v>
      </c>
      <c r="K17" t="str">
        <f t="shared" si="2"/>
        <v>X</v>
      </c>
    </row>
    <row r="18" spans="1:11" ht="15">
      <c r="A18" s="46" t="s">
        <v>745</v>
      </c>
      <c r="B18" s="47" t="str">
        <f t="shared" si="0"/>
        <v>Steve Evans (HCRC)</v>
      </c>
      <c r="C18" s="47" t="s">
        <v>671</v>
      </c>
      <c r="D18" s="48"/>
      <c r="E18" s="49">
        <v>27</v>
      </c>
      <c r="F18" s="49">
        <v>34</v>
      </c>
      <c r="G18" s="49"/>
      <c r="H18" s="49"/>
      <c r="I18" s="50" t="str">
        <f>IF($B18="","",IF($K18="X",B18,CONCATENATE(VLOOKUP(B18,Competitors!$A$2:$I$650,3,FALSE)," ",VLOOKUP(B18,Competitors!$A$2:$I$650,2,FALSE))))</f>
        <v>Steve Evans (HCRC)</v>
      </c>
      <c r="J18" s="51">
        <f t="shared" si="1"/>
        <v>1.9143518518518518E-2</v>
      </c>
      <c r="K18" t="str">
        <f t="shared" si="2"/>
        <v>X</v>
      </c>
    </row>
    <row r="19" spans="1:11" ht="15">
      <c r="A19" s="46" t="s">
        <v>446</v>
      </c>
      <c r="B19" s="47">
        <f t="shared" si="0"/>
        <v>1379</v>
      </c>
      <c r="C19" s="47" t="s">
        <v>672</v>
      </c>
      <c r="D19" s="48"/>
      <c r="E19" s="49">
        <v>28</v>
      </c>
      <c r="F19" s="49">
        <v>36</v>
      </c>
      <c r="G19" s="49" t="s">
        <v>544</v>
      </c>
      <c r="H19" s="49"/>
      <c r="I19" s="50" t="str">
        <f>IF($B19="","",IF($K19="X",B19,CONCATENATE(VLOOKUP(B19,Competitors!$A$2:$I$650,3,FALSE)," ",VLOOKUP(B19,Competitors!$A$2:$I$650,2,FALSE))))</f>
        <v>Michaela Latham</v>
      </c>
      <c r="J19" s="51">
        <f t="shared" si="1"/>
        <v>1.9861111111111111E-2</v>
      </c>
      <c r="K19" t="str">
        <f t="shared" si="2"/>
        <v/>
      </c>
    </row>
    <row r="20" spans="1:11" ht="15">
      <c r="A20" s="46" t="s">
        <v>744</v>
      </c>
      <c r="B20" s="47" t="str">
        <f t="shared" si="0"/>
        <v>Esme Shipman</v>
      </c>
      <c r="C20" s="47" t="s">
        <v>673</v>
      </c>
      <c r="D20" s="48"/>
      <c r="E20" s="49">
        <v>30</v>
      </c>
      <c r="F20" s="49">
        <v>27</v>
      </c>
      <c r="G20" s="49" t="s">
        <v>544</v>
      </c>
      <c r="H20" s="49"/>
      <c r="I20" s="50" t="str">
        <f>IF($B20="","",IF($K20="X",B20,CONCATENATE(VLOOKUP(B20,Competitors!$A$2:$I$650,3,FALSE)," ",VLOOKUP(B20,Competitors!$A$2:$I$650,2,FALSE))))</f>
        <v>Esme Shipman</v>
      </c>
      <c r="J20" s="51">
        <f t="shared" si="1"/>
        <v>2.1145833333333332E-2</v>
      </c>
      <c r="K20" t="str">
        <f t="shared" si="2"/>
        <v>X</v>
      </c>
    </row>
    <row r="21" spans="1:11" ht="15">
      <c r="A21" s="46" t="s">
        <v>506</v>
      </c>
      <c r="B21" s="47" t="str">
        <f t="shared" si="0"/>
        <v>Lesley Allden (Ratae)</v>
      </c>
      <c r="C21" s="47" t="s">
        <v>674</v>
      </c>
      <c r="D21" s="48"/>
      <c r="E21" s="49">
        <v>31</v>
      </c>
      <c r="F21" s="49">
        <v>48</v>
      </c>
      <c r="G21" s="49" t="s">
        <v>544</v>
      </c>
      <c r="H21" s="49"/>
      <c r="I21" s="50" t="str">
        <f>IF($B21="","",IF($K21="X",B21,CONCATENATE(VLOOKUP(B21,Competitors!$A$2:$I$650,3,FALSE)," ",VLOOKUP(B21,Competitors!$A$2:$I$650,2,FALSE))))</f>
        <v>Lesley Allden (Ratae)</v>
      </c>
      <c r="J21" s="51">
        <f t="shared" si="1"/>
        <v>2.2083333333333333E-2</v>
      </c>
      <c r="K21" t="str">
        <f t="shared" si="2"/>
        <v>X</v>
      </c>
    </row>
    <row r="22" spans="1:11" ht="15">
      <c r="A22" s="46" t="s">
        <v>746</v>
      </c>
      <c r="B22" s="47">
        <f t="shared" si="0"/>
        <v>1357</v>
      </c>
      <c r="C22" s="47" t="s">
        <v>675</v>
      </c>
      <c r="D22" s="48"/>
      <c r="E22" s="49">
        <v>26</v>
      </c>
      <c r="F22" s="49">
        <v>30</v>
      </c>
      <c r="G22" s="49" t="s">
        <v>544</v>
      </c>
      <c r="H22" s="49"/>
      <c r="I22" s="50" t="str">
        <f>IF($B22="","",IF($K22="X",B22,CONCATENATE(VLOOKUP(B22,Competitors!$A$2:$I$650,3,FALSE)," ",VLOOKUP(B22,Competitors!$A$2:$I$650,2,FALSE))))</f>
        <v>Ian Parker</v>
      </c>
      <c r="J22" s="51">
        <f t="shared" si="1"/>
        <v>1.8402777777777778E-2</v>
      </c>
      <c r="K22" t="str">
        <f t="shared" si="2"/>
        <v/>
      </c>
    </row>
    <row r="23" spans="1:11" ht="15">
      <c r="A23" s="46" t="s">
        <v>747</v>
      </c>
      <c r="B23" s="47" t="str">
        <f t="shared" si="0"/>
        <v>Julian Church (Worcester St. Johns CC)</v>
      </c>
      <c r="C23" s="47" t="s">
        <v>676</v>
      </c>
      <c r="D23" s="48"/>
      <c r="E23" s="49">
        <v>31</v>
      </c>
      <c r="F23" s="49">
        <v>35</v>
      </c>
      <c r="G23" s="49" t="s">
        <v>544</v>
      </c>
      <c r="H23" s="49"/>
      <c r="I23" s="50" t="str">
        <f>IF($B23="","",IF($K23="X",B23,CONCATENATE(VLOOKUP(B23,Competitors!$A$2:$I$650,3,FALSE)," ",VLOOKUP(B23,Competitors!$A$2:$I$650,2,FALSE))))</f>
        <v>Julian Church (Worcester St. Johns CC)</v>
      </c>
      <c r="J23" s="51">
        <f t="shared" si="1"/>
        <v>2.193287037037037E-2</v>
      </c>
      <c r="K23" t="str">
        <f t="shared" si="2"/>
        <v>X</v>
      </c>
    </row>
    <row r="24" spans="1:11" ht="15">
      <c r="A24" s="46" t="s">
        <v>749</v>
      </c>
      <c r="B24" s="47" t="str">
        <f t="shared" si="0"/>
        <v>Oliver Church (Worcester St. Johns CC)</v>
      </c>
      <c r="C24" s="47" t="s">
        <v>677</v>
      </c>
      <c r="D24" s="48"/>
      <c r="E24" s="49">
        <v>27</v>
      </c>
      <c r="F24" s="49">
        <v>0</v>
      </c>
      <c r="G24" s="49" t="s">
        <v>544</v>
      </c>
      <c r="H24" s="49"/>
      <c r="I24" s="50" t="str">
        <f>IF($B24="","",IF($K24="X",B24,CONCATENATE(VLOOKUP(B24,Competitors!$A$2:$I$650,3,FALSE)," ",VLOOKUP(B24,Competitors!$A$2:$I$650,2,FALSE))))</f>
        <v>Oliver Church (Worcester St. Johns CC)</v>
      </c>
      <c r="J24" s="51">
        <f t="shared" si="1"/>
        <v>1.8749999999999999E-2</v>
      </c>
      <c r="K24" t="str">
        <f t="shared" si="2"/>
        <v>X</v>
      </c>
    </row>
    <row r="25" spans="1:11" ht="15">
      <c r="A25" s="46" t="s">
        <v>433</v>
      </c>
      <c r="B25" s="47">
        <f t="shared" si="0"/>
        <v>1109</v>
      </c>
      <c r="C25" s="47" t="s">
        <v>678</v>
      </c>
      <c r="D25" s="48"/>
      <c r="E25" s="49"/>
      <c r="F25" s="49"/>
      <c r="G25" s="49"/>
      <c r="H25" s="49" t="s">
        <v>553</v>
      </c>
      <c r="I25" s="50" t="str">
        <f>IF($B25="","",IF($K25="X",B25,CONCATENATE(VLOOKUP(B25,Competitors!$A$2:$I$650,3,FALSE)," ",VLOOKUP(B25,Competitors!$A$2:$I$650,2,FALSE))))</f>
        <v>Stuart Haycox</v>
      </c>
      <c r="J25" s="51">
        <f t="shared" si="1"/>
        <v>0</v>
      </c>
      <c r="K25" t="str">
        <f t="shared" si="2"/>
        <v/>
      </c>
    </row>
    <row r="26" spans="1:11" ht="15">
      <c r="A26" s="46" t="s">
        <v>432</v>
      </c>
      <c r="B26" s="47">
        <f t="shared" si="0"/>
        <v>1112</v>
      </c>
      <c r="C26" s="47" t="s">
        <v>641</v>
      </c>
      <c r="D26" s="48"/>
      <c r="E26" s="49">
        <v>26</v>
      </c>
      <c r="F26" s="49">
        <v>37</v>
      </c>
      <c r="G26" s="49"/>
      <c r="H26" s="49"/>
      <c r="I26" s="50" t="str">
        <f>IF($B26="","",IF($K26="X",B26,CONCATENATE(VLOOKUP(B26,Competitors!$A$2:$I$650,3,FALSE)," ",VLOOKUP(B26,Competitors!$A$2:$I$650,2,FALSE))))</f>
        <v>Gary Ashwell</v>
      </c>
      <c r="J26" s="51">
        <f t="shared" si="1"/>
        <v>1.8483796296296297E-2</v>
      </c>
      <c r="K26" t="str">
        <f t="shared" si="2"/>
        <v/>
      </c>
    </row>
    <row r="27" spans="1:11" ht="15">
      <c r="A27" s="46" t="s">
        <v>488</v>
      </c>
      <c r="B27" s="47" t="str">
        <f t="shared" si="0"/>
        <v>Sam Nettel (LFCC)</v>
      </c>
      <c r="C27" s="47" t="s">
        <v>642</v>
      </c>
      <c r="D27" s="48"/>
      <c r="E27" s="49">
        <v>23</v>
      </c>
      <c r="F27" s="49">
        <v>34</v>
      </c>
      <c r="G27" s="49"/>
      <c r="H27" s="49"/>
      <c r="I27" s="50" t="str">
        <f>IF($B27="","",IF($K27="X",B27,CONCATENATE(VLOOKUP(B27,Competitors!$A$2:$I$650,3,FALSE)," ",VLOOKUP(B27,Competitors!$A$2:$I$650,2,FALSE))))</f>
        <v>Sam Nettel (LFCC)</v>
      </c>
      <c r="J27" s="51">
        <f t="shared" si="1"/>
        <v>1.636574074074074E-2</v>
      </c>
      <c r="K27" t="str">
        <f t="shared" si="2"/>
        <v>X</v>
      </c>
    </row>
    <row r="28" spans="1:11" ht="15">
      <c r="A28" s="46" t="s">
        <v>592</v>
      </c>
      <c r="B28" s="47">
        <f t="shared" si="0"/>
        <v>1390</v>
      </c>
      <c r="C28" s="47" t="s">
        <v>643</v>
      </c>
      <c r="D28" s="48"/>
      <c r="E28" s="49">
        <v>23</v>
      </c>
      <c r="F28" s="49">
        <v>45</v>
      </c>
      <c r="G28" s="49" t="s">
        <v>544</v>
      </c>
      <c r="H28" s="49"/>
      <c r="I28" s="50" t="str">
        <f>IF($B28="","",IF($K28="X",B28,CONCATENATE(VLOOKUP(B28,Competitors!$A$2:$I$650,3,FALSE)," ",VLOOKUP(B28,Competitors!$A$2:$I$650,2,FALSE))))</f>
        <v>Diego Patteri</v>
      </c>
      <c r="J28" s="51">
        <f t="shared" si="1"/>
        <v>1.6493055555555556E-2</v>
      </c>
      <c r="K28" t="str">
        <f t="shared" si="2"/>
        <v/>
      </c>
    </row>
    <row r="29" spans="1:11" ht="15">
      <c r="A29" s="46" t="s">
        <v>413</v>
      </c>
      <c r="B29" s="47">
        <f t="shared" si="0"/>
        <v>989</v>
      </c>
      <c r="C29" s="47" t="s">
        <v>644</v>
      </c>
      <c r="D29" s="48"/>
      <c r="E29" s="49">
        <v>23</v>
      </c>
      <c r="F29" s="49">
        <v>9</v>
      </c>
      <c r="G29" s="49" t="s">
        <v>544</v>
      </c>
      <c r="H29" s="49"/>
      <c r="I29" s="50" t="str">
        <f>IF($B29="","",IF($K29="X",B29,CONCATENATE(VLOOKUP(B29,Competitors!$A$2:$I$650,3,FALSE)," ",VLOOKUP(B29,Competitors!$A$2:$I$650,2,FALSE))))</f>
        <v>Jason Williams</v>
      </c>
      <c r="J29" s="51">
        <f t="shared" si="1"/>
        <v>1.607638888888889E-2</v>
      </c>
      <c r="K29" t="str">
        <f t="shared" si="2"/>
        <v/>
      </c>
    </row>
    <row r="30" spans="1:11" ht="15">
      <c r="A30" s="46" t="s">
        <v>789</v>
      </c>
      <c r="B30" s="47" t="str">
        <f t="shared" si="0"/>
        <v>Evan Collett (George Fox CS) (KCC)</v>
      </c>
      <c r="C30" s="47" t="s">
        <v>645</v>
      </c>
      <c r="D30" s="48"/>
      <c r="E30" s="49">
        <v>24</v>
      </c>
      <c r="F30" s="49">
        <v>6</v>
      </c>
      <c r="G30" s="49"/>
      <c r="H30" s="49"/>
      <c r="I30" s="50" t="str">
        <f>IF($B30="","",IF($K30="X",B30,CONCATENATE(VLOOKUP(B30,Competitors!$A$2:$I$650,3,FALSE)," ",VLOOKUP(B30,Competitors!$A$2:$I$650,2,FALSE))))</f>
        <v>Evan Collett (George Fox CS) (KCC)</v>
      </c>
      <c r="J30" s="51">
        <f t="shared" si="1"/>
        <v>1.6736111111111111E-2</v>
      </c>
      <c r="K30" t="str">
        <f t="shared" si="2"/>
        <v>X</v>
      </c>
    </row>
    <row r="31" spans="1:11" ht="15">
      <c r="A31" s="46" t="s">
        <v>418</v>
      </c>
      <c r="B31" s="47">
        <f t="shared" si="0"/>
        <v>1355</v>
      </c>
      <c r="C31" s="47" t="s">
        <v>646</v>
      </c>
      <c r="D31" s="48"/>
      <c r="E31" s="49">
        <v>24</v>
      </c>
      <c r="F31" s="49">
        <v>38</v>
      </c>
      <c r="G31" s="49" t="s">
        <v>544</v>
      </c>
      <c r="H31" s="49"/>
      <c r="I31" s="50" t="str">
        <f>IF($B31="","",IF($K31="X",B31,CONCATENATE(VLOOKUP(B31,Competitors!$A$2:$I$650,3,FALSE)," ",VLOOKUP(B31,Competitors!$A$2:$I$650,2,FALSE))))</f>
        <v>Aubrey Elmer</v>
      </c>
      <c r="J31" s="51">
        <f t="shared" si="1"/>
        <v>1.7106481481481483E-2</v>
      </c>
      <c r="K31" t="str">
        <f t="shared" si="2"/>
        <v/>
      </c>
    </row>
    <row r="32" spans="1:11" ht="15">
      <c r="A32" s="46" t="s">
        <v>420</v>
      </c>
      <c r="B32" s="47">
        <f t="shared" si="0"/>
        <v>1192</v>
      </c>
      <c r="C32" s="47" t="s">
        <v>647</v>
      </c>
      <c r="D32" s="48"/>
      <c r="E32" s="49">
        <v>24</v>
      </c>
      <c r="F32" s="49">
        <v>35</v>
      </c>
      <c r="G32" s="49"/>
      <c r="H32" s="49"/>
      <c r="I32" s="50" t="str">
        <f>IF($B32="","",IF($K32="X",B32,CONCATENATE(VLOOKUP(B32,Competitors!$A$2:$I$650,3,FALSE)," ",VLOOKUP(B32,Competitors!$A$2:$I$650,2,FALSE))))</f>
        <v>Dale Norris</v>
      </c>
      <c r="J32" s="51">
        <f t="shared" si="1"/>
        <v>1.7071759259259259E-2</v>
      </c>
      <c r="K32" t="str">
        <f t="shared" si="2"/>
        <v/>
      </c>
    </row>
    <row r="33" spans="1:11" ht="15">
      <c r="A33" s="46" t="s">
        <v>429</v>
      </c>
      <c r="B33" s="47">
        <f t="shared" si="0"/>
        <v>1107</v>
      </c>
      <c r="C33" s="47" t="s">
        <v>648</v>
      </c>
      <c r="D33" s="48"/>
      <c r="E33" s="49">
        <v>25</v>
      </c>
      <c r="F33" s="49">
        <v>14</v>
      </c>
      <c r="G33" s="49"/>
      <c r="H33" s="49"/>
      <c r="I33" s="50" t="str">
        <f>IF($B33="","",IF($K33="X",B33,CONCATENATE(VLOOKUP(B33,Competitors!$A$2:$I$650,3,FALSE)," ",VLOOKUP(B33,Competitors!$A$2:$I$650,2,FALSE))))</f>
        <v>Milly Pinnock</v>
      </c>
      <c r="J33" s="51">
        <f t="shared" si="1"/>
        <v>1.7523148148148149E-2</v>
      </c>
      <c r="K33" t="str">
        <f t="shared" si="2"/>
        <v/>
      </c>
    </row>
    <row r="34" spans="1:11" ht="15">
      <c r="A34" s="46" t="s">
        <v>435</v>
      </c>
      <c r="B34" s="47">
        <f t="shared" si="0"/>
        <v>846</v>
      </c>
      <c r="C34" s="47" t="s">
        <v>649</v>
      </c>
      <c r="D34" s="48"/>
      <c r="E34" s="49">
        <v>25</v>
      </c>
      <c r="F34" s="49">
        <v>43</v>
      </c>
      <c r="G34" s="49"/>
      <c r="H34" s="49"/>
      <c r="I34" s="50" t="str">
        <f>IF($B34="","",IF($K34="X",B34,CONCATENATE(VLOOKUP(B34,Competitors!$A$2:$I$650,3,FALSE)," ",VLOOKUP(B34,Competitors!$A$2:$I$650,2,FALSE))))</f>
        <v>Roger Kockelbergh</v>
      </c>
      <c r="J34" s="51">
        <f t="shared" si="1"/>
        <v>1.7858796296296296E-2</v>
      </c>
      <c r="K34" t="str">
        <f t="shared" si="2"/>
        <v/>
      </c>
    </row>
    <row r="35" spans="1:11" ht="15">
      <c r="A35" s="46" t="s">
        <v>691</v>
      </c>
      <c r="B35" s="47" t="str">
        <f t="shared" si="0"/>
        <v>Paul Akroyd (VTTA E.Mids)</v>
      </c>
      <c r="C35" s="47" t="s">
        <v>650</v>
      </c>
      <c r="D35" s="48"/>
      <c r="E35" s="49"/>
      <c r="F35" s="49"/>
      <c r="G35" s="49" t="s">
        <v>544</v>
      </c>
      <c r="H35" s="49" t="s">
        <v>546</v>
      </c>
      <c r="I35" s="50" t="str">
        <f>IF($B35="","",IF($K35="X",B35,CONCATENATE(VLOOKUP(B35,Competitors!$A$2:$I$650,3,FALSE)," ",VLOOKUP(B35,Competitors!$A$2:$I$650,2,FALSE))))</f>
        <v>Paul Akroyd (VTTA E.Mids)</v>
      </c>
      <c r="J35" s="51">
        <f t="shared" si="1"/>
        <v>0</v>
      </c>
      <c r="K35" t="str">
        <f t="shared" si="2"/>
        <v>X</v>
      </c>
    </row>
    <row r="36" spans="1:11" ht="15">
      <c r="A36" s="46" t="s">
        <v>431</v>
      </c>
      <c r="B36" s="47">
        <f t="shared" si="0"/>
        <v>1403</v>
      </c>
      <c r="C36" s="47" t="s">
        <v>651</v>
      </c>
      <c r="D36" s="48"/>
      <c r="E36" s="49">
        <v>26</v>
      </c>
      <c r="F36" s="49">
        <v>32</v>
      </c>
      <c r="G36" s="49"/>
      <c r="H36" s="49"/>
      <c r="I36" s="50" t="str">
        <f>IF($B36="","",IF($K36="X",B36,CONCATENATE(VLOOKUP(B36,Competitors!$A$2:$I$650,3,FALSE)," ",VLOOKUP(B36,Competitors!$A$2:$I$650,2,FALSE))))</f>
        <v>Toby Lenehan</v>
      </c>
      <c r="J36" s="51">
        <f t="shared" si="1"/>
        <v>1.8425925925925925E-2</v>
      </c>
      <c r="K36" t="str">
        <f t="shared" si="2"/>
        <v/>
      </c>
    </row>
    <row r="37" spans="1:11" ht="15">
      <c r="A37" s="46" t="s">
        <v>685</v>
      </c>
      <c r="B37" s="47" t="str">
        <f t="shared" si="0"/>
        <v>Steve Walsh (LFCC)</v>
      </c>
      <c r="C37" s="47" t="s">
        <v>652</v>
      </c>
      <c r="D37" s="48"/>
      <c r="E37" s="49">
        <v>28</v>
      </c>
      <c r="F37" s="49">
        <v>25</v>
      </c>
      <c r="G37" s="49" t="s">
        <v>544</v>
      </c>
      <c r="H37" s="49"/>
      <c r="I37" s="50" t="str">
        <f>IF($B37="","",IF($K37="X",B37,CONCATENATE(VLOOKUP(B37,Competitors!$A$2:$I$650,3,FALSE)," ",VLOOKUP(B37,Competitors!$A$2:$I$650,2,FALSE))))</f>
        <v>Steve Walsh (LFCC)</v>
      </c>
      <c r="J37" s="51">
        <f t="shared" si="1"/>
        <v>1.9733796296296298E-2</v>
      </c>
      <c r="K37" t="str">
        <f t="shared" si="2"/>
        <v>X</v>
      </c>
    </row>
    <row r="38" spans="1:11" ht="15">
      <c r="A38" s="46" t="s">
        <v>437</v>
      </c>
      <c r="B38" s="47">
        <f t="shared" si="0"/>
        <v>1195</v>
      </c>
      <c r="C38" s="47" t="s">
        <v>679</v>
      </c>
      <c r="D38" s="48"/>
      <c r="E38" s="49">
        <v>25</v>
      </c>
      <c r="F38" s="49">
        <v>53</v>
      </c>
      <c r="G38" s="49" t="s">
        <v>544</v>
      </c>
      <c r="H38" s="49"/>
      <c r="I38" s="50" t="str">
        <f>IF($B38="","",IF($K38="X",B38,CONCATENATE(VLOOKUP(B38,Competitors!$A$2:$I$650,3,FALSE)," ",VLOOKUP(B38,Competitors!$A$2:$I$650,2,FALSE))))</f>
        <v>Charlie Hardwicke</v>
      </c>
      <c r="J38" s="51">
        <f t="shared" si="1"/>
        <v>1.7974537037037035E-2</v>
      </c>
      <c r="K38" t="str">
        <f t="shared" si="2"/>
        <v/>
      </c>
    </row>
    <row r="39" spans="1:11" ht="15">
      <c r="A39" s="46" t="s">
        <v>443</v>
      </c>
      <c r="B39" s="47">
        <f t="shared" si="0"/>
        <v>1193</v>
      </c>
      <c r="C39" s="47" t="s">
        <v>680</v>
      </c>
      <c r="D39" s="48"/>
      <c r="E39" s="49">
        <v>27</v>
      </c>
      <c r="F39" s="49">
        <v>34</v>
      </c>
      <c r="G39" s="49" t="s">
        <v>544</v>
      </c>
      <c r="H39" s="49"/>
      <c r="I39" s="50" t="str">
        <f>IF($B39="","",IF($K39="X",B39,CONCATENATE(VLOOKUP(B39,Competitors!$A$2:$I$650,3,FALSE)," ",VLOOKUP(B39,Competitors!$A$2:$I$650,2,FALSE))))</f>
        <v>Richard Hardwicke</v>
      </c>
      <c r="J39" s="51">
        <f t="shared" si="1"/>
        <v>1.9143518518518518E-2</v>
      </c>
      <c r="K39" t="str">
        <f t="shared" si="2"/>
        <v/>
      </c>
    </row>
    <row r="40" spans="1:11" ht="15">
      <c r="A40" s="46" t="s">
        <v>438</v>
      </c>
      <c r="B40" s="47">
        <f t="shared" si="0"/>
        <v>704</v>
      </c>
      <c r="C40" s="47" t="s">
        <v>681</v>
      </c>
      <c r="D40" s="48"/>
      <c r="E40" s="49">
        <v>27</v>
      </c>
      <c r="F40" s="49">
        <v>55</v>
      </c>
      <c r="G40" s="49" t="s">
        <v>544</v>
      </c>
      <c r="H40" s="49"/>
      <c r="I40" s="50" t="str">
        <f>IF($B40="","",IF($K40="X",B40,CONCATENATE(VLOOKUP(B40,Competitors!$A$2:$I$650,3,FALSE)," ",VLOOKUP(B40,Competitors!$A$2:$I$650,2,FALSE))))</f>
        <v>Chris Dainty</v>
      </c>
      <c r="J40" s="51">
        <f t="shared" si="1"/>
        <v>1.9386574074074073E-2</v>
      </c>
      <c r="K40" t="str">
        <f t="shared" si="2"/>
        <v/>
      </c>
    </row>
    <row r="41" spans="1:11" ht="15">
      <c r="A41" s="46" t="s">
        <v>653</v>
      </c>
      <c r="B41" s="47" t="str">
        <f t="shared" si="0"/>
        <v>Brigitte Gaillard (Ratae)</v>
      </c>
      <c r="C41" s="47" t="s">
        <v>682</v>
      </c>
      <c r="D41" s="48"/>
      <c r="E41" s="49">
        <v>29</v>
      </c>
      <c r="F41" s="49">
        <v>47</v>
      </c>
      <c r="G41" s="49" t="s">
        <v>544</v>
      </c>
      <c r="H41" s="49"/>
      <c r="I41" s="50" t="str">
        <f>IF($B41="","",IF($K41="X",B41,CONCATENATE(VLOOKUP(B41,Competitors!$A$2:$I$650,3,FALSE)," ",VLOOKUP(B41,Competitors!$A$2:$I$650,2,FALSE))))</f>
        <v>Brigitte Gaillard (Ratae)</v>
      </c>
      <c r="J41" s="51">
        <f t="shared" si="1"/>
        <v>2.0682870370370369E-2</v>
      </c>
      <c r="K41" t="str">
        <f t="shared" si="2"/>
        <v>X</v>
      </c>
    </row>
    <row r="42" spans="1:11" ht="15">
      <c r="A42" s="46" t="s">
        <v>415</v>
      </c>
      <c r="B42" s="47">
        <f t="shared" si="0"/>
        <v>1161</v>
      </c>
      <c r="C42" s="47" t="s">
        <v>683</v>
      </c>
      <c r="D42" s="48"/>
      <c r="E42" s="49">
        <v>24</v>
      </c>
      <c r="F42" s="49">
        <v>8</v>
      </c>
      <c r="G42" s="49"/>
      <c r="H42" s="49"/>
      <c r="I42" s="50" t="str">
        <f>IF($B42="","",IF($K42="X",B42,CONCATENATE(VLOOKUP(B42,Competitors!$A$2:$I$650,3,FALSE)," ",VLOOKUP(B42,Competitors!$A$2:$I$650,2,FALSE))))</f>
        <v>Maciej Suchocki</v>
      </c>
      <c r="J42" s="51">
        <f t="shared" si="1"/>
        <v>1.6759259259259258E-2</v>
      </c>
      <c r="K42" t="str">
        <f t="shared" si="2"/>
        <v/>
      </c>
    </row>
    <row r="43" spans="1:11" ht="15">
      <c r="A43" s="46" t="s">
        <v>422</v>
      </c>
      <c r="B43" s="47">
        <f t="shared" ref="B43:B97" si="3">IF(A43="","",_xlfn.XLOOKUP(A43,ClubNames,ClubNumbers,_xlfn.XLOOKUP(A43,RoundRobinRiderNames,RoundRobinRiderDecoratedNames,A43)))</f>
        <v>1407</v>
      </c>
      <c r="C43" s="47" t="s">
        <v>717</v>
      </c>
      <c r="D43" s="48"/>
      <c r="E43" s="49">
        <v>25</v>
      </c>
      <c r="F43" s="49">
        <v>6</v>
      </c>
      <c r="G43" s="49" t="s">
        <v>544</v>
      </c>
      <c r="H43" s="49"/>
      <c r="I43" s="50" t="str">
        <f>IF($B43="","",IF($K43="X",B43,CONCATENATE(VLOOKUP(B43,Competitors!$A$2:$I$650,3,FALSE)," ",VLOOKUP(B43,Competitors!$A$2:$I$650,2,FALSE))))</f>
        <v>Colin Dobson</v>
      </c>
      <c r="J43" s="51">
        <f t="shared" ref="J43:J65" si="4">IF(LEFT($G43,1)="D",UPPER($G43),(D43*3600+E43*60+F43)/86400)</f>
        <v>1.7430555555555557E-2</v>
      </c>
      <c r="K43" t="str">
        <f t="shared" ref="K43:K65" si="5">IF(OR(B43="",ISNUMBER(B43)),"","X")</f>
        <v/>
      </c>
    </row>
    <row r="44" spans="1:11" ht="15">
      <c r="A44" s="46" t="s">
        <v>505</v>
      </c>
      <c r="B44" s="47" t="str">
        <f t="shared" si="3"/>
        <v>Jonathon Clarke (Ratae)</v>
      </c>
      <c r="C44" s="47" t="s">
        <v>718</v>
      </c>
      <c r="D44" s="48"/>
      <c r="E44" s="49">
        <v>25</v>
      </c>
      <c r="F44" s="49">
        <v>19</v>
      </c>
      <c r="G44" s="49"/>
      <c r="H44" s="49"/>
      <c r="I44" s="50" t="str">
        <f>IF($B44="","",IF($K44="X",B44,CONCATENATE(VLOOKUP(B44,Competitors!$A$2:$I$650,3,FALSE)," ",VLOOKUP(B44,Competitors!$A$2:$I$650,2,FALSE))))</f>
        <v>Jonathon Clarke (Ratae)</v>
      </c>
      <c r="J44" s="51">
        <f t="shared" si="4"/>
        <v>1.758101851851852E-2</v>
      </c>
      <c r="K44" t="str">
        <f t="shared" si="5"/>
        <v>X</v>
      </c>
    </row>
    <row r="45" spans="1:11" ht="15">
      <c r="A45" s="46" t="s">
        <v>629</v>
      </c>
      <c r="B45" s="47" t="str">
        <f t="shared" si="3"/>
        <v>Jeff Jones (LFCC)</v>
      </c>
      <c r="C45" s="47" t="s">
        <v>719</v>
      </c>
      <c r="D45" s="48"/>
      <c r="E45" s="49">
        <v>31</v>
      </c>
      <c r="F45" s="49">
        <v>58</v>
      </c>
      <c r="G45" s="49"/>
      <c r="H45" s="49"/>
      <c r="I45" s="50" t="str">
        <f>IF($B45="","",IF($K45="X",B45,CONCATENATE(VLOOKUP(B45,Competitors!$A$2:$I$650,3,FALSE)," ",VLOOKUP(B45,Competitors!$A$2:$I$650,2,FALSE))))</f>
        <v>Jeff Jones (LFCC)</v>
      </c>
      <c r="J45" s="51">
        <f t="shared" si="4"/>
        <v>2.2199074074074072E-2</v>
      </c>
      <c r="K45" t="str">
        <f t="shared" si="5"/>
        <v>X</v>
      </c>
    </row>
    <row r="46" spans="1:11" ht="15">
      <c r="A46" s="46" t="s">
        <v>631</v>
      </c>
      <c r="B46" s="47" t="str">
        <f t="shared" si="3"/>
        <v>Simon Jones (LFCC)</v>
      </c>
      <c r="C46" s="47" t="s">
        <v>720</v>
      </c>
      <c r="D46" s="48"/>
      <c r="E46" s="49">
        <v>27</v>
      </c>
      <c r="F46" s="49">
        <v>50</v>
      </c>
      <c r="G46" s="49"/>
      <c r="H46" s="49"/>
      <c r="I46" s="50" t="str">
        <f>IF($B46="","",IF($K46="X",B46,CONCATENATE(VLOOKUP(B46,Competitors!$A$2:$I$650,3,FALSE)," ",VLOOKUP(B46,Competitors!$A$2:$I$650,2,FALSE))))</f>
        <v>Simon Jones (LFCC)</v>
      </c>
      <c r="J46" s="51">
        <f t="shared" si="4"/>
        <v>1.9328703703703702E-2</v>
      </c>
      <c r="K46" t="str">
        <f t="shared" si="5"/>
        <v>X</v>
      </c>
    </row>
    <row r="47" spans="1:11" ht="15">
      <c r="A47" s="46" t="s">
        <v>715</v>
      </c>
      <c r="B47" s="47" t="str">
        <f t="shared" si="3"/>
        <v>Josh Jones (LFCC)</v>
      </c>
      <c r="C47" s="47" t="s">
        <v>721</v>
      </c>
      <c r="D47" s="48"/>
      <c r="E47" s="49">
        <v>27</v>
      </c>
      <c r="F47" s="49">
        <v>9</v>
      </c>
      <c r="G47" s="49" t="s">
        <v>544</v>
      </c>
      <c r="H47" s="49"/>
      <c r="I47" s="50" t="str">
        <f>IF($B47="","",IF($K47="X",B47,CONCATENATE(VLOOKUP(B47,Competitors!$A$2:$I$650,3,FALSE)," ",VLOOKUP(B47,Competitors!$A$2:$I$650,2,FALSE))))</f>
        <v>Josh Jones (LFCC)</v>
      </c>
      <c r="J47" s="51">
        <f t="shared" si="4"/>
        <v>1.8854166666666668E-2</v>
      </c>
      <c r="K47" t="str">
        <f t="shared" si="5"/>
        <v>X</v>
      </c>
    </row>
    <row r="48" spans="1:11" ht="15">
      <c r="A48" s="46" t="s">
        <v>501</v>
      </c>
      <c r="B48" s="47" t="str">
        <f t="shared" si="3"/>
        <v>Chris Bonsor (Ratae)</v>
      </c>
      <c r="C48" s="47" t="s">
        <v>722</v>
      </c>
      <c r="D48" s="48"/>
      <c r="E48" s="49">
        <v>25</v>
      </c>
      <c r="F48" s="49">
        <v>4</v>
      </c>
      <c r="G48" s="49" t="s">
        <v>544</v>
      </c>
      <c r="H48" s="49"/>
      <c r="I48" s="50" t="str">
        <f>IF($B48="","",IF($K48="X",B48,CONCATENATE(VLOOKUP(B48,Competitors!$A$2:$I$650,3,FALSE)," ",VLOOKUP(B48,Competitors!$A$2:$I$650,2,FALSE))))</f>
        <v>Chris Bonsor (Ratae)</v>
      </c>
      <c r="J48" s="51">
        <f t="shared" si="4"/>
        <v>1.7407407407407406E-2</v>
      </c>
      <c r="K48" t="str">
        <f t="shared" si="5"/>
        <v>X</v>
      </c>
    </row>
    <row r="49" spans="1:11" ht="15">
      <c r="A49" s="46" t="s">
        <v>750</v>
      </c>
      <c r="B49" s="47" t="str">
        <f t="shared" si="3"/>
        <v>Amy Whitmore</v>
      </c>
      <c r="C49" s="47" t="s">
        <v>723</v>
      </c>
      <c r="D49" s="48"/>
      <c r="E49" s="49">
        <v>30</v>
      </c>
      <c r="F49" s="49">
        <v>38</v>
      </c>
      <c r="G49" s="49" t="s">
        <v>544</v>
      </c>
      <c r="H49" s="49"/>
      <c r="I49" s="50" t="str">
        <f>IF($B49="","",IF($K49="X",B49,CONCATENATE(VLOOKUP(B49,Competitors!$A$2:$I$650,3,FALSE)," ",VLOOKUP(B49,Competitors!$A$2:$I$650,2,FALSE))))</f>
        <v>Amy Whitmore</v>
      </c>
      <c r="J49" s="51">
        <f t="shared" si="4"/>
        <v>2.1273148148148149E-2</v>
      </c>
      <c r="K49" t="str">
        <f t="shared" si="5"/>
        <v>X</v>
      </c>
    </row>
    <row r="50" spans="1:11" ht="15">
      <c r="A50" s="46" t="s">
        <v>751</v>
      </c>
      <c r="B50" s="47" t="str">
        <f t="shared" si="3"/>
        <v>Alice Watson</v>
      </c>
      <c r="C50" s="47" t="s">
        <v>724</v>
      </c>
      <c r="D50" s="48"/>
      <c r="E50" s="49">
        <v>29</v>
      </c>
      <c r="F50" s="49">
        <v>40</v>
      </c>
      <c r="G50" s="49"/>
      <c r="H50" s="49"/>
      <c r="I50" s="50" t="str">
        <f>IF($B50="","",IF($K50="X",B50,CONCATENATE(VLOOKUP(B50,Competitors!$A$2:$I$650,3,FALSE)," ",VLOOKUP(B50,Competitors!$A$2:$I$650,2,FALSE))))</f>
        <v>Alice Watson</v>
      </c>
      <c r="J50" s="51">
        <f t="shared" si="4"/>
        <v>2.060185185185185E-2</v>
      </c>
      <c r="K50" t="str">
        <f t="shared" si="5"/>
        <v>X</v>
      </c>
    </row>
    <row r="51" spans="1:11" ht="15">
      <c r="A51" s="46" t="s">
        <v>513</v>
      </c>
      <c r="B51" s="47" t="str">
        <f t="shared" si="3"/>
        <v>Sadie Murphy (Ratae)</v>
      </c>
      <c r="C51" s="47" t="s">
        <v>726</v>
      </c>
      <c r="D51" s="48"/>
      <c r="E51" s="49">
        <v>28</v>
      </c>
      <c r="F51" s="49">
        <v>44</v>
      </c>
      <c r="G51" s="49"/>
      <c r="H51" s="49"/>
      <c r="I51" s="50" t="str">
        <f>IF($B51="","",IF($K51="X",B51,CONCATENATE(VLOOKUP(B51,Competitors!$A$2:$I$650,3,FALSE)," ",VLOOKUP(B51,Competitors!$A$2:$I$650,2,FALSE))))</f>
        <v>Sadie Murphy (Ratae)</v>
      </c>
      <c r="J51" s="51">
        <f t="shared" si="4"/>
        <v>1.9953703703703703E-2</v>
      </c>
      <c r="K51" t="str">
        <f t="shared" si="5"/>
        <v>X</v>
      </c>
    </row>
    <row r="52" spans="1:11" ht="15">
      <c r="A52" s="46" t="s">
        <v>497</v>
      </c>
      <c r="B52" s="47" t="str">
        <f t="shared" si="3"/>
        <v>Lewis Cooper (RAF Tri)</v>
      </c>
      <c r="C52" s="47" t="s">
        <v>727</v>
      </c>
      <c r="D52" s="48"/>
      <c r="E52" s="49">
        <v>23</v>
      </c>
      <c r="F52" s="49">
        <v>0</v>
      </c>
      <c r="G52" s="49"/>
      <c r="H52" s="49"/>
      <c r="I52" s="50" t="str">
        <f>IF($B52="","",IF($K52="X",B52,CONCATENATE(VLOOKUP(B52,Competitors!$A$2:$I$650,3,FALSE)," ",VLOOKUP(B52,Competitors!$A$2:$I$650,2,FALSE))))</f>
        <v>Lewis Cooper (RAF Tri)</v>
      </c>
      <c r="J52" s="51">
        <f t="shared" si="4"/>
        <v>1.5972222222222221E-2</v>
      </c>
      <c r="K52" t="str">
        <f t="shared" si="5"/>
        <v>X</v>
      </c>
    </row>
    <row r="53" spans="1:11" ht="15">
      <c r="A53" s="46" t="s">
        <v>752</v>
      </c>
      <c r="B53" s="47" t="str">
        <f t="shared" si="3"/>
        <v>Andy Logie (SSVC)</v>
      </c>
      <c r="C53" s="47" t="s">
        <v>754</v>
      </c>
      <c r="D53" s="48"/>
      <c r="E53" s="49">
        <v>24</v>
      </c>
      <c r="F53" s="49">
        <v>1</v>
      </c>
      <c r="G53" s="49"/>
      <c r="H53" s="49"/>
      <c r="I53" s="50" t="str">
        <f>IF($B53="","",IF($K53="X",B53,CONCATENATE(VLOOKUP(B53,Competitors!$A$2:$I$650,3,FALSE)," ",VLOOKUP(B53,Competitors!$A$2:$I$650,2,FALSE))))</f>
        <v>Andy Logie (SSVC)</v>
      </c>
      <c r="J53" s="51">
        <f t="shared" si="4"/>
        <v>1.667824074074074E-2</v>
      </c>
      <c r="K53" t="str">
        <f t="shared" si="5"/>
        <v>X</v>
      </c>
    </row>
    <row r="54" spans="1:11" ht="15">
      <c r="A54" s="46" t="s">
        <v>499</v>
      </c>
      <c r="B54" s="47" t="str">
        <f t="shared" si="3"/>
        <v>Alex Whitmore (Ratae)</v>
      </c>
      <c r="C54" s="47" t="s">
        <v>755</v>
      </c>
      <c r="D54" s="48"/>
      <c r="E54" s="49">
        <v>21</v>
      </c>
      <c r="F54" s="49">
        <v>41</v>
      </c>
      <c r="G54" s="49" t="s">
        <v>544</v>
      </c>
      <c r="H54" s="49"/>
      <c r="I54" s="50" t="str">
        <f>IF($B54="","",IF($K54="X",B54,CONCATENATE(VLOOKUP(B54,Competitors!$A$2:$I$650,3,FALSE)," ",VLOOKUP(B54,Competitors!$A$2:$I$650,2,FALSE))))</f>
        <v>Alex Whitmore (Ratae)</v>
      </c>
      <c r="J54" s="51">
        <f t="shared" si="4"/>
        <v>1.5057870370370371E-2</v>
      </c>
      <c r="K54" t="str">
        <f t="shared" si="5"/>
        <v>X</v>
      </c>
    </row>
    <row r="55" spans="1:11" ht="15">
      <c r="A55" s="46" t="s">
        <v>756</v>
      </c>
      <c r="B55" s="47" t="str">
        <f t="shared" si="3"/>
        <v>Simon Thomas (SSVC)</v>
      </c>
      <c r="C55" s="47" t="s">
        <v>757</v>
      </c>
      <c r="D55" s="48"/>
      <c r="E55" s="49">
        <v>25</v>
      </c>
      <c r="F55" s="49">
        <v>28</v>
      </c>
      <c r="G55" s="49"/>
      <c r="H55" s="49"/>
      <c r="I55" s="50" t="str">
        <f>IF($B55="","",IF($K55="X",B55,CONCATENATE(VLOOKUP(B55,Competitors!$A$2:$I$650,3,FALSE)," ",VLOOKUP(B55,Competitors!$A$2:$I$650,2,FALSE))))</f>
        <v>Simon Thomas (SSVC)</v>
      </c>
      <c r="J55" s="51">
        <f t="shared" si="4"/>
        <v>1.7685185185185186E-2</v>
      </c>
      <c r="K55" t="str">
        <f t="shared" si="5"/>
        <v>X</v>
      </c>
    </row>
    <row r="56" spans="1:11" ht="15">
      <c r="A56" s="46" t="s">
        <v>508</v>
      </c>
      <c r="B56" s="47" t="str">
        <f t="shared" si="3"/>
        <v>Mark Marmoy (Ratae)</v>
      </c>
      <c r="C56" s="47" t="s">
        <v>758</v>
      </c>
      <c r="D56" s="48"/>
      <c r="E56" s="49">
        <v>26</v>
      </c>
      <c r="F56" s="49">
        <v>43</v>
      </c>
      <c r="G56" s="49" t="s">
        <v>544</v>
      </c>
      <c r="H56" s="49"/>
      <c r="I56" s="50" t="str">
        <f>IF($B56="","",IF($K56="X",B56,CONCATENATE(VLOOKUP(B56,Competitors!$A$2:$I$650,3,FALSE)," ",VLOOKUP(B56,Competitors!$A$2:$I$650,2,FALSE))))</f>
        <v>Mark Marmoy (Ratae)</v>
      </c>
      <c r="J56" s="51">
        <f t="shared" si="4"/>
        <v>1.8553240740740742E-2</v>
      </c>
      <c r="K56" t="str">
        <f t="shared" si="5"/>
        <v>X</v>
      </c>
    </row>
    <row r="57" spans="1:11" ht="15">
      <c r="A57" s="46" t="s">
        <v>410</v>
      </c>
      <c r="B57" s="47">
        <f t="shared" si="3"/>
        <v>747</v>
      </c>
      <c r="C57" s="47" t="s">
        <v>759</v>
      </c>
      <c r="D57" s="48"/>
      <c r="E57" s="49"/>
      <c r="F57" s="49"/>
      <c r="G57" s="49"/>
      <c r="H57" s="49" t="s">
        <v>553</v>
      </c>
      <c r="I57" s="50" t="str">
        <f>IF($B57="","",IF($K57="X",B57,CONCATENATE(VLOOKUP(B57,Competitors!$A$2:$I$650,3,FALSE)," ",VLOOKUP(B57,Competitors!$A$2:$I$650,2,FALSE))))</f>
        <v>James Moore</v>
      </c>
      <c r="J57" s="51">
        <f t="shared" si="4"/>
        <v>0</v>
      </c>
      <c r="K57" t="str">
        <f t="shared" si="5"/>
        <v/>
      </c>
    </row>
    <row r="58" spans="1:11" ht="15">
      <c r="A58" s="46" t="s">
        <v>421</v>
      </c>
      <c r="B58" s="47">
        <f t="shared" si="3"/>
        <v>415</v>
      </c>
      <c r="C58" s="47" t="s">
        <v>760</v>
      </c>
      <c r="D58" s="48"/>
      <c r="E58" s="49">
        <v>24</v>
      </c>
      <c r="F58" s="49">
        <v>19</v>
      </c>
      <c r="G58" s="49"/>
      <c r="H58" s="49"/>
      <c r="I58" s="50" t="str">
        <f>IF($B58="","",IF($K58="X",B58,CONCATENATE(VLOOKUP(B58,Competitors!$A$2:$I$650,3,FALSE)," ",VLOOKUP(B58,Competitors!$A$2:$I$650,2,FALSE))))</f>
        <v>Nik Kershaw</v>
      </c>
      <c r="J58" s="51">
        <f t="shared" si="4"/>
        <v>1.6886574074074075E-2</v>
      </c>
      <c r="K58" t="str">
        <f t="shared" si="5"/>
        <v/>
      </c>
    </row>
    <row r="59" spans="1:11" ht="15">
      <c r="A59" s="46" t="s">
        <v>412</v>
      </c>
      <c r="B59" s="47">
        <f t="shared" si="3"/>
        <v>1144</v>
      </c>
      <c r="C59" s="47" t="s">
        <v>761</v>
      </c>
      <c r="D59" s="48"/>
      <c r="E59" s="49">
        <v>23</v>
      </c>
      <c r="F59" s="49">
        <v>11</v>
      </c>
      <c r="G59" s="49" t="s">
        <v>544</v>
      </c>
      <c r="H59" s="49"/>
      <c r="I59" s="50" t="str">
        <f>IF($B59="","",IF($K59="X",B59,CONCATENATE(VLOOKUP(B59,Competitors!$A$2:$I$650,3,FALSE)," ",VLOOKUP(B59,Competitors!$A$2:$I$650,2,FALSE))))</f>
        <v>Jamie Kershaw</v>
      </c>
      <c r="J59" s="51">
        <f t="shared" si="4"/>
        <v>1.6099537037037037E-2</v>
      </c>
      <c r="K59" t="str">
        <f t="shared" si="5"/>
        <v/>
      </c>
    </row>
    <row r="60" spans="1:11" ht="15">
      <c r="A60" s="46" t="s">
        <v>716</v>
      </c>
      <c r="B60" s="47" t="str">
        <f t="shared" si="3"/>
        <v>David Mead (M.I. Racing)</v>
      </c>
      <c r="C60" s="47" t="s">
        <v>762</v>
      </c>
      <c r="D60" s="48"/>
      <c r="E60" s="49">
        <v>20</v>
      </c>
      <c r="F60" s="49">
        <v>19</v>
      </c>
      <c r="G60" s="49"/>
      <c r="H60" s="49"/>
      <c r="I60" s="50" t="str">
        <f>IF($B60="","",IF($K60="X",B60,CONCATENATE(VLOOKUP(B60,Competitors!$A$2:$I$650,3,FALSE)," ",VLOOKUP(B60,Competitors!$A$2:$I$650,2,FALSE))))</f>
        <v>David Mead (M.I. Racing)</v>
      </c>
      <c r="J60" s="51">
        <f t="shared" si="4"/>
        <v>1.4108796296296296E-2</v>
      </c>
      <c r="K60" t="str">
        <f t="shared" si="5"/>
        <v>X</v>
      </c>
    </row>
    <row r="61" spans="1:11" ht="15">
      <c r="A61" s="46" t="s">
        <v>482</v>
      </c>
      <c r="B61" s="47" t="str">
        <f t="shared" si="3"/>
        <v>Colin Parkinson (SWRC) (HCRC)</v>
      </c>
      <c r="C61" s="47" t="s">
        <v>763</v>
      </c>
      <c r="D61" s="48"/>
      <c r="E61" s="49">
        <v>24</v>
      </c>
      <c r="F61" s="49">
        <v>19</v>
      </c>
      <c r="G61" s="49"/>
      <c r="H61" s="49"/>
      <c r="I61" s="50" t="str">
        <f>IF($B61="","",IF($K61="X",B61,CONCATENATE(VLOOKUP(B61,Competitors!$A$2:$I$650,3,FALSE)," ",VLOOKUP(B61,Competitors!$A$2:$I$650,2,FALSE))))</f>
        <v>Colin Parkinson (SWRC) (HCRC)</v>
      </c>
      <c r="J61" s="51">
        <f t="shared" si="4"/>
        <v>1.6886574074074075E-2</v>
      </c>
      <c r="K61" t="str">
        <f t="shared" si="5"/>
        <v>X</v>
      </c>
    </row>
    <row r="62" spans="1:11" ht="15">
      <c r="A62" s="46"/>
      <c r="B62" s="47" t="str">
        <f t="shared" si="3"/>
        <v/>
      </c>
      <c r="C62" s="47"/>
      <c r="D62" s="48"/>
      <c r="E62" s="49"/>
      <c r="F62" s="49"/>
      <c r="G62" s="49"/>
      <c r="H62" s="49"/>
      <c r="I62" s="50" t="str">
        <f>IF($B62="","",IF($K62="X",B62,CONCATENATE(VLOOKUP(B62,Competitors!$A$2:$I$650,3,FALSE)," ",VLOOKUP(B62,Competitors!$A$2:$I$650,2,FALSE))))</f>
        <v/>
      </c>
      <c r="J62" s="51">
        <f t="shared" si="4"/>
        <v>0</v>
      </c>
      <c r="K62" t="str">
        <f t="shared" si="5"/>
        <v/>
      </c>
    </row>
    <row r="63" spans="1:11" ht="15">
      <c r="A63" s="46"/>
      <c r="B63" s="47" t="str">
        <f t="shared" si="3"/>
        <v/>
      </c>
      <c r="C63" s="47"/>
      <c r="D63" s="48"/>
      <c r="E63" s="49"/>
      <c r="F63" s="49"/>
      <c r="G63" s="49"/>
      <c r="H63" s="49"/>
      <c r="I63" s="50" t="str">
        <f>IF($B63="","",IF($K63="X",B63,CONCATENATE(VLOOKUP(B63,Competitors!$A$2:$I$650,3,FALSE)," ",VLOOKUP(B63,Competitors!$A$2:$I$650,2,FALSE))))</f>
        <v/>
      </c>
      <c r="J63" s="51">
        <f t="shared" si="4"/>
        <v>0</v>
      </c>
      <c r="K63" t="str">
        <f t="shared" si="5"/>
        <v/>
      </c>
    </row>
    <row r="64" spans="1:11" ht="15">
      <c r="A64" s="46"/>
      <c r="B64" s="47" t="str">
        <f t="shared" si="3"/>
        <v/>
      </c>
      <c r="C64" s="47"/>
      <c r="D64" s="48"/>
      <c r="E64" s="49"/>
      <c r="F64" s="49"/>
      <c r="G64" s="49"/>
      <c r="H64" s="49"/>
      <c r="I64" s="50" t="str">
        <f>IF($B64="","",IF($K64="X",B64,CONCATENATE(VLOOKUP(B64,Competitors!$A$2:$I$650,3,FALSE)," ",VLOOKUP(B64,Competitors!$A$2:$I$650,2,FALSE))))</f>
        <v/>
      </c>
      <c r="J64" s="51">
        <f t="shared" si="4"/>
        <v>0</v>
      </c>
      <c r="K64" t="str">
        <f t="shared" si="5"/>
        <v/>
      </c>
    </row>
    <row r="65" spans="1:11" ht="15">
      <c r="A65" s="46"/>
      <c r="B65" s="47" t="str">
        <f t="shared" si="3"/>
        <v/>
      </c>
      <c r="C65" s="47"/>
      <c r="D65" s="48"/>
      <c r="E65" s="49"/>
      <c r="F65" s="49"/>
      <c r="G65" s="49"/>
      <c r="H65" s="49"/>
      <c r="I65" s="50" t="str">
        <f>IF($B65="","",IF($K65="X",B65,CONCATENATE(VLOOKUP(B65,Competitors!$A$2:$I$650,3,FALSE)," ",VLOOKUP(B65,Competitors!$A$2:$I$650,2,FALSE))))</f>
        <v/>
      </c>
      <c r="J65" s="51">
        <f t="shared" si="4"/>
        <v>0</v>
      </c>
      <c r="K65" t="str">
        <f t="shared" si="5"/>
        <v/>
      </c>
    </row>
    <row r="66" spans="1:11" ht="15">
      <c r="A66" s="46"/>
      <c r="B66" s="47" t="str">
        <f t="shared" si="3"/>
        <v/>
      </c>
      <c r="C66" s="47"/>
      <c r="D66" s="48"/>
      <c r="E66" s="49"/>
      <c r="F66" s="49"/>
      <c r="G66" s="49"/>
      <c r="H66" s="49"/>
      <c r="I66" s="50" t="str">
        <f>IF($B66="","",IF($K66="X",B66,CONCATENATE(VLOOKUP(B66,Competitors!$A$2:$I$650,3,FALSE)," ",VLOOKUP(B66,Competitors!$A$2:$I$650,2,FALSE))))</f>
        <v/>
      </c>
      <c r="J66" s="51">
        <f t="shared" ref="J66:J101" si="6">IF(LEFT($G66,1)="D",UPPER($G66),(D66*3600+E66*60+F66)/86400)</f>
        <v>0</v>
      </c>
      <c r="K66" t="str">
        <f t="shared" ref="K66:K101" si="7">IF(OR(B66="",ISNUMBER(B66)),"","X")</f>
        <v/>
      </c>
    </row>
    <row r="67" spans="1:11" ht="15">
      <c r="A67" s="46"/>
      <c r="B67" s="47" t="str">
        <f t="shared" si="3"/>
        <v/>
      </c>
      <c r="C67" s="47"/>
      <c r="D67" s="48"/>
      <c r="E67" s="49"/>
      <c r="F67" s="49"/>
      <c r="G67" s="49"/>
      <c r="H67" s="49"/>
      <c r="I67" s="50" t="str">
        <f>IF($B67="","",IF($K67="X",B67,CONCATENATE(VLOOKUP(B67,Competitors!$A$2:$I$650,3,FALSE)," ",VLOOKUP(B67,Competitors!$A$2:$I$650,2,FALSE))))</f>
        <v/>
      </c>
      <c r="J67" s="51">
        <f t="shared" si="6"/>
        <v>0</v>
      </c>
      <c r="K67" t="str">
        <f t="shared" si="7"/>
        <v/>
      </c>
    </row>
    <row r="68" spans="1:11" ht="15">
      <c r="A68" s="46"/>
      <c r="B68" s="47" t="str">
        <f t="shared" si="3"/>
        <v/>
      </c>
      <c r="C68" s="47"/>
      <c r="D68" s="48"/>
      <c r="E68" s="49"/>
      <c r="F68" s="49"/>
      <c r="G68" s="49"/>
      <c r="H68" s="49"/>
      <c r="I68" s="50" t="str">
        <f>IF($B68="","",IF($K68="X",B68,CONCATENATE(VLOOKUP(B68,Competitors!$A$2:$I$650,3,FALSE)," ",VLOOKUP(B68,Competitors!$A$2:$I$650,2,FALSE))))</f>
        <v/>
      </c>
      <c r="J68" s="51">
        <f t="shared" si="6"/>
        <v>0</v>
      </c>
      <c r="K68" t="str">
        <f t="shared" si="7"/>
        <v/>
      </c>
    </row>
    <row r="69" spans="1:11" ht="15">
      <c r="A69" s="46"/>
      <c r="B69" s="47" t="str">
        <f t="shared" si="3"/>
        <v/>
      </c>
      <c r="C69" s="47"/>
      <c r="D69" s="48"/>
      <c r="E69" s="49"/>
      <c r="F69" s="49"/>
      <c r="G69" s="49"/>
      <c r="H69" s="49"/>
      <c r="I69" s="50" t="str">
        <f>IF($B69="","",IF($K69="X",B69,CONCATENATE(VLOOKUP(B69,Competitors!$A$2:$I$650,3,FALSE)," ",VLOOKUP(B69,Competitors!$A$2:$I$650,2,FALSE))))</f>
        <v/>
      </c>
      <c r="J69" s="51">
        <f t="shared" si="6"/>
        <v>0</v>
      </c>
      <c r="K69" t="str">
        <f t="shared" si="7"/>
        <v/>
      </c>
    </row>
    <row r="70" spans="1:11" ht="15">
      <c r="A70" s="46"/>
      <c r="B70" s="47" t="str">
        <f t="shared" si="3"/>
        <v/>
      </c>
      <c r="C70" s="47"/>
      <c r="D70" s="48"/>
      <c r="E70" s="49"/>
      <c r="F70" s="49"/>
      <c r="G70" s="49"/>
      <c r="H70" s="49"/>
      <c r="I70" s="50" t="str">
        <f>IF($B70="","",IF($K70="X",B70,CONCATENATE(VLOOKUP(B70,Competitors!$A$2:$I$650,3,FALSE)," ",VLOOKUP(B70,Competitors!$A$2:$I$650,2,FALSE))))</f>
        <v/>
      </c>
      <c r="J70" s="51">
        <f t="shared" si="6"/>
        <v>0</v>
      </c>
      <c r="K70" t="str">
        <f t="shared" si="7"/>
        <v/>
      </c>
    </row>
    <row r="71" spans="1:11" ht="15">
      <c r="A71" s="46"/>
      <c r="B71" s="47" t="str">
        <f t="shared" si="3"/>
        <v/>
      </c>
      <c r="C71" s="47"/>
      <c r="D71" s="48"/>
      <c r="E71" s="49"/>
      <c r="F71" s="49"/>
      <c r="G71" s="49"/>
      <c r="H71" s="49"/>
      <c r="I71" s="50" t="str">
        <f>IF($B71="","",IF($K71="X",B71,CONCATENATE(VLOOKUP(B71,Competitors!$A$2:$I$650,3,FALSE)," ",VLOOKUP(B71,Competitors!$A$2:$I$650,2,FALSE))))</f>
        <v/>
      </c>
      <c r="J71" s="51">
        <f t="shared" si="6"/>
        <v>0</v>
      </c>
      <c r="K71" t="str">
        <f t="shared" si="7"/>
        <v/>
      </c>
    </row>
    <row r="72" spans="1:11" ht="15">
      <c r="A72" s="46"/>
      <c r="B72" s="47" t="str">
        <f t="shared" si="3"/>
        <v/>
      </c>
      <c r="C72" s="47"/>
      <c r="D72" s="48"/>
      <c r="E72" s="49"/>
      <c r="F72" s="49"/>
      <c r="G72" s="49"/>
      <c r="H72" s="49"/>
      <c r="I72" s="50" t="str">
        <f>IF($B72="","",IF($K72="X",B72,CONCATENATE(VLOOKUP(B72,Competitors!$A$2:$I$650,3,FALSE)," ",VLOOKUP(B72,Competitors!$A$2:$I$650,2,FALSE))))</f>
        <v/>
      </c>
      <c r="J72" s="51">
        <f t="shared" si="6"/>
        <v>0</v>
      </c>
      <c r="K72" t="str">
        <f t="shared" si="7"/>
        <v/>
      </c>
    </row>
    <row r="73" spans="1:11" ht="15">
      <c r="A73" s="46"/>
      <c r="B73" s="47" t="str">
        <f t="shared" si="3"/>
        <v/>
      </c>
      <c r="C73" s="47"/>
      <c r="D73" s="48"/>
      <c r="E73" s="49"/>
      <c r="F73" s="49"/>
      <c r="G73" s="49"/>
      <c r="H73" s="49"/>
      <c r="I73" s="50" t="str">
        <f>IF($B73="","",IF($K73="X",B73,CONCATENATE(VLOOKUP(B73,Competitors!$A$2:$I$650,3,FALSE)," ",VLOOKUP(B73,Competitors!$A$2:$I$650,2,FALSE))))</f>
        <v/>
      </c>
      <c r="J73" s="51">
        <f t="shared" si="6"/>
        <v>0</v>
      </c>
      <c r="K73" t="str">
        <f t="shared" si="7"/>
        <v/>
      </c>
    </row>
    <row r="74" spans="1:11" ht="15">
      <c r="A74" s="46"/>
      <c r="B74" s="47" t="str">
        <f t="shared" si="3"/>
        <v/>
      </c>
      <c r="C74" s="47"/>
      <c r="D74" s="48"/>
      <c r="E74" s="49"/>
      <c r="F74" s="49"/>
      <c r="G74" s="49"/>
      <c r="H74" s="49"/>
      <c r="I74" s="50" t="str">
        <f>IF($B74="","",IF($K74="X",B74,CONCATENATE(VLOOKUP(B74,Competitors!$A$2:$I$650,3,FALSE)," ",VLOOKUP(B74,Competitors!$A$2:$I$650,2,FALSE))))</f>
        <v/>
      </c>
      <c r="J74" s="51">
        <f t="shared" si="6"/>
        <v>0</v>
      </c>
      <c r="K74" t="str">
        <f t="shared" si="7"/>
        <v/>
      </c>
    </row>
    <row r="75" spans="1:11" ht="15">
      <c r="A75" s="46"/>
      <c r="B75" s="47" t="str">
        <f t="shared" si="3"/>
        <v/>
      </c>
      <c r="C75" s="47"/>
      <c r="D75" s="48"/>
      <c r="E75" s="49"/>
      <c r="F75" s="49"/>
      <c r="G75" s="49"/>
      <c r="H75" s="49"/>
      <c r="I75" s="50" t="str">
        <f>IF($B75="","",IF($K75="X",B75,CONCATENATE(VLOOKUP(B75,Competitors!$A$2:$I$650,3,FALSE)," ",VLOOKUP(B75,Competitors!$A$2:$I$650,2,FALSE))))</f>
        <v/>
      </c>
      <c r="J75" s="51">
        <f t="shared" si="6"/>
        <v>0</v>
      </c>
      <c r="K75" t="str">
        <f t="shared" si="7"/>
        <v/>
      </c>
    </row>
    <row r="76" spans="1:11" ht="15">
      <c r="A76" s="46"/>
      <c r="B76" s="47" t="str">
        <f t="shared" si="3"/>
        <v/>
      </c>
      <c r="C76" s="47"/>
      <c r="D76" s="48"/>
      <c r="E76" s="49"/>
      <c r="F76" s="49"/>
      <c r="G76" s="49"/>
      <c r="H76" s="49"/>
      <c r="I76" s="50" t="str">
        <f>IF($B76="","",IF($K76="X",B76,CONCATENATE(VLOOKUP(B76,Competitors!$A$2:$I$650,3,FALSE)," ",VLOOKUP(B76,Competitors!$A$2:$I$650,2,FALSE))))</f>
        <v/>
      </c>
      <c r="J76" s="51">
        <f t="shared" si="6"/>
        <v>0</v>
      </c>
      <c r="K76" t="str">
        <f t="shared" si="7"/>
        <v/>
      </c>
    </row>
    <row r="77" spans="1:11" ht="15">
      <c r="A77" s="46"/>
      <c r="B77" s="47" t="str">
        <f t="shared" si="3"/>
        <v/>
      </c>
      <c r="C77" s="47"/>
      <c r="D77" s="48"/>
      <c r="E77" s="49"/>
      <c r="F77" s="49"/>
      <c r="G77" s="49"/>
      <c r="H77" s="49"/>
      <c r="I77" s="50" t="str">
        <f>IF($B77="","",IF($K77="X",B77,CONCATENATE(VLOOKUP(B77,Competitors!$A$2:$I$650,3,FALSE)," ",VLOOKUP(B77,Competitors!$A$2:$I$650,2,FALSE))))</f>
        <v/>
      </c>
      <c r="J77" s="51">
        <f t="shared" si="6"/>
        <v>0</v>
      </c>
      <c r="K77" t="str">
        <f t="shared" si="7"/>
        <v/>
      </c>
    </row>
    <row r="78" spans="1:11" ht="15">
      <c r="A78" s="46"/>
      <c r="B78" s="47" t="str">
        <f t="shared" si="3"/>
        <v/>
      </c>
      <c r="C78" s="47"/>
      <c r="D78" s="48"/>
      <c r="E78" s="49"/>
      <c r="F78" s="49"/>
      <c r="G78" s="49"/>
      <c r="H78" s="49"/>
      <c r="I78" s="50" t="str">
        <f>IF($B78="","",IF($K78="X",B78,CONCATENATE(VLOOKUP(B78,Competitors!$A$2:$I$650,3,FALSE)," ",VLOOKUP(B78,Competitors!$A$2:$I$650,2,FALSE))))</f>
        <v/>
      </c>
      <c r="J78" s="51">
        <f t="shared" si="6"/>
        <v>0</v>
      </c>
      <c r="K78" t="str">
        <f t="shared" si="7"/>
        <v/>
      </c>
    </row>
    <row r="79" spans="1:11" ht="15">
      <c r="A79" s="46"/>
      <c r="B79" s="47" t="str">
        <f t="shared" si="3"/>
        <v/>
      </c>
      <c r="C79" s="47"/>
      <c r="D79" s="48"/>
      <c r="E79" s="49"/>
      <c r="F79" s="49"/>
      <c r="G79" s="49"/>
      <c r="H79" s="49"/>
      <c r="I79" s="50" t="str">
        <f>IF($B79="","",IF($K79="X",B79,CONCATENATE(VLOOKUP(B79,Competitors!$A$2:$I$650,3,FALSE)," ",VLOOKUP(B79,Competitors!$A$2:$I$650,2,FALSE))))</f>
        <v/>
      </c>
      <c r="J79" s="51">
        <f t="shared" si="6"/>
        <v>0</v>
      </c>
      <c r="K79" t="str">
        <f t="shared" si="7"/>
        <v/>
      </c>
    </row>
    <row r="80" spans="1:11" ht="15">
      <c r="A80" s="46"/>
      <c r="B80" s="47" t="str">
        <f t="shared" si="3"/>
        <v/>
      </c>
      <c r="C80" s="47"/>
      <c r="D80" s="48"/>
      <c r="E80" s="49"/>
      <c r="F80" s="49"/>
      <c r="G80" s="49"/>
      <c r="H80" s="49"/>
      <c r="I80" s="50" t="str">
        <f>IF($B80="","",IF($K80="X",B80,CONCATENATE(VLOOKUP(B80,Competitors!$A$2:$I$650,3,FALSE)," ",VLOOKUP(B80,Competitors!$A$2:$I$650,2,FALSE))))</f>
        <v/>
      </c>
      <c r="J80" s="51">
        <f t="shared" si="6"/>
        <v>0</v>
      </c>
      <c r="K80" t="str">
        <f t="shared" si="7"/>
        <v/>
      </c>
    </row>
    <row r="81" spans="1:11" ht="15">
      <c r="A81" s="46"/>
      <c r="B81" s="47" t="str">
        <f t="shared" si="3"/>
        <v/>
      </c>
      <c r="C81" s="47"/>
      <c r="D81" s="48"/>
      <c r="E81" s="49"/>
      <c r="F81" s="49"/>
      <c r="G81" s="49"/>
      <c r="H81" s="49"/>
      <c r="I81" s="50" t="str">
        <f>IF($B81="","",IF($K81="X",B81,CONCATENATE(VLOOKUP(B81,Competitors!$A$2:$I$650,3,FALSE)," ",VLOOKUP(B81,Competitors!$A$2:$I$650,2,FALSE))))</f>
        <v/>
      </c>
      <c r="J81" s="51">
        <f t="shared" si="6"/>
        <v>0</v>
      </c>
      <c r="K81" t="str">
        <f t="shared" si="7"/>
        <v/>
      </c>
    </row>
    <row r="82" spans="1:11" ht="15">
      <c r="A82" s="46"/>
      <c r="B82" s="47" t="str">
        <f t="shared" si="3"/>
        <v/>
      </c>
      <c r="C82" s="47"/>
      <c r="D82" s="48"/>
      <c r="E82" s="49"/>
      <c r="F82" s="49"/>
      <c r="G82" s="49"/>
      <c r="H82" s="49"/>
      <c r="I82" s="50" t="str">
        <f>IF($B82="","",IF($K82="X",B82,CONCATENATE(VLOOKUP(B82,Competitors!$A$2:$I$650,3,FALSE)," ",VLOOKUP(B82,Competitors!$A$2:$I$650,2,FALSE))))</f>
        <v/>
      </c>
      <c r="J82" s="51">
        <f t="shared" si="6"/>
        <v>0</v>
      </c>
      <c r="K82" t="str">
        <f t="shared" si="7"/>
        <v/>
      </c>
    </row>
    <row r="83" spans="1:11" ht="15">
      <c r="A83" s="46"/>
      <c r="B83" s="47" t="str">
        <f t="shared" si="3"/>
        <v/>
      </c>
      <c r="C83" s="47"/>
      <c r="D83" s="48"/>
      <c r="E83" s="49"/>
      <c r="F83" s="49"/>
      <c r="G83" s="49"/>
      <c r="H83" s="49"/>
      <c r="I83" s="50" t="str">
        <f>IF($B83="","",IF($K83="X",B83,CONCATENATE(VLOOKUP(B83,Competitors!$A$2:$I$650,3,FALSE)," ",VLOOKUP(B83,Competitors!$A$2:$I$650,2,FALSE))))</f>
        <v/>
      </c>
      <c r="J83" s="51">
        <f t="shared" si="6"/>
        <v>0</v>
      </c>
      <c r="K83" t="str">
        <f t="shared" si="7"/>
        <v/>
      </c>
    </row>
    <row r="84" spans="1:11" ht="15">
      <c r="A84" s="46"/>
      <c r="B84" s="47" t="str">
        <f t="shared" si="3"/>
        <v/>
      </c>
      <c r="C84" s="47"/>
      <c r="D84" s="48"/>
      <c r="E84" s="49"/>
      <c r="F84" s="49"/>
      <c r="G84" s="49"/>
      <c r="H84" s="49"/>
      <c r="I84" s="50" t="str">
        <f>IF($B84="","",IF($K84="X",B84,CONCATENATE(VLOOKUP(B84,Competitors!$A$2:$I$650,3,FALSE)," ",VLOOKUP(B84,Competitors!$A$2:$I$650,2,FALSE))))</f>
        <v/>
      </c>
      <c r="J84" s="51">
        <f t="shared" si="6"/>
        <v>0</v>
      </c>
      <c r="K84" t="str">
        <f t="shared" si="7"/>
        <v/>
      </c>
    </row>
    <row r="85" spans="1:11" ht="15">
      <c r="A85" s="46"/>
      <c r="B85" s="47" t="str">
        <f t="shared" si="3"/>
        <v/>
      </c>
      <c r="C85" s="47"/>
      <c r="D85" s="48"/>
      <c r="E85" s="49"/>
      <c r="F85" s="49"/>
      <c r="G85" s="49"/>
      <c r="H85" s="49"/>
      <c r="I85" s="50" t="str">
        <f>IF($B85="","",IF($K85="X",B85,CONCATENATE(VLOOKUP(B85,Competitors!$A$2:$I$650,3,FALSE)," ",VLOOKUP(B85,Competitors!$A$2:$I$650,2,FALSE))))</f>
        <v/>
      </c>
      <c r="J85" s="51">
        <f t="shared" si="6"/>
        <v>0</v>
      </c>
      <c r="K85" t="str">
        <f t="shared" si="7"/>
        <v/>
      </c>
    </row>
    <row r="86" spans="1:11" ht="15">
      <c r="A86" s="46"/>
      <c r="B86" s="47" t="str">
        <f t="shared" si="3"/>
        <v/>
      </c>
      <c r="C86" s="47"/>
      <c r="D86" s="48"/>
      <c r="E86" s="49"/>
      <c r="F86" s="49"/>
      <c r="G86" s="49"/>
      <c r="H86" s="49"/>
      <c r="I86" s="50" t="str">
        <f>IF($B86="","",IF($K86="X",B86,CONCATENATE(VLOOKUP(B86,Competitors!$A$2:$I$650,3,FALSE)," ",VLOOKUP(B86,Competitors!$A$2:$I$650,2,FALSE))))</f>
        <v/>
      </c>
      <c r="J86" s="51">
        <f t="shared" si="6"/>
        <v>0</v>
      </c>
      <c r="K86" t="str">
        <f t="shared" si="7"/>
        <v/>
      </c>
    </row>
    <row r="87" spans="1:11" ht="15">
      <c r="A87" s="46"/>
      <c r="B87" s="47" t="str">
        <f t="shared" si="3"/>
        <v/>
      </c>
      <c r="C87" s="47"/>
      <c r="D87" s="48"/>
      <c r="E87" s="49"/>
      <c r="F87" s="49"/>
      <c r="G87" s="49"/>
      <c r="H87" s="49"/>
      <c r="I87" s="50" t="str">
        <f>IF($B87="","",IF($K87="X",B87,CONCATENATE(VLOOKUP(B87,Competitors!$A$2:$I$650,3,FALSE)," ",VLOOKUP(B87,Competitors!$A$2:$I$650,2,FALSE))))</f>
        <v/>
      </c>
      <c r="J87" s="51">
        <f t="shared" si="6"/>
        <v>0</v>
      </c>
      <c r="K87" t="str">
        <f t="shared" si="7"/>
        <v/>
      </c>
    </row>
    <row r="88" spans="1:11" ht="15">
      <c r="A88" s="46"/>
      <c r="B88" s="47" t="str">
        <f t="shared" si="3"/>
        <v/>
      </c>
      <c r="C88" s="47"/>
      <c r="D88" s="48"/>
      <c r="E88" s="49"/>
      <c r="F88" s="49"/>
      <c r="G88" s="49"/>
      <c r="H88" s="49"/>
      <c r="I88" s="50" t="str">
        <f>IF($B88="","",IF($K88="X",B88,CONCATENATE(VLOOKUP(B88,Competitors!$A$2:$I$650,3,FALSE)," ",VLOOKUP(B88,Competitors!$A$2:$I$650,2,FALSE))))</f>
        <v/>
      </c>
      <c r="J88" s="51">
        <f t="shared" si="6"/>
        <v>0</v>
      </c>
      <c r="K88" t="str">
        <f t="shared" si="7"/>
        <v/>
      </c>
    </row>
    <row r="89" spans="1:11" ht="15">
      <c r="A89" s="46"/>
      <c r="B89" s="47" t="str">
        <f t="shared" si="3"/>
        <v/>
      </c>
      <c r="C89" s="47"/>
      <c r="D89" s="48"/>
      <c r="E89" s="49"/>
      <c r="F89" s="49"/>
      <c r="G89" s="49"/>
      <c r="H89" s="49"/>
      <c r="I89" s="50" t="str">
        <f>IF($B89="","",IF($K89="X",B89,CONCATENATE(VLOOKUP(B89,Competitors!$A$2:$I$650,3,FALSE)," ",VLOOKUP(B89,Competitors!$A$2:$I$650,2,FALSE))))</f>
        <v/>
      </c>
      <c r="J89" s="51">
        <f t="shared" si="6"/>
        <v>0</v>
      </c>
      <c r="K89" t="str">
        <f t="shared" si="7"/>
        <v/>
      </c>
    </row>
    <row r="90" spans="1:11" ht="15">
      <c r="A90" s="46"/>
      <c r="B90" s="47" t="str">
        <f t="shared" si="3"/>
        <v/>
      </c>
      <c r="C90" s="47"/>
      <c r="D90" s="48"/>
      <c r="E90" s="49"/>
      <c r="F90" s="49"/>
      <c r="G90" s="49"/>
      <c r="H90" s="49"/>
      <c r="I90" s="50" t="str">
        <f>IF($B90="","",IF($K90="X",B90,CONCATENATE(VLOOKUP(B90,Competitors!$A$2:$I$650,3,FALSE)," ",VLOOKUP(B90,Competitors!$A$2:$I$650,2,FALSE))))</f>
        <v/>
      </c>
      <c r="J90" s="51">
        <f t="shared" si="6"/>
        <v>0</v>
      </c>
      <c r="K90" t="str">
        <f t="shared" si="7"/>
        <v/>
      </c>
    </row>
    <row r="91" spans="1:11" ht="15">
      <c r="A91" s="46"/>
      <c r="B91" s="47" t="str">
        <f t="shared" si="3"/>
        <v/>
      </c>
      <c r="C91" s="47"/>
      <c r="D91" s="48"/>
      <c r="E91" s="49"/>
      <c r="F91" s="58"/>
      <c r="G91" s="49"/>
      <c r="H91" s="49"/>
      <c r="I91" s="50" t="str">
        <f>IF($B91="","",IF($K91="X",B91,CONCATENATE(VLOOKUP(B91,Competitors!$A$2:$I$650,3,FALSE)," ",VLOOKUP(B91,Competitors!$A$2:$I$650,2,FALSE))))</f>
        <v/>
      </c>
      <c r="J91" s="51">
        <f t="shared" si="6"/>
        <v>0</v>
      </c>
      <c r="K91" t="str">
        <f t="shared" si="7"/>
        <v/>
      </c>
    </row>
    <row r="92" spans="1:11" ht="15">
      <c r="A92" s="46"/>
      <c r="B92" s="47" t="str">
        <f t="shared" si="3"/>
        <v/>
      </c>
      <c r="C92" s="47"/>
      <c r="D92" s="48"/>
      <c r="E92" s="49"/>
      <c r="F92" s="58"/>
      <c r="G92" s="49"/>
      <c r="H92" s="49"/>
      <c r="I92" s="50" t="str">
        <f>IF($B92="","",IF($K92="X",B92,CONCATENATE(VLOOKUP(B92,Competitors!$A$2:$I$650,3,FALSE)," ",VLOOKUP(B92,Competitors!$A$2:$I$650,2,FALSE))))</f>
        <v/>
      </c>
      <c r="J92" s="51">
        <f t="shared" si="6"/>
        <v>0</v>
      </c>
      <c r="K92" t="str">
        <f t="shared" si="7"/>
        <v/>
      </c>
    </row>
    <row r="93" spans="1:11" ht="15">
      <c r="A93" s="46"/>
      <c r="B93" s="47" t="str">
        <f t="shared" si="3"/>
        <v/>
      </c>
      <c r="C93" s="47"/>
      <c r="D93" s="48"/>
      <c r="E93" s="49"/>
      <c r="F93" s="58"/>
      <c r="G93" s="49"/>
      <c r="H93" s="49"/>
      <c r="I93" s="50" t="str">
        <f>IF($B93="","",IF($K93="X",B93,CONCATENATE(VLOOKUP(B93,Competitors!$A$2:$I$650,3,FALSE)," ",VLOOKUP(B93,Competitors!$A$2:$I$650,2,FALSE))))</f>
        <v/>
      </c>
      <c r="J93" s="51">
        <f t="shared" si="6"/>
        <v>0</v>
      </c>
      <c r="K93" t="str">
        <f t="shared" si="7"/>
        <v/>
      </c>
    </row>
    <row r="94" spans="1:11" ht="15">
      <c r="A94" s="46"/>
      <c r="B94" s="47" t="str">
        <f t="shared" si="3"/>
        <v/>
      </c>
      <c r="C94" s="47"/>
      <c r="D94" s="48"/>
      <c r="E94" s="49"/>
      <c r="F94" s="58"/>
      <c r="G94" s="49"/>
      <c r="H94" s="49"/>
      <c r="I94" s="50" t="str">
        <f>IF($B94="","",IF($K94="X",B94,CONCATENATE(VLOOKUP(B94,Competitors!$A$2:$I$650,3,FALSE)," ",VLOOKUP(B94,Competitors!$A$2:$I$650,2,FALSE))))</f>
        <v/>
      </c>
      <c r="J94" s="51">
        <f t="shared" si="6"/>
        <v>0</v>
      </c>
      <c r="K94" t="str">
        <f t="shared" si="7"/>
        <v/>
      </c>
    </row>
    <row r="95" spans="1:11" ht="15">
      <c r="A95" s="46"/>
      <c r="B95" s="47" t="str">
        <f t="shared" si="3"/>
        <v/>
      </c>
      <c r="C95" s="47"/>
      <c r="D95" s="48"/>
      <c r="E95" s="49"/>
      <c r="F95" s="58"/>
      <c r="G95" s="49"/>
      <c r="H95" s="49"/>
      <c r="I95" s="50" t="str">
        <f>IF($B95="","",IF($K95="X",B95,CONCATENATE(VLOOKUP(B95,Competitors!$A$2:$I$650,3,FALSE)," ",VLOOKUP(B95,Competitors!$A$2:$I$650,2,FALSE))))</f>
        <v/>
      </c>
      <c r="J95" s="51">
        <f t="shared" si="6"/>
        <v>0</v>
      </c>
      <c r="K95" t="str">
        <f t="shared" si="7"/>
        <v/>
      </c>
    </row>
    <row r="96" spans="1:11" ht="15">
      <c r="A96" s="46"/>
      <c r="B96" s="47" t="str">
        <f t="shared" si="3"/>
        <v/>
      </c>
      <c r="C96" s="47"/>
      <c r="D96" s="48"/>
      <c r="E96" s="49"/>
      <c r="F96" s="58"/>
      <c r="G96" s="49"/>
      <c r="H96" s="49"/>
      <c r="I96" s="50" t="str">
        <f>IF($B96="","",IF($K96="X",B96,CONCATENATE(VLOOKUP(B96,Competitors!$A$2:$I$650,3,FALSE)," ",VLOOKUP(B96,Competitors!$A$2:$I$650,2,FALSE))))</f>
        <v/>
      </c>
      <c r="J96" s="51">
        <f t="shared" si="6"/>
        <v>0</v>
      </c>
      <c r="K96" t="str">
        <f t="shared" si="7"/>
        <v/>
      </c>
    </row>
    <row r="97" spans="1:11" ht="15">
      <c r="A97" s="46"/>
      <c r="B97" s="47" t="str">
        <f t="shared" si="3"/>
        <v/>
      </c>
      <c r="C97" s="47"/>
      <c r="D97" s="48"/>
      <c r="E97" s="49"/>
      <c r="F97" s="58"/>
      <c r="G97" s="49"/>
      <c r="H97" s="49"/>
      <c r="I97" s="50" t="str">
        <f>IF($B97="","",IF($K97="X",B97,CONCATENATE(VLOOKUP(B97,Competitors!$A$2:$I$650,3,FALSE)," ",VLOOKUP(B97,Competitors!$A$2:$I$650,2,FALSE))))</f>
        <v/>
      </c>
      <c r="J97" s="51">
        <f t="shared" si="6"/>
        <v>0</v>
      </c>
      <c r="K97" t="str">
        <f t="shared" si="7"/>
        <v/>
      </c>
    </row>
    <row r="98" spans="1:11" ht="15">
      <c r="A98" s="46"/>
      <c r="B98" s="47" t="str">
        <f>IF(A98="","",_xlfn.XLOOKUP(A98,ClubNames,ClubNumbers,_xlfn.XLOOKUP(A98,RoundRobinRiderNames,RoundRobinRiderDecoratedNames,A98)))</f>
        <v/>
      </c>
      <c r="C98" s="47"/>
      <c r="D98" s="48"/>
      <c r="E98" s="49"/>
      <c r="F98" s="58"/>
      <c r="G98" s="49"/>
      <c r="H98" s="49"/>
      <c r="I98" s="50" t="str">
        <f>IF($B98="","",IF($K98="X",B98,CONCATENATE(VLOOKUP(B98,Competitors!$A$2:$I$650,3,FALSE)," ",VLOOKUP(B98,Competitors!$A$2:$I$650,2,FALSE))))</f>
        <v/>
      </c>
      <c r="J98" s="51">
        <f t="shared" si="6"/>
        <v>0</v>
      </c>
      <c r="K98" t="str">
        <f t="shared" si="7"/>
        <v/>
      </c>
    </row>
    <row r="99" spans="1:11" ht="15">
      <c r="A99" s="46"/>
      <c r="B99" s="47" t="str">
        <f>IF(A99="","",_xlfn.XLOOKUP(A99,ClubNames,ClubNumbers,_xlfn.XLOOKUP(A99,RoundRobinRiderNames,RoundRobinRiderDecoratedNames,A99)))</f>
        <v/>
      </c>
      <c r="C99" s="47"/>
      <c r="D99" s="48"/>
      <c r="E99" s="49"/>
      <c r="F99" s="58"/>
      <c r="G99" s="49"/>
      <c r="H99" s="49"/>
      <c r="I99" s="50" t="str">
        <f>IF($B99="","",IF($K99="X",B99,CONCATENATE(VLOOKUP(B99,Competitors!$A$2:$I$650,3,FALSE)," ",VLOOKUP(B99,Competitors!$A$2:$I$650,2,FALSE))))</f>
        <v/>
      </c>
      <c r="J99" s="51">
        <f t="shared" si="6"/>
        <v>0</v>
      </c>
      <c r="K99" t="str">
        <f t="shared" si="7"/>
        <v/>
      </c>
    </row>
    <row r="100" spans="1:11" ht="15">
      <c r="A100" s="46"/>
      <c r="B100" s="47" t="str">
        <f>IF(A100="","",_xlfn.XLOOKUP(A100,ClubNames,ClubNumbers,_xlfn.XLOOKUP(A100,RoundRobinRiderNames,RoundRobinRiderDecoratedNames,A100)))</f>
        <v/>
      </c>
      <c r="C100" s="47"/>
      <c r="D100" s="48"/>
      <c r="E100" s="49"/>
      <c r="F100" s="58"/>
      <c r="G100" s="49"/>
      <c r="H100" s="49"/>
      <c r="I100" s="50" t="str">
        <f>IF($B100="","",IF($K100="X",B100,CONCATENATE(VLOOKUP(B100,Competitors!$A$2:$I$650,3, FALSE)," ",VLOOKUP(B100,Competitors!$A$2:$I$650,2,FALSE))))</f>
        <v/>
      </c>
      <c r="J100" s="51">
        <f t="shared" si="6"/>
        <v>0</v>
      </c>
      <c r="K100" t="str">
        <f t="shared" si="7"/>
        <v/>
      </c>
    </row>
    <row r="101" spans="1:11" ht="15">
      <c r="A101" s="46"/>
      <c r="B101" s="47" t="str">
        <f>IF(A101="","",_xlfn.XLOOKUP(A101,ClubNames,ClubNumbers,_xlfn.XLOOKUP(A101,RoundRobinRiderNames,RoundRobinRiderDecoratedNames,A101)))</f>
        <v/>
      </c>
      <c r="C101" s="47"/>
      <c r="D101" s="48"/>
      <c r="E101" s="49"/>
      <c r="F101" s="58"/>
      <c r="G101" s="49"/>
      <c r="H101" s="49"/>
      <c r="I101" s="50" t="str">
        <f>IF($B101="","",IF($K101="X",B101,CONCATENATE(VLOOKUP(B101,Competitors!$A$2:$I$650,3,FALSE)," ",VLOOKUP(B101,Competitors!$A$2:$I$650,2,FALSE))))</f>
        <v/>
      </c>
      <c r="J101" s="51">
        <f t="shared" si="6"/>
        <v>0</v>
      </c>
      <c r="K101" t="str">
        <f t="shared" si="7"/>
        <v/>
      </c>
    </row>
    <row r="102" spans="1:11" s="52" customFormat="1">
      <c r="J102" s="53"/>
    </row>
    <row r="103" spans="1:11">
      <c r="B103" t="s">
        <v>551</v>
      </c>
      <c r="D103" t="str" cm="1">
        <f t="array" aca="1" ref="D103" ca="1">MID(CELL("filename",B1),FIND("]",CELL("filename",B1))+1,255)</f>
        <v>Event_20</v>
      </c>
    </row>
    <row r="104" spans="1:11">
      <c r="B104" t="s">
        <v>552</v>
      </c>
      <c r="D104" t="str">
        <f ca="1">_xlfn.XLOOKUP(D103,Calendar!O:O,Calendar!H:H,"Event is not in calendar")</f>
        <v/>
      </c>
    </row>
  </sheetData>
  <sortState xmlns:xlrd2="http://schemas.microsoft.com/office/spreadsheetml/2017/richdata2" ref="A2:K42">
    <sortCondition ref="C2:C42"/>
  </sortState>
  <conditionalFormatting sqref="F2:F90">
    <cfRule type="expression" dxfId="24" priority="1">
      <formula>TEXT($C$104,"@")="Y"</formula>
    </cfRule>
  </conditionalFormatting>
  <conditionalFormatting sqref="F91:F101">
    <cfRule type="expression" dxfId="23" priority="4">
      <formula>TEXT($D$104,"@")="Y"</formula>
    </cfRule>
  </conditionalFormatting>
  <conditionalFormatting sqref="I2:J101">
    <cfRule type="expression" dxfId="22" priority="3">
      <formula>$K2="X"</formula>
    </cfRule>
  </conditionalFormatting>
  <conditionalFormatting sqref="J2:J101">
    <cfRule type="expression" dxfId="21" priority="2">
      <formula>TEXT($D$104,"@")="Y"</formula>
    </cfRule>
  </conditionalFormatting>
  <pageMargins left="0.7" right="0.7" top="0.75" bottom="0.75" header="0.3" footer="0.3"/>
  <pageSetup paperSize="9" orientation="portrait"/>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7"/>
  <dimension ref="A1:J104"/>
  <sheetViews>
    <sheetView workbookViewId="0"/>
    <sheetView workbookViewId="1"/>
  </sheetViews>
  <sheetFormatPr defaultColWidth="9.1328125" defaultRowHeight="12.75"/>
  <cols>
    <col min="1" max="1" width="20.33203125" bestFit="1" customWidth="1"/>
    <col min="2" max="2" width="28.46484375" customWidth="1"/>
    <col min="3" max="5" width="4.796875" customWidth="1"/>
    <col min="6" max="7" width="11.1328125" customWidth="1"/>
    <col min="8" max="8" width="37.79687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60" t="s">
        <v>444</v>
      </c>
      <c r="B2" s="47">
        <f t="shared" ref="B2:B33" si="0">IF(A2="","",_xlfn.XLOOKUP(A2,ClubNames,ClubNumbers,_xlfn.XLOOKUP(A2,RoundRobinRiderNames,RoundRobinRiderDecoratedNames,A2)))</f>
        <v>1386</v>
      </c>
      <c r="C2" s="48"/>
      <c r="D2" s="49">
        <v>29</v>
      </c>
      <c r="E2" s="49">
        <v>32</v>
      </c>
      <c r="F2" s="65" t="s">
        <v>544</v>
      </c>
      <c r="G2" s="49"/>
      <c r="H2" s="50" t="str">
        <f>IF($B2="","",IF($J2="X",B2,CONCATENATE(VLOOKUP(B2,Competitors!$A$2:$I$650,3, FALSE)," ",VLOOKUP(B2,Competitors!$A$2:$I$650,2,FALSE))))</f>
        <v>Mea Moore</v>
      </c>
      <c r="I2" s="51">
        <f t="shared" ref="I2:I65" si="1">IF(LEFT($F2,1)="D",UPPER($F2),(C2*3600+D2*60+E2)/86400)</f>
        <v>2.0509259259259258E-2</v>
      </c>
      <c r="J2" t="str">
        <f t="shared" ref="J2:J65" si="2">IF(OR(B2="",ISNUMBER(B2)),"","X")</f>
        <v/>
      </c>
    </row>
    <row r="3" spans="1:10" ht="15">
      <c r="A3" s="46" t="s">
        <v>616</v>
      </c>
      <c r="B3" s="47">
        <f t="shared" si="0"/>
        <v>990</v>
      </c>
      <c r="C3" s="48"/>
      <c r="D3" s="49">
        <v>34</v>
      </c>
      <c r="E3" s="49">
        <v>44</v>
      </c>
      <c r="F3" s="49" t="s">
        <v>544</v>
      </c>
      <c r="G3" s="49"/>
      <c r="H3" s="50" t="str">
        <f>IF($B3="","",IF($J3="X",B3,CONCATENATE(VLOOKUP(B3,Competitors!$A$2:$I$650,3,FALSE)," ",VLOOKUP(B3,Competitors!$A$2:$I$650,2,FALSE))))</f>
        <v>Jen Hulme</v>
      </c>
      <c r="I3" s="51">
        <f t="shared" si="1"/>
        <v>2.4120370370370372E-2</v>
      </c>
      <c r="J3" t="str">
        <f t="shared" si="2"/>
        <v/>
      </c>
    </row>
    <row r="4" spans="1:10" ht="15">
      <c r="A4" s="46" t="s">
        <v>507</v>
      </c>
      <c r="B4" s="47" t="str">
        <f t="shared" si="0"/>
        <v>Lucy Sturgess (Ratae)</v>
      </c>
      <c r="C4" s="48"/>
      <c r="D4" s="49">
        <v>28</v>
      </c>
      <c r="E4" s="49">
        <v>45</v>
      </c>
      <c r="F4" s="49"/>
      <c r="G4" s="49"/>
      <c r="H4" s="50" t="str">
        <f>IF($B4="","",IF($J4="X",B4,CONCATENATE(VLOOKUP(B4,Competitors!$A$2:$I$650,3,FALSE)," ",VLOOKUP(B4,Competitors!$A$2:$I$650,2,FALSE))))</f>
        <v>Lucy Sturgess (Ratae)</v>
      </c>
      <c r="I4" s="51">
        <f t="shared" si="1"/>
        <v>1.9965277777777776E-2</v>
      </c>
      <c r="J4" t="str">
        <f t="shared" si="2"/>
        <v>X</v>
      </c>
    </row>
    <row r="5" spans="1:10" ht="15">
      <c r="A5" s="46" t="s">
        <v>769</v>
      </c>
      <c r="B5" s="47" t="str">
        <f t="shared" si="0"/>
        <v>Nikki Allen (Ratae)</v>
      </c>
      <c r="C5" s="48"/>
      <c r="D5" s="49">
        <v>32</v>
      </c>
      <c r="E5" s="49">
        <v>16</v>
      </c>
      <c r="F5" s="49"/>
      <c r="G5" s="49"/>
      <c r="H5" s="50" t="str">
        <f>IF($B5="","",IF($J5="X",B5,CONCATENATE(VLOOKUP(B5,Competitors!$A$2:$I$650,3,FALSE)," ",VLOOKUP(B5,Competitors!$A$2:$I$650,2,FALSE))))</f>
        <v>Nikki Allen (Ratae)</v>
      </c>
      <c r="I5" s="51">
        <f t="shared" si="1"/>
        <v>2.2407407407407407E-2</v>
      </c>
      <c r="J5" t="str">
        <f t="shared" si="2"/>
        <v>X</v>
      </c>
    </row>
    <row r="6" spans="1:10" ht="15">
      <c r="A6" s="46" t="s">
        <v>500</v>
      </c>
      <c r="B6" s="47" t="str">
        <f t="shared" si="0"/>
        <v>Brian Lincoln (Ratae)</v>
      </c>
      <c r="C6" s="48"/>
      <c r="D6" s="49">
        <v>30</v>
      </c>
      <c r="E6" s="49">
        <v>32</v>
      </c>
      <c r="F6" s="49"/>
      <c r="G6" s="49"/>
      <c r="H6" s="50" t="str">
        <f>IF($B6="","",IF($J6="X",B6,CONCATENATE(VLOOKUP(B6,Competitors!$A$2:$I$650,3,FALSE)," ",VLOOKUP(B6,Competitors!$A$2:$I$650,2,FALSE))))</f>
        <v>Brian Lincoln (Ratae)</v>
      </c>
      <c r="I6" s="51">
        <f t="shared" si="1"/>
        <v>2.1203703703703704E-2</v>
      </c>
      <c r="J6" t="str">
        <f t="shared" si="2"/>
        <v>X</v>
      </c>
    </row>
    <row r="7" spans="1:10" ht="15">
      <c r="A7" s="46" t="s">
        <v>579</v>
      </c>
      <c r="B7" s="47">
        <f t="shared" si="0"/>
        <v>1370</v>
      </c>
      <c r="C7" s="48"/>
      <c r="D7" s="49">
        <v>25</v>
      </c>
      <c r="E7" s="49">
        <v>34</v>
      </c>
      <c r="F7" s="65" t="s">
        <v>544</v>
      </c>
      <c r="G7" s="49"/>
      <c r="H7" s="50" t="str">
        <f>IF($B7="","",IF($J7="X",B7,CONCATENATE(VLOOKUP(B7,Competitors!$A$2:$I$650,3,FALSE)," ",VLOOKUP(B7,Competitors!$A$2:$I$650,2,FALSE))))</f>
        <v>Ian Aldridge</v>
      </c>
      <c r="I7" s="51">
        <f t="shared" si="1"/>
        <v>1.7754629629629631E-2</v>
      </c>
      <c r="J7" t="str">
        <f t="shared" si="2"/>
        <v/>
      </c>
    </row>
    <row r="8" spans="1:10" ht="15">
      <c r="A8" s="60" t="s">
        <v>460</v>
      </c>
      <c r="B8" s="47">
        <f t="shared" si="0"/>
        <v>7</v>
      </c>
      <c r="C8" s="48"/>
      <c r="D8" s="49">
        <v>32</v>
      </c>
      <c r="E8" s="49">
        <v>48</v>
      </c>
      <c r="F8" s="65" t="s">
        <v>544</v>
      </c>
      <c r="G8" s="49"/>
      <c r="H8" s="50" t="str">
        <f>IF($B8="","",IF($J8="X",B8,CONCATENATE(VLOOKUP(B8,Competitors!$A$2:$I$650,3,FALSE)," ",VLOOKUP(B8,Competitors!$A$2:$I$650,2,FALSE))))</f>
        <v>Vic Barnett</v>
      </c>
      <c r="I8" s="51">
        <f t="shared" si="1"/>
        <v>2.2777777777777779E-2</v>
      </c>
      <c r="J8" t="str">
        <f t="shared" si="2"/>
        <v/>
      </c>
    </row>
    <row r="9" spans="1:10" ht="15">
      <c r="A9" s="46" t="s">
        <v>780</v>
      </c>
      <c r="B9" s="47" t="str">
        <f t="shared" si="0"/>
        <v>Geoff Stanbridge (Fenland Clarion) (Ratae)</v>
      </c>
      <c r="C9" s="48"/>
      <c r="D9" s="49"/>
      <c r="E9" s="49"/>
      <c r="F9" s="65" t="s">
        <v>544</v>
      </c>
      <c r="G9" s="49" t="s">
        <v>557</v>
      </c>
      <c r="H9" s="50" t="str">
        <f>IF($B9="","",IF($J9="X",B9,CONCATENATE(VLOOKUP(B9,Competitors!$A$2:$I$650,3,FALSE)," ",VLOOKUP(B9,Competitors!$A$2:$I$650,2,FALSE))))</f>
        <v>Geoff Stanbridge (Fenland Clarion) (Ratae)</v>
      </c>
      <c r="I9" s="51">
        <f t="shared" si="1"/>
        <v>0</v>
      </c>
      <c r="J9" t="str">
        <f t="shared" si="2"/>
        <v>X</v>
      </c>
    </row>
    <row r="10" spans="1:10" ht="15">
      <c r="A10" s="46" t="s">
        <v>510</v>
      </c>
      <c r="B10" s="47" t="str">
        <f t="shared" si="0"/>
        <v>Marshall Briggs (Ratae)</v>
      </c>
      <c r="C10" s="48"/>
      <c r="D10" s="49">
        <v>26</v>
      </c>
      <c r="E10" s="49">
        <v>55</v>
      </c>
      <c r="F10" s="65"/>
      <c r="G10" s="49"/>
      <c r="H10" s="50" t="str">
        <f>IF($B10="","",IF($J10="X",B10,CONCATENATE(VLOOKUP(B10,Competitors!$A$2:$I$650,3, FALSE)," ",VLOOKUP(B10,Competitors!$A$2:$I$650,2,FALSE))))</f>
        <v>Marshall Briggs (Ratae)</v>
      </c>
      <c r="I10" s="51">
        <f t="shared" si="1"/>
        <v>1.8692129629629628E-2</v>
      </c>
      <c r="J10" t="str">
        <f t="shared" si="2"/>
        <v>X</v>
      </c>
    </row>
    <row r="11" spans="1:10" ht="15">
      <c r="A11" s="46" t="s">
        <v>511</v>
      </c>
      <c r="B11" s="47" t="str">
        <f t="shared" si="0"/>
        <v>Natalie Harris (Ratae)</v>
      </c>
      <c r="C11" s="48"/>
      <c r="D11" s="49">
        <v>33</v>
      </c>
      <c r="E11" s="49">
        <v>23</v>
      </c>
      <c r="F11" s="65" t="s">
        <v>544</v>
      </c>
      <c r="G11" s="49"/>
      <c r="H11" s="50" t="str">
        <f>IF($B11="","",IF($J11="X",B11,CONCATENATE(VLOOKUP(B11,Competitors!$A$2:$I$650,3,FALSE)," ",VLOOKUP(B11,Competitors!$A$2:$I$650,2,FALSE))))</f>
        <v>Natalie Harris (Ratae)</v>
      </c>
      <c r="I11" s="51">
        <f t="shared" si="1"/>
        <v>2.3182870370370371E-2</v>
      </c>
      <c r="J11" t="str">
        <f t="shared" si="2"/>
        <v>X</v>
      </c>
    </row>
    <row r="12" spans="1:10" ht="15">
      <c r="A12" s="46" t="s">
        <v>514</v>
      </c>
      <c r="B12" s="47" t="str">
        <f t="shared" si="0"/>
        <v>Steve Pearce (Ratae)</v>
      </c>
      <c r="C12" s="48"/>
      <c r="D12" s="49">
        <v>27</v>
      </c>
      <c r="E12" s="49">
        <v>9</v>
      </c>
      <c r="F12" s="65"/>
      <c r="G12" s="49"/>
      <c r="H12" s="50" t="str">
        <f>IF($B12="","",IF($J12="X",B12,CONCATENATE(VLOOKUP(B12,Competitors!$A$2:$I$650,3,FALSE)," ",VLOOKUP(B12,Competitors!$A$2:$I$650,2,FALSE))))</f>
        <v>Steve Pearce (Ratae)</v>
      </c>
      <c r="I12" s="51">
        <f t="shared" si="1"/>
        <v>1.8854166666666668E-2</v>
      </c>
      <c r="J12" t="str">
        <f t="shared" si="2"/>
        <v>X</v>
      </c>
    </row>
    <row r="13" spans="1:10" ht="15">
      <c r="A13" s="60" t="s">
        <v>446</v>
      </c>
      <c r="B13" s="47">
        <f t="shared" si="0"/>
        <v>1379</v>
      </c>
      <c r="C13" s="48"/>
      <c r="D13" s="49">
        <v>29</v>
      </c>
      <c r="E13" s="49">
        <v>16</v>
      </c>
      <c r="F13" s="65" t="s">
        <v>544</v>
      </c>
      <c r="G13" s="49"/>
      <c r="H13" s="50" t="str">
        <f>IF($B13="","",IF($J13="X",B13,CONCATENATE(VLOOKUP(B13,Competitors!$A$2:$I$650,3,FALSE)," ",VLOOKUP(B13,Competitors!$A$2:$I$650,2,FALSE))))</f>
        <v>Michaela Latham</v>
      </c>
      <c r="I13" s="51">
        <f t="shared" si="1"/>
        <v>2.0324074074074074E-2</v>
      </c>
      <c r="J13" t="str">
        <f t="shared" si="2"/>
        <v/>
      </c>
    </row>
    <row r="14" spans="1:10" ht="15">
      <c r="A14" s="46" t="s">
        <v>730</v>
      </c>
      <c r="B14" s="47" t="str">
        <f t="shared" si="0"/>
        <v>Eric Fullerton (LFCC)</v>
      </c>
      <c r="C14" s="48"/>
      <c r="D14" s="49">
        <v>31</v>
      </c>
      <c r="E14" s="49">
        <v>8</v>
      </c>
      <c r="F14" s="65" t="s">
        <v>544</v>
      </c>
      <c r="G14" s="49"/>
      <c r="H14" s="50" t="str">
        <f>IF($B14="","",IF($J14="X",B14,CONCATENATE(VLOOKUP(B14,Competitors!$A$2:$I$650,3,FALSE)," ",VLOOKUP(B14,Competitors!$A$2:$I$650,2,FALSE))))</f>
        <v>Eric Fullerton (LFCC)</v>
      </c>
      <c r="I14" s="51">
        <f t="shared" si="1"/>
        <v>2.162037037037037E-2</v>
      </c>
      <c r="J14" t="str">
        <f t="shared" si="2"/>
        <v>X</v>
      </c>
    </row>
    <row r="15" spans="1:10" ht="15">
      <c r="A15" s="46" t="s">
        <v>770</v>
      </c>
      <c r="B15" s="47" t="str">
        <f t="shared" si="0"/>
        <v>Sally Richards (Ratae)</v>
      </c>
      <c r="C15" s="48"/>
      <c r="D15" s="49"/>
      <c r="E15" s="49"/>
      <c r="F15" s="49"/>
      <c r="G15" s="49" t="s">
        <v>557</v>
      </c>
      <c r="H15" s="50" t="str">
        <f>IF($B15="","",IF($J15="X",B15,CONCATENATE(VLOOKUP(B15,Competitors!$A$2:$I$650,3,FALSE)," ",VLOOKUP(B15,Competitors!$A$2:$I$650,2,FALSE))))</f>
        <v>Sally Richards (Ratae)</v>
      </c>
      <c r="I15" s="51">
        <f t="shared" si="1"/>
        <v>0</v>
      </c>
      <c r="J15" t="str">
        <f t="shared" si="2"/>
        <v>X</v>
      </c>
    </row>
    <row r="16" spans="1:10" ht="15">
      <c r="A16" s="46" t="s">
        <v>577</v>
      </c>
      <c r="B16" s="47">
        <f t="shared" si="0"/>
        <v>1048</v>
      </c>
      <c r="C16" s="48"/>
      <c r="D16" s="49">
        <v>30</v>
      </c>
      <c r="E16" s="49">
        <v>39</v>
      </c>
      <c r="F16" s="65"/>
      <c r="G16" s="49"/>
      <c r="H16" s="50" t="str">
        <f>IF($B16="","",IF($J16="X",B16,CONCATENATE(VLOOKUP(B16,Competitors!$A$2:$I$650,3,FALSE)," ",VLOOKUP(B16,Competitors!$A$2:$I$650,2,FALSE))))</f>
        <v>Andy Smith</v>
      </c>
      <c r="I16" s="51">
        <f t="shared" si="1"/>
        <v>2.1284722222222222E-2</v>
      </c>
      <c r="J16" t="str">
        <f t="shared" si="2"/>
        <v/>
      </c>
    </row>
    <row r="17" spans="1:10" ht="15">
      <c r="A17" s="60" t="s">
        <v>457</v>
      </c>
      <c r="B17" s="47">
        <f t="shared" si="0"/>
        <v>120</v>
      </c>
      <c r="C17" s="48"/>
      <c r="D17" s="49">
        <v>27</v>
      </c>
      <c r="E17" s="49">
        <v>45</v>
      </c>
      <c r="F17" s="65"/>
      <c r="G17" s="49"/>
      <c r="H17" s="50" t="str">
        <f>IF($B17="","",IF($J17="X",B17,CONCATENATE(VLOOKUP(B17,Competitors!$A$2:$I$650,3,FALSE)," ",VLOOKUP(B17,Competitors!$A$2:$I$650,2,FALSE))))</f>
        <v>Linda Hubbard</v>
      </c>
      <c r="I17" s="51">
        <f t="shared" si="1"/>
        <v>1.9270833333333334E-2</v>
      </c>
      <c r="J17" t="str">
        <f t="shared" si="2"/>
        <v/>
      </c>
    </row>
    <row r="18" spans="1:10" ht="15">
      <c r="A18" s="60" t="s">
        <v>447</v>
      </c>
      <c r="B18" s="47">
        <f t="shared" si="0"/>
        <v>1194</v>
      </c>
      <c r="C18" s="48"/>
      <c r="D18" s="49">
        <v>30</v>
      </c>
      <c r="E18" s="49">
        <v>53</v>
      </c>
      <c r="F18" s="65" t="s">
        <v>544</v>
      </c>
      <c r="G18" s="49"/>
      <c r="H18" s="50" t="str">
        <f>IF($B18="","",IF($J18="X",B18,CONCATENATE(VLOOKUP(B18,Competitors!$A$2:$I$650,3,FALSE)," ",VLOOKUP(B18,Competitors!$A$2:$I$650,2,FALSE))))</f>
        <v>Alex Hardwicke</v>
      </c>
      <c r="I18" s="51">
        <f t="shared" si="1"/>
        <v>2.1446759259259259E-2</v>
      </c>
      <c r="J18" t="str">
        <f t="shared" si="2"/>
        <v/>
      </c>
    </row>
    <row r="19" spans="1:10" ht="15">
      <c r="A19" s="46" t="s">
        <v>443</v>
      </c>
      <c r="B19" s="47">
        <f t="shared" si="0"/>
        <v>1193</v>
      </c>
      <c r="C19" s="48"/>
      <c r="D19" s="49">
        <v>29</v>
      </c>
      <c r="E19" s="49">
        <v>22</v>
      </c>
      <c r="F19" s="65" t="s">
        <v>544</v>
      </c>
      <c r="G19" s="49"/>
      <c r="H19" s="50" t="str">
        <f>IF($B19="","",IF($J19="X",B19,CONCATENATE(VLOOKUP(B19,Competitors!$A$2:$I$650,3,FALSE)," ",VLOOKUP(B19,Competitors!$A$2:$I$650,2,FALSE))))</f>
        <v>Richard Hardwicke</v>
      </c>
      <c r="I19" s="51">
        <f t="shared" si="1"/>
        <v>2.0393518518518519E-2</v>
      </c>
      <c r="J19" t="str">
        <f t="shared" si="2"/>
        <v/>
      </c>
    </row>
    <row r="20" spans="1:10" ht="15">
      <c r="A20" s="46" t="s">
        <v>431</v>
      </c>
      <c r="B20" s="47">
        <f t="shared" si="0"/>
        <v>1403</v>
      </c>
      <c r="C20" s="48"/>
      <c r="D20" s="49">
        <v>27</v>
      </c>
      <c r="E20" s="49">
        <v>32</v>
      </c>
      <c r="F20" s="65"/>
      <c r="G20" s="49"/>
      <c r="H20" s="50" t="str">
        <f>IF($B20="","",IF($J20="X",B20,CONCATENATE(VLOOKUP(B20,Competitors!$A$2:$I$650,3,FALSE)," ",VLOOKUP(B20,Competitors!$A$2:$I$650,2,FALSE))))</f>
        <v>Toby Lenehan</v>
      </c>
      <c r="I20" s="51">
        <f t="shared" si="1"/>
        <v>1.9120370370370371E-2</v>
      </c>
      <c r="J20" t="str">
        <f t="shared" si="2"/>
        <v/>
      </c>
    </row>
    <row r="21" spans="1:10" ht="15">
      <c r="A21" s="46" t="s">
        <v>437</v>
      </c>
      <c r="B21" s="47">
        <f t="shared" si="0"/>
        <v>1195</v>
      </c>
      <c r="C21" s="48"/>
      <c r="D21" s="49">
        <v>26</v>
      </c>
      <c r="E21" s="49">
        <v>45</v>
      </c>
      <c r="F21" s="65"/>
      <c r="G21" s="49"/>
      <c r="H21" s="50" t="str">
        <f>IF($B21="","",IF($J21="X",B21,CONCATENATE(VLOOKUP(B21,Competitors!$A$2:$I$650,3,FALSE)," ",VLOOKUP(B21,Competitors!$A$2:$I$650,2,FALSE))))</f>
        <v>Charlie Hardwicke</v>
      </c>
      <c r="I21" s="51">
        <f t="shared" si="1"/>
        <v>1.8576388888888889E-2</v>
      </c>
      <c r="J21" t="str">
        <f t="shared" si="2"/>
        <v/>
      </c>
    </row>
    <row r="22" spans="1:10" ht="15">
      <c r="A22" s="46" t="s">
        <v>411</v>
      </c>
      <c r="B22" s="47">
        <f t="shared" si="0"/>
        <v>407</v>
      </c>
      <c r="C22" s="48"/>
      <c r="D22" s="49">
        <v>23</v>
      </c>
      <c r="E22" s="49">
        <v>6</v>
      </c>
      <c r="F22" s="65"/>
      <c r="G22" s="49"/>
      <c r="H22" s="50" t="str">
        <f>IF($B22="","",IF($J22="X",B22,CONCATENATE(VLOOKUP(B22,Competitors!$A$2:$I$650,3,FALSE)," ",VLOOKUP(B22,Competitors!$A$2:$I$650,2,FALSE))))</f>
        <v>Hans van Nierop</v>
      </c>
      <c r="I22" s="51">
        <f t="shared" si="1"/>
        <v>1.6041666666666666E-2</v>
      </c>
      <c r="J22" t="str">
        <f t="shared" si="2"/>
        <v/>
      </c>
    </row>
    <row r="23" spans="1:10" ht="15">
      <c r="A23" s="46" t="s">
        <v>422</v>
      </c>
      <c r="B23" s="47">
        <f t="shared" si="0"/>
        <v>1407</v>
      </c>
      <c r="C23" s="48"/>
      <c r="D23" s="49"/>
      <c r="E23" s="49"/>
      <c r="F23" s="65" t="s">
        <v>544</v>
      </c>
      <c r="G23" s="49" t="s">
        <v>553</v>
      </c>
      <c r="H23" s="50" t="str">
        <f>IF($B23="","",IF($J23="X",B23,CONCATENATE(VLOOKUP(B23,Competitors!$A$2:$I$650,3,FALSE)," ",VLOOKUP(B23,Competitors!$A$2:$I$650,2,FALSE))))</f>
        <v>Colin Dobson</v>
      </c>
      <c r="I23" s="51">
        <f t="shared" si="1"/>
        <v>0</v>
      </c>
      <c r="J23" t="str">
        <f t="shared" si="2"/>
        <v/>
      </c>
    </row>
    <row r="24" spans="1:10" ht="15">
      <c r="A24" s="60" t="s">
        <v>509</v>
      </c>
      <c r="B24" s="47" t="str">
        <f t="shared" si="0"/>
        <v>Mark Newton (Ratae)</v>
      </c>
      <c r="C24" s="48"/>
      <c r="D24" s="49">
        <v>25</v>
      </c>
      <c r="E24" s="49">
        <v>51</v>
      </c>
      <c r="F24" s="65"/>
      <c r="G24" s="49"/>
      <c r="H24" s="50" t="str">
        <f>IF($B24="","",IF($J24="X",B24,CONCATENATE(VLOOKUP(B24,Competitors!$A$2:$I$650,3,FALSE)," ",VLOOKUP(B24,Competitors!$A$2:$I$650,2,FALSE))))</f>
        <v>Mark Newton (Ratae)</v>
      </c>
      <c r="I24" s="51">
        <f t="shared" si="1"/>
        <v>1.7951388888888888E-2</v>
      </c>
      <c r="J24" t="str">
        <f t="shared" si="2"/>
        <v>X</v>
      </c>
    </row>
    <row r="25" spans="1:10" ht="15">
      <c r="A25" s="60" t="s">
        <v>789</v>
      </c>
      <c r="B25" s="47" t="str">
        <f t="shared" si="0"/>
        <v>Evan Collett (George Fox CS) (KCC)</v>
      </c>
      <c r="C25" s="48"/>
      <c r="D25" s="49">
        <v>25</v>
      </c>
      <c r="E25" s="49">
        <v>26</v>
      </c>
      <c r="F25" s="65" t="s">
        <v>544</v>
      </c>
      <c r="G25" s="49"/>
      <c r="H25" s="50" t="str">
        <f>IF($B25="","",IF($J25="X",B25,CONCATENATE(VLOOKUP(B25,Competitors!$A$2:$I$650,3,FALSE)," ",VLOOKUP(B25,Competitors!$A$2:$I$650,2,FALSE))))</f>
        <v>Evan Collett (George Fox CS) (KCC)</v>
      </c>
      <c r="I25" s="51">
        <f t="shared" si="1"/>
        <v>1.7662037037037039E-2</v>
      </c>
      <c r="J25" t="str">
        <f t="shared" si="2"/>
        <v>X</v>
      </c>
    </row>
    <row r="26" spans="1:10" ht="15">
      <c r="A26" s="60" t="s">
        <v>486</v>
      </c>
      <c r="B26" s="47" t="str">
        <f t="shared" si="0"/>
        <v>Matt Finch (LFCC)</v>
      </c>
      <c r="C26" s="48"/>
      <c r="D26" s="49">
        <v>31</v>
      </c>
      <c r="E26" s="49">
        <v>3</v>
      </c>
      <c r="F26" s="65" t="s">
        <v>544</v>
      </c>
      <c r="G26" s="49"/>
      <c r="H26" s="50" t="str">
        <f>IF($B26="","",IF($J26="X",B26,CONCATENATE(VLOOKUP(B26,Competitors!$A$2:$I$650,3,FALSE)," ",VLOOKUP(B26,Competitors!$A$2:$I$650,2,FALSE))))</f>
        <v>Matt Finch (LFCC)</v>
      </c>
      <c r="I26" s="51">
        <f t="shared" si="1"/>
        <v>2.1562499999999998E-2</v>
      </c>
      <c r="J26" t="str">
        <f t="shared" si="2"/>
        <v>X</v>
      </c>
    </row>
    <row r="27" spans="1:10" ht="15">
      <c r="A27" s="46" t="s">
        <v>429</v>
      </c>
      <c r="B27" s="47">
        <f t="shared" si="0"/>
        <v>1107</v>
      </c>
      <c r="C27" s="48"/>
      <c r="D27" s="49">
        <v>26</v>
      </c>
      <c r="E27" s="49">
        <v>33</v>
      </c>
      <c r="F27" s="49"/>
      <c r="G27" s="49"/>
      <c r="H27" s="50" t="str">
        <f>IF($B27="","",IF($J27="X",B27,CONCATENATE(VLOOKUP(B27,Competitors!$A$2:$I$650,3,FALSE)," ",VLOOKUP(B27,Competitors!$A$2:$I$650,2,FALSE))))</f>
        <v>Milly Pinnock</v>
      </c>
      <c r="I27" s="51">
        <f t="shared" si="1"/>
        <v>1.8437499999999999E-2</v>
      </c>
      <c r="J27" t="str">
        <f t="shared" si="2"/>
        <v/>
      </c>
    </row>
    <row r="28" spans="1:10" ht="15">
      <c r="A28" s="46" t="s">
        <v>440</v>
      </c>
      <c r="B28" s="47">
        <f t="shared" si="0"/>
        <v>245</v>
      </c>
      <c r="C28" s="48"/>
      <c r="D28" s="49">
        <v>27</v>
      </c>
      <c r="E28" s="49">
        <v>35</v>
      </c>
      <c r="F28" s="65"/>
      <c r="G28" s="49"/>
      <c r="H28" s="50" t="str">
        <f>IF($B28="","",IF($J28="X",B28,CONCATENATE(VLOOKUP(B28,Competitors!$A$2:$I$650,3,FALSE)," ",VLOOKUP(B28,Competitors!$A$2:$I$650,2,FALSE))))</f>
        <v>David Reay</v>
      </c>
      <c r="I28" s="51">
        <f t="shared" si="1"/>
        <v>1.9155092592592592E-2</v>
      </c>
      <c r="J28" t="str">
        <f t="shared" si="2"/>
        <v/>
      </c>
    </row>
    <row r="29" spans="1:10" ht="15">
      <c r="A29" s="46" t="s">
        <v>592</v>
      </c>
      <c r="B29" s="47">
        <f t="shared" si="0"/>
        <v>1390</v>
      </c>
      <c r="C29" s="48"/>
      <c r="D29" s="49">
        <v>24</v>
      </c>
      <c r="E29" s="49">
        <v>32</v>
      </c>
      <c r="F29" s="65" t="s">
        <v>544</v>
      </c>
      <c r="G29" s="49"/>
      <c r="H29" s="50" t="str">
        <f>IF($B29="","",IF($J29="X",B29,CONCATENATE(VLOOKUP(B29,Competitors!$A$2:$I$650,3,FALSE)," ",VLOOKUP(B29,Competitors!$A$2:$I$650,2,FALSE))))</f>
        <v>Diego Patteri</v>
      </c>
      <c r="I29" s="51">
        <f t="shared" si="1"/>
        <v>1.7037037037037038E-2</v>
      </c>
      <c r="J29" t="str">
        <f t="shared" si="2"/>
        <v/>
      </c>
    </row>
    <row r="30" spans="1:10" ht="15">
      <c r="A30" s="46" t="s">
        <v>691</v>
      </c>
      <c r="B30" s="47" t="str">
        <f t="shared" si="0"/>
        <v>Paul Akroyd (VTTA E.Mids)</v>
      </c>
      <c r="C30" s="48"/>
      <c r="D30" s="49">
        <v>27</v>
      </c>
      <c r="E30" s="49">
        <v>36</v>
      </c>
      <c r="F30" s="65" t="s">
        <v>544</v>
      </c>
      <c r="G30" s="49"/>
      <c r="H30" s="50" t="str">
        <f>IF($B30="","",IF($J30="X",B30,CONCATENATE(VLOOKUP(B30,Competitors!$A$2:$I$650,3,FALSE)," ",VLOOKUP(B30,Competitors!$A$2:$I$650,2,FALSE))))</f>
        <v>Paul Akroyd (VTTA E.Mids)</v>
      </c>
      <c r="I30" s="51">
        <f t="shared" si="1"/>
        <v>1.9166666666666665E-2</v>
      </c>
      <c r="J30" t="str">
        <f t="shared" si="2"/>
        <v>X</v>
      </c>
    </row>
    <row r="31" spans="1:10" ht="15">
      <c r="A31" s="60" t="s">
        <v>614</v>
      </c>
      <c r="B31" s="47">
        <f t="shared" si="0"/>
        <v>1391</v>
      </c>
      <c r="C31" s="48"/>
      <c r="D31" s="49">
        <v>24</v>
      </c>
      <c r="E31" s="49">
        <v>48</v>
      </c>
      <c r="F31" s="65" t="s">
        <v>544</v>
      </c>
      <c r="G31" s="49"/>
      <c r="H31" s="50" t="str">
        <f>IF($B31="","",IF($J31="X",B31,CONCATENATE(VLOOKUP(B31,Competitors!$A$2:$I$650,3,FALSE)," ",VLOOKUP(B31,Competitors!$A$2:$I$650,2,FALSE))))</f>
        <v>Leah Cuthbertson</v>
      </c>
      <c r="I31" s="51">
        <f t="shared" si="1"/>
        <v>1.7222222222222222E-2</v>
      </c>
      <c r="J31" t="str">
        <f t="shared" si="2"/>
        <v/>
      </c>
    </row>
    <row r="32" spans="1:10" ht="15">
      <c r="A32" s="60" t="s">
        <v>685</v>
      </c>
      <c r="B32" s="47" t="str">
        <f t="shared" si="0"/>
        <v>Steve Walsh (LFCC)</v>
      </c>
      <c r="C32" s="48"/>
      <c r="D32" s="49">
        <v>30</v>
      </c>
      <c r="E32" s="49">
        <v>19</v>
      </c>
      <c r="F32" s="65"/>
      <c r="G32" s="49"/>
      <c r="H32" s="50" t="str">
        <f>IF($B32="","",IF($J32="X",B32,CONCATENATE(VLOOKUP(B32,Competitors!$A$2:$I$650,3,FALSE)," ",VLOOKUP(B32,Competitors!$A$2:$I$650,2,FALSE))))</f>
        <v>Steve Walsh (LFCC)</v>
      </c>
      <c r="I32" s="51">
        <f t="shared" si="1"/>
        <v>2.105324074074074E-2</v>
      </c>
      <c r="J32" t="str">
        <f t="shared" si="2"/>
        <v>X</v>
      </c>
    </row>
    <row r="33" spans="1:10" ht="15">
      <c r="A33" s="60" t="s">
        <v>436</v>
      </c>
      <c r="B33" s="47">
        <f t="shared" si="0"/>
        <v>203</v>
      </c>
      <c r="C33" s="48"/>
      <c r="D33" s="49"/>
      <c r="E33" s="49"/>
      <c r="F33" s="49"/>
      <c r="G33" s="49" t="s">
        <v>553</v>
      </c>
      <c r="H33" s="50" t="str">
        <f>IF($B33="","",IF($J33="X",B33,CONCATENATE(VLOOKUP(B33,Competitors!$A$2:$I$650,3,FALSE)," ",VLOOKUP(B33,Competitors!$A$2:$I$650,2,FALSE))))</f>
        <v>Adrian Killworth</v>
      </c>
      <c r="I33" s="51">
        <f t="shared" si="1"/>
        <v>0</v>
      </c>
      <c r="J33" t="str">
        <f t="shared" si="2"/>
        <v/>
      </c>
    </row>
    <row r="34" spans="1:10" ht="15">
      <c r="A34" s="46" t="s">
        <v>512</v>
      </c>
      <c r="B34" s="47" t="str">
        <f t="shared" ref="B34:B97" si="3">IF(A34="","",_xlfn.XLOOKUP(A34,ClubNames,ClubNumbers,_xlfn.XLOOKUP(A34,RoundRobinRiderNames,RoundRobinRiderDecoratedNames,A34)))</f>
        <v>Paul Eden (Ratae)</v>
      </c>
      <c r="C34" s="48"/>
      <c r="D34" s="49">
        <v>31</v>
      </c>
      <c r="E34" s="49">
        <v>59</v>
      </c>
      <c r="F34" s="65" t="s">
        <v>544</v>
      </c>
      <c r="G34" s="49"/>
      <c r="H34" s="50" t="str">
        <f>IF($B34="","",IF($J34="X",B34,CONCATENATE(VLOOKUP(B34,Competitors!$A$2:$I$650,3,FALSE)," ",VLOOKUP(B34,Competitors!$A$2:$I$650,2,FALSE))))</f>
        <v>Paul Eden (Ratae)</v>
      </c>
      <c r="I34" s="51">
        <f t="shared" si="1"/>
        <v>2.2210648148148149E-2</v>
      </c>
      <c r="J34" t="str">
        <f t="shared" si="2"/>
        <v>X</v>
      </c>
    </row>
    <row r="35" spans="1:10" ht="15">
      <c r="A35" s="60" t="s">
        <v>438</v>
      </c>
      <c r="B35" s="47">
        <f t="shared" si="3"/>
        <v>704</v>
      </c>
      <c r="C35" s="48"/>
      <c r="D35" s="49">
        <v>29</v>
      </c>
      <c r="E35" s="49">
        <v>39</v>
      </c>
      <c r="F35" s="49" t="s">
        <v>544</v>
      </c>
      <c r="G35" s="49"/>
      <c r="H35" s="50" t="str">
        <f>IF($B35="","",IF($J35="X",B35,CONCATENATE(VLOOKUP(B35,Competitors!$A$2:$I$650,3,FALSE)," ",VLOOKUP(B35,Competitors!$A$2:$I$650,2,FALSE))))</f>
        <v>Chris Dainty</v>
      </c>
      <c r="I35" s="51">
        <f t="shared" si="1"/>
        <v>2.0590277777777777E-2</v>
      </c>
      <c r="J35" t="str">
        <f t="shared" si="2"/>
        <v/>
      </c>
    </row>
    <row r="36" spans="1:10" ht="15">
      <c r="A36" s="46" t="s">
        <v>421</v>
      </c>
      <c r="B36" s="47">
        <f t="shared" si="3"/>
        <v>415</v>
      </c>
      <c r="C36" s="48"/>
      <c r="D36" s="49">
        <v>25</v>
      </c>
      <c r="E36" s="49">
        <v>43</v>
      </c>
      <c r="F36" s="65"/>
      <c r="G36" s="49"/>
      <c r="H36" s="50" t="str">
        <f>IF($B36="","",IF($J36="X",B36,CONCATENATE(VLOOKUP(B36,Competitors!$A$2:$I$650,3,FALSE)," ",VLOOKUP(B36,Competitors!$A$2:$I$650,2,FALSE))))</f>
        <v>Nik Kershaw</v>
      </c>
      <c r="I36" s="51">
        <f t="shared" si="1"/>
        <v>1.7858796296296296E-2</v>
      </c>
      <c r="J36" t="str">
        <f t="shared" si="2"/>
        <v/>
      </c>
    </row>
    <row r="37" spans="1:10" ht="15">
      <c r="A37" s="46" t="s">
        <v>423</v>
      </c>
      <c r="B37" s="47">
        <f t="shared" si="3"/>
        <v>35</v>
      </c>
      <c r="C37" s="48"/>
      <c r="D37" s="49">
        <v>25</v>
      </c>
      <c r="E37" s="49">
        <v>52</v>
      </c>
      <c r="F37" s="49"/>
      <c r="G37" s="49"/>
      <c r="H37" s="50" t="str">
        <f>IF($B37="","",IF($J37="X",B37,CONCATENATE(VLOOKUP(B37,Competitors!$A$2:$I$650,3,FALSE)," ",VLOOKUP(B37,Competitors!$A$2:$I$650,2,FALSE))))</f>
        <v>Matt Plews</v>
      </c>
      <c r="I37" s="51">
        <f t="shared" si="1"/>
        <v>1.7962962962962962E-2</v>
      </c>
      <c r="J37" t="str">
        <f t="shared" si="2"/>
        <v/>
      </c>
    </row>
    <row r="38" spans="1:10" ht="15">
      <c r="A38" s="46" t="s">
        <v>432</v>
      </c>
      <c r="B38" s="47">
        <f t="shared" si="3"/>
        <v>1112</v>
      </c>
      <c r="C38" s="48"/>
      <c r="D38" s="49"/>
      <c r="E38" s="49"/>
      <c r="F38" s="65" t="s">
        <v>544</v>
      </c>
      <c r="G38" s="49" t="s">
        <v>553</v>
      </c>
      <c r="H38" s="50" t="str">
        <f>IF($B38="","",IF($J38="X",B38,CONCATENATE(VLOOKUP(B38,Competitors!$A$2:$I$650,3,FALSE)," ",VLOOKUP(B38,Competitors!$A$2:$I$650,2,FALSE))))</f>
        <v>Gary Ashwell</v>
      </c>
      <c r="I38" s="51">
        <f t="shared" si="1"/>
        <v>0</v>
      </c>
      <c r="J38" t="str">
        <f t="shared" si="2"/>
        <v/>
      </c>
    </row>
    <row r="39" spans="1:10" ht="15">
      <c r="A39" s="46" t="s">
        <v>412</v>
      </c>
      <c r="B39" s="47">
        <f t="shared" si="3"/>
        <v>1144</v>
      </c>
      <c r="C39" s="48"/>
      <c r="D39" s="49">
        <v>23</v>
      </c>
      <c r="E39" s="49">
        <v>12</v>
      </c>
      <c r="F39" s="49"/>
      <c r="G39" s="49"/>
      <c r="H39" s="50" t="str">
        <f>IF($B39="","",IF($J39="X",B39,CONCATENATE(VLOOKUP(B39,Competitors!$A$2:$I$650,3,FALSE)," ",VLOOKUP(B39,Competitors!$A$2:$I$650,2,FALSE))))</f>
        <v>Jamie Kershaw</v>
      </c>
      <c r="I39" s="51">
        <f t="shared" si="1"/>
        <v>1.6111111111111111E-2</v>
      </c>
      <c r="J39" t="str">
        <f t="shared" si="2"/>
        <v/>
      </c>
    </row>
    <row r="40" spans="1:10" ht="15">
      <c r="A40" s="46" t="s">
        <v>420</v>
      </c>
      <c r="B40" s="47">
        <f t="shared" si="3"/>
        <v>1192</v>
      </c>
      <c r="C40" s="48"/>
      <c r="D40" s="49">
        <v>26</v>
      </c>
      <c r="E40" s="49">
        <v>4</v>
      </c>
      <c r="F40" s="49"/>
      <c r="G40" s="49"/>
      <c r="H40" s="50" t="str">
        <f>IF($B40="","",IF($J40="X",B40,CONCATENATE(VLOOKUP(B40,Competitors!$A$2:$I$650,3,FALSE)," ",VLOOKUP(B40,Competitors!$A$2:$I$650,2,FALSE))))</f>
        <v>Dale Norris</v>
      </c>
      <c r="I40" s="51">
        <f t="shared" si="1"/>
        <v>1.8101851851851852E-2</v>
      </c>
      <c r="J40" t="str">
        <f t="shared" si="2"/>
        <v/>
      </c>
    </row>
    <row r="41" spans="1:10" ht="15">
      <c r="A41" s="46" t="s">
        <v>414</v>
      </c>
      <c r="B41" s="47">
        <f t="shared" si="3"/>
        <v>699</v>
      </c>
      <c r="C41" s="48"/>
      <c r="D41" s="49">
        <v>25</v>
      </c>
      <c r="E41" s="49">
        <v>16</v>
      </c>
      <c r="F41" s="49"/>
      <c r="G41" s="49"/>
      <c r="H41" s="50" t="str">
        <f>IF($B41="","",IF($J41="X",B41,CONCATENATE(VLOOKUP(B41,Competitors!$A$2:$I$650,3,FALSE)," ",VLOOKUP(B41,Competitors!$A$2:$I$650,2,FALSE))))</f>
        <v>Jonathan Durnin</v>
      </c>
      <c r="I41" s="51">
        <f t="shared" si="1"/>
        <v>1.7546296296296296E-2</v>
      </c>
      <c r="J41" t="str">
        <f t="shared" si="2"/>
        <v/>
      </c>
    </row>
    <row r="42" spans="1:10" ht="15">
      <c r="A42" s="46" t="s">
        <v>413</v>
      </c>
      <c r="B42" s="47">
        <f t="shared" si="3"/>
        <v>989</v>
      </c>
      <c r="C42" s="48"/>
      <c r="D42" s="49">
        <v>25</v>
      </c>
      <c r="E42" s="49">
        <v>4</v>
      </c>
      <c r="F42" s="49" t="s">
        <v>544</v>
      </c>
      <c r="G42" s="49"/>
      <c r="H42" s="50" t="str">
        <f>IF($B42="","",IF($J42="X",B42,CONCATENATE(VLOOKUP(B42,Competitors!$A$2:$I$650,3,FALSE)," ",VLOOKUP(B42,Competitors!$A$2:$I$650,2,FALSE))))</f>
        <v>Jason Williams</v>
      </c>
      <c r="I42" s="51">
        <f t="shared" si="1"/>
        <v>1.7407407407407406E-2</v>
      </c>
      <c r="J42" t="str">
        <f t="shared" si="2"/>
        <v/>
      </c>
    </row>
    <row r="43" spans="1:10" ht="15">
      <c r="A43" s="46" t="s">
        <v>488</v>
      </c>
      <c r="B43" s="47" t="str">
        <f t="shared" si="3"/>
        <v>Sam Nettel (LFCC)</v>
      </c>
      <c r="C43" s="48"/>
      <c r="D43" s="49">
        <v>24</v>
      </c>
      <c r="E43" s="49">
        <v>47</v>
      </c>
      <c r="F43" s="49"/>
      <c r="G43" s="49"/>
      <c r="H43" s="50" t="str">
        <f>IF($B43="","",IF($J43="X",B43,CONCATENATE(VLOOKUP(B43,Competitors!$A$2:$I$650,3,FALSE)," ",VLOOKUP(B43,Competitors!$A$2:$I$650,2,FALSE))))</f>
        <v>Sam Nettel (LFCC)</v>
      </c>
      <c r="I43" s="51">
        <f t="shared" si="1"/>
        <v>1.7210648148148149E-2</v>
      </c>
      <c r="J43" t="str">
        <f t="shared" si="2"/>
        <v>X</v>
      </c>
    </row>
    <row r="44" spans="1:10" ht="15">
      <c r="A44" s="46" t="s">
        <v>501</v>
      </c>
      <c r="B44" s="47" t="str">
        <f t="shared" si="3"/>
        <v>Chris Bonsor (Ratae)</v>
      </c>
      <c r="C44" s="48"/>
      <c r="D44" s="49">
        <v>27</v>
      </c>
      <c r="E44" s="49">
        <v>6</v>
      </c>
      <c r="F44" s="49"/>
      <c r="G44" s="49"/>
      <c r="H44" s="50" t="str">
        <f>IF($B44="","",IF($J44="X",B44,CONCATENATE(VLOOKUP(B44,Competitors!$A$2:$I$650,3,FALSE)," ",VLOOKUP(B44,Competitors!$A$2:$I$650,2,FALSE))))</f>
        <v>Chris Bonsor (Ratae)</v>
      </c>
      <c r="I44" s="51">
        <f t="shared" si="1"/>
        <v>1.8819444444444444E-2</v>
      </c>
      <c r="J44" t="str">
        <f t="shared" si="2"/>
        <v>X</v>
      </c>
    </row>
    <row r="45" spans="1:10" ht="15">
      <c r="A45" s="46" t="s">
        <v>410</v>
      </c>
      <c r="B45" s="47">
        <f t="shared" si="3"/>
        <v>747</v>
      </c>
      <c r="C45" s="48"/>
      <c r="D45" s="49">
        <v>23</v>
      </c>
      <c r="E45" s="49">
        <v>22</v>
      </c>
      <c r="F45" s="49"/>
      <c r="G45" s="49"/>
      <c r="H45" s="50" t="str">
        <f>IF($B45="","",IF($J45="X",B45,CONCATENATE(VLOOKUP(B45,Competitors!$A$2:$I$650,3,FALSE)," ",VLOOKUP(B45,Competitors!$A$2:$I$650,2,FALSE))))</f>
        <v>James Moore</v>
      </c>
      <c r="I45" s="51">
        <f t="shared" si="1"/>
        <v>1.6226851851851853E-2</v>
      </c>
      <c r="J45" t="str">
        <f t="shared" si="2"/>
        <v/>
      </c>
    </row>
    <row r="46" spans="1:10" ht="15">
      <c r="A46" s="46" t="s">
        <v>620</v>
      </c>
      <c r="B46" s="47">
        <f t="shared" si="3"/>
        <v>735</v>
      </c>
      <c r="C46" s="48"/>
      <c r="D46" s="49">
        <v>25</v>
      </c>
      <c r="E46" s="49">
        <v>54</v>
      </c>
      <c r="F46" s="49"/>
      <c r="G46" s="49"/>
      <c r="H46" s="50" t="str">
        <f>IF($B46="","",IF($J46="X",B46,CONCATENATE(VLOOKUP(B46,Competitors!$A$2:$I$650,3,FALSE)," ",VLOOKUP(B46,Competitors!$A$2:$I$650,2,FALSE))))</f>
        <v>Michael Burke</v>
      </c>
      <c r="I46" s="51">
        <f t="shared" si="1"/>
        <v>1.7986111111111112E-2</v>
      </c>
      <c r="J46" t="str">
        <f t="shared" si="2"/>
        <v/>
      </c>
    </row>
    <row r="47" spans="1:10" ht="15">
      <c r="A47" s="46"/>
      <c r="B47" s="47" t="str">
        <f t="shared" si="3"/>
        <v/>
      </c>
      <c r="C47" s="48"/>
      <c r="D47" s="49"/>
      <c r="E47" s="49"/>
      <c r="F47" s="49"/>
      <c r="G47" s="49"/>
      <c r="H47" s="50" t="str">
        <f>IF($B47="","",IF($J47="X",B47,CONCATENATE(VLOOKUP(B47,Competitors!$A$2:$I$650,3,FALSE)," ",VLOOKUP(B47,Competitors!$A$2:$I$650,2,FALSE))))</f>
        <v/>
      </c>
      <c r="I47" s="51">
        <f t="shared" si="1"/>
        <v>0</v>
      </c>
      <c r="J47" t="str">
        <f t="shared" si="2"/>
        <v/>
      </c>
    </row>
    <row r="48" spans="1:10" ht="15">
      <c r="A48" s="46"/>
      <c r="B48" s="47" t="str">
        <f t="shared" si="3"/>
        <v/>
      </c>
      <c r="C48" s="48"/>
      <c r="D48" s="49"/>
      <c r="E48" s="49"/>
      <c r="F48" s="49"/>
      <c r="G48" s="49"/>
      <c r="H48" s="50" t="str">
        <f>IF($B48="","",IF($J48="X",B48,CONCATENATE(VLOOKUP(B48,Competitors!$A$2:$I$650,3,FALSE)," ",VLOOKUP(B48,Competitors!$A$2:$I$650,2,FALSE))))</f>
        <v/>
      </c>
      <c r="I48" s="51">
        <f t="shared" si="1"/>
        <v>0</v>
      </c>
      <c r="J48" t="str">
        <f t="shared" si="2"/>
        <v/>
      </c>
    </row>
    <row r="49" spans="1:10" ht="15">
      <c r="A49" s="46"/>
      <c r="B49" s="47" t="str">
        <f t="shared" si="3"/>
        <v/>
      </c>
      <c r="C49" s="48"/>
      <c r="D49" s="49"/>
      <c r="E49" s="49"/>
      <c r="F49" s="49"/>
      <c r="G49" s="49"/>
      <c r="H49" s="50" t="str">
        <f>IF($B49="","",IF($J49="X",B49,CONCATENATE(VLOOKUP(B49,Competitors!$A$2:$I$650,3,FALSE)," ",VLOOKUP(B49,Competitors!$A$2:$I$650,2,FALSE))))</f>
        <v/>
      </c>
      <c r="I49" s="51">
        <f t="shared" si="1"/>
        <v>0</v>
      </c>
      <c r="J49" t="str">
        <f t="shared" si="2"/>
        <v/>
      </c>
    </row>
    <row r="50" spans="1:10" ht="15">
      <c r="A50" s="46"/>
      <c r="B50" s="47" t="str">
        <f t="shared" si="3"/>
        <v/>
      </c>
      <c r="C50" s="48"/>
      <c r="D50" s="49"/>
      <c r="E50" s="49"/>
      <c r="F50" s="49"/>
      <c r="G50" s="49"/>
      <c r="H50" s="50" t="str">
        <f>IF($B50="","",IF($J50="X",B50,CONCATENATE(VLOOKUP(B50,Competitors!$A$2:$I$650,3,FALSE)," ",VLOOKUP(B50,Competitors!$A$2:$I$650,2,FALSE))))</f>
        <v/>
      </c>
      <c r="I50" s="51">
        <f t="shared" si="1"/>
        <v>0</v>
      </c>
      <c r="J50" t="str">
        <f t="shared" si="2"/>
        <v/>
      </c>
    </row>
    <row r="51" spans="1:10" ht="15">
      <c r="A51" s="46"/>
      <c r="B51" s="47" t="str">
        <f t="shared" si="3"/>
        <v/>
      </c>
      <c r="C51" s="48"/>
      <c r="D51" s="49"/>
      <c r="E51" s="49"/>
      <c r="F51" s="49"/>
      <c r="G51" s="49"/>
      <c r="H51" s="50" t="str">
        <f>IF($B51="","",IF($J51="X",B51,CONCATENATE(VLOOKUP(B51,Competitors!$A$2:$I$650,3,FALSE)," ",VLOOKUP(B51,Competitors!$A$2:$I$650,2,FALSE))))</f>
        <v/>
      </c>
      <c r="I51" s="51">
        <f t="shared" si="1"/>
        <v>0</v>
      </c>
      <c r="J51" t="str">
        <f t="shared" si="2"/>
        <v/>
      </c>
    </row>
    <row r="52" spans="1:10" ht="15">
      <c r="A52" s="46"/>
      <c r="B52" s="47" t="str">
        <f t="shared" si="3"/>
        <v/>
      </c>
      <c r="C52" s="48"/>
      <c r="D52" s="49"/>
      <c r="E52" s="49"/>
      <c r="F52" s="49"/>
      <c r="G52" s="49"/>
      <c r="H52" s="50" t="str">
        <f>IF($B52="","",IF($J52="X",B52,CONCATENATE(VLOOKUP(B52,Competitors!$A$2:$I$650,3,FALSE)," ",VLOOKUP(B52,Competitors!$A$2:$I$650,2,FALSE))))</f>
        <v/>
      </c>
      <c r="I52" s="51">
        <f t="shared" si="1"/>
        <v>0</v>
      </c>
      <c r="J52" t="str">
        <f t="shared" si="2"/>
        <v/>
      </c>
    </row>
    <row r="53" spans="1:10" ht="15">
      <c r="A53" s="46"/>
      <c r="B53" s="47" t="str">
        <f t="shared" si="3"/>
        <v/>
      </c>
      <c r="C53" s="48"/>
      <c r="D53" s="49"/>
      <c r="E53" s="49"/>
      <c r="F53" s="49"/>
      <c r="G53" s="49"/>
      <c r="H53" s="50" t="str">
        <f>IF($B53="","",IF($J53="X",B53,CONCATENATE(VLOOKUP(B53,Competitors!$A$2:$I$650,3,FALSE)," ",VLOOKUP(B53,Competitors!$A$2:$I$650,2,FALSE))))</f>
        <v/>
      </c>
      <c r="I53" s="51">
        <f t="shared" si="1"/>
        <v>0</v>
      </c>
      <c r="J53" t="str">
        <f t="shared" si="2"/>
        <v/>
      </c>
    </row>
    <row r="54" spans="1:10" ht="15">
      <c r="A54" s="46"/>
      <c r="B54" s="47" t="str">
        <f t="shared" si="3"/>
        <v/>
      </c>
      <c r="C54" s="48"/>
      <c r="D54" s="49"/>
      <c r="E54" s="49"/>
      <c r="F54" s="49"/>
      <c r="G54" s="49"/>
      <c r="H54" s="50" t="str">
        <f>IF($B54="","",IF($J54="X",B54,CONCATENATE(VLOOKUP(B54,Competitors!$A$2:$I$650,3,FALSE)," ",VLOOKUP(B54,Competitors!$A$2:$I$650,2,FALSE))))</f>
        <v/>
      </c>
      <c r="I54" s="51">
        <f t="shared" si="1"/>
        <v>0</v>
      </c>
      <c r="J54" t="str">
        <f t="shared" si="2"/>
        <v/>
      </c>
    </row>
    <row r="55" spans="1:10" ht="15">
      <c r="A55" s="46"/>
      <c r="B55" s="47" t="str">
        <f t="shared" si="3"/>
        <v/>
      </c>
      <c r="C55" s="48"/>
      <c r="D55" s="49"/>
      <c r="E55" s="49"/>
      <c r="F55" s="49"/>
      <c r="G55" s="49"/>
      <c r="H55" s="50" t="str">
        <f>IF($B55="","",IF($J55="X",B55,CONCATENATE(VLOOKUP(B55,Competitors!$A$2:$I$650,3,FALSE)," ",VLOOKUP(B55,Competitors!$A$2:$I$650,2,FALSE))))</f>
        <v/>
      </c>
      <c r="I55" s="51">
        <f t="shared" si="1"/>
        <v>0</v>
      </c>
      <c r="J55" t="str">
        <f t="shared" si="2"/>
        <v/>
      </c>
    </row>
    <row r="56" spans="1:10" ht="15">
      <c r="A56" s="46"/>
      <c r="B56" s="47" t="str">
        <f t="shared" si="3"/>
        <v/>
      </c>
      <c r="C56" s="48"/>
      <c r="D56" s="49"/>
      <c r="E56" s="49"/>
      <c r="F56" s="49"/>
      <c r="G56" s="49"/>
      <c r="H56" s="50" t="str">
        <f>IF($B56="","",IF($J56="X",B56,CONCATENATE(VLOOKUP(B56,Competitors!$A$2:$I$650,3,FALSE)," ",VLOOKUP(B56,Competitors!$A$2:$I$650,2,FALSE))))</f>
        <v/>
      </c>
      <c r="I56" s="51">
        <f t="shared" si="1"/>
        <v>0</v>
      </c>
      <c r="J56" t="str">
        <f t="shared" si="2"/>
        <v/>
      </c>
    </row>
    <row r="57" spans="1:10" ht="15">
      <c r="A57" s="46"/>
      <c r="B57" s="47" t="str">
        <f t="shared" si="3"/>
        <v/>
      </c>
      <c r="C57" s="48"/>
      <c r="D57" s="49"/>
      <c r="E57" s="49"/>
      <c r="F57" s="49"/>
      <c r="G57" s="49"/>
      <c r="H57" s="50" t="str">
        <f>IF($B57="","",IF($J57="X",B57,CONCATENATE(VLOOKUP(B57,Competitors!$A$2:$I$650,3,FALSE)," ",VLOOKUP(B57,Competitors!$A$2:$I$650,2,FALSE))))</f>
        <v/>
      </c>
      <c r="I57" s="51">
        <f t="shared" si="1"/>
        <v>0</v>
      </c>
      <c r="J57" t="str">
        <f t="shared" si="2"/>
        <v/>
      </c>
    </row>
    <row r="58" spans="1:10" ht="15">
      <c r="A58" s="46"/>
      <c r="B58" s="47" t="str">
        <f t="shared" si="3"/>
        <v/>
      </c>
      <c r="C58" s="48"/>
      <c r="D58" s="49"/>
      <c r="E58" s="49"/>
      <c r="F58" s="49"/>
      <c r="G58" s="49"/>
      <c r="H58" s="50" t="str">
        <f>IF($B58="","",IF($J58="X",B58,CONCATENATE(VLOOKUP(B58,Competitors!$A$2:$I$650,3,FALSE)," ",VLOOKUP(B58,Competitors!$A$2:$I$650,2,FALSE))))</f>
        <v/>
      </c>
      <c r="I58" s="51">
        <f t="shared" si="1"/>
        <v>0</v>
      </c>
      <c r="J58" t="str">
        <f t="shared" si="2"/>
        <v/>
      </c>
    </row>
    <row r="59" spans="1:10" ht="15">
      <c r="A59" s="46"/>
      <c r="B59" s="47" t="str">
        <f t="shared" si="3"/>
        <v/>
      </c>
      <c r="C59" s="48"/>
      <c r="D59" s="49"/>
      <c r="E59" s="49"/>
      <c r="F59" s="49"/>
      <c r="G59" s="49"/>
      <c r="H59" s="50" t="str">
        <f>IF($B59="","",IF($J59="X",B59,CONCATENATE(VLOOKUP(B59,Competitors!$A$2:$I$650,3,FALSE)," ",VLOOKUP(B59,Competitors!$A$2:$I$650,2,FALSE))))</f>
        <v/>
      </c>
      <c r="I59" s="51">
        <f t="shared" si="1"/>
        <v>0</v>
      </c>
      <c r="J59" t="str">
        <f t="shared" si="2"/>
        <v/>
      </c>
    </row>
    <row r="60" spans="1:10" ht="15">
      <c r="A60" s="46"/>
      <c r="B60" s="47" t="str">
        <f t="shared" si="3"/>
        <v/>
      </c>
      <c r="C60" s="48"/>
      <c r="D60" s="49"/>
      <c r="E60" s="49"/>
      <c r="F60" s="49"/>
      <c r="G60" s="49"/>
      <c r="H60" s="50" t="str">
        <f>IF($B60="","",IF($J60="X",B60,CONCATENATE(VLOOKUP(B60,Competitors!$A$2:$I$650,3,FALSE)," ",VLOOKUP(B60,Competitors!$A$2:$I$650,2,FALSE))))</f>
        <v/>
      </c>
      <c r="I60" s="51">
        <f t="shared" si="1"/>
        <v>0</v>
      </c>
      <c r="J60" t="str">
        <f t="shared" si="2"/>
        <v/>
      </c>
    </row>
    <row r="61" spans="1:10" ht="15">
      <c r="A61" s="46"/>
      <c r="B61" s="47" t="str">
        <f t="shared" si="3"/>
        <v/>
      </c>
      <c r="C61" s="48"/>
      <c r="D61" s="49"/>
      <c r="E61" s="49"/>
      <c r="F61" s="49"/>
      <c r="G61" s="49"/>
      <c r="H61" s="50" t="str">
        <f>IF($B61="","",IF($J61="X",B61,CONCATENATE(VLOOKUP(B61,Competitors!$A$2:$I$650,3,FALSE)," ",VLOOKUP(B61,Competitors!$A$2:$I$650,2,FALSE))))</f>
        <v/>
      </c>
      <c r="I61" s="51">
        <f t="shared" si="1"/>
        <v>0</v>
      </c>
      <c r="J61" t="str">
        <f t="shared" si="2"/>
        <v/>
      </c>
    </row>
    <row r="62" spans="1:10" ht="15">
      <c r="A62" s="46"/>
      <c r="B62" s="47" t="str">
        <f t="shared" si="3"/>
        <v/>
      </c>
      <c r="C62" s="48"/>
      <c r="D62" s="49"/>
      <c r="E62" s="49"/>
      <c r="F62" s="49"/>
      <c r="G62" s="49"/>
      <c r="H62" s="50" t="str">
        <f>IF($B62="","",IF($J62="X",B62,CONCATENATE(VLOOKUP(B62,Competitors!$A$2:$I$650,3,FALSE)," ",VLOOKUP(B62,Competitors!$A$2:$I$650,2,FALSE))))</f>
        <v/>
      </c>
      <c r="I62" s="51">
        <f t="shared" si="1"/>
        <v>0</v>
      </c>
      <c r="J62" t="str">
        <f t="shared" si="2"/>
        <v/>
      </c>
    </row>
    <row r="63" spans="1:10" ht="15">
      <c r="A63" s="46"/>
      <c r="B63" s="47" t="str">
        <f t="shared" si="3"/>
        <v/>
      </c>
      <c r="C63" s="48"/>
      <c r="D63" s="49"/>
      <c r="E63" s="49"/>
      <c r="F63" s="49"/>
      <c r="G63" s="49"/>
      <c r="H63" s="50" t="str">
        <f>IF($B63="","",IF($J63="X",B63,CONCATENATE(VLOOKUP(B63,Competitors!$A$2:$I$650,3,FALSE)," ",VLOOKUP(B63,Competitors!$A$2:$I$650,2,FALSE))))</f>
        <v/>
      </c>
      <c r="I63" s="51">
        <f t="shared" si="1"/>
        <v>0</v>
      </c>
      <c r="J63" t="str">
        <f t="shared" si="2"/>
        <v/>
      </c>
    </row>
    <row r="64" spans="1:10" ht="15">
      <c r="A64" s="46"/>
      <c r="B64" s="47" t="str">
        <f t="shared" si="3"/>
        <v/>
      </c>
      <c r="C64" s="48"/>
      <c r="D64" s="49"/>
      <c r="E64" s="49"/>
      <c r="F64" s="49"/>
      <c r="G64" s="49"/>
      <c r="H64" s="50" t="str">
        <f>IF($B64="","",IF($J64="X",B64,CONCATENATE(VLOOKUP(B64,Competitors!$A$2:$I$650,3,FALSE)," ",VLOOKUP(B64,Competitors!$A$2:$I$650,2,FALSE))))</f>
        <v/>
      </c>
      <c r="I64" s="51">
        <f t="shared" si="1"/>
        <v>0</v>
      </c>
      <c r="J64" t="str">
        <f t="shared" si="2"/>
        <v/>
      </c>
    </row>
    <row r="65" spans="1:10" ht="15">
      <c r="A65" s="46"/>
      <c r="B65" s="47" t="str">
        <f t="shared" si="3"/>
        <v/>
      </c>
      <c r="C65" s="48"/>
      <c r="D65" s="49"/>
      <c r="E65" s="49"/>
      <c r="F65" s="49"/>
      <c r="G65" s="49"/>
      <c r="H65" s="50" t="str">
        <f>IF($B65="","",IF($J65="X",B65,CONCATENATE(VLOOKUP(B65,Competitors!$A$2:$I$650,3,FALSE)," ",VLOOKUP(B65,Competitors!$A$2:$I$650,2,FALSE))))</f>
        <v/>
      </c>
      <c r="I65" s="51">
        <f t="shared" si="1"/>
        <v>0</v>
      </c>
      <c r="J65" t="str">
        <f t="shared" si="2"/>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4"/>
        <v>0</v>
      </c>
      <c r="J67" t="str">
        <f t="shared" si="5"/>
        <v/>
      </c>
    </row>
    <row r="68" spans="1:10" ht="15">
      <c r="A68" s="46"/>
      <c r="B68" s="47" t="str">
        <f t="shared" si="3"/>
        <v/>
      </c>
      <c r="C68" s="48"/>
      <c r="D68" s="49"/>
      <c r="E68" s="49"/>
      <c r="F68" s="49"/>
      <c r="G68" s="49"/>
      <c r="H68" s="50" t="str">
        <f>IF($B68="","",IF($J68="X",B68,CONCATENATE(VLOOKUP(B68,Competitors!$A$2:$I$650,3,FALSE)," ",VLOOKUP(B68,Competitors!$A$2:$I$650,2,FALSE))))</f>
        <v/>
      </c>
      <c r="I68" s="51">
        <f t="shared" si="4"/>
        <v>0</v>
      </c>
      <c r="J68" t="str">
        <f t="shared" si="5"/>
        <v/>
      </c>
    </row>
    <row r="69" spans="1:10" ht="15">
      <c r="A69" s="46"/>
      <c r="B69" s="47" t="str">
        <f t="shared" si="3"/>
        <v/>
      </c>
      <c r="C69" s="48"/>
      <c r="D69" s="49"/>
      <c r="E69" s="49"/>
      <c r="F69" s="49"/>
      <c r="G69" s="49"/>
      <c r="H69" s="50" t="str">
        <f>IF($B69="","",IF($J69="X",B69,CONCATENATE(VLOOKUP(B69,Competitors!$A$2:$I$650,3,FALSE)," ",VLOOKUP(B69,Competitors!$A$2:$I$650,2,FALSE))))</f>
        <v/>
      </c>
      <c r="I69" s="51">
        <f t="shared" si="4"/>
        <v>0</v>
      </c>
      <c r="J69" t="str">
        <f t="shared" si="5"/>
        <v/>
      </c>
    </row>
    <row r="70" spans="1:10" ht="15">
      <c r="A70" s="46"/>
      <c r="B70" s="47" t="str">
        <f t="shared" si="3"/>
        <v/>
      </c>
      <c r="C70" s="48"/>
      <c r="D70" s="49"/>
      <c r="E70" s="49"/>
      <c r="F70" s="49"/>
      <c r="G70" s="49"/>
      <c r="H70" s="50" t="str">
        <f>IF($B70="","",IF($J70="X",B70,CONCATENATE(VLOOKUP(B70,Competitors!$A$2:$I$650,3,FALSE)," ",VLOOKUP(B70,Competitors!$A$2:$I$650,2,FALSE))))</f>
        <v/>
      </c>
      <c r="I70" s="51">
        <f t="shared" si="4"/>
        <v>0</v>
      </c>
      <c r="J70" t="str">
        <f t="shared" si="5"/>
        <v/>
      </c>
    </row>
    <row r="71" spans="1:10" ht="15">
      <c r="A71" s="46"/>
      <c r="B71" s="47" t="str">
        <f t="shared" si="3"/>
        <v/>
      </c>
      <c r="C71" s="48"/>
      <c r="D71" s="49"/>
      <c r="E71" s="49"/>
      <c r="F71" s="49"/>
      <c r="G71" s="49"/>
      <c r="H71" s="50" t="str">
        <f>IF($B71="","",IF($J71="X",B71,CONCATENATE(VLOOKUP(B71,Competitors!$A$2:$I$650,3,FALSE)," ",VLOOKUP(B71,Competitors!$A$2:$I$650,2,FALSE))))</f>
        <v/>
      </c>
      <c r="I71" s="51">
        <f t="shared" si="4"/>
        <v>0</v>
      </c>
      <c r="J71" t="str">
        <f t="shared" si="5"/>
        <v/>
      </c>
    </row>
    <row r="72" spans="1:10" ht="15">
      <c r="A72" s="46"/>
      <c r="B72" s="47" t="str">
        <f t="shared" si="3"/>
        <v/>
      </c>
      <c r="C72" s="48"/>
      <c r="D72" s="49"/>
      <c r="E72" s="49"/>
      <c r="F72" s="49"/>
      <c r="G72" s="49"/>
      <c r="H72" s="50" t="str">
        <f>IF($B72="","",IF($J72="X",B72,CONCATENATE(VLOOKUP(B72,Competitors!$A$2:$I$650,3,FALSE)," ",VLOOKUP(B72,Competitors!$A$2:$I$650,2,FALSE))))</f>
        <v/>
      </c>
      <c r="I72" s="51">
        <f t="shared" si="4"/>
        <v>0</v>
      </c>
      <c r="J72" t="str">
        <f t="shared" si="5"/>
        <v/>
      </c>
    </row>
    <row r="73" spans="1:10" ht="15">
      <c r="A73" s="46"/>
      <c r="B73" s="47" t="str">
        <f t="shared" si="3"/>
        <v/>
      </c>
      <c r="C73" s="48"/>
      <c r="D73" s="49"/>
      <c r="E73" s="49"/>
      <c r="F73" s="49"/>
      <c r="G73" s="49"/>
      <c r="H73" s="50" t="str">
        <f>IF($B73="","",IF($J73="X",B73,CONCATENATE(VLOOKUP(B73,Competitors!$A$2:$I$650,3,FALSE)," ",VLOOKUP(B73,Competitors!$A$2:$I$650,2,FALSE))))</f>
        <v/>
      </c>
      <c r="I73" s="51">
        <f t="shared" si="4"/>
        <v>0</v>
      </c>
      <c r="J73" t="str">
        <f t="shared" si="5"/>
        <v/>
      </c>
    </row>
    <row r="74" spans="1:10" ht="15">
      <c r="A74" s="46"/>
      <c r="B74" s="47" t="str">
        <f t="shared" si="3"/>
        <v/>
      </c>
      <c r="C74" s="48"/>
      <c r="D74" s="49"/>
      <c r="E74" s="49"/>
      <c r="F74" s="49"/>
      <c r="G74" s="49"/>
      <c r="H74" s="50" t="str">
        <f>IF($B74="","",IF($J74="X",B74,CONCATENATE(VLOOKUP(B74,Competitors!$A$2:$I$650,3,FALSE)," ",VLOOKUP(B74,Competitors!$A$2:$I$650,2,FALSE))))</f>
        <v/>
      </c>
      <c r="I74" s="51">
        <f t="shared" si="4"/>
        <v>0</v>
      </c>
      <c r="J74" t="str">
        <f t="shared" si="5"/>
        <v/>
      </c>
    </row>
    <row r="75" spans="1:10" ht="15">
      <c r="A75" s="46"/>
      <c r="B75" s="47" t="str">
        <f t="shared" si="3"/>
        <v/>
      </c>
      <c r="C75" s="48"/>
      <c r="D75" s="49"/>
      <c r="E75" s="49"/>
      <c r="F75" s="49"/>
      <c r="G75" s="49"/>
      <c r="H75" s="50" t="str">
        <f>IF($B75="","",IF($J75="X",B75,CONCATENATE(VLOOKUP(B75,Competitors!$A$2:$I$650,3,FALSE)," ",VLOOKUP(B75,Competitors!$A$2:$I$650,2,FALSE))))</f>
        <v/>
      </c>
      <c r="I75" s="51">
        <f t="shared" si="4"/>
        <v>0</v>
      </c>
      <c r="J75" t="str">
        <f t="shared" si="5"/>
        <v/>
      </c>
    </row>
    <row r="76" spans="1:10" ht="15">
      <c r="A76" s="46"/>
      <c r="B76" s="47" t="str">
        <f t="shared" si="3"/>
        <v/>
      </c>
      <c r="C76" s="48"/>
      <c r="D76" s="49"/>
      <c r="E76" s="49"/>
      <c r="F76" s="49"/>
      <c r="G76" s="49"/>
      <c r="H76" s="50" t="str">
        <f>IF($B76="","",IF($J76="X",B76,CONCATENATE(VLOOKUP(B76,Competitors!$A$2:$I$650,3,FALSE)," ",VLOOKUP(B76,Competitors!$A$2:$I$650,2,FALSE))))</f>
        <v/>
      </c>
      <c r="I76" s="51">
        <f t="shared" si="4"/>
        <v>0</v>
      </c>
      <c r="J76" t="str">
        <f t="shared" si="5"/>
        <v/>
      </c>
    </row>
    <row r="77" spans="1:10" ht="15">
      <c r="A77" s="46"/>
      <c r="B77" s="47" t="str">
        <f t="shared" si="3"/>
        <v/>
      </c>
      <c r="C77" s="48"/>
      <c r="D77" s="49"/>
      <c r="E77" s="49"/>
      <c r="F77" s="49"/>
      <c r="G77" s="49"/>
      <c r="H77" s="50" t="str">
        <f>IF($B77="","",IF($J77="X",B77,CONCATENATE(VLOOKUP(B77,Competitors!$A$2:$I$650,3,FALSE)," ",VLOOKUP(B77,Competitors!$A$2:$I$650,2,FALSE))))</f>
        <v/>
      </c>
      <c r="I77" s="51">
        <f t="shared" si="4"/>
        <v>0</v>
      </c>
      <c r="J77" t="str">
        <f t="shared" si="5"/>
        <v/>
      </c>
    </row>
    <row r="78" spans="1:10" ht="15">
      <c r="A78" s="46"/>
      <c r="B78" s="47" t="str">
        <f t="shared" si="3"/>
        <v/>
      </c>
      <c r="C78" s="48"/>
      <c r="D78" s="49"/>
      <c r="E78" s="49"/>
      <c r="F78" s="49"/>
      <c r="G78" s="49"/>
      <c r="H78" s="50" t="str">
        <f>IF($B78="","",IF($J78="X",B78,CONCATENATE(VLOOKUP(B78,Competitors!$A$2:$I$650,3,FALSE)," ",VLOOKUP(B78,Competitors!$A$2:$I$650,2,FALSE))))</f>
        <v/>
      </c>
      <c r="I78" s="51">
        <f t="shared" si="4"/>
        <v>0</v>
      </c>
      <c r="J78" t="str">
        <f t="shared" si="5"/>
        <v/>
      </c>
    </row>
    <row r="79" spans="1:10" ht="15">
      <c r="A79" s="46"/>
      <c r="B79" s="47" t="str">
        <f t="shared" si="3"/>
        <v/>
      </c>
      <c r="C79" s="48"/>
      <c r="D79" s="49"/>
      <c r="E79" s="49"/>
      <c r="F79" s="49"/>
      <c r="G79" s="49"/>
      <c r="H79" s="50" t="str">
        <f>IF($B79="","",IF($J79="X",B79,CONCATENATE(VLOOKUP(B79,Competitors!$A$2:$I$650,3,FALSE)," ",VLOOKUP(B79,Competitors!$A$2:$I$650,2,FALSE))))</f>
        <v/>
      </c>
      <c r="I79" s="51">
        <f t="shared" si="4"/>
        <v>0</v>
      </c>
      <c r="J79" t="str">
        <f t="shared" si="5"/>
        <v/>
      </c>
    </row>
    <row r="80" spans="1:10" ht="15">
      <c r="A80" s="46"/>
      <c r="B80" s="47" t="str">
        <f t="shared" si="3"/>
        <v/>
      </c>
      <c r="C80" s="48"/>
      <c r="D80" s="49"/>
      <c r="E80" s="49"/>
      <c r="F80" s="49"/>
      <c r="G80" s="49"/>
      <c r="H80" s="50" t="str">
        <f>IF($B80="","",IF($J80="X",B80,CONCATENATE(VLOOKUP(B80,Competitors!$A$2:$I$650,3,FALSE)," ",VLOOKUP(B80,Competitors!$A$2:$I$650,2,FALSE))))</f>
        <v/>
      </c>
      <c r="I80" s="51">
        <f t="shared" si="4"/>
        <v>0</v>
      </c>
      <c r="J80" t="str">
        <f t="shared" si="5"/>
        <v/>
      </c>
    </row>
    <row r="81" spans="1:10" ht="15">
      <c r="A81" s="46"/>
      <c r="B81" s="47" t="str">
        <f t="shared" si="3"/>
        <v/>
      </c>
      <c r="C81" s="48"/>
      <c r="D81" s="49"/>
      <c r="E81" s="49"/>
      <c r="F81" s="49"/>
      <c r="G81" s="49"/>
      <c r="H81" s="50" t="str">
        <f>IF($B81="","",IF($J81="X",B81,CONCATENATE(VLOOKUP(B81,Competitors!$A$2:$I$650,3,FALSE)," ",VLOOKUP(B81,Competitors!$A$2:$I$650,2,FALSE))))</f>
        <v/>
      </c>
      <c r="I81" s="51">
        <f t="shared" si="4"/>
        <v>0</v>
      </c>
      <c r="J81" t="str">
        <f t="shared" si="5"/>
        <v/>
      </c>
    </row>
    <row r="82" spans="1:10" ht="15">
      <c r="A82" s="46"/>
      <c r="B82" s="47" t="str">
        <f t="shared" si="3"/>
        <v/>
      </c>
      <c r="C82" s="48"/>
      <c r="D82" s="49"/>
      <c r="E82" s="49"/>
      <c r="F82" s="49"/>
      <c r="G82" s="49"/>
      <c r="H82" s="50" t="str">
        <f>IF($B82="","",IF($J82="X",B82,CONCATENATE(VLOOKUP(B82,Competitors!$A$2:$I$650,3,FALSE)," ",VLOOKUP(B82,Competitors!$A$2:$I$650,2,FALSE))))</f>
        <v/>
      </c>
      <c r="I82" s="51">
        <f t="shared" si="4"/>
        <v>0</v>
      </c>
      <c r="J82" t="str">
        <f t="shared" si="5"/>
        <v/>
      </c>
    </row>
    <row r="83" spans="1:10" ht="15">
      <c r="A83" s="46"/>
      <c r="B83" s="47" t="str">
        <f t="shared" si="3"/>
        <v/>
      </c>
      <c r="C83" s="48"/>
      <c r="D83" s="49"/>
      <c r="E83" s="49"/>
      <c r="F83" s="49"/>
      <c r="G83" s="49"/>
      <c r="H83" s="50" t="str">
        <f>IF($B83="","",IF($J83="X",B83,CONCATENATE(VLOOKUP(B83,Competitors!$A$2:$I$650,3,FALSE)," ",VLOOKUP(B83,Competitors!$A$2:$I$650,2,FALSE))))</f>
        <v/>
      </c>
      <c r="I83" s="51">
        <f t="shared" si="4"/>
        <v>0</v>
      </c>
      <c r="J83" t="str">
        <f t="shared" si="5"/>
        <v/>
      </c>
    </row>
    <row r="84" spans="1:10" ht="15">
      <c r="A84" s="46"/>
      <c r="B84" s="47" t="str">
        <f t="shared" si="3"/>
        <v/>
      </c>
      <c r="C84" s="48"/>
      <c r="D84" s="49"/>
      <c r="E84" s="49"/>
      <c r="F84" s="49"/>
      <c r="G84" s="49"/>
      <c r="H84" s="50" t="str">
        <f>IF($B84="","",IF($J84="X",B84,CONCATENATE(VLOOKUP(B84,Competitors!$A$2:$I$650,3,FALSE)," ",VLOOKUP(B84,Competitors!$A$2:$I$650,2,FALSE))))</f>
        <v/>
      </c>
      <c r="I84" s="51">
        <f t="shared" si="4"/>
        <v>0</v>
      </c>
      <c r="J84" t="str">
        <f t="shared" si="5"/>
        <v/>
      </c>
    </row>
    <row r="85" spans="1:10" ht="15">
      <c r="A85" s="46"/>
      <c r="B85" s="47" t="str">
        <f t="shared" si="3"/>
        <v/>
      </c>
      <c r="C85" s="48"/>
      <c r="D85" s="49"/>
      <c r="E85" s="49"/>
      <c r="F85" s="49"/>
      <c r="G85" s="49"/>
      <c r="H85" s="50" t="str">
        <f>IF($B85="","",IF($J85="X",B85,CONCATENATE(VLOOKUP(B85,Competitors!$A$2:$I$650,3,FALSE)," ",VLOOKUP(B85,Competitors!$A$2:$I$650,2,FALSE))))</f>
        <v/>
      </c>
      <c r="I85" s="51">
        <f t="shared" si="4"/>
        <v>0</v>
      </c>
      <c r="J85" t="str">
        <f t="shared" si="5"/>
        <v/>
      </c>
    </row>
    <row r="86" spans="1:10" ht="15">
      <c r="A86" s="46"/>
      <c r="B86" s="47" t="str">
        <f t="shared" si="3"/>
        <v/>
      </c>
      <c r="C86" s="48"/>
      <c r="D86" s="49"/>
      <c r="E86" s="49"/>
      <c r="F86" s="49"/>
      <c r="G86" s="49"/>
      <c r="H86" s="50" t="str">
        <f>IF($B86="","",IF($J86="X",B86,CONCATENATE(VLOOKUP(B86,Competitors!$A$2:$I$650,3,FALSE)," ",VLOOKUP(B86,Competitors!$A$2:$I$650,2,FALSE))))</f>
        <v/>
      </c>
      <c r="I86" s="51">
        <f t="shared" si="4"/>
        <v>0</v>
      </c>
      <c r="J86" t="str">
        <f t="shared" si="5"/>
        <v/>
      </c>
    </row>
    <row r="87" spans="1:10" ht="15">
      <c r="A87" s="46"/>
      <c r="B87" s="47" t="str">
        <f t="shared" si="3"/>
        <v/>
      </c>
      <c r="C87" s="48"/>
      <c r="D87" s="49"/>
      <c r="E87" s="49"/>
      <c r="F87" s="49"/>
      <c r="G87" s="49"/>
      <c r="H87" s="50" t="str">
        <f>IF($B87="","",IF($J87="X",B87,CONCATENATE(VLOOKUP(B87,Competitors!$A$2:$I$650,3,FALSE)," ",VLOOKUP(B87,Competitors!$A$2:$I$650,2,FALSE))))</f>
        <v/>
      </c>
      <c r="I87" s="51">
        <f t="shared" si="4"/>
        <v>0</v>
      </c>
      <c r="J87" t="str">
        <f t="shared" si="5"/>
        <v/>
      </c>
    </row>
    <row r="88" spans="1:10" ht="15">
      <c r="A88" s="46"/>
      <c r="B88" s="47" t="str">
        <f t="shared" si="3"/>
        <v/>
      </c>
      <c r="C88" s="48"/>
      <c r="D88" s="49"/>
      <c r="E88" s="49"/>
      <c r="F88" s="49"/>
      <c r="G88" s="49"/>
      <c r="H88" s="50" t="str">
        <f>IF($B88="","",IF($J88="X",B88,CONCATENATE(VLOOKUP(B88,Competitors!$A$2:$I$650,3,FALSE)," ",VLOOKUP(B88,Competitors!$A$2:$I$650,2,FALSE))))</f>
        <v/>
      </c>
      <c r="I88" s="51">
        <f t="shared" si="4"/>
        <v>0</v>
      </c>
      <c r="J88" t="str">
        <f t="shared" si="5"/>
        <v/>
      </c>
    </row>
    <row r="89" spans="1:10" ht="15">
      <c r="A89" s="46"/>
      <c r="B89" s="47" t="str">
        <f t="shared" si="3"/>
        <v/>
      </c>
      <c r="C89" s="48"/>
      <c r="D89" s="49"/>
      <c r="E89" s="49"/>
      <c r="F89" s="49"/>
      <c r="G89" s="49"/>
      <c r="H89" s="50" t="str">
        <f>IF($B89="","",IF($J89="X",B89,CONCATENATE(VLOOKUP(B89,Competitors!$A$2:$I$650,3,FALSE)," ",VLOOKUP(B89,Competitors!$A$2:$I$650,2,FALSE))))</f>
        <v/>
      </c>
      <c r="I89" s="51">
        <f t="shared" si="4"/>
        <v>0</v>
      </c>
      <c r="J89" t="str">
        <f t="shared" si="5"/>
        <v/>
      </c>
    </row>
    <row r="90" spans="1:10" ht="15">
      <c r="A90" s="46"/>
      <c r="B90" s="47" t="str">
        <f t="shared" si="3"/>
        <v/>
      </c>
      <c r="C90" s="48"/>
      <c r="D90" s="49"/>
      <c r="E90" s="49"/>
      <c r="F90" s="49"/>
      <c r="G90" s="49"/>
      <c r="H90" s="50" t="str">
        <f>IF($B90="","",IF($J90="X",B90,CONCATENATE(VLOOKUP(B90,Competitors!$A$2:$I$650,3,FALSE)," ",VLOOKUP(B90,Competitors!$A$2:$I$650,2,FALSE))))</f>
        <v/>
      </c>
      <c r="I90" s="51">
        <f t="shared" si="4"/>
        <v>0</v>
      </c>
      <c r="J90" t="str">
        <f t="shared" si="5"/>
        <v/>
      </c>
    </row>
    <row r="91" spans="1:10" ht="15">
      <c r="A91" s="46"/>
      <c r="B91" s="47" t="str">
        <f t="shared" si="3"/>
        <v/>
      </c>
      <c r="C91" s="48"/>
      <c r="D91" s="49"/>
      <c r="E91" s="49"/>
      <c r="F91" s="49"/>
      <c r="G91" s="49"/>
      <c r="H91" s="50" t="str">
        <f>IF($B91="","",IF($J91="X",B91,CONCATENATE(VLOOKUP(B91,Competitors!$A$2:$I$650,3,FALSE)," ",VLOOKUP(B91,Competitors!$A$2:$I$650,2,FALSE))))</f>
        <v/>
      </c>
      <c r="I91" s="51">
        <f t="shared" si="4"/>
        <v>0</v>
      </c>
      <c r="J91" t="str">
        <f t="shared" si="5"/>
        <v/>
      </c>
    </row>
    <row r="92" spans="1:10" ht="15">
      <c r="A92" s="46"/>
      <c r="B92" s="47" t="str">
        <f t="shared" si="3"/>
        <v/>
      </c>
      <c r="C92" s="48"/>
      <c r="D92" s="49"/>
      <c r="E92" s="49"/>
      <c r="F92" s="49"/>
      <c r="G92" s="49"/>
      <c r="H92" s="50" t="str">
        <f>IF($B92="","",IF($J92="X",B92,CONCATENATE(VLOOKUP(B92,Competitors!$A$2:$I$650,3,FALSE)," ",VLOOKUP(B92,Competitors!$A$2:$I$650,2,FALSE))))</f>
        <v/>
      </c>
      <c r="I92" s="51">
        <f t="shared" si="4"/>
        <v>0</v>
      </c>
      <c r="J92" t="str">
        <f t="shared" si="5"/>
        <v/>
      </c>
    </row>
    <row r="93" spans="1:10" ht="15">
      <c r="A93" s="46"/>
      <c r="B93" s="47" t="str">
        <f t="shared" si="3"/>
        <v/>
      </c>
      <c r="C93" s="48"/>
      <c r="D93" s="49"/>
      <c r="E93" s="49"/>
      <c r="F93" s="49"/>
      <c r="G93" s="49"/>
      <c r="H93" s="50" t="str">
        <f>IF($B93="","",IF($J93="X",B93,CONCATENATE(VLOOKUP(B93,Competitors!$A$2:$I$650,3,FALSE)," ",VLOOKUP(B93,Competitors!$A$2:$I$650,2,FALSE))))</f>
        <v/>
      </c>
      <c r="I93" s="51">
        <f t="shared" si="4"/>
        <v>0</v>
      </c>
      <c r="J93" t="str">
        <f t="shared" si="5"/>
        <v/>
      </c>
    </row>
    <row r="94" spans="1:10" ht="15">
      <c r="A94" s="46"/>
      <c r="B94" s="47" t="str">
        <f t="shared" si="3"/>
        <v/>
      </c>
      <c r="C94" s="48"/>
      <c r="D94" s="49"/>
      <c r="E94" s="49"/>
      <c r="F94" s="49"/>
      <c r="G94" s="49"/>
      <c r="H94" s="50" t="str">
        <f>IF($B94="","",IF($J94="X",B94,CONCATENATE(VLOOKUP(B94,Competitors!$A$2:$I$650,3,FALSE)," ",VLOOKUP(B94,Competitors!$A$2:$I$650,2,FALSE))))</f>
        <v/>
      </c>
      <c r="I94" s="51">
        <f t="shared" si="4"/>
        <v>0</v>
      </c>
      <c r="J94" t="str">
        <f t="shared" si="5"/>
        <v/>
      </c>
    </row>
    <row r="95" spans="1:10" ht="15">
      <c r="A95" s="46"/>
      <c r="B95" s="47" t="str">
        <f t="shared" si="3"/>
        <v/>
      </c>
      <c r="C95" s="48"/>
      <c r="D95" s="49"/>
      <c r="E95" s="49"/>
      <c r="F95" s="49"/>
      <c r="G95" s="49"/>
      <c r="H95" s="50" t="str">
        <f>IF($B95="","",IF($J95="X",B95,CONCATENATE(VLOOKUP(B95,Competitors!$A$2:$I$650,3,FALSE)," ",VLOOKUP(B95,Competitors!$A$2:$I$650,2,FALSE))))</f>
        <v/>
      </c>
      <c r="I95" s="51">
        <f t="shared" si="4"/>
        <v>0</v>
      </c>
      <c r="J95" t="str">
        <f t="shared" si="5"/>
        <v/>
      </c>
    </row>
    <row r="96" spans="1:10" ht="15">
      <c r="A96" s="46"/>
      <c r="B96" s="47" t="str">
        <f t="shared" si="3"/>
        <v/>
      </c>
      <c r="C96" s="48"/>
      <c r="D96" s="49"/>
      <c r="E96" s="49"/>
      <c r="F96" s="49"/>
      <c r="G96" s="49"/>
      <c r="H96" s="50" t="str">
        <f>IF($B96="","",IF($J96="X",B96,CONCATENATE(VLOOKUP(B96,Competitors!$A$2:$I$650,3,FALSE)," ",VLOOKUP(B96,Competitors!$A$2:$I$650,2,FALSE))))</f>
        <v/>
      </c>
      <c r="I96" s="51">
        <f t="shared" si="4"/>
        <v>0</v>
      </c>
      <c r="J96" t="str">
        <f t="shared" si="5"/>
        <v/>
      </c>
    </row>
    <row r="97" spans="1:10" ht="15">
      <c r="A97" s="46"/>
      <c r="B97" s="47" t="str">
        <f t="shared" si="3"/>
        <v/>
      </c>
      <c r="C97" s="48"/>
      <c r="D97" s="49"/>
      <c r="E97" s="49"/>
      <c r="F97" s="49"/>
      <c r="G97" s="4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Event_21</v>
      </c>
    </row>
    <row r="104" spans="1:10">
      <c r="B104" t="s">
        <v>552</v>
      </c>
      <c r="C104" t="str">
        <f ca="1">_xlfn.XLOOKUP(C103,Calendar!O:O,Calendar!H:H,"Event is not in calendar")</f>
        <v/>
      </c>
    </row>
  </sheetData>
  <autoFilter ref="A1:J104" xr:uid="{00000000-0001-0000-2600-000000000000}"/>
  <conditionalFormatting sqref="E2:E101">
    <cfRule type="expression" dxfId="20" priority="3">
      <formula>TEXT($C$104,"@")="Y"</formula>
    </cfRule>
  </conditionalFormatting>
  <conditionalFormatting sqref="H2:I101">
    <cfRule type="expression" dxfId="19" priority="2">
      <formula>$J2="X"</formula>
    </cfRule>
  </conditionalFormatting>
  <conditionalFormatting sqref="I2:I101">
    <cfRule type="expression" dxfId="18" priority="1">
      <formula>TEXT($C$104,"@")="Y"</formula>
    </cfRule>
  </conditionalFormatting>
  <pageMargins left="0.7" right="0.7" top="0.75" bottom="0.75" header="0.3" footer="0.3"/>
  <pageSetup paperSize="9" orientation="portrait" r:id="rId1"/>
  <legacyDrawing r:id="rId2"/>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4"/>
  <dimension ref="A1:J104"/>
  <sheetViews>
    <sheetView workbookViewId="0"/>
    <sheetView workbookViewId="1"/>
  </sheetViews>
  <sheetFormatPr defaultColWidth="9.1328125" defaultRowHeight="12.75"/>
  <cols>
    <col min="1" max="1" width="29.19921875" bestFit="1" customWidth="1"/>
    <col min="2" max="2" width="41.86328125" bestFit="1" customWidth="1"/>
    <col min="3" max="5" width="4.796875" customWidth="1"/>
    <col min="6" max="6" width="11.1328125" customWidth="1"/>
    <col min="7" max="7" width="18.19921875" customWidth="1"/>
    <col min="8" max="8" width="36.53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579</v>
      </c>
      <c r="B2" s="47">
        <f t="shared" ref="B2:B33" si="0">IF(A2="","",_xlfn.XLOOKUP(A2,ClubNames,ClubNumbers,_xlfn.XLOOKUP(A2,RoundRobinRiderNames,RoundRobinRiderDecoratedNames,A2)))</f>
        <v>1370</v>
      </c>
      <c r="C2" s="59"/>
      <c r="D2" s="59">
        <v>25</v>
      </c>
      <c r="E2" s="59">
        <v>18</v>
      </c>
      <c r="F2" s="65" t="s">
        <v>544</v>
      </c>
      <c r="G2" s="59"/>
      <c r="H2" s="50" t="str">
        <f>IF($B2="","",IF($J2="X",B2,CONCATENATE(VLOOKUP(B2,Competitors!$A$2:$I$650,3, FALSE)," ",VLOOKUP(B2,Competitors!$A$2:$I$650,2,FALSE))))</f>
        <v>Ian Aldridge</v>
      </c>
      <c r="I2" s="51">
        <f t="shared" ref="I2:I65" si="1">IF(LEFT($F2,1)="D",UPPER($F2),(C2*3600+D2*60+E2)/86400)</f>
        <v>1.7569444444444443E-2</v>
      </c>
      <c r="J2" t="str">
        <f t="shared" ref="J2:J65" si="2">IF(OR(B2="",ISNUMBER(B2)),"","X")</f>
        <v/>
      </c>
    </row>
    <row r="3" spans="1:10" ht="15">
      <c r="A3" s="46" t="s">
        <v>414</v>
      </c>
      <c r="B3" s="47">
        <f t="shared" si="0"/>
        <v>699</v>
      </c>
      <c r="C3" s="59"/>
      <c r="D3" s="59">
        <v>25</v>
      </c>
      <c r="E3" s="59">
        <v>11</v>
      </c>
      <c r="F3" s="49"/>
      <c r="G3" s="59"/>
      <c r="H3" s="50" t="str">
        <f>IF($B3="","",IF($J3="X",B3,CONCATENATE(VLOOKUP(B3,Competitors!$A$2:$I$650,3,FALSE)," ",VLOOKUP(B3,Competitors!$A$2:$I$650,2,FALSE))))</f>
        <v>Jonathan Durnin</v>
      </c>
      <c r="I3" s="51">
        <f t="shared" si="1"/>
        <v>1.7488425925925925E-2</v>
      </c>
      <c r="J3" t="str">
        <f t="shared" si="2"/>
        <v/>
      </c>
    </row>
    <row r="4" spans="1:10" ht="15">
      <c r="A4" s="46" t="s">
        <v>443</v>
      </c>
      <c r="B4" s="47">
        <f t="shared" si="0"/>
        <v>1193</v>
      </c>
      <c r="C4" s="59"/>
      <c r="D4" s="59">
        <v>30</v>
      </c>
      <c r="E4" s="59">
        <v>27</v>
      </c>
      <c r="F4" s="49" t="s">
        <v>544</v>
      </c>
      <c r="G4" s="59"/>
      <c r="H4" s="50" t="str">
        <f>IF($B4="","",IF($J4="X",B4,CONCATENATE(VLOOKUP(B4,Competitors!$A$2:$I$650,3,FALSE)," ",VLOOKUP(B4,Competitors!$A$2:$I$650,2,FALSE))))</f>
        <v>Richard Hardwicke</v>
      </c>
      <c r="I4" s="51">
        <f t="shared" si="1"/>
        <v>2.1145833333333332E-2</v>
      </c>
      <c r="J4" t="str">
        <f t="shared" si="2"/>
        <v/>
      </c>
    </row>
    <row r="5" spans="1:10" ht="15">
      <c r="A5" s="46" t="s">
        <v>523</v>
      </c>
      <c r="B5" s="47" t="str">
        <f t="shared" si="0"/>
        <v>Lynne Wilkinson-Scofield (RFW)</v>
      </c>
      <c r="C5" s="59"/>
      <c r="D5" s="59"/>
      <c r="E5" s="59"/>
      <c r="F5" s="49"/>
      <c r="G5" s="59" t="s">
        <v>553</v>
      </c>
      <c r="H5" s="50" t="str">
        <f>IF($B5="","",IF($J5="X",B5,CONCATENATE(VLOOKUP(B5,Competitors!$A$2:$I$650,3,FALSE)," ",VLOOKUP(B5,Competitors!$A$2:$I$650,2,FALSE))))</f>
        <v>Lynne Wilkinson-Scofield (RFW)</v>
      </c>
      <c r="I5" s="51">
        <f t="shared" si="1"/>
        <v>0</v>
      </c>
      <c r="J5" t="str">
        <f t="shared" si="2"/>
        <v>X</v>
      </c>
    </row>
    <row r="6" spans="1:10" ht="15">
      <c r="A6" s="46" t="s">
        <v>771</v>
      </c>
      <c r="B6" s="47" t="str">
        <f t="shared" si="0"/>
        <v>Joseph Hyde (Numplumz)</v>
      </c>
      <c r="C6" s="59"/>
      <c r="D6" s="59">
        <v>27</v>
      </c>
      <c r="E6" s="59">
        <v>50</v>
      </c>
      <c r="F6" s="49" t="s">
        <v>544</v>
      </c>
      <c r="G6" s="59"/>
      <c r="H6" s="50" t="str">
        <f>IF($B6="","",IF($J6="X",B6,CONCATENATE(VLOOKUP(B6,Competitors!$A$2:$I$650,3,FALSE)," ",VLOOKUP(B6,Competitors!$A$2:$I$650,2,FALSE))))</f>
        <v>Joseph Hyde (Numplumz)</v>
      </c>
      <c r="I6" s="51">
        <f t="shared" si="1"/>
        <v>1.9328703703703702E-2</v>
      </c>
      <c r="J6" t="str">
        <f t="shared" si="2"/>
        <v>X</v>
      </c>
    </row>
    <row r="7" spans="1:10" ht="15">
      <c r="A7" s="46" t="s">
        <v>616</v>
      </c>
      <c r="B7" s="47">
        <f t="shared" si="0"/>
        <v>990</v>
      </c>
      <c r="C7" s="59"/>
      <c r="D7" s="59">
        <v>34</v>
      </c>
      <c r="E7" s="59">
        <v>50</v>
      </c>
      <c r="F7" s="65" t="s">
        <v>544</v>
      </c>
      <c r="G7" s="59"/>
      <c r="H7" s="50" t="str">
        <f>IF($B7="","",IF($J7="X",B7,CONCATENATE(VLOOKUP(B7,Competitors!$A$2:$I$650,3,FALSE)," ",VLOOKUP(B7,Competitors!$A$2:$I$650,2,FALSE))))</f>
        <v>Jen Hulme</v>
      </c>
      <c r="I7" s="51">
        <f t="shared" si="1"/>
        <v>2.4189814814814813E-2</v>
      </c>
      <c r="J7" t="str">
        <f t="shared" si="2"/>
        <v/>
      </c>
    </row>
    <row r="8" spans="1:10" ht="15">
      <c r="A8" s="46" t="s">
        <v>444</v>
      </c>
      <c r="B8" s="47">
        <f t="shared" si="0"/>
        <v>1386</v>
      </c>
      <c r="C8" s="59"/>
      <c r="D8" s="59">
        <v>30</v>
      </c>
      <c r="E8" s="59">
        <v>28</v>
      </c>
      <c r="F8" s="65" t="s">
        <v>544</v>
      </c>
      <c r="G8" s="59"/>
      <c r="H8" s="50" t="str">
        <f>IF($B8="","",IF($J8="X",B8,CONCATENATE(VLOOKUP(B8,Competitors!$A$2:$I$650,3,FALSE)," ",VLOOKUP(B8,Competitors!$A$2:$I$650,2,FALSE))))</f>
        <v>Mea Moore</v>
      </c>
      <c r="I8" s="51">
        <f t="shared" si="1"/>
        <v>2.1157407407407406E-2</v>
      </c>
      <c r="J8" t="str">
        <f t="shared" si="2"/>
        <v/>
      </c>
    </row>
    <row r="9" spans="1:10" ht="15">
      <c r="A9" s="46" t="s">
        <v>773</v>
      </c>
      <c r="B9" s="47" t="str">
        <f t="shared" si="0"/>
        <v>Peter Cowler (Wellingborough AC)</v>
      </c>
      <c r="C9" s="59"/>
      <c r="D9" s="59">
        <v>25</v>
      </c>
      <c r="E9" s="59">
        <v>33</v>
      </c>
      <c r="F9" s="65" t="s">
        <v>544</v>
      </c>
      <c r="G9" s="59"/>
      <c r="H9" s="50" t="str">
        <f>IF($B9="","",IF($J9="X",B9,CONCATENATE(VLOOKUP(B9,Competitors!$A$2:$I$650,3,FALSE)," ",VLOOKUP(B9,Competitors!$A$2:$I$650,2,FALSE))))</f>
        <v>Peter Cowler (Wellingborough AC)</v>
      </c>
      <c r="I9" s="51">
        <f t="shared" si="1"/>
        <v>1.7743055555555557E-2</v>
      </c>
      <c r="J9" t="str">
        <f t="shared" si="2"/>
        <v>X</v>
      </c>
    </row>
    <row r="10" spans="1:10" ht="15">
      <c r="A10" s="46" t="s">
        <v>410</v>
      </c>
      <c r="B10" s="47">
        <f t="shared" si="0"/>
        <v>747</v>
      </c>
      <c r="C10" s="59"/>
      <c r="D10" s="59">
        <v>23</v>
      </c>
      <c r="E10" s="59">
        <v>57</v>
      </c>
      <c r="F10" s="65"/>
      <c r="G10" s="59"/>
      <c r="H10" s="50" t="str">
        <f>IF($B10="","",IF($J10="X",B10,CONCATENATE(VLOOKUP(B10,Competitors!$A$2:$I$650,3, FALSE)," ",VLOOKUP(B10,Competitors!$A$2:$I$650,2,FALSE))))</f>
        <v>James Moore</v>
      </c>
      <c r="I10" s="51">
        <f t="shared" si="1"/>
        <v>1.6631944444444446E-2</v>
      </c>
      <c r="J10" t="str">
        <f t="shared" si="2"/>
        <v/>
      </c>
    </row>
    <row r="11" spans="1:10" ht="15">
      <c r="A11" s="46" t="s">
        <v>653</v>
      </c>
      <c r="B11" s="47" t="str">
        <f t="shared" si="0"/>
        <v>Brigitte Gaillard (Ratae)</v>
      </c>
      <c r="C11" s="59"/>
      <c r="D11" s="59">
        <v>32</v>
      </c>
      <c r="E11" s="59">
        <v>42</v>
      </c>
      <c r="F11" s="65" t="s">
        <v>544</v>
      </c>
      <c r="G11" s="59"/>
      <c r="H11" s="50" t="str">
        <f>IF($B11="","",IF($J11="X",B11,CONCATENATE(VLOOKUP(B11,Competitors!$A$2:$I$650,3,FALSE)," ",VLOOKUP(B11,Competitors!$A$2:$I$650,2,FALSE))))</f>
        <v>Brigitte Gaillard (Ratae)</v>
      </c>
      <c r="I11" s="51">
        <f t="shared" si="1"/>
        <v>2.2708333333333334E-2</v>
      </c>
      <c r="J11" t="str">
        <f t="shared" si="2"/>
        <v>X</v>
      </c>
    </row>
    <row r="12" spans="1:10" ht="15">
      <c r="A12" s="46" t="s">
        <v>780</v>
      </c>
      <c r="B12" s="47" t="str">
        <f t="shared" si="0"/>
        <v>Geoff Stanbridge (Fenland Clarion) (Ratae)</v>
      </c>
      <c r="C12" s="59"/>
      <c r="D12" s="59"/>
      <c r="E12" s="59"/>
      <c r="F12" s="65" t="s">
        <v>544</v>
      </c>
      <c r="G12" s="59" t="s">
        <v>553</v>
      </c>
      <c r="H12" s="50" t="str">
        <f>IF($B12="","",IF($J12="X",B12,CONCATENATE(VLOOKUP(B12,Competitors!$A$2:$I$650,3,FALSE)," ",VLOOKUP(B12,Competitors!$A$2:$I$650,2,FALSE))))</f>
        <v>Geoff Stanbridge (Fenland Clarion) (Ratae)</v>
      </c>
      <c r="I12" s="51">
        <f t="shared" si="1"/>
        <v>0</v>
      </c>
      <c r="J12" t="str">
        <f t="shared" si="2"/>
        <v>X</v>
      </c>
    </row>
    <row r="13" spans="1:10" ht="15">
      <c r="A13" s="46" t="s">
        <v>431</v>
      </c>
      <c r="B13" s="47">
        <f t="shared" si="0"/>
        <v>1403</v>
      </c>
      <c r="C13" s="59"/>
      <c r="D13" s="59">
        <v>27</v>
      </c>
      <c r="E13" s="59">
        <v>32</v>
      </c>
      <c r="F13" s="65"/>
      <c r="G13" s="59"/>
      <c r="H13" s="50" t="str">
        <f>IF($B13="","",IF($J13="X",B13,CONCATENATE(VLOOKUP(B13,Competitors!$A$2:$I$650,3,FALSE)," ",VLOOKUP(B13,Competitors!$A$2:$I$650,2,FALSE))))</f>
        <v>Toby Lenehan</v>
      </c>
      <c r="I13" s="51">
        <f t="shared" si="1"/>
        <v>1.9120370370370371E-2</v>
      </c>
      <c r="J13" t="str">
        <f t="shared" si="2"/>
        <v/>
      </c>
    </row>
    <row r="14" spans="1:10" ht="15">
      <c r="A14" s="46" t="s">
        <v>459</v>
      </c>
      <c r="B14" s="47">
        <f t="shared" si="0"/>
        <v>742</v>
      </c>
      <c r="C14" s="59"/>
      <c r="D14" s="59">
        <v>36</v>
      </c>
      <c r="E14" s="59">
        <v>25</v>
      </c>
      <c r="F14" s="65" t="s">
        <v>544</v>
      </c>
      <c r="G14" s="59"/>
      <c r="H14" s="50" t="str">
        <f>IF($B14="","",IF($J14="X",B14,CONCATENATE(VLOOKUP(B14,Competitors!$A$2:$I$650,3,FALSE)," ",VLOOKUP(B14,Competitors!$A$2:$I$650,2,FALSE))))</f>
        <v>Claire Moore</v>
      </c>
      <c r="I14" s="51">
        <f t="shared" si="1"/>
        <v>2.5289351851851851E-2</v>
      </c>
      <c r="J14" t="str">
        <f t="shared" si="2"/>
        <v/>
      </c>
    </row>
    <row r="15" spans="1:10" ht="15">
      <c r="A15" s="46" t="s">
        <v>435</v>
      </c>
      <c r="B15" s="47">
        <f t="shared" si="0"/>
        <v>846</v>
      </c>
      <c r="C15" s="59"/>
      <c r="D15" s="59">
        <v>27</v>
      </c>
      <c r="E15" s="59">
        <v>3</v>
      </c>
      <c r="F15" s="49"/>
      <c r="G15" s="59"/>
      <c r="H15" s="50" t="str">
        <f>IF($B15="","",IF($J15="X",B15,CONCATENATE(VLOOKUP(B15,Competitors!$A$2:$I$650,3,FALSE)," ",VLOOKUP(B15,Competitors!$A$2:$I$650,2,FALSE))))</f>
        <v>Roger Kockelbergh</v>
      </c>
      <c r="I15" s="51">
        <f t="shared" si="1"/>
        <v>1.8784722222222223E-2</v>
      </c>
      <c r="J15" t="str">
        <f t="shared" si="2"/>
        <v/>
      </c>
    </row>
    <row r="16" spans="1:10" ht="15">
      <c r="A16" s="46" t="s">
        <v>451</v>
      </c>
      <c r="B16" s="47">
        <f t="shared" si="0"/>
        <v>1244</v>
      </c>
      <c r="C16" s="59"/>
      <c r="D16" s="59">
        <v>31</v>
      </c>
      <c r="E16" s="59">
        <v>29</v>
      </c>
      <c r="F16" s="65" t="s">
        <v>544</v>
      </c>
      <c r="G16" s="59"/>
      <c r="H16" s="50" t="str">
        <f>IF($B16="","",IF($J16="X",B16,CONCATENATE(VLOOKUP(B16,Competitors!$A$2:$I$650,3,FALSE)," ",VLOOKUP(B16,Competitors!$A$2:$I$650,2,FALSE))))</f>
        <v>Steven Latham</v>
      </c>
      <c r="I16" s="51">
        <f t="shared" si="1"/>
        <v>2.1863425925925925E-2</v>
      </c>
      <c r="J16" t="str">
        <f t="shared" si="2"/>
        <v/>
      </c>
    </row>
    <row r="17" spans="1:10" ht="15">
      <c r="A17" s="46" t="s">
        <v>501</v>
      </c>
      <c r="B17" s="47" t="str">
        <f t="shared" si="0"/>
        <v>Chris Bonsor (Ratae)</v>
      </c>
      <c r="C17" s="59"/>
      <c r="D17" s="59"/>
      <c r="E17" s="59"/>
      <c r="F17" s="65"/>
      <c r="G17" s="59" t="s">
        <v>553</v>
      </c>
      <c r="H17" s="50" t="str">
        <f>IF($B17="","",IF($J17="X",B17,CONCATENATE(VLOOKUP(B17,Competitors!$A$2:$I$650,3,FALSE)," ",VLOOKUP(B17,Competitors!$A$2:$I$650,2,FALSE))))</f>
        <v>Chris Bonsor (Ratae)</v>
      </c>
      <c r="I17" s="51">
        <f t="shared" si="1"/>
        <v>0</v>
      </c>
      <c r="J17" t="str">
        <f t="shared" si="2"/>
        <v>X</v>
      </c>
    </row>
    <row r="18" spans="1:10" ht="15">
      <c r="A18" s="46" t="s">
        <v>460</v>
      </c>
      <c r="B18" s="47">
        <f t="shared" si="0"/>
        <v>7</v>
      </c>
      <c r="C18" s="59"/>
      <c r="D18" s="59">
        <v>32</v>
      </c>
      <c r="E18" s="59">
        <v>26</v>
      </c>
      <c r="F18" s="65" t="s">
        <v>544</v>
      </c>
      <c r="G18" s="59"/>
      <c r="H18" s="50" t="str">
        <f>IF($B18="","",IF($J18="X",B18,CONCATENATE(VLOOKUP(B18,Competitors!$A$2:$I$650,3,FALSE)," ",VLOOKUP(B18,Competitors!$A$2:$I$650,2,FALSE))))</f>
        <v>Vic Barnett</v>
      </c>
      <c r="I18" s="51">
        <f t="shared" si="1"/>
        <v>2.252314814814815E-2</v>
      </c>
      <c r="J18" t="str">
        <f t="shared" si="2"/>
        <v/>
      </c>
    </row>
    <row r="19" spans="1:10" ht="15">
      <c r="A19" s="46" t="s">
        <v>446</v>
      </c>
      <c r="B19" s="47">
        <f t="shared" si="0"/>
        <v>1379</v>
      </c>
      <c r="C19" s="59"/>
      <c r="D19" s="59">
        <v>30</v>
      </c>
      <c r="E19" s="59">
        <v>44</v>
      </c>
      <c r="F19" s="65" t="s">
        <v>544</v>
      </c>
      <c r="G19" s="59"/>
      <c r="H19" s="50" t="str">
        <f>IF($B19="","",IF($J19="X",B19,CONCATENATE(VLOOKUP(B19,Competitors!$A$2:$I$650,3,FALSE)," ",VLOOKUP(B19,Competitors!$A$2:$I$650,2,FALSE))))</f>
        <v>Michaela Latham</v>
      </c>
      <c r="I19" s="51">
        <f t="shared" si="1"/>
        <v>2.1342592592592594E-2</v>
      </c>
      <c r="J19" t="str">
        <f t="shared" si="2"/>
        <v/>
      </c>
    </row>
    <row r="20" spans="1:10" ht="15">
      <c r="A20" s="46" t="s">
        <v>437</v>
      </c>
      <c r="B20" s="47">
        <f t="shared" si="0"/>
        <v>1195</v>
      </c>
      <c r="C20" s="59"/>
      <c r="D20" s="59">
        <v>26</v>
      </c>
      <c r="E20" s="59">
        <v>27</v>
      </c>
      <c r="F20" s="65"/>
      <c r="G20" s="59"/>
      <c r="H20" s="50" t="str">
        <f>IF($B20="","",IF($J20="X",B20,CONCATENATE(VLOOKUP(B20,Competitors!$A$2:$I$650,3,FALSE)," ",VLOOKUP(B20,Competitors!$A$2:$I$650,2,FALSE))))</f>
        <v>Charlie Hardwicke</v>
      </c>
      <c r="I20" s="51">
        <f t="shared" si="1"/>
        <v>1.8368055555555554E-2</v>
      </c>
      <c r="J20" t="str">
        <f t="shared" si="2"/>
        <v/>
      </c>
    </row>
    <row r="21" spans="1:10" ht="15">
      <c r="A21" s="46" t="s">
        <v>458</v>
      </c>
      <c r="B21" s="47">
        <f t="shared" si="0"/>
        <v>715</v>
      </c>
      <c r="C21" s="59"/>
      <c r="D21" s="59">
        <v>30</v>
      </c>
      <c r="E21" s="59">
        <v>53</v>
      </c>
      <c r="F21" s="65"/>
      <c r="G21" s="59"/>
      <c r="H21" s="50" t="str">
        <f>IF($B21="","",IF($J21="X",B21,CONCATENATE(VLOOKUP(B21,Competitors!$A$2:$I$650,3,FALSE)," ",VLOOKUP(B21,Competitors!$A$2:$I$650,2,FALSE))))</f>
        <v>Steven Coulam</v>
      </c>
      <c r="I21" s="51">
        <f t="shared" si="1"/>
        <v>2.1446759259259259E-2</v>
      </c>
      <c r="J21" t="str">
        <f t="shared" si="2"/>
        <v/>
      </c>
    </row>
    <row r="22" spans="1:10" ht="15">
      <c r="A22" s="46" t="s">
        <v>420</v>
      </c>
      <c r="B22" s="47">
        <f t="shared" si="0"/>
        <v>1192</v>
      </c>
      <c r="C22" s="59"/>
      <c r="D22" s="59"/>
      <c r="E22" s="59"/>
      <c r="F22" s="65"/>
      <c r="G22" s="59" t="s">
        <v>553</v>
      </c>
      <c r="H22" s="50" t="str">
        <f>IF($B22="","",IF($J22="X",B22,CONCATENATE(VLOOKUP(B22,Competitors!$A$2:$I$650,3,FALSE)," ",VLOOKUP(B22,Competitors!$A$2:$I$650,2,FALSE))))</f>
        <v>Dale Norris</v>
      </c>
      <c r="I22" s="51">
        <f t="shared" si="1"/>
        <v>0</v>
      </c>
      <c r="J22" t="str">
        <f t="shared" si="2"/>
        <v/>
      </c>
    </row>
    <row r="23" spans="1:10" ht="15">
      <c r="A23" s="46" t="s">
        <v>512</v>
      </c>
      <c r="B23" s="47" t="str">
        <f t="shared" si="0"/>
        <v>Paul Eden (Ratae)</v>
      </c>
      <c r="C23" s="59"/>
      <c r="D23" s="59">
        <v>33</v>
      </c>
      <c r="E23" s="59">
        <v>42</v>
      </c>
      <c r="F23" s="65" t="s">
        <v>544</v>
      </c>
      <c r="G23" s="59"/>
      <c r="H23" s="50" t="str">
        <f>IF($B23="","",IF($J23="X",B23,CONCATENATE(VLOOKUP(B23,Competitors!$A$2:$I$650,3,FALSE)," ",VLOOKUP(B23,Competitors!$A$2:$I$650,2,FALSE))))</f>
        <v>Paul Eden (Ratae)</v>
      </c>
      <c r="I23" s="51">
        <f t="shared" si="1"/>
        <v>2.3402777777777779E-2</v>
      </c>
      <c r="J23" t="str">
        <f t="shared" si="2"/>
        <v>X</v>
      </c>
    </row>
    <row r="24" spans="1:10" ht="15">
      <c r="A24" s="46" t="s">
        <v>775</v>
      </c>
      <c r="B24" s="47">
        <f t="shared" si="0"/>
        <v>1428</v>
      </c>
      <c r="C24" s="59"/>
      <c r="D24" s="59">
        <v>26</v>
      </c>
      <c r="E24" s="59">
        <v>10</v>
      </c>
      <c r="F24" s="65" t="s">
        <v>544</v>
      </c>
      <c r="G24" s="59"/>
      <c r="H24" s="50" t="str">
        <f>IF($B24="","",IF($J24="X",B24,CONCATENATE(VLOOKUP(B24,Competitors!$A$2:$I$650,3,FALSE)," ",VLOOKUP(B24,Competitors!$A$2:$I$650,2,FALSE))))</f>
        <v>Oliver Voice</v>
      </c>
      <c r="I24" s="51">
        <f t="shared" si="1"/>
        <v>1.8171296296296297E-2</v>
      </c>
      <c r="J24" t="str">
        <f t="shared" si="2"/>
        <v/>
      </c>
    </row>
    <row r="25" spans="1:10" ht="15">
      <c r="A25" s="46" t="s">
        <v>588</v>
      </c>
      <c r="B25" s="47" t="str">
        <f t="shared" si="0"/>
        <v>Hudson Hendry (Ride Revolution) (RFW)</v>
      </c>
      <c r="C25" s="59"/>
      <c r="D25" s="59">
        <v>20</v>
      </c>
      <c r="E25" s="59">
        <v>34</v>
      </c>
      <c r="F25" s="65"/>
      <c r="G25" s="59"/>
      <c r="H25" s="50" t="str">
        <f>IF($B25="","",IF($J25="X",B25,CONCATENATE(VLOOKUP(B25,Competitors!$A$2:$I$650,3,FALSE)," ",VLOOKUP(B25,Competitors!$A$2:$I$650,2,FALSE))))</f>
        <v>Hudson Hendry (Ride Revolution) (RFW)</v>
      </c>
      <c r="I25" s="51">
        <f t="shared" si="1"/>
        <v>1.4282407407407407E-2</v>
      </c>
      <c r="J25" t="str">
        <f t="shared" si="2"/>
        <v>X</v>
      </c>
    </row>
    <row r="26" spans="1:10" ht="15">
      <c r="A26" s="46" t="s">
        <v>479</v>
      </c>
      <c r="B26" s="47">
        <f t="shared" si="0"/>
        <v>1348</v>
      </c>
      <c r="C26" s="59"/>
      <c r="D26" s="59">
        <v>27</v>
      </c>
      <c r="E26" s="59">
        <v>25</v>
      </c>
      <c r="F26" s="65" t="s">
        <v>544</v>
      </c>
      <c r="G26" s="59"/>
      <c r="H26" s="50" t="str">
        <f>IF($B26="","",IF($J26="X",B26,CONCATENATE(VLOOKUP(B26,Competitors!$A$2:$I$650,3,FALSE)," ",VLOOKUP(B26,Competitors!$A$2:$I$650,2,FALSE))))</f>
        <v>Lydia Baxter</v>
      </c>
      <c r="I26" s="51">
        <f t="shared" si="1"/>
        <v>1.9039351851851852E-2</v>
      </c>
      <c r="J26" t="str">
        <f t="shared" si="2"/>
        <v/>
      </c>
    </row>
    <row r="27" spans="1:10" ht="15">
      <c r="A27" s="46" t="s">
        <v>776</v>
      </c>
      <c r="B27" s="47" t="str">
        <f t="shared" si="0"/>
        <v>Antony Brown (KCC)</v>
      </c>
      <c r="C27" s="59"/>
      <c r="D27" s="59">
        <v>24</v>
      </c>
      <c r="E27" s="59">
        <v>54</v>
      </c>
      <c r="F27" s="49"/>
      <c r="G27" s="59"/>
      <c r="H27" s="50" t="str">
        <f>IF($B27="","",IF($J27="X",B27,CONCATENATE(VLOOKUP(B27,Competitors!$A$2:$I$650,3,FALSE)," ",VLOOKUP(B27,Competitors!$A$2:$I$650,2,FALSE))))</f>
        <v>Antony Brown (KCC)</v>
      </c>
      <c r="I27" s="51">
        <f t="shared" si="1"/>
        <v>1.7291666666666667E-2</v>
      </c>
      <c r="J27" t="str">
        <f t="shared" si="2"/>
        <v>X</v>
      </c>
    </row>
    <row r="28" spans="1:10" ht="15">
      <c r="A28" s="46" t="s">
        <v>577</v>
      </c>
      <c r="B28" s="47">
        <f t="shared" si="0"/>
        <v>1048</v>
      </c>
      <c r="C28" s="59"/>
      <c r="D28" s="59">
        <v>31</v>
      </c>
      <c r="E28" s="59">
        <v>10</v>
      </c>
      <c r="F28" s="65" t="s">
        <v>544</v>
      </c>
      <c r="G28" s="59"/>
      <c r="H28" s="50" t="str">
        <f>IF($B28="","",IF($J28="X",B28,CONCATENATE(VLOOKUP(B28,Competitors!$A$2:$I$650,3,FALSE)," ",VLOOKUP(B28,Competitors!$A$2:$I$650,2,FALSE))))</f>
        <v>Andy Smith</v>
      </c>
      <c r="I28" s="51">
        <f t="shared" si="1"/>
        <v>2.1643518518518517E-2</v>
      </c>
      <c r="J28" t="str">
        <f t="shared" si="2"/>
        <v/>
      </c>
    </row>
    <row r="29" spans="1:10" ht="15">
      <c r="A29" s="46" t="s">
        <v>685</v>
      </c>
      <c r="B29" s="47" t="str">
        <f t="shared" si="0"/>
        <v>Steve Walsh (LFCC)</v>
      </c>
      <c r="C29" s="59"/>
      <c r="D29" s="59"/>
      <c r="E29" s="59"/>
      <c r="F29" s="65" t="s">
        <v>544</v>
      </c>
      <c r="G29" s="59" t="s">
        <v>553</v>
      </c>
      <c r="H29" s="50" t="str">
        <f>IF($B29="","",IF($J29="X",B29,CONCATENATE(VLOOKUP(B29,Competitors!$A$2:$I$650,3,FALSE)," ",VLOOKUP(B29,Competitors!$A$2:$I$650,2,FALSE))))</f>
        <v>Steve Walsh (LFCC)</v>
      </c>
      <c r="I29" s="51">
        <f t="shared" si="1"/>
        <v>0</v>
      </c>
      <c r="J29" t="str">
        <f t="shared" si="2"/>
        <v>X</v>
      </c>
    </row>
    <row r="30" spans="1:10" ht="15">
      <c r="A30" s="46" t="s">
        <v>777</v>
      </c>
      <c r="B30" s="47" t="str">
        <f t="shared" si="0"/>
        <v>Nick Gallimore (KCC)</v>
      </c>
      <c r="C30" s="59"/>
      <c r="D30" s="59">
        <v>26</v>
      </c>
      <c r="E30" s="59">
        <v>38</v>
      </c>
      <c r="F30" s="65"/>
      <c r="G30" s="59"/>
      <c r="H30" s="50" t="str">
        <f>IF($B30="","",IF($J30="X",B30,CONCATENATE(VLOOKUP(B30,Competitors!$A$2:$I$650,3,FALSE)," ",VLOOKUP(B30,Competitors!$A$2:$I$650,2,FALSE))))</f>
        <v>Nick Gallimore (KCC)</v>
      </c>
      <c r="I30" s="51">
        <f t="shared" si="1"/>
        <v>1.849537037037037E-2</v>
      </c>
      <c r="J30" t="str">
        <f t="shared" si="2"/>
        <v>X</v>
      </c>
    </row>
    <row r="31" spans="1:10" ht="15">
      <c r="A31" s="46" t="s">
        <v>429</v>
      </c>
      <c r="B31" s="47">
        <f t="shared" si="0"/>
        <v>1107</v>
      </c>
      <c r="C31" s="59"/>
      <c r="D31" s="59">
        <v>28</v>
      </c>
      <c r="E31" s="59">
        <v>3</v>
      </c>
      <c r="F31" s="65" t="s">
        <v>544</v>
      </c>
      <c r="G31" s="59"/>
      <c r="H31" s="50" t="str">
        <f>IF($B31="","",IF($J31="X",B31,CONCATENATE(VLOOKUP(B31,Competitors!$A$2:$I$650,3,FALSE)," ",VLOOKUP(B31,Competitors!$A$2:$I$650,2,FALSE))))</f>
        <v>Milly Pinnock</v>
      </c>
      <c r="I31" s="51">
        <f t="shared" si="1"/>
        <v>1.9479166666666665E-2</v>
      </c>
      <c r="J31" t="str">
        <f t="shared" si="2"/>
        <v/>
      </c>
    </row>
    <row r="32" spans="1:10" ht="15">
      <c r="A32" s="46" t="s">
        <v>418</v>
      </c>
      <c r="B32" s="47">
        <f t="shared" si="0"/>
        <v>1355</v>
      </c>
      <c r="C32" s="59"/>
      <c r="D32" s="59">
        <v>25</v>
      </c>
      <c r="E32" s="59">
        <v>16</v>
      </c>
      <c r="F32" s="65" t="s">
        <v>544</v>
      </c>
      <c r="G32" s="59"/>
      <c r="H32" s="50" t="str">
        <f>IF($B32="","",IF($J32="X",B32,CONCATENATE(VLOOKUP(B32,Competitors!$A$2:$I$650,3,FALSE)," ",VLOOKUP(B32,Competitors!$A$2:$I$650,2,FALSE))))</f>
        <v>Aubrey Elmer</v>
      </c>
      <c r="I32" s="51">
        <f t="shared" si="1"/>
        <v>1.7546296296296296E-2</v>
      </c>
      <c r="J32" t="str">
        <f t="shared" si="2"/>
        <v/>
      </c>
    </row>
    <row r="33" spans="1:10" ht="15">
      <c r="A33" s="46" t="s">
        <v>447</v>
      </c>
      <c r="B33" s="47">
        <f t="shared" si="0"/>
        <v>1194</v>
      </c>
      <c r="C33" s="59"/>
      <c r="D33" s="59">
        <v>30</v>
      </c>
      <c r="E33" s="59">
        <v>55</v>
      </c>
      <c r="F33" s="49" t="s">
        <v>544</v>
      </c>
      <c r="G33" s="59"/>
      <c r="H33" s="50" t="str">
        <f>IF($B33="","",IF($J33="X",B33,CONCATENATE(VLOOKUP(B33,Competitors!$A$2:$I$650,3,FALSE)," ",VLOOKUP(B33,Competitors!$A$2:$I$650,2,FALSE))))</f>
        <v>Alex Hardwicke</v>
      </c>
      <c r="I33" s="51">
        <f t="shared" si="1"/>
        <v>2.1469907407407406E-2</v>
      </c>
      <c r="J33" t="str">
        <f t="shared" si="2"/>
        <v/>
      </c>
    </row>
    <row r="34" spans="1:10" ht="15">
      <c r="A34" s="46" t="s">
        <v>413</v>
      </c>
      <c r="B34" s="47">
        <f t="shared" ref="B34:B97" si="3">IF(A34="","",_xlfn.XLOOKUP(A34,ClubNames,ClubNumbers,_xlfn.XLOOKUP(A34,RoundRobinRiderNames,RoundRobinRiderDecoratedNames,A34)))</f>
        <v>989</v>
      </c>
      <c r="C34" s="59"/>
      <c r="D34" s="59">
        <v>24</v>
      </c>
      <c r="E34" s="59">
        <v>20</v>
      </c>
      <c r="F34" s="65" t="s">
        <v>544</v>
      </c>
      <c r="G34" s="59"/>
      <c r="H34" s="50" t="str">
        <f>IF($B34="","",IF($J34="X",B34,CONCATENATE(VLOOKUP(B34,Competitors!$A$2:$I$650,3,FALSE)," ",VLOOKUP(B34,Competitors!$A$2:$I$650,2,FALSE))))</f>
        <v>Jason Williams</v>
      </c>
      <c r="I34" s="51">
        <f t="shared" si="1"/>
        <v>1.6898148148148148E-2</v>
      </c>
      <c r="J34" t="str">
        <f t="shared" si="2"/>
        <v/>
      </c>
    </row>
    <row r="35" spans="1:10" ht="15">
      <c r="A35" s="46" t="s">
        <v>730</v>
      </c>
      <c r="B35" s="47" t="str">
        <f t="shared" si="3"/>
        <v>Eric Fullerton (LFCC)</v>
      </c>
      <c r="C35" s="59"/>
      <c r="D35" s="59">
        <v>31</v>
      </c>
      <c r="E35" s="59">
        <v>37</v>
      </c>
      <c r="F35" s="49" t="s">
        <v>544</v>
      </c>
      <c r="G35" s="59"/>
      <c r="H35" s="50" t="str">
        <f>IF($B35="","",IF($J35="X",B35,CONCATENATE(VLOOKUP(B35,Competitors!$A$2:$I$650,3,FALSE)," ",VLOOKUP(B35,Competitors!$A$2:$I$650,2,FALSE))))</f>
        <v>Eric Fullerton (LFCC)</v>
      </c>
      <c r="I35" s="51">
        <f t="shared" si="1"/>
        <v>2.1956018518518517E-2</v>
      </c>
      <c r="J35" t="str">
        <f t="shared" si="2"/>
        <v>X</v>
      </c>
    </row>
    <row r="36" spans="1:10" ht="15">
      <c r="A36" s="46" t="s">
        <v>421</v>
      </c>
      <c r="B36" s="47">
        <f t="shared" si="3"/>
        <v>415</v>
      </c>
      <c r="C36" s="59"/>
      <c r="D36" s="59">
        <v>25</v>
      </c>
      <c r="E36" s="59">
        <v>37</v>
      </c>
      <c r="F36" s="65"/>
      <c r="G36" s="59"/>
      <c r="H36" s="50" t="str">
        <f>IF($B36="","",IF($J36="X",B36,CONCATENATE(VLOOKUP(B36,Competitors!$A$2:$I$650,3,FALSE)," ",VLOOKUP(B36,Competitors!$A$2:$I$650,2,FALSE))))</f>
        <v>Nik Kershaw</v>
      </c>
      <c r="I36" s="51">
        <f t="shared" si="1"/>
        <v>1.7789351851851851E-2</v>
      </c>
      <c r="J36" t="str">
        <f t="shared" si="2"/>
        <v/>
      </c>
    </row>
    <row r="37" spans="1:10" ht="15">
      <c r="A37" s="46" t="s">
        <v>789</v>
      </c>
      <c r="B37" s="47" t="str">
        <f t="shared" si="3"/>
        <v>Evan Collett (George Fox CS) (KCC)</v>
      </c>
      <c r="C37" s="59"/>
      <c r="D37" s="59">
        <v>25</v>
      </c>
      <c r="E37" s="59">
        <v>31</v>
      </c>
      <c r="F37" s="49"/>
      <c r="G37" s="59"/>
      <c r="H37" s="50" t="str">
        <f>IF($B37="","",IF($J37="X",B37,CONCATENATE(VLOOKUP(B37,Competitors!$A$2:$I$650,3,FALSE)," ",VLOOKUP(B37,Competitors!$A$2:$I$650,2,FALSE))))</f>
        <v>Evan Collett (George Fox CS) (KCC)</v>
      </c>
      <c r="I37" s="51">
        <f t="shared" si="1"/>
        <v>1.7719907407407406E-2</v>
      </c>
      <c r="J37" t="str">
        <f t="shared" si="2"/>
        <v>X</v>
      </c>
    </row>
    <row r="38" spans="1:10" ht="15">
      <c r="A38" s="46" t="s">
        <v>618</v>
      </c>
      <c r="B38" s="47" t="str">
        <f t="shared" si="3"/>
        <v>Ian Bird (KCC)</v>
      </c>
      <c r="C38" s="59"/>
      <c r="D38" s="59">
        <v>29</v>
      </c>
      <c r="E38" s="59">
        <v>35</v>
      </c>
      <c r="F38" s="65" t="s">
        <v>544</v>
      </c>
      <c r="G38" s="59"/>
      <c r="H38" s="50" t="str">
        <f>IF($B38="","",IF($J38="X",B38,CONCATENATE(VLOOKUP(B38,Competitors!$A$2:$I$650,3,FALSE)," ",VLOOKUP(B38,Competitors!$A$2:$I$650,2,FALSE))))</f>
        <v>Ian Bird (KCC)</v>
      </c>
      <c r="I38" s="51">
        <f t="shared" si="1"/>
        <v>2.0543981481481483E-2</v>
      </c>
      <c r="J38" t="str">
        <f t="shared" si="2"/>
        <v>X</v>
      </c>
    </row>
    <row r="39" spans="1:10" ht="15">
      <c r="A39" s="46" t="s">
        <v>509</v>
      </c>
      <c r="B39" s="47" t="str">
        <f t="shared" si="3"/>
        <v>Mark Newton (Ratae)</v>
      </c>
      <c r="C39" s="59"/>
      <c r="D39" s="59">
        <v>25</v>
      </c>
      <c r="E39" s="59">
        <v>16</v>
      </c>
      <c r="F39" s="49"/>
      <c r="G39" s="59"/>
      <c r="H39" s="50" t="str">
        <f>IF($B39="","",IF($J39="X",B39,CONCATENATE(VLOOKUP(B39,Competitors!$A$2:$I$650,3,FALSE)," ",VLOOKUP(B39,Competitors!$A$2:$I$650,2,FALSE))))</f>
        <v>Mark Newton (Ratae)</v>
      </c>
      <c r="I39" s="51">
        <f t="shared" si="1"/>
        <v>1.7546296296296296E-2</v>
      </c>
      <c r="J39" t="str">
        <f t="shared" si="2"/>
        <v>X</v>
      </c>
    </row>
    <row r="40" spans="1:10" ht="15">
      <c r="A40" s="46" t="s">
        <v>422</v>
      </c>
      <c r="B40" s="47">
        <f t="shared" si="3"/>
        <v>1407</v>
      </c>
      <c r="C40" s="59"/>
      <c r="D40" s="59">
        <v>25</v>
      </c>
      <c r="E40" s="59">
        <v>52</v>
      </c>
      <c r="F40" s="49" t="s">
        <v>544</v>
      </c>
      <c r="G40" s="59"/>
      <c r="H40" s="50" t="str">
        <f>IF($B40="","",IF($J40="X",B40,CONCATENATE(VLOOKUP(B40,Competitors!$A$2:$I$650,3,FALSE)," ",VLOOKUP(B40,Competitors!$A$2:$I$650,2,FALSE))))</f>
        <v>Colin Dobson</v>
      </c>
      <c r="I40" s="51">
        <f t="shared" si="1"/>
        <v>1.7962962962962962E-2</v>
      </c>
      <c r="J40" t="str">
        <f t="shared" si="2"/>
        <v/>
      </c>
    </row>
    <row r="41" spans="1:10" ht="15">
      <c r="A41" s="46" t="s">
        <v>778</v>
      </c>
      <c r="B41" s="47" t="str">
        <f t="shared" si="3"/>
        <v>Sarah Hollis</v>
      </c>
      <c r="C41" s="59"/>
      <c r="D41" s="59">
        <v>30</v>
      </c>
      <c r="E41" s="59">
        <v>13</v>
      </c>
      <c r="F41" s="49" t="s">
        <v>544</v>
      </c>
      <c r="G41" s="59"/>
      <c r="H41" s="50" t="str">
        <f>IF($B41="","",IF($J41="X",B41,CONCATENATE(VLOOKUP(B41,Competitors!$A$2:$I$650,3,FALSE)," ",VLOOKUP(B41,Competitors!$A$2:$I$650,2,FALSE))))</f>
        <v>Sarah Hollis</v>
      </c>
      <c r="I41" s="51">
        <f t="shared" si="1"/>
        <v>2.0983796296296296E-2</v>
      </c>
      <c r="J41" t="str">
        <f t="shared" si="2"/>
        <v>X</v>
      </c>
    </row>
    <row r="42" spans="1:10" ht="15">
      <c r="A42" s="46" t="s">
        <v>628</v>
      </c>
      <c r="B42" s="47">
        <f t="shared" si="3"/>
        <v>1415</v>
      </c>
      <c r="C42" s="59"/>
      <c r="D42" s="59">
        <v>27</v>
      </c>
      <c r="E42" s="59">
        <v>45</v>
      </c>
      <c r="F42" s="49" t="s">
        <v>544</v>
      </c>
      <c r="G42" s="59"/>
      <c r="H42" s="50" t="str">
        <f>IF($B42="","",IF($J42="X",B42,CONCATENATE(VLOOKUP(B42,Competitors!$A$2:$I$650,3,FALSE)," ",VLOOKUP(B42,Competitors!$A$2:$I$650,2,FALSE))))</f>
        <v>James Aldridge</v>
      </c>
      <c r="I42" s="51">
        <f t="shared" si="1"/>
        <v>1.9270833333333334E-2</v>
      </c>
      <c r="J42" t="str">
        <f t="shared" si="2"/>
        <v/>
      </c>
    </row>
    <row r="43" spans="1:10" ht="15">
      <c r="A43" s="46" t="s">
        <v>779</v>
      </c>
      <c r="B43" s="47" t="str">
        <f t="shared" si="3"/>
        <v>Neil McDonald</v>
      </c>
      <c r="C43" s="59"/>
      <c r="D43" s="59">
        <v>30</v>
      </c>
      <c r="E43" s="59">
        <v>28</v>
      </c>
      <c r="F43" s="49" t="s">
        <v>544</v>
      </c>
      <c r="G43" s="59"/>
      <c r="H43" s="50" t="str">
        <f>IF($B43="","",IF($J43="X",B43,CONCATENATE(VLOOKUP(B43,Competitors!$A$2:$I$650,3,FALSE)," ",VLOOKUP(B43,Competitors!$A$2:$I$650,2,FALSE))))</f>
        <v>Neil McDonald</v>
      </c>
      <c r="I43" s="51">
        <f t="shared" si="1"/>
        <v>2.1157407407407406E-2</v>
      </c>
      <c r="J43" t="str">
        <f t="shared" si="2"/>
        <v>X</v>
      </c>
    </row>
    <row r="44" spans="1:10" ht="15">
      <c r="A44" s="46" t="s">
        <v>452</v>
      </c>
      <c r="B44" s="47">
        <f t="shared" si="3"/>
        <v>1404</v>
      </c>
      <c r="C44" s="59"/>
      <c r="D44" s="59">
        <v>33</v>
      </c>
      <c r="E44" s="59">
        <v>58</v>
      </c>
      <c r="F44" s="49"/>
      <c r="G44" s="59"/>
      <c r="H44" s="50" t="str">
        <f>IF($B44="","",IF($J44="X",B44,CONCATENATE(VLOOKUP(B44,Competitors!$A$2:$I$650,3,FALSE)," ",VLOOKUP(B44,Competitors!$A$2:$I$650,2,FALSE))))</f>
        <v>Millie Lenehan</v>
      </c>
      <c r="I44" s="51">
        <f t="shared" si="1"/>
        <v>2.3587962962962963E-2</v>
      </c>
      <c r="J44" t="str">
        <f t="shared" si="2"/>
        <v/>
      </c>
    </row>
    <row r="45" spans="1:10" ht="15">
      <c r="A45" s="46" t="s">
        <v>488</v>
      </c>
      <c r="B45" s="47" t="str">
        <f t="shared" si="3"/>
        <v>Sam Nettel (LFCC)</v>
      </c>
      <c r="C45" s="59"/>
      <c r="D45" s="59">
        <v>25</v>
      </c>
      <c r="E45" s="59">
        <v>6</v>
      </c>
      <c r="F45" s="49"/>
      <c r="G45" s="59"/>
      <c r="H45" s="50" t="str">
        <f>IF($B45="","",IF($J45="X",B45,CONCATENATE(VLOOKUP(B45,Competitors!$A$2:$I$650,3,FALSE)," ",VLOOKUP(B45,Competitors!$A$2:$I$650,2,FALSE))))</f>
        <v>Sam Nettel (LFCC)</v>
      </c>
      <c r="I45" s="51">
        <f t="shared" si="1"/>
        <v>1.7430555555555557E-2</v>
      </c>
      <c r="J45" t="str">
        <f t="shared" si="2"/>
        <v>X</v>
      </c>
    </row>
    <row r="46" spans="1:10" ht="15">
      <c r="A46" s="46"/>
      <c r="B46" s="47" t="str">
        <f t="shared" si="3"/>
        <v/>
      </c>
      <c r="C46" s="59"/>
      <c r="D46" s="59"/>
      <c r="E46" s="59"/>
      <c r="F46" s="49"/>
      <c r="G46" s="59"/>
      <c r="H46" s="50" t="str">
        <f>IF($B46="","",IF($J46="X",B46,CONCATENATE(VLOOKUP(B46,Competitors!$A$2:$I$650,3,FALSE)," ",VLOOKUP(B46,Competitors!$A$2:$I$650,2,FALSE))))</f>
        <v/>
      </c>
      <c r="I46" s="51">
        <f t="shared" si="1"/>
        <v>0</v>
      </c>
      <c r="J46" t="str">
        <f t="shared" si="2"/>
        <v/>
      </c>
    </row>
    <row r="47" spans="1:10" ht="15">
      <c r="A47" s="46"/>
      <c r="B47" s="47" t="str">
        <f t="shared" si="3"/>
        <v/>
      </c>
      <c r="C47" s="59"/>
      <c r="D47" s="59"/>
      <c r="E47" s="59"/>
      <c r="F47" s="49"/>
      <c r="G47" s="59"/>
      <c r="H47" s="50" t="str">
        <f>IF($B47="","",IF($J47="X",B47,CONCATENATE(VLOOKUP(B47,Competitors!$A$2:$I$650,3,FALSE)," ",VLOOKUP(B47,Competitors!$A$2:$I$650,2,FALSE))))</f>
        <v/>
      </c>
      <c r="I47" s="51">
        <f t="shared" si="1"/>
        <v>0</v>
      </c>
      <c r="J47" t="str">
        <f t="shared" si="2"/>
        <v/>
      </c>
    </row>
    <row r="48" spans="1:10" ht="15">
      <c r="A48" s="46"/>
      <c r="B48" s="47" t="str">
        <f t="shared" si="3"/>
        <v/>
      </c>
      <c r="C48" s="59"/>
      <c r="D48" s="59"/>
      <c r="E48" s="59"/>
      <c r="F48" s="49"/>
      <c r="G48" s="59"/>
      <c r="H48" s="50" t="str">
        <f>IF($B48="","",IF($J48="X",B48,CONCATENATE(VLOOKUP(B48,Competitors!$A$2:$I$650,3,FALSE)," ",VLOOKUP(B48,Competitors!$A$2:$I$650,2,FALSE))))</f>
        <v/>
      </c>
      <c r="I48" s="51">
        <f t="shared" si="1"/>
        <v>0</v>
      </c>
      <c r="J48" t="str">
        <f t="shared" si="2"/>
        <v/>
      </c>
    </row>
    <row r="49" spans="1:10" ht="15">
      <c r="A49" s="46"/>
      <c r="B49" s="47" t="str">
        <f t="shared" si="3"/>
        <v/>
      </c>
      <c r="C49" s="59"/>
      <c r="D49" s="59"/>
      <c r="E49" s="59"/>
      <c r="F49" s="49"/>
      <c r="G49" s="59"/>
      <c r="H49" s="50" t="str">
        <f>IF($B49="","",IF($J49="X",B49,CONCATENATE(VLOOKUP(B49,Competitors!$A$2:$I$650,3,FALSE)," ",VLOOKUP(B49,Competitors!$A$2:$I$650,2,FALSE))))</f>
        <v/>
      </c>
      <c r="I49" s="51">
        <f t="shared" si="1"/>
        <v>0</v>
      </c>
      <c r="J49" t="str">
        <f t="shared" si="2"/>
        <v/>
      </c>
    </row>
    <row r="50" spans="1:10" ht="15">
      <c r="A50" s="46"/>
      <c r="B50" s="47" t="str">
        <f t="shared" si="3"/>
        <v/>
      </c>
      <c r="C50" s="59"/>
      <c r="D50" s="59"/>
      <c r="E50" s="59"/>
      <c r="F50" s="49"/>
      <c r="G50" s="59"/>
      <c r="H50" s="50" t="str">
        <f>IF($B50="","",IF($J50="X",B50,CONCATENATE(VLOOKUP(B50,Competitors!$A$2:$I$650,3,FALSE)," ",VLOOKUP(B50,Competitors!$A$2:$I$650,2,FALSE))))</f>
        <v/>
      </c>
      <c r="I50" s="51">
        <f t="shared" si="1"/>
        <v>0</v>
      </c>
      <c r="J50" t="str">
        <f t="shared" si="2"/>
        <v/>
      </c>
    </row>
    <row r="51" spans="1:10" ht="15">
      <c r="A51" s="46"/>
      <c r="B51" s="47" t="str">
        <f t="shared" si="3"/>
        <v/>
      </c>
      <c r="C51" s="59"/>
      <c r="D51" s="59"/>
      <c r="E51" s="59"/>
      <c r="F51" s="49"/>
      <c r="G51" s="59"/>
      <c r="H51" s="50" t="str">
        <f>IF($B51="","",IF($J51="X",B51,CONCATENATE(VLOOKUP(B51,Competitors!$A$2:$I$650,3,FALSE)," ",VLOOKUP(B51,Competitors!$A$2:$I$650,2,FALSE))))</f>
        <v/>
      </c>
      <c r="I51" s="51">
        <f t="shared" si="1"/>
        <v>0</v>
      </c>
      <c r="J51" t="str">
        <f t="shared" si="2"/>
        <v/>
      </c>
    </row>
    <row r="52" spans="1:10" ht="15">
      <c r="A52" s="46"/>
      <c r="B52" s="47" t="str">
        <f t="shared" si="3"/>
        <v/>
      </c>
      <c r="C52" s="59"/>
      <c r="D52" s="59"/>
      <c r="E52" s="59"/>
      <c r="F52" s="49"/>
      <c r="G52" s="59"/>
      <c r="H52" s="50" t="str">
        <f>IF($B52="","",IF($J52="X",B52,CONCATENATE(VLOOKUP(B52,Competitors!$A$2:$I$650,3,FALSE)," ",VLOOKUP(B52,Competitors!$A$2:$I$650,2,FALSE))))</f>
        <v/>
      </c>
      <c r="I52" s="51">
        <f t="shared" si="1"/>
        <v>0</v>
      </c>
      <c r="J52" t="str">
        <f t="shared" si="2"/>
        <v/>
      </c>
    </row>
    <row r="53" spans="1:10" ht="15">
      <c r="A53" s="46"/>
      <c r="B53" s="47" t="str">
        <f t="shared" si="3"/>
        <v/>
      </c>
      <c r="C53" s="59"/>
      <c r="D53" s="59"/>
      <c r="E53" s="59"/>
      <c r="F53" s="49"/>
      <c r="G53" s="59"/>
      <c r="H53" s="50" t="str">
        <f>IF($B53="","",IF($J53="X",B53,CONCATENATE(VLOOKUP(B53,Competitors!$A$2:$I$650,3,FALSE)," ",VLOOKUP(B53,Competitors!$A$2:$I$650,2,FALSE))))</f>
        <v/>
      </c>
      <c r="I53" s="51">
        <f t="shared" si="1"/>
        <v>0</v>
      </c>
      <c r="J53" t="str">
        <f t="shared" si="2"/>
        <v/>
      </c>
    </row>
    <row r="54" spans="1:10" ht="15">
      <c r="A54" s="46"/>
      <c r="B54" s="47" t="str">
        <f t="shared" si="3"/>
        <v/>
      </c>
      <c r="C54" s="59"/>
      <c r="D54" s="59"/>
      <c r="E54" s="59"/>
      <c r="F54" s="49"/>
      <c r="G54" s="59"/>
      <c r="H54" s="50" t="str">
        <f>IF($B54="","",IF($J54="X",B54,CONCATENATE(VLOOKUP(B54,Competitors!$A$2:$I$650,3,FALSE)," ",VLOOKUP(B54,Competitors!$A$2:$I$650,2,FALSE))))</f>
        <v/>
      </c>
      <c r="I54" s="51">
        <f t="shared" si="1"/>
        <v>0</v>
      </c>
      <c r="J54" t="str">
        <f t="shared" si="2"/>
        <v/>
      </c>
    </row>
    <row r="55" spans="1:10" ht="15">
      <c r="A55" s="46"/>
      <c r="B55" s="47" t="str">
        <f t="shared" si="3"/>
        <v/>
      </c>
      <c r="C55" s="59"/>
      <c r="D55" s="59"/>
      <c r="E55" s="59"/>
      <c r="F55" s="49"/>
      <c r="G55" s="59"/>
      <c r="H55" s="50" t="str">
        <f>IF($B55="","",IF($J55="X",B55,CONCATENATE(VLOOKUP(B55,Competitors!$A$2:$I$650,3,FALSE)," ",VLOOKUP(B55,Competitors!$A$2:$I$650,2,FALSE))))</f>
        <v/>
      </c>
      <c r="I55" s="51">
        <f t="shared" si="1"/>
        <v>0</v>
      </c>
      <c r="J55" t="str">
        <f t="shared" si="2"/>
        <v/>
      </c>
    </row>
    <row r="56" spans="1:10" ht="15">
      <c r="A56" s="46"/>
      <c r="B56" s="47" t="str">
        <f t="shared" si="3"/>
        <v/>
      </c>
      <c r="C56" s="59"/>
      <c r="D56" s="59"/>
      <c r="E56" s="59"/>
      <c r="F56" s="49"/>
      <c r="G56" s="59"/>
      <c r="H56" s="50" t="str">
        <f>IF($B56="","",IF($J56="X",B56,CONCATENATE(VLOOKUP(B56,Competitors!$A$2:$I$650,3,FALSE)," ",VLOOKUP(B56,Competitors!$A$2:$I$650,2,FALSE))))</f>
        <v/>
      </c>
      <c r="I56" s="51">
        <f t="shared" si="1"/>
        <v>0</v>
      </c>
      <c r="J56" t="str">
        <f t="shared" si="2"/>
        <v/>
      </c>
    </row>
    <row r="57" spans="1:10" ht="15">
      <c r="A57" s="46"/>
      <c r="B57" s="47" t="str">
        <f t="shared" si="3"/>
        <v/>
      </c>
      <c r="C57" s="59"/>
      <c r="D57" s="59"/>
      <c r="E57" s="59"/>
      <c r="F57" s="49"/>
      <c r="G57" s="59"/>
      <c r="H57" s="50" t="str">
        <f>IF($B57="","",IF($J57="X",B57,CONCATENATE(VLOOKUP(B57,Competitors!$A$2:$I$650,3,FALSE)," ",VLOOKUP(B57,Competitors!$A$2:$I$650,2,FALSE))))</f>
        <v/>
      </c>
      <c r="I57" s="51">
        <f t="shared" si="1"/>
        <v>0</v>
      </c>
      <c r="J57" t="str">
        <f t="shared" si="2"/>
        <v/>
      </c>
    </row>
    <row r="58" spans="1:10" ht="15">
      <c r="A58" s="46"/>
      <c r="B58" s="47" t="str">
        <f t="shared" si="3"/>
        <v/>
      </c>
      <c r="C58" s="59"/>
      <c r="D58" s="59"/>
      <c r="E58" s="59"/>
      <c r="F58" s="49"/>
      <c r="G58" s="59"/>
      <c r="H58" s="50" t="str">
        <f>IF($B58="","",IF($J58="X",B58,CONCATENATE(VLOOKUP(B58,Competitors!$A$2:$I$650,3,FALSE)," ",VLOOKUP(B58,Competitors!$A$2:$I$650,2,FALSE))))</f>
        <v/>
      </c>
      <c r="I58" s="51">
        <f t="shared" si="1"/>
        <v>0</v>
      </c>
      <c r="J58" t="str">
        <f t="shared" si="2"/>
        <v/>
      </c>
    </row>
    <row r="59" spans="1:10" ht="15">
      <c r="A59" s="46"/>
      <c r="B59" s="47" t="str">
        <f t="shared" si="3"/>
        <v/>
      </c>
      <c r="C59" s="59"/>
      <c r="D59" s="59"/>
      <c r="E59" s="59"/>
      <c r="F59" s="49"/>
      <c r="G59" s="59"/>
      <c r="H59" s="50" t="str">
        <f>IF($B59="","",IF($J59="X",B59,CONCATENATE(VLOOKUP(B59,Competitors!$A$2:$I$650,3,FALSE)," ",VLOOKUP(B59,Competitors!$A$2:$I$650,2,FALSE))))</f>
        <v/>
      </c>
      <c r="I59" s="51">
        <f t="shared" si="1"/>
        <v>0</v>
      </c>
      <c r="J59" t="str">
        <f t="shared" si="2"/>
        <v/>
      </c>
    </row>
    <row r="60" spans="1:10" ht="15">
      <c r="A60" s="46"/>
      <c r="B60" s="47" t="str">
        <f t="shared" si="3"/>
        <v/>
      </c>
      <c r="C60" s="59"/>
      <c r="D60" s="59"/>
      <c r="E60" s="59"/>
      <c r="F60" s="49"/>
      <c r="G60" s="59"/>
      <c r="H60" s="50" t="str">
        <f>IF($B60="","",IF($J60="X",B60,CONCATENATE(VLOOKUP(B60,Competitors!$A$2:$I$650,3,FALSE)," ",VLOOKUP(B60,Competitors!$A$2:$I$650,2,FALSE))))</f>
        <v/>
      </c>
      <c r="I60" s="51">
        <f t="shared" si="1"/>
        <v>0</v>
      </c>
      <c r="J60" t="str">
        <f t="shared" si="2"/>
        <v/>
      </c>
    </row>
    <row r="61" spans="1:10" ht="15">
      <c r="A61" s="46"/>
      <c r="B61" s="47" t="str">
        <f t="shared" si="3"/>
        <v/>
      </c>
      <c r="C61" s="59"/>
      <c r="D61" s="59"/>
      <c r="E61" s="59"/>
      <c r="F61" s="49"/>
      <c r="G61" s="59"/>
      <c r="H61" s="50" t="str">
        <f>IF($B61="","",IF($J61="X",B61,CONCATENATE(VLOOKUP(B61,Competitors!$A$2:$I$650,3,FALSE)," ",VLOOKUP(B61,Competitors!$A$2:$I$650,2,FALSE))))</f>
        <v/>
      </c>
      <c r="I61" s="51">
        <f t="shared" si="1"/>
        <v>0</v>
      </c>
      <c r="J61" t="str">
        <f t="shared" si="2"/>
        <v/>
      </c>
    </row>
    <row r="62" spans="1:10" ht="15">
      <c r="A62" s="46"/>
      <c r="B62" s="47" t="str">
        <f t="shared" si="3"/>
        <v/>
      </c>
      <c r="C62" s="59"/>
      <c r="D62" s="59"/>
      <c r="E62" s="59"/>
      <c r="F62" s="49"/>
      <c r="G62" s="59"/>
      <c r="H62" s="50" t="str">
        <f>IF($B62="","",IF($J62="X",B62,CONCATENATE(VLOOKUP(B62,Competitors!$A$2:$I$650,3,FALSE)," ",VLOOKUP(B62,Competitors!$A$2:$I$650,2,FALSE))))</f>
        <v/>
      </c>
      <c r="I62" s="51">
        <f t="shared" si="1"/>
        <v>0</v>
      </c>
      <c r="J62" t="str">
        <f t="shared" si="2"/>
        <v/>
      </c>
    </row>
    <row r="63" spans="1:10" ht="15">
      <c r="A63" s="46"/>
      <c r="B63" s="47" t="str">
        <f t="shared" si="3"/>
        <v/>
      </c>
      <c r="C63" s="59"/>
      <c r="D63" s="59"/>
      <c r="E63" s="59"/>
      <c r="F63" s="49"/>
      <c r="G63" s="59"/>
      <c r="H63" s="50" t="str">
        <f>IF($B63="","",IF($J63="X",B63,CONCATENATE(VLOOKUP(B63,Competitors!$A$2:$I$650,3,FALSE)," ",VLOOKUP(B63,Competitors!$A$2:$I$650,2,FALSE))))</f>
        <v/>
      </c>
      <c r="I63" s="51">
        <f t="shared" si="1"/>
        <v>0</v>
      </c>
      <c r="J63" t="str">
        <f t="shared" si="2"/>
        <v/>
      </c>
    </row>
    <row r="64" spans="1:10" ht="15">
      <c r="A64" s="46"/>
      <c r="B64" s="47" t="str">
        <f t="shared" si="3"/>
        <v/>
      </c>
      <c r="C64" s="59"/>
      <c r="D64" s="59"/>
      <c r="E64" s="59"/>
      <c r="F64" s="49"/>
      <c r="G64" s="59"/>
      <c r="H64" s="50" t="str">
        <f>IF($B64="","",IF($J64="X",B64,CONCATENATE(VLOOKUP(B64,Competitors!$A$2:$I$650,3,FALSE)," ",VLOOKUP(B64,Competitors!$A$2:$I$650,2,FALSE))))</f>
        <v/>
      </c>
      <c r="I64" s="51">
        <f t="shared" si="1"/>
        <v>0</v>
      </c>
      <c r="J64" t="str">
        <f t="shared" si="2"/>
        <v/>
      </c>
    </row>
    <row r="65" spans="1:10" ht="15">
      <c r="A65" s="46"/>
      <c r="B65" s="47" t="str">
        <f t="shared" si="3"/>
        <v/>
      </c>
      <c r="C65" s="59"/>
      <c r="D65" s="59"/>
      <c r="E65" s="59"/>
      <c r="F65" s="49"/>
      <c r="G65" s="59"/>
      <c r="H65" s="50" t="str">
        <f>IF($B65="","",IF($J65="X",B65,CONCATENATE(VLOOKUP(B65,Competitors!$A$2:$I$650,3,FALSE)," ",VLOOKUP(B65,Competitors!$A$2:$I$650,2,FALSE))))</f>
        <v/>
      </c>
      <c r="I65" s="51">
        <f t="shared" si="1"/>
        <v>0</v>
      </c>
      <c r="J65" t="str">
        <f t="shared" si="2"/>
        <v/>
      </c>
    </row>
    <row r="66" spans="1:10" ht="15">
      <c r="A66" s="46"/>
      <c r="B66" s="47" t="str">
        <f t="shared" si="3"/>
        <v/>
      </c>
      <c r="C66" s="59"/>
      <c r="D66" s="59"/>
      <c r="E66" s="59"/>
      <c r="F66" s="49"/>
      <c r="G66" s="5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59"/>
      <c r="D67" s="59"/>
      <c r="E67" s="59"/>
      <c r="F67" s="49"/>
      <c r="G67" s="59"/>
      <c r="H67" s="50" t="str">
        <f>IF($B67="","",IF($J67="X",B67,CONCATENATE(VLOOKUP(B67,Competitors!$A$2:$I$650,3,FALSE)," ",VLOOKUP(B67,Competitors!$A$2:$I$650,2,FALSE))))</f>
        <v/>
      </c>
      <c r="I67" s="51">
        <f t="shared" si="4"/>
        <v>0</v>
      </c>
      <c r="J67" t="str">
        <f t="shared" si="5"/>
        <v/>
      </c>
    </row>
    <row r="68" spans="1:10" ht="15">
      <c r="A68" s="46"/>
      <c r="B68" s="47" t="str">
        <f t="shared" si="3"/>
        <v/>
      </c>
      <c r="C68" s="59"/>
      <c r="D68" s="59"/>
      <c r="E68" s="59"/>
      <c r="F68" s="49"/>
      <c r="G68" s="59"/>
      <c r="H68" s="50" t="str">
        <f>IF($B68="","",IF($J68="X",B68,CONCATENATE(VLOOKUP(B68,Competitors!$A$2:$I$650,3,FALSE)," ",VLOOKUP(B68,Competitors!$A$2:$I$650,2,FALSE))))</f>
        <v/>
      </c>
      <c r="I68" s="51">
        <f t="shared" si="4"/>
        <v>0</v>
      </c>
      <c r="J68" t="str">
        <f t="shared" si="5"/>
        <v/>
      </c>
    </row>
    <row r="69" spans="1:10" ht="15">
      <c r="A69" s="46"/>
      <c r="B69" s="47" t="str">
        <f t="shared" si="3"/>
        <v/>
      </c>
      <c r="C69" s="59"/>
      <c r="D69" s="59"/>
      <c r="E69" s="59"/>
      <c r="F69" s="49"/>
      <c r="G69" s="59"/>
      <c r="H69" s="50" t="str">
        <f>IF($B69="","",IF($J69="X",B69,CONCATENATE(VLOOKUP(B69,Competitors!$A$2:$I$650,3,FALSE)," ",VLOOKUP(B69,Competitors!$A$2:$I$650,2,FALSE))))</f>
        <v/>
      </c>
      <c r="I69" s="51">
        <f t="shared" si="4"/>
        <v>0</v>
      </c>
      <c r="J69" t="str">
        <f t="shared" si="5"/>
        <v/>
      </c>
    </row>
    <row r="70" spans="1:10" ht="15">
      <c r="A70" s="46"/>
      <c r="B70" s="47" t="str">
        <f t="shared" si="3"/>
        <v/>
      </c>
      <c r="C70" s="59"/>
      <c r="D70" s="59"/>
      <c r="E70" s="59"/>
      <c r="F70" s="49"/>
      <c r="G70" s="59"/>
      <c r="H70" s="50" t="str">
        <f>IF($B70="","",IF($J70="X",B70,CONCATENATE(VLOOKUP(B70,Competitors!$A$2:$I$650,3,FALSE)," ",VLOOKUP(B70,Competitors!$A$2:$I$650,2,FALSE))))</f>
        <v/>
      </c>
      <c r="I70" s="51">
        <f t="shared" si="4"/>
        <v>0</v>
      </c>
      <c r="J70" t="str">
        <f t="shared" si="5"/>
        <v/>
      </c>
    </row>
    <row r="71" spans="1:10" ht="15">
      <c r="A71" s="46"/>
      <c r="B71" s="47" t="str">
        <f t="shared" si="3"/>
        <v/>
      </c>
      <c r="C71" s="59"/>
      <c r="D71" s="59"/>
      <c r="E71" s="59"/>
      <c r="F71" s="49"/>
      <c r="G71" s="59"/>
      <c r="H71" s="50" t="str">
        <f>IF($B71="","",IF($J71="X",B71,CONCATENATE(VLOOKUP(B71,Competitors!$A$2:$I$650,3,FALSE)," ",VLOOKUP(B71,Competitors!$A$2:$I$650,2,FALSE))))</f>
        <v/>
      </c>
      <c r="I71" s="51">
        <f t="shared" si="4"/>
        <v>0</v>
      </c>
      <c r="J71" t="str">
        <f t="shared" si="5"/>
        <v/>
      </c>
    </row>
    <row r="72" spans="1:10" ht="15">
      <c r="A72" s="46"/>
      <c r="B72" s="47" t="str">
        <f t="shared" si="3"/>
        <v/>
      </c>
      <c r="C72" s="59"/>
      <c r="D72" s="59"/>
      <c r="E72" s="59"/>
      <c r="F72" s="49"/>
      <c r="G72" s="59"/>
      <c r="H72" s="50" t="str">
        <f>IF($B72="","",IF($J72="X",B72,CONCATENATE(VLOOKUP(B72,Competitors!$A$2:$I$650,3,FALSE)," ",VLOOKUP(B72,Competitors!$A$2:$I$650,2,FALSE))))</f>
        <v/>
      </c>
      <c r="I72" s="51">
        <f t="shared" si="4"/>
        <v>0</v>
      </c>
      <c r="J72" t="str">
        <f t="shared" si="5"/>
        <v/>
      </c>
    </row>
    <row r="73" spans="1:10" ht="15">
      <c r="A73" s="46"/>
      <c r="B73" s="47" t="str">
        <f t="shared" si="3"/>
        <v/>
      </c>
      <c r="C73" s="59"/>
      <c r="D73" s="59"/>
      <c r="E73" s="59"/>
      <c r="F73" s="49"/>
      <c r="G73" s="59"/>
      <c r="H73" s="50" t="str">
        <f>IF($B73="","",IF($J73="X",B73,CONCATENATE(VLOOKUP(B73,Competitors!$A$2:$I$650,3,FALSE)," ",VLOOKUP(B73,Competitors!$A$2:$I$650,2,FALSE))))</f>
        <v/>
      </c>
      <c r="I73" s="51">
        <f t="shared" si="4"/>
        <v>0</v>
      </c>
      <c r="J73" t="str">
        <f t="shared" si="5"/>
        <v/>
      </c>
    </row>
    <row r="74" spans="1:10" ht="15">
      <c r="A74" s="46"/>
      <c r="B74" s="47" t="str">
        <f t="shared" si="3"/>
        <v/>
      </c>
      <c r="C74" s="59"/>
      <c r="D74" s="59"/>
      <c r="E74" s="59"/>
      <c r="F74" s="49"/>
      <c r="G74" s="59"/>
      <c r="H74" s="50" t="str">
        <f>IF($B74="","",IF($J74="X",B74,CONCATENATE(VLOOKUP(B74,Competitors!$A$2:$I$650,3,FALSE)," ",VLOOKUP(B74,Competitors!$A$2:$I$650,2,FALSE))))</f>
        <v/>
      </c>
      <c r="I74" s="51">
        <f t="shared" si="4"/>
        <v>0</v>
      </c>
      <c r="J74" t="str">
        <f t="shared" si="5"/>
        <v/>
      </c>
    </row>
    <row r="75" spans="1:10" ht="15">
      <c r="A75" s="46"/>
      <c r="B75" s="47" t="str">
        <f t="shared" si="3"/>
        <v/>
      </c>
      <c r="C75" s="59"/>
      <c r="D75" s="59"/>
      <c r="E75" s="59"/>
      <c r="F75" s="49"/>
      <c r="G75" s="59"/>
      <c r="H75" s="50" t="str">
        <f>IF($B75="","",IF($J75="X",B75,CONCATENATE(VLOOKUP(B75,Competitors!$A$2:$I$650,3,FALSE)," ",VLOOKUP(B75,Competitors!$A$2:$I$650,2,FALSE))))</f>
        <v/>
      </c>
      <c r="I75" s="51">
        <f t="shared" si="4"/>
        <v>0</v>
      </c>
      <c r="J75" t="str">
        <f t="shared" si="5"/>
        <v/>
      </c>
    </row>
    <row r="76" spans="1:10" ht="15">
      <c r="A76" s="46"/>
      <c r="B76" s="47" t="str">
        <f t="shared" si="3"/>
        <v/>
      </c>
      <c r="C76" s="59"/>
      <c r="D76" s="59"/>
      <c r="E76" s="59"/>
      <c r="F76" s="49"/>
      <c r="G76" s="59"/>
      <c r="H76" s="50" t="str">
        <f>IF($B76="","",IF($J76="X",B76,CONCATENATE(VLOOKUP(B76,Competitors!$A$2:$I$650,3,FALSE)," ",VLOOKUP(B76,Competitors!$A$2:$I$650,2,FALSE))))</f>
        <v/>
      </c>
      <c r="I76" s="51">
        <f t="shared" si="4"/>
        <v>0</v>
      </c>
      <c r="J76" t="str">
        <f t="shared" si="5"/>
        <v/>
      </c>
    </row>
    <row r="77" spans="1:10" ht="15">
      <c r="A77" s="46"/>
      <c r="B77" s="47" t="str">
        <f t="shared" si="3"/>
        <v/>
      </c>
      <c r="C77" s="59"/>
      <c r="D77" s="59"/>
      <c r="E77" s="59"/>
      <c r="F77" s="49"/>
      <c r="G77" s="59"/>
      <c r="H77" s="50" t="str">
        <f>IF($B77="","",IF($J77="X",B77,CONCATENATE(VLOOKUP(B77,Competitors!$A$2:$I$650,3,FALSE)," ",VLOOKUP(B77,Competitors!$A$2:$I$650,2,FALSE))))</f>
        <v/>
      </c>
      <c r="I77" s="51">
        <f t="shared" si="4"/>
        <v>0</v>
      </c>
      <c r="J77" t="str">
        <f t="shared" si="5"/>
        <v/>
      </c>
    </row>
    <row r="78" spans="1:10" ht="15">
      <c r="A78" s="46"/>
      <c r="B78" s="47" t="str">
        <f t="shared" si="3"/>
        <v/>
      </c>
      <c r="C78" s="59"/>
      <c r="D78" s="59"/>
      <c r="E78" s="59"/>
      <c r="F78" s="49"/>
      <c r="G78" s="59"/>
      <c r="H78" s="50" t="str">
        <f>IF($B78="","",IF($J78="X",B78,CONCATENATE(VLOOKUP(B78,Competitors!$A$2:$I$650,3,FALSE)," ",VLOOKUP(B78,Competitors!$A$2:$I$650,2,FALSE))))</f>
        <v/>
      </c>
      <c r="I78" s="51">
        <f t="shared" si="4"/>
        <v>0</v>
      </c>
      <c r="J78" t="str">
        <f t="shared" si="5"/>
        <v/>
      </c>
    </row>
    <row r="79" spans="1:10" ht="15">
      <c r="A79" s="46"/>
      <c r="B79" s="47" t="str">
        <f t="shared" si="3"/>
        <v/>
      </c>
      <c r="C79" s="59"/>
      <c r="D79" s="59"/>
      <c r="E79" s="59"/>
      <c r="F79" s="49"/>
      <c r="G79" s="59"/>
      <c r="H79" s="50" t="str">
        <f>IF($B79="","",IF($J79="X",B79,CONCATENATE(VLOOKUP(B79,Competitors!$A$2:$I$650,3,FALSE)," ",VLOOKUP(B79,Competitors!$A$2:$I$650,2,FALSE))))</f>
        <v/>
      </c>
      <c r="I79" s="51">
        <f t="shared" si="4"/>
        <v>0</v>
      </c>
      <c r="J79" t="str">
        <f t="shared" si="5"/>
        <v/>
      </c>
    </row>
    <row r="80" spans="1:10" ht="15">
      <c r="A80" s="46"/>
      <c r="B80" s="47" t="str">
        <f t="shared" si="3"/>
        <v/>
      </c>
      <c r="C80" s="59"/>
      <c r="D80" s="59"/>
      <c r="E80" s="59"/>
      <c r="F80" s="49"/>
      <c r="G80" s="59"/>
      <c r="H80" s="50" t="str">
        <f>IF($B80="","",IF($J80="X",B80,CONCATENATE(VLOOKUP(B80,Competitors!$A$2:$I$650,3,FALSE)," ",VLOOKUP(B80,Competitors!$A$2:$I$650,2,FALSE))))</f>
        <v/>
      </c>
      <c r="I80" s="51">
        <f t="shared" si="4"/>
        <v>0</v>
      </c>
      <c r="J80" t="str">
        <f t="shared" si="5"/>
        <v/>
      </c>
    </row>
    <row r="81" spans="1:10" ht="15">
      <c r="A81" s="46"/>
      <c r="B81" s="47" t="str">
        <f t="shared" si="3"/>
        <v/>
      </c>
      <c r="C81" s="59"/>
      <c r="D81" s="59"/>
      <c r="E81" s="59"/>
      <c r="F81" s="49"/>
      <c r="G81" s="59"/>
      <c r="H81" s="50" t="str">
        <f>IF($B81="","",IF($J81="X",B81,CONCATENATE(VLOOKUP(B81,Competitors!$A$2:$I$650,3,FALSE)," ",VLOOKUP(B81,Competitors!$A$2:$I$650,2,FALSE))))</f>
        <v/>
      </c>
      <c r="I81" s="51">
        <f t="shared" si="4"/>
        <v>0</v>
      </c>
      <c r="J81" t="str">
        <f t="shared" si="5"/>
        <v/>
      </c>
    </row>
    <row r="82" spans="1:10" ht="15">
      <c r="A82" s="46"/>
      <c r="B82" s="47" t="str">
        <f t="shared" si="3"/>
        <v/>
      </c>
      <c r="C82" s="59"/>
      <c r="D82" s="59"/>
      <c r="E82" s="59"/>
      <c r="F82" s="49"/>
      <c r="G82" s="59"/>
      <c r="H82" s="50" t="str">
        <f>IF($B82="","",IF($J82="X",B82,CONCATENATE(VLOOKUP(B82,Competitors!$A$2:$I$650,3,FALSE)," ",VLOOKUP(B82,Competitors!$A$2:$I$650,2,FALSE))))</f>
        <v/>
      </c>
      <c r="I82" s="51">
        <f t="shared" si="4"/>
        <v>0</v>
      </c>
      <c r="J82" t="str">
        <f t="shared" si="5"/>
        <v/>
      </c>
    </row>
    <row r="83" spans="1:10" ht="15">
      <c r="A83" s="46"/>
      <c r="B83" s="47" t="str">
        <f t="shared" si="3"/>
        <v/>
      </c>
      <c r="C83" s="59"/>
      <c r="D83" s="59"/>
      <c r="E83" s="59"/>
      <c r="F83" s="49"/>
      <c r="G83" s="59"/>
      <c r="H83" s="50" t="str">
        <f>IF($B83="","",IF($J83="X",B83,CONCATENATE(VLOOKUP(B83,Competitors!$A$2:$I$650,3,FALSE)," ",VLOOKUP(B83,Competitors!$A$2:$I$650,2,FALSE))))</f>
        <v/>
      </c>
      <c r="I83" s="51">
        <f t="shared" si="4"/>
        <v>0</v>
      </c>
      <c r="J83" t="str">
        <f t="shared" si="5"/>
        <v/>
      </c>
    </row>
    <row r="84" spans="1:10" ht="15">
      <c r="A84" s="46"/>
      <c r="B84" s="47" t="str">
        <f t="shared" si="3"/>
        <v/>
      </c>
      <c r="C84" s="59"/>
      <c r="D84" s="59"/>
      <c r="E84" s="59"/>
      <c r="F84" s="49"/>
      <c r="G84" s="59"/>
      <c r="H84" s="50" t="str">
        <f>IF($B84="","",IF($J84="X",B84,CONCATENATE(VLOOKUP(B84,Competitors!$A$2:$I$650,3,FALSE)," ",VLOOKUP(B84,Competitors!$A$2:$I$650,2,FALSE))))</f>
        <v/>
      </c>
      <c r="I84" s="51">
        <f t="shared" si="4"/>
        <v>0</v>
      </c>
      <c r="J84" t="str">
        <f t="shared" si="5"/>
        <v/>
      </c>
    </row>
    <row r="85" spans="1:10" ht="15">
      <c r="A85" s="46"/>
      <c r="B85" s="47" t="str">
        <f t="shared" si="3"/>
        <v/>
      </c>
      <c r="C85" s="59"/>
      <c r="D85" s="59"/>
      <c r="E85" s="59"/>
      <c r="F85" s="49"/>
      <c r="G85" s="59"/>
      <c r="H85" s="50" t="str">
        <f>IF($B85="","",IF($J85="X",B85,CONCATENATE(VLOOKUP(B85,Competitors!$A$2:$I$650,3,FALSE)," ",VLOOKUP(B85,Competitors!$A$2:$I$650,2,FALSE))))</f>
        <v/>
      </c>
      <c r="I85" s="51">
        <f t="shared" si="4"/>
        <v>0</v>
      </c>
      <c r="J85" t="str">
        <f t="shared" si="5"/>
        <v/>
      </c>
    </row>
    <row r="86" spans="1:10" ht="15">
      <c r="A86" s="46"/>
      <c r="B86" s="47" t="str">
        <f t="shared" si="3"/>
        <v/>
      </c>
      <c r="C86" s="59"/>
      <c r="D86" s="59"/>
      <c r="E86" s="59"/>
      <c r="F86" s="49"/>
      <c r="G86" s="59"/>
      <c r="H86" s="50" t="str">
        <f>IF($B86="","",IF($J86="X",B86,CONCATENATE(VLOOKUP(B86,Competitors!$A$2:$I$650,3,FALSE)," ",VLOOKUP(B86,Competitors!$A$2:$I$650,2,FALSE))))</f>
        <v/>
      </c>
      <c r="I86" s="51">
        <f t="shared" si="4"/>
        <v>0</v>
      </c>
      <c r="J86" t="str">
        <f t="shared" si="5"/>
        <v/>
      </c>
    </row>
    <row r="87" spans="1:10" ht="15">
      <c r="A87" s="46"/>
      <c r="B87" s="47" t="str">
        <f t="shared" si="3"/>
        <v/>
      </c>
      <c r="C87" s="59"/>
      <c r="D87" s="59"/>
      <c r="E87" s="59"/>
      <c r="F87" s="49"/>
      <c r="G87" s="59"/>
      <c r="H87" s="50" t="str">
        <f>IF($B87="","",IF($J87="X",B87,CONCATENATE(VLOOKUP(B87,Competitors!$A$2:$I$650,3,FALSE)," ",VLOOKUP(B87,Competitors!$A$2:$I$650,2,FALSE))))</f>
        <v/>
      </c>
      <c r="I87" s="51">
        <f t="shared" si="4"/>
        <v>0</v>
      </c>
      <c r="J87" t="str">
        <f t="shared" si="5"/>
        <v/>
      </c>
    </row>
    <row r="88" spans="1:10" ht="15">
      <c r="A88" s="46"/>
      <c r="B88" s="47" t="str">
        <f t="shared" si="3"/>
        <v/>
      </c>
      <c r="C88" s="59"/>
      <c r="D88" s="59"/>
      <c r="E88" s="59"/>
      <c r="F88" s="49"/>
      <c r="G88" s="59"/>
      <c r="H88" s="50" t="str">
        <f>IF($B88="","",IF($J88="X",B88,CONCATENATE(VLOOKUP(B88,Competitors!$A$2:$I$650,3,FALSE)," ",VLOOKUP(B88,Competitors!$A$2:$I$650,2,FALSE))))</f>
        <v/>
      </c>
      <c r="I88" s="51">
        <f t="shared" si="4"/>
        <v>0</v>
      </c>
      <c r="J88" t="str">
        <f t="shared" si="5"/>
        <v/>
      </c>
    </row>
    <row r="89" spans="1:10" ht="15">
      <c r="A89" s="46"/>
      <c r="B89" s="47" t="str">
        <f t="shared" si="3"/>
        <v/>
      </c>
      <c r="C89" s="59"/>
      <c r="D89" s="59"/>
      <c r="E89" s="59"/>
      <c r="F89" s="49"/>
      <c r="G89" s="59"/>
      <c r="H89" s="50" t="str">
        <f>IF($B89="","",IF($J89="X",B89,CONCATENATE(VLOOKUP(B89,Competitors!$A$2:$I$650,3,FALSE)," ",VLOOKUP(B89,Competitors!$A$2:$I$650,2,FALSE))))</f>
        <v/>
      </c>
      <c r="I89" s="51">
        <f t="shared" si="4"/>
        <v>0</v>
      </c>
      <c r="J89" t="str">
        <f t="shared" si="5"/>
        <v/>
      </c>
    </row>
    <row r="90" spans="1:10" ht="15">
      <c r="A90" s="46"/>
      <c r="B90" s="47" t="str">
        <f t="shared" si="3"/>
        <v/>
      </c>
      <c r="C90" s="59"/>
      <c r="D90" s="59"/>
      <c r="E90" s="59"/>
      <c r="F90" s="49"/>
      <c r="G90" s="59"/>
      <c r="H90" s="50" t="str">
        <f>IF($B90="","",IF($J90="X",B90,CONCATENATE(VLOOKUP(B90,Competitors!$A$2:$I$650,3,FALSE)," ",VLOOKUP(B90,Competitors!$A$2:$I$650,2,FALSE))))</f>
        <v/>
      </c>
      <c r="I90" s="51">
        <f t="shared" si="4"/>
        <v>0</v>
      </c>
      <c r="J90" t="str">
        <f t="shared" si="5"/>
        <v/>
      </c>
    </row>
    <row r="91" spans="1:10" ht="15">
      <c r="A91" s="46"/>
      <c r="B91" s="47" t="str">
        <f t="shared" si="3"/>
        <v/>
      </c>
      <c r="C91" s="59"/>
      <c r="D91" s="59"/>
      <c r="E91" s="59"/>
      <c r="F91" s="49"/>
      <c r="G91" s="59"/>
      <c r="H91" s="50" t="str">
        <f>IF($B91="","",IF($J91="X",B91,CONCATENATE(VLOOKUP(B91,Competitors!$A$2:$I$650,3,FALSE)," ",VLOOKUP(B91,Competitors!$A$2:$I$650,2,FALSE))))</f>
        <v/>
      </c>
      <c r="I91" s="51">
        <f t="shared" si="4"/>
        <v>0</v>
      </c>
      <c r="J91" t="str">
        <f t="shared" si="5"/>
        <v/>
      </c>
    </row>
    <row r="92" spans="1:10" ht="15">
      <c r="A92" s="46"/>
      <c r="B92" s="47" t="str">
        <f t="shared" si="3"/>
        <v/>
      </c>
      <c r="C92" s="59"/>
      <c r="D92" s="59"/>
      <c r="E92" s="59"/>
      <c r="F92" s="49"/>
      <c r="G92" s="59"/>
      <c r="H92" s="50" t="str">
        <f>IF($B92="","",IF($J92="X",B92,CONCATENATE(VLOOKUP(B92,Competitors!$A$2:$I$650,3,FALSE)," ",VLOOKUP(B92,Competitors!$A$2:$I$650,2,FALSE))))</f>
        <v/>
      </c>
      <c r="I92" s="51">
        <f t="shared" si="4"/>
        <v>0</v>
      </c>
      <c r="J92" t="str">
        <f t="shared" si="5"/>
        <v/>
      </c>
    </row>
    <row r="93" spans="1:10" ht="15">
      <c r="A93" s="46"/>
      <c r="B93" s="47" t="str">
        <f t="shared" si="3"/>
        <v/>
      </c>
      <c r="C93" s="59"/>
      <c r="D93" s="59"/>
      <c r="E93" s="59"/>
      <c r="F93" s="49"/>
      <c r="G93" s="59"/>
      <c r="H93" s="50" t="str">
        <f>IF($B93="","",IF($J93="X",B93,CONCATENATE(VLOOKUP(B93,Competitors!$A$2:$I$650,3,FALSE)," ",VLOOKUP(B93,Competitors!$A$2:$I$650,2,FALSE))))</f>
        <v/>
      </c>
      <c r="I93" s="51">
        <f t="shared" si="4"/>
        <v>0</v>
      </c>
      <c r="J93" t="str">
        <f t="shared" si="5"/>
        <v/>
      </c>
    </row>
    <row r="94" spans="1:10" ht="15">
      <c r="A94" s="46"/>
      <c r="B94" s="47" t="str">
        <f t="shared" si="3"/>
        <v/>
      </c>
      <c r="C94" s="59"/>
      <c r="D94" s="59"/>
      <c r="E94" s="59"/>
      <c r="F94" s="49"/>
      <c r="G94" s="59"/>
      <c r="H94" s="50" t="str">
        <f>IF($B94="","",IF($J94="X",B94,CONCATENATE(VLOOKUP(B94,Competitors!$A$2:$I$650,3,FALSE)," ",VLOOKUP(B94,Competitors!$A$2:$I$650,2,FALSE))))</f>
        <v/>
      </c>
      <c r="I94" s="51">
        <f t="shared" si="4"/>
        <v>0</v>
      </c>
      <c r="J94" t="str">
        <f t="shared" si="5"/>
        <v/>
      </c>
    </row>
    <row r="95" spans="1:10" ht="15">
      <c r="A95" s="46"/>
      <c r="B95" s="47" t="str">
        <f t="shared" si="3"/>
        <v/>
      </c>
      <c r="C95" s="59"/>
      <c r="D95" s="59"/>
      <c r="E95" s="59"/>
      <c r="F95" s="49"/>
      <c r="G95" s="59"/>
      <c r="H95" s="50" t="str">
        <f>IF($B95="","",IF($J95="X",B95,CONCATENATE(VLOOKUP(B95,Competitors!$A$2:$I$650,3,FALSE)," ",VLOOKUP(B95,Competitors!$A$2:$I$650,2,FALSE))))</f>
        <v/>
      </c>
      <c r="I95" s="51">
        <f t="shared" si="4"/>
        <v>0</v>
      </c>
      <c r="J95" t="str">
        <f t="shared" si="5"/>
        <v/>
      </c>
    </row>
    <row r="96" spans="1:10" ht="15">
      <c r="A96" s="46"/>
      <c r="B96" s="47" t="str">
        <f t="shared" si="3"/>
        <v/>
      </c>
      <c r="C96" s="59"/>
      <c r="D96" s="59"/>
      <c r="E96" s="59"/>
      <c r="F96" s="49"/>
      <c r="G96" s="59"/>
      <c r="H96" s="50" t="str">
        <f>IF($B96="","",IF($J96="X",B96,CONCATENATE(VLOOKUP(B96,Competitors!$A$2:$I$650,3,FALSE)," ",VLOOKUP(B96,Competitors!$A$2:$I$650,2,FALSE))))</f>
        <v/>
      </c>
      <c r="I96" s="51">
        <f t="shared" si="4"/>
        <v>0</v>
      </c>
      <c r="J96" t="str">
        <f t="shared" si="5"/>
        <v/>
      </c>
    </row>
    <row r="97" spans="1:10" ht="15">
      <c r="A97" s="46"/>
      <c r="B97" s="47" t="str">
        <f t="shared" si="3"/>
        <v/>
      </c>
      <c r="C97" s="59"/>
      <c r="D97" s="59"/>
      <c r="E97" s="59"/>
      <c r="F97" s="49"/>
      <c r="G97" s="5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59"/>
      <c r="D98" s="59"/>
      <c r="E98" s="59"/>
      <c r="F98" s="49"/>
      <c r="G98" s="5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59"/>
      <c r="D99" s="59"/>
      <c r="E99" s="59"/>
      <c r="F99" s="49"/>
      <c r="G99" s="5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59"/>
      <c r="D100" s="59"/>
      <c r="E100" s="59"/>
      <c r="F100" s="49"/>
      <c r="G100" s="5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59"/>
      <c r="D101" s="59"/>
      <c r="E101" s="59"/>
      <c r="F101" s="49"/>
      <c r="G101" s="5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Event_22</v>
      </c>
    </row>
    <row r="104" spans="1:10">
      <c r="B104" t="s">
        <v>552</v>
      </c>
      <c r="C104" t="str">
        <f ca="1">_xlfn.XLOOKUP(C103,Calendar!O:O,Calendar!H:H,"Event is not in calendar")</f>
        <v/>
      </c>
    </row>
  </sheetData>
  <conditionalFormatting sqref="E2:E101">
    <cfRule type="expression" dxfId="17" priority="3">
      <formula>TEXT($C$104,"@")="Y"</formula>
    </cfRule>
  </conditionalFormatting>
  <conditionalFormatting sqref="H2:I101">
    <cfRule type="expression" dxfId="16" priority="2">
      <formula>$J2="X"</formula>
    </cfRule>
  </conditionalFormatting>
  <conditionalFormatting sqref="I2:I101">
    <cfRule type="expression" dxfId="15" priority="1">
      <formula>TEXT($C$104,"@")="Y"</formula>
    </cfRule>
  </conditionalFormatting>
  <pageMargins left="0.7" right="0.7" top="0.75" bottom="0.75" header="0.3" footer="0.3"/>
  <pageSetup paperSize="9"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5"/>
  <dimension ref="A1:J104"/>
  <sheetViews>
    <sheetView workbookViewId="0">
      <selection activeCell="A26" sqref="A26"/>
    </sheetView>
    <sheetView workbookViewId="1"/>
  </sheetViews>
  <sheetFormatPr defaultColWidth="9.1328125" defaultRowHeight="12.75"/>
  <cols>
    <col min="1" max="1" width="24.6640625" bestFit="1" customWidth="1"/>
    <col min="2" max="2" width="36.53125" bestFit="1" customWidth="1"/>
    <col min="3" max="5" width="4.796875"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616</v>
      </c>
      <c r="B2" s="47">
        <f t="shared" ref="B2:B33" si="0">IF(A2="","",_xlfn.XLOOKUP(A2,ClubNames,ClubNumbers,_xlfn.XLOOKUP(A2,RoundRobinRiderNames,RoundRobinRiderDecoratedNames,A2)))</f>
        <v>990</v>
      </c>
      <c r="C2" s="48"/>
      <c r="D2" s="49">
        <v>34</v>
      </c>
      <c r="E2" s="49">
        <v>51</v>
      </c>
      <c r="F2" s="49" t="s">
        <v>544</v>
      </c>
      <c r="G2" s="49"/>
      <c r="H2" s="50" t="str">
        <f>IF($B2="","",IF($J2="X",B2,CONCATENATE(VLOOKUP(B2,Competitors!$A$2:$I$650,3, FALSE)," ",VLOOKUP(B2,Competitors!$A$2:$I$650,2,FALSE))))</f>
        <v>Jen Hulme</v>
      </c>
      <c r="I2" s="51">
        <f t="shared" ref="I2:I65" si="1">IF(LEFT($F2,1)="D",UPPER($F2),(C2*3600+D2*60+E2)/86400)</f>
        <v>2.420138888888889E-2</v>
      </c>
      <c r="J2" t="str">
        <f t="shared" ref="J2:J65" si="2">IF(OR(B2="",ISNUMBER(B2)),"","X")</f>
        <v/>
      </c>
    </row>
    <row r="3" spans="1:10" ht="15">
      <c r="A3" s="46" t="s">
        <v>514</v>
      </c>
      <c r="B3" s="47" t="str">
        <f t="shared" si="0"/>
        <v>Steve Pearce (Ratae)</v>
      </c>
      <c r="C3" s="48"/>
      <c r="D3" s="49">
        <v>28</v>
      </c>
      <c r="E3" s="49">
        <v>23</v>
      </c>
      <c r="F3" s="49"/>
      <c r="G3" s="49"/>
      <c r="H3" s="50" t="str">
        <f>IF($B3="","",IF($J3="X",B3,CONCATENATE(VLOOKUP(B3,Competitors!$A$2:$I$650,3,FALSE)," ",VLOOKUP(B3,Competitors!$A$2:$I$650,2,FALSE))))</f>
        <v>Steve Pearce (Ratae)</v>
      </c>
      <c r="I3" s="51">
        <f t="shared" si="1"/>
        <v>1.9710648148148147E-2</v>
      </c>
      <c r="J3" t="str">
        <f t="shared" si="2"/>
        <v>X</v>
      </c>
    </row>
    <row r="4" spans="1:10" ht="15">
      <c r="A4" s="46" t="s">
        <v>499</v>
      </c>
      <c r="B4" s="47" t="str">
        <f t="shared" si="0"/>
        <v>Alex Whitmore (Ratae)</v>
      </c>
      <c r="C4" s="48"/>
      <c r="D4" s="49">
        <v>23</v>
      </c>
      <c r="E4" s="49">
        <v>30</v>
      </c>
      <c r="F4" s="49" t="s">
        <v>544</v>
      </c>
      <c r="G4" s="49"/>
      <c r="H4" s="50" t="str">
        <f>IF($B4="","",IF($J4="X",B4,CONCATENATE(VLOOKUP(B4,Competitors!$A$2:$I$650,3,FALSE)," ",VLOOKUP(B4,Competitors!$A$2:$I$650,2,FALSE))))</f>
        <v>Alex Whitmore (Ratae)</v>
      </c>
      <c r="I4" s="51">
        <f t="shared" si="1"/>
        <v>1.6319444444444445E-2</v>
      </c>
      <c r="J4" t="str">
        <f t="shared" si="2"/>
        <v>X</v>
      </c>
    </row>
    <row r="5" spans="1:10" ht="15">
      <c r="A5" s="46" t="s">
        <v>730</v>
      </c>
      <c r="B5" s="47" t="str">
        <f t="shared" si="0"/>
        <v>Eric Fullerton (LFCC)</v>
      </c>
      <c r="C5" s="48"/>
      <c r="D5" s="49">
        <v>30</v>
      </c>
      <c r="E5" s="49">
        <v>44</v>
      </c>
      <c r="F5" s="49" t="s">
        <v>544</v>
      </c>
      <c r="G5" s="49"/>
      <c r="H5" s="50" t="str">
        <f>IF($B5="","",IF($J5="X",B5,CONCATENATE(VLOOKUP(B5,Competitors!$A$2:$I$650,3,FALSE)," ",VLOOKUP(B5,Competitors!$A$2:$I$650,2,FALSE))))</f>
        <v>Eric Fullerton (LFCC)</v>
      </c>
      <c r="I5" s="51">
        <f t="shared" si="1"/>
        <v>2.1342592592592594E-2</v>
      </c>
      <c r="J5" t="str">
        <f t="shared" si="2"/>
        <v>X</v>
      </c>
    </row>
    <row r="6" spans="1:10" ht="15">
      <c r="A6" s="46" t="s">
        <v>429</v>
      </c>
      <c r="B6" s="47">
        <f t="shared" si="0"/>
        <v>1107</v>
      </c>
      <c r="C6" s="48"/>
      <c r="D6" s="49">
        <v>27</v>
      </c>
      <c r="E6" s="49">
        <v>44</v>
      </c>
      <c r="F6" s="49"/>
      <c r="G6" s="49"/>
      <c r="H6" s="50" t="str">
        <f>IF($B6="","",IF($J6="X",B6,CONCATENATE(VLOOKUP(B6,Competitors!$A$2:$I$650,3,FALSE)," ",VLOOKUP(B6,Competitors!$A$2:$I$650,2,FALSE))))</f>
        <v>Milly Pinnock</v>
      </c>
      <c r="I6" s="51">
        <f t="shared" si="1"/>
        <v>1.9259259259259261E-2</v>
      </c>
      <c r="J6" t="str">
        <f t="shared" si="2"/>
        <v/>
      </c>
    </row>
    <row r="7" spans="1:10" ht="15">
      <c r="A7" s="46" t="s">
        <v>782</v>
      </c>
      <c r="B7" s="47" t="str">
        <f t="shared" si="0"/>
        <v>Liv Bent</v>
      </c>
      <c r="C7" s="48"/>
      <c r="D7" s="49">
        <v>28</v>
      </c>
      <c r="E7" s="49">
        <v>7</v>
      </c>
      <c r="F7" s="49" t="s">
        <v>544</v>
      </c>
      <c r="G7" s="49"/>
      <c r="H7" s="50" t="str">
        <f>IF($B7="","",IF($J7="X",B7,CONCATENATE(VLOOKUP(B7,Competitors!$A$2:$I$650,3,FALSE)," ",VLOOKUP(B7,Competitors!$A$2:$I$650,2,FALSE))))</f>
        <v>Liv Bent</v>
      </c>
      <c r="I7" s="51">
        <f t="shared" si="1"/>
        <v>1.9525462962962963E-2</v>
      </c>
      <c r="J7" t="str">
        <f t="shared" si="2"/>
        <v>X</v>
      </c>
    </row>
    <row r="8" spans="1:10" ht="15">
      <c r="A8" s="46" t="s">
        <v>783</v>
      </c>
      <c r="B8" s="47" t="str">
        <f t="shared" si="0"/>
        <v>Matthew McNamee (LRC)</v>
      </c>
      <c r="C8" s="48"/>
      <c r="D8" s="49">
        <v>28</v>
      </c>
      <c r="E8" s="49">
        <v>39</v>
      </c>
      <c r="F8" s="49" t="s">
        <v>544</v>
      </c>
      <c r="G8" s="49"/>
      <c r="H8" s="50" t="str">
        <f>IF($B8="","",IF($J8="X",B8,CONCATENATE(VLOOKUP(B8,Competitors!$A$2:$I$650,3,FALSE)," ",VLOOKUP(B8,Competitors!$A$2:$I$650,2,FALSE))))</f>
        <v>Matthew McNamee (LRC)</v>
      </c>
      <c r="I8" s="51">
        <f t="shared" si="1"/>
        <v>1.9895833333333335E-2</v>
      </c>
      <c r="J8" t="str">
        <f t="shared" si="2"/>
        <v>X</v>
      </c>
    </row>
    <row r="9" spans="1:10" ht="15">
      <c r="A9" s="46" t="s">
        <v>784</v>
      </c>
      <c r="B9" s="47" t="str">
        <f t="shared" si="0"/>
        <v>Max Wren (MOCC)</v>
      </c>
      <c r="C9" s="48"/>
      <c r="D9" s="49">
        <v>25</v>
      </c>
      <c r="E9" s="49">
        <v>44</v>
      </c>
      <c r="F9" s="49" t="s">
        <v>544</v>
      </c>
      <c r="G9" s="49"/>
      <c r="H9" s="50" t="str">
        <f>IF($B9="","",IF($J9="X",B9,CONCATENATE(VLOOKUP(B9,Competitors!$A$2:$I$650,3,FALSE)," ",VLOOKUP(B9,Competitors!$A$2:$I$650,2,FALSE))))</f>
        <v>Max Wren (MOCC)</v>
      </c>
      <c r="I9" s="51">
        <f t="shared" si="1"/>
        <v>1.787037037037037E-2</v>
      </c>
      <c r="J9" t="str">
        <f t="shared" si="2"/>
        <v>X</v>
      </c>
    </row>
    <row r="10" spans="1:10" ht="15">
      <c r="A10" s="46" t="s">
        <v>579</v>
      </c>
      <c r="B10" s="47">
        <f t="shared" si="0"/>
        <v>1370</v>
      </c>
      <c r="C10" s="48"/>
      <c r="D10" s="49">
        <v>25</v>
      </c>
      <c r="E10" s="49">
        <v>34</v>
      </c>
      <c r="F10" s="49" t="s">
        <v>544</v>
      </c>
      <c r="G10" s="49"/>
      <c r="H10" s="50" t="str">
        <f>IF($B10="","",IF($J10="X",B10,CONCATENATE(VLOOKUP(B10,Competitors!$A$2:$I$650,3, FALSE)," ",VLOOKUP(B10,Competitors!$A$2:$I$650,2,FALSE))))</f>
        <v>Ian Aldridge</v>
      </c>
      <c r="I10" s="51">
        <f t="shared" si="1"/>
        <v>1.7754629629629631E-2</v>
      </c>
      <c r="J10" t="str">
        <f t="shared" si="2"/>
        <v/>
      </c>
    </row>
    <row r="11" spans="1:10" ht="15">
      <c r="A11" s="46" t="s">
        <v>422</v>
      </c>
      <c r="B11" s="47">
        <f t="shared" si="0"/>
        <v>1407</v>
      </c>
      <c r="C11" s="48"/>
      <c r="D11" s="49">
        <v>26</v>
      </c>
      <c r="E11" s="49">
        <v>11</v>
      </c>
      <c r="F11" s="49" t="s">
        <v>544</v>
      </c>
      <c r="G11" s="49"/>
      <c r="H11" s="50" t="str">
        <f>IF($B11="","",IF($J11="X",B11,CONCATENATE(VLOOKUP(B11,Competitors!$A$2:$I$650,3,FALSE)," ",VLOOKUP(B11,Competitors!$A$2:$I$650,2,FALSE))))</f>
        <v>Colin Dobson</v>
      </c>
      <c r="I11" s="51">
        <f t="shared" si="1"/>
        <v>1.818287037037037E-2</v>
      </c>
      <c r="J11" t="str">
        <f t="shared" si="2"/>
        <v/>
      </c>
    </row>
    <row r="12" spans="1:10" ht="15">
      <c r="A12" s="46" t="s">
        <v>785</v>
      </c>
      <c r="B12" s="47" t="str">
        <f t="shared" si="0"/>
        <v>Matt Law (LFCC)</v>
      </c>
      <c r="C12" s="48"/>
      <c r="D12" s="49">
        <v>26</v>
      </c>
      <c r="E12" s="49">
        <v>25</v>
      </c>
      <c r="F12" s="49" t="s">
        <v>544</v>
      </c>
      <c r="G12" s="49"/>
      <c r="H12" s="50" t="str">
        <f>IF($B12="","",IF($J12="X",B12,CONCATENATE(VLOOKUP(B12,Competitors!$A$2:$I$650,3,FALSE)," ",VLOOKUP(B12,Competitors!$A$2:$I$650,2,FALSE))))</f>
        <v>Matt Law (LFCC)</v>
      </c>
      <c r="I12" s="51">
        <f t="shared" si="1"/>
        <v>1.8344907407407407E-2</v>
      </c>
      <c r="J12" t="str">
        <f t="shared" si="2"/>
        <v>X</v>
      </c>
    </row>
    <row r="13" spans="1:10" ht="15">
      <c r="A13" s="46" t="s">
        <v>412</v>
      </c>
      <c r="B13" s="47">
        <f t="shared" si="0"/>
        <v>1144</v>
      </c>
      <c r="C13" s="48"/>
      <c r="D13" s="49">
        <v>24</v>
      </c>
      <c r="E13" s="49">
        <v>1</v>
      </c>
      <c r="F13" s="49" t="s">
        <v>544</v>
      </c>
      <c r="G13" s="49"/>
      <c r="H13" s="50" t="str">
        <f>IF($B13="","",IF($J13="X",B13,CONCATENATE(VLOOKUP(B13,Competitors!$A$2:$I$650,3,FALSE)," ",VLOOKUP(B13,Competitors!$A$2:$I$650,2,FALSE))))</f>
        <v>Jamie Kershaw</v>
      </c>
      <c r="I13" s="51">
        <f t="shared" si="1"/>
        <v>1.667824074074074E-2</v>
      </c>
      <c r="J13" t="str">
        <f t="shared" si="2"/>
        <v/>
      </c>
    </row>
    <row r="14" spans="1:10" ht="15">
      <c r="A14" s="46" t="s">
        <v>629</v>
      </c>
      <c r="B14" s="47" t="str">
        <f t="shared" si="0"/>
        <v>Jeff Jones (LFCC)</v>
      </c>
      <c r="C14" s="48"/>
      <c r="D14" s="49">
        <v>35</v>
      </c>
      <c r="E14" s="49">
        <v>51</v>
      </c>
      <c r="F14" s="49"/>
      <c r="G14" s="49"/>
      <c r="H14" s="50" t="str">
        <f>IF($B14="","",IF($J14="X",B14,CONCATENATE(VLOOKUP(B14,Competitors!$A$2:$I$650,3,FALSE)," ",VLOOKUP(B14,Competitors!$A$2:$I$650,2,FALSE))))</f>
        <v>Jeff Jones (LFCC)</v>
      </c>
      <c r="I14" s="51">
        <f t="shared" si="1"/>
        <v>2.4895833333333332E-2</v>
      </c>
      <c r="J14" t="str">
        <f t="shared" si="2"/>
        <v>X</v>
      </c>
    </row>
    <row r="15" spans="1:10" ht="15">
      <c r="A15" s="46" t="s">
        <v>631</v>
      </c>
      <c r="B15" s="47" t="str">
        <f t="shared" si="0"/>
        <v>Simon Jones (LFCC)</v>
      </c>
      <c r="C15" s="48"/>
      <c r="D15" s="49">
        <v>29</v>
      </c>
      <c r="E15" s="49">
        <v>45</v>
      </c>
      <c r="F15" s="49" t="s">
        <v>544</v>
      </c>
      <c r="G15" s="49"/>
      <c r="H15" s="50" t="str">
        <f>IF($B15="","",IF($J15="X",B15,CONCATENATE(VLOOKUP(B15,Competitors!$A$2:$I$650,3,FALSE)," ",VLOOKUP(B15,Competitors!$A$2:$I$650,2,FALSE))))</f>
        <v>Simon Jones (LFCC)</v>
      </c>
      <c r="I15" s="51">
        <f t="shared" si="1"/>
        <v>2.0659722222222222E-2</v>
      </c>
      <c r="J15" t="str">
        <f t="shared" si="2"/>
        <v>X</v>
      </c>
    </row>
    <row r="16" spans="1:10" ht="15">
      <c r="A16" s="46" t="s">
        <v>715</v>
      </c>
      <c r="B16" s="47" t="str">
        <f t="shared" si="0"/>
        <v>Josh Jones (LFCC)</v>
      </c>
      <c r="C16" s="48"/>
      <c r="D16" s="49">
        <v>28</v>
      </c>
      <c r="E16" s="49">
        <v>43</v>
      </c>
      <c r="F16" s="49" t="s">
        <v>544</v>
      </c>
      <c r="G16" s="49"/>
      <c r="H16" s="50" t="str">
        <f>IF($B16="","",IF($J16="X",B16,CONCATENATE(VLOOKUP(B16,Competitors!$A$2:$I$650,3,FALSE)," ",VLOOKUP(B16,Competitors!$A$2:$I$650,2,FALSE))))</f>
        <v>Josh Jones (LFCC)</v>
      </c>
      <c r="I16" s="51">
        <f t="shared" si="1"/>
        <v>1.9942129629629629E-2</v>
      </c>
      <c r="J16" t="str">
        <f t="shared" si="2"/>
        <v>X</v>
      </c>
    </row>
    <row r="17" spans="1:10" ht="15">
      <c r="A17" s="46" t="s">
        <v>510</v>
      </c>
      <c r="B17" s="47" t="str">
        <f t="shared" si="0"/>
        <v>Marshall Briggs (Ratae)</v>
      </c>
      <c r="C17" s="48"/>
      <c r="D17" s="49">
        <v>27</v>
      </c>
      <c r="E17" s="49">
        <v>20</v>
      </c>
      <c r="F17" s="49"/>
      <c r="G17" s="49"/>
      <c r="H17" s="50" t="str">
        <f>IF($B17="","",IF($J17="X",B17,CONCATENATE(VLOOKUP(B17,Competitors!$A$2:$I$650,3,FALSE)," ",VLOOKUP(B17,Competitors!$A$2:$I$650,2,FALSE))))</f>
        <v>Marshall Briggs (Ratae)</v>
      </c>
      <c r="I17" s="51">
        <f t="shared" si="1"/>
        <v>1.8981481481481481E-2</v>
      </c>
      <c r="J17" t="str">
        <f t="shared" si="2"/>
        <v>X</v>
      </c>
    </row>
    <row r="18" spans="1:10" ht="15">
      <c r="A18" s="46" t="s">
        <v>592</v>
      </c>
      <c r="B18" s="47">
        <f t="shared" si="0"/>
        <v>1390</v>
      </c>
      <c r="C18" s="48"/>
      <c r="D18" s="49">
        <v>25</v>
      </c>
      <c r="E18" s="49">
        <v>26</v>
      </c>
      <c r="F18" s="49" t="s">
        <v>544</v>
      </c>
      <c r="G18" s="49"/>
      <c r="H18" s="50" t="str">
        <f>IF($B18="","",IF($J18="X",B18,CONCATENATE(VLOOKUP(B18,Competitors!$A$2:$I$650,3,FALSE)," ",VLOOKUP(B18,Competitors!$A$2:$I$650,2,FALSE))))</f>
        <v>Diego Patteri</v>
      </c>
      <c r="I18" s="51">
        <f t="shared" si="1"/>
        <v>1.7662037037037039E-2</v>
      </c>
      <c r="J18" t="str">
        <f t="shared" si="2"/>
        <v/>
      </c>
    </row>
    <row r="19" spans="1:10" ht="15">
      <c r="A19" s="46" t="s">
        <v>492</v>
      </c>
      <c r="B19" s="47" t="str">
        <f t="shared" si="0"/>
        <v>Chris Booth (MOCC)</v>
      </c>
      <c r="C19" s="48"/>
      <c r="D19" s="49">
        <v>25</v>
      </c>
      <c r="E19" s="49">
        <v>37</v>
      </c>
      <c r="F19" s="49" t="s">
        <v>544</v>
      </c>
      <c r="G19" s="49"/>
      <c r="H19" s="50" t="str">
        <f>IF($B19="","",IF($J19="X",B19,CONCATENATE(VLOOKUP(B19,Competitors!$A$2:$I$650,3,FALSE)," ",VLOOKUP(B19,Competitors!$A$2:$I$650,2,FALSE))))</f>
        <v>Chris Booth (MOCC)</v>
      </c>
      <c r="I19" s="51">
        <f t="shared" si="1"/>
        <v>1.7789351851851851E-2</v>
      </c>
      <c r="J19" t="str">
        <f t="shared" si="2"/>
        <v>X</v>
      </c>
    </row>
    <row r="20" spans="1:10" ht="15">
      <c r="A20" s="46" t="s">
        <v>486</v>
      </c>
      <c r="B20" s="47" t="str">
        <f t="shared" si="0"/>
        <v>Matt Finch (LFCC)</v>
      </c>
      <c r="C20" s="48"/>
      <c r="D20" s="49">
        <v>30</v>
      </c>
      <c r="E20" s="49">
        <v>16</v>
      </c>
      <c r="F20" s="49" t="s">
        <v>544</v>
      </c>
      <c r="G20" s="49"/>
      <c r="H20" s="50" t="str">
        <f>IF($B20="","",IF($J20="X",B20,CONCATENATE(VLOOKUP(B20,Competitors!$A$2:$I$650,3,FALSE)," ",VLOOKUP(B20,Competitors!$A$2:$I$650,2,FALSE))))</f>
        <v>Matt Finch (LFCC)</v>
      </c>
      <c r="I20" s="51">
        <f t="shared" si="1"/>
        <v>2.101851851851852E-2</v>
      </c>
      <c r="J20" t="str">
        <f t="shared" si="2"/>
        <v>X</v>
      </c>
    </row>
    <row r="21" spans="1:10" ht="15">
      <c r="A21" s="46" t="s">
        <v>451</v>
      </c>
      <c r="B21" s="47">
        <f t="shared" si="0"/>
        <v>1244</v>
      </c>
      <c r="C21" s="48"/>
      <c r="D21" s="49">
        <v>30</v>
      </c>
      <c r="E21" s="49">
        <v>31</v>
      </c>
      <c r="F21" s="49" t="s">
        <v>544</v>
      </c>
      <c r="G21" s="49"/>
      <c r="H21" s="50" t="str">
        <f>IF($B21="","",IF($J21="X",B21,CONCATENATE(VLOOKUP(B21,Competitors!$A$2:$I$650,3,FALSE)," ",VLOOKUP(B21,Competitors!$A$2:$I$650,2,FALSE))))</f>
        <v>Steven Latham</v>
      </c>
      <c r="I21" s="51">
        <f t="shared" si="1"/>
        <v>2.119212962962963E-2</v>
      </c>
      <c r="J21" t="str">
        <f t="shared" si="2"/>
        <v/>
      </c>
    </row>
    <row r="22" spans="1:10" ht="15">
      <c r="A22" s="46" t="s">
        <v>446</v>
      </c>
      <c r="B22" s="47">
        <f t="shared" si="0"/>
        <v>1379</v>
      </c>
      <c r="C22" s="48"/>
      <c r="D22" s="49">
        <v>29</v>
      </c>
      <c r="E22" s="49">
        <v>51</v>
      </c>
      <c r="F22" s="49" t="s">
        <v>544</v>
      </c>
      <c r="G22" s="49"/>
      <c r="H22" s="50" t="str">
        <f>IF($B22="","",IF($J22="X",B22,CONCATENATE(VLOOKUP(B22,Competitors!$A$2:$I$650,3,FALSE)," ",VLOOKUP(B22,Competitors!$A$2:$I$650,2,FALSE))))</f>
        <v>Michaela Latham</v>
      </c>
      <c r="I22" s="51">
        <f t="shared" si="1"/>
        <v>2.0729166666666667E-2</v>
      </c>
      <c r="J22" t="str">
        <f t="shared" si="2"/>
        <v/>
      </c>
    </row>
    <row r="23" spans="1:10" ht="15">
      <c r="A23" s="46" t="s">
        <v>501</v>
      </c>
      <c r="B23" s="47" t="str">
        <f t="shared" si="0"/>
        <v>Chris Bonsor (Ratae)</v>
      </c>
      <c r="C23" s="48"/>
      <c r="D23" s="49">
        <v>27</v>
      </c>
      <c r="E23" s="49">
        <v>9</v>
      </c>
      <c r="F23" s="49"/>
      <c r="G23" s="49"/>
      <c r="H23" s="50" t="str">
        <f>IF($B23="","",IF($J23="X",B23,CONCATENATE(VLOOKUP(B23,Competitors!$A$2:$I$650,3,FALSE)," ",VLOOKUP(B23,Competitors!$A$2:$I$650,2,FALSE))))</f>
        <v>Chris Bonsor (Ratae)</v>
      </c>
      <c r="I23" s="51">
        <f t="shared" si="1"/>
        <v>1.8854166666666668E-2</v>
      </c>
      <c r="J23" t="str">
        <f t="shared" si="2"/>
        <v>X</v>
      </c>
    </row>
    <row r="24" spans="1:10" ht="15">
      <c r="A24" s="46" t="s">
        <v>614</v>
      </c>
      <c r="B24" s="47">
        <f t="shared" si="0"/>
        <v>1391</v>
      </c>
      <c r="C24" s="48"/>
      <c r="D24" s="49">
        <v>25</v>
      </c>
      <c r="E24" s="49">
        <v>4</v>
      </c>
      <c r="F24" s="49" t="s">
        <v>544</v>
      </c>
      <c r="G24" s="49"/>
      <c r="H24" s="50" t="str">
        <f>IF($B24="","",IF($J24="X",B24,CONCATENATE(VLOOKUP(B24,Competitors!$A$2:$I$650,3,FALSE)," ",VLOOKUP(B24,Competitors!$A$2:$I$650,2,FALSE))))</f>
        <v>Leah Cuthbertson</v>
      </c>
      <c r="I24" s="51">
        <f t="shared" si="1"/>
        <v>1.7407407407407406E-2</v>
      </c>
      <c r="J24" t="str">
        <f t="shared" si="2"/>
        <v/>
      </c>
    </row>
    <row r="25" spans="1:10" ht="15">
      <c r="A25" s="46" t="s">
        <v>421</v>
      </c>
      <c r="B25" s="47">
        <f t="shared" si="0"/>
        <v>415</v>
      </c>
      <c r="C25" s="48"/>
      <c r="D25" s="49">
        <v>26</v>
      </c>
      <c r="E25" s="49">
        <v>29</v>
      </c>
      <c r="F25" s="49" t="s">
        <v>544</v>
      </c>
      <c r="G25" s="49"/>
      <c r="H25" s="50" t="str">
        <f>IF($B25="","",IF($J25="X",B25,CONCATENATE(VLOOKUP(B25,Competitors!$A$2:$I$650,3,FALSE)," ",VLOOKUP(B25,Competitors!$A$2:$I$650,2,FALSE))))</f>
        <v>Nik Kershaw</v>
      </c>
      <c r="I25" s="51">
        <f t="shared" si="1"/>
        <v>1.8391203703703705E-2</v>
      </c>
      <c r="J25" t="str">
        <f t="shared" si="2"/>
        <v/>
      </c>
    </row>
    <row r="26" spans="1:10" ht="15">
      <c r="A26" s="46" t="s">
        <v>786</v>
      </c>
      <c r="B26" s="47" t="str">
        <f t="shared" si="0"/>
        <v>Daniel Town (Beeston CC)</v>
      </c>
      <c r="C26" s="48"/>
      <c r="D26" s="49">
        <v>24</v>
      </c>
      <c r="E26" s="49">
        <v>2</v>
      </c>
      <c r="F26" s="49" t="s">
        <v>544</v>
      </c>
      <c r="G26" s="49"/>
      <c r="H26" s="50" t="str">
        <f>IF($B26="","",IF($J26="X",B26,CONCATENATE(VLOOKUP(B26,Competitors!$A$2:$I$650,3,FALSE)," ",VLOOKUP(B26,Competitors!$A$2:$I$650,2,FALSE))))</f>
        <v>Daniel Town (Beeston CC)</v>
      </c>
      <c r="I26" s="51">
        <f t="shared" si="1"/>
        <v>1.6689814814814814E-2</v>
      </c>
      <c r="J26" t="str">
        <f t="shared" si="2"/>
        <v>X</v>
      </c>
    </row>
    <row r="27" spans="1:10" ht="15">
      <c r="A27" s="46" t="s">
        <v>469</v>
      </c>
      <c r="B27" s="47">
        <f t="shared" si="0"/>
        <v>1288</v>
      </c>
      <c r="C27" s="48"/>
      <c r="D27" s="49">
        <v>24</v>
      </c>
      <c r="E27" s="49">
        <v>17</v>
      </c>
      <c r="F27" s="49" t="s">
        <v>544</v>
      </c>
      <c r="G27" s="49"/>
      <c r="H27" s="50" t="str">
        <f>IF($B27="","",IF($J27="X",B27,CONCATENATE(VLOOKUP(B27,Competitors!$A$2:$I$650,3,FALSE)," ",VLOOKUP(B27,Competitors!$A$2:$I$650,2,FALSE))))</f>
        <v>Tyler Dyson</v>
      </c>
      <c r="I27" s="51">
        <f t="shared" si="1"/>
        <v>1.6863425925925928E-2</v>
      </c>
      <c r="J27" t="str">
        <f t="shared" si="2"/>
        <v/>
      </c>
    </row>
    <row r="28" spans="1:10" ht="15">
      <c r="A28" s="46" t="s">
        <v>787</v>
      </c>
      <c r="B28" s="47" t="str">
        <f t="shared" si="0"/>
        <v>Harriet Hughes (Beeston CC) (LFCC)</v>
      </c>
      <c r="C28" s="48"/>
      <c r="D28" s="49">
        <v>29</v>
      </c>
      <c r="E28" s="49">
        <v>26</v>
      </c>
      <c r="F28" s="49" t="s">
        <v>544</v>
      </c>
      <c r="G28" s="49"/>
      <c r="H28" s="50" t="str">
        <f>IF($B28="","",IF($J28="X",B28,CONCATENATE(VLOOKUP(B28,Competitors!$A$2:$I$650,3,FALSE)," ",VLOOKUP(B28,Competitors!$A$2:$I$650,2,FALSE))))</f>
        <v>Harriet Hughes (Beeston CC) (LFCC)</v>
      </c>
      <c r="I28" s="51">
        <f t="shared" si="1"/>
        <v>2.0439814814814813E-2</v>
      </c>
      <c r="J28" t="str">
        <f t="shared" si="2"/>
        <v>X</v>
      </c>
    </row>
    <row r="29" spans="1:10" ht="15">
      <c r="A29" s="46" t="s">
        <v>435</v>
      </c>
      <c r="B29" s="47">
        <f t="shared" si="0"/>
        <v>846</v>
      </c>
      <c r="C29" s="48"/>
      <c r="D29" s="49">
        <v>27</v>
      </c>
      <c r="E29" s="49">
        <v>40</v>
      </c>
      <c r="F29" s="49"/>
      <c r="G29" s="49"/>
      <c r="H29" s="50" t="str">
        <f>IF($B29="","",IF($J29="X",B29,CONCATENATE(VLOOKUP(B29,Competitors!$A$2:$I$650,3,FALSE)," ",VLOOKUP(B29,Competitors!$A$2:$I$650,2,FALSE))))</f>
        <v>Roger Kockelbergh</v>
      </c>
      <c r="I29" s="51">
        <f t="shared" si="1"/>
        <v>1.9212962962962963E-2</v>
      </c>
      <c r="J29" t="str">
        <f t="shared" si="2"/>
        <v/>
      </c>
    </row>
    <row r="30" spans="1:10" ht="15">
      <c r="A30" s="46" t="s">
        <v>789</v>
      </c>
      <c r="B30" s="47" t="str">
        <f t="shared" si="0"/>
        <v>Evan Collett (George Fox CS) (KCC)</v>
      </c>
      <c r="C30" s="48"/>
      <c r="D30" s="49">
        <v>24</v>
      </c>
      <c r="E30" s="49">
        <v>45</v>
      </c>
      <c r="F30" s="49"/>
      <c r="G30" s="49"/>
      <c r="H30" s="50" t="str">
        <f>IF($B30="","",IF($J30="X",B30,CONCATENATE(VLOOKUP(B30,Competitors!$A$2:$I$650,3,FALSE)," ",VLOOKUP(B30,Competitors!$A$2:$I$650,2,FALSE))))</f>
        <v>Evan Collett (George Fox CS) (KCC)</v>
      </c>
      <c r="I30" s="51">
        <f t="shared" si="1"/>
        <v>1.7187500000000001E-2</v>
      </c>
      <c r="J30" t="str">
        <f t="shared" si="2"/>
        <v>X</v>
      </c>
    </row>
    <row r="31" spans="1:10" ht="15">
      <c r="A31" s="46" t="s">
        <v>413</v>
      </c>
      <c r="B31" s="47">
        <f t="shared" si="0"/>
        <v>989</v>
      </c>
      <c r="C31" s="48"/>
      <c r="D31" s="49">
        <v>25</v>
      </c>
      <c r="E31" s="49">
        <v>1</v>
      </c>
      <c r="F31" s="49" t="s">
        <v>544</v>
      </c>
      <c r="G31" s="49"/>
      <c r="H31" s="50" t="str">
        <f>IF($B31="","",IF($J31="X",B31,CONCATENATE(VLOOKUP(B31,Competitors!$A$2:$I$650,3,FALSE)," ",VLOOKUP(B31,Competitors!$A$2:$I$650,2,FALSE))))</f>
        <v>Jason Williams</v>
      </c>
      <c r="I31" s="51">
        <f t="shared" si="1"/>
        <v>1.7372685185185185E-2</v>
      </c>
      <c r="J31" t="str">
        <f t="shared" si="2"/>
        <v/>
      </c>
    </row>
    <row r="32" spans="1:10" ht="15">
      <c r="A32" s="46" t="s">
        <v>488</v>
      </c>
      <c r="B32" s="47" t="str">
        <f t="shared" si="0"/>
        <v>Sam Nettel (LFCC)</v>
      </c>
      <c r="C32" s="48"/>
      <c r="D32" s="49">
        <v>25</v>
      </c>
      <c r="E32" s="49">
        <v>14</v>
      </c>
      <c r="F32" s="49"/>
      <c r="G32" s="49"/>
      <c r="H32" s="50" t="str">
        <f>IF($B32="","",IF($J32="X",B32,CONCATENATE(VLOOKUP(B32,Competitors!$A$2:$I$650,3,FALSE)," ",VLOOKUP(B32,Competitors!$A$2:$I$650,2,FALSE))))</f>
        <v>Sam Nettel (LFCC)</v>
      </c>
      <c r="I32" s="51">
        <f t="shared" si="1"/>
        <v>1.7523148148148149E-2</v>
      </c>
      <c r="J32" t="str">
        <f t="shared" si="2"/>
        <v>X</v>
      </c>
    </row>
    <row r="33" spans="1:10" ht="15">
      <c r="A33" s="46" t="s">
        <v>414</v>
      </c>
      <c r="B33" s="47">
        <f t="shared" si="0"/>
        <v>699</v>
      </c>
      <c r="C33" s="48"/>
      <c r="D33" s="49">
        <v>25</v>
      </c>
      <c r="E33" s="49">
        <v>40</v>
      </c>
      <c r="F33" s="49"/>
      <c r="G33" s="49"/>
      <c r="H33" s="50" t="str">
        <f>IF($B33="","",IF($J33="X",B33,CONCATENATE(VLOOKUP(B33,Competitors!$A$2:$I$650,3,FALSE)," ",VLOOKUP(B33,Competitors!$A$2:$I$650,2,FALSE))))</f>
        <v>Jonathan Durnin</v>
      </c>
      <c r="I33" s="51">
        <f t="shared" si="1"/>
        <v>1.7824074074074076E-2</v>
      </c>
      <c r="J33" t="str">
        <f t="shared" si="2"/>
        <v/>
      </c>
    </row>
    <row r="34" spans="1:10" ht="15">
      <c r="A34" s="46" t="s">
        <v>420</v>
      </c>
      <c r="B34" s="47">
        <f t="shared" ref="B34:B97" si="3">IF(A34="","",_xlfn.XLOOKUP(A34,ClubNames,ClubNumbers,_xlfn.XLOOKUP(A34,RoundRobinRiderNames,RoundRobinRiderDecoratedNames,A34)))</f>
        <v>1192</v>
      </c>
      <c r="C34" s="48"/>
      <c r="D34" s="49">
        <v>26</v>
      </c>
      <c r="E34" s="49">
        <v>25</v>
      </c>
      <c r="F34" s="49"/>
      <c r="G34" s="49"/>
      <c r="H34" s="50" t="str">
        <f>IF($B34="","",IF($J34="X",B34,CONCATENATE(VLOOKUP(B34,Competitors!$A$2:$I$650,3,FALSE)," ",VLOOKUP(B34,Competitors!$A$2:$I$650,2,FALSE))))</f>
        <v>Dale Norris</v>
      </c>
      <c r="I34" s="51">
        <f t="shared" si="1"/>
        <v>1.8344907407407407E-2</v>
      </c>
      <c r="J34" t="str">
        <f t="shared" si="2"/>
        <v/>
      </c>
    </row>
    <row r="35" spans="1:10" ht="15">
      <c r="A35" s="46"/>
      <c r="B35" s="47" t="str">
        <f t="shared" si="3"/>
        <v/>
      </c>
      <c r="C35" s="48"/>
      <c r="D35" s="49"/>
      <c r="E35" s="49"/>
      <c r="F35" s="49"/>
      <c r="G35" s="49"/>
      <c r="H35" s="50" t="str">
        <f>IF($B35="","",IF($J35="X",B35,CONCATENATE(VLOOKUP(B35,Competitors!$A$2:$I$650,3,FALSE)," ",VLOOKUP(B35,Competitors!$A$2:$I$650,2,FALSE))))</f>
        <v/>
      </c>
      <c r="I35" s="51">
        <f t="shared" si="1"/>
        <v>0</v>
      </c>
      <c r="J35" t="str">
        <f t="shared" si="2"/>
        <v/>
      </c>
    </row>
    <row r="36" spans="1:10" ht="15">
      <c r="A36" s="46"/>
      <c r="B36" s="47" t="str">
        <f t="shared" si="3"/>
        <v/>
      </c>
      <c r="C36" s="48"/>
      <c r="D36" s="49"/>
      <c r="E36" s="49"/>
      <c r="F36" s="49"/>
      <c r="G36" s="49"/>
      <c r="H36" s="50" t="str">
        <f>IF($B36="","",IF($J36="X",B36,CONCATENATE(VLOOKUP(B36,Competitors!$A$2:$I$650,3,FALSE)," ",VLOOKUP(B36,Competitors!$A$2:$I$650,2,FALSE))))</f>
        <v/>
      </c>
      <c r="I36" s="51">
        <f t="shared" si="1"/>
        <v>0</v>
      </c>
      <c r="J36" t="str">
        <f t="shared" si="2"/>
        <v/>
      </c>
    </row>
    <row r="37" spans="1:10" ht="15">
      <c r="A37" s="46"/>
      <c r="B37" s="47" t="str">
        <f t="shared" si="3"/>
        <v/>
      </c>
      <c r="C37" s="48"/>
      <c r="D37" s="49"/>
      <c r="E37" s="49"/>
      <c r="F37" s="49"/>
      <c r="G37" s="49"/>
      <c r="H37" s="50" t="str">
        <f>IF($B37="","",IF($J37="X",B37,CONCATENATE(VLOOKUP(B37,Competitors!$A$2:$I$650,3,FALSE)," ",VLOOKUP(B37,Competitors!$A$2:$I$650,2,FALSE))))</f>
        <v/>
      </c>
      <c r="I37" s="51">
        <f t="shared" si="1"/>
        <v>0</v>
      </c>
      <c r="J37" t="str">
        <f t="shared" si="2"/>
        <v/>
      </c>
    </row>
    <row r="38" spans="1:10" ht="15">
      <c r="A38" s="46"/>
      <c r="B38" s="47" t="str">
        <f t="shared" si="3"/>
        <v/>
      </c>
      <c r="C38" s="48"/>
      <c r="D38" s="49"/>
      <c r="E38" s="49"/>
      <c r="F38" s="49"/>
      <c r="G38" s="49"/>
      <c r="H38" s="50" t="str">
        <f>IF($B38="","",IF($J38="X",B38,CONCATENATE(VLOOKUP(B38,Competitors!$A$2:$I$650,3,FALSE)," ",VLOOKUP(B38,Competitors!$A$2:$I$650,2,FALSE))))</f>
        <v/>
      </c>
      <c r="I38" s="51">
        <f t="shared" si="1"/>
        <v>0</v>
      </c>
      <c r="J38" t="str">
        <f t="shared" si="2"/>
        <v/>
      </c>
    </row>
    <row r="39" spans="1:10" ht="15">
      <c r="A39" s="46"/>
      <c r="B39" s="47" t="str">
        <f t="shared" si="3"/>
        <v/>
      </c>
      <c r="C39" s="48"/>
      <c r="D39" s="49"/>
      <c r="E39" s="49"/>
      <c r="F39" s="49"/>
      <c r="G39" s="49"/>
      <c r="H39" s="50" t="str">
        <f>IF($B39="","",IF($J39="X",B39,CONCATENATE(VLOOKUP(B39,Competitors!$A$2:$I$650,3,FALSE)," ",VLOOKUP(B39,Competitors!$A$2:$I$650,2,FALSE))))</f>
        <v/>
      </c>
      <c r="I39" s="51">
        <f t="shared" si="1"/>
        <v>0</v>
      </c>
      <c r="J39" t="str">
        <f t="shared" si="2"/>
        <v/>
      </c>
    </row>
    <row r="40" spans="1:10" ht="15">
      <c r="A40" s="46"/>
      <c r="B40" s="47" t="str">
        <f t="shared" si="3"/>
        <v/>
      </c>
      <c r="C40" s="48"/>
      <c r="D40" s="49"/>
      <c r="E40" s="49"/>
      <c r="F40" s="49"/>
      <c r="G40" s="49"/>
      <c r="H40" s="50" t="str">
        <f>IF($B40="","",IF($J40="X",B40,CONCATENATE(VLOOKUP(B40,Competitors!$A$2:$I$650,3,FALSE)," ",VLOOKUP(B40,Competitors!$A$2:$I$650,2,FALSE))))</f>
        <v/>
      </c>
      <c r="I40" s="51">
        <f t="shared" si="1"/>
        <v>0</v>
      </c>
      <c r="J40" t="str">
        <f t="shared" si="2"/>
        <v/>
      </c>
    </row>
    <row r="41" spans="1:10" ht="15">
      <c r="A41" s="46"/>
      <c r="B41" s="47" t="str">
        <f t="shared" si="3"/>
        <v/>
      </c>
      <c r="C41" s="48"/>
      <c r="D41" s="49"/>
      <c r="E41" s="49"/>
      <c r="F41" s="49"/>
      <c r="G41" s="49"/>
      <c r="H41" s="50" t="str">
        <f>IF($B41="","",IF($J41="X",B41,CONCATENATE(VLOOKUP(B41,Competitors!$A$2:$I$650,3,FALSE)," ",VLOOKUP(B41,Competitors!$A$2:$I$650,2,FALSE))))</f>
        <v/>
      </c>
      <c r="I41" s="51">
        <f t="shared" si="1"/>
        <v>0</v>
      </c>
      <c r="J41" t="str">
        <f t="shared" si="2"/>
        <v/>
      </c>
    </row>
    <row r="42" spans="1:10" ht="15">
      <c r="A42" s="46"/>
      <c r="B42" s="47" t="str">
        <f t="shared" si="3"/>
        <v/>
      </c>
      <c r="C42" s="48"/>
      <c r="D42" s="49"/>
      <c r="E42" s="49"/>
      <c r="F42" s="49"/>
      <c r="G42" s="49"/>
      <c r="H42" s="50" t="str">
        <f>IF($B42="","",IF($J42="X",B42,CONCATENATE(VLOOKUP(B42,Competitors!$A$2:$I$650,3,FALSE)," ",VLOOKUP(B42,Competitors!$A$2:$I$650,2,FALSE))))</f>
        <v/>
      </c>
      <c r="I42" s="51">
        <f t="shared" si="1"/>
        <v>0</v>
      </c>
      <c r="J42" t="str">
        <f t="shared" si="2"/>
        <v/>
      </c>
    </row>
    <row r="43" spans="1:10" ht="15">
      <c r="A43" s="46"/>
      <c r="B43" s="47" t="str">
        <f t="shared" si="3"/>
        <v/>
      </c>
      <c r="C43" s="48"/>
      <c r="D43" s="49"/>
      <c r="E43" s="49"/>
      <c r="F43" s="49"/>
      <c r="G43" s="49"/>
      <c r="H43" s="50" t="str">
        <f>IF($B43="","",IF($J43="X",B43,CONCATENATE(VLOOKUP(B43,Competitors!$A$2:$I$650,3,FALSE)," ",VLOOKUP(B43,Competitors!$A$2:$I$650,2,FALSE))))</f>
        <v/>
      </c>
      <c r="I43" s="51">
        <f t="shared" si="1"/>
        <v>0</v>
      </c>
      <c r="J43" t="str">
        <f t="shared" si="2"/>
        <v/>
      </c>
    </row>
    <row r="44" spans="1:10" ht="15">
      <c r="A44" s="46"/>
      <c r="B44" s="47" t="str">
        <f t="shared" si="3"/>
        <v/>
      </c>
      <c r="C44" s="48"/>
      <c r="D44" s="49"/>
      <c r="E44" s="49"/>
      <c r="F44" s="49"/>
      <c r="G44" s="49"/>
      <c r="H44" s="50" t="str">
        <f>IF($B44="","",IF($J44="X",B44,CONCATENATE(VLOOKUP(B44,Competitors!$A$2:$I$650,3,FALSE)," ",VLOOKUP(B44,Competitors!$A$2:$I$650,2,FALSE))))</f>
        <v/>
      </c>
      <c r="I44" s="51">
        <f t="shared" si="1"/>
        <v>0</v>
      </c>
      <c r="J44" t="str">
        <f t="shared" si="2"/>
        <v/>
      </c>
    </row>
    <row r="45" spans="1:10" ht="15">
      <c r="A45" s="46"/>
      <c r="B45" s="47" t="str">
        <f t="shared" si="3"/>
        <v/>
      </c>
      <c r="C45" s="48"/>
      <c r="D45" s="49"/>
      <c r="E45" s="49"/>
      <c r="F45" s="49"/>
      <c r="G45" s="49"/>
      <c r="H45" s="50" t="str">
        <f>IF($B45="","",IF($J45="X",B45,CONCATENATE(VLOOKUP(B45,Competitors!$A$2:$I$650,3,FALSE)," ",VLOOKUP(B45,Competitors!$A$2:$I$650,2,FALSE))))</f>
        <v/>
      </c>
      <c r="I45" s="51">
        <f t="shared" si="1"/>
        <v>0</v>
      </c>
      <c r="J45" t="str">
        <f t="shared" si="2"/>
        <v/>
      </c>
    </row>
    <row r="46" spans="1:10" ht="15">
      <c r="A46" s="46"/>
      <c r="B46" s="47" t="str">
        <f t="shared" si="3"/>
        <v/>
      </c>
      <c r="C46" s="48"/>
      <c r="D46" s="49"/>
      <c r="E46" s="49"/>
      <c r="F46" s="49"/>
      <c r="G46" s="49"/>
      <c r="H46" s="50" t="str">
        <f>IF($B46="","",IF($J46="X",B46,CONCATENATE(VLOOKUP(B46,Competitors!$A$2:$I$650,3,FALSE)," ",VLOOKUP(B46,Competitors!$A$2:$I$650,2,FALSE))))</f>
        <v/>
      </c>
      <c r="I46" s="51">
        <f t="shared" si="1"/>
        <v>0</v>
      </c>
      <c r="J46" t="str">
        <f t="shared" si="2"/>
        <v/>
      </c>
    </row>
    <row r="47" spans="1:10" ht="15">
      <c r="A47" s="46"/>
      <c r="B47" s="47" t="str">
        <f t="shared" si="3"/>
        <v/>
      </c>
      <c r="C47" s="48"/>
      <c r="D47" s="49"/>
      <c r="E47" s="49"/>
      <c r="F47" s="49"/>
      <c r="G47" s="49"/>
      <c r="H47" s="50" t="str">
        <f>IF($B47="","",IF($J47="X",B47,CONCATENATE(VLOOKUP(B47,Competitors!$A$2:$I$650,3,FALSE)," ",VLOOKUP(B47,Competitors!$A$2:$I$650,2,FALSE))))</f>
        <v/>
      </c>
      <c r="I47" s="51">
        <f t="shared" si="1"/>
        <v>0</v>
      </c>
      <c r="J47" t="str">
        <f t="shared" si="2"/>
        <v/>
      </c>
    </row>
    <row r="48" spans="1:10" ht="15">
      <c r="A48" s="46"/>
      <c r="B48" s="47" t="str">
        <f t="shared" si="3"/>
        <v/>
      </c>
      <c r="C48" s="48"/>
      <c r="D48" s="49"/>
      <c r="E48" s="49"/>
      <c r="F48" s="49"/>
      <c r="G48" s="49"/>
      <c r="H48" s="50" t="str">
        <f>IF($B48="","",IF($J48="X",B48,CONCATENATE(VLOOKUP(B48,Competitors!$A$2:$I$650,3,FALSE)," ",VLOOKUP(B48,Competitors!$A$2:$I$650,2,FALSE))))</f>
        <v/>
      </c>
      <c r="I48" s="51">
        <f t="shared" si="1"/>
        <v>0</v>
      </c>
      <c r="J48" t="str">
        <f t="shared" si="2"/>
        <v/>
      </c>
    </row>
    <row r="49" spans="1:10" ht="15">
      <c r="A49" s="46"/>
      <c r="B49" s="47" t="str">
        <f t="shared" si="3"/>
        <v/>
      </c>
      <c r="C49" s="48"/>
      <c r="D49" s="49"/>
      <c r="E49" s="49"/>
      <c r="F49" s="49"/>
      <c r="G49" s="49"/>
      <c r="H49" s="50" t="str">
        <f>IF($B49="","",IF($J49="X",B49,CONCATENATE(VLOOKUP(B49,Competitors!$A$2:$I$650,3,FALSE)," ",VLOOKUP(B49,Competitors!$A$2:$I$650,2,FALSE))))</f>
        <v/>
      </c>
      <c r="I49" s="51">
        <f t="shared" si="1"/>
        <v>0</v>
      </c>
      <c r="J49" t="str">
        <f t="shared" si="2"/>
        <v/>
      </c>
    </row>
    <row r="50" spans="1:10" ht="15">
      <c r="A50" s="46"/>
      <c r="B50" s="47" t="str">
        <f t="shared" si="3"/>
        <v/>
      </c>
      <c r="C50" s="48"/>
      <c r="D50" s="49"/>
      <c r="E50" s="49"/>
      <c r="F50" s="49"/>
      <c r="G50" s="49"/>
      <c r="H50" s="50" t="str">
        <f>IF($B50="","",IF($J50="X",B50,CONCATENATE(VLOOKUP(B50,Competitors!$A$2:$I$650,3,FALSE)," ",VLOOKUP(B50,Competitors!$A$2:$I$650,2,FALSE))))</f>
        <v/>
      </c>
      <c r="I50" s="51">
        <f t="shared" si="1"/>
        <v>0</v>
      </c>
      <c r="J50" t="str">
        <f t="shared" si="2"/>
        <v/>
      </c>
    </row>
    <row r="51" spans="1:10" ht="15">
      <c r="A51" s="46"/>
      <c r="B51" s="47" t="str">
        <f t="shared" si="3"/>
        <v/>
      </c>
      <c r="C51" s="48"/>
      <c r="D51" s="49"/>
      <c r="E51" s="49"/>
      <c r="F51" s="49"/>
      <c r="G51" s="49"/>
      <c r="H51" s="50" t="str">
        <f>IF($B51="","",IF($J51="X",B51,CONCATENATE(VLOOKUP(B51,Competitors!$A$2:$I$650,3,FALSE)," ",VLOOKUP(B51,Competitors!$A$2:$I$650,2,FALSE))))</f>
        <v/>
      </c>
      <c r="I51" s="51">
        <f t="shared" si="1"/>
        <v>0</v>
      </c>
      <c r="J51" t="str">
        <f t="shared" si="2"/>
        <v/>
      </c>
    </row>
    <row r="52" spans="1:10" ht="15">
      <c r="A52" s="46"/>
      <c r="B52" s="47" t="str">
        <f t="shared" si="3"/>
        <v/>
      </c>
      <c r="C52" s="48"/>
      <c r="D52" s="49"/>
      <c r="E52" s="49"/>
      <c r="F52" s="49"/>
      <c r="G52" s="49"/>
      <c r="H52" s="50" t="str">
        <f>IF($B52="","",IF($J52="X",B52,CONCATENATE(VLOOKUP(B52,Competitors!$A$2:$I$650,3,FALSE)," ",VLOOKUP(B52,Competitors!$A$2:$I$650,2,FALSE))))</f>
        <v/>
      </c>
      <c r="I52" s="51">
        <f t="shared" si="1"/>
        <v>0</v>
      </c>
      <c r="J52" t="str">
        <f t="shared" si="2"/>
        <v/>
      </c>
    </row>
    <row r="53" spans="1:10" ht="15">
      <c r="A53" s="46"/>
      <c r="B53" s="47" t="str">
        <f t="shared" si="3"/>
        <v/>
      </c>
      <c r="C53" s="48"/>
      <c r="D53" s="49"/>
      <c r="E53" s="49"/>
      <c r="F53" s="49"/>
      <c r="G53" s="49"/>
      <c r="H53" s="50" t="str">
        <f>IF($B53="","",IF($J53="X",B53,CONCATENATE(VLOOKUP(B53,Competitors!$A$2:$I$650,3,FALSE)," ",VLOOKUP(B53,Competitors!$A$2:$I$650,2,FALSE))))</f>
        <v/>
      </c>
      <c r="I53" s="51">
        <f t="shared" si="1"/>
        <v>0</v>
      </c>
      <c r="J53" t="str">
        <f t="shared" si="2"/>
        <v/>
      </c>
    </row>
    <row r="54" spans="1:10" ht="15">
      <c r="A54" s="46"/>
      <c r="B54" s="47" t="str">
        <f t="shared" si="3"/>
        <v/>
      </c>
      <c r="C54" s="48"/>
      <c r="D54" s="49"/>
      <c r="E54" s="49"/>
      <c r="F54" s="49"/>
      <c r="G54" s="49"/>
      <c r="H54" s="50" t="str">
        <f>IF($B54="","",IF($J54="X",B54,CONCATENATE(VLOOKUP(B54,Competitors!$A$2:$I$650,3,FALSE)," ",VLOOKUP(B54,Competitors!$A$2:$I$650,2,FALSE))))</f>
        <v/>
      </c>
      <c r="I54" s="51">
        <f t="shared" si="1"/>
        <v>0</v>
      </c>
      <c r="J54" t="str">
        <f t="shared" si="2"/>
        <v/>
      </c>
    </row>
    <row r="55" spans="1:10" ht="15">
      <c r="A55" s="46"/>
      <c r="B55" s="47" t="str">
        <f t="shared" si="3"/>
        <v/>
      </c>
      <c r="C55" s="48"/>
      <c r="D55" s="49"/>
      <c r="E55" s="49"/>
      <c r="F55" s="49"/>
      <c r="G55" s="49"/>
      <c r="H55" s="50" t="str">
        <f>IF($B55="","",IF($J55="X",B55,CONCATENATE(VLOOKUP(B55,Competitors!$A$2:$I$650,3,FALSE)," ",VLOOKUP(B55,Competitors!$A$2:$I$650,2,FALSE))))</f>
        <v/>
      </c>
      <c r="I55" s="51">
        <f t="shared" si="1"/>
        <v>0</v>
      </c>
      <c r="J55" t="str">
        <f t="shared" si="2"/>
        <v/>
      </c>
    </row>
    <row r="56" spans="1:10" ht="15">
      <c r="A56" s="46"/>
      <c r="B56" s="47" t="str">
        <f t="shared" si="3"/>
        <v/>
      </c>
      <c r="C56" s="48"/>
      <c r="D56" s="49"/>
      <c r="E56" s="49"/>
      <c r="F56" s="49"/>
      <c r="G56" s="49"/>
      <c r="H56" s="50" t="str">
        <f>IF($B56="","",IF($J56="X",B56,CONCATENATE(VLOOKUP(B56,Competitors!$A$2:$I$650,3,FALSE)," ",VLOOKUP(B56,Competitors!$A$2:$I$650,2,FALSE))))</f>
        <v/>
      </c>
      <c r="I56" s="51">
        <f t="shared" si="1"/>
        <v>0</v>
      </c>
      <c r="J56" t="str">
        <f t="shared" si="2"/>
        <v/>
      </c>
    </row>
    <row r="57" spans="1:10" ht="15">
      <c r="A57" s="46"/>
      <c r="B57" s="47" t="str">
        <f t="shared" si="3"/>
        <v/>
      </c>
      <c r="C57" s="48"/>
      <c r="D57" s="49"/>
      <c r="E57" s="49"/>
      <c r="F57" s="49"/>
      <c r="G57" s="49"/>
      <c r="H57" s="50" t="str">
        <f>IF($B57="","",IF($J57="X",B57,CONCATENATE(VLOOKUP(B57,Competitors!$A$2:$I$650,3,FALSE)," ",VLOOKUP(B57,Competitors!$A$2:$I$650,2,FALSE))))</f>
        <v/>
      </c>
      <c r="I57" s="51">
        <f t="shared" si="1"/>
        <v>0</v>
      </c>
      <c r="J57" t="str">
        <f t="shared" si="2"/>
        <v/>
      </c>
    </row>
    <row r="58" spans="1:10" ht="15">
      <c r="A58" s="46"/>
      <c r="B58" s="47" t="str">
        <f t="shared" si="3"/>
        <v/>
      </c>
      <c r="C58" s="48"/>
      <c r="D58" s="49"/>
      <c r="E58" s="49"/>
      <c r="F58" s="49"/>
      <c r="G58" s="49"/>
      <c r="H58" s="50" t="str">
        <f>IF($B58="","",IF($J58="X",B58,CONCATENATE(VLOOKUP(B58,Competitors!$A$2:$I$650,3,FALSE)," ",VLOOKUP(B58,Competitors!$A$2:$I$650,2,FALSE))))</f>
        <v/>
      </c>
      <c r="I58" s="51">
        <f t="shared" si="1"/>
        <v>0</v>
      </c>
      <c r="J58" t="str">
        <f t="shared" si="2"/>
        <v/>
      </c>
    </row>
    <row r="59" spans="1:10" ht="15">
      <c r="A59" s="46"/>
      <c r="B59" s="47" t="str">
        <f t="shared" si="3"/>
        <v/>
      </c>
      <c r="C59" s="48"/>
      <c r="D59" s="49"/>
      <c r="E59" s="49"/>
      <c r="F59" s="49"/>
      <c r="G59" s="49"/>
      <c r="H59" s="50" t="str">
        <f>IF($B59="","",IF($J59="X",B59,CONCATENATE(VLOOKUP(B59,Competitors!$A$2:$I$650,3,FALSE)," ",VLOOKUP(B59,Competitors!$A$2:$I$650,2,FALSE))))</f>
        <v/>
      </c>
      <c r="I59" s="51">
        <f t="shared" si="1"/>
        <v>0</v>
      </c>
      <c r="J59" t="str">
        <f t="shared" si="2"/>
        <v/>
      </c>
    </row>
    <row r="60" spans="1:10" ht="15">
      <c r="A60" s="46"/>
      <c r="B60" s="47" t="str">
        <f t="shared" si="3"/>
        <v/>
      </c>
      <c r="C60" s="48"/>
      <c r="D60" s="49"/>
      <c r="E60" s="49"/>
      <c r="F60" s="49"/>
      <c r="G60" s="49"/>
      <c r="H60" s="50" t="str">
        <f>IF($B60="","",IF($J60="X",B60,CONCATENATE(VLOOKUP(B60,Competitors!$A$2:$I$650,3,FALSE)," ",VLOOKUP(B60,Competitors!$A$2:$I$650,2,FALSE))))</f>
        <v/>
      </c>
      <c r="I60" s="51">
        <f t="shared" si="1"/>
        <v>0</v>
      </c>
      <c r="J60" t="str">
        <f t="shared" si="2"/>
        <v/>
      </c>
    </row>
    <row r="61" spans="1:10" ht="15">
      <c r="A61" s="46"/>
      <c r="B61" s="47" t="str">
        <f t="shared" si="3"/>
        <v/>
      </c>
      <c r="C61" s="48"/>
      <c r="D61" s="49"/>
      <c r="E61" s="49"/>
      <c r="F61" s="49"/>
      <c r="G61" s="49"/>
      <c r="H61" s="50" t="str">
        <f>IF($B61="","",IF($J61="X",B61,CONCATENATE(VLOOKUP(B61,Competitors!$A$2:$I$650,3,FALSE)," ",VLOOKUP(B61,Competitors!$A$2:$I$650,2,FALSE))))</f>
        <v/>
      </c>
      <c r="I61" s="51">
        <f t="shared" si="1"/>
        <v>0</v>
      </c>
      <c r="J61" t="str">
        <f t="shared" si="2"/>
        <v/>
      </c>
    </row>
    <row r="62" spans="1:10" ht="15">
      <c r="A62" s="46"/>
      <c r="B62" s="47" t="str">
        <f t="shared" si="3"/>
        <v/>
      </c>
      <c r="C62" s="48"/>
      <c r="D62" s="49"/>
      <c r="E62" s="49"/>
      <c r="F62" s="49"/>
      <c r="G62" s="49"/>
      <c r="H62" s="50" t="str">
        <f>IF($B62="","",IF($J62="X",B62,CONCATENATE(VLOOKUP(B62,Competitors!$A$2:$I$650,3,FALSE)," ",VLOOKUP(B62,Competitors!$A$2:$I$650,2,FALSE))))</f>
        <v/>
      </c>
      <c r="I62" s="51">
        <f t="shared" si="1"/>
        <v>0</v>
      </c>
      <c r="J62" t="str">
        <f t="shared" si="2"/>
        <v/>
      </c>
    </row>
    <row r="63" spans="1:10" ht="15">
      <c r="A63" s="46"/>
      <c r="B63" s="47" t="str">
        <f t="shared" si="3"/>
        <v/>
      </c>
      <c r="C63" s="48"/>
      <c r="D63" s="49"/>
      <c r="E63" s="49"/>
      <c r="F63" s="49"/>
      <c r="G63" s="49"/>
      <c r="H63" s="50" t="str">
        <f>IF($B63="","",IF($J63="X",B63,CONCATENATE(VLOOKUP(B63,Competitors!$A$2:$I$650,3,FALSE)," ",VLOOKUP(B63,Competitors!$A$2:$I$650,2,FALSE))))</f>
        <v/>
      </c>
      <c r="I63" s="51">
        <f t="shared" si="1"/>
        <v>0</v>
      </c>
      <c r="J63" t="str">
        <f t="shared" si="2"/>
        <v/>
      </c>
    </row>
    <row r="64" spans="1:10" ht="15">
      <c r="A64" s="46"/>
      <c r="B64" s="47" t="str">
        <f t="shared" si="3"/>
        <v/>
      </c>
      <c r="C64" s="48"/>
      <c r="D64" s="49"/>
      <c r="E64" s="49"/>
      <c r="F64" s="49"/>
      <c r="G64" s="49"/>
      <c r="H64" s="50" t="str">
        <f>IF($B64="","",IF($J64="X",B64,CONCATENATE(VLOOKUP(B64,Competitors!$A$2:$I$650,3,FALSE)," ",VLOOKUP(B64,Competitors!$A$2:$I$650,2,FALSE))))</f>
        <v/>
      </c>
      <c r="I64" s="51">
        <f t="shared" si="1"/>
        <v>0</v>
      </c>
      <c r="J64" t="str">
        <f t="shared" si="2"/>
        <v/>
      </c>
    </row>
    <row r="65" spans="1:10" ht="15">
      <c r="A65" s="46"/>
      <c r="B65" s="47" t="str">
        <f t="shared" si="3"/>
        <v/>
      </c>
      <c r="C65" s="48"/>
      <c r="D65" s="49"/>
      <c r="E65" s="49"/>
      <c r="F65" s="49"/>
      <c r="G65" s="49"/>
      <c r="H65" s="50" t="str">
        <f>IF($B65="","",IF($J65="X",B65,CONCATENATE(VLOOKUP(B65,Competitors!$A$2:$I$650,3,FALSE)," ",VLOOKUP(B65,Competitors!$A$2:$I$650,2,FALSE))))</f>
        <v/>
      </c>
      <c r="I65" s="51">
        <f t="shared" si="1"/>
        <v>0</v>
      </c>
      <c r="J65" t="str">
        <f t="shared" si="2"/>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4"/>
        <v>0</v>
      </c>
      <c r="J67" t="str">
        <f t="shared" si="5"/>
        <v/>
      </c>
    </row>
    <row r="68" spans="1:10" ht="15">
      <c r="A68" s="46"/>
      <c r="B68" s="47" t="str">
        <f t="shared" si="3"/>
        <v/>
      </c>
      <c r="C68" s="48"/>
      <c r="D68" s="49"/>
      <c r="E68" s="49"/>
      <c r="F68" s="49"/>
      <c r="G68" s="49"/>
      <c r="H68" s="50" t="str">
        <f>IF($B68="","",IF($J68="X",B68,CONCATENATE(VLOOKUP(B68,Competitors!$A$2:$I$650,3,FALSE)," ",VLOOKUP(B68,Competitors!$A$2:$I$650,2,FALSE))))</f>
        <v/>
      </c>
      <c r="I68" s="51">
        <f t="shared" si="4"/>
        <v>0</v>
      </c>
      <c r="J68" t="str">
        <f t="shared" si="5"/>
        <v/>
      </c>
    </row>
    <row r="69" spans="1:10" ht="15">
      <c r="A69" s="46"/>
      <c r="B69" s="47" t="str">
        <f t="shared" si="3"/>
        <v/>
      </c>
      <c r="C69" s="48"/>
      <c r="D69" s="49"/>
      <c r="E69" s="49"/>
      <c r="F69" s="49"/>
      <c r="G69" s="49"/>
      <c r="H69" s="50" t="str">
        <f>IF($B69="","",IF($J69="X",B69,CONCATENATE(VLOOKUP(B69,Competitors!$A$2:$I$650,3,FALSE)," ",VLOOKUP(B69,Competitors!$A$2:$I$650,2,FALSE))))</f>
        <v/>
      </c>
      <c r="I69" s="51">
        <f t="shared" si="4"/>
        <v>0</v>
      </c>
      <c r="J69" t="str">
        <f t="shared" si="5"/>
        <v/>
      </c>
    </row>
    <row r="70" spans="1:10" ht="15">
      <c r="A70" s="46"/>
      <c r="B70" s="47" t="str">
        <f t="shared" si="3"/>
        <v/>
      </c>
      <c r="C70" s="48"/>
      <c r="D70" s="49"/>
      <c r="E70" s="49"/>
      <c r="F70" s="49"/>
      <c r="G70" s="49"/>
      <c r="H70" s="50" t="str">
        <f>IF($B70="","",IF($J70="X",B70,CONCATENATE(VLOOKUP(B70,Competitors!$A$2:$I$650,3,FALSE)," ",VLOOKUP(B70,Competitors!$A$2:$I$650,2,FALSE))))</f>
        <v/>
      </c>
      <c r="I70" s="51">
        <f t="shared" si="4"/>
        <v>0</v>
      </c>
      <c r="J70" t="str">
        <f t="shared" si="5"/>
        <v/>
      </c>
    </row>
    <row r="71" spans="1:10" ht="15">
      <c r="A71" s="46"/>
      <c r="B71" s="47" t="str">
        <f t="shared" si="3"/>
        <v/>
      </c>
      <c r="C71" s="48"/>
      <c r="D71" s="49"/>
      <c r="E71" s="49"/>
      <c r="F71" s="49"/>
      <c r="G71" s="49"/>
      <c r="H71" s="50" t="str">
        <f>IF($B71="","",IF($J71="X",B71,CONCATENATE(VLOOKUP(B71,Competitors!$A$2:$I$650,3,FALSE)," ",VLOOKUP(B71,Competitors!$A$2:$I$650,2,FALSE))))</f>
        <v/>
      </c>
      <c r="I71" s="51">
        <f t="shared" si="4"/>
        <v>0</v>
      </c>
      <c r="J71" t="str">
        <f t="shared" si="5"/>
        <v/>
      </c>
    </row>
    <row r="72" spans="1:10" ht="15">
      <c r="A72" s="46"/>
      <c r="B72" s="47" t="str">
        <f t="shared" si="3"/>
        <v/>
      </c>
      <c r="C72" s="48"/>
      <c r="D72" s="49"/>
      <c r="E72" s="49"/>
      <c r="F72" s="49"/>
      <c r="G72" s="49"/>
      <c r="H72" s="50" t="str">
        <f>IF($B72="","",IF($J72="X",B72,CONCATENATE(VLOOKUP(B72,Competitors!$A$2:$I$650,3,FALSE)," ",VLOOKUP(B72,Competitors!$A$2:$I$650,2,FALSE))))</f>
        <v/>
      </c>
      <c r="I72" s="51">
        <f t="shared" si="4"/>
        <v>0</v>
      </c>
      <c r="J72" t="str">
        <f t="shared" si="5"/>
        <v/>
      </c>
    </row>
    <row r="73" spans="1:10" ht="15">
      <c r="A73" s="46"/>
      <c r="B73" s="47" t="str">
        <f t="shared" si="3"/>
        <v/>
      </c>
      <c r="C73" s="48"/>
      <c r="D73" s="49"/>
      <c r="E73" s="49"/>
      <c r="F73" s="49"/>
      <c r="G73" s="49"/>
      <c r="H73" s="50" t="str">
        <f>IF($B73="","",IF($J73="X",B73,CONCATENATE(VLOOKUP(B73,Competitors!$A$2:$I$650,3,FALSE)," ",VLOOKUP(B73,Competitors!$A$2:$I$650,2,FALSE))))</f>
        <v/>
      </c>
      <c r="I73" s="51">
        <f t="shared" si="4"/>
        <v>0</v>
      </c>
      <c r="J73" t="str">
        <f t="shared" si="5"/>
        <v/>
      </c>
    </row>
    <row r="74" spans="1:10" ht="15">
      <c r="A74" s="46"/>
      <c r="B74" s="47" t="str">
        <f t="shared" si="3"/>
        <v/>
      </c>
      <c r="C74" s="48"/>
      <c r="D74" s="49"/>
      <c r="E74" s="49"/>
      <c r="F74" s="49"/>
      <c r="G74" s="49"/>
      <c r="H74" s="50" t="str">
        <f>IF($B74="","",IF($J74="X",B74,CONCATENATE(VLOOKUP(B74,Competitors!$A$2:$I$650,3,FALSE)," ",VLOOKUP(B74,Competitors!$A$2:$I$650,2,FALSE))))</f>
        <v/>
      </c>
      <c r="I74" s="51">
        <f t="shared" si="4"/>
        <v>0</v>
      </c>
      <c r="J74" t="str">
        <f t="shared" si="5"/>
        <v/>
      </c>
    </row>
    <row r="75" spans="1:10" ht="15">
      <c r="A75" s="46"/>
      <c r="B75" s="47" t="str">
        <f t="shared" si="3"/>
        <v/>
      </c>
      <c r="C75" s="48"/>
      <c r="D75" s="49"/>
      <c r="E75" s="49"/>
      <c r="F75" s="49"/>
      <c r="G75" s="49"/>
      <c r="H75" s="50" t="str">
        <f>IF($B75="","",IF($J75="X",B75,CONCATENATE(VLOOKUP(B75,Competitors!$A$2:$I$650,3,FALSE)," ",VLOOKUP(B75,Competitors!$A$2:$I$650,2,FALSE))))</f>
        <v/>
      </c>
      <c r="I75" s="51">
        <f t="shared" si="4"/>
        <v>0</v>
      </c>
      <c r="J75" t="str">
        <f t="shared" si="5"/>
        <v/>
      </c>
    </row>
    <row r="76" spans="1:10" ht="15">
      <c r="A76" s="46"/>
      <c r="B76" s="47" t="str">
        <f t="shared" si="3"/>
        <v/>
      </c>
      <c r="C76" s="48"/>
      <c r="D76" s="49"/>
      <c r="E76" s="49"/>
      <c r="F76" s="49"/>
      <c r="G76" s="49"/>
      <c r="H76" s="50" t="str">
        <f>IF($B76="","",IF($J76="X",B76,CONCATENATE(VLOOKUP(B76,Competitors!$A$2:$I$650,3,FALSE)," ",VLOOKUP(B76,Competitors!$A$2:$I$650,2,FALSE))))</f>
        <v/>
      </c>
      <c r="I76" s="51">
        <f t="shared" si="4"/>
        <v>0</v>
      </c>
      <c r="J76" t="str">
        <f t="shared" si="5"/>
        <v/>
      </c>
    </row>
    <row r="77" spans="1:10" ht="15">
      <c r="A77" s="46"/>
      <c r="B77" s="47" t="str">
        <f t="shared" si="3"/>
        <v/>
      </c>
      <c r="C77" s="48"/>
      <c r="D77" s="49"/>
      <c r="E77" s="49"/>
      <c r="F77" s="49"/>
      <c r="G77" s="49"/>
      <c r="H77" s="50" t="str">
        <f>IF($B77="","",IF($J77="X",B77,CONCATENATE(VLOOKUP(B77,Competitors!$A$2:$I$650,3,FALSE)," ",VLOOKUP(B77,Competitors!$A$2:$I$650,2,FALSE))))</f>
        <v/>
      </c>
      <c r="I77" s="51">
        <f t="shared" si="4"/>
        <v>0</v>
      </c>
      <c r="J77" t="str">
        <f t="shared" si="5"/>
        <v/>
      </c>
    </row>
    <row r="78" spans="1:10" ht="15">
      <c r="A78" s="46"/>
      <c r="B78" s="47" t="str">
        <f t="shared" si="3"/>
        <v/>
      </c>
      <c r="C78" s="48"/>
      <c r="D78" s="49"/>
      <c r="E78" s="49"/>
      <c r="F78" s="49"/>
      <c r="G78" s="49"/>
      <c r="H78" s="50" t="str">
        <f>IF($B78="","",IF($J78="X",B78,CONCATENATE(VLOOKUP(B78,Competitors!$A$2:$I$650,3,FALSE)," ",VLOOKUP(B78,Competitors!$A$2:$I$650,2,FALSE))))</f>
        <v/>
      </c>
      <c r="I78" s="51">
        <f t="shared" si="4"/>
        <v>0</v>
      </c>
      <c r="J78" t="str">
        <f t="shared" si="5"/>
        <v/>
      </c>
    </row>
    <row r="79" spans="1:10" ht="15">
      <c r="A79" s="46"/>
      <c r="B79" s="47" t="str">
        <f t="shared" si="3"/>
        <v/>
      </c>
      <c r="C79" s="48"/>
      <c r="D79" s="49"/>
      <c r="E79" s="49"/>
      <c r="F79" s="49"/>
      <c r="G79" s="49"/>
      <c r="H79" s="50" t="str">
        <f>IF($B79="","",IF($J79="X",B79,CONCATENATE(VLOOKUP(B79,Competitors!$A$2:$I$650,3,FALSE)," ",VLOOKUP(B79,Competitors!$A$2:$I$650,2,FALSE))))</f>
        <v/>
      </c>
      <c r="I79" s="51">
        <f t="shared" si="4"/>
        <v>0</v>
      </c>
      <c r="J79" t="str">
        <f t="shared" si="5"/>
        <v/>
      </c>
    </row>
    <row r="80" spans="1:10" ht="15">
      <c r="A80" s="46"/>
      <c r="B80" s="47" t="str">
        <f t="shared" si="3"/>
        <v/>
      </c>
      <c r="C80" s="48"/>
      <c r="D80" s="49"/>
      <c r="E80" s="49"/>
      <c r="F80" s="49"/>
      <c r="G80" s="49"/>
      <c r="H80" s="50" t="str">
        <f>IF($B80="","",IF($J80="X",B80,CONCATENATE(VLOOKUP(B80,Competitors!$A$2:$I$650,3,FALSE)," ",VLOOKUP(B80,Competitors!$A$2:$I$650,2,FALSE))))</f>
        <v/>
      </c>
      <c r="I80" s="51">
        <f t="shared" si="4"/>
        <v>0</v>
      </c>
      <c r="J80" t="str">
        <f t="shared" si="5"/>
        <v/>
      </c>
    </row>
    <row r="81" spans="1:10" ht="15">
      <c r="A81" s="46"/>
      <c r="B81" s="47" t="str">
        <f t="shared" si="3"/>
        <v/>
      </c>
      <c r="C81" s="48"/>
      <c r="D81" s="49"/>
      <c r="E81" s="49"/>
      <c r="F81" s="49"/>
      <c r="G81" s="49"/>
      <c r="H81" s="50" t="str">
        <f>IF($B81="","",IF($J81="X",B81,CONCATENATE(VLOOKUP(B81,Competitors!$A$2:$I$650,3,FALSE)," ",VLOOKUP(B81,Competitors!$A$2:$I$650,2,FALSE))))</f>
        <v/>
      </c>
      <c r="I81" s="51">
        <f t="shared" si="4"/>
        <v>0</v>
      </c>
      <c r="J81" t="str">
        <f t="shared" si="5"/>
        <v/>
      </c>
    </row>
    <row r="82" spans="1:10" ht="15">
      <c r="A82" s="46"/>
      <c r="B82" s="47" t="str">
        <f t="shared" si="3"/>
        <v/>
      </c>
      <c r="C82" s="48"/>
      <c r="D82" s="49"/>
      <c r="E82" s="49"/>
      <c r="F82" s="49"/>
      <c r="G82" s="49"/>
      <c r="H82" s="50" t="str">
        <f>IF($B82="","",IF($J82="X",B82,CONCATENATE(VLOOKUP(B82,Competitors!$A$2:$I$650,3,FALSE)," ",VLOOKUP(B82,Competitors!$A$2:$I$650,2,FALSE))))</f>
        <v/>
      </c>
      <c r="I82" s="51">
        <f t="shared" si="4"/>
        <v>0</v>
      </c>
      <c r="J82" t="str">
        <f t="shared" si="5"/>
        <v/>
      </c>
    </row>
    <row r="83" spans="1:10" ht="15">
      <c r="A83" s="46"/>
      <c r="B83" s="47" t="str">
        <f t="shared" si="3"/>
        <v/>
      </c>
      <c r="C83" s="48"/>
      <c r="D83" s="49"/>
      <c r="E83" s="49"/>
      <c r="F83" s="49"/>
      <c r="G83" s="49"/>
      <c r="H83" s="50" t="str">
        <f>IF($B83="","",IF($J83="X",B83,CONCATENATE(VLOOKUP(B83,Competitors!$A$2:$I$650,3,FALSE)," ",VLOOKUP(B83,Competitors!$A$2:$I$650,2,FALSE))))</f>
        <v/>
      </c>
      <c r="I83" s="51">
        <f t="shared" si="4"/>
        <v>0</v>
      </c>
      <c r="J83" t="str">
        <f t="shared" si="5"/>
        <v/>
      </c>
    </row>
    <row r="84" spans="1:10" ht="15">
      <c r="A84" s="46"/>
      <c r="B84" s="47" t="str">
        <f t="shared" si="3"/>
        <v/>
      </c>
      <c r="C84" s="48"/>
      <c r="D84" s="49"/>
      <c r="E84" s="49"/>
      <c r="F84" s="49"/>
      <c r="G84" s="49"/>
      <c r="H84" s="50" t="str">
        <f>IF($B84="","",IF($J84="X",B84,CONCATENATE(VLOOKUP(B84,Competitors!$A$2:$I$650,3,FALSE)," ",VLOOKUP(B84,Competitors!$A$2:$I$650,2,FALSE))))</f>
        <v/>
      </c>
      <c r="I84" s="51">
        <f t="shared" si="4"/>
        <v>0</v>
      </c>
      <c r="J84" t="str">
        <f t="shared" si="5"/>
        <v/>
      </c>
    </row>
    <row r="85" spans="1:10" ht="15">
      <c r="A85" s="46"/>
      <c r="B85" s="47" t="str">
        <f t="shared" si="3"/>
        <v/>
      </c>
      <c r="C85" s="48"/>
      <c r="D85" s="49"/>
      <c r="E85" s="49"/>
      <c r="F85" s="49"/>
      <c r="G85" s="49"/>
      <c r="H85" s="50" t="str">
        <f>IF($B85="","",IF($J85="X",B85,CONCATENATE(VLOOKUP(B85,Competitors!$A$2:$I$650,3,FALSE)," ",VLOOKUP(B85,Competitors!$A$2:$I$650,2,FALSE))))</f>
        <v/>
      </c>
      <c r="I85" s="51">
        <f t="shared" si="4"/>
        <v>0</v>
      </c>
      <c r="J85" t="str">
        <f t="shared" si="5"/>
        <v/>
      </c>
    </row>
    <row r="86" spans="1:10" ht="15">
      <c r="A86" s="46"/>
      <c r="B86" s="47" t="str">
        <f t="shared" si="3"/>
        <v/>
      </c>
      <c r="C86" s="48"/>
      <c r="D86" s="49"/>
      <c r="E86" s="49"/>
      <c r="F86" s="49"/>
      <c r="G86" s="49"/>
      <c r="H86" s="50" t="str">
        <f>IF($B86="","",IF($J86="X",B86,CONCATENATE(VLOOKUP(B86,Competitors!$A$2:$I$650,3,FALSE)," ",VLOOKUP(B86,Competitors!$A$2:$I$650,2,FALSE))))</f>
        <v/>
      </c>
      <c r="I86" s="51">
        <f t="shared" si="4"/>
        <v>0</v>
      </c>
      <c r="J86" t="str">
        <f t="shared" si="5"/>
        <v/>
      </c>
    </row>
    <row r="87" spans="1:10" ht="15">
      <c r="A87" s="46"/>
      <c r="B87" s="47" t="str">
        <f t="shared" si="3"/>
        <v/>
      </c>
      <c r="C87" s="48"/>
      <c r="D87" s="49"/>
      <c r="E87" s="49"/>
      <c r="F87" s="49"/>
      <c r="G87" s="49"/>
      <c r="H87" s="50" t="str">
        <f>IF($B87="","",IF($J87="X",B87,CONCATENATE(VLOOKUP(B87,Competitors!$A$2:$I$650,3,FALSE)," ",VLOOKUP(B87,Competitors!$A$2:$I$650,2,FALSE))))</f>
        <v/>
      </c>
      <c r="I87" s="51">
        <f t="shared" si="4"/>
        <v>0</v>
      </c>
      <c r="J87" t="str">
        <f t="shared" si="5"/>
        <v/>
      </c>
    </row>
    <row r="88" spans="1:10" ht="15">
      <c r="A88" s="46"/>
      <c r="B88" s="47" t="str">
        <f t="shared" si="3"/>
        <v/>
      </c>
      <c r="C88" s="48"/>
      <c r="D88" s="49"/>
      <c r="E88" s="49"/>
      <c r="F88" s="49"/>
      <c r="G88" s="49"/>
      <c r="H88" s="50" t="str">
        <f>IF($B88="","",IF($J88="X",B88,CONCATENATE(VLOOKUP(B88,Competitors!$A$2:$I$650,3,FALSE)," ",VLOOKUP(B88,Competitors!$A$2:$I$650,2,FALSE))))</f>
        <v/>
      </c>
      <c r="I88" s="51">
        <f t="shared" si="4"/>
        <v>0</v>
      </c>
      <c r="J88" t="str">
        <f t="shared" si="5"/>
        <v/>
      </c>
    </row>
    <row r="89" spans="1:10" ht="15">
      <c r="A89" s="46"/>
      <c r="B89" s="47" t="str">
        <f t="shared" si="3"/>
        <v/>
      </c>
      <c r="C89" s="48"/>
      <c r="D89" s="49"/>
      <c r="E89" s="49"/>
      <c r="F89" s="49"/>
      <c r="G89" s="49"/>
      <c r="H89" s="50" t="str">
        <f>IF($B89="","",IF($J89="X",B89,CONCATENATE(VLOOKUP(B89,Competitors!$A$2:$I$650,3,FALSE)," ",VLOOKUP(B89,Competitors!$A$2:$I$650,2,FALSE))))</f>
        <v/>
      </c>
      <c r="I89" s="51">
        <f t="shared" si="4"/>
        <v>0</v>
      </c>
      <c r="J89" t="str">
        <f t="shared" si="5"/>
        <v/>
      </c>
    </row>
    <row r="90" spans="1:10" ht="15">
      <c r="A90" s="46"/>
      <c r="B90" s="47" t="str">
        <f t="shared" si="3"/>
        <v/>
      </c>
      <c r="C90" s="48"/>
      <c r="D90" s="49"/>
      <c r="E90" s="49"/>
      <c r="F90" s="49"/>
      <c r="G90" s="49"/>
      <c r="H90" s="50" t="str">
        <f>IF($B90="","",IF($J90="X",B90,CONCATENATE(VLOOKUP(B90,Competitors!$A$2:$I$650,3,FALSE)," ",VLOOKUP(B90,Competitors!$A$2:$I$650,2,FALSE))))</f>
        <v/>
      </c>
      <c r="I90" s="51">
        <f t="shared" si="4"/>
        <v>0</v>
      </c>
      <c r="J90" t="str">
        <f t="shared" si="5"/>
        <v/>
      </c>
    </row>
    <row r="91" spans="1:10" ht="15">
      <c r="A91" s="46"/>
      <c r="B91" s="47" t="str">
        <f t="shared" si="3"/>
        <v/>
      </c>
      <c r="C91" s="48"/>
      <c r="D91" s="49"/>
      <c r="E91" s="49"/>
      <c r="F91" s="49"/>
      <c r="G91" s="49"/>
      <c r="H91" s="50" t="str">
        <f>IF($B91="","",IF($J91="X",B91,CONCATENATE(VLOOKUP(B91,Competitors!$A$2:$I$650,3,FALSE)," ",VLOOKUP(B91,Competitors!$A$2:$I$650,2,FALSE))))</f>
        <v/>
      </c>
      <c r="I91" s="51">
        <f t="shared" si="4"/>
        <v>0</v>
      </c>
      <c r="J91" t="str">
        <f t="shared" si="5"/>
        <v/>
      </c>
    </row>
    <row r="92" spans="1:10" ht="15">
      <c r="A92" s="46"/>
      <c r="B92" s="47" t="str">
        <f t="shared" si="3"/>
        <v/>
      </c>
      <c r="C92" s="48"/>
      <c r="D92" s="49"/>
      <c r="E92" s="49"/>
      <c r="F92" s="49"/>
      <c r="G92" s="49"/>
      <c r="H92" s="50" t="str">
        <f>IF($B92="","",IF($J92="X",B92,CONCATENATE(VLOOKUP(B92,Competitors!$A$2:$I$650,3,FALSE)," ",VLOOKUP(B92,Competitors!$A$2:$I$650,2,FALSE))))</f>
        <v/>
      </c>
      <c r="I92" s="51">
        <f t="shared" si="4"/>
        <v>0</v>
      </c>
      <c r="J92" t="str">
        <f t="shared" si="5"/>
        <v/>
      </c>
    </row>
    <row r="93" spans="1:10" ht="15">
      <c r="A93" s="46"/>
      <c r="B93" s="47" t="str">
        <f t="shared" si="3"/>
        <v/>
      </c>
      <c r="C93" s="48"/>
      <c r="D93" s="49"/>
      <c r="E93" s="49"/>
      <c r="F93" s="49"/>
      <c r="G93" s="49"/>
      <c r="H93" s="50" t="str">
        <f>IF($B93="","",IF($J93="X",B93,CONCATENATE(VLOOKUP(B93,Competitors!$A$2:$I$650,3,FALSE)," ",VLOOKUP(B93,Competitors!$A$2:$I$650,2,FALSE))))</f>
        <v/>
      </c>
      <c r="I93" s="51">
        <f t="shared" si="4"/>
        <v>0</v>
      </c>
      <c r="J93" t="str">
        <f t="shared" si="5"/>
        <v/>
      </c>
    </row>
    <row r="94" spans="1:10" ht="15">
      <c r="A94" s="46"/>
      <c r="B94" s="47" t="str">
        <f t="shared" si="3"/>
        <v/>
      </c>
      <c r="C94" s="48"/>
      <c r="D94" s="49"/>
      <c r="E94" s="49"/>
      <c r="F94" s="49"/>
      <c r="G94" s="49"/>
      <c r="H94" s="50" t="str">
        <f>IF($B94="","",IF($J94="X",B94,CONCATENATE(VLOOKUP(B94,Competitors!$A$2:$I$650,3,FALSE)," ",VLOOKUP(B94,Competitors!$A$2:$I$650,2,FALSE))))</f>
        <v/>
      </c>
      <c r="I94" s="51">
        <f t="shared" si="4"/>
        <v>0</v>
      </c>
      <c r="J94" t="str">
        <f t="shared" si="5"/>
        <v/>
      </c>
    </row>
    <row r="95" spans="1:10" ht="15">
      <c r="A95" s="46"/>
      <c r="B95" s="47" t="str">
        <f t="shared" si="3"/>
        <v/>
      </c>
      <c r="C95" s="48"/>
      <c r="D95" s="49"/>
      <c r="E95" s="49"/>
      <c r="F95" s="49"/>
      <c r="G95" s="49"/>
      <c r="H95" s="50" t="str">
        <f>IF($B95="","",IF($J95="X",B95,CONCATENATE(VLOOKUP(B95,Competitors!$A$2:$I$650,3,FALSE)," ",VLOOKUP(B95,Competitors!$A$2:$I$650,2,FALSE))))</f>
        <v/>
      </c>
      <c r="I95" s="51">
        <f t="shared" si="4"/>
        <v>0</v>
      </c>
      <c r="J95" t="str">
        <f t="shared" si="5"/>
        <v/>
      </c>
    </row>
    <row r="96" spans="1:10" ht="15">
      <c r="A96" s="46"/>
      <c r="B96" s="47" t="str">
        <f t="shared" si="3"/>
        <v/>
      </c>
      <c r="C96" s="48"/>
      <c r="D96" s="49"/>
      <c r="E96" s="49"/>
      <c r="F96" s="49"/>
      <c r="G96" s="49"/>
      <c r="H96" s="50" t="str">
        <f>IF($B96="","",IF($J96="X",B96,CONCATENATE(VLOOKUP(B96,Competitors!$A$2:$I$650,3,FALSE)," ",VLOOKUP(B96,Competitors!$A$2:$I$650,2,FALSE))))</f>
        <v/>
      </c>
      <c r="I96" s="51">
        <f t="shared" si="4"/>
        <v>0</v>
      </c>
      <c r="J96" t="str">
        <f t="shared" si="5"/>
        <v/>
      </c>
    </row>
    <row r="97" spans="1:10" ht="15">
      <c r="A97" s="46"/>
      <c r="B97" s="47" t="str">
        <f t="shared" si="3"/>
        <v/>
      </c>
      <c r="C97" s="48"/>
      <c r="D97" s="49"/>
      <c r="E97" s="49"/>
      <c r="F97" s="49"/>
      <c r="G97" s="4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Event_23</v>
      </c>
    </row>
    <row r="104" spans="1:10">
      <c r="B104" t="s">
        <v>552</v>
      </c>
      <c r="C104" t="str">
        <f ca="1">_xlfn.XLOOKUP(C103,Calendar!O:O,Calendar!H:H,"Event is not in calendar")</f>
        <v/>
      </c>
    </row>
  </sheetData>
  <conditionalFormatting sqref="E2:E101">
    <cfRule type="expression" dxfId="14" priority="1">
      <formula>TEXT($C$104,"@")="Y"</formula>
    </cfRule>
  </conditionalFormatting>
  <conditionalFormatting sqref="H2:I101">
    <cfRule type="expression" dxfId="13" priority="3">
      <formula>$J2="X"</formula>
    </cfRule>
  </conditionalFormatting>
  <conditionalFormatting sqref="I2:I101">
    <cfRule type="expression" dxfId="12" priority="2">
      <formula>TEXT($C$104,"@")="Y"</formula>
    </cfRule>
  </conditionalFormatting>
  <pageMargins left="0.7" right="0.7" top="0.75" bottom="0.75" header="0.3" footer="0.3"/>
  <pageSetup paperSize="9" orientation="portrait"/>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6"/>
  <dimension ref="A1:J104"/>
  <sheetViews>
    <sheetView workbookViewId="0">
      <selection activeCell="F44" sqref="F44"/>
    </sheetView>
    <sheetView workbookViewId="1"/>
  </sheetViews>
  <sheetFormatPr defaultColWidth="9.1328125" defaultRowHeight="12.75"/>
  <cols>
    <col min="1" max="1" width="36.46484375" bestFit="1" customWidth="1"/>
    <col min="2" max="2" width="49.6640625" bestFit="1" customWidth="1"/>
    <col min="3" max="5" width="4.796875" customWidth="1"/>
    <col min="6" max="7" width="11.1328125" customWidth="1"/>
    <col min="8" max="8" width="27.86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628</v>
      </c>
      <c r="B2" s="47">
        <f t="shared" ref="B2:B33" si="0">IF(A2="","",_xlfn.XLOOKUP(A2,ClubNames,ClubNumbers,_xlfn.XLOOKUP(A2,RoundRobinRiderNames,RoundRobinRiderDecoratedNames,A2)))</f>
        <v>1415</v>
      </c>
      <c r="C2" s="48"/>
      <c r="D2" s="49">
        <v>27</v>
      </c>
      <c r="E2" s="49">
        <v>54</v>
      </c>
      <c r="F2" s="49" t="s">
        <v>544</v>
      </c>
      <c r="G2" s="49"/>
      <c r="H2" s="50" t="str">
        <f>IF($B2="","",IF($J2="X",B2,CONCATENATE(VLOOKUP(B2,Competitors!$A$2:$I$650,3, FALSE)," ",VLOOKUP(B2,Competitors!$A$2:$I$650,2,FALSE))))</f>
        <v>James Aldridge</v>
      </c>
      <c r="I2" s="51">
        <f t="shared" ref="I2:I65" si="1">IF(LEFT($F2,1)="D",UPPER($F2),(C2*3600+D2*60+E2)/86400)</f>
        <v>1.9375E-2</v>
      </c>
      <c r="J2" t="str">
        <f t="shared" ref="J2:J65" si="2">IF(OR(B2="",ISNUMBER(B2)),"","X")</f>
        <v/>
      </c>
    </row>
    <row r="3" spans="1:10" ht="15">
      <c r="A3" s="46" t="s">
        <v>444</v>
      </c>
      <c r="B3" s="47">
        <f t="shared" si="0"/>
        <v>1386</v>
      </c>
      <c r="C3" s="48"/>
      <c r="D3" s="49">
        <v>30</v>
      </c>
      <c r="E3" s="49">
        <v>8</v>
      </c>
      <c r="F3" s="49" t="s">
        <v>544</v>
      </c>
      <c r="G3" s="49"/>
      <c r="H3" s="50" t="str">
        <f>IF($B3="","",IF($J3="X",B3,CONCATENATE(VLOOKUP(B3,Competitors!$A$2:$I$650,3,FALSE)," ",VLOOKUP(B3,Competitors!$A$2:$I$650,2,FALSE))))</f>
        <v>Mea Moore</v>
      </c>
      <c r="I3" s="51">
        <f t="shared" si="1"/>
        <v>2.0925925925925924E-2</v>
      </c>
      <c r="J3" t="str">
        <f t="shared" si="2"/>
        <v/>
      </c>
    </row>
    <row r="4" spans="1:10" ht="15">
      <c r="A4" s="46" t="s">
        <v>459</v>
      </c>
      <c r="B4" s="47">
        <f t="shared" si="0"/>
        <v>742</v>
      </c>
      <c r="C4" s="48"/>
      <c r="D4" s="49">
        <v>34</v>
      </c>
      <c r="E4" s="49">
        <v>53</v>
      </c>
      <c r="F4" s="49" t="s">
        <v>544</v>
      </c>
      <c r="G4" s="49"/>
      <c r="H4" s="50" t="str">
        <f>IF($B4="","",IF($J4="X",B4,CONCATENATE(VLOOKUP(B4,Competitors!$A$2:$I$650,3,FALSE)," ",VLOOKUP(B4,Competitors!$A$2:$I$650,2,FALSE))))</f>
        <v>Claire Moore</v>
      </c>
      <c r="I4" s="51">
        <f t="shared" si="1"/>
        <v>2.4224537037037037E-2</v>
      </c>
      <c r="J4" t="str">
        <f t="shared" si="2"/>
        <v/>
      </c>
    </row>
    <row r="5" spans="1:10" ht="15">
      <c r="A5" s="46" t="s">
        <v>579</v>
      </c>
      <c r="B5" s="47">
        <f t="shared" si="0"/>
        <v>1370</v>
      </c>
      <c r="C5" s="48"/>
      <c r="D5" s="49">
        <v>25</v>
      </c>
      <c r="E5" s="49">
        <v>29</v>
      </c>
      <c r="F5" s="49" t="s">
        <v>544</v>
      </c>
      <c r="G5" s="49"/>
      <c r="H5" s="50" t="str">
        <f>IF($B5="","",IF($J5="X",B5,CONCATENATE(VLOOKUP(B5,Competitors!$A$2:$I$650,3,FALSE)," ",VLOOKUP(B5,Competitors!$A$2:$I$650,2,FALSE))))</f>
        <v>Ian Aldridge</v>
      </c>
      <c r="I5" s="51">
        <f t="shared" si="1"/>
        <v>1.7696759259259259E-2</v>
      </c>
      <c r="J5" t="str">
        <f t="shared" si="2"/>
        <v/>
      </c>
    </row>
    <row r="6" spans="1:10" ht="15">
      <c r="A6" s="46" t="s">
        <v>616</v>
      </c>
      <c r="B6" s="47">
        <f t="shared" si="0"/>
        <v>990</v>
      </c>
      <c r="C6" s="48"/>
      <c r="D6" s="49">
        <v>34</v>
      </c>
      <c r="E6" s="49">
        <v>50</v>
      </c>
      <c r="F6" s="49" t="s">
        <v>544</v>
      </c>
      <c r="G6" s="49"/>
      <c r="H6" s="50" t="str">
        <f>IF($B6="","",IF($J6="X",B6,CONCATENATE(VLOOKUP(B6,Competitors!$A$2:$I$650,3,FALSE)," ",VLOOKUP(B6,Competitors!$A$2:$I$650,2,FALSE))))</f>
        <v>Jen Hulme</v>
      </c>
      <c r="I6" s="51">
        <f t="shared" si="1"/>
        <v>2.4189814814814813E-2</v>
      </c>
      <c r="J6" t="str">
        <f t="shared" si="2"/>
        <v/>
      </c>
    </row>
    <row r="7" spans="1:10" ht="15">
      <c r="A7" s="46" t="s">
        <v>793</v>
      </c>
      <c r="B7" s="47" t="str">
        <f t="shared" si="0"/>
        <v>Giles Brook (RFW)</v>
      </c>
      <c r="C7" s="48"/>
      <c r="D7" s="49">
        <v>25</v>
      </c>
      <c r="E7" s="49">
        <v>57</v>
      </c>
      <c r="F7" s="49"/>
      <c r="G7" s="49"/>
      <c r="H7" s="50" t="str">
        <f>IF($B7="","",IF($J7="X",B7,CONCATENATE(VLOOKUP(B7,Competitors!$A$2:$I$650,3,FALSE)," ",VLOOKUP(B7,Competitors!$A$2:$I$650,2,FALSE))))</f>
        <v>Giles Brook (RFW)</v>
      </c>
      <c r="I7" s="51">
        <f t="shared" si="1"/>
        <v>1.8020833333333333E-2</v>
      </c>
      <c r="J7" t="str">
        <f t="shared" si="2"/>
        <v>X</v>
      </c>
    </row>
    <row r="8" spans="1:10" ht="15">
      <c r="A8" s="46" t="s">
        <v>730</v>
      </c>
      <c r="B8" s="47" t="str">
        <f t="shared" si="0"/>
        <v>Eric Fullerton (LFCC)</v>
      </c>
      <c r="C8" s="48"/>
      <c r="D8" s="49">
        <v>31</v>
      </c>
      <c r="E8" s="49">
        <v>32</v>
      </c>
      <c r="F8" s="49" t="s">
        <v>544</v>
      </c>
      <c r="G8" s="49"/>
      <c r="H8" s="50" t="str">
        <f>IF($B8="","",IF($J8="X",B8,CONCATENATE(VLOOKUP(B8,Competitors!$A$2:$I$650,3,FALSE)," ",VLOOKUP(B8,Competitors!$A$2:$I$650,2,FALSE))))</f>
        <v>Eric Fullerton (LFCC)</v>
      </c>
      <c r="I8" s="51">
        <f t="shared" si="1"/>
        <v>2.1898148148148149E-2</v>
      </c>
      <c r="J8" t="str">
        <f t="shared" si="2"/>
        <v>X</v>
      </c>
    </row>
    <row r="9" spans="1:10" ht="15">
      <c r="A9" s="46" t="s">
        <v>451</v>
      </c>
      <c r="B9" s="47">
        <f t="shared" si="0"/>
        <v>1244</v>
      </c>
      <c r="C9" s="48"/>
      <c r="D9" s="49"/>
      <c r="E9" s="49"/>
      <c r="F9" s="49" t="s">
        <v>544</v>
      </c>
      <c r="G9" s="49" t="s">
        <v>553</v>
      </c>
      <c r="H9" s="50" t="str">
        <f>IF($B9="","",IF($J9="X",B9,CONCATENATE(VLOOKUP(B9,Competitors!$A$2:$I$650,3,FALSE)," ",VLOOKUP(B9,Competitors!$A$2:$I$650,2,FALSE))))</f>
        <v>Steven Latham</v>
      </c>
      <c r="I9" s="51">
        <f t="shared" si="1"/>
        <v>0</v>
      </c>
      <c r="J9" t="str">
        <f t="shared" si="2"/>
        <v/>
      </c>
    </row>
    <row r="10" spans="1:10" ht="15">
      <c r="A10" s="46" t="s">
        <v>446</v>
      </c>
      <c r="B10" s="47">
        <f t="shared" si="0"/>
        <v>1379</v>
      </c>
      <c r="C10" s="48"/>
      <c r="D10" s="49"/>
      <c r="E10" s="49"/>
      <c r="F10" s="49" t="s">
        <v>544</v>
      </c>
      <c r="G10" s="49" t="s">
        <v>553</v>
      </c>
      <c r="H10" s="50" t="str">
        <f>IF($B10="","",IF($J10="X",B10,CONCATENATE(VLOOKUP(B10,Competitors!$A$2:$I$650,3, FALSE)," ",VLOOKUP(B10,Competitors!$A$2:$I$650,2,FALSE))))</f>
        <v>Michaela Latham</v>
      </c>
      <c r="I10" s="51">
        <f t="shared" si="1"/>
        <v>0</v>
      </c>
      <c r="J10" t="str">
        <f t="shared" si="2"/>
        <v/>
      </c>
    </row>
    <row r="11" spans="1:10" ht="15">
      <c r="A11" s="46" t="s">
        <v>685</v>
      </c>
      <c r="B11" s="47" t="str">
        <f t="shared" si="0"/>
        <v>Steve Walsh (LFCC)</v>
      </c>
      <c r="C11" s="48"/>
      <c r="D11" s="49">
        <v>30</v>
      </c>
      <c r="E11" s="49">
        <v>27</v>
      </c>
      <c r="F11" s="49" t="s">
        <v>544</v>
      </c>
      <c r="G11" s="49"/>
      <c r="H11" s="50" t="str">
        <f>IF($B11="","",IF($J11="X",B11,CONCATENATE(VLOOKUP(B11,Competitors!$A$2:$I$650,3,FALSE)," ",VLOOKUP(B11,Competitors!$A$2:$I$650,2,FALSE))))</f>
        <v>Steve Walsh (LFCC)</v>
      </c>
      <c r="I11" s="51">
        <f t="shared" si="1"/>
        <v>2.1145833333333332E-2</v>
      </c>
      <c r="J11" t="str">
        <f t="shared" si="2"/>
        <v>X</v>
      </c>
    </row>
    <row r="12" spans="1:10" ht="15">
      <c r="A12" s="46" t="s">
        <v>618</v>
      </c>
      <c r="B12" s="47" t="str">
        <f t="shared" si="0"/>
        <v>Ian Bird (KCC)</v>
      </c>
      <c r="C12" s="48"/>
      <c r="D12" s="49">
        <v>30</v>
      </c>
      <c r="E12" s="49">
        <v>17</v>
      </c>
      <c r="F12" s="49" t="s">
        <v>544</v>
      </c>
      <c r="G12" s="49"/>
      <c r="H12" s="50" t="str">
        <f>IF($B12="","",IF($J12="X",B12,CONCATENATE(VLOOKUP(B12,Competitors!$A$2:$I$650,3,FALSE)," ",VLOOKUP(B12,Competitors!$A$2:$I$650,2,FALSE))))</f>
        <v>Ian Bird (KCC)</v>
      </c>
      <c r="I12" s="51">
        <f t="shared" si="1"/>
        <v>2.1030092592592593E-2</v>
      </c>
      <c r="J12" t="str">
        <f t="shared" si="2"/>
        <v>X</v>
      </c>
    </row>
    <row r="13" spans="1:10" ht="15">
      <c r="A13" s="46" t="s">
        <v>526</v>
      </c>
      <c r="B13" s="47" t="str">
        <f t="shared" si="0"/>
        <v>Paul Ryan (RFW)</v>
      </c>
      <c r="C13" s="48"/>
      <c r="D13" s="49">
        <v>31</v>
      </c>
      <c r="E13" s="49">
        <v>22</v>
      </c>
      <c r="F13" s="49" t="s">
        <v>544</v>
      </c>
      <c r="G13" s="49"/>
      <c r="H13" s="50" t="str">
        <f>IF($B13="","",IF($J13="X",B13,CONCATENATE(VLOOKUP(B13,Competitors!$A$2:$I$650,3,FALSE)," ",VLOOKUP(B13,Competitors!$A$2:$I$650,2,FALSE))))</f>
        <v>Paul Ryan (RFW)</v>
      </c>
      <c r="I13" s="51">
        <f t="shared" si="1"/>
        <v>2.1782407407407407E-2</v>
      </c>
      <c r="J13" t="str">
        <f t="shared" si="2"/>
        <v>X</v>
      </c>
    </row>
    <row r="14" spans="1:10" ht="15">
      <c r="A14" s="46" t="s">
        <v>430</v>
      </c>
      <c r="B14" s="47">
        <f t="shared" si="0"/>
        <v>616</v>
      </c>
      <c r="C14" s="48"/>
      <c r="D14" s="49">
        <v>31</v>
      </c>
      <c r="E14" s="49">
        <v>25</v>
      </c>
      <c r="F14" s="49"/>
      <c r="G14" s="49"/>
      <c r="H14" s="50" t="str">
        <f>IF($B14="","",IF($J14="X",B14,CONCATENATE(VLOOKUP(B14,Competitors!$A$2:$I$650,3,FALSE)," ",VLOOKUP(B14,Competitors!$A$2:$I$650,2,FALSE))))</f>
        <v>Simon Ward</v>
      </c>
      <c r="I14" s="51">
        <f t="shared" si="1"/>
        <v>2.1817129629629631E-2</v>
      </c>
      <c r="J14" t="str">
        <f t="shared" si="2"/>
        <v/>
      </c>
    </row>
    <row r="15" spans="1:10" ht="15">
      <c r="A15" s="46" t="s">
        <v>746</v>
      </c>
      <c r="B15" s="47">
        <f t="shared" si="0"/>
        <v>1357</v>
      </c>
      <c r="C15" s="48"/>
      <c r="D15" s="49">
        <v>28</v>
      </c>
      <c r="E15" s="49">
        <v>53</v>
      </c>
      <c r="F15" s="49" t="s">
        <v>544</v>
      </c>
      <c r="G15" s="49"/>
      <c r="H15" s="50" t="str">
        <f>IF($B15="","",IF($J15="X",B15,CONCATENATE(VLOOKUP(B15,Competitors!$A$2:$I$650,3,FALSE)," ",VLOOKUP(B15,Competitors!$A$2:$I$650,2,FALSE))))</f>
        <v>Ian Parker</v>
      </c>
      <c r="I15" s="51">
        <f t="shared" si="1"/>
        <v>2.0057870370370372E-2</v>
      </c>
      <c r="J15" t="str">
        <f t="shared" si="2"/>
        <v/>
      </c>
    </row>
    <row r="16" spans="1:10" ht="15">
      <c r="A16" s="46" t="s">
        <v>775</v>
      </c>
      <c r="B16" s="47">
        <f t="shared" si="0"/>
        <v>1428</v>
      </c>
      <c r="C16" s="48"/>
      <c r="D16" s="49">
        <v>26</v>
      </c>
      <c r="E16" s="49">
        <v>36</v>
      </c>
      <c r="F16" s="49" t="s">
        <v>544</v>
      </c>
      <c r="G16" s="49"/>
      <c r="H16" s="50" t="str">
        <f>IF($B16="","",IF($J16="X",B16,CONCATENATE(VLOOKUP(B16,Competitors!$A$2:$I$650,3,FALSE)," ",VLOOKUP(B16,Competitors!$A$2:$I$650,2,FALSE))))</f>
        <v>Oliver Voice</v>
      </c>
      <c r="I16" s="51">
        <f t="shared" si="1"/>
        <v>1.8472222222222223E-2</v>
      </c>
      <c r="J16" t="str">
        <f t="shared" si="2"/>
        <v/>
      </c>
    </row>
    <row r="17" spans="1:10" ht="15">
      <c r="A17" s="46" t="s">
        <v>520</v>
      </c>
      <c r="B17" s="47" t="str">
        <f t="shared" si="0"/>
        <v>Giles Cooper (RFW)</v>
      </c>
      <c r="C17" s="48"/>
      <c r="D17" s="49">
        <v>26</v>
      </c>
      <c r="E17" s="49">
        <v>44</v>
      </c>
      <c r="F17" s="49"/>
      <c r="G17" s="49"/>
      <c r="H17" s="50" t="str">
        <f>IF($B17="","",IF($J17="X",B17,CONCATENATE(VLOOKUP(B17,Competitors!$A$2:$I$650,3,FALSE)," ",VLOOKUP(B17,Competitors!$A$2:$I$650,2,FALSE))))</f>
        <v>Giles Cooper (RFW)</v>
      </c>
      <c r="I17" s="51">
        <f t="shared" si="1"/>
        <v>1.8564814814814815E-2</v>
      </c>
      <c r="J17" t="str">
        <f t="shared" si="2"/>
        <v>X</v>
      </c>
    </row>
    <row r="18" spans="1:10" ht="15">
      <c r="A18" s="46" t="s">
        <v>422</v>
      </c>
      <c r="B18" s="47">
        <f t="shared" si="0"/>
        <v>1407</v>
      </c>
      <c r="C18" s="48"/>
      <c r="D18" s="49">
        <v>26</v>
      </c>
      <c r="E18" s="49">
        <v>53</v>
      </c>
      <c r="F18" s="49" t="s">
        <v>544</v>
      </c>
      <c r="G18" s="49"/>
      <c r="H18" s="50" t="str">
        <f>IF($B18="","",IF($J18="X",B18,CONCATENATE(VLOOKUP(B18,Competitors!$A$2:$I$650,3,FALSE)," ",VLOOKUP(B18,Competitors!$A$2:$I$650,2,FALSE))))</f>
        <v>Colin Dobson</v>
      </c>
      <c r="I18" s="51">
        <f t="shared" si="1"/>
        <v>1.8668981481481481E-2</v>
      </c>
      <c r="J18" t="str">
        <f t="shared" si="2"/>
        <v/>
      </c>
    </row>
    <row r="19" spans="1:10" ht="15">
      <c r="A19" s="46" t="s">
        <v>501</v>
      </c>
      <c r="B19" s="47" t="str">
        <f t="shared" si="0"/>
        <v>Chris Bonsor (Ratae)</v>
      </c>
      <c r="C19" s="48"/>
      <c r="D19" s="49">
        <v>27</v>
      </c>
      <c r="E19" s="49">
        <v>25</v>
      </c>
      <c r="F19" s="49"/>
      <c r="G19" s="49"/>
      <c r="H19" s="50" t="str">
        <f>IF($B19="","",IF($J19="X",B19,CONCATENATE(VLOOKUP(B19,Competitors!$A$2:$I$650,3,FALSE)," ",VLOOKUP(B19,Competitors!$A$2:$I$650,2,FALSE))))</f>
        <v>Chris Bonsor (Ratae)</v>
      </c>
      <c r="I19" s="51">
        <f t="shared" si="1"/>
        <v>1.9039351851851852E-2</v>
      </c>
      <c r="J19" t="str">
        <f t="shared" si="2"/>
        <v>X</v>
      </c>
    </row>
    <row r="20" spans="1:10" ht="15">
      <c r="A20" s="46" t="s">
        <v>421</v>
      </c>
      <c r="B20" s="47">
        <f t="shared" si="0"/>
        <v>415</v>
      </c>
      <c r="C20" s="48"/>
      <c r="D20" s="49">
        <v>25</v>
      </c>
      <c r="E20" s="49">
        <v>59</v>
      </c>
      <c r="F20" s="49"/>
      <c r="G20" s="49"/>
      <c r="H20" s="50" t="str">
        <f>IF($B20="","",IF($J20="X",B20,CONCATENATE(VLOOKUP(B20,Competitors!$A$2:$I$650,3,FALSE)," ",VLOOKUP(B20,Competitors!$A$2:$I$650,2,FALSE))))</f>
        <v>Nik Kershaw</v>
      </c>
      <c r="I20" s="51">
        <f t="shared" si="1"/>
        <v>1.804398148148148E-2</v>
      </c>
      <c r="J20" t="str">
        <f t="shared" si="2"/>
        <v/>
      </c>
    </row>
    <row r="21" spans="1:10" ht="15">
      <c r="A21" s="46" t="s">
        <v>426</v>
      </c>
      <c r="B21" s="47">
        <f t="shared" si="0"/>
        <v>1055</v>
      </c>
      <c r="C21" s="48"/>
      <c r="D21" s="49">
        <v>26</v>
      </c>
      <c r="E21" s="49">
        <v>57</v>
      </c>
      <c r="F21" s="49" t="s">
        <v>544</v>
      </c>
      <c r="G21" s="49"/>
      <c r="H21" s="50" t="str">
        <f>IF($B21="","",IF($J21="X",B21,CONCATENATE(VLOOKUP(B21,Competitors!$A$2:$I$650,3,FALSE)," ",VLOOKUP(B21,Competitors!$A$2:$I$650,2,FALSE))))</f>
        <v>Austin Smith</v>
      </c>
      <c r="I21" s="51">
        <f t="shared" si="1"/>
        <v>1.8715277777777779E-2</v>
      </c>
      <c r="J21" t="str">
        <f t="shared" si="2"/>
        <v/>
      </c>
    </row>
    <row r="22" spans="1:10" ht="15">
      <c r="A22" s="46" t="s">
        <v>429</v>
      </c>
      <c r="B22" s="47">
        <f t="shared" si="0"/>
        <v>1107</v>
      </c>
      <c r="C22" s="48"/>
      <c r="D22" s="49">
        <v>27</v>
      </c>
      <c r="E22" s="49">
        <v>50</v>
      </c>
      <c r="F22" s="49" t="s">
        <v>544</v>
      </c>
      <c r="G22" s="49"/>
      <c r="H22" s="50" t="str">
        <f>IF($B22="","",IF($J22="X",B22,CONCATENATE(VLOOKUP(B22,Competitors!$A$2:$I$650,3,FALSE)," ",VLOOKUP(B22,Competitors!$A$2:$I$650,2,FALSE))))</f>
        <v>Milly Pinnock</v>
      </c>
      <c r="I22" s="51">
        <f t="shared" si="1"/>
        <v>1.9328703703703702E-2</v>
      </c>
      <c r="J22" t="str">
        <f t="shared" si="2"/>
        <v/>
      </c>
    </row>
    <row r="23" spans="1:10" ht="15">
      <c r="A23" s="46" t="s">
        <v>590</v>
      </c>
      <c r="B23" s="47" t="str">
        <f t="shared" si="0"/>
        <v>Laurence Noble (RFW)</v>
      </c>
      <c r="C23" s="48"/>
      <c r="D23" s="49">
        <v>25</v>
      </c>
      <c r="E23" s="49">
        <v>0</v>
      </c>
      <c r="F23" s="49"/>
      <c r="G23" s="49"/>
      <c r="H23" s="50" t="str">
        <f>IF($B23="","",IF($J23="X",B23,CONCATENATE(VLOOKUP(B23,Competitors!$A$2:$I$650,3,FALSE)," ",VLOOKUP(B23,Competitors!$A$2:$I$650,2,FALSE))))</f>
        <v>Laurence Noble (RFW)</v>
      </c>
      <c r="I23" s="51">
        <f t="shared" si="1"/>
        <v>1.7361111111111112E-2</v>
      </c>
      <c r="J23" t="str">
        <f t="shared" si="2"/>
        <v>X</v>
      </c>
    </row>
    <row r="24" spans="1:10" ht="15">
      <c r="A24" s="46" t="s">
        <v>576</v>
      </c>
      <c r="B24" s="47">
        <f t="shared" si="0"/>
        <v>741</v>
      </c>
      <c r="C24" s="48"/>
      <c r="D24" s="49">
        <v>25</v>
      </c>
      <c r="E24" s="49">
        <v>17</v>
      </c>
      <c r="F24" s="49" t="s">
        <v>544</v>
      </c>
      <c r="G24" s="49"/>
      <c r="H24" s="50" t="str">
        <f>IF($B24="","",IF($J24="X",B24,CONCATENATE(VLOOKUP(B24,Competitors!$A$2:$I$650,3,FALSE)," ",VLOOKUP(B24,Competitors!$A$2:$I$650,2,FALSE))))</f>
        <v>Rob Moore</v>
      </c>
      <c r="I24" s="51">
        <f t="shared" si="1"/>
        <v>1.755787037037037E-2</v>
      </c>
      <c r="J24" t="str">
        <f t="shared" si="2"/>
        <v/>
      </c>
    </row>
    <row r="25" spans="1:10" ht="15">
      <c r="A25" s="46" t="s">
        <v>418</v>
      </c>
      <c r="B25" s="47">
        <f t="shared" si="0"/>
        <v>1355</v>
      </c>
      <c r="C25" s="48"/>
      <c r="D25" s="49">
        <v>24</v>
      </c>
      <c r="E25" s="49">
        <v>50</v>
      </c>
      <c r="F25" s="49" t="s">
        <v>544</v>
      </c>
      <c r="G25" s="49"/>
      <c r="H25" s="50" t="str">
        <f>IF($B25="","",IF($J25="X",B25,CONCATENATE(VLOOKUP(B25,Competitors!$A$2:$I$650,3,FALSE)," ",VLOOKUP(B25,Competitors!$A$2:$I$650,2,FALSE))))</f>
        <v>Aubrey Elmer</v>
      </c>
      <c r="I25" s="51">
        <f t="shared" si="1"/>
        <v>1.7245370370370369E-2</v>
      </c>
      <c r="J25" t="str">
        <f t="shared" si="2"/>
        <v/>
      </c>
    </row>
    <row r="26" spans="1:10" ht="15">
      <c r="A26" s="46" t="s">
        <v>412</v>
      </c>
      <c r="B26" s="47">
        <f t="shared" si="0"/>
        <v>1144</v>
      </c>
      <c r="C26" s="48"/>
      <c r="D26" s="49">
        <v>24</v>
      </c>
      <c r="E26" s="49">
        <v>11</v>
      </c>
      <c r="F26" s="49" t="s">
        <v>544</v>
      </c>
      <c r="G26" s="49"/>
      <c r="H26" s="50" t="str">
        <f>IF($B26="","",IF($J26="X",B26,CONCATENATE(VLOOKUP(B26,Competitors!$A$2:$I$650,3,FALSE)," ",VLOOKUP(B26,Competitors!$A$2:$I$650,2,FALSE))))</f>
        <v>Jamie Kershaw</v>
      </c>
      <c r="I26" s="51">
        <f t="shared" si="1"/>
        <v>1.6793981481481483E-2</v>
      </c>
      <c r="J26" t="str">
        <f t="shared" si="2"/>
        <v/>
      </c>
    </row>
    <row r="27" spans="1:10" ht="15">
      <c r="A27" s="46" t="s">
        <v>614</v>
      </c>
      <c r="B27" s="47">
        <f t="shared" si="0"/>
        <v>1391</v>
      </c>
      <c r="C27" s="48"/>
      <c r="D27" s="49">
        <v>25</v>
      </c>
      <c r="E27" s="49">
        <v>41</v>
      </c>
      <c r="F27" s="49" t="s">
        <v>544</v>
      </c>
      <c r="G27" s="49"/>
      <c r="H27" s="50" t="str">
        <f>IF($B27="","",IF($J27="X",B27,CONCATENATE(VLOOKUP(B27,Competitors!$A$2:$I$650,3,FALSE)," ",VLOOKUP(B27,Competitors!$A$2:$I$650,2,FALSE))))</f>
        <v>Leah Cuthbertson</v>
      </c>
      <c r="I27" s="51">
        <f t="shared" si="1"/>
        <v>1.7835648148148149E-2</v>
      </c>
      <c r="J27" t="str">
        <f t="shared" si="2"/>
        <v/>
      </c>
    </row>
    <row r="28" spans="1:10" ht="15">
      <c r="A28" s="46" t="s">
        <v>794</v>
      </c>
      <c r="B28" s="47" t="str">
        <f t="shared" si="0"/>
        <v>Simon Addy (RFW)</v>
      </c>
      <c r="C28" s="48"/>
      <c r="D28" s="49">
        <v>27</v>
      </c>
      <c r="E28" s="49">
        <v>2</v>
      </c>
      <c r="F28" s="49" t="s">
        <v>544</v>
      </c>
      <c r="G28" s="49"/>
      <c r="H28" s="50" t="str">
        <f>IF($B28="","",IF($J28="X",B28,CONCATENATE(VLOOKUP(B28,Competitors!$A$2:$I$650,3,FALSE)," ",VLOOKUP(B28,Competitors!$A$2:$I$650,2,FALSE))))</f>
        <v>Simon Addy (RFW)</v>
      </c>
      <c r="I28" s="51">
        <f t="shared" si="1"/>
        <v>1.8773148148148146E-2</v>
      </c>
      <c r="J28" t="str">
        <f t="shared" si="2"/>
        <v>X</v>
      </c>
    </row>
    <row r="29" spans="1:10" ht="15">
      <c r="A29" s="46" t="s">
        <v>413</v>
      </c>
      <c r="B29" s="47">
        <f t="shared" si="0"/>
        <v>989</v>
      </c>
      <c r="C29" s="48"/>
      <c r="D29" s="49">
        <v>24</v>
      </c>
      <c r="E29" s="49">
        <v>59</v>
      </c>
      <c r="F29" s="49" t="s">
        <v>544</v>
      </c>
      <c r="G29" s="49"/>
      <c r="H29" s="50" t="str">
        <f>IF($B29="","",IF($J29="X",B29,CONCATENATE(VLOOKUP(B29,Competitors!$A$2:$I$650,3,FALSE)," ",VLOOKUP(B29,Competitors!$A$2:$I$650,2,FALSE))))</f>
        <v>Jason Williams</v>
      </c>
      <c r="I29" s="51">
        <f t="shared" si="1"/>
        <v>1.7349537037037038E-2</v>
      </c>
      <c r="J29" t="str">
        <f t="shared" si="2"/>
        <v/>
      </c>
    </row>
    <row r="30" spans="1:10" ht="15">
      <c r="A30" s="60" t="s">
        <v>797</v>
      </c>
      <c r="B30" s="47" t="str">
        <f t="shared" si="0"/>
        <v>Jake Bird (Beeston CC) (KCC)</v>
      </c>
      <c r="C30" s="48"/>
      <c r="D30" s="49">
        <v>22</v>
      </c>
      <c r="E30" s="49">
        <v>30</v>
      </c>
      <c r="F30" s="49"/>
      <c r="G30" s="49"/>
      <c r="H30" s="50" t="str">
        <f>IF($B30="","",IF($J30="X",B30,CONCATENATE(VLOOKUP(B30,Competitors!$A$2:$I$650,3,FALSE)," ",VLOOKUP(B30,Competitors!$A$2:$I$650,2,FALSE))))</f>
        <v>Jake Bird (Beeston CC) (KCC)</v>
      </c>
      <c r="I30" s="51">
        <f t="shared" si="1"/>
        <v>1.5625E-2</v>
      </c>
      <c r="J30" t="str">
        <f t="shared" si="2"/>
        <v>X</v>
      </c>
    </row>
    <row r="31" spans="1:10" ht="15">
      <c r="A31" s="46" t="s">
        <v>492</v>
      </c>
      <c r="B31" s="47" t="str">
        <f t="shared" si="0"/>
        <v>Chris Booth (MOCC)</v>
      </c>
      <c r="C31" s="48"/>
      <c r="D31" s="49"/>
      <c r="E31" s="49"/>
      <c r="F31" s="49"/>
      <c r="G31" s="49" t="s">
        <v>553</v>
      </c>
      <c r="H31" s="50" t="str">
        <f>IF($B31="","",IF($J31="X",B31,CONCATENATE(VLOOKUP(B31,Competitors!$A$2:$I$650,3,FALSE)," ",VLOOKUP(B31,Competitors!$A$2:$I$650,2,FALSE))))</f>
        <v>Chris Booth (MOCC)</v>
      </c>
      <c r="I31" s="51">
        <f t="shared" si="1"/>
        <v>0</v>
      </c>
      <c r="J31" t="str">
        <f t="shared" si="2"/>
        <v>X</v>
      </c>
    </row>
    <row r="32" spans="1:10" ht="15">
      <c r="A32" s="46" t="s">
        <v>524</v>
      </c>
      <c r="B32" s="47" t="str">
        <f t="shared" si="0"/>
        <v>Michael Carter (RFW)</v>
      </c>
      <c r="C32" s="48"/>
      <c r="D32" s="49">
        <v>27</v>
      </c>
      <c r="E32" s="49">
        <v>2</v>
      </c>
      <c r="F32" s="49" t="s">
        <v>544</v>
      </c>
      <c r="G32" s="49"/>
      <c r="H32" s="50" t="str">
        <f>IF($B32="","",IF($J32="X",B32,CONCATENATE(VLOOKUP(B32,Competitors!$A$2:$I$650,3,FALSE)," ",VLOOKUP(B32,Competitors!$A$2:$I$650,2,FALSE))))</f>
        <v>Michael Carter (RFW)</v>
      </c>
      <c r="I32" s="51">
        <f t="shared" si="1"/>
        <v>1.8773148148148146E-2</v>
      </c>
      <c r="J32" t="str">
        <f t="shared" si="2"/>
        <v>X</v>
      </c>
    </row>
    <row r="33" spans="1:10" ht="15">
      <c r="A33" s="46" t="s">
        <v>589</v>
      </c>
      <c r="B33" s="47" t="str">
        <f t="shared" si="0"/>
        <v>Alex Barrowman (RFW)</v>
      </c>
      <c r="C33" s="48"/>
      <c r="D33" s="49">
        <v>24</v>
      </c>
      <c r="E33" s="49">
        <v>20</v>
      </c>
      <c r="F33" s="49" t="s">
        <v>544</v>
      </c>
      <c r="G33" s="49"/>
      <c r="H33" s="50" t="str">
        <f>IF($B33="","",IF($J33="X",B33,CONCATENATE(VLOOKUP(B33,Competitors!$A$2:$I$650,3,FALSE)," ",VLOOKUP(B33,Competitors!$A$2:$I$650,2,FALSE))))</f>
        <v>Alex Barrowman (RFW)</v>
      </c>
      <c r="I33" s="51">
        <f t="shared" si="1"/>
        <v>1.6898148148148148E-2</v>
      </c>
      <c r="J33" t="str">
        <f t="shared" si="2"/>
        <v>X</v>
      </c>
    </row>
    <row r="34" spans="1:10" ht="15">
      <c r="A34" s="46" t="s">
        <v>414</v>
      </c>
      <c r="B34" s="47">
        <f t="shared" ref="B34:B97" si="3">IF(A34="","",_xlfn.XLOOKUP(A34,ClubNames,ClubNumbers,_xlfn.XLOOKUP(A34,RoundRobinRiderNames,RoundRobinRiderDecoratedNames,A34)))</f>
        <v>699</v>
      </c>
      <c r="C34" s="48"/>
      <c r="D34" s="49">
        <v>25</v>
      </c>
      <c r="E34" s="49">
        <v>44</v>
      </c>
      <c r="F34" s="49"/>
      <c r="G34" s="49"/>
      <c r="H34" s="50" t="str">
        <f>IF($B34="","",IF($J34="X",B34,CONCATENATE(VLOOKUP(B34,Competitors!$A$2:$I$650,3,FALSE)," ",VLOOKUP(B34,Competitors!$A$2:$I$650,2,FALSE))))</f>
        <v>Jonathan Durnin</v>
      </c>
      <c r="I34" s="51">
        <f t="shared" si="1"/>
        <v>1.787037037037037E-2</v>
      </c>
      <c r="J34" t="str">
        <f t="shared" si="2"/>
        <v/>
      </c>
    </row>
    <row r="35" spans="1:10" ht="15">
      <c r="A35" s="46" t="s">
        <v>625</v>
      </c>
      <c r="B35" s="47" t="str">
        <f t="shared" si="3"/>
        <v>Ethan Mitchell-Clarke (Team Bottrill Nopinz) (RFW)</v>
      </c>
      <c r="C35" s="48"/>
      <c r="D35" s="49">
        <v>24</v>
      </c>
      <c r="E35" s="49">
        <v>8</v>
      </c>
      <c r="F35" s="49"/>
      <c r="G35" s="49"/>
      <c r="H35" s="50" t="str">
        <f>IF($B35="","",IF($J35="X",B35,CONCATENATE(VLOOKUP(B35,Competitors!$A$2:$I$650,3,FALSE)," ",VLOOKUP(B35,Competitors!$A$2:$I$650,2,FALSE))))</f>
        <v>Ethan Mitchell-Clarke (Team Bottrill Nopinz) (RFW)</v>
      </c>
      <c r="I35" s="51">
        <f t="shared" si="1"/>
        <v>1.6759259259259258E-2</v>
      </c>
      <c r="J35" t="str">
        <f t="shared" si="2"/>
        <v>X</v>
      </c>
    </row>
    <row r="36" spans="1:10" ht="15">
      <c r="A36" s="46" t="s">
        <v>411</v>
      </c>
      <c r="B36" s="47">
        <f t="shared" si="3"/>
        <v>407</v>
      </c>
      <c r="C36" s="48"/>
      <c r="D36" s="49">
        <v>23</v>
      </c>
      <c r="E36" s="49">
        <v>47</v>
      </c>
      <c r="F36" s="49"/>
      <c r="G36" s="49"/>
      <c r="H36" s="50" t="str">
        <f>IF($B36="","",IF($J36="X",B36,CONCATENATE(VLOOKUP(B36,Competitors!$A$2:$I$650,3,FALSE)," ",VLOOKUP(B36,Competitors!$A$2:$I$650,2,FALSE))))</f>
        <v>Hans van Nierop</v>
      </c>
      <c r="I36" s="51">
        <f t="shared" si="1"/>
        <v>1.6516203703703703E-2</v>
      </c>
      <c r="J36" t="str">
        <f t="shared" si="2"/>
        <v/>
      </c>
    </row>
    <row r="37" spans="1:10" ht="15">
      <c r="A37" s="46" t="s">
        <v>517</v>
      </c>
      <c r="B37" s="47" t="str">
        <f t="shared" si="3"/>
        <v>Chris Fowler (RFW)</v>
      </c>
      <c r="C37" s="48"/>
      <c r="D37" s="49">
        <v>24</v>
      </c>
      <c r="E37" s="49">
        <v>24</v>
      </c>
      <c r="F37" s="49" t="s">
        <v>544</v>
      </c>
      <c r="G37" s="49"/>
      <c r="H37" s="50" t="str">
        <f>IF($B37="","",IF($J37="X",B37,CONCATENATE(VLOOKUP(B37,Competitors!$A$2:$I$650,3,FALSE)," ",VLOOKUP(B37,Competitors!$A$2:$I$650,2,FALSE))))</f>
        <v>Chris Fowler (RFW)</v>
      </c>
      <c r="I37" s="51">
        <f t="shared" si="1"/>
        <v>1.6944444444444446E-2</v>
      </c>
      <c r="J37" t="str">
        <f t="shared" si="2"/>
        <v>X</v>
      </c>
    </row>
    <row r="38" spans="1:10" ht="15">
      <c r="A38" s="46" t="s">
        <v>509</v>
      </c>
      <c r="B38" s="47" t="str">
        <f t="shared" si="3"/>
        <v>Mark Newton (Ratae)</v>
      </c>
      <c r="C38" s="48"/>
      <c r="D38" s="49">
        <v>26</v>
      </c>
      <c r="E38" s="49">
        <v>55</v>
      </c>
      <c r="F38" s="49"/>
      <c r="G38" s="49"/>
      <c r="H38" s="50" t="str">
        <f>IF($B38="","",IF($J38="X",B38,CONCATENATE(VLOOKUP(B38,Competitors!$A$2:$I$650,3,FALSE)," ",VLOOKUP(B38,Competitors!$A$2:$I$650,2,FALSE))))</f>
        <v>Mark Newton (Ratae)</v>
      </c>
      <c r="I38" s="51">
        <f t="shared" si="1"/>
        <v>1.8692129629629628E-2</v>
      </c>
      <c r="J38" t="str">
        <f t="shared" si="2"/>
        <v>X</v>
      </c>
    </row>
    <row r="39" spans="1:10" ht="15">
      <c r="A39" s="46" t="s">
        <v>795</v>
      </c>
      <c r="B39" s="47" t="str">
        <f t="shared" si="3"/>
        <v>Michael Weaver (RFW)</v>
      </c>
      <c r="C39" s="48"/>
      <c r="D39" s="49">
        <v>24</v>
      </c>
      <c r="E39" s="49">
        <v>37</v>
      </c>
      <c r="F39" s="49" t="s">
        <v>544</v>
      </c>
      <c r="G39" s="49"/>
      <c r="H39" s="50" t="str">
        <f>IF($B39="","",IF($J39="X",B39,CONCATENATE(VLOOKUP(B39,Competitors!$A$2:$I$650,3,FALSE)," ",VLOOKUP(B39,Competitors!$A$2:$I$650,2,FALSE))))</f>
        <v>Michael Weaver (RFW)</v>
      </c>
      <c r="I39" s="51">
        <f t="shared" si="1"/>
        <v>1.7094907407407406E-2</v>
      </c>
      <c r="J39" t="str">
        <f t="shared" si="2"/>
        <v>X</v>
      </c>
    </row>
    <row r="40" spans="1:10" ht="15">
      <c r="A40" s="46" t="s">
        <v>457</v>
      </c>
      <c r="B40" s="47">
        <f t="shared" si="3"/>
        <v>120</v>
      </c>
      <c r="C40" s="48"/>
      <c r="D40" s="49">
        <v>28</v>
      </c>
      <c r="E40" s="49">
        <v>35</v>
      </c>
      <c r="F40" s="49"/>
      <c r="G40" s="49"/>
      <c r="H40" s="50" t="str">
        <f>IF($B40="","",IF($J40="X",B40,CONCATENATE(VLOOKUP(B40,Competitors!$A$2:$I$650,3,FALSE)," ",VLOOKUP(B40,Competitors!$A$2:$I$650,2,FALSE))))</f>
        <v>Linda Hubbard</v>
      </c>
      <c r="I40" s="51">
        <f t="shared" si="1"/>
        <v>1.9849537037037037E-2</v>
      </c>
      <c r="J40" t="str">
        <f t="shared" si="2"/>
        <v/>
      </c>
    </row>
    <row r="41" spans="1:10" ht="15">
      <c r="A41" s="46" t="s">
        <v>796</v>
      </c>
      <c r="B41" s="47" t="str">
        <f t="shared" si="3"/>
        <v>Patrick Price (Portsmouth North End CC)`</v>
      </c>
      <c r="C41" s="48"/>
      <c r="D41" s="49"/>
      <c r="E41" s="49"/>
      <c r="F41" s="49" t="s">
        <v>544</v>
      </c>
      <c r="G41" s="49" t="s">
        <v>553</v>
      </c>
      <c r="H41" s="50" t="str">
        <f>IF($B41="","",IF($J41="X",B41,CONCATENATE(VLOOKUP(B41,Competitors!$A$2:$I$650,3,FALSE)," ",VLOOKUP(B41,Competitors!$A$2:$I$650,2,FALSE))))</f>
        <v>Patrick Price (Portsmouth North End CC)`</v>
      </c>
      <c r="I41" s="51">
        <f t="shared" si="1"/>
        <v>0</v>
      </c>
      <c r="J41" t="str">
        <f t="shared" si="2"/>
        <v>X</v>
      </c>
    </row>
    <row r="42" spans="1:10" ht="15">
      <c r="A42" s="46" t="s">
        <v>415</v>
      </c>
      <c r="B42" s="47">
        <f t="shared" si="3"/>
        <v>1161</v>
      </c>
      <c r="C42" s="48"/>
      <c r="D42" s="49">
        <v>26</v>
      </c>
      <c r="E42" s="49">
        <v>10</v>
      </c>
      <c r="F42" s="49"/>
      <c r="G42" s="49"/>
      <c r="H42" s="50" t="str">
        <f>IF($B42="","",IF($J42="X",B42,CONCATENATE(VLOOKUP(B42,Competitors!$A$2:$I$650,3,FALSE)," ",VLOOKUP(B42,Competitors!$A$2:$I$650,2,FALSE))))</f>
        <v>Maciej Suchocki</v>
      </c>
      <c r="I42" s="51">
        <f t="shared" si="1"/>
        <v>1.8171296296296297E-2</v>
      </c>
      <c r="J42" t="str">
        <f t="shared" si="2"/>
        <v/>
      </c>
    </row>
    <row r="43" spans="1:10" ht="15">
      <c r="A43" s="46" t="s">
        <v>626</v>
      </c>
      <c r="B43" s="47" t="str">
        <f t="shared" si="3"/>
        <v>Pete Bradshaw (RFW)</v>
      </c>
      <c r="C43" s="48"/>
      <c r="D43" s="49">
        <v>25</v>
      </c>
      <c r="E43" s="49">
        <v>11</v>
      </c>
      <c r="F43" s="49" t="s">
        <v>544</v>
      </c>
      <c r="G43" s="49"/>
      <c r="H43" s="50" t="str">
        <f>IF($B43="","",IF($J43="X",B43,CONCATENATE(VLOOKUP(B43,Competitors!$A$2:$I$650,3,FALSE)," ",VLOOKUP(B43,Competitors!$A$2:$I$650,2,FALSE))))</f>
        <v>Pete Bradshaw (RFW)</v>
      </c>
      <c r="I43" s="51">
        <f t="shared" si="1"/>
        <v>1.7488425925925925E-2</v>
      </c>
      <c r="J43" t="str">
        <f t="shared" si="2"/>
        <v>X</v>
      </c>
    </row>
    <row r="44" spans="1:10" ht="15">
      <c r="A44" s="46" t="s">
        <v>410</v>
      </c>
      <c r="B44" s="47">
        <f t="shared" si="3"/>
        <v>747</v>
      </c>
      <c r="C44" s="48"/>
      <c r="D44" s="49">
        <v>24</v>
      </c>
      <c r="E44" s="49">
        <v>35</v>
      </c>
      <c r="F44" s="49" t="s">
        <v>544</v>
      </c>
      <c r="G44" s="49"/>
      <c r="H44" s="50" t="str">
        <f>IF($B44="","",IF($J44="X",B44,CONCATENATE(VLOOKUP(B44,Competitors!$A$2:$I$650,3,FALSE)," ",VLOOKUP(B44,Competitors!$A$2:$I$650,2,FALSE))))</f>
        <v>James Moore</v>
      </c>
      <c r="I44" s="51">
        <f t="shared" si="1"/>
        <v>1.7071759259259259E-2</v>
      </c>
      <c r="J44" t="str">
        <f t="shared" si="2"/>
        <v/>
      </c>
    </row>
    <row r="45" spans="1:10" ht="15">
      <c r="A45" s="60" t="s">
        <v>515</v>
      </c>
      <c r="B45" s="47" t="str">
        <f t="shared" si="3"/>
        <v>Adam Wells (RFW)</v>
      </c>
      <c r="C45" s="48"/>
      <c r="D45" s="49">
        <v>25</v>
      </c>
      <c r="E45" s="49">
        <v>54</v>
      </c>
      <c r="F45" s="49"/>
      <c r="G45" s="49"/>
      <c r="H45" s="50" t="str">
        <f>IF($B45="","",IF($J45="X",B45,CONCATENATE(VLOOKUP(B45,Competitors!$A$2:$I$650,3,FALSE)," ",VLOOKUP(B45,Competitors!$A$2:$I$650,2,FALSE))))</f>
        <v>Adam Wells (RFW)</v>
      </c>
      <c r="I45" s="51">
        <f t="shared" si="1"/>
        <v>1.7986111111111112E-2</v>
      </c>
      <c r="J45" t="str">
        <f t="shared" si="2"/>
        <v>X</v>
      </c>
    </row>
    <row r="46" spans="1:10" ht="15">
      <c r="A46" s="60" t="s">
        <v>420</v>
      </c>
      <c r="B46" s="47">
        <f t="shared" si="3"/>
        <v>1192</v>
      </c>
      <c r="C46" s="48"/>
      <c r="D46" s="49">
        <v>26</v>
      </c>
      <c r="E46" s="49">
        <v>34</v>
      </c>
      <c r="F46" s="49"/>
      <c r="G46" s="49"/>
      <c r="H46" s="50" t="str">
        <f>IF($B46="","",IF($J46="X",B46,CONCATENATE(VLOOKUP(B46,Competitors!$A$2:$I$650,3,FALSE)," ",VLOOKUP(B46,Competitors!$A$2:$I$650,2,FALSE))))</f>
        <v>Dale Norris</v>
      </c>
      <c r="I46" s="51">
        <f t="shared" si="1"/>
        <v>1.8449074074074073E-2</v>
      </c>
      <c r="J46" t="str">
        <f t="shared" si="2"/>
        <v/>
      </c>
    </row>
    <row r="47" spans="1:10" ht="15">
      <c r="A47" s="46" t="s">
        <v>512</v>
      </c>
      <c r="B47" s="47" t="str">
        <f t="shared" si="3"/>
        <v>Paul Eden (Ratae)</v>
      </c>
      <c r="C47" s="48"/>
      <c r="D47" s="49">
        <v>33</v>
      </c>
      <c r="E47" s="49">
        <v>12</v>
      </c>
      <c r="F47" s="49" t="s">
        <v>544</v>
      </c>
      <c r="G47" s="49"/>
      <c r="H47" s="50" t="str">
        <f>IF($B47="","",IF($J47="X",B47,CONCATENATE(VLOOKUP(B47,Competitors!$A$2:$I$650,3,FALSE)," ",VLOOKUP(B47,Competitors!$A$2:$I$650,2,FALSE))))</f>
        <v>Paul Eden (Ratae)</v>
      </c>
      <c r="I47" s="51">
        <f t="shared" si="1"/>
        <v>2.3055555555555555E-2</v>
      </c>
      <c r="J47" t="str">
        <f t="shared" si="2"/>
        <v>X</v>
      </c>
    </row>
    <row r="48" spans="1:10" ht="15">
      <c r="A48" s="46"/>
      <c r="B48" s="47" t="str">
        <f t="shared" si="3"/>
        <v/>
      </c>
      <c r="C48" s="48"/>
      <c r="D48" s="49"/>
      <c r="E48" s="49"/>
      <c r="F48" s="49"/>
      <c r="G48" s="49"/>
      <c r="H48" s="50" t="str">
        <f>IF($B48="","",IF($J48="X",B48,CONCATENATE(VLOOKUP(B48,Competitors!$A$2:$I$650,3,FALSE)," ",VLOOKUP(B48,Competitors!$A$2:$I$650,2,FALSE))))</f>
        <v/>
      </c>
      <c r="I48" s="51">
        <f t="shared" si="1"/>
        <v>0</v>
      </c>
      <c r="J48" t="str">
        <f t="shared" si="2"/>
        <v/>
      </c>
    </row>
    <row r="49" spans="1:10" ht="15">
      <c r="A49" s="46"/>
      <c r="B49" s="47" t="str">
        <f t="shared" si="3"/>
        <v/>
      </c>
      <c r="C49" s="48"/>
      <c r="D49" s="49"/>
      <c r="E49" s="49"/>
      <c r="F49" s="49"/>
      <c r="G49" s="49"/>
      <c r="H49" s="50" t="str">
        <f>IF($B49="","",IF($J49="X",B49,CONCATENATE(VLOOKUP(B49,Competitors!$A$2:$I$650,3,FALSE)," ",VLOOKUP(B49,Competitors!$A$2:$I$650,2,FALSE))))</f>
        <v/>
      </c>
      <c r="I49" s="51">
        <f t="shared" si="1"/>
        <v>0</v>
      </c>
      <c r="J49" t="str">
        <f t="shared" si="2"/>
        <v/>
      </c>
    </row>
    <row r="50" spans="1:10" ht="15">
      <c r="A50" s="46"/>
      <c r="B50" s="47" t="str">
        <f t="shared" si="3"/>
        <v/>
      </c>
      <c r="C50" s="48"/>
      <c r="D50" s="49"/>
      <c r="E50" s="49"/>
      <c r="F50" s="49"/>
      <c r="G50" s="49"/>
      <c r="H50" s="50" t="str">
        <f>IF($B50="","",IF($J50="X",B50,CONCATENATE(VLOOKUP(B50,Competitors!$A$2:$I$650,3,FALSE)," ",VLOOKUP(B50,Competitors!$A$2:$I$650,2,FALSE))))</f>
        <v/>
      </c>
      <c r="I50" s="51">
        <f t="shared" si="1"/>
        <v>0</v>
      </c>
      <c r="J50" t="str">
        <f t="shared" si="2"/>
        <v/>
      </c>
    </row>
    <row r="51" spans="1:10" ht="15">
      <c r="A51" s="46"/>
      <c r="B51" s="47" t="str">
        <f t="shared" si="3"/>
        <v/>
      </c>
      <c r="C51" s="48"/>
      <c r="D51" s="49"/>
      <c r="E51" s="49"/>
      <c r="F51" s="49"/>
      <c r="G51" s="49"/>
      <c r="H51" s="50" t="str">
        <f>IF($B51="","",IF($J51="X",B51,CONCATENATE(VLOOKUP(B51,Competitors!$A$2:$I$650,3,FALSE)," ",VLOOKUP(B51,Competitors!$A$2:$I$650,2,FALSE))))</f>
        <v/>
      </c>
      <c r="I51" s="51">
        <f t="shared" si="1"/>
        <v>0</v>
      </c>
      <c r="J51" t="str">
        <f t="shared" si="2"/>
        <v/>
      </c>
    </row>
    <row r="52" spans="1:10" ht="15">
      <c r="A52" s="46"/>
      <c r="B52" s="47" t="str">
        <f t="shared" si="3"/>
        <v/>
      </c>
      <c r="C52" s="48"/>
      <c r="D52" s="49"/>
      <c r="E52" s="49"/>
      <c r="F52" s="49"/>
      <c r="G52" s="49"/>
      <c r="H52" s="50" t="str">
        <f>IF($B52="","",IF($J52="X",B52,CONCATENATE(VLOOKUP(B52,Competitors!$A$2:$I$650,3,FALSE)," ",VLOOKUP(B52,Competitors!$A$2:$I$650,2,FALSE))))</f>
        <v/>
      </c>
      <c r="I52" s="51">
        <f t="shared" si="1"/>
        <v>0</v>
      </c>
      <c r="J52" t="str">
        <f t="shared" si="2"/>
        <v/>
      </c>
    </row>
    <row r="53" spans="1:10" ht="15">
      <c r="A53" s="46"/>
      <c r="B53" s="47" t="str">
        <f t="shared" si="3"/>
        <v/>
      </c>
      <c r="C53" s="48"/>
      <c r="D53" s="49"/>
      <c r="E53" s="49"/>
      <c r="F53" s="49"/>
      <c r="G53" s="49"/>
      <c r="H53" s="50" t="str">
        <f>IF($B53="","",IF($J53="X",B53,CONCATENATE(VLOOKUP(B53,Competitors!$A$2:$I$650,3,FALSE)," ",VLOOKUP(B53,Competitors!$A$2:$I$650,2,FALSE))))</f>
        <v/>
      </c>
      <c r="I53" s="51">
        <f t="shared" si="1"/>
        <v>0</v>
      </c>
      <c r="J53" t="str">
        <f t="shared" si="2"/>
        <v/>
      </c>
    </row>
    <row r="54" spans="1:10" ht="15">
      <c r="A54" s="46"/>
      <c r="B54" s="47" t="str">
        <f t="shared" si="3"/>
        <v/>
      </c>
      <c r="C54" s="48"/>
      <c r="D54" s="49"/>
      <c r="E54" s="49"/>
      <c r="F54" s="49"/>
      <c r="G54" s="49"/>
      <c r="H54" s="50" t="str">
        <f>IF($B54="","",IF($J54="X",B54,CONCATENATE(VLOOKUP(B54,Competitors!$A$2:$I$650,3,FALSE)," ",VLOOKUP(B54,Competitors!$A$2:$I$650,2,FALSE))))</f>
        <v/>
      </c>
      <c r="I54" s="51">
        <f t="shared" si="1"/>
        <v>0</v>
      </c>
      <c r="J54" t="str">
        <f t="shared" si="2"/>
        <v/>
      </c>
    </row>
    <row r="55" spans="1:10" ht="15">
      <c r="A55" s="46"/>
      <c r="B55" s="47" t="str">
        <f t="shared" si="3"/>
        <v/>
      </c>
      <c r="C55" s="48"/>
      <c r="D55" s="49"/>
      <c r="E55" s="49"/>
      <c r="F55" s="49"/>
      <c r="G55" s="49"/>
      <c r="H55" s="50" t="str">
        <f>IF($B55="","",IF($J55="X",B55,CONCATENATE(VLOOKUP(B55,Competitors!$A$2:$I$650,3,FALSE)," ",VLOOKUP(B55,Competitors!$A$2:$I$650,2,FALSE))))</f>
        <v/>
      </c>
      <c r="I55" s="51">
        <f t="shared" si="1"/>
        <v>0</v>
      </c>
      <c r="J55" t="str">
        <f t="shared" si="2"/>
        <v/>
      </c>
    </row>
    <row r="56" spans="1:10" ht="15">
      <c r="A56" s="46"/>
      <c r="B56" s="47" t="str">
        <f t="shared" si="3"/>
        <v/>
      </c>
      <c r="C56" s="48"/>
      <c r="D56" s="49"/>
      <c r="E56" s="49"/>
      <c r="F56" s="49"/>
      <c r="G56" s="49"/>
      <c r="H56" s="50" t="str">
        <f>IF($B56="","",IF($J56="X",B56,CONCATENATE(VLOOKUP(B56,Competitors!$A$2:$I$650,3,FALSE)," ",VLOOKUP(B56,Competitors!$A$2:$I$650,2,FALSE))))</f>
        <v/>
      </c>
      <c r="I56" s="51">
        <f t="shared" si="1"/>
        <v>0</v>
      </c>
      <c r="J56" t="str">
        <f t="shared" si="2"/>
        <v/>
      </c>
    </row>
    <row r="57" spans="1:10" ht="15">
      <c r="A57" s="46"/>
      <c r="B57" s="47" t="str">
        <f t="shared" si="3"/>
        <v/>
      </c>
      <c r="C57" s="48"/>
      <c r="D57" s="49"/>
      <c r="E57" s="49"/>
      <c r="F57" s="49"/>
      <c r="G57" s="49"/>
      <c r="H57" s="50" t="str">
        <f>IF($B57="","",IF($J57="X",B57,CONCATENATE(VLOOKUP(B57,Competitors!$A$2:$I$650,3,FALSE)," ",VLOOKUP(B57,Competitors!$A$2:$I$650,2,FALSE))))</f>
        <v/>
      </c>
      <c r="I57" s="51">
        <f t="shared" si="1"/>
        <v>0</v>
      </c>
      <c r="J57" t="str">
        <f t="shared" si="2"/>
        <v/>
      </c>
    </row>
    <row r="58" spans="1:10" ht="15">
      <c r="A58" s="46"/>
      <c r="B58" s="47" t="str">
        <f t="shared" si="3"/>
        <v/>
      </c>
      <c r="C58" s="48"/>
      <c r="D58" s="49"/>
      <c r="E58" s="49"/>
      <c r="F58" s="49"/>
      <c r="G58" s="49"/>
      <c r="H58" s="50" t="str">
        <f>IF($B58="","",IF($J58="X",B58,CONCATENATE(VLOOKUP(B58,Competitors!$A$2:$I$650,3,FALSE)," ",VLOOKUP(B58,Competitors!$A$2:$I$650,2,FALSE))))</f>
        <v/>
      </c>
      <c r="I58" s="51">
        <f t="shared" si="1"/>
        <v>0</v>
      </c>
      <c r="J58" t="str">
        <f t="shared" si="2"/>
        <v/>
      </c>
    </row>
    <row r="59" spans="1:10" ht="15">
      <c r="A59" s="46"/>
      <c r="B59" s="47" t="str">
        <f t="shared" si="3"/>
        <v/>
      </c>
      <c r="C59" s="48"/>
      <c r="D59" s="49"/>
      <c r="E59" s="49"/>
      <c r="F59" s="49"/>
      <c r="G59" s="49"/>
      <c r="H59" s="50" t="str">
        <f>IF($B59="","",IF($J59="X",B59,CONCATENATE(VLOOKUP(B59,Competitors!$A$2:$I$650,3,FALSE)," ",VLOOKUP(B59,Competitors!$A$2:$I$650,2,FALSE))))</f>
        <v/>
      </c>
      <c r="I59" s="51">
        <f t="shared" si="1"/>
        <v>0</v>
      </c>
      <c r="J59" t="str">
        <f t="shared" si="2"/>
        <v/>
      </c>
    </row>
    <row r="60" spans="1:10" ht="15">
      <c r="A60" s="46"/>
      <c r="B60" s="47" t="str">
        <f t="shared" si="3"/>
        <v/>
      </c>
      <c r="C60" s="48"/>
      <c r="D60" s="49"/>
      <c r="E60" s="49"/>
      <c r="F60" s="49"/>
      <c r="G60" s="49"/>
      <c r="H60" s="50" t="str">
        <f>IF($B60="","",IF($J60="X",B60,CONCATENATE(VLOOKUP(B60,Competitors!$A$2:$I$650,3,FALSE)," ",VLOOKUP(B60,Competitors!$A$2:$I$650,2,FALSE))))</f>
        <v/>
      </c>
      <c r="I60" s="51">
        <f t="shared" si="1"/>
        <v>0</v>
      </c>
      <c r="J60" t="str">
        <f t="shared" si="2"/>
        <v/>
      </c>
    </row>
    <row r="61" spans="1:10" ht="15">
      <c r="A61" s="46"/>
      <c r="B61" s="47" t="str">
        <f t="shared" si="3"/>
        <v/>
      </c>
      <c r="C61" s="48"/>
      <c r="D61" s="49"/>
      <c r="E61" s="49"/>
      <c r="F61" s="49"/>
      <c r="G61" s="49"/>
      <c r="H61" s="50" t="str">
        <f>IF($B61="","",IF($J61="X",B61,CONCATENATE(VLOOKUP(B61,Competitors!$A$2:$I$650,3,FALSE)," ",VLOOKUP(B61,Competitors!$A$2:$I$650,2,FALSE))))</f>
        <v/>
      </c>
      <c r="I61" s="51">
        <f t="shared" si="1"/>
        <v>0</v>
      </c>
      <c r="J61" t="str">
        <f t="shared" si="2"/>
        <v/>
      </c>
    </row>
    <row r="62" spans="1:10" ht="15">
      <c r="A62" s="46"/>
      <c r="B62" s="47" t="str">
        <f t="shared" si="3"/>
        <v/>
      </c>
      <c r="C62" s="48"/>
      <c r="D62" s="49"/>
      <c r="E62" s="49"/>
      <c r="F62" s="49"/>
      <c r="G62" s="49"/>
      <c r="H62" s="50" t="str">
        <f>IF($B62="","",IF($J62="X",B62,CONCATENATE(VLOOKUP(B62,Competitors!$A$2:$I$650,3,FALSE)," ",VLOOKUP(B62,Competitors!$A$2:$I$650,2,FALSE))))</f>
        <v/>
      </c>
      <c r="I62" s="51">
        <f t="shared" si="1"/>
        <v>0</v>
      </c>
      <c r="J62" t="str">
        <f t="shared" si="2"/>
        <v/>
      </c>
    </row>
    <row r="63" spans="1:10" ht="15">
      <c r="A63" s="46"/>
      <c r="B63" s="47" t="str">
        <f t="shared" si="3"/>
        <v/>
      </c>
      <c r="C63" s="48"/>
      <c r="D63" s="49"/>
      <c r="E63" s="49"/>
      <c r="F63" s="49"/>
      <c r="G63" s="49"/>
      <c r="H63" s="50" t="str">
        <f>IF($B63="","",IF($J63="X",B63,CONCATENATE(VLOOKUP(B63,Competitors!$A$2:$I$650,3,FALSE)," ",VLOOKUP(B63,Competitors!$A$2:$I$650,2,FALSE))))</f>
        <v/>
      </c>
      <c r="I63" s="51">
        <f t="shared" si="1"/>
        <v>0</v>
      </c>
      <c r="J63" t="str">
        <f t="shared" si="2"/>
        <v/>
      </c>
    </row>
    <row r="64" spans="1:10" ht="15">
      <c r="A64" s="46"/>
      <c r="B64" s="47" t="str">
        <f t="shared" si="3"/>
        <v/>
      </c>
      <c r="C64" s="48"/>
      <c r="D64" s="49"/>
      <c r="E64" s="49"/>
      <c r="F64" s="49"/>
      <c r="G64" s="49"/>
      <c r="H64" s="50" t="str">
        <f>IF($B64="","",IF($J64="X",B64,CONCATENATE(VLOOKUP(B64,Competitors!$A$2:$I$650,3,FALSE)," ",VLOOKUP(B64,Competitors!$A$2:$I$650,2,FALSE))))</f>
        <v/>
      </c>
      <c r="I64" s="51">
        <f t="shared" si="1"/>
        <v>0</v>
      </c>
      <c r="J64" t="str">
        <f t="shared" si="2"/>
        <v/>
      </c>
    </row>
    <row r="65" spans="1:10" ht="15">
      <c r="A65" s="46"/>
      <c r="B65" s="47" t="str">
        <f t="shared" si="3"/>
        <v/>
      </c>
      <c r="C65" s="48"/>
      <c r="D65" s="49"/>
      <c r="E65" s="49"/>
      <c r="F65" s="49"/>
      <c r="G65" s="49"/>
      <c r="H65" s="50" t="str">
        <f>IF($B65="","",IF($J65="X",B65,CONCATENATE(VLOOKUP(B65,Competitors!$A$2:$I$650,3,FALSE)," ",VLOOKUP(B65,Competitors!$A$2:$I$650,2,FALSE))))</f>
        <v/>
      </c>
      <c r="I65" s="51">
        <f t="shared" si="1"/>
        <v>0</v>
      </c>
      <c r="J65" t="str">
        <f t="shared" si="2"/>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4"/>
        <v>0</v>
      </c>
      <c r="J67" t="str">
        <f t="shared" si="5"/>
        <v/>
      </c>
    </row>
    <row r="68" spans="1:10" ht="15">
      <c r="A68" s="46"/>
      <c r="B68" s="47" t="str">
        <f t="shared" si="3"/>
        <v/>
      </c>
      <c r="C68" s="48"/>
      <c r="D68" s="49"/>
      <c r="E68" s="49"/>
      <c r="F68" s="49"/>
      <c r="G68" s="49"/>
      <c r="H68" s="50" t="str">
        <f>IF($B68="","",IF($J68="X",B68,CONCATENATE(VLOOKUP(B68,Competitors!$A$2:$I$650,3,FALSE)," ",VLOOKUP(B68,Competitors!$A$2:$I$650,2,FALSE))))</f>
        <v/>
      </c>
      <c r="I68" s="51">
        <f t="shared" si="4"/>
        <v>0</v>
      </c>
      <c r="J68" t="str">
        <f t="shared" si="5"/>
        <v/>
      </c>
    </row>
    <row r="69" spans="1:10" ht="15">
      <c r="A69" s="46"/>
      <c r="B69" s="47" t="str">
        <f t="shared" si="3"/>
        <v/>
      </c>
      <c r="C69" s="48"/>
      <c r="D69" s="49"/>
      <c r="E69" s="49"/>
      <c r="F69" s="49"/>
      <c r="G69" s="49"/>
      <c r="H69" s="50" t="str">
        <f>IF($B69="","",IF($J69="X",B69,CONCATENATE(VLOOKUP(B69,Competitors!$A$2:$I$650,3,FALSE)," ",VLOOKUP(B69,Competitors!$A$2:$I$650,2,FALSE))))</f>
        <v/>
      </c>
      <c r="I69" s="51">
        <f t="shared" si="4"/>
        <v>0</v>
      </c>
      <c r="J69" t="str">
        <f t="shared" si="5"/>
        <v/>
      </c>
    </row>
    <row r="70" spans="1:10" ht="15">
      <c r="A70" s="46"/>
      <c r="B70" s="47" t="str">
        <f t="shared" si="3"/>
        <v/>
      </c>
      <c r="C70" s="48"/>
      <c r="D70" s="49"/>
      <c r="E70" s="49"/>
      <c r="F70" s="49"/>
      <c r="G70" s="49"/>
      <c r="H70" s="50" t="str">
        <f>IF($B70="","",IF($J70="X",B70,CONCATENATE(VLOOKUP(B70,Competitors!$A$2:$I$650,3,FALSE)," ",VLOOKUP(B70,Competitors!$A$2:$I$650,2,FALSE))))</f>
        <v/>
      </c>
      <c r="I70" s="51">
        <f t="shared" si="4"/>
        <v>0</v>
      </c>
      <c r="J70" t="str">
        <f t="shared" si="5"/>
        <v/>
      </c>
    </row>
    <row r="71" spans="1:10" ht="15">
      <c r="A71" s="46"/>
      <c r="B71" s="47" t="str">
        <f t="shared" si="3"/>
        <v/>
      </c>
      <c r="C71" s="48"/>
      <c r="D71" s="49"/>
      <c r="E71" s="49"/>
      <c r="F71" s="49"/>
      <c r="G71" s="49"/>
      <c r="H71" s="50" t="str">
        <f>IF($B71="","",IF($J71="X",B71,CONCATENATE(VLOOKUP(B71,Competitors!$A$2:$I$650,3,FALSE)," ",VLOOKUP(B71,Competitors!$A$2:$I$650,2,FALSE))))</f>
        <v/>
      </c>
      <c r="I71" s="51">
        <f t="shared" si="4"/>
        <v>0</v>
      </c>
      <c r="J71" t="str">
        <f t="shared" si="5"/>
        <v/>
      </c>
    </row>
    <row r="72" spans="1:10" ht="15">
      <c r="A72" s="46"/>
      <c r="B72" s="47" t="str">
        <f t="shared" si="3"/>
        <v/>
      </c>
      <c r="C72" s="48"/>
      <c r="D72" s="49"/>
      <c r="E72" s="49"/>
      <c r="F72" s="49"/>
      <c r="G72" s="49"/>
      <c r="H72" s="50" t="str">
        <f>IF($B72="","",IF($J72="X",B72,CONCATENATE(VLOOKUP(B72,Competitors!$A$2:$I$650,3,FALSE)," ",VLOOKUP(B72,Competitors!$A$2:$I$650,2,FALSE))))</f>
        <v/>
      </c>
      <c r="I72" s="51">
        <f t="shared" si="4"/>
        <v>0</v>
      </c>
      <c r="J72" t="str">
        <f t="shared" si="5"/>
        <v/>
      </c>
    </row>
    <row r="73" spans="1:10" ht="15">
      <c r="A73" s="46"/>
      <c r="B73" s="47" t="str">
        <f t="shared" si="3"/>
        <v/>
      </c>
      <c r="C73" s="48"/>
      <c r="D73" s="49"/>
      <c r="E73" s="49"/>
      <c r="F73" s="49"/>
      <c r="G73" s="49"/>
      <c r="H73" s="50" t="str">
        <f>IF($B73="","",IF($J73="X",B73,CONCATENATE(VLOOKUP(B73,Competitors!$A$2:$I$650,3,FALSE)," ",VLOOKUP(B73,Competitors!$A$2:$I$650,2,FALSE))))</f>
        <v/>
      </c>
      <c r="I73" s="51">
        <f t="shared" si="4"/>
        <v>0</v>
      </c>
      <c r="J73" t="str">
        <f t="shared" si="5"/>
        <v/>
      </c>
    </row>
    <row r="74" spans="1:10" ht="15">
      <c r="A74" s="46"/>
      <c r="B74" s="47" t="str">
        <f t="shared" si="3"/>
        <v/>
      </c>
      <c r="C74" s="48"/>
      <c r="D74" s="49"/>
      <c r="E74" s="49"/>
      <c r="F74" s="49"/>
      <c r="G74" s="49"/>
      <c r="H74" s="50" t="str">
        <f>IF($B74="","",IF($J74="X",B74,CONCATENATE(VLOOKUP(B74,Competitors!$A$2:$I$650,3,FALSE)," ",VLOOKUP(B74,Competitors!$A$2:$I$650,2,FALSE))))</f>
        <v/>
      </c>
      <c r="I74" s="51">
        <f t="shared" si="4"/>
        <v>0</v>
      </c>
      <c r="J74" t="str">
        <f t="shared" si="5"/>
        <v/>
      </c>
    </row>
    <row r="75" spans="1:10" ht="15">
      <c r="A75" s="46"/>
      <c r="B75" s="47" t="str">
        <f t="shared" si="3"/>
        <v/>
      </c>
      <c r="C75" s="48"/>
      <c r="D75" s="49"/>
      <c r="E75" s="49"/>
      <c r="F75" s="49"/>
      <c r="G75" s="49"/>
      <c r="H75" s="50" t="str">
        <f>IF($B75="","",IF($J75="X",B75,CONCATENATE(VLOOKUP(B75,Competitors!$A$2:$I$650,3,FALSE)," ",VLOOKUP(B75,Competitors!$A$2:$I$650,2,FALSE))))</f>
        <v/>
      </c>
      <c r="I75" s="51">
        <f t="shared" si="4"/>
        <v>0</v>
      </c>
      <c r="J75" t="str">
        <f t="shared" si="5"/>
        <v/>
      </c>
    </row>
    <row r="76" spans="1:10" ht="15">
      <c r="A76" s="46"/>
      <c r="B76" s="47" t="str">
        <f t="shared" si="3"/>
        <v/>
      </c>
      <c r="C76" s="48"/>
      <c r="D76" s="49"/>
      <c r="E76" s="49"/>
      <c r="F76" s="49"/>
      <c r="G76" s="49"/>
      <c r="H76" s="50" t="str">
        <f>IF($B76="","",IF($J76="X",B76,CONCATENATE(VLOOKUP(B76,Competitors!$A$2:$I$650,3,FALSE)," ",VLOOKUP(B76,Competitors!$A$2:$I$650,2,FALSE))))</f>
        <v/>
      </c>
      <c r="I76" s="51">
        <f t="shared" si="4"/>
        <v>0</v>
      </c>
      <c r="J76" t="str">
        <f t="shared" si="5"/>
        <v/>
      </c>
    </row>
    <row r="77" spans="1:10" ht="15">
      <c r="A77" s="46"/>
      <c r="B77" s="47" t="str">
        <f t="shared" si="3"/>
        <v/>
      </c>
      <c r="C77" s="48"/>
      <c r="D77" s="49"/>
      <c r="E77" s="49"/>
      <c r="F77" s="49"/>
      <c r="G77" s="49"/>
      <c r="H77" s="50" t="str">
        <f>IF($B77="","",IF($J77="X",B77,CONCATENATE(VLOOKUP(B77,Competitors!$A$2:$I$650,3,FALSE)," ",VLOOKUP(B77,Competitors!$A$2:$I$650,2,FALSE))))</f>
        <v/>
      </c>
      <c r="I77" s="51">
        <f t="shared" si="4"/>
        <v>0</v>
      </c>
      <c r="J77" t="str">
        <f t="shared" si="5"/>
        <v/>
      </c>
    </row>
    <row r="78" spans="1:10" ht="15">
      <c r="A78" s="46"/>
      <c r="B78" s="47" t="str">
        <f t="shared" si="3"/>
        <v/>
      </c>
      <c r="C78" s="48"/>
      <c r="D78" s="49"/>
      <c r="E78" s="49"/>
      <c r="F78" s="49"/>
      <c r="G78" s="49"/>
      <c r="H78" s="50" t="str">
        <f>IF($B78="","",IF($J78="X",B78,CONCATENATE(VLOOKUP(B78,Competitors!$A$2:$I$650,3,FALSE)," ",VLOOKUP(B78,Competitors!$A$2:$I$650,2,FALSE))))</f>
        <v/>
      </c>
      <c r="I78" s="51">
        <f t="shared" si="4"/>
        <v>0</v>
      </c>
      <c r="J78" t="str">
        <f t="shared" si="5"/>
        <v/>
      </c>
    </row>
    <row r="79" spans="1:10" ht="15">
      <c r="A79" s="46"/>
      <c r="B79" s="47" t="str">
        <f t="shared" si="3"/>
        <v/>
      </c>
      <c r="C79" s="48"/>
      <c r="D79" s="49"/>
      <c r="E79" s="49"/>
      <c r="F79" s="49"/>
      <c r="G79" s="49"/>
      <c r="H79" s="50" t="str">
        <f>IF($B79="","",IF($J79="X",B79,CONCATENATE(VLOOKUP(B79,Competitors!$A$2:$I$650,3,FALSE)," ",VLOOKUP(B79,Competitors!$A$2:$I$650,2,FALSE))))</f>
        <v/>
      </c>
      <c r="I79" s="51">
        <f t="shared" si="4"/>
        <v>0</v>
      </c>
      <c r="J79" t="str">
        <f t="shared" si="5"/>
        <v/>
      </c>
    </row>
    <row r="80" spans="1:10" ht="15">
      <c r="A80" s="46"/>
      <c r="B80" s="47" t="str">
        <f t="shared" si="3"/>
        <v/>
      </c>
      <c r="C80" s="48"/>
      <c r="D80" s="49"/>
      <c r="E80" s="49"/>
      <c r="F80" s="49"/>
      <c r="G80" s="49"/>
      <c r="H80" s="50" t="str">
        <f>IF($B80="","",IF($J80="X",B80,CONCATENATE(VLOOKUP(B80,Competitors!$A$2:$I$650,3,FALSE)," ",VLOOKUP(B80,Competitors!$A$2:$I$650,2,FALSE))))</f>
        <v/>
      </c>
      <c r="I80" s="51">
        <f t="shared" si="4"/>
        <v>0</v>
      </c>
      <c r="J80" t="str">
        <f t="shared" si="5"/>
        <v/>
      </c>
    </row>
    <row r="81" spans="1:10" ht="15">
      <c r="A81" s="46"/>
      <c r="B81" s="47" t="str">
        <f t="shared" si="3"/>
        <v/>
      </c>
      <c r="C81" s="48"/>
      <c r="D81" s="49"/>
      <c r="E81" s="49"/>
      <c r="F81" s="49"/>
      <c r="G81" s="49"/>
      <c r="H81" s="50" t="str">
        <f>IF($B81="","",IF($J81="X",B81,CONCATENATE(VLOOKUP(B81,Competitors!$A$2:$I$650,3,FALSE)," ",VLOOKUP(B81,Competitors!$A$2:$I$650,2,FALSE))))</f>
        <v/>
      </c>
      <c r="I81" s="51">
        <f t="shared" si="4"/>
        <v>0</v>
      </c>
      <c r="J81" t="str">
        <f t="shared" si="5"/>
        <v/>
      </c>
    </row>
    <row r="82" spans="1:10" ht="15">
      <c r="A82" s="46"/>
      <c r="B82" s="47" t="str">
        <f t="shared" si="3"/>
        <v/>
      </c>
      <c r="C82" s="48"/>
      <c r="D82" s="49"/>
      <c r="E82" s="49"/>
      <c r="F82" s="49"/>
      <c r="G82" s="49"/>
      <c r="H82" s="50" t="str">
        <f>IF($B82="","",IF($J82="X",B82,CONCATENATE(VLOOKUP(B82,Competitors!$A$2:$I$650,3,FALSE)," ",VLOOKUP(B82,Competitors!$A$2:$I$650,2,FALSE))))</f>
        <v/>
      </c>
      <c r="I82" s="51">
        <f t="shared" si="4"/>
        <v>0</v>
      </c>
      <c r="J82" t="str">
        <f t="shared" si="5"/>
        <v/>
      </c>
    </row>
    <row r="83" spans="1:10" ht="15">
      <c r="A83" s="46"/>
      <c r="B83" s="47" t="str">
        <f t="shared" si="3"/>
        <v/>
      </c>
      <c r="C83" s="48"/>
      <c r="D83" s="49"/>
      <c r="E83" s="49"/>
      <c r="F83" s="49"/>
      <c r="G83" s="49"/>
      <c r="H83" s="50" t="str">
        <f>IF($B83="","",IF($J83="X",B83,CONCATENATE(VLOOKUP(B83,Competitors!$A$2:$I$650,3,FALSE)," ",VLOOKUP(B83,Competitors!$A$2:$I$650,2,FALSE))))</f>
        <v/>
      </c>
      <c r="I83" s="51">
        <f t="shared" si="4"/>
        <v>0</v>
      </c>
      <c r="J83" t="str">
        <f t="shared" si="5"/>
        <v/>
      </c>
    </row>
    <row r="84" spans="1:10" ht="15">
      <c r="A84" s="46"/>
      <c r="B84" s="47" t="str">
        <f t="shared" si="3"/>
        <v/>
      </c>
      <c r="C84" s="48"/>
      <c r="D84" s="49"/>
      <c r="E84" s="49"/>
      <c r="F84" s="49"/>
      <c r="G84" s="49"/>
      <c r="H84" s="50" t="str">
        <f>IF($B84="","",IF($J84="X",B84,CONCATENATE(VLOOKUP(B84,Competitors!$A$2:$I$650,3,FALSE)," ",VLOOKUP(B84,Competitors!$A$2:$I$650,2,FALSE))))</f>
        <v/>
      </c>
      <c r="I84" s="51">
        <f t="shared" si="4"/>
        <v>0</v>
      </c>
      <c r="J84" t="str">
        <f t="shared" si="5"/>
        <v/>
      </c>
    </row>
    <row r="85" spans="1:10" ht="15">
      <c r="A85" s="46"/>
      <c r="B85" s="47" t="str">
        <f t="shared" si="3"/>
        <v/>
      </c>
      <c r="C85" s="48"/>
      <c r="D85" s="49"/>
      <c r="E85" s="49"/>
      <c r="F85" s="49"/>
      <c r="G85" s="49"/>
      <c r="H85" s="50" t="str">
        <f>IF($B85="","",IF($J85="X",B85,CONCATENATE(VLOOKUP(B85,Competitors!$A$2:$I$650,3,FALSE)," ",VLOOKUP(B85,Competitors!$A$2:$I$650,2,FALSE))))</f>
        <v/>
      </c>
      <c r="I85" s="51">
        <f t="shared" si="4"/>
        <v>0</v>
      </c>
      <c r="J85" t="str">
        <f t="shared" si="5"/>
        <v/>
      </c>
    </row>
    <row r="86" spans="1:10" ht="15">
      <c r="A86" s="46"/>
      <c r="B86" s="47" t="str">
        <f t="shared" si="3"/>
        <v/>
      </c>
      <c r="C86" s="48"/>
      <c r="D86" s="49"/>
      <c r="E86" s="49"/>
      <c r="F86" s="49"/>
      <c r="G86" s="49"/>
      <c r="H86" s="50" t="str">
        <f>IF($B86="","",IF($J86="X",B86,CONCATENATE(VLOOKUP(B86,Competitors!$A$2:$I$650,3,FALSE)," ",VLOOKUP(B86,Competitors!$A$2:$I$650,2,FALSE))))</f>
        <v/>
      </c>
      <c r="I86" s="51">
        <f t="shared" si="4"/>
        <v>0</v>
      </c>
      <c r="J86" t="str">
        <f t="shared" si="5"/>
        <v/>
      </c>
    </row>
    <row r="87" spans="1:10" ht="15">
      <c r="A87" s="46"/>
      <c r="B87" s="47" t="str">
        <f t="shared" si="3"/>
        <v/>
      </c>
      <c r="C87" s="48"/>
      <c r="D87" s="49"/>
      <c r="E87" s="49"/>
      <c r="F87" s="49"/>
      <c r="G87" s="49"/>
      <c r="H87" s="50" t="str">
        <f>IF($B87="","",IF($J87="X",B87,CONCATENATE(VLOOKUP(B87,Competitors!$A$2:$I$650,3,FALSE)," ",VLOOKUP(B87,Competitors!$A$2:$I$650,2,FALSE))))</f>
        <v/>
      </c>
      <c r="I87" s="51">
        <f t="shared" si="4"/>
        <v>0</v>
      </c>
      <c r="J87" t="str">
        <f t="shared" si="5"/>
        <v/>
      </c>
    </row>
    <row r="88" spans="1:10" ht="15">
      <c r="A88" s="46"/>
      <c r="B88" s="47" t="str">
        <f t="shared" si="3"/>
        <v/>
      </c>
      <c r="C88" s="48"/>
      <c r="D88" s="49"/>
      <c r="E88" s="49"/>
      <c r="F88" s="49"/>
      <c r="G88" s="49"/>
      <c r="H88" s="50" t="str">
        <f>IF($B88="","",IF($J88="X",B88,CONCATENATE(VLOOKUP(B88,Competitors!$A$2:$I$650,3,FALSE)," ",VLOOKUP(B88,Competitors!$A$2:$I$650,2,FALSE))))</f>
        <v/>
      </c>
      <c r="I88" s="51">
        <f t="shared" si="4"/>
        <v>0</v>
      </c>
      <c r="J88" t="str">
        <f t="shared" si="5"/>
        <v/>
      </c>
    </row>
    <row r="89" spans="1:10" ht="15">
      <c r="A89" s="46"/>
      <c r="B89" s="47" t="str">
        <f t="shared" si="3"/>
        <v/>
      </c>
      <c r="C89" s="48"/>
      <c r="D89" s="49"/>
      <c r="E89" s="49"/>
      <c r="F89" s="49"/>
      <c r="G89" s="49"/>
      <c r="H89" s="50" t="str">
        <f>IF($B89="","",IF($J89="X",B89,CONCATENATE(VLOOKUP(B89,Competitors!$A$2:$I$650,3,FALSE)," ",VLOOKUP(B89,Competitors!$A$2:$I$650,2,FALSE))))</f>
        <v/>
      </c>
      <c r="I89" s="51">
        <f t="shared" si="4"/>
        <v>0</v>
      </c>
      <c r="J89" t="str">
        <f t="shared" si="5"/>
        <v/>
      </c>
    </row>
    <row r="90" spans="1:10" ht="15">
      <c r="A90" s="46"/>
      <c r="B90" s="47" t="str">
        <f t="shared" si="3"/>
        <v/>
      </c>
      <c r="C90" s="48"/>
      <c r="D90" s="49"/>
      <c r="E90" s="49"/>
      <c r="F90" s="49"/>
      <c r="G90" s="49"/>
      <c r="H90" s="50" t="str">
        <f>IF($B90="","",IF($J90="X",B90,CONCATENATE(VLOOKUP(B90,Competitors!$A$2:$I$650,3,FALSE)," ",VLOOKUP(B90,Competitors!$A$2:$I$650,2,FALSE))))</f>
        <v/>
      </c>
      <c r="I90" s="51">
        <f t="shared" si="4"/>
        <v>0</v>
      </c>
      <c r="J90" t="str">
        <f t="shared" si="5"/>
        <v/>
      </c>
    </row>
    <row r="91" spans="1:10" ht="15">
      <c r="A91" s="46"/>
      <c r="B91" s="47" t="str">
        <f t="shared" si="3"/>
        <v/>
      </c>
      <c r="C91" s="48"/>
      <c r="D91" s="49"/>
      <c r="E91" s="49"/>
      <c r="F91" s="49"/>
      <c r="G91" s="49"/>
      <c r="H91" s="50" t="str">
        <f>IF($B91="","",IF($J91="X",B91,CONCATENATE(VLOOKUP(B91,Competitors!$A$2:$I$650,3,FALSE)," ",VLOOKUP(B91,Competitors!$A$2:$I$650,2,FALSE))))</f>
        <v/>
      </c>
      <c r="I91" s="51">
        <f t="shared" si="4"/>
        <v>0</v>
      </c>
      <c r="J91" t="str">
        <f t="shared" si="5"/>
        <v/>
      </c>
    </row>
    <row r="92" spans="1:10" ht="15">
      <c r="A92" s="46"/>
      <c r="B92" s="47" t="str">
        <f t="shared" si="3"/>
        <v/>
      </c>
      <c r="C92" s="48"/>
      <c r="D92" s="49"/>
      <c r="E92" s="49"/>
      <c r="F92" s="49"/>
      <c r="G92" s="49"/>
      <c r="H92" s="50" t="str">
        <f>IF($B92="","",IF($J92="X",B92,CONCATENATE(VLOOKUP(B92,Competitors!$A$2:$I$650,3,FALSE)," ",VLOOKUP(B92,Competitors!$A$2:$I$650,2,FALSE))))</f>
        <v/>
      </c>
      <c r="I92" s="51">
        <f t="shared" si="4"/>
        <v>0</v>
      </c>
      <c r="J92" t="str">
        <f t="shared" si="5"/>
        <v/>
      </c>
    </row>
    <row r="93" spans="1:10" ht="15">
      <c r="A93" s="46"/>
      <c r="B93" s="47" t="str">
        <f t="shared" si="3"/>
        <v/>
      </c>
      <c r="C93" s="48"/>
      <c r="D93" s="49"/>
      <c r="E93" s="49"/>
      <c r="F93" s="49"/>
      <c r="G93" s="49"/>
      <c r="H93" s="50" t="str">
        <f>IF($B93="","",IF($J93="X",B93,CONCATENATE(VLOOKUP(B93,Competitors!$A$2:$I$650,3,FALSE)," ",VLOOKUP(B93,Competitors!$A$2:$I$650,2,FALSE))))</f>
        <v/>
      </c>
      <c r="I93" s="51">
        <f t="shared" si="4"/>
        <v>0</v>
      </c>
      <c r="J93" t="str">
        <f t="shared" si="5"/>
        <v/>
      </c>
    </row>
    <row r="94" spans="1:10" ht="15">
      <c r="A94" s="46"/>
      <c r="B94" s="47" t="str">
        <f t="shared" si="3"/>
        <v/>
      </c>
      <c r="C94" s="48"/>
      <c r="D94" s="49"/>
      <c r="E94" s="49"/>
      <c r="F94" s="49"/>
      <c r="G94" s="49"/>
      <c r="H94" s="50" t="str">
        <f>IF($B94="","",IF($J94="X",B94,CONCATENATE(VLOOKUP(B94,Competitors!$A$2:$I$650,3,FALSE)," ",VLOOKUP(B94,Competitors!$A$2:$I$650,2,FALSE))))</f>
        <v/>
      </c>
      <c r="I94" s="51">
        <f t="shared" si="4"/>
        <v>0</v>
      </c>
      <c r="J94" t="str">
        <f t="shared" si="5"/>
        <v/>
      </c>
    </row>
    <row r="95" spans="1:10" ht="15">
      <c r="A95" s="46"/>
      <c r="B95" s="47" t="str">
        <f t="shared" si="3"/>
        <v/>
      </c>
      <c r="C95" s="48"/>
      <c r="D95" s="49"/>
      <c r="E95" s="49"/>
      <c r="F95" s="49"/>
      <c r="G95" s="49"/>
      <c r="H95" s="50" t="str">
        <f>IF($B95="","",IF($J95="X",B95,CONCATENATE(VLOOKUP(B95,Competitors!$A$2:$I$650,3,FALSE)," ",VLOOKUP(B95,Competitors!$A$2:$I$650,2,FALSE))))</f>
        <v/>
      </c>
      <c r="I95" s="51">
        <f t="shared" si="4"/>
        <v>0</v>
      </c>
      <c r="J95" t="str">
        <f t="shared" si="5"/>
        <v/>
      </c>
    </row>
    <row r="96" spans="1:10" ht="15">
      <c r="A96" s="46"/>
      <c r="B96" s="47" t="str">
        <f t="shared" si="3"/>
        <v/>
      </c>
      <c r="C96" s="48"/>
      <c r="D96" s="49"/>
      <c r="E96" s="49"/>
      <c r="F96" s="49"/>
      <c r="G96" s="49"/>
      <c r="H96" s="50" t="str">
        <f>IF($B96="","",IF($J96="X",B96,CONCATENATE(VLOOKUP(B96,Competitors!$A$2:$I$650,3,FALSE)," ",VLOOKUP(B96,Competitors!$A$2:$I$650,2,FALSE))))</f>
        <v/>
      </c>
      <c r="I96" s="51">
        <f t="shared" si="4"/>
        <v>0</v>
      </c>
      <c r="J96" t="str">
        <f t="shared" si="5"/>
        <v/>
      </c>
    </row>
    <row r="97" spans="1:10" ht="15">
      <c r="A97" s="46"/>
      <c r="B97" s="47" t="str">
        <f t="shared" si="3"/>
        <v/>
      </c>
      <c r="C97" s="48"/>
      <c r="D97" s="49"/>
      <c r="E97" s="49"/>
      <c r="F97" s="49"/>
      <c r="G97" s="4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Event_24</v>
      </c>
    </row>
    <row r="104" spans="1:10">
      <c r="B104" t="s">
        <v>552</v>
      </c>
      <c r="C104" t="str">
        <f ca="1">_xlfn.XLOOKUP(C103,Calendar!O:O,Calendar!H:H,"Event is not in calendar")</f>
        <v/>
      </c>
    </row>
  </sheetData>
  <conditionalFormatting sqref="E2:E101">
    <cfRule type="expression" dxfId="11" priority="3">
      <formula>TEXT($C$104,"@")="Y"</formula>
    </cfRule>
  </conditionalFormatting>
  <conditionalFormatting sqref="H2:I101">
    <cfRule type="expression" dxfId="10" priority="2">
      <formula>$J2="X"</formula>
    </cfRule>
  </conditionalFormatting>
  <conditionalFormatting sqref="I2:I101">
    <cfRule type="expression" dxfId="9" priority="1">
      <formula>TEXT($C$104,"@")="Y"</formula>
    </cfRule>
  </conditionalFormatting>
  <pageMargins left="0.7" right="0.7" top="0.75" bottom="0.75" header="0.3" footer="0.3"/>
  <pageSetup paperSize="9" orientation="portrait"/>
  <legacy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7"/>
  <dimension ref="A1:J104"/>
  <sheetViews>
    <sheetView workbookViewId="0">
      <selection activeCell="F19" sqref="F19"/>
    </sheetView>
    <sheetView workbookViewId="1"/>
  </sheetViews>
  <sheetFormatPr defaultColWidth="9.1328125" defaultRowHeight="12.75"/>
  <cols>
    <col min="1" max="1" width="20.33203125" bestFit="1" customWidth="1"/>
    <col min="2" max="2" width="23.86328125" bestFit="1" customWidth="1"/>
    <col min="3" max="5" width="4.796875"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t="s">
        <v>453</v>
      </c>
      <c r="B2" s="47">
        <f t="shared" ref="B2:B33" si="0">IF(A2="","",_xlfn.XLOOKUP(A2,ClubNames,ClubNumbers,_xlfn.XLOOKUP(A2,RoundRobinRiderNames,RoundRobinRiderDecoratedNames,A2)))</f>
        <v>558</v>
      </c>
      <c r="C2" s="48"/>
      <c r="D2" s="49"/>
      <c r="E2" s="49"/>
      <c r="F2" s="65" t="s">
        <v>799</v>
      </c>
      <c r="G2" s="49"/>
      <c r="H2" s="50" t="str">
        <f>IF($B2="","",IF($J2="X",B2,CONCATENATE(VLOOKUP(B2,Competitors!$A$2:$I$650,3, FALSE)," ",VLOOKUP(B2,Competitors!$A$2:$I$650,2,FALSE))))</f>
        <v>Andrew Weatherby</v>
      </c>
      <c r="I2" s="51">
        <f t="shared" ref="I2:I65" si="1">IF(LEFT($F2,1)="D",UPPER($F2),(C2*3600+D2*60+E2)/86400)</f>
        <v>0</v>
      </c>
      <c r="J2" t="str">
        <f t="shared" ref="J2:J65" si="2">IF(OR(B2="",ISNUMBER(B2)),"","X")</f>
        <v/>
      </c>
    </row>
    <row r="3" spans="1:10" ht="15">
      <c r="A3" s="46" t="s">
        <v>628</v>
      </c>
      <c r="B3" s="47">
        <f t="shared" si="0"/>
        <v>1415</v>
      </c>
      <c r="C3" s="48"/>
      <c r="D3" s="49"/>
      <c r="E3" s="49"/>
      <c r="F3" s="65" t="s">
        <v>799</v>
      </c>
      <c r="G3" s="49"/>
      <c r="H3" s="50" t="str">
        <f>IF($B3="","",IF($J3="X",B3,CONCATENATE(VLOOKUP(B3,Competitors!$A$2:$I$650,3,FALSE)," ",VLOOKUP(B3,Competitors!$A$2:$I$650,2,FALSE))))</f>
        <v>James Aldridge</v>
      </c>
      <c r="I3" s="51">
        <f t="shared" si="1"/>
        <v>0</v>
      </c>
      <c r="J3" t="str">
        <f t="shared" si="2"/>
        <v/>
      </c>
    </row>
    <row r="4" spans="1:10" ht="15">
      <c r="A4" s="46" t="s">
        <v>579</v>
      </c>
      <c r="B4" s="47">
        <f t="shared" si="0"/>
        <v>1370</v>
      </c>
      <c r="C4" s="48"/>
      <c r="D4" s="49"/>
      <c r="E4" s="49"/>
      <c r="F4" s="65" t="s">
        <v>799</v>
      </c>
      <c r="G4" s="49"/>
      <c r="H4" s="50" t="str">
        <f>IF($B4="","",IF($J4="X",B4,CONCATENATE(VLOOKUP(B4,Competitors!$A$2:$I$650,3,FALSE)," ",VLOOKUP(B4,Competitors!$A$2:$I$650,2,FALSE))))</f>
        <v>Ian Aldridge</v>
      </c>
      <c r="I4" s="51">
        <f t="shared" si="1"/>
        <v>0</v>
      </c>
      <c r="J4" t="str">
        <f t="shared" si="2"/>
        <v/>
      </c>
    </row>
    <row r="5" spans="1:10" ht="15">
      <c r="A5" s="46" t="s">
        <v>443</v>
      </c>
      <c r="B5" s="47">
        <f t="shared" si="0"/>
        <v>1193</v>
      </c>
      <c r="C5" s="48"/>
      <c r="D5" s="49"/>
      <c r="E5" s="49"/>
      <c r="F5" s="65" t="s">
        <v>799</v>
      </c>
      <c r="G5" s="49"/>
      <c r="H5" s="50" t="str">
        <f>IF($B5="","",IF($J5="X",B5,CONCATENATE(VLOOKUP(B5,Competitors!$A$2:$I$650,3,FALSE)," ",VLOOKUP(B5,Competitors!$A$2:$I$650,2,FALSE))))</f>
        <v>Richard Hardwicke</v>
      </c>
      <c r="I5" s="51">
        <f t="shared" si="1"/>
        <v>0</v>
      </c>
      <c r="J5" t="str">
        <f t="shared" si="2"/>
        <v/>
      </c>
    </row>
    <row r="6" spans="1:10" ht="15">
      <c r="A6" s="46" t="s">
        <v>437</v>
      </c>
      <c r="B6" s="47">
        <f t="shared" si="0"/>
        <v>1195</v>
      </c>
      <c r="C6" s="48"/>
      <c r="D6" s="49"/>
      <c r="E6" s="49"/>
      <c r="F6" s="65" t="s">
        <v>799</v>
      </c>
      <c r="G6" s="49"/>
      <c r="H6" s="50" t="str">
        <f>IF($B6="","",IF($J6="X",B6,CONCATENATE(VLOOKUP(B6,Competitors!$A$2:$I$650,3,FALSE)," ",VLOOKUP(B6,Competitors!$A$2:$I$650,2,FALSE))))</f>
        <v>Charlie Hardwicke</v>
      </c>
      <c r="I6" s="51">
        <f t="shared" si="1"/>
        <v>0</v>
      </c>
      <c r="J6" t="str">
        <f t="shared" si="2"/>
        <v/>
      </c>
    </row>
    <row r="7" spans="1:10" ht="15">
      <c r="A7" s="46" t="s">
        <v>446</v>
      </c>
      <c r="B7" s="47">
        <f t="shared" si="0"/>
        <v>1379</v>
      </c>
      <c r="C7" s="48"/>
      <c r="D7" s="49"/>
      <c r="E7" s="49"/>
      <c r="F7" s="65" t="s">
        <v>799</v>
      </c>
      <c r="G7" s="49"/>
      <c r="H7" s="50" t="str">
        <f>IF($B7="","",IF($J7="X",B7,CONCATENATE(VLOOKUP(B7,Competitors!$A$2:$I$650,3,FALSE)," ",VLOOKUP(B7,Competitors!$A$2:$I$650,2,FALSE))))</f>
        <v>Michaela Latham</v>
      </c>
      <c r="I7" s="51">
        <f t="shared" si="1"/>
        <v>0</v>
      </c>
      <c r="J7" t="str">
        <f t="shared" si="2"/>
        <v/>
      </c>
    </row>
    <row r="8" spans="1:10" ht="15">
      <c r="A8" s="46" t="s">
        <v>744</v>
      </c>
      <c r="B8" s="47" t="str">
        <f t="shared" si="0"/>
        <v>Esme Shipman</v>
      </c>
      <c r="C8" s="48"/>
      <c r="D8" s="49"/>
      <c r="E8" s="49"/>
      <c r="F8" s="65" t="s">
        <v>799</v>
      </c>
      <c r="G8" s="49"/>
      <c r="H8" s="50" t="str">
        <f>IF($B8="","",IF($J8="X",B8,CONCATENATE(VLOOKUP(B8,Competitors!$A$2:$I$650,3,FALSE)," ",VLOOKUP(B8,Competitors!$A$2:$I$650,2,FALSE))))</f>
        <v>Esme Shipman</v>
      </c>
      <c r="I8" s="51">
        <f t="shared" si="1"/>
        <v>0</v>
      </c>
      <c r="J8" t="str">
        <f t="shared" si="2"/>
        <v>X</v>
      </c>
    </row>
    <row r="9" spans="1:10" ht="15">
      <c r="A9" s="46" t="s">
        <v>798</v>
      </c>
      <c r="B9" s="47" t="str">
        <f t="shared" si="0"/>
        <v>Simon Haywood</v>
      </c>
      <c r="C9" s="48"/>
      <c r="D9" s="49"/>
      <c r="E9" s="49"/>
      <c r="F9" s="65" t="s">
        <v>799</v>
      </c>
      <c r="G9" s="49"/>
      <c r="H9" s="50" t="str">
        <f>IF($B9="","",IF($J9="X",B9,CONCATENATE(VLOOKUP(B9,Competitors!$A$2:$I$650,3,FALSE)," ",VLOOKUP(B9,Competitors!$A$2:$I$650,2,FALSE))))</f>
        <v>Simon Haywood</v>
      </c>
      <c r="I9" s="51">
        <f t="shared" si="1"/>
        <v>0</v>
      </c>
      <c r="J9" t="str">
        <f t="shared" si="2"/>
        <v>X</v>
      </c>
    </row>
    <row r="10" spans="1:10" ht="15">
      <c r="A10" s="46" t="s">
        <v>418</v>
      </c>
      <c r="B10" s="47">
        <f t="shared" si="0"/>
        <v>1355</v>
      </c>
      <c r="C10" s="48"/>
      <c r="D10" s="49"/>
      <c r="E10" s="49"/>
      <c r="F10" s="65" t="s">
        <v>799</v>
      </c>
      <c r="G10" s="49"/>
      <c r="H10" s="50" t="str">
        <f>IF($B10="","",IF($J10="X",B10,CONCATENATE(VLOOKUP(B10,Competitors!$A$2:$I$650,3, FALSE)," ",VLOOKUP(B10,Competitors!$A$2:$I$650,2,FALSE))))</f>
        <v>Aubrey Elmer</v>
      </c>
      <c r="I10" s="51">
        <f t="shared" si="1"/>
        <v>0</v>
      </c>
      <c r="J10" t="str">
        <f t="shared" si="2"/>
        <v/>
      </c>
    </row>
    <row r="11" spans="1:10" ht="15">
      <c r="A11" s="46" t="s">
        <v>422</v>
      </c>
      <c r="B11" s="47">
        <f t="shared" si="0"/>
        <v>1407</v>
      </c>
      <c r="C11" s="48"/>
      <c r="D11" s="49"/>
      <c r="E11" s="49"/>
      <c r="F11" s="65" t="s">
        <v>799</v>
      </c>
      <c r="G11" s="49"/>
      <c r="H11" s="50" t="str">
        <f>IF($B11="","",IF($J11="X",B11,CONCATENATE(VLOOKUP(B11,Competitors!$A$2:$I$650,3,FALSE)," ",VLOOKUP(B11,Competitors!$A$2:$I$650,2,FALSE))))</f>
        <v>Colin Dobson</v>
      </c>
      <c r="I11" s="51">
        <f t="shared" si="1"/>
        <v>0</v>
      </c>
      <c r="J11" t="str">
        <f t="shared" si="2"/>
        <v/>
      </c>
    </row>
    <row r="12" spans="1:10" ht="15">
      <c r="A12" s="46" t="s">
        <v>442</v>
      </c>
      <c r="B12" s="47">
        <f t="shared" si="0"/>
        <v>564</v>
      </c>
      <c r="C12" s="48"/>
      <c r="D12" s="49"/>
      <c r="E12" s="49"/>
      <c r="F12" s="49"/>
      <c r="G12" s="49"/>
      <c r="H12" s="50" t="str">
        <f>IF($B12="","",IF($J12="X",B12,CONCATENATE(VLOOKUP(B12,Competitors!$A$2:$I$650,3,FALSE)," ",VLOOKUP(B12,Competitors!$A$2:$I$650,2,FALSE))))</f>
        <v>Ian Murdey</v>
      </c>
      <c r="I12" s="51">
        <f t="shared" si="1"/>
        <v>0</v>
      </c>
      <c r="J12" t="str">
        <f t="shared" si="2"/>
        <v/>
      </c>
    </row>
    <row r="13" spans="1:10" ht="15">
      <c r="A13" s="46" t="s">
        <v>429</v>
      </c>
      <c r="B13" s="47">
        <f t="shared" si="0"/>
        <v>1107</v>
      </c>
      <c r="C13" s="48"/>
      <c r="D13" s="49"/>
      <c r="E13" s="49"/>
      <c r="F13" s="49"/>
      <c r="G13" s="49"/>
      <c r="H13" s="50" t="str">
        <f>IF($B13="","",IF($J13="X",B13,CONCATENATE(VLOOKUP(B13,Competitors!$A$2:$I$650,3,FALSE)," ",VLOOKUP(B13,Competitors!$A$2:$I$650,2,FALSE))))</f>
        <v>Milly Pinnock</v>
      </c>
      <c r="I13" s="51">
        <f t="shared" si="1"/>
        <v>0</v>
      </c>
      <c r="J13" t="str">
        <f t="shared" si="2"/>
        <v/>
      </c>
    </row>
    <row r="14" spans="1:10" ht="15">
      <c r="A14" s="60" t="s">
        <v>432</v>
      </c>
      <c r="B14" s="47">
        <f t="shared" si="0"/>
        <v>1112</v>
      </c>
      <c r="C14" s="48"/>
      <c r="D14" s="49"/>
      <c r="E14" s="49"/>
      <c r="F14" s="65" t="s">
        <v>799</v>
      </c>
      <c r="G14" s="49"/>
      <c r="H14" s="50" t="str">
        <f>IF($B14="","",IF($J14="X",B14,CONCATENATE(VLOOKUP(B14,Competitors!$A$2:$I$650,3,FALSE)," ",VLOOKUP(B14,Competitors!$A$2:$I$650,2,FALSE))))</f>
        <v>Gary Ashwell</v>
      </c>
      <c r="I14" s="51">
        <f t="shared" si="1"/>
        <v>0</v>
      </c>
      <c r="J14" t="str">
        <f t="shared" si="2"/>
        <v/>
      </c>
    </row>
    <row r="15" spans="1:10" ht="15">
      <c r="A15" s="60" t="s">
        <v>436</v>
      </c>
      <c r="B15" s="47">
        <f t="shared" si="0"/>
        <v>203</v>
      </c>
      <c r="C15" s="48"/>
      <c r="D15" s="49"/>
      <c r="E15" s="49"/>
      <c r="F15" s="49"/>
      <c r="G15" s="49"/>
      <c r="H15" s="50" t="str">
        <f>IF($B15="","",IF($J15="X",B15,CONCATENATE(VLOOKUP(B15,Competitors!$A$2:$I$650,3,FALSE)," ",VLOOKUP(B15,Competitors!$A$2:$I$650,2,FALSE))))</f>
        <v>Adrian Killworth</v>
      </c>
      <c r="I15" s="51">
        <f t="shared" si="1"/>
        <v>0</v>
      </c>
      <c r="J15" t="str">
        <f t="shared" si="2"/>
        <v/>
      </c>
    </row>
    <row r="16" spans="1:10" ht="15">
      <c r="A16" s="60" t="s">
        <v>464</v>
      </c>
      <c r="B16" s="47" t="str">
        <f t="shared" si="0"/>
        <v>Carl Dyson (Aerologic)</v>
      </c>
      <c r="C16" s="48"/>
      <c r="D16" s="49"/>
      <c r="E16" s="49"/>
      <c r="F16" s="65" t="s">
        <v>799</v>
      </c>
      <c r="G16" s="49"/>
      <c r="H16" s="50" t="str">
        <f>IF($B16="","",IF($J16="X",B16,CONCATENATE(VLOOKUP(B16,Competitors!$A$2:$I$650,3,FALSE)," ",VLOOKUP(B16,Competitors!$A$2:$I$650,2,FALSE))))</f>
        <v>Carl Dyson (Aerologic)</v>
      </c>
      <c r="I16" s="51">
        <f t="shared" si="1"/>
        <v>0</v>
      </c>
      <c r="J16" t="str">
        <f t="shared" si="2"/>
        <v>X</v>
      </c>
    </row>
    <row r="17" spans="1:10" ht="15">
      <c r="A17" s="60" t="s">
        <v>413</v>
      </c>
      <c r="B17" s="47">
        <f t="shared" si="0"/>
        <v>989</v>
      </c>
      <c r="C17" s="48"/>
      <c r="D17" s="49"/>
      <c r="E17" s="49"/>
      <c r="F17" s="65" t="s">
        <v>799</v>
      </c>
      <c r="G17" s="49"/>
      <c r="H17" s="50" t="str">
        <f>IF($B17="","",IF($J17="X",B17,CONCATENATE(VLOOKUP(B17,Competitors!$A$2:$I$650,3,FALSE)," ",VLOOKUP(B17,Competitors!$A$2:$I$650,2,FALSE))))</f>
        <v>Jason Williams</v>
      </c>
      <c r="I17" s="51">
        <f t="shared" si="1"/>
        <v>0</v>
      </c>
      <c r="J17" t="str">
        <f t="shared" si="2"/>
        <v/>
      </c>
    </row>
    <row r="18" spans="1:10" ht="15">
      <c r="A18" s="60" t="s">
        <v>509</v>
      </c>
      <c r="B18" s="47" t="str">
        <f t="shared" si="0"/>
        <v>Mark Newton (Ratae)</v>
      </c>
      <c r="C18" s="48"/>
      <c r="D18" s="49"/>
      <c r="E18" s="49"/>
      <c r="F18" s="65" t="s">
        <v>799</v>
      </c>
      <c r="G18" s="49"/>
      <c r="H18" s="50" t="str">
        <f>IF($B18="","",IF($J18="X",B18,CONCATENATE(VLOOKUP(B18,Competitors!$A$2:$I$650,3,FALSE)," ",VLOOKUP(B18,Competitors!$A$2:$I$650,2,FALSE))))</f>
        <v>Mark Newton (Ratae)</v>
      </c>
      <c r="I18" s="51">
        <f t="shared" si="1"/>
        <v>0</v>
      </c>
      <c r="J18" t="str">
        <f t="shared" si="2"/>
        <v>X</v>
      </c>
    </row>
    <row r="19" spans="1:10" ht="15">
      <c r="A19" s="60" t="s">
        <v>414</v>
      </c>
      <c r="B19" s="47">
        <f t="shared" si="0"/>
        <v>699</v>
      </c>
      <c r="C19" s="48"/>
      <c r="D19" s="49"/>
      <c r="E19" s="49"/>
      <c r="F19" s="49"/>
      <c r="G19" s="49"/>
      <c r="H19" s="50" t="str">
        <f>IF($B19="","",IF($J19="X",B19,CONCATENATE(VLOOKUP(B19,Competitors!$A$2:$I$650,3,FALSE)," ",VLOOKUP(B19,Competitors!$A$2:$I$650,2,FALSE))))</f>
        <v>Jonathan Durnin</v>
      </c>
      <c r="I19" s="51">
        <f t="shared" si="1"/>
        <v>0</v>
      </c>
      <c r="J19" t="str">
        <f t="shared" si="2"/>
        <v/>
      </c>
    </row>
    <row r="20" spans="1:10" ht="15">
      <c r="A20" s="46"/>
      <c r="B20" s="47" t="str">
        <f t="shared" si="0"/>
        <v/>
      </c>
      <c r="C20" s="48"/>
      <c r="D20" s="49"/>
      <c r="E20" s="49"/>
      <c r="F20" s="49"/>
      <c r="G20" s="49"/>
      <c r="H20" s="50" t="str">
        <f>IF($B20="","",IF($J20="X",B20,CONCATENATE(VLOOKUP(B20,Competitors!$A$2:$I$650,3,FALSE)," ",VLOOKUP(B20,Competitors!$A$2:$I$650,2,FALSE))))</f>
        <v/>
      </c>
      <c r="I20" s="51">
        <f t="shared" si="1"/>
        <v>0</v>
      </c>
      <c r="J20" t="str">
        <f t="shared" si="2"/>
        <v/>
      </c>
    </row>
    <row r="21" spans="1:10" ht="15">
      <c r="A21" s="46"/>
      <c r="B21" s="47" t="str">
        <f t="shared" si="0"/>
        <v/>
      </c>
      <c r="C21" s="48"/>
      <c r="D21" s="49"/>
      <c r="E21" s="49"/>
      <c r="F21" s="49"/>
      <c r="G21" s="49"/>
      <c r="H21" s="50" t="str">
        <f>IF($B21="","",IF($J21="X",B21,CONCATENATE(VLOOKUP(B21,Competitors!$A$2:$I$650,3,FALSE)," ",VLOOKUP(B21,Competitors!$A$2:$I$650,2,FALSE))))</f>
        <v/>
      </c>
      <c r="I21" s="51">
        <f t="shared" si="1"/>
        <v>0</v>
      </c>
      <c r="J21" t="str">
        <f t="shared" si="2"/>
        <v/>
      </c>
    </row>
    <row r="22" spans="1:10" ht="15">
      <c r="A22" s="46"/>
      <c r="B22" s="47" t="str">
        <f t="shared" si="0"/>
        <v/>
      </c>
      <c r="C22" s="48"/>
      <c r="D22" s="49"/>
      <c r="E22" s="49"/>
      <c r="F22" s="49"/>
      <c r="G22" s="49"/>
      <c r="H22" s="50" t="str">
        <f>IF($B22="","",IF($J22="X",B22,CONCATENATE(VLOOKUP(B22,Competitors!$A$2:$I$650,3,FALSE)," ",VLOOKUP(B22,Competitors!$A$2:$I$650,2,FALSE))))</f>
        <v/>
      </c>
      <c r="I22" s="51">
        <f t="shared" si="1"/>
        <v>0</v>
      </c>
      <c r="J22" t="str">
        <f t="shared" si="2"/>
        <v/>
      </c>
    </row>
    <row r="23" spans="1:10" ht="15">
      <c r="A23" s="46"/>
      <c r="B23" s="47" t="str">
        <f t="shared" si="0"/>
        <v/>
      </c>
      <c r="C23" s="48"/>
      <c r="D23" s="49"/>
      <c r="E23" s="49"/>
      <c r="F23" s="49"/>
      <c r="G23" s="49"/>
      <c r="H23" s="50" t="str">
        <f>IF($B23="","",IF($J23="X",B23,CONCATENATE(VLOOKUP(B23,Competitors!$A$2:$I$650,3,FALSE)," ",VLOOKUP(B23,Competitors!$A$2:$I$650,2,FALSE))))</f>
        <v/>
      </c>
      <c r="I23" s="51">
        <f t="shared" si="1"/>
        <v>0</v>
      </c>
      <c r="J23" t="str">
        <f t="shared" si="2"/>
        <v/>
      </c>
    </row>
    <row r="24" spans="1:10" ht="15">
      <c r="A24" s="46"/>
      <c r="B24" s="47" t="str">
        <f t="shared" si="0"/>
        <v/>
      </c>
      <c r="C24" s="48"/>
      <c r="D24" s="49"/>
      <c r="E24" s="49"/>
      <c r="F24" s="49"/>
      <c r="G24" s="49"/>
      <c r="H24" s="50" t="str">
        <f>IF($B24="","",IF($J24="X",B24,CONCATENATE(VLOOKUP(B24,Competitors!$A$2:$I$650,3,FALSE)," ",VLOOKUP(B24,Competitors!$A$2:$I$650,2,FALSE))))</f>
        <v/>
      </c>
      <c r="I24" s="51">
        <f t="shared" si="1"/>
        <v>0</v>
      </c>
      <c r="J24" t="str">
        <f t="shared" si="2"/>
        <v/>
      </c>
    </row>
    <row r="25" spans="1:10" ht="15">
      <c r="A25" s="46"/>
      <c r="B25" s="47" t="str">
        <f t="shared" si="0"/>
        <v/>
      </c>
      <c r="C25" s="48"/>
      <c r="D25" s="49"/>
      <c r="E25" s="49"/>
      <c r="F25" s="49"/>
      <c r="G25" s="49"/>
      <c r="H25" s="50" t="str">
        <f>IF($B25="","",IF($J25="X",B25,CONCATENATE(VLOOKUP(B25,Competitors!$A$2:$I$650,3,FALSE)," ",VLOOKUP(B25,Competitors!$A$2:$I$650,2,FALSE))))</f>
        <v/>
      </c>
      <c r="I25" s="51">
        <f t="shared" si="1"/>
        <v>0</v>
      </c>
      <c r="J25" t="str">
        <f t="shared" si="2"/>
        <v/>
      </c>
    </row>
    <row r="26" spans="1:10" ht="15">
      <c r="A26" s="46"/>
      <c r="B26" s="47" t="str">
        <f t="shared" si="0"/>
        <v/>
      </c>
      <c r="C26" s="48"/>
      <c r="D26" s="49"/>
      <c r="E26" s="49"/>
      <c r="F26" s="49"/>
      <c r="G26" s="49"/>
      <c r="H26" s="50" t="str">
        <f>IF($B26="","",IF($J26="X",B26,CONCATENATE(VLOOKUP(B26,Competitors!$A$2:$I$650,3,FALSE)," ",VLOOKUP(B26,Competitors!$A$2:$I$650,2,FALSE))))</f>
        <v/>
      </c>
      <c r="I26" s="51">
        <f t="shared" si="1"/>
        <v>0</v>
      </c>
      <c r="J26" t="str">
        <f t="shared" si="2"/>
        <v/>
      </c>
    </row>
    <row r="27" spans="1:10" ht="15">
      <c r="A27" s="46"/>
      <c r="B27" s="47" t="str">
        <f t="shared" si="0"/>
        <v/>
      </c>
      <c r="C27" s="48"/>
      <c r="D27" s="49"/>
      <c r="E27" s="49"/>
      <c r="F27" s="49"/>
      <c r="G27" s="49"/>
      <c r="H27" s="50" t="str">
        <f>IF($B27="","",IF($J27="X",B27,CONCATENATE(VLOOKUP(B27,Competitors!$A$2:$I$650,3,FALSE)," ",VLOOKUP(B27,Competitors!$A$2:$I$650,2,FALSE))))</f>
        <v/>
      </c>
      <c r="I27" s="51">
        <f t="shared" si="1"/>
        <v>0</v>
      </c>
      <c r="J27" t="str">
        <f t="shared" si="2"/>
        <v/>
      </c>
    </row>
    <row r="28" spans="1:10" ht="15">
      <c r="A28" s="46"/>
      <c r="B28" s="47" t="str">
        <f t="shared" si="0"/>
        <v/>
      </c>
      <c r="C28" s="48"/>
      <c r="D28" s="49"/>
      <c r="E28" s="49"/>
      <c r="F28" s="49"/>
      <c r="G28" s="49"/>
      <c r="H28" s="50" t="str">
        <f>IF($B28="","",IF($J28="X",B28,CONCATENATE(VLOOKUP(B28,Competitors!$A$2:$I$650,3,FALSE)," ",VLOOKUP(B28,Competitors!$A$2:$I$650,2,FALSE))))</f>
        <v/>
      </c>
      <c r="I28" s="51">
        <f t="shared" si="1"/>
        <v>0</v>
      </c>
      <c r="J28" t="str">
        <f t="shared" si="2"/>
        <v/>
      </c>
    </row>
    <row r="29" spans="1:10" ht="15">
      <c r="A29" s="46"/>
      <c r="B29" s="47" t="str">
        <f t="shared" si="0"/>
        <v/>
      </c>
      <c r="C29" s="48"/>
      <c r="D29" s="49"/>
      <c r="E29" s="49"/>
      <c r="F29" s="49"/>
      <c r="G29" s="49"/>
      <c r="H29" s="50" t="str">
        <f>IF($B29="","",IF($J29="X",B29,CONCATENATE(VLOOKUP(B29,Competitors!$A$2:$I$650,3,FALSE)," ",VLOOKUP(B29,Competitors!$A$2:$I$650,2,FALSE))))</f>
        <v/>
      </c>
      <c r="I29" s="51">
        <f t="shared" si="1"/>
        <v>0</v>
      </c>
      <c r="J29" t="str">
        <f t="shared" si="2"/>
        <v/>
      </c>
    </row>
    <row r="30" spans="1:10" ht="15">
      <c r="A30" s="46"/>
      <c r="B30" s="47" t="str">
        <f t="shared" si="0"/>
        <v/>
      </c>
      <c r="C30" s="48"/>
      <c r="D30" s="49"/>
      <c r="E30" s="49"/>
      <c r="F30" s="49"/>
      <c r="G30" s="49"/>
      <c r="H30" s="50" t="str">
        <f>IF($B30="","",IF($J30="X",B30,CONCATENATE(VLOOKUP(B30,Competitors!$A$2:$I$650,3,FALSE)," ",VLOOKUP(B30,Competitors!$A$2:$I$650,2,FALSE))))</f>
        <v/>
      </c>
      <c r="I30" s="51">
        <f t="shared" si="1"/>
        <v>0</v>
      </c>
      <c r="J30" t="str">
        <f t="shared" si="2"/>
        <v/>
      </c>
    </row>
    <row r="31" spans="1:10" ht="15">
      <c r="A31" s="46"/>
      <c r="B31" s="47" t="str">
        <f t="shared" si="0"/>
        <v/>
      </c>
      <c r="C31" s="48"/>
      <c r="D31" s="49"/>
      <c r="E31" s="49"/>
      <c r="F31" s="49"/>
      <c r="G31" s="49"/>
      <c r="H31" s="50" t="str">
        <f>IF($B31="","",IF($J31="X",B31,CONCATENATE(VLOOKUP(B31,Competitors!$A$2:$I$650,3,FALSE)," ",VLOOKUP(B31,Competitors!$A$2:$I$650,2,FALSE))))</f>
        <v/>
      </c>
      <c r="I31" s="51">
        <f t="shared" si="1"/>
        <v>0</v>
      </c>
      <c r="J31" t="str">
        <f t="shared" si="2"/>
        <v/>
      </c>
    </row>
    <row r="32" spans="1:10" ht="15">
      <c r="A32" s="46"/>
      <c r="B32" s="47" t="str">
        <f t="shared" si="0"/>
        <v/>
      </c>
      <c r="C32" s="48"/>
      <c r="D32" s="49"/>
      <c r="E32" s="49"/>
      <c r="F32" s="49"/>
      <c r="G32" s="49"/>
      <c r="H32" s="50" t="str">
        <f>IF($B32="","",IF($J32="X",B32,CONCATENATE(VLOOKUP(B32,Competitors!$A$2:$I$650,3,FALSE)," ",VLOOKUP(B32,Competitors!$A$2:$I$650,2,FALSE))))</f>
        <v/>
      </c>
      <c r="I32" s="51">
        <f t="shared" si="1"/>
        <v>0</v>
      </c>
      <c r="J32" t="str">
        <f t="shared" si="2"/>
        <v/>
      </c>
    </row>
    <row r="33" spans="1:10" ht="15">
      <c r="A33" s="46"/>
      <c r="B33" s="47" t="str">
        <f t="shared" si="0"/>
        <v/>
      </c>
      <c r="C33" s="48"/>
      <c r="D33" s="49"/>
      <c r="E33" s="49"/>
      <c r="F33" s="49"/>
      <c r="G33" s="49"/>
      <c r="H33" s="50" t="str">
        <f>IF($B33="","",IF($J33="X",B33,CONCATENATE(VLOOKUP(B33,Competitors!$A$2:$I$650,3,FALSE)," ",VLOOKUP(B33,Competitors!$A$2:$I$650,2,FALSE))))</f>
        <v/>
      </c>
      <c r="I33" s="51">
        <f t="shared" si="1"/>
        <v>0</v>
      </c>
      <c r="J33" t="str">
        <f t="shared" si="2"/>
        <v/>
      </c>
    </row>
    <row r="34" spans="1:10" ht="15">
      <c r="A34" s="46"/>
      <c r="B34" s="47" t="str">
        <f t="shared" ref="B34:B97" si="3">IF(A34="","",_xlfn.XLOOKUP(A34,ClubNames,ClubNumbers,_xlfn.XLOOKUP(A34,RoundRobinRiderNames,RoundRobinRiderDecoratedNames,A34)))</f>
        <v/>
      </c>
      <c r="C34" s="48"/>
      <c r="D34" s="49"/>
      <c r="E34" s="49"/>
      <c r="F34" s="49"/>
      <c r="G34" s="49"/>
      <c r="H34" s="50" t="str">
        <f>IF($B34="","",IF($J34="X",B34,CONCATENATE(VLOOKUP(B34,Competitors!$A$2:$I$650,3,FALSE)," ",VLOOKUP(B34,Competitors!$A$2:$I$650,2,FALSE))))</f>
        <v/>
      </c>
      <c r="I34" s="51">
        <f t="shared" si="1"/>
        <v>0</v>
      </c>
      <c r="J34" t="str">
        <f t="shared" si="2"/>
        <v/>
      </c>
    </row>
    <row r="35" spans="1:10" ht="15">
      <c r="A35" s="46"/>
      <c r="B35" s="47" t="str">
        <f t="shared" si="3"/>
        <v/>
      </c>
      <c r="C35" s="48"/>
      <c r="D35" s="49"/>
      <c r="E35" s="49"/>
      <c r="F35" s="49"/>
      <c r="G35" s="49"/>
      <c r="H35" s="50" t="str">
        <f>IF($B35="","",IF($J35="X",B35,CONCATENATE(VLOOKUP(B35,Competitors!$A$2:$I$650,3,FALSE)," ",VLOOKUP(B35,Competitors!$A$2:$I$650,2,FALSE))))</f>
        <v/>
      </c>
      <c r="I35" s="51">
        <f t="shared" si="1"/>
        <v>0</v>
      </c>
      <c r="J35" t="str">
        <f t="shared" si="2"/>
        <v/>
      </c>
    </row>
    <row r="36" spans="1:10" ht="15">
      <c r="A36" s="46"/>
      <c r="B36" s="47" t="str">
        <f t="shared" si="3"/>
        <v/>
      </c>
      <c r="C36" s="48"/>
      <c r="D36" s="49"/>
      <c r="E36" s="49"/>
      <c r="F36" s="49"/>
      <c r="G36" s="49"/>
      <c r="H36" s="50" t="str">
        <f>IF($B36="","",IF($J36="X",B36,CONCATENATE(VLOOKUP(B36,Competitors!$A$2:$I$650,3,FALSE)," ",VLOOKUP(B36,Competitors!$A$2:$I$650,2,FALSE))))</f>
        <v/>
      </c>
      <c r="I36" s="51">
        <f t="shared" si="1"/>
        <v>0</v>
      </c>
      <c r="J36" t="str">
        <f t="shared" si="2"/>
        <v/>
      </c>
    </row>
    <row r="37" spans="1:10" ht="15">
      <c r="A37" s="46"/>
      <c r="B37" s="47" t="str">
        <f t="shared" si="3"/>
        <v/>
      </c>
      <c r="C37" s="48"/>
      <c r="D37" s="49"/>
      <c r="E37" s="49"/>
      <c r="F37" s="49"/>
      <c r="G37" s="49"/>
      <c r="H37" s="50" t="str">
        <f>IF($B37="","",IF($J37="X",B37,CONCATENATE(VLOOKUP(B37,Competitors!$A$2:$I$650,3,FALSE)," ",VLOOKUP(B37,Competitors!$A$2:$I$650,2,FALSE))))</f>
        <v/>
      </c>
      <c r="I37" s="51">
        <f t="shared" si="1"/>
        <v>0</v>
      </c>
      <c r="J37" t="str">
        <f t="shared" si="2"/>
        <v/>
      </c>
    </row>
    <row r="38" spans="1:10" ht="15">
      <c r="A38" s="46"/>
      <c r="B38" s="47" t="str">
        <f t="shared" si="3"/>
        <v/>
      </c>
      <c r="C38" s="48"/>
      <c r="D38" s="49"/>
      <c r="E38" s="49"/>
      <c r="F38" s="49"/>
      <c r="G38" s="49"/>
      <c r="H38" s="50" t="str">
        <f>IF($B38="","",IF($J38="X",B38,CONCATENATE(VLOOKUP(B38,Competitors!$A$2:$I$650,3,FALSE)," ",VLOOKUP(B38,Competitors!$A$2:$I$650,2,FALSE))))</f>
        <v/>
      </c>
      <c r="I38" s="51">
        <f t="shared" si="1"/>
        <v>0</v>
      </c>
      <c r="J38" t="str">
        <f t="shared" si="2"/>
        <v/>
      </c>
    </row>
    <row r="39" spans="1:10" ht="15">
      <c r="A39" s="46"/>
      <c r="B39" s="47" t="str">
        <f t="shared" si="3"/>
        <v/>
      </c>
      <c r="C39" s="48"/>
      <c r="D39" s="49"/>
      <c r="E39" s="49"/>
      <c r="F39" s="49"/>
      <c r="G39" s="49"/>
      <c r="H39" s="50" t="str">
        <f>IF($B39="","",IF($J39="X",B39,CONCATENATE(VLOOKUP(B39,Competitors!$A$2:$I$650,3,FALSE)," ",VLOOKUP(B39,Competitors!$A$2:$I$650,2,FALSE))))</f>
        <v/>
      </c>
      <c r="I39" s="51">
        <f t="shared" si="1"/>
        <v>0</v>
      </c>
      <c r="J39" t="str">
        <f t="shared" si="2"/>
        <v/>
      </c>
    </row>
    <row r="40" spans="1:10" ht="15">
      <c r="A40" s="46"/>
      <c r="B40" s="47" t="str">
        <f t="shared" si="3"/>
        <v/>
      </c>
      <c r="C40" s="48"/>
      <c r="D40" s="49"/>
      <c r="E40" s="49"/>
      <c r="F40" s="49"/>
      <c r="G40" s="49"/>
      <c r="H40" s="50" t="str">
        <f>IF($B40="","",IF($J40="X",B40,CONCATENATE(VLOOKUP(B40,Competitors!$A$2:$I$650,3,FALSE)," ",VLOOKUP(B40,Competitors!$A$2:$I$650,2,FALSE))))</f>
        <v/>
      </c>
      <c r="I40" s="51">
        <f t="shared" si="1"/>
        <v>0</v>
      </c>
      <c r="J40" t="str">
        <f t="shared" si="2"/>
        <v/>
      </c>
    </row>
    <row r="41" spans="1:10" ht="15">
      <c r="A41" s="46"/>
      <c r="B41" s="47" t="str">
        <f t="shared" si="3"/>
        <v/>
      </c>
      <c r="C41" s="48"/>
      <c r="D41" s="49"/>
      <c r="E41" s="49"/>
      <c r="F41" s="49"/>
      <c r="G41" s="49"/>
      <c r="H41" s="50" t="str">
        <f>IF($B41="","",IF($J41="X",B41,CONCATENATE(VLOOKUP(B41,Competitors!$A$2:$I$650,3,FALSE)," ",VLOOKUP(B41,Competitors!$A$2:$I$650,2,FALSE))))</f>
        <v/>
      </c>
      <c r="I41" s="51">
        <f t="shared" si="1"/>
        <v>0</v>
      </c>
      <c r="J41" t="str">
        <f t="shared" si="2"/>
        <v/>
      </c>
    </row>
    <row r="42" spans="1:10" ht="15">
      <c r="A42" s="46"/>
      <c r="B42" s="47" t="str">
        <f t="shared" si="3"/>
        <v/>
      </c>
      <c r="C42" s="48"/>
      <c r="D42" s="49"/>
      <c r="E42" s="49"/>
      <c r="F42" s="49"/>
      <c r="G42" s="49"/>
      <c r="H42" s="50" t="str">
        <f>IF($B42="","",IF($J42="X",B42,CONCATENATE(VLOOKUP(B42,Competitors!$A$2:$I$650,3,FALSE)," ",VLOOKUP(B42,Competitors!$A$2:$I$650,2,FALSE))))</f>
        <v/>
      </c>
      <c r="I42" s="51">
        <f t="shared" si="1"/>
        <v>0</v>
      </c>
      <c r="J42" t="str">
        <f t="shared" si="2"/>
        <v/>
      </c>
    </row>
    <row r="43" spans="1:10" ht="15">
      <c r="A43" s="46"/>
      <c r="B43" s="47" t="str">
        <f t="shared" si="3"/>
        <v/>
      </c>
      <c r="C43" s="48"/>
      <c r="D43" s="49"/>
      <c r="E43" s="49"/>
      <c r="F43" s="49"/>
      <c r="G43" s="49"/>
      <c r="H43" s="50" t="str">
        <f>IF($B43="","",IF($J43="X",B43,CONCATENATE(VLOOKUP(B43,Competitors!$A$2:$I$650,3,FALSE)," ",VLOOKUP(B43,Competitors!$A$2:$I$650,2,FALSE))))</f>
        <v/>
      </c>
      <c r="I43" s="51">
        <f t="shared" si="1"/>
        <v>0</v>
      </c>
      <c r="J43" t="str">
        <f t="shared" si="2"/>
        <v/>
      </c>
    </row>
    <row r="44" spans="1:10" ht="15">
      <c r="A44" s="46"/>
      <c r="B44" s="47" t="str">
        <f t="shared" si="3"/>
        <v/>
      </c>
      <c r="C44" s="48"/>
      <c r="D44" s="49"/>
      <c r="E44" s="49"/>
      <c r="F44" s="49"/>
      <c r="G44" s="49"/>
      <c r="H44" s="50" t="str">
        <f>IF($B44="","",IF($J44="X",B44,CONCATENATE(VLOOKUP(B44,Competitors!$A$2:$I$650,3,FALSE)," ",VLOOKUP(B44,Competitors!$A$2:$I$650,2,FALSE))))</f>
        <v/>
      </c>
      <c r="I44" s="51">
        <f t="shared" si="1"/>
        <v>0</v>
      </c>
      <c r="J44" t="str">
        <f t="shared" si="2"/>
        <v/>
      </c>
    </row>
    <row r="45" spans="1:10" ht="15">
      <c r="A45" s="46"/>
      <c r="B45" s="47" t="str">
        <f t="shared" si="3"/>
        <v/>
      </c>
      <c r="C45" s="48"/>
      <c r="D45" s="49"/>
      <c r="E45" s="49"/>
      <c r="F45" s="49"/>
      <c r="G45" s="49"/>
      <c r="H45" s="50" t="str">
        <f>IF($B45="","",IF($J45="X",B45,CONCATENATE(VLOOKUP(B45,Competitors!$A$2:$I$650,3,FALSE)," ",VLOOKUP(B45,Competitors!$A$2:$I$650,2,FALSE))))</f>
        <v/>
      </c>
      <c r="I45" s="51">
        <f t="shared" si="1"/>
        <v>0</v>
      </c>
      <c r="J45" t="str">
        <f t="shared" si="2"/>
        <v/>
      </c>
    </row>
    <row r="46" spans="1:10" ht="15">
      <c r="A46" s="46"/>
      <c r="B46" s="47" t="str">
        <f t="shared" si="3"/>
        <v/>
      </c>
      <c r="C46" s="48"/>
      <c r="D46" s="49"/>
      <c r="E46" s="49"/>
      <c r="F46" s="49"/>
      <c r="G46" s="49"/>
      <c r="H46" s="50" t="str">
        <f>IF($B46="","",IF($J46="X",B46,CONCATENATE(VLOOKUP(B46,Competitors!$A$2:$I$650,3,FALSE)," ",VLOOKUP(B46,Competitors!$A$2:$I$650,2,FALSE))))</f>
        <v/>
      </c>
      <c r="I46" s="51">
        <f t="shared" si="1"/>
        <v>0</v>
      </c>
      <c r="J46" t="str">
        <f t="shared" si="2"/>
        <v/>
      </c>
    </row>
    <row r="47" spans="1:10" ht="15">
      <c r="A47" s="46"/>
      <c r="B47" s="47" t="str">
        <f t="shared" si="3"/>
        <v/>
      </c>
      <c r="C47" s="48"/>
      <c r="D47" s="49"/>
      <c r="E47" s="49"/>
      <c r="F47" s="49"/>
      <c r="G47" s="49"/>
      <c r="H47" s="50" t="str">
        <f>IF($B47="","",IF($J47="X",B47,CONCATENATE(VLOOKUP(B47,Competitors!$A$2:$I$650,3,FALSE)," ",VLOOKUP(B47,Competitors!$A$2:$I$650,2,FALSE))))</f>
        <v/>
      </c>
      <c r="I47" s="51">
        <f t="shared" si="1"/>
        <v>0</v>
      </c>
      <c r="J47" t="str">
        <f t="shared" si="2"/>
        <v/>
      </c>
    </row>
    <row r="48" spans="1:10" ht="15">
      <c r="A48" s="46"/>
      <c r="B48" s="47" t="str">
        <f t="shared" si="3"/>
        <v/>
      </c>
      <c r="C48" s="48"/>
      <c r="D48" s="49"/>
      <c r="E48" s="49"/>
      <c r="F48" s="49"/>
      <c r="G48" s="49"/>
      <c r="H48" s="50" t="str">
        <f>IF($B48="","",IF($J48="X",B48,CONCATENATE(VLOOKUP(B48,Competitors!$A$2:$I$650,3,FALSE)," ",VLOOKUP(B48,Competitors!$A$2:$I$650,2,FALSE))))</f>
        <v/>
      </c>
      <c r="I48" s="51">
        <f t="shared" si="1"/>
        <v>0</v>
      </c>
      <c r="J48" t="str">
        <f t="shared" si="2"/>
        <v/>
      </c>
    </row>
    <row r="49" spans="1:10" ht="15">
      <c r="A49" s="46"/>
      <c r="B49" s="47" t="str">
        <f t="shared" si="3"/>
        <v/>
      </c>
      <c r="C49" s="48"/>
      <c r="D49" s="49"/>
      <c r="E49" s="49"/>
      <c r="F49" s="49"/>
      <c r="G49" s="49"/>
      <c r="H49" s="50" t="str">
        <f>IF($B49="","",IF($J49="X",B49,CONCATENATE(VLOOKUP(B49,Competitors!$A$2:$I$650,3,FALSE)," ",VLOOKUP(B49,Competitors!$A$2:$I$650,2,FALSE))))</f>
        <v/>
      </c>
      <c r="I49" s="51">
        <f t="shared" si="1"/>
        <v>0</v>
      </c>
      <c r="J49" t="str">
        <f t="shared" si="2"/>
        <v/>
      </c>
    </row>
    <row r="50" spans="1:10" ht="15">
      <c r="A50" s="46"/>
      <c r="B50" s="47" t="str">
        <f t="shared" si="3"/>
        <v/>
      </c>
      <c r="C50" s="48"/>
      <c r="D50" s="49"/>
      <c r="E50" s="49"/>
      <c r="F50" s="49"/>
      <c r="G50" s="49"/>
      <c r="H50" s="50" t="str">
        <f>IF($B50="","",IF($J50="X",B50,CONCATENATE(VLOOKUP(B50,Competitors!$A$2:$I$650,3,FALSE)," ",VLOOKUP(B50,Competitors!$A$2:$I$650,2,FALSE))))</f>
        <v/>
      </c>
      <c r="I50" s="51">
        <f t="shared" si="1"/>
        <v>0</v>
      </c>
      <c r="J50" t="str">
        <f t="shared" si="2"/>
        <v/>
      </c>
    </row>
    <row r="51" spans="1:10" ht="15">
      <c r="A51" s="46"/>
      <c r="B51" s="47" t="str">
        <f t="shared" si="3"/>
        <v/>
      </c>
      <c r="C51" s="48"/>
      <c r="D51" s="49"/>
      <c r="E51" s="49"/>
      <c r="F51" s="49"/>
      <c r="G51" s="49"/>
      <c r="H51" s="50" t="str">
        <f>IF($B51="","",IF($J51="X",B51,CONCATENATE(VLOOKUP(B51,Competitors!$A$2:$I$650,3,FALSE)," ",VLOOKUP(B51,Competitors!$A$2:$I$650,2,FALSE))))</f>
        <v/>
      </c>
      <c r="I51" s="51">
        <f t="shared" si="1"/>
        <v>0</v>
      </c>
      <c r="J51" t="str">
        <f t="shared" si="2"/>
        <v/>
      </c>
    </row>
    <row r="52" spans="1:10" ht="15">
      <c r="A52" s="46"/>
      <c r="B52" s="47" t="str">
        <f t="shared" si="3"/>
        <v/>
      </c>
      <c r="C52" s="48"/>
      <c r="D52" s="49"/>
      <c r="E52" s="49"/>
      <c r="F52" s="49"/>
      <c r="G52" s="49"/>
      <c r="H52" s="50" t="str">
        <f>IF($B52="","",IF($J52="X",B52,CONCATENATE(VLOOKUP(B52,Competitors!$A$2:$I$650,3,FALSE)," ",VLOOKUP(B52,Competitors!$A$2:$I$650,2,FALSE))))</f>
        <v/>
      </c>
      <c r="I52" s="51">
        <f t="shared" si="1"/>
        <v>0</v>
      </c>
      <c r="J52" t="str">
        <f t="shared" si="2"/>
        <v/>
      </c>
    </row>
    <row r="53" spans="1:10" ht="15">
      <c r="A53" s="46"/>
      <c r="B53" s="47" t="str">
        <f t="shared" si="3"/>
        <v/>
      </c>
      <c r="C53" s="48"/>
      <c r="D53" s="49"/>
      <c r="E53" s="49"/>
      <c r="F53" s="49"/>
      <c r="G53" s="49"/>
      <c r="H53" s="50" t="str">
        <f>IF($B53="","",IF($J53="X",B53,CONCATENATE(VLOOKUP(B53,Competitors!$A$2:$I$650,3,FALSE)," ",VLOOKUP(B53,Competitors!$A$2:$I$650,2,FALSE))))</f>
        <v/>
      </c>
      <c r="I53" s="51">
        <f t="shared" si="1"/>
        <v>0</v>
      </c>
      <c r="J53" t="str">
        <f t="shared" si="2"/>
        <v/>
      </c>
    </row>
    <row r="54" spans="1:10" ht="15">
      <c r="A54" s="46"/>
      <c r="B54" s="47" t="str">
        <f t="shared" si="3"/>
        <v/>
      </c>
      <c r="C54" s="48"/>
      <c r="D54" s="49"/>
      <c r="E54" s="49"/>
      <c r="F54" s="49"/>
      <c r="G54" s="49"/>
      <c r="H54" s="50" t="str">
        <f>IF($B54="","",IF($J54="X",B54,CONCATENATE(VLOOKUP(B54,Competitors!$A$2:$I$650,3,FALSE)," ",VLOOKUP(B54,Competitors!$A$2:$I$650,2,FALSE))))</f>
        <v/>
      </c>
      <c r="I54" s="51">
        <f t="shared" si="1"/>
        <v>0</v>
      </c>
      <c r="J54" t="str">
        <f t="shared" si="2"/>
        <v/>
      </c>
    </row>
    <row r="55" spans="1:10" ht="15">
      <c r="A55" s="46"/>
      <c r="B55" s="47" t="str">
        <f t="shared" si="3"/>
        <v/>
      </c>
      <c r="C55" s="48"/>
      <c r="D55" s="49"/>
      <c r="E55" s="49"/>
      <c r="F55" s="49"/>
      <c r="G55" s="49"/>
      <c r="H55" s="50" t="str">
        <f>IF($B55="","",IF($J55="X",B55,CONCATENATE(VLOOKUP(B55,Competitors!$A$2:$I$650,3,FALSE)," ",VLOOKUP(B55,Competitors!$A$2:$I$650,2,FALSE))))</f>
        <v/>
      </c>
      <c r="I55" s="51">
        <f t="shared" si="1"/>
        <v>0</v>
      </c>
      <c r="J55" t="str">
        <f t="shared" si="2"/>
        <v/>
      </c>
    </row>
    <row r="56" spans="1:10" ht="15">
      <c r="A56" s="46"/>
      <c r="B56" s="47" t="str">
        <f t="shared" si="3"/>
        <v/>
      </c>
      <c r="C56" s="48"/>
      <c r="D56" s="49"/>
      <c r="E56" s="49"/>
      <c r="F56" s="49"/>
      <c r="G56" s="49"/>
      <c r="H56" s="50" t="str">
        <f>IF($B56="","",IF($J56="X",B56,CONCATENATE(VLOOKUP(B56,Competitors!$A$2:$I$650,3,FALSE)," ",VLOOKUP(B56,Competitors!$A$2:$I$650,2,FALSE))))</f>
        <v/>
      </c>
      <c r="I56" s="51">
        <f t="shared" si="1"/>
        <v>0</v>
      </c>
      <c r="J56" t="str">
        <f t="shared" si="2"/>
        <v/>
      </c>
    </row>
    <row r="57" spans="1:10" ht="15">
      <c r="A57" s="46"/>
      <c r="B57" s="47" t="str">
        <f t="shared" si="3"/>
        <v/>
      </c>
      <c r="C57" s="48"/>
      <c r="D57" s="49"/>
      <c r="E57" s="49"/>
      <c r="F57" s="49"/>
      <c r="G57" s="49"/>
      <c r="H57" s="50" t="str">
        <f>IF($B57="","",IF($J57="X",B57,CONCATENATE(VLOOKUP(B57,Competitors!$A$2:$I$650,3,FALSE)," ",VLOOKUP(B57,Competitors!$A$2:$I$650,2,FALSE))))</f>
        <v/>
      </c>
      <c r="I57" s="51">
        <f t="shared" si="1"/>
        <v>0</v>
      </c>
      <c r="J57" t="str">
        <f t="shared" si="2"/>
        <v/>
      </c>
    </row>
    <row r="58" spans="1:10" ht="15">
      <c r="A58" s="46"/>
      <c r="B58" s="47" t="str">
        <f t="shared" si="3"/>
        <v/>
      </c>
      <c r="C58" s="48"/>
      <c r="D58" s="49"/>
      <c r="E58" s="49"/>
      <c r="F58" s="49"/>
      <c r="G58" s="49"/>
      <c r="H58" s="50" t="str">
        <f>IF($B58="","",IF($J58="X",B58,CONCATENATE(VLOOKUP(B58,Competitors!$A$2:$I$650,3,FALSE)," ",VLOOKUP(B58,Competitors!$A$2:$I$650,2,FALSE))))</f>
        <v/>
      </c>
      <c r="I58" s="51">
        <f t="shared" si="1"/>
        <v>0</v>
      </c>
      <c r="J58" t="str">
        <f t="shared" si="2"/>
        <v/>
      </c>
    </row>
    <row r="59" spans="1:10" ht="15">
      <c r="A59" s="46"/>
      <c r="B59" s="47" t="str">
        <f t="shared" si="3"/>
        <v/>
      </c>
      <c r="C59" s="48"/>
      <c r="D59" s="49"/>
      <c r="E59" s="49"/>
      <c r="F59" s="49"/>
      <c r="G59" s="49"/>
      <c r="H59" s="50" t="str">
        <f>IF($B59="","",IF($J59="X",B59,CONCATENATE(VLOOKUP(B59,Competitors!$A$2:$I$650,3,FALSE)," ",VLOOKUP(B59,Competitors!$A$2:$I$650,2,FALSE))))</f>
        <v/>
      </c>
      <c r="I59" s="51">
        <f t="shared" si="1"/>
        <v>0</v>
      </c>
      <c r="J59" t="str">
        <f t="shared" si="2"/>
        <v/>
      </c>
    </row>
    <row r="60" spans="1:10" ht="15">
      <c r="A60" s="46"/>
      <c r="B60" s="47" t="str">
        <f t="shared" si="3"/>
        <v/>
      </c>
      <c r="C60" s="48"/>
      <c r="D60" s="49"/>
      <c r="E60" s="49"/>
      <c r="F60" s="49"/>
      <c r="G60" s="49"/>
      <c r="H60" s="50" t="str">
        <f>IF($B60="","",IF($J60="X",B60,CONCATENATE(VLOOKUP(B60,Competitors!$A$2:$I$650,3,FALSE)," ",VLOOKUP(B60,Competitors!$A$2:$I$650,2,FALSE))))</f>
        <v/>
      </c>
      <c r="I60" s="51">
        <f t="shared" si="1"/>
        <v>0</v>
      </c>
      <c r="J60" t="str">
        <f t="shared" si="2"/>
        <v/>
      </c>
    </row>
    <row r="61" spans="1:10" ht="15">
      <c r="A61" s="46"/>
      <c r="B61" s="47" t="str">
        <f t="shared" si="3"/>
        <v/>
      </c>
      <c r="C61" s="48"/>
      <c r="D61" s="49"/>
      <c r="E61" s="49"/>
      <c r="F61" s="49"/>
      <c r="G61" s="49"/>
      <c r="H61" s="50" t="str">
        <f>IF($B61="","",IF($J61="X",B61,CONCATENATE(VLOOKUP(B61,Competitors!$A$2:$I$650,3,FALSE)," ",VLOOKUP(B61,Competitors!$A$2:$I$650,2,FALSE))))</f>
        <v/>
      </c>
      <c r="I61" s="51">
        <f t="shared" si="1"/>
        <v>0</v>
      </c>
      <c r="J61" t="str">
        <f t="shared" si="2"/>
        <v/>
      </c>
    </row>
    <row r="62" spans="1:10" ht="15">
      <c r="A62" s="46"/>
      <c r="B62" s="47" t="str">
        <f t="shared" si="3"/>
        <v/>
      </c>
      <c r="C62" s="48"/>
      <c r="D62" s="49"/>
      <c r="E62" s="49"/>
      <c r="F62" s="49"/>
      <c r="G62" s="49"/>
      <c r="H62" s="50" t="str">
        <f>IF($B62="","",IF($J62="X",B62,CONCATENATE(VLOOKUP(B62,Competitors!$A$2:$I$650,3,FALSE)," ",VLOOKUP(B62,Competitors!$A$2:$I$650,2,FALSE))))</f>
        <v/>
      </c>
      <c r="I62" s="51">
        <f t="shared" si="1"/>
        <v>0</v>
      </c>
      <c r="J62" t="str">
        <f t="shared" si="2"/>
        <v/>
      </c>
    </row>
    <row r="63" spans="1:10" ht="15">
      <c r="A63" s="46"/>
      <c r="B63" s="47" t="str">
        <f t="shared" si="3"/>
        <v/>
      </c>
      <c r="C63" s="48"/>
      <c r="D63" s="49"/>
      <c r="E63" s="49"/>
      <c r="F63" s="49"/>
      <c r="G63" s="49"/>
      <c r="H63" s="50" t="str">
        <f>IF($B63="","",IF($J63="X",B63,CONCATENATE(VLOOKUP(B63,Competitors!$A$2:$I$650,3,FALSE)," ",VLOOKUP(B63,Competitors!$A$2:$I$650,2,FALSE))))</f>
        <v/>
      </c>
      <c r="I63" s="51">
        <f t="shared" si="1"/>
        <v>0</v>
      </c>
      <c r="J63" t="str">
        <f t="shared" si="2"/>
        <v/>
      </c>
    </row>
    <row r="64" spans="1:10" ht="15">
      <c r="A64" s="46"/>
      <c r="B64" s="47" t="str">
        <f t="shared" si="3"/>
        <v/>
      </c>
      <c r="C64" s="48"/>
      <c r="D64" s="49"/>
      <c r="E64" s="49"/>
      <c r="F64" s="49"/>
      <c r="G64" s="49"/>
      <c r="H64" s="50" t="str">
        <f>IF($B64="","",IF($J64="X",B64,CONCATENATE(VLOOKUP(B64,Competitors!$A$2:$I$650,3,FALSE)," ",VLOOKUP(B64,Competitors!$A$2:$I$650,2,FALSE))))</f>
        <v/>
      </c>
      <c r="I64" s="51">
        <f t="shared" si="1"/>
        <v>0</v>
      </c>
      <c r="J64" t="str">
        <f t="shared" si="2"/>
        <v/>
      </c>
    </row>
    <row r="65" spans="1:10" ht="15">
      <c r="A65" s="46"/>
      <c r="B65" s="47" t="str">
        <f t="shared" si="3"/>
        <v/>
      </c>
      <c r="C65" s="48"/>
      <c r="D65" s="49"/>
      <c r="E65" s="49"/>
      <c r="F65" s="49"/>
      <c r="G65" s="49"/>
      <c r="H65" s="50" t="str">
        <f>IF($B65="","",IF($J65="X",B65,CONCATENATE(VLOOKUP(B65,Competitors!$A$2:$I$650,3,FALSE)," ",VLOOKUP(B65,Competitors!$A$2:$I$650,2,FALSE))))</f>
        <v/>
      </c>
      <c r="I65" s="51">
        <f t="shared" si="1"/>
        <v>0</v>
      </c>
      <c r="J65" t="str">
        <f t="shared" si="2"/>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4"/>
        <v>0</v>
      </c>
      <c r="J67" t="str">
        <f t="shared" si="5"/>
        <v/>
      </c>
    </row>
    <row r="68" spans="1:10" ht="15">
      <c r="A68" s="46"/>
      <c r="B68" s="47" t="str">
        <f t="shared" si="3"/>
        <v/>
      </c>
      <c r="C68" s="48"/>
      <c r="D68" s="49"/>
      <c r="E68" s="49"/>
      <c r="F68" s="49"/>
      <c r="G68" s="49"/>
      <c r="H68" s="50" t="str">
        <f>IF($B68="","",IF($J68="X",B68,CONCATENATE(VLOOKUP(B68,Competitors!$A$2:$I$650,3,FALSE)," ",VLOOKUP(B68,Competitors!$A$2:$I$650,2,FALSE))))</f>
        <v/>
      </c>
      <c r="I68" s="51">
        <f t="shared" si="4"/>
        <v>0</v>
      </c>
      <c r="J68" t="str">
        <f t="shared" si="5"/>
        <v/>
      </c>
    </row>
    <row r="69" spans="1:10" ht="15">
      <c r="A69" s="46"/>
      <c r="B69" s="47" t="str">
        <f t="shared" si="3"/>
        <v/>
      </c>
      <c r="C69" s="48"/>
      <c r="D69" s="49"/>
      <c r="E69" s="49"/>
      <c r="F69" s="49"/>
      <c r="G69" s="49"/>
      <c r="H69" s="50" t="str">
        <f>IF($B69="","",IF($J69="X",B69,CONCATENATE(VLOOKUP(B69,Competitors!$A$2:$I$650,3,FALSE)," ",VLOOKUP(B69,Competitors!$A$2:$I$650,2,FALSE))))</f>
        <v/>
      </c>
      <c r="I69" s="51">
        <f t="shared" si="4"/>
        <v>0</v>
      </c>
      <c r="J69" t="str">
        <f t="shared" si="5"/>
        <v/>
      </c>
    </row>
    <row r="70" spans="1:10" ht="15">
      <c r="A70" s="46"/>
      <c r="B70" s="47" t="str">
        <f t="shared" si="3"/>
        <v/>
      </c>
      <c r="C70" s="48"/>
      <c r="D70" s="49"/>
      <c r="E70" s="49"/>
      <c r="F70" s="49"/>
      <c r="G70" s="49"/>
      <c r="H70" s="50" t="str">
        <f>IF($B70="","",IF($J70="X",B70,CONCATENATE(VLOOKUP(B70,Competitors!$A$2:$I$650,3,FALSE)," ",VLOOKUP(B70,Competitors!$A$2:$I$650,2,FALSE))))</f>
        <v/>
      </c>
      <c r="I70" s="51">
        <f t="shared" si="4"/>
        <v>0</v>
      </c>
      <c r="J70" t="str">
        <f t="shared" si="5"/>
        <v/>
      </c>
    </row>
    <row r="71" spans="1:10" ht="15">
      <c r="A71" s="46"/>
      <c r="B71" s="47" t="str">
        <f t="shared" si="3"/>
        <v/>
      </c>
      <c r="C71" s="48"/>
      <c r="D71" s="49"/>
      <c r="E71" s="49"/>
      <c r="F71" s="49"/>
      <c r="G71" s="49"/>
      <c r="H71" s="50" t="str">
        <f>IF($B71="","",IF($J71="X",B71,CONCATENATE(VLOOKUP(B71,Competitors!$A$2:$I$650,3,FALSE)," ",VLOOKUP(B71,Competitors!$A$2:$I$650,2,FALSE))))</f>
        <v/>
      </c>
      <c r="I71" s="51">
        <f t="shared" si="4"/>
        <v>0</v>
      </c>
      <c r="J71" t="str">
        <f t="shared" si="5"/>
        <v/>
      </c>
    </row>
    <row r="72" spans="1:10" ht="15">
      <c r="A72" s="46"/>
      <c r="B72" s="47" t="str">
        <f t="shared" si="3"/>
        <v/>
      </c>
      <c r="C72" s="48"/>
      <c r="D72" s="49"/>
      <c r="E72" s="49"/>
      <c r="F72" s="49"/>
      <c r="G72" s="49"/>
      <c r="H72" s="50" t="str">
        <f>IF($B72="","",IF($J72="X",B72,CONCATENATE(VLOOKUP(B72,Competitors!$A$2:$I$650,3,FALSE)," ",VLOOKUP(B72,Competitors!$A$2:$I$650,2,FALSE))))</f>
        <v/>
      </c>
      <c r="I72" s="51">
        <f t="shared" si="4"/>
        <v>0</v>
      </c>
      <c r="J72" t="str">
        <f t="shared" si="5"/>
        <v/>
      </c>
    </row>
    <row r="73" spans="1:10" ht="15">
      <c r="A73" s="46"/>
      <c r="B73" s="47" t="str">
        <f t="shared" si="3"/>
        <v/>
      </c>
      <c r="C73" s="48"/>
      <c r="D73" s="49"/>
      <c r="E73" s="49"/>
      <c r="F73" s="49"/>
      <c r="G73" s="49"/>
      <c r="H73" s="50" t="str">
        <f>IF($B73="","",IF($J73="X",B73,CONCATENATE(VLOOKUP(B73,Competitors!$A$2:$I$650,3,FALSE)," ",VLOOKUP(B73,Competitors!$A$2:$I$650,2,FALSE))))</f>
        <v/>
      </c>
      <c r="I73" s="51">
        <f t="shared" si="4"/>
        <v>0</v>
      </c>
      <c r="J73" t="str">
        <f t="shared" si="5"/>
        <v/>
      </c>
    </row>
    <row r="74" spans="1:10" ht="15">
      <c r="A74" s="46"/>
      <c r="B74" s="47" t="str">
        <f t="shared" si="3"/>
        <v/>
      </c>
      <c r="C74" s="48"/>
      <c r="D74" s="49"/>
      <c r="E74" s="49"/>
      <c r="F74" s="49"/>
      <c r="G74" s="49"/>
      <c r="H74" s="50" t="str">
        <f>IF($B74="","",IF($J74="X",B74,CONCATENATE(VLOOKUP(B74,Competitors!$A$2:$I$650,3,FALSE)," ",VLOOKUP(B74,Competitors!$A$2:$I$650,2,FALSE))))</f>
        <v/>
      </c>
      <c r="I74" s="51">
        <f t="shared" si="4"/>
        <v>0</v>
      </c>
      <c r="J74" t="str">
        <f t="shared" si="5"/>
        <v/>
      </c>
    </row>
    <row r="75" spans="1:10" ht="15">
      <c r="A75" s="46"/>
      <c r="B75" s="47" t="str">
        <f t="shared" si="3"/>
        <v/>
      </c>
      <c r="C75" s="48"/>
      <c r="D75" s="49"/>
      <c r="E75" s="49"/>
      <c r="F75" s="49"/>
      <c r="G75" s="49"/>
      <c r="H75" s="50" t="str">
        <f>IF($B75="","",IF($J75="X",B75,CONCATENATE(VLOOKUP(B75,Competitors!$A$2:$I$650,3,FALSE)," ",VLOOKUP(B75,Competitors!$A$2:$I$650,2,FALSE))))</f>
        <v/>
      </c>
      <c r="I75" s="51">
        <f t="shared" si="4"/>
        <v>0</v>
      </c>
      <c r="J75" t="str">
        <f t="shared" si="5"/>
        <v/>
      </c>
    </row>
    <row r="76" spans="1:10" ht="15">
      <c r="A76" s="46"/>
      <c r="B76" s="47" t="str">
        <f t="shared" si="3"/>
        <v/>
      </c>
      <c r="C76" s="48"/>
      <c r="D76" s="49"/>
      <c r="E76" s="49"/>
      <c r="F76" s="49"/>
      <c r="G76" s="49"/>
      <c r="H76" s="50" t="str">
        <f>IF($B76="","",IF($J76="X",B76,CONCATENATE(VLOOKUP(B76,Competitors!$A$2:$I$650,3,FALSE)," ",VLOOKUP(B76,Competitors!$A$2:$I$650,2,FALSE))))</f>
        <v/>
      </c>
      <c r="I76" s="51">
        <f t="shared" si="4"/>
        <v>0</v>
      </c>
      <c r="J76" t="str">
        <f t="shared" si="5"/>
        <v/>
      </c>
    </row>
    <row r="77" spans="1:10" ht="15">
      <c r="A77" s="46"/>
      <c r="B77" s="47" t="str">
        <f t="shared" si="3"/>
        <v/>
      </c>
      <c r="C77" s="48"/>
      <c r="D77" s="49"/>
      <c r="E77" s="49"/>
      <c r="F77" s="49"/>
      <c r="G77" s="49"/>
      <c r="H77" s="50" t="str">
        <f>IF($B77="","",IF($J77="X",B77,CONCATENATE(VLOOKUP(B77,Competitors!$A$2:$I$650,3,FALSE)," ",VLOOKUP(B77,Competitors!$A$2:$I$650,2,FALSE))))</f>
        <v/>
      </c>
      <c r="I77" s="51">
        <f t="shared" si="4"/>
        <v>0</v>
      </c>
      <c r="J77" t="str">
        <f t="shared" si="5"/>
        <v/>
      </c>
    </row>
    <row r="78" spans="1:10" ht="15">
      <c r="A78" s="46"/>
      <c r="B78" s="47" t="str">
        <f t="shared" si="3"/>
        <v/>
      </c>
      <c r="C78" s="48"/>
      <c r="D78" s="49"/>
      <c r="E78" s="49"/>
      <c r="F78" s="49"/>
      <c r="G78" s="49"/>
      <c r="H78" s="50" t="str">
        <f>IF($B78="","",IF($J78="X",B78,CONCATENATE(VLOOKUP(B78,Competitors!$A$2:$I$650,3,FALSE)," ",VLOOKUP(B78,Competitors!$A$2:$I$650,2,FALSE))))</f>
        <v/>
      </c>
      <c r="I78" s="51">
        <f t="shared" si="4"/>
        <v>0</v>
      </c>
      <c r="J78" t="str">
        <f t="shared" si="5"/>
        <v/>
      </c>
    </row>
    <row r="79" spans="1:10" ht="15">
      <c r="A79" s="46"/>
      <c r="B79" s="47" t="str">
        <f t="shared" si="3"/>
        <v/>
      </c>
      <c r="C79" s="48"/>
      <c r="D79" s="49"/>
      <c r="E79" s="49"/>
      <c r="F79" s="49"/>
      <c r="G79" s="49"/>
      <c r="H79" s="50" t="str">
        <f>IF($B79="","",IF($J79="X",B79,CONCATENATE(VLOOKUP(B79,Competitors!$A$2:$I$650,3,FALSE)," ",VLOOKUP(B79,Competitors!$A$2:$I$650,2,FALSE))))</f>
        <v/>
      </c>
      <c r="I79" s="51">
        <f t="shared" si="4"/>
        <v>0</v>
      </c>
      <c r="J79" t="str">
        <f t="shared" si="5"/>
        <v/>
      </c>
    </row>
    <row r="80" spans="1:10" ht="15">
      <c r="A80" s="46"/>
      <c r="B80" s="47" t="str">
        <f t="shared" si="3"/>
        <v/>
      </c>
      <c r="C80" s="48"/>
      <c r="D80" s="49"/>
      <c r="E80" s="49"/>
      <c r="F80" s="49"/>
      <c r="G80" s="49"/>
      <c r="H80" s="50" t="str">
        <f>IF($B80="","",IF($J80="X",B80,CONCATENATE(VLOOKUP(B80,Competitors!$A$2:$I$650,3,FALSE)," ",VLOOKUP(B80,Competitors!$A$2:$I$650,2,FALSE))))</f>
        <v/>
      </c>
      <c r="I80" s="51">
        <f t="shared" si="4"/>
        <v>0</v>
      </c>
      <c r="J80" t="str">
        <f t="shared" si="5"/>
        <v/>
      </c>
    </row>
    <row r="81" spans="1:10" ht="15">
      <c r="A81" s="46"/>
      <c r="B81" s="47" t="str">
        <f t="shared" si="3"/>
        <v/>
      </c>
      <c r="C81" s="48"/>
      <c r="D81" s="49"/>
      <c r="E81" s="49"/>
      <c r="F81" s="49"/>
      <c r="G81" s="49"/>
      <c r="H81" s="50" t="str">
        <f>IF($B81="","",IF($J81="X",B81,CONCATENATE(VLOOKUP(B81,Competitors!$A$2:$I$650,3,FALSE)," ",VLOOKUP(B81,Competitors!$A$2:$I$650,2,FALSE))))</f>
        <v/>
      </c>
      <c r="I81" s="51">
        <f t="shared" si="4"/>
        <v>0</v>
      </c>
      <c r="J81" t="str">
        <f t="shared" si="5"/>
        <v/>
      </c>
    </row>
    <row r="82" spans="1:10" ht="15">
      <c r="A82" s="46"/>
      <c r="B82" s="47" t="str">
        <f t="shared" si="3"/>
        <v/>
      </c>
      <c r="C82" s="48"/>
      <c r="D82" s="49"/>
      <c r="E82" s="49"/>
      <c r="F82" s="49"/>
      <c r="G82" s="49"/>
      <c r="H82" s="50" t="str">
        <f>IF($B82="","",IF($J82="X",B82,CONCATENATE(VLOOKUP(B82,Competitors!$A$2:$I$650,3,FALSE)," ",VLOOKUP(B82,Competitors!$A$2:$I$650,2,FALSE))))</f>
        <v/>
      </c>
      <c r="I82" s="51">
        <f t="shared" si="4"/>
        <v>0</v>
      </c>
      <c r="J82" t="str">
        <f t="shared" si="5"/>
        <v/>
      </c>
    </row>
    <row r="83" spans="1:10" ht="15">
      <c r="A83" s="46"/>
      <c r="B83" s="47" t="str">
        <f t="shared" si="3"/>
        <v/>
      </c>
      <c r="C83" s="48"/>
      <c r="D83" s="49"/>
      <c r="E83" s="49"/>
      <c r="F83" s="49"/>
      <c r="G83" s="49"/>
      <c r="H83" s="50" t="str">
        <f>IF($B83="","",IF($J83="X",B83,CONCATENATE(VLOOKUP(B83,Competitors!$A$2:$I$650,3,FALSE)," ",VLOOKUP(B83,Competitors!$A$2:$I$650,2,FALSE))))</f>
        <v/>
      </c>
      <c r="I83" s="51">
        <f t="shared" si="4"/>
        <v>0</v>
      </c>
      <c r="J83" t="str">
        <f t="shared" si="5"/>
        <v/>
      </c>
    </row>
    <row r="84" spans="1:10" ht="15">
      <c r="A84" s="46"/>
      <c r="B84" s="47" t="str">
        <f t="shared" si="3"/>
        <v/>
      </c>
      <c r="C84" s="48"/>
      <c r="D84" s="49"/>
      <c r="E84" s="49"/>
      <c r="F84" s="49"/>
      <c r="G84" s="49"/>
      <c r="H84" s="50" t="str">
        <f>IF($B84="","",IF($J84="X",B84,CONCATENATE(VLOOKUP(B84,Competitors!$A$2:$I$650,3,FALSE)," ",VLOOKUP(B84,Competitors!$A$2:$I$650,2,FALSE))))</f>
        <v/>
      </c>
      <c r="I84" s="51">
        <f t="shared" si="4"/>
        <v>0</v>
      </c>
      <c r="J84" t="str">
        <f t="shared" si="5"/>
        <v/>
      </c>
    </row>
    <row r="85" spans="1:10" ht="15">
      <c r="A85" s="46"/>
      <c r="B85" s="47" t="str">
        <f t="shared" si="3"/>
        <v/>
      </c>
      <c r="C85" s="48"/>
      <c r="D85" s="49"/>
      <c r="E85" s="49"/>
      <c r="F85" s="49"/>
      <c r="G85" s="49"/>
      <c r="H85" s="50" t="str">
        <f>IF($B85="","",IF($J85="X",B85,CONCATENATE(VLOOKUP(B85,Competitors!$A$2:$I$650,3,FALSE)," ",VLOOKUP(B85,Competitors!$A$2:$I$650,2,FALSE))))</f>
        <v/>
      </c>
      <c r="I85" s="51">
        <f t="shared" si="4"/>
        <v>0</v>
      </c>
      <c r="J85" t="str">
        <f t="shared" si="5"/>
        <v/>
      </c>
    </row>
    <row r="86" spans="1:10" ht="15">
      <c r="A86" s="46"/>
      <c r="B86" s="47" t="str">
        <f t="shared" si="3"/>
        <v/>
      </c>
      <c r="C86" s="48"/>
      <c r="D86" s="49"/>
      <c r="E86" s="49"/>
      <c r="F86" s="49"/>
      <c r="G86" s="49"/>
      <c r="H86" s="50" t="str">
        <f>IF($B86="","",IF($J86="X",B86,CONCATENATE(VLOOKUP(B86,Competitors!$A$2:$I$650,3,FALSE)," ",VLOOKUP(B86,Competitors!$A$2:$I$650,2,FALSE))))</f>
        <v/>
      </c>
      <c r="I86" s="51">
        <f t="shared" si="4"/>
        <v>0</v>
      </c>
      <c r="J86" t="str">
        <f t="shared" si="5"/>
        <v/>
      </c>
    </row>
    <row r="87" spans="1:10" ht="15">
      <c r="A87" s="46"/>
      <c r="B87" s="47" t="str">
        <f t="shared" si="3"/>
        <v/>
      </c>
      <c r="C87" s="48"/>
      <c r="D87" s="49"/>
      <c r="E87" s="49"/>
      <c r="F87" s="49"/>
      <c r="G87" s="49"/>
      <c r="H87" s="50" t="str">
        <f>IF($B87="","",IF($J87="X",B87,CONCATENATE(VLOOKUP(B87,Competitors!$A$2:$I$650,3,FALSE)," ",VLOOKUP(B87,Competitors!$A$2:$I$650,2,FALSE))))</f>
        <v/>
      </c>
      <c r="I87" s="51">
        <f t="shared" si="4"/>
        <v>0</v>
      </c>
      <c r="J87" t="str">
        <f t="shared" si="5"/>
        <v/>
      </c>
    </row>
    <row r="88" spans="1:10" ht="15">
      <c r="A88" s="46"/>
      <c r="B88" s="47" t="str">
        <f t="shared" si="3"/>
        <v/>
      </c>
      <c r="C88" s="48"/>
      <c r="D88" s="49"/>
      <c r="E88" s="49"/>
      <c r="F88" s="49"/>
      <c r="G88" s="49"/>
      <c r="H88" s="50" t="str">
        <f>IF($B88="","",IF($J88="X",B88,CONCATENATE(VLOOKUP(B88,Competitors!$A$2:$I$650,3,FALSE)," ",VLOOKUP(B88,Competitors!$A$2:$I$650,2,FALSE))))</f>
        <v/>
      </c>
      <c r="I88" s="51">
        <f t="shared" si="4"/>
        <v>0</v>
      </c>
      <c r="J88" t="str">
        <f t="shared" si="5"/>
        <v/>
      </c>
    </row>
    <row r="89" spans="1:10" ht="15">
      <c r="A89" s="46"/>
      <c r="B89" s="47" t="str">
        <f t="shared" si="3"/>
        <v/>
      </c>
      <c r="C89" s="48"/>
      <c r="D89" s="49"/>
      <c r="E89" s="49"/>
      <c r="F89" s="49"/>
      <c r="G89" s="49"/>
      <c r="H89" s="50" t="str">
        <f>IF($B89="","",IF($J89="X",B89,CONCATENATE(VLOOKUP(B89,Competitors!$A$2:$I$650,3,FALSE)," ",VLOOKUP(B89,Competitors!$A$2:$I$650,2,FALSE))))</f>
        <v/>
      </c>
      <c r="I89" s="51">
        <f t="shared" si="4"/>
        <v>0</v>
      </c>
      <c r="J89" t="str">
        <f t="shared" si="5"/>
        <v/>
      </c>
    </row>
    <row r="90" spans="1:10" ht="15">
      <c r="A90" s="46"/>
      <c r="B90" s="47" t="str">
        <f t="shared" si="3"/>
        <v/>
      </c>
      <c r="C90" s="48"/>
      <c r="D90" s="49"/>
      <c r="E90" s="49"/>
      <c r="F90" s="49"/>
      <c r="G90" s="49"/>
      <c r="H90" s="50" t="str">
        <f>IF($B90="","",IF($J90="X",B90,CONCATENATE(VLOOKUP(B90,Competitors!$A$2:$I$650,3,FALSE)," ",VLOOKUP(B90,Competitors!$A$2:$I$650,2,FALSE))))</f>
        <v/>
      </c>
      <c r="I90" s="51">
        <f t="shared" si="4"/>
        <v>0</v>
      </c>
      <c r="J90" t="str">
        <f t="shared" si="5"/>
        <v/>
      </c>
    </row>
    <row r="91" spans="1:10" ht="15">
      <c r="A91" s="46"/>
      <c r="B91" s="47" t="str">
        <f t="shared" si="3"/>
        <v/>
      </c>
      <c r="C91" s="48"/>
      <c r="D91" s="49"/>
      <c r="E91" s="49"/>
      <c r="F91" s="49"/>
      <c r="G91" s="49"/>
      <c r="H91" s="50" t="str">
        <f>IF($B91="","",IF($J91="X",B91,CONCATENATE(VLOOKUP(B91,Competitors!$A$2:$I$650,3,FALSE)," ",VLOOKUP(B91,Competitors!$A$2:$I$650,2,FALSE))))</f>
        <v/>
      </c>
      <c r="I91" s="51">
        <f t="shared" si="4"/>
        <v>0</v>
      </c>
      <c r="J91" t="str">
        <f t="shared" si="5"/>
        <v/>
      </c>
    </row>
    <row r="92" spans="1:10" ht="15">
      <c r="A92" s="46"/>
      <c r="B92" s="47" t="str">
        <f t="shared" si="3"/>
        <v/>
      </c>
      <c r="C92" s="48"/>
      <c r="D92" s="49"/>
      <c r="E92" s="49"/>
      <c r="F92" s="49"/>
      <c r="G92" s="49"/>
      <c r="H92" s="50" t="str">
        <f>IF($B92="","",IF($J92="X",B92,CONCATENATE(VLOOKUP(B92,Competitors!$A$2:$I$650,3,FALSE)," ",VLOOKUP(B92,Competitors!$A$2:$I$650,2,FALSE))))</f>
        <v/>
      </c>
      <c r="I92" s="51">
        <f t="shared" si="4"/>
        <v>0</v>
      </c>
      <c r="J92" t="str">
        <f t="shared" si="5"/>
        <v/>
      </c>
    </row>
    <row r="93" spans="1:10" ht="15">
      <c r="A93" s="46"/>
      <c r="B93" s="47" t="str">
        <f t="shared" si="3"/>
        <v/>
      </c>
      <c r="C93" s="48"/>
      <c r="D93" s="49"/>
      <c r="E93" s="49"/>
      <c r="F93" s="49"/>
      <c r="G93" s="49"/>
      <c r="H93" s="50" t="str">
        <f>IF($B93="","",IF($J93="X",B93,CONCATENATE(VLOOKUP(B93,Competitors!$A$2:$I$650,3,FALSE)," ",VLOOKUP(B93,Competitors!$A$2:$I$650,2,FALSE))))</f>
        <v/>
      </c>
      <c r="I93" s="51">
        <f t="shared" si="4"/>
        <v>0</v>
      </c>
      <c r="J93" t="str">
        <f t="shared" si="5"/>
        <v/>
      </c>
    </row>
    <row r="94" spans="1:10" ht="15">
      <c r="A94" s="46"/>
      <c r="B94" s="47" t="str">
        <f t="shared" si="3"/>
        <v/>
      </c>
      <c r="C94" s="48"/>
      <c r="D94" s="49"/>
      <c r="E94" s="49"/>
      <c r="F94" s="49"/>
      <c r="G94" s="49"/>
      <c r="H94" s="50" t="str">
        <f>IF($B94="","",IF($J94="X",B94,CONCATENATE(VLOOKUP(B94,Competitors!$A$2:$I$650,3,FALSE)," ",VLOOKUP(B94,Competitors!$A$2:$I$650,2,FALSE))))</f>
        <v/>
      </c>
      <c r="I94" s="51">
        <f t="shared" si="4"/>
        <v>0</v>
      </c>
      <c r="J94" t="str">
        <f t="shared" si="5"/>
        <v/>
      </c>
    </row>
    <row r="95" spans="1:10" ht="15">
      <c r="A95" s="46"/>
      <c r="B95" s="47" t="str">
        <f t="shared" si="3"/>
        <v/>
      </c>
      <c r="C95" s="48"/>
      <c r="D95" s="49"/>
      <c r="E95" s="49"/>
      <c r="F95" s="49"/>
      <c r="G95" s="49"/>
      <c r="H95" s="50" t="str">
        <f>IF($B95="","",IF($J95="X",B95,CONCATENATE(VLOOKUP(B95,Competitors!$A$2:$I$650,3,FALSE)," ",VLOOKUP(B95,Competitors!$A$2:$I$650,2,FALSE))))</f>
        <v/>
      </c>
      <c r="I95" s="51">
        <f t="shared" si="4"/>
        <v>0</v>
      </c>
      <c r="J95" t="str">
        <f t="shared" si="5"/>
        <v/>
      </c>
    </row>
    <row r="96" spans="1:10" ht="15">
      <c r="A96" s="46"/>
      <c r="B96" s="47" t="str">
        <f t="shared" si="3"/>
        <v/>
      </c>
      <c r="C96" s="48"/>
      <c r="D96" s="49"/>
      <c r="E96" s="49"/>
      <c r="F96" s="49"/>
      <c r="G96" s="49"/>
      <c r="H96" s="50" t="str">
        <f>IF($B96="","",IF($J96="X",B96,CONCATENATE(VLOOKUP(B96,Competitors!$A$2:$I$650,3,FALSE)," ",VLOOKUP(B96,Competitors!$A$2:$I$650,2,FALSE))))</f>
        <v/>
      </c>
      <c r="I96" s="51">
        <f t="shared" si="4"/>
        <v>0</v>
      </c>
      <c r="J96" t="str">
        <f t="shared" si="5"/>
        <v/>
      </c>
    </row>
    <row r="97" spans="1:10" ht="15">
      <c r="A97" s="46"/>
      <c r="B97" s="47" t="str">
        <f t="shared" si="3"/>
        <v/>
      </c>
      <c r="C97" s="48"/>
      <c r="D97" s="49"/>
      <c r="E97" s="49"/>
      <c r="F97" s="49"/>
      <c r="G97" s="4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Event_25</v>
      </c>
    </row>
    <row r="104" spans="1:10">
      <c r="B104" t="s">
        <v>552</v>
      </c>
      <c r="C104" t="str">
        <f ca="1">_xlfn.XLOOKUP(C103,Calendar!O:O,Calendar!H:H,"Event is not in calendar")</f>
        <v/>
      </c>
    </row>
  </sheetData>
  <conditionalFormatting sqref="E2:E101">
    <cfRule type="expression" dxfId="8" priority="3">
      <formula>TEXT($C$104,"@")="Y"</formula>
    </cfRule>
  </conditionalFormatting>
  <conditionalFormatting sqref="H2:I101">
    <cfRule type="expression" dxfId="7" priority="2">
      <formula>$J2="X"</formula>
    </cfRule>
  </conditionalFormatting>
  <conditionalFormatting sqref="I2:I101">
    <cfRule type="expression" dxfId="6" priority="1">
      <formula>TEXT($C$104,"@")="Y"</formula>
    </cfRule>
  </conditionalFormatting>
  <pageMargins left="0.7" right="0.7" top="0.75" bottom="0.75" header="0.3" footer="0.3"/>
  <pageSetup paperSize="9" orientation="portrait" r:id="rId1"/>
  <legacyDrawing r:id="rId2"/>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8"/>
  <dimension ref="A1:K104"/>
  <sheetViews>
    <sheetView topLeftCell="A32" workbookViewId="0">
      <selection activeCell="B41" sqref="B41"/>
    </sheetView>
    <sheetView tabSelected="1" topLeftCell="A35" workbookViewId="1">
      <selection activeCell="B45" sqref="B45"/>
    </sheetView>
  </sheetViews>
  <sheetFormatPr defaultColWidth="9.1328125" defaultRowHeight="12.75"/>
  <cols>
    <col min="1" max="1" width="37.46484375" bestFit="1" customWidth="1"/>
    <col min="2" max="2" width="49.6640625" bestFit="1" customWidth="1"/>
    <col min="3" max="5" width="4.796875" customWidth="1"/>
    <col min="6" max="7" width="11.1328125" customWidth="1"/>
    <col min="8" max="8" width="25.1328125" customWidth="1"/>
    <col min="9" max="9" width="14.6640625" style="38" bestFit="1" customWidth="1"/>
    <col min="10" max="10" width="19.19921875" bestFit="1" customWidth="1"/>
  </cols>
  <sheetData>
    <row r="1" spans="1:11" ht="15.75" customHeight="1">
      <c r="A1" s="39" t="s">
        <v>535</v>
      </c>
      <c r="B1" s="40" t="s">
        <v>536</v>
      </c>
      <c r="C1" s="41" t="s">
        <v>537</v>
      </c>
      <c r="D1" s="42" t="s">
        <v>538</v>
      </c>
      <c r="E1" s="43" t="s">
        <v>539</v>
      </c>
      <c r="F1" s="44" t="s">
        <v>540</v>
      </c>
      <c r="G1" s="44" t="s">
        <v>541</v>
      </c>
      <c r="H1" s="39" t="s">
        <v>461</v>
      </c>
      <c r="I1" s="45" t="s">
        <v>542</v>
      </c>
      <c r="J1" t="s">
        <v>543</v>
      </c>
    </row>
    <row r="2" spans="1:11" ht="15">
      <c r="A2" s="46" t="s">
        <v>587</v>
      </c>
      <c r="B2" s="47" t="str">
        <f>IF(A2="","",_xlfn.XLOOKUP(A2,ClubNames,ClubNumbers,_xlfn.XLOOKUP(A2,RoundRobinRiderNames,RoundRobinRiderDecoratedNames,A2)))</f>
        <v>Steve Wickham (RFW)</v>
      </c>
      <c r="C2" s="48"/>
      <c r="D2" s="49"/>
      <c r="E2" s="49"/>
      <c r="F2" s="49" t="s">
        <v>544</v>
      </c>
      <c r="G2" s="49"/>
      <c r="H2" s="50" t="str">
        <f>IF($B2="","",IF($J2="X",B2,CONCATENATE(VLOOKUP(B2,Competitors!$A$2:$I$650,3,FALSE)," ",VLOOKUP(B2,Competitors!$A$2:$I$650,2,FALSE))))</f>
        <v>Steve Wickham (RFW)</v>
      </c>
      <c r="I2" s="51">
        <f>IF(LEFT($F2,1)="D",UPPER($F2),(C2*3600+D2*60+E2)/86400)</f>
        <v>0</v>
      </c>
      <c r="J2" t="str">
        <f>IF(OR(B2="",ISNUMBER(B2)),"","X")</f>
        <v>X</v>
      </c>
      <c r="K2">
        <v>1</v>
      </c>
    </row>
    <row r="3" spans="1:11" ht="15">
      <c r="A3" s="46" t="s">
        <v>616</v>
      </c>
      <c r="B3" s="47">
        <f>IF(A3="","",_xlfn.XLOOKUP(A3,ClubNames,ClubNumbers,_xlfn.XLOOKUP(A3,RoundRobinRiderNames,RoundRobinRiderDecoratedNames,A3)))</f>
        <v>990</v>
      </c>
      <c r="C3" s="48"/>
      <c r="D3" s="49"/>
      <c r="E3" s="49"/>
      <c r="F3" s="49" t="s">
        <v>544</v>
      </c>
      <c r="G3" s="49"/>
      <c r="H3" s="50" t="str">
        <f>IF($B3="","",IF($J3="X",B3,CONCATENATE(VLOOKUP(B3,Competitors!$A$2:$I$650,3,FALSE)," ",VLOOKUP(B3,Competitors!$A$2:$I$650,2,FALSE))))</f>
        <v>Jen Hulme</v>
      </c>
      <c r="I3" s="51">
        <f>IF(LEFT($F3,1)="D",UPPER($F3),(C3*3600+D3*60+E3)/86400)</f>
        <v>0</v>
      </c>
      <c r="J3" t="str">
        <f>IF(OR(B3="",ISNUMBER(B3)),"","X")</f>
        <v/>
      </c>
      <c r="K3">
        <v>2</v>
      </c>
    </row>
    <row r="4" spans="1:11" ht="15">
      <c r="A4" s="46" t="s">
        <v>804</v>
      </c>
      <c r="B4" s="47" t="str">
        <f>IF(A4="","",_xlfn.XLOOKUP(A4,ClubNames,ClubNumbers,_xlfn.XLOOKUP(A4,RoundRobinRiderNames,RoundRobinRiderDecoratedNames,A4)))</f>
        <v>James Belton (KCC)</v>
      </c>
      <c r="C4" s="48"/>
      <c r="D4" s="49"/>
      <c r="E4" s="49"/>
      <c r="F4" s="49" t="s">
        <v>544</v>
      </c>
      <c r="G4" s="49"/>
      <c r="H4" s="50" t="str">
        <f>IF($B4="","",IF($J4="X",B4,CONCATENATE(VLOOKUP(B4,Competitors!$A$2:$I$650,3,FALSE)," ",VLOOKUP(B4,Competitors!$A$2:$I$650,2,FALSE))))</f>
        <v>James Belton (KCC)</v>
      </c>
      <c r="I4" s="51">
        <f>IF(LEFT($F4,1)="D",UPPER($F4),(C4*3600+D4*60+E4)/86400)</f>
        <v>0</v>
      </c>
      <c r="J4" t="str">
        <f>IF(OR(B4="",ISNUMBER(B4)),"","X")</f>
        <v>X</v>
      </c>
      <c r="K4">
        <v>3</v>
      </c>
    </row>
    <row r="5" spans="1:11" ht="15">
      <c r="A5" s="46" t="s">
        <v>805</v>
      </c>
      <c r="B5" s="47" t="str">
        <f>IF(A5="","",_xlfn.XLOOKUP(A5,ClubNames,ClubNumbers,_xlfn.XLOOKUP(A5,RoundRobinRiderNames,RoundRobinRiderDecoratedNames,A5)))</f>
        <v>Ruth Dempsey (RFW)</v>
      </c>
      <c r="C5" s="48"/>
      <c r="D5" s="49"/>
      <c r="E5" s="49"/>
      <c r="F5" s="49" t="s">
        <v>544</v>
      </c>
      <c r="G5" s="49"/>
      <c r="H5" s="50" t="str">
        <f>IF($B5="","",IF($J5="X",B5,CONCATENATE(VLOOKUP(B5,Competitors!$A$2:$I$650,3, FALSE)," ",VLOOKUP(B5,Competitors!$A$2:$I$650,2,FALSE))))</f>
        <v>Ruth Dempsey (RFW)</v>
      </c>
      <c r="I5" s="51">
        <f>IF(LEFT($F5,1)="D",UPPER($F5),(C5*3600+D5*60+E5)/86400)</f>
        <v>0</v>
      </c>
      <c r="J5" t="str">
        <f>IF(OR(B5="",ISNUMBER(B5)),"","X")</f>
        <v>X</v>
      </c>
      <c r="K5">
        <v>4</v>
      </c>
    </row>
    <row r="6" spans="1:11" ht="15">
      <c r="A6" s="46" t="s">
        <v>545</v>
      </c>
      <c r="B6" s="47">
        <f>IF(A6="","",_xlfn.XLOOKUP(A6,ClubNames,ClubNumbers,_xlfn.XLOOKUP(A6,RoundRobinRiderNames,RoundRobinRiderDecoratedNames,A6)))</f>
        <v>1385</v>
      </c>
      <c r="C6" s="48"/>
      <c r="D6" s="49"/>
      <c r="E6" s="49"/>
      <c r="F6" s="49" t="s">
        <v>544</v>
      </c>
      <c r="G6" s="49"/>
      <c r="H6" s="50" t="str">
        <f>IF($B6="","",IF($J6="X",B6,CONCATENATE(VLOOKUP(B6,Competitors!$A$2:$I$650,3,FALSE)," ",VLOOKUP(B6,Competitors!$A$2:$I$650,2,FALSE))))</f>
        <v>Miles Marr</v>
      </c>
      <c r="I6" s="51">
        <f>IF(LEFT($F6,1)="D",UPPER($F6),(C6*3600+D6*60+E6)/86400)</f>
        <v>0</v>
      </c>
      <c r="J6" t="str">
        <f>IF(OR(B6="",ISNUMBER(B6)),"","X")</f>
        <v/>
      </c>
      <c r="K6">
        <v>5</v>
      </c>
    </row>
    <row r="7" spans="1:11" ht="15">
      <c r="A7" s="46" t="s">
        <v>818</v>
      </c>
      <c r="B7" s="47" t="str">
        <f>IF(A7="","",_xlfn.XLOOKUP(A7,ClubNames,ClubNumbers,_xlfn.XLOOKUP(A7,RoundRobinRiderNames,RoundRobinRiderDecoratedNames,A7)))</f>
        <v>Tajvinder Badh (KCC)</v>
      </c>
      <c r="C7" s="48"/>
      <c r="D7" s="49"/>
      <c r="E7" s="49"/>
      <c r="F7" s="49" t="s">
        <v>544</v>
      </c>
      <c r="G7" s="49"/>
      <c r="H7" s="50" t="str">
        <f>IF($B7="","",IF($J7="X",B7,CONCATENATE(VLOOKUP(B7,Competitors!$A$2:$I$650,3,FALSE)," ",VLOOKUP(B7,Competitors!$A$2:$I$650,2,FALSE))))</f>
        <v>Tajvinder Badh (KCC)</v>
      </c>
      <c r="I7" s="51">
        <f>IF(LEFT($F7,1)="D",UPPER($F7),(C7*3600+D7*60+E7)/86400)</f>
        <v>0</v>
      </c>
      <c r="J7" t="str">
        <f>IF(OR(B7="",ISNUMBER(B7)),"","X")</f>
        <v>X</v>
      </c>
      <c r="K7">
        <v>6</v>
      </c>
    </row>
    <row r="8" spans="1:11" ht="15">
      <c r="A8" s="46" t="s">
        <v>817</v>
      </c>
      <c r="B8" s="47" t="str">
        <f>IF(A8="","",_xlfn.XLOOKUP(A8,ClubNames,ClubNumbers,_xlfn.XLOOKUP(A8,RoundRobinRiderNames,RoundRobinRiderDecoratedNames,A8)))</f>
        <v>Shay Dempsey (RFW)</v>
      </c>
      <c r="C8" s="48"/>
      <c r="D8" s="49"/>
      <c r="E8" s="49"/>
      <c r="F8" s="49" t="s">
        <v>544</v>
      </c>
      <c r="G8" s="49"/>
      <c r="H8" s="50" t="str">
        <f>IF($B8="","",IF($J8="X",B8,CONCATENATE(VLOOKUP(B8,Competitors!$A$2:$I$650,3,FALSE)," ",VLOOKUP(B8,Competitors!$A$2:$I$650,2,FALSE))))</f>
        <v>Shay Dempsey (RFW)</v>
      </c>
      <c r="I8" s="51">
        <f>IF(LEFT($F8,1)="D",UPPER($F8),(C8*3600+D8*60+E8)/86400)</f>
        <v>0</v>
      </c>
      <c r="J8" t="str">
        <f>IF(OR(B8="",ISNUMBER(B8)),"","X")</f>
        <v>X</v>
      </c>
      <c r="K8">
        <v>7</v>
      </c>
    </row>
    <row r="9" spans="1:11" ht="15">
      <c r="A9" s="46" t="s">
        <v>746</v>
      </c>
      <c r="B9" s="47">
        <f>IF(A9="","",_xlfn.XLOOKUP(A9,ClubNames,ClubNumbers,_xlfn.XLOOKUP(A9,RoundRobinRiderNames,RoundRobinRiderDecoratedNames,A9)))</f>
        <v>1357</v>
      </c>
      <c r="C9" s="48"/>
      <c r="D9" s="49"/>
      <c r="E9" s="49"/>
      <c r="F9" s="49" t="s">
        <v>544</v>
      </c>
      <c r="G9" s="49"/>
      <c r="H9" s="50" t="str">
        <f>IF($B9="","",IF($J9="X",B9,CONCATENATE(VLOOKUP(B9,Competitors!$A$2:$I$650,3,FALSE)," ",VLOOKUP(B9,Competitors!$A$2:$I$650,2,FALSE))))</f>
        <v>Ian Parker</v>
      </c>
      <c r="I9" s="51">
        <f>IF(LEFT($F9,1)="D",UPPER($F9),(C9*3600+D9*60+E9)/86400)</f>
        <v>0</v>
      </c>
      <c r="J9" t="str">
        <f>IF(OR(B9="",ISNUMBER(B9)),"","X")</f>
        <v/>
      </c>
      <c r="K9">
        <v>8</v>
      </c>
    </row>
    <row r="10" spans="1:11" ht="15">
      <c r="A10" s="46" t="s">
        <v>801</v>
      </c>
      <c r="B10" s="47" t="str">
        <f>IF(A10="","",_xlfn.XLOOKUP(A10,ClubNames,ClubNumbers,_xlfn.XLOOKUP(A10,RoundRobinRiderNames,RoundRobinRiderDecoratedNames,A10)))</f>
        <v>Damian Ciesielski (KCC)</v>
      </c>
      <c r="C10" s="48"/>
      <c r="D10" s="49"/>
      <c r="E10" s="49"/>
      <c r="F10" s="49" t="s">
        <v>544</v>
      </c>
      <c r="G10" s="49"/>
      <c r="H10" s="50" t="str">
        <f>IF($B10="","",IF($J10="X",B10,CONCATENATE(VLOOKUP(B10,Competitors!$A$2:$I$650,3,FALSE)," ",VLOOKUP(B10,Competitors!$A$2:$I$650,2,FALSE))))</f>
        <v>Damian Ciesielski (KCC)</v>
      </c>
      <c r="I10" s="51">
        <f>IF(LEFT($F10,1)="D",UPPER($F10),(C10*3600+D10*60+E10)/86400)</f>
        <v>0</v>
      </c>
      <c r="J10" t="str">
        <f>IF(OR(B10="",ISNUMBER(B10)),"","X")</f>
        <v>X</v>
      </c>
      <c r="K10">
        <v>9</v>
      </c>
    </row>
    <row r="11" spans="1:11" ht="15">
      <c r="A11" s="46" t="s">
        <v>519</v>
      </c>
      <c r="B11" s="47" t="str">
        <f>IF(A11="","",_xlfn.XLOOKUP(A11,ClubNames,ClubNumbers,_xlfn.XLOOKUP(A11,RoundRobinRiderNames,RoundRobinRiderDecoratedNames,A11)))</f>
        <v>David Hill (RFW)</v>
      </c>
      <c r="C11" s="48"/>
      <c r="D11" s="49"/>
      <c r="E11" s="49"/>
      <c r="F11" s="49" t="s">
        <v>544</v>
      </c>
      <c r="G11" s="49"/>
      <c r="H11" s="50" t="str">
        <f>IF($B11="","",IF($J11="X",B11,CONCATENATE(VLOOKUP(B11,Competitors!$A$2:$I$650,3,FALSE)," ",VLOOKUP(B11,Competitors!$A$2:$I$650,2,FALSE))))</f>
        <v>David Hill (RFW)</v>
      </c>
      <c r="I11" s="51">
        <f>IF(LEFT($F11,1)="D",UPPER($F11),(C11*3600+D11*60+E11)/86400)</f>
        <v>0</v>
      </c>
      <c r="J11" t="str">
        <f>IF(OR(B11="",ISNUMBER(B11)),"","X")</f>
        <v>X</v>
      </c>
      <c r="K11">
        <v>10</v>
      </c>
    </row>
    <row r="12" spans="1:11" ht="15">
      <c r="A12" s="46" t="s">
        <v>815</v>
      </c>
      <c r="B12" s="47">
        <f>IF(A12="","",_xlfn.XLOOKUP(A12,ClubNames,ClubNumbers,_xlfn.XLOOKUP(A12,RoundRobinRiderNames,RoundRobinRiderDecoratedNames,A12)))</f>
        <v>1361</v>
      </c>
      <c r="C12" s="48"/>
      <c r="D12" s="49"/>
      <c r="E12" s="49"/>
      <c r="F12" s="49" t="s">
        <v>544</v>
      </c>
      <c r="G12" s="49"/>
      <c r="H12" s="50" t="str">
        <f>IF($B12="","",IF($J12="X",B12,CONCATENATE(VLOOKUP(B12,Competitors!$A$2:$I$650,3,FALSE)," ",VLOOKUP(B12,Competitors!$A$2:$I$650,2,FALSE))))</f>
        <v>Bruce Main</v>
      </c>
      <c r="I12" s="51">
        <f>IF(LEFT($F12,1)="D",UPPER($F12),(C12*3600+D12*60+E12)/86400)</f>
        <v>0</v>
      </c>
      <c r="J12" t="str">
        <f>IF(OR(B12="",ISNUMBER(B12)),"","X")</f>
        <v/>
      </c>
      <c r="K12">
        <v>11</v>
      </c>
    </row>
    <row r="13" spans="1:11" ht="15">
      <c r="A13" s="46" t="s">
        <v>618</v>
      </c>
      <c r="B13" s="47" t="str">
        <f>IF(A13="","",_xlfn.XLOOKUP(A13,ClubNames,ClubNumbers,_xlfn.XLOOKUP(A13,RoundRobinRiderNames,RoundRobinRiderDecoratedNames,A13)))</f>
        <v>Ian Bird (KCC)</v>
      </c>
      <c r="C13" s="48"/>
      <c r="D13" s="49"/>
      <c r="E13" s="49"/>
      <c r="F13" s="49" t="s">
        <v>544</v>
      </c>
      <c r="G13" s="49"/>
      <c r="H13" s="50" t="str">
        <f>IF($B13="","",IF($J13="X",B13,CONCATENATE(VLOOKUP(B13,Competitors!$A$2:$I$650,3,FALSE)," ",VLOOKUP(B13,Competitors!$A$2:$I$650,2,FALSE))))</f>
        <v>Ian Bird (KCC)</v>
      </c>
      <c r="I13" s="51">
        <f>IF(LEFT($F13,1)="D",UPPER($F13),(C13*3600+D13*60+E13)/86400)</f>
        <v>0</v>
      </c>
      <c r="J13" t="str">
        <f>IF(OR(B13="",ISNUMBER(B13)),"","X")</f>
        <v>X</v>
      </c>
      <c r="K13">
        <v>12</v>
      </c>
    </row>
    <row r="14" spans="1:11" ht="15">
      <c r="A14" s="46" t="s">
        <v>590</v>
      </c>
      <c r="B14" s="47" t="str">
        <f>IF(A14="","",_xlfn.XLOOKUP(A14,ClubNames,ClubNumbers,_xlfn.XLOOKUP(A14,RoundRobinRiderNames,RoundRobinRiderDecoratedNames,A14)))</f>
        <v>Laurence Noble (RFW)</v>
      </c>
      <c r="C14" s="48"/>
      <c r="D14" s="49"/>
      <c r="E14" s="49"/>
      <c r="F14" s="49"/>
      <c r="G14" s="49"/>
      <c r="H14" s="50" t="str">
        <f>IF($B14="","",IF($J14="X",B14,CONCATENATE(VLOOKUP(B14,Competitors!$A$2:$I$650,3,FALSE)," ",VLOOKUP(B14,Competitors!$A$2:$I$650,2,FALSE))))</f>
        <v>Laurence Noble (RFW)</v>
      </c>
      <c r="I14" s="51">
        <f>IF(LEFT($F14,1)="D",UPPER($F14),(C14*3600+D14*60+E14)/86400)</f>
        <v>0</v>
      </c>
      <c r="J14" t="str">
        <f>IF(OR(B14="",ISNUMBER(B14)),"","X")</f>
        <v>X</v>
      </c>
      <c r="K14">
        <v>13</v>
      </c>
    </row>
    <row r="15" spans="1:11" ht="15">
      <c r="A15" s="46" t="s">
        <v>422</v>
      </c>
      <c r="B15" s="47">
        <f>IF(A15="","",_xlfn.XLOOKUP(A15,ClubNames,ClubNumbers,_xlfn.XLOOKUP(A15,RoundRobinRiderNames,RoundRobinRiderDecoratedNames,A15)))</f>
        <v>1407</v>
      </c>
      <c r="C15" s="48"/>
      <c r="D15" s="49"/>
      <c r="E15" s="49"/>
      <c r="F15" s="49" t="s">
        <v>544</v>
      </c>
      <c r="G15" s="49"/>
      <c r="H15" s="50" t="str">
        <f>IF($B15="","",IF($J15="X",B15,CONCATENATE(VLOOKUP(B15,Competitors!$A$2:$I$650,3,FALSE)," ",VLOOKUP(B15,Competitors!$A$2:$I$650,2,FALSE))))</f>
        <v>Colin Dobson</v>
      </c>
      <c r="I15" s="51">
        <f>IF(LEFT($F15,1)="D",UPPER($F15),(C15*3600+D15*60+E15)/86400)</f>
        <v>0</v>
      </c>
      <c r="J15" t="str">
        <f>IF(OR(B15="",ISNUMBER(B15)),"","X")</f>
        <v/>
      </c>
      <c r="K15">
        <v>14</v>
      </c>
    </row>
    <row r="16" spans="1:11" ht="15">
      <c r="A16" s="46" t="s">
        <v>585</v>
      </c>
      <c r="B16" s="47" t="str">
        <f>IF(A16="","",_xlfn.XLOOKUP(A16,ClubNames,ClubNumbers,_xlfn.XLOOKUP(A16,RoundRobinRiderNames,RoundRobinRiderDecoratedNames,A16)))</f>
        <v>Maria Cayford (KCC)</v>
      </c>
      <c r="C16" s="48"/>
      <c r="D16" s="49"/>
      <c r="E16" s="49"/>
      <c r="F16" s="49" t="s">
        <v>544</v>
      </c>
      <c r="G16" s="49"/>
      <c r="H16" s="50" t="str">
        <f>IF($B16="","",IF($J16="X",B16,CONCATENATE(VLOOKUP(B16,Competitors!$A$2:$I$650,3,FALSE)," ",VLOOKUP(B16,Competitors!$A$2:$I$650,2,FALSE))))</f>
        <v>Maria Cayford (KCC)</v>
      </c>
      <c r="I16" s="51">
        <f>IF(LEFT($F16,1)="D",UPPER($F16),(C16*3600+D16*60+E16)/86400)</f>
        <v>0</v>
      </c>
      <c r="J16" t="str">
        <f>IF(OR(B16="",ISNUMBER(B16)),"","X")</f>
        <v>X</v>
      </c>
      <c r="K16">
        <v>15</v>
      </c>
    </row>
    <row r="17" spans="1:11" ht="15">
      <c r="A17" s="46" t="s">
        <v>526</v>
      </c>
      <c r="B17" s="47" t="str">
        <f>IF(A17="","",_xlfn.XLOOKUP(A17,ClubNames,ClubNumbers,_xlfn.XLOOKUP(A17,RoundRobinRiderNames,RoundRobinRiderDecoratedNames,A17)))</f>
        <v>Paul Ryan (RFW)</v>
      </c>
      <c r="C17" s="48"/>
      <c r="D17" s="49"/>
      <c r="E17" s="49"/>
      <c r="F17" s="49" t="s">
        <v>544</v>
      </c>
      <c r="G17" s="49"/>
      <c r="H17" s="50" t="str">
        <f>IF($B17="","",IF($J17="X",B17,CONCATENATE(VLOOKUP(B17,Competitors!$A$2:$I$650,3,FALSE)," ",VLOOKUP(B17,Competitors!$A$2:$I$650,2,FALSE))))</f>
        <v>Paul Ryan (RFW)</v>
      </c>
      <c r="I17" s="51">
        <f>IF(LEFT($F17,1)="D",UPPER($F17),(C17*3600+D17*60+E17)/86400)</f>
        <v>0</v>
      </c>
      <c r="J17" t="str">
        <f>IF(OR(B17="",ISNUMBER(B17)),"","X")</f>
        <v>X</v>
      </c>
      <c r="K17">
        <v>16</v>
      </c>
    </row>
    <row r="18" spans="1:11" ht="15">
      <c r="A18" s="46" t="s">
        <v>819</v>
      </c>
      <c r="B18" s="47">
        <f>IF(A18="","",_xlfn.XLOOKUP(A18,ClubNames,ClubNumbers,_xlfn.XLOOKUP(A18,RoundRobinRiderNames,RoundRobinRiderDecoratedNames,A18)))</f>
        <v>1339</v>
      </c>
      <c r="C18" s="48"/>
      <c r="D18" s="49"/>
      <c r="E18" s="49"/>
      <c r="F18" s="49" t="s">
        <v>544</v>
      </c>
      <c r="G18" s="49"/>
      <c r="H18" s="50" t="str">
        <f>IF($B18="","",IF($J18="X",B18,CONCATENATE(VLOOKUP(B18,Competitors!$A$2:$I$650,3,FALSE)," ",VLOOKUP(B18,Competitors!$A$2:$I$650,2,FALSE))))</f>
        <v>Jack Shewring</v>
      </c>
      <c r="I18" s="51">
        <f>IF(LEFT($F18,1)="D",UPPER($F18),(C18*3600+D18*60+E18)/86400)</f>
        <v>0</v>
      </c>
      <c r="J18" t="str">
        <f>IF(OR(B18="",ISNUMBER(B18)),"","X")</f>
        <v/>
      </c>
      <c r="K18">
        <v>17</v>
      </c>
    </row>
    <row r="19" spans="1:11" ht="15">
      <c r="A19" s="46" t="s">
        <v>810</v>
      </c>
      <c r="B19" s="47" t="str">
        <f>IF(A19="","",_xlfn.XLOOKUP(A19,ClubNames,ClubNumbers,_xlfn.XLOOKUP(A19,RoundRobinRiderNames,RoundRobinRiderDecoratedNames,A19)))</f>
        <v>Josh Cayford</v>
      </c>
      <c r="C19" s="48"/>
      <c r="D19" s="49"/>
      <c r="E19" s="49"/>
      <c r="F19" s="49" t="s">
        <v>544</v>
      </c>
      <c r="G19" s="49"/>
      <c r="H19" s="50" t="str">
        <f>IF($B19="","",IF($J19="X",B19,CONCATENATE(VLOOKUP(B19,Competitors!$A$2:$I$650,3,FALSE)," ",VLOOKUP(B19,Competitors!$A$2:$I$650,2,FALSE))))</f>
        <v>Josh Cayford</v>
      </c>
      <c r="I19" s="51">
        <f>IF(LEFT($F19,1)="D",UPPER($F19),(C19*3600+D19*60+E19)/86400)</f>
        <v>0</v>
      </c>
      <c r="J19" t="str">
        <f>IF(OR(B19="",ISNUMBER(B19)),"","X")</f>
        <v>X</v>
      </c>
      <c r="K19">
        <v>18</v>
      </c>
    </row>
    <row r="20" spans="1:11" ht="15">
      <c r="A20" s="46" t="s">
        <v>807</v>
      </c>
      <c r="B20" s="47" t="str">
        <f>IF(A20="","",_xlfn.XLOOKUP(A20,ClubNames,ClubNumbers,_xlfn.XLOOKUP(A20,RoundRobinRiderNames,RoundRobinRiderDecoratedNames,A20)))</f>
        <v>Peter McDonald (RFW)</v>
      </c>
      <c r="C20" s="48"/>
      <c r="D20" s="49"/>
      <c r="E20" s="49"/>
      <c r="F20" s="49" t="s">
        <v>544</v>
      </c>
      <c r="G20" s="49"/>
      <c r="H20" s="50" t="str">
        <f>IF($B20="","",IF($J20="X",B20,CONCATENATE(VLOOKUP(B20,Competitors!$A$2:$I$650,3,FALSE)," ",VLOOKUP(B20,Competitors!$A$2:$I$650,2,FALSE))))</f>
        <v>Peter McDonald (RFW)</v>
      </c>
      <c r="I20" s="51">
        <f>IF(LEFT($F20,1)="D",UPPER($F20),(C20*3600+D20*60+E20)/86400)</f>
        <v>0</v>
      </c>
      <c r="J20" t="str">
        <f>IF(OR(B20="",ISNUMBER(B20)),"","X")</f>
        <v>X</v>
      </c>
      <c r="K20">
        <v>19</v>
      </c>
    </row>
    <row r="21" spans="1:11" ht="15">
      <c r="A21" s="46" t="s">
        <v>808</v>
      </c>
      <c r="B21" s="47">
        <f>IF(A21="","",_xlfn.XLOOKUP(A21,ClubNames,ClubNumbers,_xlfn.XLOOKUP(A21,RoundRobinRiderNames,RoundRobinRiderDecoratedNames,A21)))</f>
        <v>1394</v>
      </c>
      <c r="C21" s="48"/>
      <c r="D21" s="49"/>
      <c r="E21" s="49"/>
      <c r="F21" s="49" t="s">
        <v>544</v>
      </c>
      <c r="G21" s="49"/>
      <c r="H21" s="50" t="str">
        <f>IF($B21="","",IF($J21="X",B21,CONCATENATE(VLOOKUP(B21,Competitors!$A$2:$I$650,3,FALSE)," ",VLOOKUP(B21,Competitors!$A$2:$I$650,2,FALSE))))</f>
        <v>Noah Marr</v>
      </c>
      <c r="I21" s="51">
        <f>IF(LEFT($F21,1)="D",UPPER($F21),(C21*3600+D21*60+E21)/86400)</f>
        <v>0</v>
      </c>
      <c r="J21" t="str">
        <f>IF(OR(B21="",ISNUMBER(B21)),"","X")</f>
        <v/>
      </c>
      <c r="K21">
        <v>20</v>
      </c>
    </row>
    <row r="22" spans="1:11" ht="15">
      <c r="A22" s="46" t="s">
        <v>814</v>
      </c>
      <c r="B22" s="47" t="str">
        <f>IF(A22="","",_xlfn.XLOOKUP(A22,ClubNames,ClubNumbers,_xlfn.XLOOKUP(A22,RoundRobinRiderNames,RoundRobinRiderDecoratedNames,A22)))</f>
        <v>Bert Monteleone</v>
      </c>
      <c r="C22" s="48"/>
      <c r="D22" s="49"/>
      <c r="E22" s="49"/>
      <c r="F22" s="49" t="s">
        <v>544</v>
      </c>
      <c r="G22" s="49"/>
      <c r="H22" s="50" t="str">
        <f>IF($B22="","",IF($J22="X",B22,CONCATENATE(VLOOKUP(B22,Competitors!$A$2:$I$650,3,FALSE)," ",VLOOKUP(B22,Competitors!$A$2:$I$650,2,FALSE))))</f>
        <v>Bert Monteleone</v>
      </c>
      <c r="I22" s="51">
        <f>IF(LEFT($F22,1)="D",UPPER($F22),(C22*3600+D22*60+E22)/86400)</f>
        <v>0</v>
      </c>
      <c r="J22" t="str">
        <f>IF(OR(B22="",ISNUMBER(B22)),"","X")</f>
        <v>X</v>
      </c>
      <c r="K22">
        <v>21</v>
      </c>
    </row>
    <row r="23" spans="1:11" ht="15">
      <c r="A23" s="46" t="s">
        <v>479</v>
      </c>
      <c r="B23" s="47">
        <f>IF(A23="","",_xlfn.XLOOKUP(A23,ClubNames,ClubNumbers,_xlfn.XLOOKUP(A23,RoundRobinRiderNames,RoundRobinRiderDecoratedNames,A23)))</f>
        <v>1348</v>
      </c>
      <c r="C23" s="48"/>
      <c r="D23" s="49"/>
      <c r="E23" s="49"/>
      <c r="F23" s="49" t="s">
        <v>544</v>
      </c>
      <c r="G23" s="49"/>
      <c r="H23" s="50" t="str">
        <f>IF($B23="","",IF($J23="X",B23,CONCATENATE(VLOOKUP(B23,Competitors!$A$2:$I$650,3,FALSE)," ",VLOOKUP(B23,Competitors!$A$2:$I$650,2,FALSE))))</f>
        <v>Lydia Baxter</v>
      </c>
      <c r="I23" s="51">
        <f>IF(LEFT($F23,1)="D",UPPER($F23),(C23*3600+D23*60+E23)/86400)</f>
        <v>0</v>
      </c>
      <c r="J23" t="str">
        <f>IF(OR(B23="",ISNUMBER(B23)),"","X")</f>
        <v/>
      </c>
      <c r="K23">
        <v>22</v>
      </c>
    </row>
    <row r="24" spans="1:11" ht="15">
      <c r="A24" s="46" t="s">
        <v>802</v>
      </c>
      <c r="B24" s="47" t="str">
        <f>IF(A24="","",_xlfn.XLOOKUP(A24,ClubNames,ClubNumbers,_xlfn.XLOOKUP(A24,RoundRobinRiderNames,RoundRobinRiderDecoratedNames,A24)))</f>
        <v>Victoria Shipley</v>
      </c>
      <c r="C24" s="48"/>
      <c r="D24" s="49"/>
      <c r="E24" s="49"/>
      <c r="F24" s="49" t="s">
        <v>544</v>
      </c>
      <c r="G24" s="49"/>
      <c r="H24" s="50" t="str">
        <f>IF($B24="","",IF($J24="X",B24,CONCATENATE(VLOOKUP(B24,Competitors!$A$2:$I$650,3,FALSE)," ",VLOOKUP(B24,Competitors!$A$2:$I$650,2,FALSE))))</f>
        <v>Victoria Shipley</v>
      </c>
      <c r="I24" s="51">
        <f>IF(LEFT($F24,1)="D",UPPER($F24),(C24*3600+D24*60+E24)/86400)</f>
        <v>0</v>
      </c>
      <c r="J24" t="str">
        <f>IF(OR(B24="",ISNUMBER(B24)),"","X")</f>
        <v>X</v>
      </c>
      <c r="K24">
        <v>23</v>
      </c>
    </row>
    <row r="25" spans="1:11" ht="15">
      <c r="A25" s="46" t="s">
        <v>813</v>
      </c>
      <c r="B25" s="47" t="str">
        <f>IF(A25="","",_xlfn.XLOOKUP(A25,ClubNames,ClubNumbers,_xlfn.XLOOKUP(A25,RoundRobinRiderNames,RoundRobinRiderDecoratedNames,A25)))</f>
        <v>Andrea Woolcott (KCC)</v>
      </c>
      <c r="C25" s="48"/>
      <c r="D25" s="49"/>
      <c r="E25" s="49"/>
      <c r="F25" s="49" t="s">
        <v>544</v>
      </c>
      <c r="G25" s="49"/>
      <c r="H25" s="50" t="str">
        <f>IF($B25="","",IF($J25="X",B25,CONCATENATE(VLOOKUP(B25,Competitors!$A$2:$I$650,3,FALSE)," ",VLOOKUP(B25,Competitors!$A$2:$I$650,2,FALSE))))</f>
        <v>Andrea Woolcott (KCC)</v>
      </c>
      <c r="I25" s="51">
        <f>IF(LEFT($F25,1)="D",UPPER($F25),(C25*3600+D25*60+E25)/86400)</f>
        <v>0</v>
      </c>
      <c r="J25" t="str">
        <f>IF(OR(B25="",ISNUMBER(B25)),"","X")</f>
        <v>X</v>
      </c>
      <c r="K25">
        <v>24</v>
      </c>
    </row>
    <row r="26" spans="1:11" ht="15">
      <c r="A26" s="46" t="s">
        <v>584</v>
      </c>
      <c r="B26" s="47" t="str">
        <f>IF(A26="","",_xlfn.XLOOKUP(A26,ClubNames,ClubNumbers,_xlfn.XLOOKUP(A26,RoundRobinRiderNames,RoundRobinRiderDecoratedNames,A26)))</f>
        <v>Graeme Hall (RFW)</v>
      </c>
      <c r="C26" s="48"/>
      <c r="D26" s="49"/>
      <c r="E26" s="49"/>
      <c r="F26" s="49" t="s">
        <v>544</v>
      </c>
      <c r="G26" s="49"/>
      <c r="H26" s="50" t="str">
        <f>IF($B26="","",IF($J26="X",B26,CONCATENATE(VLOOKUP(B26,Competitors!$A$2:$I$650,3,FALSE)," ",VLOOKUP(B26,Competitors!$A$2:$I$650,2,FALSE))))</f>
        <v>Graeme Hall (RFW)</v>
      </c>
      <c r="I26" s="51">
        <f>IF(LEFT($F26,1)="D",UPPER($F26),(C26*3600+D26*60+E26)/86400)</f>
        <v>0</v>
      </c>
      <c r="J26" t="str">
        <f>IF(OR(B26="",ISNUMBER(B26)),"","X")</f>
        <v>X</v>
      </c>
      <c r="K26">
        <v>25</v>
      </c>
    </row>
    <row r="27" spans="1:11" ht="15">
      <c r="A27" s="46" t="s">
        <v>413</v>
      </c>
      <c r="B27" s="47">
        <f>IF(A27="","",_xlfn.XLOOKUP(A27,ClubNames,ClubNumbers,_xlfn.XLOOKUP(A27,RoundRobinRiderNames,RoundRobinRiderDecoratedNames,A27)))</f>
        <v>989</v>
      </c>
      <c r="C27" s="48"/>
      <c r="D27" s="49"/>
      <c r="E27" s="49"/>
      <c r="F27" s="49" t="s">
        <v>544</v>
      </c>
      <c r="G27" s="49"/>
      <c r="H27" s="50" t="str">
        <f>IF($B27="","",IF($J27="X",B27,CONCATENATE(VLOOKUP(B27,Competitors!$A$2:$I$650,3,FALSE)," ",VLOOKUP(B27,Competitors!$A$2:$I$650,2,FALSE))))</f>
        <v>Jason Williams</v>
      </c>
      <c r="I27" s="51">
        <f>IF(LEFT($F27,1)="D",UPPER($F27),(C27*3600+D27*60+E27)/86400)</f>
        <v>0</v>
      </c>
      <c r="J27" t="str">
        <f>IF(OR(B27="",ISNUMBER(B27)),"","X")</f>
        <v/>
      </c>
      <c r="K27">
        <v>26</v>
      </c>
    </row>
    <row r="28" spans="1:11" ht="15">
      <c r="A28" s="46" t="s">
        <v>821</v>
      </c>
      <c r="B28" s="47" t="str">
        <f>IF(A28="","",_xlfn.XLOOKUP(A28,ClubNames,ClubNumbers,_xlfn.XLOOKUP(A28,RoundRobinRiderNames,RoundRobinRiderDecoratedNames,A28)))</f>
        <v>Andrew Brown (KCC)</v>
      </c>
      <c r="C28" s="48"/>
      <c r="D28" s="49"/>
      <c r="E28" s="49"/>
      <c r="F28" s="49" t="s">
        <v>544</v>
      </c>
      <c r="G28" s="49"/>
      <c r="H28" s="50" t="str">
        <f>IF($B28="","",IF($J28="X",B28,CONCATENATE(VLOOKUP(B28,Competitors!$A$2:$I$650,3,FALSE)," ",VLOOKUP(B28,Competitors!$A$2:$I$650,2,FALSE))))</f>
        <v>Andrew Brown (KCC)</v>
      </c>
      <c r="I28" s="51">
        <f>IF(LEFT($F28,1)="D",UPPER($F28),(C28*3600+D28*60+E28)/86400)</f>
        <v>0</v>
      </c>
      <c r="J28" t="str">
        <f>IF(OR(B28="",ISNUMBER(B28)),"","X")</f>
        <v>X</v>
      </c>
      <c r="K28">
        <v>27</v>
      </c>
    </row>
    <row r="29" spans="1:11" ht="15">
      <c r="A29" s="46" t="s">
        <v>524</v>
      </c>
      <c r="B29" s="47" t="str">
        <f>IF(A29="","",_xlfn.XLOOKUP(A29,ClubNames,ClubNumbers,_xlfn.XLOOKUP(A29,RoundRobinRiderNames,RoundRobinRiderDecoratedNames,A29)))</f>
        <v>Michael Carter (RFW)</v>
      </c>
      <c r="C29" s="48"/>
      <c r="D29" s="49"/>
      <c r="E29" s="49"/>
      <c r="F29" s="49" t="s">
        <v>544</v>
      </c>
      <c r="G29" s="49"/>
      <c r="H29" s="50" t="str">
        <f>IF($B29="","",IF($J29="X",B29,CONCATENATE(VLOOKUP(B29,Competitors!$A$2:$I$650,3,FALSE)," ",VLOOKUP(B29,Competitors!$A$2:$I$650,2,FALSE))))</f>
        <v>Michael Carter (RFW)</v>
      </c>
      <c r="I29" s="51">
        <f>IF(LEFT($F29,1)="D",UPPER($F29),(C29*3600+D29*60+E29)/86400)</f>
        <v>0</v>
      </c>
      <c r="J29" t="str">
        <f>IF(OR(B29="",ISNUMBER(B29)),"","X")</f>
        <v>X</v>
      </c>
      <c r="K29">
        <v>28</v>
      </c>
    </row>
    <row r="30" spans="1:11" ht="15">
      <c r="A30" s="46" t="s">
        <v>592</v>
      </c>
      <c r="B30" s="47">
        <f>IF(A30="","",_xlfn.XLOOKUP(A30,ClubNames,ClubNumbers,_xlfn.XLOOKUP(A30,RoundRobinRiderNames,RoundRobinRiderDecoratedNames,A30)))</f>
        <v>1390</v>
      </c>
      <c r="C30" s="48"/>
      <c r="D30" s="49"/>
      <c r="E30" s="49"/>
      <c r="F30" s="49" t="s">
        <v>544</v>
      </c>
      <c r="G30" s="49"/>
      <c r="H30" s="50" t="str">
        <f>IF($B30="","",IF($J30="X",B30,CONCATENATE(VLOOKUP(B30,Competitors!$A$2:$I$650,3,FALSE)," ",VLOOKUP(B30,Competitors!$A$2:$I$650,2,FALSE))))</f>
        <v>Diego Patteri</v>
      </c>
      <c r="I30" s="51">
        <f>IF(LEFT($F30,1)="D",UPPER($F30),(C30*3600+D30*60+E30)/86400)</f>
        <v>0</v>
      </c>
      <c r="J30" t="str">
        <f>IF(OR(B30="",ISNUMBER(B30)),"","X")</f>
        <v/>
      </c>
      <c r="K30">
        <v>29</v>
      </c>
    </row>
    <row r="31" spans="1:11" ht="15">
      <c r="A31" s="46" t="s">
        <v>820</v>
      </c>
      <c r="B31" s="47" t="str">
        <f>IF(A31="","",_xlfn.XLOOKUP(A31,ClubNames,ClubNumbers,_xlfn.XLOOKUP(A31,RoundRobinRiderNames,RoundRobinRiderDecoratedNames,A31)))</f>
        <v>Darren Gillings (KCC)</v>
      </c>
      <c r="C31" s="48"/>
      <c r="D31" s="49"/>
      <c r="E31" s="49"/>
      <c r="F31" s="49" t="s">
        <v>544</v>
      </c>
      <c r="G31" s="49"/>
      <c r="H31" s="50" t="str">
        <f>IF($B31="","",IF($J31="X",B31,CONCATENATE(VLOOKUP(B31,Competitors!$A$2:$I$650,3,FALSE)," ",VLOOKUP(B31,Competitors!$A$2:$I$650,2,FALSE))))</f>
        <v>Darren Gillings (KCC)</v>
      </c>
      <c r="I31" s="51">
        <f>IF(LEFT($F31,1)="D",UPPER($F31),(C31*3600+D31*60+E31)/86400)</f>
        <v>0</v>
      </c>
      <c r="J31" t="str">
        <f>IF(OR(B31="",ISNUMBER(B31)),"","X")</f>
        <v>X</v>
      </c>
      <c r="K31">
        <v>30</v>
      </c>
    </row>
    <row r="32" spans="1:11" ht="15">
      <c r="A32" s="46" t="s">
        <v>811</v>
      </c>
      <c r="B32" s="47" t="str">
        <f>IF(A32="","",_xlfn.XLOOKUP(A32,ClubNames,ClubNumbers,_xlfn.XLOOKUP(A32,RoundRobinRiderNames,RoundRobinRiderDecoratedNames,A32)))</f>
        <v>Jasper Scarratt (Pedal Power Loughborough)</v>
      </c>
      <c r="C32" s="48"/>
      <c r="D32" s="49"/>
      <c r="E32" s="49"/>
      <c r="F32" s="49" t="s">
        <v>544</v>
      </c>
      <c r="G32" s="49"/>
      <c r="H32" s="50" t="str">
        <f>IF($B32="","",IF($J32="X",B32,CONCATENATE(VLOOKUP(B32,Competitors!$A$2:$I$650,3,FALSE)," ",VLOOKUP(B32,Competitors!$A$2:$I$650,2,FALSE))))</f>
        <v>Jasper Scarratt (Pedal Power Loughborough)</v>
      </c>
      <c r="I32" s="51">
        <f>IF(LEFT($F32,1)="D",UPPER($F32),(C32*3600+D32*60+E32)/86400)</f>
        <v>0</v>
      </c>
      <c r="J32" t="str">
        <f>IF(OR(B32="",ISNUMBER(B32)),"","X")</f>
        <v>X</v>
      </c>
      <c r="K32">
        <v>31</v>
      </c>
    </row>
    <row r="33" spans="1:11" ht="15">
      <c r="A33" s="46" t="s">
        <v>488</v>
      </c>
      <c r="B33" s="47" t="str">
        <f>IF(A33="","",_xlfn.XLOOKUP(A33,ClubNames,ClubNumbers,_xlfn.XLOOKUP(A33,RoundRobinRiderNames,RoundRobinRiderDecoratedNames,A33)))</f>
        <v>Sam Nettel (LFCC)</v>
      </c>
      <c r="C33" s="48"/>
      <c r="D33" s="49"/>
      <c r="E33" s="49"/>
      <c r="F33" s="49" t="s">
        <v>544</v>
      </c>
      <c r="G33" s="49"/>
      <c r="H33" s="50" t="str">
        <f>IF($B33="","",IF($J33="X",B33,CONCATENATE(VLOOKUP(B33,Competitors!$A$2:$I$650,3, FALSE)," ",VLOOKUP(B33,Competitors!$A$2:$I$650,2,FALSE))))</f>
        <v>Sam Nettel (LFCC)</v>
      </c>
      <c r="I33" s="51">
        <f>IF(LEFT($F33,1)="D",UPPER($F33),(C33*3600+D33*60+E33)/86400)</f>
        <v>0</v>
      </c>
      <c r="J33" t="str">
        <f>IF(OR(B33="",ISNUMBER(B33)),"","X")</f>
        <v>X</v>
      </c>
      <c r="K33">
        <v>32</v>
      </c>
    </row>
    <row r="34" spans="1:11" ht="15">
      <c r="A34" s="46" t="s">
        <v>789</v>
      </c>
      <c r="B34" s="47" t="str">
        <f>IF(A34="","",_xlfn.XLOOKUP(A34,ClubNames,ClubNumbers,_xlfn.XLOOKUP(A34,RoundRobinRiderNames,RoundRobinRiderDecoratedNames,A34)))</f>
        <v>Evan Collett (George Fox CS) (KCC)</v>
      </c>
      <c r="C34" s="48"/>
      <c r="D34" s="49"/>
      <c r="E34" s="49"/>
      <c r="F34" s="49" t="s">
        <v>544</v>
      </c>
      <c r="G34" s="49"/>
      <c r="H34" s="50" t="str">
        <f>IF($B34="","",IF($J34="X",B34,CONCATENATE(VLOOKUP(B34,Competitors!$A$2:$I$650,3,FALSE)," ",VLOOKUP(B34,Competitors!$A$2:$I$650,2,FALSE))))</f>
        <v>Evan Collett (George Fox CS) (KCC)</v>
      </c>
      <c r="I34" s="51">
        <f>IF(LEFT($F34,1)="D",UPPER($F34),(C34*3600+D34*60+E34)/86400)</f>
        <v>0</v>
      </c>
      <c r="J34" t="str">
        <f>IF(OR(B34="",ISNUMBER(B34)),"","X")</f>
        <v>X</v>
      </c>
      <c r="K34">
        <v>33</v>
      </c>
    </row>
    <row r="35" spans="1:11" ht="15">
      <c r="A35" s="46" t="s">
        <v>803</v>
      </c>
      <c r="B35" s="47" t="str">
        <f>IF(A35="","",_xlfn.XLOOKUP(A35,ClubNames,ClubNumbers,_xlfn.XLOOKUP(A35,RoundRobinRiderNames,RoundRobinRiderDecoratedNames,A35)))</f>
        <v>Nigel Tomlinson (RFW)</v>
      </c>
      <c r="C35" s="48"/>
      <c r="D35" s="49"/>
      <c r="E35" s="49"/>
      <c r="F35" s="49" t="s">
        <v>544</v>
      </c>
      <c r="G35" s="49"/>
      <c r="H35" s="50" t="str">
        <f>IF($B35="","",IF($J35="X",B35,CONCATENATE(VLOOKUP(B35,Competitors!$A$2:$I$650,3,FALSE)," ",VLOOKUP(B35,Competitors!$A$2:$I$650,2,FALSE))))</f>
        <v>Nigel Tomlinson (RFW)</v>
      </c>
      <c r="I35" s="51">
        <f>IF(LEFT($F35,1)="D",UPPER($F35),(C35*3600+D35*60+E35)/86400)</f>
        <v>0</v>
      </c>
      <c r="J35" t="str">
        <f>IF(OR(B35="",ISNUMBER(B35)),"","X")</f>
        <v>X</v>
      </c>
      <c r="K35">
        <v>34</v>
      </c>
    </row>
    <row r="36" spans="1:11" ht="15">
      <c r="A36" s="46" t="s">
        <v>412</v>
      </c>
      <c r="B36" s="47">
        <f>IF(A36="","",_xlfn.XLOOKUP(A36,ClubNames,ClubNumbers,_xlfn.XLOOKUP(A36,RoundRobinRiderNames,RoundRobinRiderDecoratedNames,A36)))</f>
        <v>1144</v>
      </c>
      <c r="C36" s="48"/>
      <c r="D36" s="49"/>
      <c r="E36" s="49"/>
      <c r="F36" s="49" t="s">
        <v>544</v>
      </c>
      <c r="G36" s="49"/>
      <c r="H36" s="50" t="str">
        <f>IF($B36="","",IF($J36="X",B36,CONCATENATE(VLOOKUP(B36,Competitors!$A$2:$I$650,3,FALSE)," ",VLOOKUP(B36,Competitors!$A$2:$I$650,2,FALSE))))</f>
        <v>Jamie Kershaw</v>
      </c>
      <c r="I36" s="51">
        <f>IF(LEFT($F36,1)="D",UPPER($F36),(C36*3600+D36*60+E36)/86400)</f>
        <v>0</v>
      </c>
      <c r="J36" t="str">
        <f>IF(OR(B36="",ISNUMBER(B36)),"","X")</f>
        <v/>
      </c>
      <c r="K36">
        <v>35</v>
      </c>
    </row>
    <row r="37" spans="1:11" ht="15">
      <c r="A37" s="46" t="s">
        <v>625</v>
      </c>
      <c r="B37" s="47" t="str">
        <f>IF(A37="","",_xlfn.XLOOKUP(A37,ClubNames,ClubNumbers,_xlfn.XLOOKUP(A37,RoundRobinRiderNames,RoundRobinRiderDecoratedNames,A37)))</f>
        <v>Ethan Mitchell-Clarke (Team Bottrill Nopinz) (RFW)</v>
      </c>
      <c r="C37" s="48"/>
      <c r="D37" s="49"/>
      <c r="E37" s="49"/>
      <c r="F37" s="49" t="s">
        <v>544</v>
      </c>
      <c r="G37" s="49"/>
      <c r="H37" s="50" t="str">
        <f>IF($B37="","",IF($J37="X",B37,CONCATENATE(VLOOKUP(B37,Competitors!$A$2:$I$650,3,FALSE)," ",VLOOKUP(B37,Competitors!$A$2:$I$650,2,FALSE))))</f>
        <v>Ethan Mitchell-Clarke (Team Bottrill Nopinz) (RFW)</v>
      </c>
      <c r="I37" s="51">
        <f>IF(LEFT($F37,1)="D",UPPER($F37),(C37*3600+D37*60+E37)/86400)</f>
        <v>0</v>
      </c>
      <c r="J37" t="str">
        <f>IF(OR(B37="",ISNUMBER(B37)),"","X")</f>
        <v>X</v>
      </c>
      <c r="K37">
        <v>37</v>
      </c>
    </row>
    <row r="38" spans="1:11" ht="15">
      <c r="A38" s="46" t="s">
        <v>816</v>
      </c>
      <c r="B38" s="47" t="str">
        <f>IF(A38="","",_xlfn.XLOOKUP(A38,ClubNames,ClubNumbers,_xlfn.XLOOKUP(A38,RoundRobinRiderNames,RoundRobinRiderDecoratedNames,A38)))</f>
        <v>Lukas Humplik (Beeston CC) (KCC)</v>
      </c>
      <c r="C38" s="48"/>
      <c r="D38" s="49"/>
      <c r="E38" s="49"/>
      <c r="F38" s="49" t="s">
        <v>544</v>
      </c>
      <c r="G38" s="49"/>
      <c r="H38" s="50" t="str">
        <f>IF($B38="","",IF($J38="X",B38,CONCATENATE(VLOOKUP(B38,Competitors!$A$2:$I$650,3,FALSE)," ",VLOOKUP(B38,Competitors!$A$2:$I$650,2,FALSE))))</f>
        <v>Lukas Humplik (Beeston CC) (KCC)</v>
      </c>
      <c r="I38" s="51">
        <f>IF(LEFT($F38,1)="D",UPPER($F38),(C38*3600+D38*60+E38)/86400)</f>
        <v>0</v>
      </c>
      <c r="J38" t="str">
        <f>IF(OR(B38="",ISNUMBER(B38)),"","X")</f>
        <v>X</v>
      </c>
      <c r="K38">
        <v>38</v>
      </c>
    </row>
    <row r="39" spans="1:11" ht="15">
      <c r="A39" s="46" t="s">
        <v>517</v>
      </c>
      <c r="B39" s="47" t="str">
        <f>IF(A39="","",_xlfn.XLOOKUP(A39,ClubNames,ClubNumbers,_xlfn.XLOOKUP(A39,RoundRobinRiderNames,RoundRobinRiderDecoratedNames,A39)))</f>
        <v>Chris Fowler (RFW)</v>
      </c>
      <c r="C39" s="48"/>
      <c r="D39" s="49"/>
      <c r="E39" s="49"/>
      <c r="F39" s="49" t="s">
        <v>544</v>
      </c>
      <c r="G39" s="49"/>
      <c r="H39" s="50" t="str">
        <f>IF($B39="","",IF($J39="X",B39,CONCATENATE(VLOOKUP(B39,Competitors!$A$2:$I$650,3,FALSE)," ",VLOOKUP(B39,Competitors!$A$2:$I$650,2,FALSE))))</f>
        <v>Chris Fowler (RFW)</v>
      </c>
      <c r="I39" s="51">
        <f>IF(LEFT($F39,1)="D",UPPER($F39),(C39*3600+D39*60+E39)/86400)</f>
        <v>0</v>
      </c>
      <c r="J39" t="str">
        <f>IF(OR(B39="",ISNUMBER(B39)),"","X")</f>
        <v>X</v>
      </c>
      <c r="K39">
        <v>39</v>
      </c>
    </row>
    <row r="40" spans="1:11" ht="15">
      <c r="A40" s="46" t="s">
        <v>812</v>
      </c>
      <c r="B40" s="47" t="str">
        <f>IF(A40="","",_xlfn.XLOOKUP(A40,ClubNames,ClubNumbers,_xlfn.XLOOKUP(A40,RoundRobinRiderNames,RoundRobinRiderDecoratedNames,A40)))</f>
        <v>Ondrej Humplik (KCC)</v>
      </c>
      <c r="C40" s="48"/>
      <c r="D40" s="49"/>
      <c r="E40" s="49"/>
      <c r="F40" s="49" t="s">
        <v>544</v>
      </c>
      <c r="G40" s="49"/>
      <c r="H40" s="50" t="str">
        <f>IF($B40="","",IF($J40="X",B40,CONCATENATE(VLOOKUP(B40,Competitors!$A$2:$I$650,3,FALSE)," ",VLOOKUP(B40,Competitors!$A$2:$I$650,2,FALSE))))</f>
        <v>Ondrej Humplik (KCC)</v>
      </c>
      <c r="I40" s="51">
        <f>IF(LEFT($F40,1)="D",UPPER($F40),(C40*3600+D40*60+E40)/86400)</f>
        <v>0</v>
      </c>
      <c r="J40" t="str">
        <f>IF(OR(B40="",ISNUMBER(B40)),"","X")</f>
        <v>X</v>
      </c>
      <c r="K40">
        <v>40</v>
      </c>
    </row>
    <row r="41" spans="1:11" ht="15">
      <c r="A41" s="46" t="s">
        <v>809</v>
      </c>
      <c r="B41" s="47" t="str">
        <f>IF(A41="","",_xlfn.XLOOKUP(A41,ClubNames,ClubNumbers,_xlfn.XLOOKUP(A41,RoundRobinRiderNames,RoundRobinRiderDecoratedNames,A41)))</f>
        <v>Dave Cunningham (KCC)</v>
      </c>
      <c r="C41" s="48"/>
      <c r="D41" s="49"/>
      <c r="E41" s="49"/>
      <c r="F41" s="49" t="s">
        <v>544</v>
      </c>
      <c r="G41" s="49"/>
      <c r="H41" s="50" t="str">
        <f>IF($B41="","",IF($J41="X",B41,CONCATENATE(VLOOKUP(B41,Competitors!$A$2:$I$650,3,FALSE)," ",VLOOKUP(B41,Competitors!$A$2:$I$650,2,FALSE))))</f>
        <v>Dave Cunningham (KCC)</v>
      </c>
      <c r="I41" s="51">
        <f>IF(LEFT($F41,1)="D",UPPER($F41),(C41*3600+D41*60+E41)/86400)</f>
        <v>0</v>
      </c>
      <c r="J41" t="str">
        <f>IF(OR(B41="",ISNUMBER(B41)),"","X")</f>
        <v>X</v>
      </c>
      <c r="K41">
        <v>41</v>
      </c>
    </row>
    <row r="42" spans="1:11" ht="15">
      <c r="A42" s="46" t="s">
        <v>797</v>
      </c>
      <c r="B42" s="47" t="str">
        <f>IF(A42="","",_xlfn.XLOOKUP(A42,ClubNames,ClubNumbers,_xlfn.XLOOKUP(A42,RoundRobinRiderNames,RoundRobinRiderDecoratedNames,A42)))</f>
        <v>Jake Bird (Beeston CC) (KCC)</v>
      </c>
      <c r="C42" s="48"/>
      <c r="D42" s="49"/>
      <c r="E42" s="49"/>
      <c r="F42" s="49" t="s">
        <v>544</v>
      </c>
      <c r="G42" s="49"/>
      <c r="H42" s="50" t="str">
        <f>IF($B42="","",IF($J42="X",B42,CONCATENATE(VLOOKUP(B42,Competitors!$A$2:$I$650,3,FALSE)," ",VLOOKUP(B42,Competitors!$A$2:$I$650,2,FALSE))))</f>
        <v>Jake Bird (Beeston CC) (KCC)</v>
      </c>
      <c r="I42" s="51">
        <f>IF(LEFT($F42,1)="D",UPPER($F42),(C42*3600+D42*60+E42)/86400)</f>
        <v>0</v>
      </c>
      <c r="J42" t="str">
        <f>IF(OR(B42="",ISNUMBER(B42)),"","X")</f>
        <v>X</v>
      </c>
      <c r="K42">
        <v>42</v>
      </c>
    </row>
    <row r="43" spans="1:11" ht="15">
      <c r="A43" s="46" t="s">
        <v>589</v>
      </c>
      <c r="B43" s="47" t="str">
        <f>IF(A43="","",_xlfn.XLOOKUP(A43,ClubNames,ClubNumbers,_xlfn.XLOOKUP(A43,RoundRobinRiderNames,RoundRobinRiderDecoratedNames,A43)))</f>
        <v>Alex Barrowman (RFW)</v>
      </c>
      <c r="C43" s="48"/>
      <c r="D43" s="49"/>
      <c r="E43" s="49"/>
      <c r="F43" s="49" t="s">
        <v>544</v>
      </c>
      <c r="G43" s="49"/>
      <c r="H43" s="50" t="str">
        <f>IF($B43="","",IF($J43="X",B43,CONCATENATE(VLOOKUP(B43,Competitors!$A$2:$I$650,3,FALSE)," ",VLOOKUP(B43,Competitors!$A$2:$I$650,2,FALSE))))</f>
        <v>Alex Barrowman (RFW)</v>
      </c>
      <c r="I43" s="51">
        <f>IF(LEFT($F43,1)="D",UPPER($F43),(C43*3600+D43*60+E43)/86400)</f>
        <v>0</v>
      </c>
      <c r="J43" t="str">
        <f>IF(OR(B43="",ISNUMBER(B43)),"","X")</f>
        <v>X</v>
      </c>
      <c r="K43">
        <v>43</v>
      </c>
    </row>
    <row r="44" spans="1:11" ht="15">
      <c r="A44" s="46" t="s">
        <v>806</v>
      </c>
      <c r="B44" s="47" t="str">
        <f>IF(A44="","",_xlfn.XLOOKUP(A44,ClubNames,ClubNumbers,_xlfn.XLOOKUP(A44,RoundRobinRiderNames,RoundRobinRiderDecoratedNames,A44)))</f>
        <v>Michael Cowland (KCC)</v>
      </c>
      <c r="C44" s="48"/>
      <c r="D44" s="49"/>
      <c r="E44" s="49"/>
      <c r="F44" s="49" t="s">
        <v>544</v>
      </c>
      <c r="G44" s="49"/>
      <c r="H44" s="50" t="str">
        <f>IF($B44="","",IF($J44="X",B44,CONCATENATE(VLOOKUP(B44,Competitors!$A$2:$I$650,3,FALSE)," ",VLOOKUP(B44,Competitors!$A$2:$I$650,2,FALSE))))</f>
        <v>Michael Cowland (KCC)</v>
      </c>
      <c r="I44" s="51">
        <f>IF(LEFT($F44,1)="D",UPPER($F44),(C44*3600+D44*60+E44)/86400)</f>
        <v>0</v>
      </c>
      <c r="J44" t="str">
        <f>IF(OR(B44="",ISNUMBER(B44)),"","X")</f>
        <v>X</v>
      </c>
      <c r="K44">
        <v>44</v>
      </c>
    </row>
    <row r="45" spans="1:11" ht="15">
      <c r="A45" s="46" t="s">
        <v>794</v>
      </c>
      <c r="B45" s="47" t="str">
        <f t="shared" ref="B34:B97" si="0">IF(A45="","",_xlfn.XLOOKUP(A45,ClubNames,ClubNumbers,_xlfn.XLOOKUP(A45,RoundRobinRiderNames,RoundRobinRiderDecoratedNames,A45)))</f>
        <v>Simon Addy (RFW)</v>
      </c>
      <c r="C45" s="48"/>
      <c r="D45" s="49"/>
      <c r="E45" s="49"/>
      <c r="F45" s="49" t="s">
        <v>544</v>
      </c>
      <c r="G45" s="49"/>
      <c r="H45" s="50" t="str">
        <f>IF($B45="","",IF($J45="X",B45,CONCATENATE(VLOOKUP(B45,Competitors!$A$2:$I$650,3,FALSE)," ",VLOOKUP(B45,Competitors!$A$2:$I$650,2,FALSE))))</f>
        <v>Simon Addy (RFW)</v>
      </c>
      <c r="I45" s="51">
        <f t="shared" ref="I2:I65" si="1">IF(LEFT($F45,1)="D",UPPER($F45),(C45*3600+D45*60+E45)/86400)</f>
        <v>0</v>
      </c>
      <c r="J45" t="str">
        <f>IF(OR(B45="",ISNUMBER(B45)),"","X")</f>
        <v>X</v>
      </c>
    </row>
    <row r="46" spans="1:11" ht="15">
      <c r="A46" s="46"/>
      <c r="B46" s="47" t="str">
        <f t="shared" si="0"/>
        <v/>
      </c>
      <c r="C46" s="48"/>
      <c r="D46" s="49"/>
      <c r="E46" s="49"/>
      <c r="F46" s="49"/>
      <c r="G46" s="49"/>
      <c r="H46" s="50" t="str">
        <f>IF($B46="","",IF($J46="X",B46,CONCATENATE(VLOOKUP(B46,Competitors!$A$2:$I$650,3,FALSE)," ",VLOOKUP(B46,Competitors!$A$2:$I$650,2,FALSE))))</f>
        <v/>
      </c>
      <c r="I46" s="51">
        <f t="shared" si="1"/>
        <v>0</v>
      </c>
      <c r="J46" t="str">
        <f>IF(OR(B46="",ISNUMBER(B46)),"","X")</f>
        <v/>
      </c>
    </row>
    <row r="47" spans="1:11" ht="15">
      <c r="A47" s="46"/>
      <c r="B47" s="47" t="str">
        <f t="shared" si="0"/>
        <v/>
      </c>
      <c r="C47" s="48"/>
      <c r="D47" s="49"/>
      <c r="E47" s="49"/>
      <c r="F47" s="49"/>
      <c r="G47" s="49"/>
      <c r="H47" s="50" t="str">
        <f>IF($B47="","",IF($J47="X",B47,CONCATENATE(VLOOKUP(B47,Competitors!$A$2:$I$650,3,FALSE)," ",VLOOKUP(B47,Competitors!$A$2:$I$650,2,FALSE))))</f>
        <v/>
      </c>
      <c r="I47" s="51">
        <f t="shared" si="1"/>
        <v>0</v>
      </c>
      <c r="J47" t="str">
        <f>IF(OR(B47="",ISNUMBER(B47)),"","X")</f>
        <v/>
      </c>
    </row>
    <row r="48" spans="1:11" ht="15">
      <c r="A48" s="46"/>
      <c r="B48" s="47" t="str">
        <f t="shared" si="0"/>
        <v/>
      </c>
      <c r="C48" s="48"/>
      <c r="D48" s="49"/>
      <c r="E48" s="49"/>
      <c r="F48" s="49"/>
      <c r="G48" s="49"/>
      <c r="H48" s="50" t="str">
        <f>IF($B48="","",IF($J48="X",B48,CONCATENATE(VLOOKUP(B48,Competitors!$A$2:$I$650,3,FALSE)," ",VLOOKUP(B48,Competitors!$A$2:$I$650,2,FALSE))))</f>
        <v/>
      </c>
      <c r="I48" s="51">
        <f t="shared" si="1"/>
        <v>0</v>
      </c>
      <c r="J48" t="str">
        <f>IF(OR(B48="",ISNUMBER(B48)),"","X")</f>
        <v/>
      </c>
    </row>
    <row r="49" spans="1:10" ht="15">
      <c r="A49" s="46"/>
      <c r="B49" s="47" t="str">
        <f t="shared" si="0"/>
        <v/>
      </c>
      <c r="C49" s="48"/>
      <c r="D49" s="49"/>
      <c r="E49" s="49"/>
      <c r="F49" s="49"/>
      <c r="G49" s="49"/>
      <c r="H49" s="50" t="str">
        <f>IF($B49="","",IF($J49="X",B49,CONCATENATE(VLOOKUP(B49,Competitors!$A$2:$I$650,3,FALSE)," ",VLOOKUP(B49,Competitors!$A$2:$I$650,2,FALSE))))</f>
        <v/>
      </c>
      <c r="I49" s="51">
        <f t="shared" si="1"/>
        <v>0</v>
      </c>
      <c r="J49" t="str">
        <f>IF(OR(B49="",ISNUMBER(B49)),"","X")</f>
        <v/>
      </c>
    </row>
    <row r="50" spans="1:10" ht="15">
      <c r="A50" s="46"/>
      <c r="B50" s="47" t="str">
        <f t="shared" si="0"/>
        <v/>
      </c>
      <c r="C50" s="48"/>
      <c r="D50" s="49"/>
      <c r="E50" s="49"/>
      <c r="F50" s="49"/>
      <c r="G50" s="49"/>
      <c r="H50" s="50" t="str">
        <f>IF($B50="","",IF($J50="X",B50,CONCATENATE(VLOOKUP(B50,Competitors!$A$2:$I$650,3,FALSE)," ",VLOOKUP(B50,Competitors!$A$2:$I$650,2,FALSE))))</f>
        <v/>
      </c>
      <c r="I50" s="51">
        <f t="shared" si="1"/>
        <v>0</v>
      </c>
      <c r="J50" t="str">
        <f>IF(OR(B50="",ISNUMBER(B50)),"","X")</f>
        <v/>
      </c>
    </row>
    <row r="51" spans="1:10" ht="15">
      <c r="A51" s="46"/>
      <c r="B51" s="47" t="str">
        <f t="shared" si="0"/>
        <v/>
      </c>
      <c r="C51" s="48"/>
      <c r="D51" s="49"/>
      <c r="E51" s="49"/>
      <c r="F51" s="49"/>
      <c r="G51" s="49"/>
      <c r="H51" s="50" t="str">
        <f>IF($B51="","",IF($J51="X",B51,CONCATENATE(VLOOKUP(B51,Competitors!$A$2:$I$650,3,FALSE)," ",VLOOKUP(B51,Competitors!$A$2:$I$650,2,FALSE))))</f>
        <v/>
      </c>
      <c r="I51" s="51">
        <f t="shared" si="1"/>
        <v>0</v>
      </c>
      <c r="J51" t="str">
        <f>IF(OR(B51="",ISNUMBER(B51)),"","X")</f>
        <v/>
      </c>
    </row>
    <row r="52" spans="1:10" ht="15">
      <c r="A52" s="46"/>
      <c r="B52" s="47" t="str">
        <f t="shared" si="0"/>
        <v/>
      </c>
      <c r="C52" s="48"/>
      <c r="D52" s="49"/>
      <c r="E52" s="49"/>
      <c r="F52" s="49"/>
      <c r="G52" s="49"/>
      <c r="H52" s="50" t="str">
        <f>IF($B52="","",IF($J52="X",B52,CONCATENATE(VLOOKUP(B52,Competitors!$A$2:$I$650,3,FALSE)," ",VLOOKUP(B52,Competitors!$A$2:$I$650,2,FALSE))))</f>
        <v/>
      </c>
      <c r="I52" s="51">
        <f t="shared" si="1"/>
        <v>0</v>
      </c>
      <c r="J52" t="str">
        <f>IF(OR(B52="",ISNUMBER(B52)),"","X")</f>
        <v/>
      </c>
    </row>
    <row r="53" spans="1:10" ht="15">
      <c r="A53" s="46"/>
      <c r="B53" s="47" t="str">
        <f t="shared" si="0"/>
        <v/>
      </c>
      <c r="C53" s="48"/>
      <c r="D53" s="49"/>
      <c r="E53" s="49"/>
      <c r="F53" s="49"/>
      <c r="G53" s="49"/>
      <c r="H53" s="50" t="str">
        <f>IF($B53="","",IF($J53="X",B53,CONCATENATE(VLOOKUP(B53,Competitors!$A$2:$I$650,3,FALSE)," ",VLOOKUP(B53,Competitors!$A$2:$I$650,2,FALSE))))</f>
        <v/>
      </c>
      <c r="I53" s="51">
        <f t="shared" si="1"/>
        <v>0</v>
      </c>
      <c r="J53" t="str">
        <f>IF(OR(B53="",ISNUMBER(B53)),"","X")</f>
        <v/>
      </c>
    </row>
    <row r="54" spans="1:10" ht="15">
      <c r="A54" s="46"/>
      <c r="B54" s="47" t="str">
        <f t="shared" si="0"/>
        <v/>
      </c>
      <c r="C54" s="48"/>
      <c r="D54" s="49"/>
      <c r="E54" s="49"/>
      <c r="F54" s="49"/>
      <c r="G54" s="49"/>
      <c r="H54" s="50" t="str">
        <f>IF($B54="","",IF($J54="X",B54,CONCATENATE(VLOOKUP(B54,Competitors!$A$2:$I$650,3,FALSE)," ",VLOOKUP(B54,Competitors!$A$2:$I$650,2,FALSE))))</f>
        <v/>
      </c>
      <c r="I54" s="51">
        <f t="shared" si="1"/>
        <v>0</v>
      </c>
      <c r="J54" t="str">
        <f>IF(OR(B54="",ISNUMBER(B54)),"","X")</f>
        <v/>
      </c>
    </row>
    <row r="55" spans="1:10" ht="15">
      <c r="A55" s="46"/>
      <c r="B55" s="47" t="str">
        <f t="shared" si="0"/>
        <v/>
      </c>
      <c r="C55" s="48"/>
      <c r="D55" s="49"/>
      <c r="E55" s="49"/>
      <c r="F55" s="49"/>
      <c r="G55" s="49"/>
      <c r="H55" s="50" t="str">
        <f>IF($B55="","",IF($J55="X",B55,CONCATENATE(VLOOKUP(B55,Competitors!$A$2:$I$650,3,FALSE)," ",VLOOKUP(B55,Competitors!$A$2:$I$650,2,FALSE))))</f>
        <v/>
      </c>
      <c r="I55" s="51">
        <f t="shared" si="1"/>
        <v>0</v>
      </c>
      <c r="J55" t="str">
        <f>IF(OR(B55="",ISNUMBER(B55)),"","X")</f>
        <v/>
      </c>
    </row>
    <row r="56" spans="1:10" ht="15">
      <c r="A56" s="46"/>
      <c r="B56" s="47" t="str">
        <f t="shared" si="0"/>
        <v/>
      </c>
      <c r="C56" s="48"/>
      <c r="D56" s="49"/>
      <c r="E56" s="49"/>
      <c r="F56" s="49"/>
      <c r="G56" s="49"/>
      <c r="H56" s="50" t="str">
        <f>IF($B56="","",IF($J56="X",B56,CONCATENATE(VLOOKUP(B56,Competitors!$A$2:$I$650,3,FALSE)," ",VLOOKUP(B56,Competitors!$A$2:$I$650,2,FALSE))))</f>
        <v/>
      </c>
      <c r="I56" s="51">
        <f t="shared" si="1"/>
        <v>0</v>
      </c>
      <c r="J56" t="str">
        <f>IF(OR(B56="",ISNUMBER(B56)),"","X")</f>
        <v/>
      </c>
    </row>
    <row r="57" spans="1:10" ht="15">
      <c r="A57" s="46"/>
      <c r="B57" s="47" t="str">
        <f t="shared" si="0"/>
        <v/>
      </c>
      <c r="C57" s="48"/>
      <c r="D57" s="49"/>
      <c r="E57" s="49"/>
      <c r="F57" s="49"/>
      <c r="G57" s="49"/>
      <c r="H57" s="50" t="str">
        <f>IF($B57="","",IF($J57="X",B57,CONCATENATE(VLOOKUP(B57,Competitors!$A$2:$I$650,3,FALSE)," ",VLOOKUP(B57,Competitors!$A$2:$I$650,2,FALSE))))</f>
        <v/>
      </c>
      <c r="I57" s="51">
        <f t="shared" si="1"/>
        <v>0</v>
      </c>
      <c r="J57" t="str">
        <f>IF(OR(B57="",ISNUMBER(B57)),"","X")</f>
        <v/>
      </c>
    </row>
    <row r="58" spans="1:10" ht="15">
      <c r="A58" s="46"/>
      <c r="B58" s="47" t="str">
        <f t="shared" si="0"/>
        <v/>
      </c>
      <c r="C58" s="48"/>
      <c r="D58" s="49"/>
      <c r="E58" s="49"/>
      <c r="F58" s="49"/>
      <c r="G58" s="49"/>
      <c r="H58" s="50" t="str">
        <f>IF($B58="","",IF($J58="X",B58,CONCATENATE(VLOOKUP(B58,Competitors!$A$2:$I$650,3,FALSE)," ",VLOOKUP(B58,Competitors!$A$2:$I$650,2,FALSE))))</f>
        <v/>
      </c>
      <c r="I58" s="51">
        <f t="shared" si="1"/>
        <v>0</v>
      </c>
      <c r="J58" t="str">
        <f>IF(OR(B58="",ISNUMBER(B58)),"","X")</f>
        <v/>
      </c>
    </row>
    <row r="59" spans="1:10" ht="15">
      <c r="A59" s="46"/>
      <c r="B59" s="47" t="str">
        <f t="shared" si="0"/>
        <v/>
      </c>
      <c r="C59" s="48"/>
      <c r="D59" s="49"/>
      <c r="E59" s="49"/>
      <c r="F59" s="49"/>
      <c r="G59" s="49"/>
      <c r="H59" s="50" t="str">
        <f>IF($B59="","",IF($J59="X",B59,CONCATENATE(VLOOKUP(B59,Competitors!$A$2:$I$650,3,FALSE)," ",VLOOKUP(B59,Competitors!$A$2:$I$650,2,FALSE))))</f>
        <v/>
      </c>
      <c r="I59" s="51">
        <f t="shared" si="1"/>
        <v>0</v>
      </c>
      <c r="J59" t="str">
        <f>IF(OR(B59="",ISNUMBER(B59)),"","X")</f>
        <v/>
      </c>
    </row>
    <row r="60" spans="1:10" ht="15">
      <c r="A60" s="46"/>
      <c r="B60" s="47" t="str">
        <f t="shared" si="0"/>
        <v/>
      </c>
      <c r="C60" s="48"/>
      <c r="D60" s="49"/>
      <c r="E60" s="49"/>
      <c r="F60" s="49"/>
      <c r="G60" s="49"/>
      <c r="H60" s="50" t="str">
        <f>IF($B60="","",IF($J60="X",B60,CONCATENATE(VLOOKUP(B60,Competitors!$A$2:$I$650,3,FALSE)," ",VLOOKUP(B60,Competitors!$A$2:$I$650,2,FALSE))))</f>
        <v/>
      </c>
      <c r="I60" s="51">
        <f t="shared" si="1"/>
        <v>0</v>
      </c>
      <c r="J60" t="str">
        <f>IF(OR(B60="",ISNUMBER(B60)),"","X")</f>
        <v/>
      </c>
    </row>
    <row r="61" spans="1:10" ht="15">
      <c r="A61" s="46"/>
      <c r="B61" s="47" t="str">
        <f t="shared" si="0"/>
        <v/>
      </c>
      <c r="C61" s="48"/>
      <c r="D61" s="49"/>
      <c r="E61" s="49"/>
      <c r="F61" s="49"/>
      <c r="G61" s="49"/>
      <c r="H61" s="50" t="str">
        <f>IF($B61="","",IF($J61="X",B61,CONCATENATE(VLOOKUP(B61,Competitors!$A$2:$I$650,3,FALSE)," ",VLOOKUP(B61,Competitors!$A$2:$I$650,2,FALSE))))</f>
        <v/>
      </c>
      <c r="I61" s="51">
        <f t="shared" si="1"/>
        <v>0</v>
      </c>
      <c r="J61" t="str">
        <f>IF(OR(B61="",ISNUMBER(B61)),"","X")</f>
        <v/>
      </c>
    </row>
    <row r="62" spans="1:10" ht="15">
      <c r="A62" s="46"/>
      <c r="B62" s="47" t="str">
        <f t="shared" si="0"/>
        <v/>
      </c>
      <c r="C62" s="48"/>
      <c r="D62" s="49"/>
      <c r="E62" s="49"/>
      <c r="F62" s="49"/>
      <c r="G62" s="49"/>
      <c r="H62" s="50" t="str">
        <f>IF($B62="","",IF($J62="X",B62,CONCATENATE(VLOOKUP(B62,Competitors!$A$2:$I$650,3,FALSE)," ",VLOOKUP(B62,Competitors!$A$2:$I$650,2,FALSE))))</f>
        <v/>
      </c>
      <c r="I62" s="51">
        <f t="shared" si="1"/>
        <v>0</v>
      </c>
      <c r="J62" t="str">
        <f>IF(OR(B62="",ISNUMBER(B62)),"","X")</f>
        <v/>
      </c>
    </row>
    <row r="63" spans="1:10" ht="15">
      <c r="A63" s="46"/>
      <c r="B63" s="47" t="str">
        <f t="shared" si="0"/>
        <v/>
      </c>
      <c r="C63" s="48"/>
      <c r="D63" s="49"/>
      <c r="E63" s="49"/>
      <c r="F63" s="49"/>
      <c r="G63" s="49"/>
      <c r="H63" s="50" t="str">
        <f>IF($B63="","",IF($J63="X",B63,CONCATENATE(VLOOKUP(B63,Competitors!$A$2:$I$650,3,FALSE)," ",VLOOKUP(B63,Competitors!$A$2:$I$650,2,FALSE))))</f>
        <v/>
      </c>
      <c r="I63" s="51">
        <f t="shared" si="1"/>
        <v>0</v>
      </c>
      <c r="J63" t="str">
        <f>IF(OR(B63="",ISNUMBER(B63)),"","X")</f>
        <v/>
      </c>
    </row>
    <row r="64" spans="1:10" ht="15">
      <c r="A64" s="46"/>
      <c r="B64" s="47" t="str">
        <f t="shared" si="0"/>
        <v/>
      </c>
      <c r="C64" s="48"/>
      <c r="D64" s="49"/>
      <c r="E64" s="49"/>
      <c r="F64" s="49"/>
      <c r="G64" s="49"/>
      <c r="H64" s="50" t="str">
        <f>IF($B64="","",IF($J64="X",B64,CONCATENATE(VLOOKUP(B64,Competitors!$A$2:$I$650,3,FALSE)," ",VLOOKUP(B64,Competitors!$A$2:$I$650,2,FALSE))))</f>
        <v/>
      </c>
      <c r="I64" s="51">
        <f t="shared" si="1"/>
        <v>0</v>
      </c>
      <c r="J64" t="str">
        <f>IF(OR(B64="",ISNUMBER(B64)),"","X")</f>
        <v/>
      </c>
    </row>
    <row r="65" spans="1:10" ht="15">
      <c r="A65" s="46"/>
      <c r="B65" s="47" t="str">
        <f t="shared" si="0"/>
        <v/>
      </c>
      <c r="C65" s="48"/>
      <c r="D65" s="49"/>
      <c r="E65" s="49"/>
      <c r="F65" s="49"/>
      <c r="G65" s="49"/>
      <c r="H65" s="50" t="str">
        <f>IF($B65="","",IF($J65="X",B65,CONCATENATE(VLOOKUP(B65,Competitors!$A$2:$I$650,3,FALSE)," ",VLOOKUP(B65,Competitors!$A$2:$I$650,2,FALSE))))</f>
        <v/>
      </c>
      <c r="I65" s="51">
        <f t="shared" si="1"/>
        <v>0</v>
      </c>
      <c r="J65" t="str">
        <f>IF(OR(B65="",ISNUMBER(B65)),"","X")</f>
        <v/>
      </c>
    </row>
    <row r="66" spans="1:10" ht="15">
      <c r="A66" s="46"/>
      <c r="B66" s="47" t="str">
        <f t="shared" si="0"/>
        <v/>
      </c>
      <c r="C66" s="48"/>
      <c r="D66" s="49"/>
      <c r="E66" s="49"/>
      <c r="F66" s="49"/>
      <c r="G66" s="49"/>
      <c r="H66" s="50" t="str">
        <f>IF($B66="","",IF($J66="X",B66,CONCATENATE(VLOOKUP(B66,Competitors!$A$2:$I$650,3,FALSE)," ",VLOOKUP(B66,Competitors!$A$2:$I$650,2,FALSE))))</f>
        <v/>
      </c>
      <c r="I66" s="51">
        <f t="shared" ref="I66:I101" si="2">IF(LEFT($F66,1)="D",UPPER($F66),(C66*3600+D66*60+E66)/86400)</f>
        <v>0</v>
      </c>
      <c r="J66" t="str">
        <f t="shared" ref="J66:J101" si="3">IF(OR(B66="",ISNUMBER(B66)),"","X")</f>
        <v/>
      </c>
    </row>
    <row r="67" spans="1:10" ht="15">
      <c r="A67" s="46"/>
      <c r="B67" s="47" t="str">
        <f t="shared" si="0"/>
        <v/>
      </c>
      <c r="C67" s="48"/>
      <c r="D67" s="49"/>
      <c r="E67" s="49"/>
      <c r="F67" s="49"/>
      <c r="G67" s="49"/>
      <c r="H67" s="50" t="str">
        <f>IF($B67="","",IF($J67="X",B67,CONCATENATE(VLOOKUP(B67,Competitors!$A$2:$I$650,3,FALSE)," ",VLOOKUP(B67,Competitors!$A$2:$I$650,2,FALSE))))</f>
        <v/>
      </c>
      <c r="I67" s="51">
        <f t="shared" si="2"/>
        <v>0</v>
      </c>
      <c r="J67" t="str">
        <f t="shared" si="3"/>
        <v/>
      </c>
    </row>
    <row r="68" spans="1:10" ht="15">
      <c r="A68" s="46"/>
      <c r="B68" s="47" t="str">
        <f t="shared" si="0"/>
        <v/>
      </c>
      <c r="C68" s="48"/>
      <c r="D68" s="49"/>
      <c r="E68" s="49"/>
      <c r="F68" s="49"/>
      <c r="G68" s="49"/>
      <c r="H68" s="50" t="str">
        <f>IF($B68="","",IF($J68="X",B68,CONCATENATE(VLOOKUP(B68,Competitors!$A$2:$I$650,3,FALSE)," ",VLOOKUP(B68,Competitors!$A$2:$I$650,2,FALSE))))</f>
        <v/>
      </c>
      <c r="I68" s="51">
        <f t="shared" si="2"/>
        <v>0</v>
      </c>
      <c r="J68" t="str">
        <f t="shared" si="3"/>
        <v/>
      </c>
    </row>
    <row r="69" spans="1:10" ht="15">
      <c r="A69" s="46"/>
      <c r="B69" s="47" t="str">
        <f t="shared" si="0"/>
        <v/>
      </c>
      <c r="C69" s="48"/>
      <c r="D69" s="49"/>
      <c r="E69" s="49"/>
      <c r="F69" s="49"/>
      <c r="G69" s="49"/>
      <c r="H69" s="50" t="str">
        <f>IF($B69="","",IF($J69="X",B69,CONCATENATE(VLOOKUP(B69,Competitors!$A$2:$I$650,3,FALSE)," ",VLOOKUP(B69,Competitors!$A$2:$I$650,2,FALSE))))</f>
        <v/>
      </c>
      <c r="I69" s="51">
        <f t="shared" si="2"/>
        <v>0</v>
      </c>
      <c r="J69" t="str">
        <f t="shared" si="3"/>
        <v/>
      </c>
    </row>
    <row r="70" spans="1:10" ht="15">
      <c r="A70" s="46"/>
      <c r="B70" s="47" t="str">
        <f t="shared" si="0"/>
        <v/>
      </c>
      <c r="C70" s="48"/>
      <c r="D70" s="49"/>
      <c r="E70" s="49"/>
      <c r="F70" s="49"/>
      <c r="G70" s="49"/>
      <c r="H70" s="50" t="str">
        <f>IF($B70="","",IF($J70="X",B70,CONCATENATE(VLOOKUP(B70,Competitors!$A$2:$I$650,3,FALSE)," ",VLOOKUP(B70,Competitors!$A$2:$I$650,2,FALSE))))</f>
        <v/>
      </c>
      <c r="I70" s="51">
        <f t="shared" si="2"/>
        <v>0</v>
      </c>
      <c r="J70" t="str">
        <f t="shared" si="3"/>
        <v/>
      </c>
    </row>
    <row r="71" spans="1:10" ht="15">
      <c r="A71" s="46"/>
      <c r="B71" s="47" t="str">
        <f t="shared" si="0"/>
        <v/>
      </c>
      <c r="C71" s="48"/>
      <c r="D71" s="49"/>
      <c r="E71" s="49"/>
      <c r="F71" s="49"/>
      <c r="G71" s="49"/>
      <c r="H71" s="50" t="str">
        <f>IF($B71="","",IF($J71="X",B71,CONCATENATE(VLOOKUP(B71,Competitors!$A$2:$I$650,3,FALSE)," ",VLOOKUP(B71,Competitors!$A$2:$I$650,2,FALSE))))</f>
        <v/>
      </c>
      <c r="I71" s="51">
        <f t="shared" si="2"/>
        <v>0</v>
      </c>
      <c r="J71" t="str">
        <f t="shared" si="3"/>
        <v/>
      </c>
    </row>
    <row r="72" spans="1:10" ht="15">
      <c r="A72" s="46"/>
      <c r="B72" s="47" t="str">
        <f t="shared" si="0"/>
        <v/>
      </c>
      <c r="C72" s="48"/>
      <c r="D72" s="49"/>
      <c r="E72" s="49"/>
      <c r="F72" s="49"/>
      <c r="G72" s="49"/>
      <c r="H72" s="50" t="str">
        <f>IF($B72="","",IF($J72="X",B72,CONCATENATE(VLOOKUP(B72,Competitors!$A$2:$I$650,3,FALSE)," ",VLOOKUP(B72,Competitors!$A$2:$I$650,2,FALSE))))</f>
        <v/>
      </c>
      <c r="I72" s="51">
        <f t="shared" si="2"/>
        <v>0</v>
      </c>
      <c r="J72" t="str">
        <f t="shared" si="3"/>
        <v/>
      </c>
    </row>
    <row r="73" spans="1:10" ht="15">
      <c r="A73" s="46"/>
      <c r="B73" s="47" t="str">
        <f t="shared" si="0"/>
        <v/>
      </c>
      <c r="C73" s="48"/>
      <c r="D73" s="49"/>
      <c r="E73" s="49"/>
      <c r="F73" s="49"/>
      <c r="G73" s="49"/>
      <c r="H73" s="50" t="str">
        <f>IF($B73="","",IF($J73="X",B73,CONCATENATE(VLOOKUP(B73,Competitors!$A$2:$I$650,3,FALSE)," ",VLOOKUP(B73,Competitors!$A$2:$I$650,2,FALSE))))</f>
        <v/>
      </c>
      <c r="I73" s="51">
        <f t="shared" si="2"/>
        <v>0</v>
      </c>
      <c r="J73" t="str">
        <f t="shared" si="3"/>
        <v/>
      </c>
    </row>
    <row r="74" spans="1:10" ht="15">
      <c r="A74" s="46"/>
      <c r="B74" s="47" t="str">
        <f t="shared" si="0"/>
        <v/>
      </c>
      <c r="C74" s="48"/>
      <c r="D74" s="49"/>
      <c r="E74" s="49"/>
      <c r="F74" s="49"/>
      <c r="G74" s="49"/>
      <c r="H74" s="50" t="str">
        <f>IF($B74="","",IF($J74="X",B74,CONCATENATE(VLOOKUP(B74,Competitors!$A$2:$I$650,3,FALSE)," ",VLOOKUP(B74,Competitors!$A$2:$I$650,2,FALSE))))</f>
        <v/>
      </c>
      <c r="I74" s="51">
        <f t="shared" si="2"/>
        <v>0</v>
      </c>
      <c r="J74" t="str">
        <f t="shared" si="3"/>
        <v/>
      </c>
    </row>
    <row r="75" spans="1:10" ht="15">
      <c r="A75" s="46"/>
      <c r="B75" s="47" t="str">
        <f t="shared" si="0"/>
        <v/>
      </c>
      <c r="C75" s="48"/>
      <c r="D75" s="49"/>
      <c r="E75" s="49"/>
      <c r="F75" s="49"/>
      <c r="G75" s="49"/>
      <c r="H75" s="50" t="str">
        <f>IF($B75="","",IF($J75="X",B75,CONCATENATE(VLOOKUP(B75,Competitors!$A$2:$I$650,3,FALSE)," ",VLOOKUP(B75,Competitors!$A$2:$I$650,2,FALSE))))</f>
        <v/>
      </c>
      <c r="I75" s="51">
        <f t="shared" si="2"/>
        <v>0</v>
      </c>
      <c r="J75" t="str">
        <f t="shared" si="3"/>
        <v/>
      </c>
    </row>
    <row r="76" spans="1:10" ht="15">
      <c r="A76" s="46"/>
      <c r="B76" s="47" t="str">
        <f t="shared" si="0"/>
        <v/>
      </c>
      <c r="C76" s="48"/>
      <c r="D76" s="49"/>
      <c r="E76" s="49"/>
      <c r="F76" s="49"/>
      <c r="G76" s="49"/>
      <c r="H76" s="50" t="str">
        <f>IF($B76="","",IF($J76="X",B76,CONCATENATE(VLOOKUP(B76,Competitors!$A$2:$I$650,3,FALSE)," ",VLOOKUP(B76,Competitors!$A$2:$I$650,2,FALSE))))</f>
        <v/>
      </c>
      <c r="I76" s="51">
        <f t="shared" si="2"/>
        <v>0</v>
      </c>
      <c r="J76" t="str">
        <f t="shared" si="3"/>
        <v/>
      </c>
    </row>
    <row r="77" spans="1:10" ht="15">
      <c r="A77" s="46"/>
      <c r="B77" s="47" t="str">
        <f t="shared" si="0"/>
        <v/>
      </c>
      <c r="C77" s="48"/>
      <c r="D77" s="49"/>
      <c r="E77" s="49"/>
      <c r="F77" s="49"/>
      <c r="G77" s="49"/>
      <c r="H77" s="50" t="str">
        <f>IF($B77="","",IF($J77="X",B77,CONCATENATE(VLOOKUP(B77,Competitors!$A$2:$I$650,3,FALSE)," ",VLOOKUP(B77,Competitors!$A$2:$I$650,2,FALSE))))</f>
        <v/>
      </c>
      <c r="I77" s="51">
        <f t="shared" si="2"/>
        <v>0</v>
      </c>
      <c r="J77" t="str">
        <f t="shared" si="3"/>
        <v/>
      </c>
    </row>
    <row r="78" spans="1:10" ht="15">
      <c r="A78" s="46"/>
      <c r="B78" s="47" t="str">
        <f t="shared" si="0"/>
        <v/>
      </c>
      <c r="C78" s="48"/>
      <c r="D78" s="49"/>
      <c r="E78" s="49"/>
      <c r="F78" s="49"/>
      <c r="G78" s="49"/>
      <c r="H78" s="50" t="str">
        <f>IF($B78="","",IF($J78="X",B78,CONCATENATE(VLOOKUP(B78,Competitors!$A$2:$I$650,3,FALSE)," ",VLOOKUP(B78,Competitors!$A$2:$I$650,2,FALSE))))</f>
        <v/>
      </c>
      <c r="I78" s="51">
        <f t="shared" si="2"/>
        <v>0</v>
      </c>
      <c r="J78" t="str">
        <f t="shared" si="3"/>
        <v/>
      </c>
    </row>
    <row r="79" spans="1:10" ht="15">
      <c r="A79" s="46"/>
      <c r="B79" s="47" t="str">
        <f t="shared" si="0"/>
        <v/>
      </c>
      <c r="C79" s="48"/>
      <c r="D79" s="49"/>
      <c r="E79" s="49"/>
      <c r="F79" s="49"/>
      <c r="G79" s="49"/>
      <c r="H79" s="50" t="str">
        <f>IF($B79="","",IF($J79="X",B79,CONCATENATE(VLOOKUP(B79,Competitors!$A$2:$I$650,3,FALSE)," ",VLOOKUP(B79,Competitors!$A$2:$I$650,2,FALSE))))</f>
        <v/>
      </c>
      <c r="I79" s="51">
        <f t="shared" si="2"/>
        <v>0</v>
      </c>
      <c r="J79" t="str">
        <f t="shared" si="3"/>
        <v/>
      </c>
    </row>
    <row r="80" spans="1:10" ht="15">
      <c r="A80" s="46"/>
      <c r="B80" s="47" t="str">
        <f t="shared" si="0"/>
        <v/>
      </c>
      <c r="C80" s="48"/>
      <c r="D80" s="49"/>
      <c r="E80" s="49"/>
      <c r="F80" s="49"/>
      <c r="G80" s="49"/>
      <c r="H80" s="50" t="str">
        <f>IF($B80="","",IF($J80="X",B80,CONCATENATE(VLOOKUP(B80,Competitors!$A$2:$I$650,3,FALSE)," ",VLOOKUP(B80,Competitors!$A$2:$I$650,2,FALSE))))</f>
        <v/>
      </c>
      <c r="I80" s="51">
        <f t="shared" si="2"/>
        <v>0</v>
      </c>
      <c r="J80" t="str">
        <f t="shared" si="3"/>
        <v/>
      </c>
    </row>
    <row r="81" spans="1:10" ht="15">
      <c r="A81" s="46"/>
      <c r="B81" s="47" t="str">
        <f t="shared" si="0"/>
        <v/>
      </c>
      <c r="C81" s="48"/>
      <c r="D81" s="49"/>
      <c r="E81" s="49"/>
      <c r="F81" s="49"/>
      <c r="G81" s="49"/>
      <c r="H81" s="50" t="str">
        <f>IF($B81="","",IF($J81="X",B81,CONCATENATE(VLOOKUP(B81,Competitors!$A$2:$I$650,3,FALSE)," ",VLOOKUP(B81,Competitors!$A$2:$I$650,2,FALSE))))</f>
        <v/>
      </c>
      <c r="I81" s="51">
        <f t="shared" si="2"/>
        <v>0</v>
      </c>
      <c r="J81" t="str">
        <f t="shared" si="3"/>
        <v/>
      </c>
    </row>
    <row r="82" spans="1:10" ht="15">
      <c r="A82" s="46"/>
      <c r="B82" s="47" t="str">
        <f t="shared" si="0"/>
        <v/>
      </c>
      <c r="C82" s="48"/>
      <c r="D82" s="49"/>
      <c r="E82" s="49"/>
      <c r="F82" s="49"/>
      <c r="G82" s="49"/>
      <c r="H82" s="50" t="str">
        <f>IF($B82="","",IF($J82="X",B82,CONCATENATE(VLOOKUP(B82,Competitors!$A$2:$I$650,3,FALSE)," ",VLOOKUP(B82,Competitors!$A$2:$I$650,2,FALSE))))</f>
        <v/>
      </c>
      <c r="I82" s="51">
        <f t="shared" si="2"/>
        <v>0</v>
      </c>
      <c r="J82" t="str">
        <f t="shared" si="3"/>
        <v/>
      </c>
    </row>
    <row r="83" spans="1:10" ht="15">
      <c r="A83" s="46"/>
      <c r="B83" s="47" t="str">
        <f t="shared" si="0"/>
        <v/>
      </c>
      <c r="C83" s="48"/>
      <c r="D83" s="49"/>
      <c r="E83" s="49"/>
      <c r="F83" s="49"/>
      <c r="G83" s="49"/>
      <c r="H83" s="50" t="str">
        <f>IF($B83="","",IF($J83="X",B83,CONCATENATE(VLOOKUP(B83,Competitors!$A$2:$I$650,3,FALSE)," ",VLOOKUP(B83,Competitors!$A$2:$I$650,2,FALSE))))</f>
        <v/>
      </c>
      <c r="I83" s="51">
        <f t="shared" si="2"/>
        <v>0</v>
      </c>
      <c r="J83" t="str">
        <f t="shared" si="3"/>
        <v/>
      </c>
    </row>
    <row r="84" spans="1:10" ht="15">
      <c r="A84" s="46"/>
      <c r="B84" s="47" t="str">
        <f t="shared" si="0"/>
        <v/>
      </c>
      <c r="C84" s="48"/>
      <c r="D84" s="49"/>
      <c r="E84" s="49"/>
      <c r="F84" s="49"/>
      <c r="G84" s="49"/>
      <c r="H84" s="50" t="str">
        <f>IF($B84="","",IF($J84="X",B84,CONCATENATE(VLOOKUP(B84,Competitors!$A$2:$I$650,3,FALSE)," ",VLOOKUP(B84,Competitors!$A$2:$I$650,2,FALSE))))</f>
        <v/>
      </c>
      <c r="I84" s="51">
        <f t="shared" si="2"/>
        <v>0</v>
      </c>
      <c r="J84" t="str">
        <f t="shared" si="3"/>
        <v/>
      </c>
    </row>
    <row r="85" spans="1:10" ht="15">
      <c r="A85" s="46"/>
      <c r="B85" s="47" t="str">
        <f t="shared" si="0"/>
        <v/>
      </c>
      <c r="C85" s="48"/>
      <c r="D85" s="49"/>
      <c r="E85" s="49"/>
      <c r="F85" s="49"/>
      <c r="G85" s="49"/>
      <c r="H85" s="50" t="str">
        <f>IF($B85="","",IF($J85="X",B85,CONCATENATE(VLOOKUP(B85,Competitors!$A$2:$I$650,3,FALSE)," ",VLOOKUP(B85,Competitors!$A$2:$I$650,2,FALSE))))</f>
        <v/>
      </c>
      <c r="I85" s="51">
        <f t="shared" si="2"/>
        <v>0</v>
      </c>
      <c r="J85" t="str">
        <f t="shared" si="3"/>
        <v/>
      </c>
    </row>
    <row r="86" spans="1:10" ht="15">
      <c r="A86" s="46"/>
      <c r="B86" s="47" t="str">
        <f t="shared" si="0"/>
        <v/>
      </c>
      <c r="C86" s="48"/>
      <c r="D86" s="49"/>
      <c r="E86" s="49"/>
      <c r="F86" s="49"/>
      <c r="G86" s="49"/>
      <c r="H86" s="50" t="str">
        <f>IF($B86="","",IF($J86="X",B86,CONCATENATE(VLOOKUP(B86,Competitors!$A$2:$I$650,3,FALSE)," ",VLOOKUP(B86,Competitors!$A$2:$I$650,2,FALSE))))</f>
        <v/>
      </c>
      <c r="I86" s="51">
        <f t="shared" si="2"/>
        <v>0</v>
      </c>
      <c r="J86" t="str">
        <f t="shared" si="3"/>
        <v/>
      </c>
    </row>
    <row r="87" spans="1:10" ht="15">
      <c r="A87" s="46"/>
      <c r="B87" s="47" t="str">
        <f t="shared" si="0"/>
        <v/>
      </c>
      <c r="C87" s="48"/>
      <c r="D87" s="49"/>
      <c r="E87" s="49"/>
      <c r="F87" s="49"/>
      <c r="G87" s="49"/>
      <c r="H87" s="50" t="str">
        <f>IF($B87="","",IF($J87="X",B87,CONCATENATE(VLOOKUP(B87,Competitors!$A$2:$I$650,3,FALSE)," ",VLOOKUP(B87,Competitors!$A$2:$I$650,2,FALSE))))</f>
        <v/>
      </c>
      <c r="I87" s="51">
        <f t="shared" si="2"/>
        <v>0</v>
      </c>
      <c r="J87" t="str">
        <f t="shared" si="3"/>
        <v/>
      </c>
    </row>
    <row r="88" spans="1:10" ht="15">
      <c r="A88" s="46"/>
      <c r="B88" s="47" t="str">
        <f t="shared" si="0"/>
        <v/>
      </c>
      <c r="C88" s="48"/>
      <c r="D88" s="49"/>
      <c r="E88" s="49"/>
      <c r="F88" s="49"/>
      <c r="G88" s="49"/>
      <c r="H88" s="50" t="str">
        <f>IF($B88="","",IF($J88="X",B88,CONCATENATE(VLOOKUP(B88,Competitors!$A$2:$I$650,3,FALSE)," ",VLOOKUP(B88,Competitors!$A$2:$I$650,2,FALSE))))</f>
        <v/>
      </c>
      <c r="I88" s="51">
        <f t="shared" si="2"/>
        <v>0</v>
      </c>
      <c r="J88" t="str">
        <f t="shared" si="3"/>
        <v/>
      </c>
    </row>
    <row r="89" spans="1:10" ht="15">
      <c r="A89" s="46"/>
      <c r="B89" s="47" t="str">
        <f t="shared" si="0"/>
        <v/>
      </c>
      <c r="C89" s="48"/>
      <c r="D89" s="49"/>
      <c r="E89" s="49"/>
      <c r="F89" s="49"/>
      <c r="G89" s="49"/>
      <c r="H89" s="50" t="str">
        <f>IF($B89="","",IF($J89="X",B89,CONCATENATE(VLOOKUP(B89,Competitors!$A$2:$I$650,3,FALSE)," ",VLOOKUP(B89,Competitors!$A$2:$I$650,2,FALSE))))</f>
        <v/>
      </c>
      <c r="I89" s="51">
        <f t="shared" si="2"/>
        <v>0</v>
      </c>
      <c r="J89" t="str">
        <f t="shared" si="3"/>
        <v/>
      </c>
    </row>
    <row r="90" spans="1:10" ht="15">
      <c r="A90" s="46"/>
      <c r="B90" s="47" t="str">
        <f t="shared" si="0"/>
        <v/>
      </c>
      <c r="C90" s="48"/>
      <c r="D90" s="49"/>
      <c r="E90" s="49"/>
      <c r="F90" s="49"/>
      <c r="G90" s="49"/>
      <c r="H90" s="50" t="str">
        <f>IF($B90="","",IF($J90="X",B90,CONCATENATE(VLOOKUP(B90,Competitors!$A$2:$I$650,3,FALSE)," ",VLOOKUP(B90,Competitors!$A$2:$I$650,2,FALSE))))</f>
        <v/>
      </c>
      <c r="I90" s="51">
        <f t="shared" si="2"/>
        <v>0</v>
      </c>
      <c r="J90" t="str">
        <f t="shared" si="3"/>
        <v/>
      </c>
    </row>
    <row r="91" spans="1:10" ht="15">
      <c r="A91" s="46"/>
      <c r="B91" s="47" t="str">
        <f t="shared" si="0"/>
        <v/>
      </c>
      <c r="C91" s="48"/>
      <c r="D91" s="49"/>
      <c r="E91" s="49"/>
      <c r="F91" s="49"/>
      <c r="G91" s="49"/>
      <c r="H91" s="50" t="str">
        <f>IF($B91="","",IF($J91="X",B91,CONCATENATE(VLOOKUP(B91,Competitors!$A$2:$I$650,3,FALSE)," ",VLOOKUP(B91,Competitors!$A$2:$I$650,2,FALSE))))</f>
        <v/>
      </c>
      <c r="I91" s="51">
        <f t="shared" si="2"/>
        <v>0</v>
      </c>
      <c r="J91" t="str">
        <f t="shared" si="3"/>
        <v/>
      </c>
    </row>
    <row r="92" spans="1:10" ht="15">
      <c r="A92" s="46"/>
      <c r="B92" s="47" t="str">
        <f t="shared" si="0"/>
        <v/>
      </c>
      <c r="C92" s="48"/>
      <c r="D92" s="49"/>
      <c r="E92" s="49"/>
      <c r="F92" s="49"/>
      <c r="G92" s="49"/>
      <c r="H92" s="50" t="str">
        <f>IF($B92="","",IF($J92="X",B92,CONCATENATE(VLOOKUP(B92,Competitors!$A$2:$I$650,3,FALSE)," ",VLOOKUP(B92,Competitors!$A$2:$I$650,2,FALSE))))</f>
        <v/>
      </c>
      <c r="I92" s="51">
        <f t="shared" si="2"/>
        <v>0</v>
      </c>
      <c r="J92" t="str">
        <f t="shared" si="3"/>
        <v/>
      </c>
    </row>
    <row r="93" spans="1:10" ht="15">
      <c r="A93" s="46"/>
      <c r="B93" s="47" t="str">
        <f t="shared" si="0"/>
        <v/>
      </c>
      <c r="C93" s="48"/>
      <c r="D93" s="49"/>
      <c r="E93" s="49"/>
      <c r="F93" s="49"/>
      <c r="G93" s="49"/>
      <c r="H93" s="50" t="str">
        <f>IF($B93="","",IF($J93="X",B93,CONCATENATE(VLOOKUP(B93,Competitors!$A$2:$I$650,3,FALSE)," ",VLOOKUP(B93,Competitors!$A$2:$I$650,2,FALSE))))</f>
        <v/>
      </c>
      <c r="I93" s="51">
        <f t="shared" si="2"/>
        <v>0</v>
      </c>
      <c r="J93" t="str">
        <f t="shared" si="3"/>
        <v/>
      </c>
    </row>
    <row r="94" spans="1:10" ht="15">
      <c r="A94" s="46"/>
      <c r="B94" s="47" t="str">
        <f t="shared" si="0"/>
        <v/>
      </c>
      <c r="C94" s="48"/>
      <c r="D94" s="49"/>
      <c r="E94" s="49"/>
      <c r="F94" s="49"/>
      <c r="G94" s="49"/>
      <c r="H94" s="50" t="str">
        <f>IF($B94="","",IF($J94="X",B94,CONCATENATE(VLOOKUP(B94,Competitors!$A$2:$I$650,3,FALSE)," ",VLOOKUP(B94,Competitors!$A$2:$I$650,2,FALSE))))</f>
        <v/>
      </c>
      <c r="I94" s="51">
        <f t="shared" si="2"/>
        <v>0</v>
      </c>
      <c r="J94" t="str">
        <f t="shared" si="3"/>
        <v/>
      </c>
    </row>
    <row r="95" spans="1:10" ht="15">
      <c r="A95" s="46"/>
      <c r="B95" s="47" t="str">
        <f t="shared" si="0"/>
        <v/>
      </c>
      <c r="C95" s="48"/>
      <c r="D95" s="49"/>
      <c r="E95" s="49"/>
      <c r="F95" s="49"/>
      <c r="G95" s="49"/>
      <c r="H95" s="50" t="str">
        <f>IF($B95="","",IF($J95="X",B95,CONCATENATE(VLOOKUP(B95,Competitors!$A$2:$I$650,3,FALSE)," ",VLOOKUP(B95,Competitors!$A$2:$I$650,2,FALSE))))</f>
        <v/>
      </c>
      <c r="I95" s="51">
        <f t="shared" si="2"/>
        <v>0</v>
      </c>
      <c r="J95" t="str">
        <f t="shared" si="3"/>
        <v/>
      </c>
    </row>
    <row r="96" spans="1:10" ht="15">
      <c r="A96" s="46"/>
      <c r="B96" s="47" t="str">
        <f t="shared" si="0"/>
        <v/>
      </c>
      <c r="C96" s="48"/>
      <c r="D96" s="49"/>
      <c r="E96" s="49"/>
      <c r="F96" s="49"/>
      <c r="G96" s="49"/>
      <c r="H96" s="50" t="str">
        <f>IF($B96="","",IF($J96="X",B96,CONCATENATE(VLOOKUP(B96,Competitors!$A$2:$I$650,3,FALSE)," ",VLOOKUP(B96,Competitors!$A$2:$I$650,2,FALSE))))</f>
        <v/>
      </c>
      <c r="I96" s="51">
        <f t="shared" si="2"/>
        <v>0</v>
      </c>
      <c r="J96" t="str">
        <f t="shared" si="3"/>
        <v/>
      </c>
    </row>
    <row r="97" spans="1:10" ht="15">
      <c r="A97" s="46"/>
      <c r="B97" s="47" t="str">
        <f t="shared" si="0"/>
        <v/>
      </c>
      <c r="C97" s="48"/>
      <c r="D97" s="49"/>
      <c r="E97" s="49"/>
      <c r="F97" s="49"/>
      <c r="G97" s="49"/>
      <c r="H97" s="50" t="str">
        <f>IF($B97="","",IF($J97="X",B97,CONCATENATE(VLOOKUP(B97,Competitors!$A$2:$I$650,3,FALSE)," ",VLOOKUP(B97,Competitors!$A$2:$I$650,2,FALSE))))</f>
        <v/>
      </c>
      <c r="I97" s="51">
        <f t="shared" si="2"/>
        <v>0</v>
      </c>
      <c r="J97" t="str">
        <f t="shared" si="3"/>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2"/>
        <v>0</v>
      </c>
      <c r="J98" t="str">
        <f t="shared" si="3"/>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2"/>
        <v>0</v>
      </c>
      <c r="J99" t="str">
        <f t="shared" si="3"/>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2"/>
        <v>0</v>
      </c>
      <c r="J100" t="str">
        <f t="shared" si="3"/>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2"/>
        <v>0</v>
      </c>
      <c r="J101" t="str">
        <f t="shared" si="3"/>
        <v/>
      </c>
    </row>
    <row r="102" spans="1:10" s="52" customFormat="1">
      <c r="I102" s="53"/>
    </row>
    <row r="103" spans="1:10">
      <c r="B103" t="s">
        <v>551</v>
      </c>
      <c r="C103" t="str" cm="1">
        <f t="array" aca="1" ref="C103" ca="1">MID(CELL("filename",B1),FIND("]",CELL("filename",B1))+1,255)</f>
        <v>Event_26</v>
      </c>
    </row>
    <row r="104" spans="1:10">
      <c r="B104" t="s">
        <v>552</v>
      </c>
      <c r="C104" t="str">
        <f ca="1">_xlfn.XLOOKUP(C103,Calendar!O:O,Calendar!H:H,"Event is not in calendar")</f>
        <v>Y</v>
      </c>
    </row>
  </sheetData>
  <sortState xmlns:xlrd2="http://schemas.microsoft.com/office/spreadsheetml/2017/richdata2" ref="A2:K44">
    <sortCondition ref="K2:K44"/>
  </sortState>
  <conditionalFormatting sqref="E2:E101">
    <cfRule type="expression" dxfId="5" priority="3">
      <formula>TEXT($C$104,"@")="Y"</formula>
    </cfRule>
  </conditionalFormatting>
  <conditionalFormatting sqref="H2:I101">
    <cfRule type="expression" dxfId="4" priority="2">
      <formula>$J2="X"</formula>
    </cfRule>
  </conditionalFormatting>
  <conditionalFormatting sqref="I2:I101">
    <cfRule type="expression" dxfId="3" priority="1">
      <formula>TEXT($C$104,"@")="Y"</formula>
    </cfRule>
  </conditionalFormatting>
  <pageMargins left="0.7" right="0.7" top="0.75" bottom="0.75" header="0.3" footer="0.3"/>
  <pageSetup paperSize="9" orientation="portrait"/>
  <legacy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7"/>
  <dimension ref="A1:J104"/>
  <sheetViews>
    <sheetView workbookViewId="0"/>
    <sheetView workbookViewId="1"/>
  </sheetViews>
  <sheetFormatPr defaultColWidth="9.1328125" defaultRowHeight="12.75"/>
  <cols>
    <col min="1" max="1" width="20.33203125" bestFit="1" customWidth="1"/>
    <col min="2" max="2" width="23.86328125" bestFit="1" customWidth="1"/>
    <col min="3" max="5" width="4.796875" customWidth="1"/>
    <col min="6" max="7" width="11.1328125" customWidth="1"/>
    <col min="8" max="8" width="25.1328125" customWidth="1"/>
    <col min="9" max="9" width="14.6640625" style="38" bestFit="1" customWidth="1"/>
    <col min="10" max="10" width="19.19921875" bestFit="1" customWidth="1"/>
  </cols>
  <sheetData>
    <row r="1" spans="1:10" ht="15.75" customHeight="1">
      <c r="A1" s="39" t="s">
        <v>535</v>
      </c>
      <c r="B1" s="40" t="s">
        <v>536</v>
      </c>
      <c r="C1" s="41" t="s">
        <v>537</v>
      </c>
      <c r="D1" s="42" t="s">
        <v>538</v>
      </c>
      <c r="E1" s="43" t="s">
        <v>539</v>
      </c>
      <c r="F1" s="44" t="s">
        <v>540</v>
      </c>
      <c r="G1" s="44" t="s">
        <v>541</v>
      </c>
      <c r="H1" s="39" t="s">
        <v>461</v>
      </c>
      <c r="I1" s="45" t="s">
        <v>542</v>
      </c>
      <c r="J1" t="s">
        <v>543</v>
      </c>
    </row>
    <row r="2" spans="1:10" ht="15">
      <c r="A2" s="46"/>
      <c r="B2" s="47" t="str">
        <f t="shared" ref="B2:B33" si="0">IF(A2="","",_xlfn.XLOOKUP(A2,ClubNames,ClubNumbers,_xlfn.XLOOKUP(A2,RoundRobinRiderNames,RoundRobinRiderDecoratedNames,A2)))</f>
        <v/>
      </c>
      <c r="C2" s="48"/>
      <c r="D2" s="49"/>
      <c r="E2" s="49"/>
      <c r="F2" s="49"/>
      <c r="G2" s="49"/>
      <c r="H2" s="50" t="str">
        <f>IF($B2="","",IF($J2="X",B2,CONCATENATE(VLOOKUP(B2,Competitors!$A$2:$I$650,3, FALSE)," ",VLOOKUP(B2,Competitors!$A$2:$I$650,2,FALSE))))</f>
        <v/>
      </c>
      <c r="I2" s="51">
        <f t="shared" ref="I2:I65" si="1">IF(LEFT($F2,1)="D",UPPER($F2),(C2*3600+D2*60+E2)/86400)</f>
        <v>0</v>
      </c>
      <c r="J2" t="str">
        <f t="shared" ref="J2:J65" si="2">IF(OR(B2="",ISNUMBER(B2)),"","X")</f>
        <v/>
      </c>
    </row>
    <row r="3" spans="1:10" ht="15">
      <c r="A3" s="46"/>
      <c r="B3" s="47" t="str">
        <f t="shared" si="0"/>
        <v/>
      </c>
      <c r="C3" s="48"/>
      <c r="D3" s="49"/>
      <c r="E3" s="49"/>
      <c r="F3" s="49"/>
      <c r="G3" s="49"/>
      <c r="H3" s="50" t="str">
        <f>IF($B3="","",IF($J3="X",B3,CONCATENATE(VLOOKUP(B3,Competitors!$A$2:$I$650,3,FALSE)," ",VLOOKUP(B3,Competitors!$A$2:$I$650,2,FALSE))))</f>
        <v/>
      </c>
      <c r="I3" s="51">
        <f t="shared" si="1"/>
        <v>0</v>
      </c>
      <c r="J3" t="str">
        <f t="shared" si="2"/>
        <v/>
      </c>
    </row>
    <row r="4" spans="1:10" ht="15">
      <c r="A4" s="46"/>
      <c r="B4" s="47" t="str">
        <f t="shared" si="0"/>
        <v/>
      </c>
      <c r="C4" s="48"/>
      <c r="D4" s="49"/>
      <c r="E4" s="49"/>
      <c r="F4" s="49"/>
      <c r="G4" s="49"/>
      <c r="H4" s="50" t="str">
        <f>IF($B4="","",IF($J4="X",B4,CONCATENATE(VLOOKUP(B4,Competitors!$A$2:$I$650,3,FALSE)," ",VLOOKUP(B4,Competitors!$A$2:$I$650,2,FALSE))))</f>
        <v/>
      </c>
      <c r="I4" s="51">
        <f t="shared" si="1"/>
        <v>0</v>
      </c>
      <c r="J4" t="str">
        <f t="shared" si="2"/>
        <v/>
      </c>
    </row>
    <row r="5" spans="1:10" ht="15">
      <c r="A5" s="46"/>
      <c r="B5" s="47" t="str">
        <f t="shared" si="0"/>
        <v/>
      </c>
      <c r="C5" s="48"/>
      <c r="D5" s="49"/>
      <c r="E5" s="49"/>
      <c r="F5" s="49"/>
      <c r="G5" s="49"/>
      <c r="H5" s="50" t="str">
        <f>IF($B5="","",IF($J5="X",B5,CONCATENATE(VLOOKUP(B5,Competitors!$A$2:$I$650,3,FALSE)," ",VLOOKUP(B5,Competitors!$A$2:$I$650,2,FALSE))))</f>
        <v/>
      </c>
      <c r="I5" s="51">
        <f t="shared" si="1"/>
        <v>0</v>
      </c>
      <c r="J5" t="str">
        <f t="shared" si="2"/>
        <v/>
      </c>
    </row>
    <row r="6" spans="1:10" ht="15">
      <c r="A6" s="46"/>
      <c r="B6" s="47" t="str">
        <f t="shared" si="0"/>
        <v/>
      </c>
      <c r="C6" s="48"/>
      <c r="D6" s="49"/>
      <c r="E6" s="49"/>
      <c r="F6" s="49"/>
      <c r="G6" s="49"/>
      <c r="H6" s="50" t="str">
        <f>IF($B6="","",IF($J6="X",B6,CONCATENATE(VLOOKUP(B6,Competitors!$A$2:$I$650,3,FALSE)," ",VLOOKUP(B6,Competitors!$A$2:$I$650,2,FALSE))))</f>
        <v/>
      </c>
      <c r="I6" s="51">
        <f t="shared" si="1"/>
        <v>0</v>
      </c>
      <c r="J6" t="str">
        <f t="shared" si="2"/>
        <v/>
      </c>
    </row>
    <row r="7" spans="1:10" ht="15">
      <c r="A7" s="46"/>
      <c r="B7" s="47" t="str">
        <f t="shared" si="0"/>
        <v/>
      </c>
      <c r="C7" s="48"/>
      <c r="D7" s="49"/>
      <c r="E7" s="49"/>
      <c r="F7" s="49"/>
      <c r="G7" s="49"/>
      <c r="H7" s="50" t="str">
        <f>IF($B7="","",IF($J7="X",B7,CONCATENATE(VLOOKUP(B7,Competitors!$A$2:$I$650,3,FALSE)," ",VLOOKUP(B7,Competitors!$A$2:$I$650,2,FALSE))))</f>
        <v/>
      </c>
      <c r="I7" s="51">
        <f t="shared" si="1"/>
        <v>0</v>
      </c>
      <c r="J7" t="str">
        <f t="shared" si="2"/>
        <v/>
      </c>
    </row>
    <row r="8" spans="1:10" ht="15">
      <c r="A8" s="46"/>
      <c r="B8" s="47" t="str">
        <f t="shared" si="0"/>
        <v/>
      </c>
      <c r="C8" s="48"/>
      <c r="D8" s="49"/>
      <c r="E8" s="49"/>
      <c r="F8" s="49"/>
      <c r="G8" s="49"/>
      <c r="H8" s="50" t="str">
        <f>IF($B8="","",IF($J8="X",B8,CONCATENATE(VLOOKUP(B8,Competitors!$A$2:$I$650,3,FALSE)," ",VLOOKUP(B8,Competitors!$A$2:$I$650,2,FALSE))))</f>
        <v/>
      </c>
      <c r="I8" s="51">
        <f t="shared" si="1"/>
        <v>0</v>
      </c>
      <c r="J8" t="str">
        <f t="shared" si="2"/>
        <v/>
      </c>
    </row>
    <row r="9" spans="1:10" ht="15">
      <c r="A9" s="46"/>
      <c r="B9" s="47" t="str">
        <f t="shared" si="0"/>
        <v/>
      </c>
      <c r="C9" s="48"/>
      <c r="D9" s="49"/>
      <c r="E9" s="49"/>
      <c r="F9" s="49"/>
      <c r="G9" s="49"/>
      <c r="H9" s="50" t="str">
        <f>IF($B9="","",IF($J9="X",B9,CONCATENATE(VLOOKUP(B9,Competitors!$A$2:$I$650,3,FALSE)," ",VLOOKUP(B9,Competitors!$A$2:$I$650,2,FALSE))))</f>
        <v/>
      </c>
      <c r="I9" s="51">
        <f t="shared" si="1"/>
        <v>0</v>
      </c>
      <c r="J9" t="str">
        <f t="shared" si="2"/>
        <v/>
      </c>
    </row>
    <row r="10" spans="1:10" ht="15">
      <c r="A10" s="46"/>
      <c r="B10" s="47" t="str">
        <f t="shared" si="0"/>
        <v/>
      </c>
      <c r="C10" s="48"/>
      <c r="D10" s="49"/>
      <c r="E10" s="49"/>
      <c r="F10" s="49"/>
      <c r="G10" s="49"/>
      <c r="H10" s="50" t="str">
        <f>IF($B10="","",IF($J10="X",B10,CONCATENATE(VLOOKUP(B10,Competitors!$A$2:$I$650,3, FALSE)," ",VLOOKUP(B10,Competitors!$A$2:$I$650,2,FALSE))))</f>
        <v/>
      </c>
      <c r="I10" s="51">
        <f t="shared" si="1"/>
        <v>0</v>
      </c>
      <c r="J10" t="str">
        <f t="shared" si="2"/>
        <v/>
      </c>
    </row>
    <row r="11" spans="1:10" ht="15">
      <c r="A11" s="46"/>
      <c r="B11" s="47" t="str">
        <f t="shared" si="0"/>
        <v/>
      </c>
      <c r="C11" s="48"/>
      <c r="D11" s="49"/>
      <c r="E11" s="49"/>
      <c r="F11" s="49"/>
      <c r="G11" s="49"/>
      <c r="H11" s="50" t="str">
        <f>IF($B11="","",IF($J11="X",B11,CONCATENATE(VLOOKUP(B11,Competitors!$A$2:$I$650,3,FALSE)," ",VLOOKUP(B11,Competitors!$A$2:$I$650,2,FALSE))))</f>
        <v/>
      </c>
      <c r="I11" s="51">
        <f t="shared" si="1"/>
        <v>0</v>
      </c>
      <c r="J11" t="str">
        <f t="shared" si="2"/>
        <v/>
      </c>
    </row>
    <row r="12" spans="1:10" ht="15">
      <c r="A12" s="46"/>
      <c r="B12" s="47" t="str">
        <f t="shared" si="0"/>
        <v/>
      </c>
      <c r="C12" s="48"/>
      <c r="D12" s="49"/>
      <c r="E12" s="49"/>
      <c r="F12" s="49"/>
      <c r="G12" s="49"/>
      <c r="H12" s="50" t="str">
        <f>IF($B12="","",IF($J12="X",B12,CONCATENATE(VLOOKUP(B12,Competitors!$A$2:$I$650,3,FALSE)," ",VLOOKUP(B12,Competitors!$A$2:$I$650,2,FALSE))))</f>
        <v/>
      </c>
      <c r="I12" s="51">
        <f t="shared" si="1"/>
        <v>0</v>
      </c>
      <c r="J12" t="str">
        <f t="shared" si="2"/>
        <v/>
      </c>
    </row>
    <row r="13" spans="1:10" ht="15">
      <c r="A13" s="46"/>
      <c r="B13" s="47" t="str">
        <f t="shared" si="0"/>
        <v/>
      </c>
      <c r="C13" s="48"/>
      <c r="D13" s="49"/>
      <c r="E13" s="49"/>
      <c r="F13" s="49"/>
      <c r="G13" s="49"/>
      <c r="H13" s="50" t="str">
        <f>IF($B13="","",IF($J13="X",B13,CONCATENATE(VLOOKUP(B13,Competitors!$A$2:$I$650,3,FALSE)," ",VLOOKUP(B13,Competitors!$A$2:$I$650,2,FALSE))))</f>
        <v/>
      </c>
      <c r="I13" s="51">
        <f t="shared" si="1"/>
        <v>0</v>
      </c>
      <c r="J13" t="str">
        <f t="shared" si="2"/>
        <v/>
      </c>
    </row>
    <row r="14" spans="1:10" ht="15">
      <c r="A14" s="46"/>
      <c r="B14" s="47" t="str">
        <f t="shared" si="0"/>
        <v/>
      </c>
      <c r="C14" s="48"/>
      <c r="D14" s="49"/>
      <c r="E14" s="49"/>
      <c r="F14" s="49"/>
      <c r="G14" s="49"/>
      <c r="H14" s="50" t="str">
        <f>IF($B14="","",IF($J14="X",B14,CONCATENATE(VLOOKUP(B14,Competitors!$A$2:$I$650,3,FALSE)," ",VLOOKUP(B14,Competitors!$A$2:$I$650,2,FALSE))))</f>
        <v/>
      </c>
      <c r="I14" s="51">
        <f t="shared" si="1"/>
        <v>0</v>
      </c>
      <c r="J14" t="str">
        <f t="shared" si="2"/>
        <v/>
      </c>
    </row>
    <row r="15" spans="1:10" ht="15">
      <c r="A15" s="46"/>
      <c r="B15" s="47" t="str">
        <f t="shared" si="0"/>
        <v/>
      </c>
      <c r="C15" s="48"/>
      <c r="D15" s="49"/>
      <c r="E15" s="49"/>
      <c r="F15" s="49"/>
      <c r="G15" s="49"/>
      <c r="H15" s="50" t="str">
        <f>IF($B15="","",IF($J15="X",B15,CONCATENATE(VLOOKUP(B15,Competitors!$A$2:$I$650,3,FALSE)," ",VLOOKUP(B15,Competitors!$A$2:$I$650,2,FALSE))))</f>
        <v/>
      </c>
      <c r="I15" s="51">
        <f t="shared" si="1"/>
        <v>0</v>
      </c>
      <c r="J15" t="str">
        <f t="shared" si="2"/>
        <v/>
      </c>
    </row>
    <row r="16" spans="1:10" ht="15">
      <c r="A16" s="46"/>
      <c r="B16" s="47" t="str">
        <f t="shared" si="0"/>
        <v/>
      </c>
      <c r="C16" s="48"/>
      <c r="D16" s="49"/>
      <c r="E16" s="49"/>
      <c r="F16" s="49"/>
      <c r="G16" s="49"/>
      <c r="H16" s="50" t="str">
        <f>IF($B16="","",IF($J16="X",B16,CONCATENATE(VLOOKUP(B16,Competitors!$A$2:$I$650,3,FALSE)," ",VLOOKUP(B16,Competitors!$A$2:$I$650,2,FALSE))))</f>
        <v/>
      </c>
      <c r="I16" s="51">
        <f t="shared" si="1"/>
        <v>0</v>
      </c>
      <c r="J16" t="str">
        <f t="shared" si="2"/>
        <v/>
      </c>
    </row>
    <row r="17" spans="1:10" ht="15">
      <c r="A17" s="46"/>
      <c r="B17" s="47" t="str">
        <f t="shared" si="0"/>
        <v/>
      </c>
      <c r="C17" s="48"/>
      <c r="D17" s="49"/>
      <c r="E17" s="49"/>
      <c r="F17" s="49"/>
      <c r="G17" s="49"/>
      <c r="H17" s="50" t="str">
        <f>IF($B17="","",IF($J17="X",B17,CONCATENATE(VLOOKUP(B17,Competitors!$A$2:$I$650,3,FALSE)," ",VLOOKUP(B17,Competitors!$A$2:$I$650,2,FALSE))))</f>
        <v/>
      </c>
      <c r="I17" s="51">
        <f t="shared" si="1"/>
        <v>0</v>
      </c>
      <c r="J17" t="str">
        <f t="shared" si="2"/>
        <v/>
      </c>
    </row>
    <row r="18" spans="1:10" ht="15">
      <c r="A18" s="46"/>
      <c r="B18" s="47" t="str">
        <f t="shared" si="0"/>
        <v/>
      </c>
      <c r="C18" s="48"/>
      <c r="D18" s="49"/>
      <c r="E18" s="49"/>
      <c r="F18" s="49"/>
      <c r="G18" s="49"/>
      <c r="H18" s="50" t="str">
        <f>IF($B18="","",IF($J18="X",B18,CONCATENATE(VLOOKUP(B18,Competitors!$A$2:$I$650,3,FALSE)," ",VLOOKUP(B18,Competitors!$A$2:$I$650,2,FALSE))))</f>
        <v/>
      </c>
      <c r="I18" s="51">
        <f t="shared" si="1"/>
        <v>0</v>
      </c>
      <c r="J18" t="str">
        <f t="shared" si="2"/>
        <v/>
      </c>
    </row>
    <row r="19" spans="1:10" ht="15">
      <c r="A19" s="46"/>
      <c r="B19" s="47" t="str">
        <f t="shared" si="0"/>
        <v/>
      </c>
      <c r="C19" s="48"/>
      <c r="D19" s="49"/>
      <c r="E19" s="49"/>
      <c r="F19" s="49"/>
      <c r="G19" s="49"/>
      <c r="H19" s="50" t="str">
        <f>IF($B19="","",IF($J19="X",B19,CONCATENATE(VLOOKUP(B19,Competitors!$A$2:$I$650,3,FALSE)," ",VLOOKUP(B19,Competitors!$A$2:$I$650,2,FALSE))))</f>
        <v/>
      </c>
      <c r="I19" s="51">
        <f t="shared" si="1"/>
        <v>0</v>
      </c>
      <c r="J19" t="str">
        <f t="shared" si="2"/>
        <v/>
      </c>
    </row>
    <row r="20" spans="1:10" ht="15">
      <c r="A20" s="46"/>
      <c r="B20" s="47" t="str">
        <f t="shared" si="0"/>
        <v/>
      </c>
      <c r="C20" s="48"/>
      <c r="D20" s="49"/>
      <c r="E20" s="49"/>
      <c r="F20" s="49"/>
      <c r="G20" s="49"/>
      <c r="H20" s="50" t="str">
        <f>IF($B20="","",IF($J20="X",B20,CONCATENATE(VLOOKUP(B20,Competitors!$A$2:$I$650,3,FALSE)," ",VLOOKUP(B20,Competitors!$A$2:$I$650,2,FALSE))))</f>
        <v/>
      </c>
      <c r="I20" s="51">
        <f t="shared" si="1"/>
        <v>0</v>
      </c>
      <c r="J20" t="str">
        <f t="shared" si="2"/>
        <v/>
      </c>
    </row>
    <row r="21" spans="1:10" ht="15">
      <c r="A21" s="46"/>
      <c r="B21" s="47" t="str">
        <f t="shared" si="0"/>
        <v/>
      </c>
      <c r="C21" s="48"/>
      <c r="D21" s="49"/>
      <c r="E21" s="49"/>
      <c r="F21" s="49"/>
      <c r="G21" s="49"/>
      <c r="H21" s="50" t="str">
        <f>IF($B21="","",IF($J21="X",B21,CONCATENATE(VLOOKUP(B21,Competitors!$A$2:$I$650,3,FALSE)," ",VLOOKUP(B21,Competitors!$A$2:$I$650,2,FALSE))))</f>
        <v/>
      </c>
      <c r="I21" s="51">
        <f t="shared" si="1"/>
        <v>0</v>
      </c>
      <c r="J21" t="str">
        <f t="shared" si="2"/>
        <v/>
      </c>
    </row>
    <row r="22" spans="1:10" ht="15">
      <c r="A22" s="46"/>
      <c r="B22" s="47" t="str">
        <f t="shared" si="0"/>
        <v/>
      </c>
      <c r="C22" s="48"/>
      <c r="D22" s="49"/>
      <c r="E22" s="49"/>
      <c r="F22" s="49"/>
      <c r="G22" s="49"/>
      <c r="H22" s="50" t="str">
        <f>IF($B22="","",IF($J22="X",B22,CONCATENATE(VLOOKUP(B22,Competitors!$A$2:$I$650,3,FALSE)," ",VLOOKUP(B22,Competitors!$A$2:$I$650,2,FALSE))))</f>
        <v/>
      </c>
      <c r="I22" s="51">
        <f t="shared" si="1"/>
        <v>0</v>
      </c>
      <c r="J22" t="str">
        <f t="shared" si="2"/>
        <v/>
      </c>
    </row>
    <row r="23" spans="1:10" ht="15">
      <c r="A23" s="46"/>
      <c r="B23" s="47" t="str">
        <f t="shared" si="0"/>
        <v/>
      </c>
      <c r="C23" s="48"/>
      <c r="D23" s="49"/>
      <c r="E23" s="49"/>
      <c r="F23" s="49"/>
      <c r="G23" s="49"/>
      <c r="H23" s="50" t="str">
        <f>IF($B23="","",IF($J23="X",B23,CONCATENATE(VLOOKUP(B23,Competitors!$A$2:$I$650,3,FALSE)," ",VLOOKUP(B23,Competitors!$A$2:$I$650,2,FALSE))))</f>
        <v/>
      </c>
      <c r="I23" s="51">
        <f t="shared" si="1"/>
        <v>0</v>
      </c>
      <c r="J23" t="str">
        <f t="shared" si="2"/>
        <v/>
      </c>
    </row>
    <row r="24" spans="1:10" ht="15">
      <c r="A24" s="46"/>
      <c r="B24" s="47" t="str">
        <f t="shared" si="0"/>
        <v/>
      </c>
      <c r="C24" s="48"/>
      <c r="D24" s="49"/>
      <c r="E24" s="49"/>
      <c r="F24" s="49"/>
      <c r="G24" s="49"/>
      <c r="H24" s="50" t="str">
        <f>IF($B24="","",IF($J24="X",B24,CONCATENATE(VLOOKUP(B24,Competitors!$A$2:$I$650,3,FALSE)," ",VLOOKUP(B24,Competitors!$A$2:$I$650,2,FALSE))))</f>
        <v/>
      </c>
      <c r="I24" s="51">
        <f t="shared" si="1"/>
        <v>0</v>
      </c>
      <c r="J24" t="str">
        <f t="shared" si="2"/>
        <v/>
      </c>
    </row>
    <row r="25" spans="1:10" ht="15">
      <c r="A25" s="46"/>
      <c r="B25" s="47" t="str">
        <f t="shared" si="0"/>
        <v/>
      </c>
      <c r="C25" s="48"/>
      <c r="D25" s="49"/>
      <c r="E25" s="49"/>
      <c r="F25" s="49"/>
      <c r="G25" s="49"/>
      <c r="H25" s="50" t="str">
        <f>IF($B25="","",IF($J25="X",B25,CONCATENATE(VLOOKUP(B25,Competitors!$A$2:$I$650,3,FALSE)," ",VLOOKUP(B25,Competitors!$A$2:$I$650,2,FALSE))))</f>
        <v/>
      </c>
      <c r="I25" s="51">
        <f t="shared" si="1"/>
        <v>0</v>
      </c>
      <c r="J25" t="str">
        <f t="shared" si="2"/>
        <v/>
      </c>
    </row>
    <row r="26" spans="1:10" ht="15">
      <c r="A26" s="46"/>
      <c r="B26" s="47" t="str">
        <f t="shared" si="0"/>
        <v/>
      </c>
      <c r="C26" s="48"/>
      <c r="D26" s="49"/>
      <c r="E26" s="49"/>
      <c r="F26" s="49"/>
      <c r="G26" s="49"/>
      <c r="H26" s="50" t="str">
        <f>IF($B26="","",IF($J26="X",B26,CONCATENATE(VLOOKUP(B26,Competitors!$A$2:$I$650,3,FALSE)," ",VLOOKUP(B26,Competitors!$A$2:$I$650,2,FALSE))))</f>
        <v/>
      </c>
      <c r="I26" s="51">
        <f t="shared" si="1"/>
        <v>0</v>
      </c>
      <c r="J26" t="str">
        <f t="shared" si="2"/>
        <v/>
      </c>
    </row>
    <row r="27" spans="1:10" ht="15">
      <c r="A27" s="46"/>
      <c r="B27" s="47" t="str">
        <f t="shared" si="0"/>
        <v/>
      </c>
      <c r="C27" s="48"/>
      <c r="D27" s="49"/>
      <c r="E27" s="49"/>
      <c r="F27" s="49"/>
      <c r="G27" s="49"/>
      <c r="H27" s="50" t="str">
        <f>IF($B27="","",IF($J27="X",B27,CONCATENATE(VLOOKUP(B27,Competitors!$A$2:$I$650,3,FALSE)," ",VLOOKUP(B27,Competitors!$A$2:$I$650,2,FALSE))))</f>
        <v/>
      </c>
      <c r="I27" s="51">
        <f t="shared" si="1"/>
        <v>0</v>
      </c>
      <c r="J27" t="str">
        <f t="shared" si="2"/>
        <v/>
      </c>
    </row>
    <row r="28" spans="1:10" ht="15">
      <c r="A28" s="46"/>
      <c r="B28" s="47" t="str">
        <f t="shared" si="0"/>
        <v/>
      </c>
      <c r="C28" s="48"/>
      <c r="D28" s="49"/>
      <c r="E28" s="49"/>
      <c r="F28" s="49"/>
      <c r="G28" s="49"/>
      <c r="H28" s="50" t="str">
        <f>IF($B28="","",IF($J28="X",B28,CONCATENATE(VLOOKUP(B28,Competitors!$A$2:$I$650,3,FALSE)," ",VLOOKUP(B28,Competitors!$A$2:$I$650,2,FALSE))))</f>
        <v/>
      </c>
      <c r="I28" s="51">
        <f t="shared" si="1"/>
        <v>0</v>
      </c>
      <c r="J28" t="str">
        <f t="shared" si="2"/>
        <v/>
      </c>
    </row>
    <row r="29" spans="1:10" ht="15">
      <c r="A29" s="46"/>
      <c r="B29" s="47" t="str">
        <f t="shared" si="0"/>
        <v/>
      </c>
      <c r="C29" s="48"/>
      <c r="D29" s="49"/>
      <c r="E29" s="49"/>
      <c r="F29" s="49"/>
      <c r="G29" s="49"/>
      <c r="H29" s="50" t="str">
        <f>IF($B29="","",IF($J29="X",B29,CONCATENATE(VLOOKUP(B29,Competitors!$A$2:$I$650,3,FALSE)," ",VLOOKUP(B29,Competitors!$A$2:$I$650,2,FALSE))))</f>
        <v/>
      </c>
      <c r="I29" s="51">
        <f t="shared" si="1"/>
        <v>0</v>
      </c>
      <c r="J29" t="str">
        <f t="shared" si="2"/>
        <v/>
      </c>
    </row>
    <row r="30" spans="1:10" ht="15">
      <c r="A30" s="46"/>
      <c r="B30" s="47" t="str">
        <f t="shared" si="0"/>
        <v/>
      </c>
      <c r="C30" s="48"/>
      <c r="D30" s="49"/>
      <c r="E30" s="49"/>
      <c r="F30" s="49"/>
      <c r="G30" s="49"/>
      <c r="H30" s="50" t="str">
        <f>IF($B30="","",IF($J30="X",B30,CONCATENATE(VLOOKUP(B30,Competitors!$A$2:$I$650,3,FALSE)," ",VLOOKUP(B30,Competitors!$A$2:$I$650,2,FALSE))))</f>
        <v/>
      </c>
      <c r="I30" s="51">
        <f t="shared" si="1"/>
        <v>0</v>
      </c>
      <c r="J30" t="str">
        <f t="shared" si="2"/>
        <v/>
      </c>
    </row>
    <row r="31" spans="1:10" ht="15">
      <c r="A31" s="46"/>
      <c r="B31" s="47" t="str">
        <f t="shared" si="0"/>
        <v/>
      </c>
      <c r="C31" s="48"/>
      <c r="D31" s="49"/>
      <c r="E31" s="49"/>
      <c r="F31" s="49"/>
      <c r="G31" s="49"/>
      <c r="H31" s="50" t="str">
        <f>IF($B31="","",IF($J31="X",B31,CONCATENATE(VLOOKUP(B31,Competitors!$A$2:$I$650,3,FALSE)," ",VLOOKUP(B31,Competitors!$A$2:$I$650,2,FALSE))))</f>
        <v/>
      </c>
      <c r="I31" s="51">
        <f t="shared" si="1"/>
        <v>0</v>
      </c>
      <c r="J31" t="str">
        <f t="shared" si="2"/>
        <v/>
      </c>
    </row>
    <row r="32" spans="1:10" ht="15">
      <c r="A32" s="46"/>
      <c r="B32" s="47" t="str">
        <f t="shared" si="0"/>
        <v/>
      </c>
      <c r="C32" s="48"/>
      <c r="D32" s="49"/>
      <c r="E32" s="49"/>
      <c r="F32" s="49"/>
      <c r="G32" s="49"/>
      <c r="H32" s="50" t="str">
        <f>IF($B32="","",IF($J32="X",B32,CONCATENATE(VLOOKUP(B32,Competitors!$A$2:$I$650,3,FALSE)," ",VLOOKUP(B32,Competitors!$A$2:$I$650,2,FALSE))))</f>
        <v/>
      </c>
      <c r="I32" s="51">
        <f t="shared" si="1"/>
        <v>0</v>
      </c>
      <c r="J32" t="str">
        <f t="shared" si="2"/>
        <v/>
      </c>
    </row>
    <row r="33" spans="1:10" ht="15">
      <c r="A33" s="46"/>
      <c r="B33" s="47" t="str">
        <f t="shared" si="0"/>
        <v/>
      </c>
      <c r="C33" s="48"/>
      <c r="D33" s="49"/>
      <c r="E33" s="49"/>
      <c r="F33" s="49"/>
      <c r="G33" s="49"/>
      <c r="H33" s="50" t="str">
        <f>IF($B33="","",IF($J33="X",B33,CONCATENATE(VLOOKUP(B33,Competitors!$A$2:$I$650,3,FALSE)," ",VLOOKUP(B33,Competitors!$A$2:$I$650,2,FALSE))))</f>
        <v/>
      </c>
      <c r="I33" s="51">
        <f t="shared" si="1"/>
        <v>0</v>
      </c>
      <c r="J33" t="str">
        <f t="shared" si="2"/>
        <v/>
      </c>
    </row>
    <row r="34" spans="1:10" ht="15">
      <c r="A34" s="46"/>
      <c r="B34" s="47" t="str">
        <f t="shared" ref="B34:B97" si="3">IF(A34="","",_xlfn.XLOOKUP(A34,ClubNames,ClubNumbers,_xlfn.XLOOKUP(A34,RoundRobinRiderNames,RoundRobinRiderDecoratedNames,A34)))</f>
        <v/>
      </c>
      <c r="C34" s="48"/>
      <c r="D34" s="49"/>
      <c r="E34" s="49"/>
      <c r="F34" s="49"/>
      <c r="G34" s="49"/>
      <c r="H34" s="50" t="str">
        <f>IF($B34="","",IF($J34="X",B34,CONCATENATE(VLOOKUP(B34,Competitors!$A$2:$I$650,3,FALSE)," ",VLOOKUP(B34,Competitors!$A$2:$I$650,2,FALSE))))</f>
        <v/>
      </c>
      <c r="I34" s="51">
        <f t="shared" si="1"/>
        <v>0</v>
      </c>
      <c r="J34" t="str">
        <f t="shared" si="2"/>
        <v/>
      </c>
    </row>
    <row r="35" spans="1:10" ht="15">
      <c r="A35" s="46"/>
      <c r="B35" s="47" t="str">
        <f t="shared" si="3"/>
        <v/>
      </c>
      <c r="C35" s="48"/>
      <c r="D35" s="49"/>
      <c r="E35" s="49"/>
      <c r="F35" s="49"/>
      <c r="G35" s="49"/>
      <c r="H35" s="50" t="str">
        <f>IF($B35="","",IF($J35="X",B35,CONCATENATE(VLOOKUP(B35,Competitors!$A$2:$I$650,3,FALSE)," ",VLOOKUP(B35,Competitors!$A$2:$I$650,2,FALSE))))</f>
        <v/>
      </c>
      <c r="I35" s="51">
        <f t="shared" si="1"/>
        <v>0</v>
      </c>
      <c r="J35" t="str">
        <f t="shared" si="2"/>
        <v/>
      </c>
    </row>
    <row r="36" spans="1:10" ht="15">
      <c r="A36" s="46"/>
      <c r="B36" s="47" t="str">
        <f t="shared" si="3"/>
        <v/>
      </c>
      <c r="C36" s="48"/>
      <c r="D36" s="49"/>
      <c r="E36" s="49"/>
      <c r="F36" s="49"/>
      <c r="G36" s="49"/>
      <c r="H36" s="50" t="str">
        <f>IF($B36="","",IF($J36="X",B36,CONCATENATE(VLOOKUP(B36,Competitors!$A$2:$I$650,3,FALSE)," ",VLOOKUP(B36,Competitors!$A$2:$I$650,2,FALSE))))</f>
        <v/>
      </c>
      <c r="I36" s="51">
        <f t="shared" si="1"/>
        <v>0</v>
      </c>
      <c r="J36" t="str">
        <f t="shared" si="2"/>
        <v/>
      </c>
    </row>
    <row r="37" spans="1:10" ht="15">
      <c r="A37" s="46"/>
      <c r="B37" s="47" t="str">
        <f t="shared" si="3"/>
        <v/>
      </c>
      <c r="C37" s="48"/>
      <c r="D37" s="49"/>
      <c r="E37" s="49"/>
      <c r="F37" s="49"/>
      <c r="G37" s="49"/>
      <c r="H37" s="50" t="str">
        <f>IF($B37="","",IF($J37="X",B37,CONCATENATE(VLOOKUP(B37,Competitors!$A$2:$I$650,3,FALSE)," ",VLOOKUP(B37,Competitors!$A$2:$I$650,2,FALSE))))</f>
        <v/>
      </c>
      <c r="I37" s="51">
        <f t="shared" si="1"/>
        <v>0</v>
      </c>
      <c r="J37" t="str">
        <f t="shared" si="2"/>
        <v/>
      </c>
    </row>
    <row r="38" spans="1:10" ht="15">
      <c r="A38" s="46"/>
      <c r="B38" s="47" t="str">
        <f t="shared" si="3"/>
        <v/>
      </c>
      <c r="C38" s="48"/>
      <c r="D38" s="49"/>
      <c r="E38" s="49"/>
      <c r="F38" s="49"/>
      <c r="G38" s="49"/>
      <c r="H38" s="50" t="str">
        <f>IF($B38="","",IF($J38="X",B38,CONCATENATE(VLOOKUP(B38,Competitors!$A$2:$I$650,3,FALSE)," ",VLOOKUP(B38,Competitors!$A$2:$I$650,2,FALSE))))</f>
        <v/>
      </c>
      <c r="I38" s="51">
        <f t="shared" si="1"/>
        <v>0</v>
      </c>
      <c r="J38" t="str">
        <f t="shared" si="2"/>
        <v/>
      </c>
    </row>
    <row r="39" spans="1:10" ht="15">
      <c r="A39" s="46"/>
      <c r="B39" s="47" t="str">
        <f t="shared" si="3"/>
        <v/>
      </c>
      <c r="C39" s="48"/>
      <c r="D39" s="49"/>
      <c r="E39" s="49"/>
      <c r="F39" s="49"/>
      <c r="G39" s="49"/>
      <c r="H39" s="50" t="str">
        <f>IF($B39="","",IF($J39="X",B39,CONCATENATE(VLOOKUP(B39,Competitors!$A$2:$I$650,3,FALSE)," ",VLOOKUP(B39,Competitors!$A$2:$I$650,2,FALSE))))</f>
        <v/>
      </c>
      <c r="I39" s="51">
        <f t="shared" si="1"/>
        <v>0</v>
      </c>
      <c r="J39" t="str">
        <f t="shared" si="2"/>
        <v/>
      </c>
    </row>
    <row r="40" spans="1:10" ht="15">
      <c r="A40" s="46"/>
      <c r="B40" s="47" t="str">
        <f t="shared" si="3"/>
        <v/>
      </c>
      <c r="C40" s="48"/>
      <c r="D40" s="49"/>
      <c r="E40" s="49"/>
      <c r="F40" s="49"/>
      <c r="G40" s="49"/>
      <c r="H40" s="50" t="str">
        <f>IF($B40="","",IF($J40="X",B40,CONCATENATE(VLOOKUP(B40,Competitors!$A$2:$I$650,3,FALSE)," ",VLOOKUP(B40,Competitors!$A$2:$I$650,2,FALSE))))</f>
        <v/>
      </c>
      <c r="I40" s="51">
        <f t="shared" si="1"/>
        <v>0</v>
      </c>
      <c r="J40" t="str">
        <f t="shared" si="2"/>
        <v/>
      </c>
    </row>
    <row r="41" spans="1:10" ht="15">
      <c r="A41" s="46"/>
      <c r="B41" s="47" t="str">
        <f t="shared" si="3"/>
        <v/>
      </c>
      <c r="C41" s="48"/>
      <c r="D41" s="49"/>
      <c r="E41" s="49"/>
      <c r="F41" s="49"/>
      <c r="G41" s="49"/>
      <c r="H41" s="50" t="str">
        <f>IF($B41="","",IF($J41="X",B41,CONCATENATE(VLOOKUP(B41,Competitors!$A$2:$I$650,3,FALSE)," ",VLOOKUP(B41,Competitors!$A$2:$I$650,2,FALSE))))</f>
        <v/>
      </c>
      <c r="I41" s="51">
        <f t="shared" si="1"/>
        <v>0</v>
      </c>
      <c r="J41" t="str">
        <f t="shared" si="2"/>
        <v/>
      </c>
    </row>
    <row r="42" spans="1:10" ht="15">
      <c r="A42" s="46"/>
      <c r="B42" s="47" t="str">
        <f t="shared" si="3"/>
        <v/>
      </c>
      <c r="C42" s="48"/>
      <c r="D42" s="49"/>
      <c r="E42" s="49"/>
      <c r="F42" s="49"/>
      <c r="G42" s="49"/>
      <c r="H42" s="50" t="str">
        <f>IF($B42="","",IF($J42="X",B42,CONCATENATE(VLOOKUP(B42,Competitors!$A$2:$I$650,3,FALSE)," ",VLOOKUP(B42,Competitors!$A$2:$I$650,2,FALSE))))</f>
        <v/>
      </c>
      <c r="I42" s="51">
        <f t="shared" si="1"/>
        <v>0</v>
      </c>
      <c r="J42" t="str">
        <f t="shared" si="2"/>
        <v/>
      </c>
    </row>
    <row r="43" spans="1:10" ht="15">
      <c r="A43" s="46"/>
      <c r="B43" s="47" t="str">
        <f t="shared" si="3"/>
        <v/>
      </c>
      <c r="C43" s="48"/>
      <c r="D43" s="49"/>
      <c r="E43" s="49"/>
      <c r="F43" s="49"/>
      <c r="G43" s="49"/>
      <c r="H43" s="50" t="str">
        <f>IF($B43="","",IF($J43="X",B43,CONCATENATE(VLOOKUP(B43,Competitors!$A$2:$I$650,3,FALSE)," ",VLOOKUP(B43,Competitors!$A$2:$I$650,2,FALSE))))</f>
        <v/>
      </c>
      <c r="I43" s="51">
        <f t="shared" si="1"/>
        <v>0</v>
      </c>
      <c r="J43" t="str">
        <f t="shared" si="2"/>
        <v/>
      </c>
    </row>
    <row r="44" spans="1:10" ht="15">
      <c r="A44" s="46"/>
      <c r="B44" s="47" t="str">
        <f t="shared" si="3"/>
        <v/>
      </c>
      <c r="C44" s="48"/>
      <c r="D44" s="49"/>
      <c r="E44" s="49"/>
      <c r="F44" s="49"/>
      <c r="G44" s="49"/>
      <c r="H44" s="50" t="str">
        <f>IF($B44="","",IF($J44="X",B44,CONCATENATE(VLOOKUP(B44,Competitors!$A$2:$I$650,3,FALSE)," ",VLOOKUP(B44,Competitors!$A$2:$I$650,2,FALSE))))</f>
        <v/>
      </c>
      <c r="I44" s="51">
        <f t="shared" si="1"/>
        <v>0</v>
      </c>
      <c r="J44" t="str">
        <f t="shared" si="2"/>
        <v/>
      </c>
    </row>
    <row r="45" spans="1:10" ht="15">
      <c r="A45" s="46"/>
      <c r="B45" s="47" t="str">
        <f t="shared" si="3"/>
        <v/>
      </c>
      <c r="C45" s="48"/>
      <c r="D45" s="49"/>
      <c r="E45" s="49"/>
      <c r="F45" s="49"/>
      <c r="G45" s="49"/>
      <c r="H45" s="50" t="str">
        <f>IF($B45="","",IF($J45="X",B45,CONCATENATE(VLOOKUP(B45,Competitors!$A$2:$I$650,3,FALSE)," ",VLOOKUP(B45,Competitors!$A$2:$I$650,2,FALSE))))</f>
        <v/>
      </c>
      <c r="I45" s="51">
        <f t="shared" si="1"/>
        <v>0</v>
      </c>
      <c r="J45" t="str">
        <f t="shared" si="2"/>
        <v/>
      </c>
    </row>
    <row r="46" spans="1:10" ht="15">
      <c r="A46" s="46"/>
      <c r="B46" s="47" t="str">
        <f t="shared" si="3"/>
        <v/>
      </c>
      <c r="C46" s="48"/>
      <c r="D46" s="49"/>
      <c r="E46" s="49"/>
      <c r="F46" s="49"/>
      <c r="G46" s="49"/>
      <c r="H46" s="50" t="str">
        <f>IF($B46="","",IF($J46="X",B46,CONCATENATE(VLOOKUP(B46,Competitors!$A$2:$I$650,3,FALSE)," ",VLOOKUP(B46,Competitors!$A$2:$I$650,2,FALSE))))</f>
        <v/>
      </c>
      <c r="I46" s="51">
        <f t="shared" si="1"/>
        <v>0</v>
      </c>
      <c r="J46" t="str">
        <f t="shared" si="2"/>
        <v/>
      </c>
    </row>
    <row r="47" spans="1:10" ht="15">
      <c r="A47" s="46"/>
      <c r="B47" s="47" t="str">
        <f t="shared" si="3"/>
        <v/>
      </c>
      <c r="C47" s="48"/>
      <c r="D47" s="49"/>
      <c r="E47" s="49"/>
      <c r="F47" s="49"/>
      <c r="G47" s="49"/>
      <c r="H47" s="50" t="str">
        <f>IF($B47="","",IF($J47="X",B47,CONCATENATE(VLOOKUP(B47,Competitors!$A$2:$I$650,3,FALSE)," ",VLOOKUP(B47,Competitors!$A$2:$I$650,2,FALSE))))</f>
        <v/>
      </c>
      <c r="I47" s="51">
        <f t="shared" si="1"/>
        <v>0</v>
      </c>
      <c r="J47" t="str">
        <f t="shared" si="2"/>
        <v/>
      </c>
    </row>
    <row r="48" spans="1:10" ht="15">
      <c r="A48" s="46"/>
      <c r="B48" s="47" t="str">
        <f t="shared" si="3"/>
        <v/>
      </c>
      <c r="C48" s="48"/>
      <c r="D48" s="49"/>
      <c r="E48" s="49"/>
      <c r="F48" s="49"/>
      <c r="G48" s="49"/>
      <c r="H48" s="50" t="str">
        <f>IF($B48="","",IF($J48="X",B48,CONCATENATE(VLOOKUP(B48,Competitors!$A$2:$I$650,3,FALSE)," ",VLOOKUP(B48,Competitors!$A$2:$I$650,2,FALSE))))</f>
        <v/>
      </c>
      <c r="I48" s="51">
        <f t="shared" si="1"/>
        <v>0</v>
      </c>
      <c r="J48" t="str">
        <f t="shared" si="2"/>
        <v/>
      </c>
    </row>
    <row r="49" spans="1:10" ht="15">
      <c r="A49" s="46"/>
      <c r="B49" s="47" t="str">
        <f t="shared" si="3"/>
        <v/>
      </c>
      <c r="C49" s="48"/>
      <c r="D49" s="49"/>
      <c r="E49" s="49"/>
      <c r="F49" s="49"/>
      <c r="G49" s="49"/>
      <c r="H49" s="50" t="str">
        <f>IF($B49="","",IF($J49="X",B49,CONCATENATE(VLOOKUP(B49,Competitors!$A$2:$I$650,3,FALSE)," ",VLOOKUP(B49,Competitors!$A$2:$I$650,2,FALSE))))</f>
        <v/>
      </c>
      <c r="I49" s="51">
        <f t="shared" si="1"/>
        <v>0</v>
      </c>
      <c r="J49" t="str">
        <f t="shared" si="2"/>
        <v/>
      </c>
    </row>
    <row r="50" spans="1:10" ht="15">
      <c r="A50" s="46"/>
      <c r="B50" s="47" t="str">
        <f t="shared" si="3"/>
        <v/>
      </c>
      <c r="C50" s="48"/>
      <c r="D50" s="49"/>
      <c r="E50" s="49"/>
      <c r="F50" s="49"/>
      <c r="G50" s="49"/>
      <c r="H50" s="50" t="str">
        <f>IF($B50="","",IF($J50="X",B50,CONCATENATE(VLOOKUP(B50,Competitors!$A$2:$I$650,3,FALSE)," ",VLOOKUP(B50,Competitors!$A$2:$I$650,2,FALSE))))</f>
        <v/>
      </c>
      <c r="I50" s="51">
        <f t="shared" si="1"/>
        <v>0</v>
      </c>
      <c r="J50" t="str">
        <f t="shared" si="2"/>
        <v/>
      </c>
    </row>
    <row r="51" spans="1:10" ht="15">
      <c r="A51" s="46"/>
      <c r="B51" s="47" t="str">
        <f t="shared" si="3"/>
        <v/>
      </c>
      <c r="C51" s="48"/>
      <c r="D51" s="49"/>
      <c r="E51" s="49"/>
      <c r="F51" s="49"/>
      <c r="G51" s="49"/>
      <c r="H51" s="50" t="str">
        <f>IF($B51="","",IF($J51="X",B51,CONCATENATE(VLOOKUP(B51,Competitors!$A$2:$I$650,3,FALSE)," ",VLOOKUP(B51,Competitors!$A$2:$I$650,2,FALSE))))</f>
        <v/>
      </c>
      <c r="I51" s="51">
        <f t="shared" si="1"/>
        <v>0</v>
      </c>
      <c r="J51" t="str">
        <f t="shared" si="2"/>
        <v/>
      </c>
    </row>
    <row r="52" spans="1:10" ht="15">
      <c r="A52" s="46"/>
      <c r="B52" s="47" t="str">
        <f t="shared" si="3"/>
        <v/>
      </c>
      <c r="C52" s="48"/>
      <c r="D52" s="49"/>
      <c r="E52" s="49"/>
      <c r="F52" s="49"/>
      <c r="G52" s="49"/>
      <c r="H52" s="50" t="str">
        <f>IF($B52="","",IF($J52="X",B52,CONCATENATE(VLOOKUP(B52,Competitors!$A$2:$I$650,3,FALSE)," ",VLOOKUP(B52,Competitors!$A$2:$I$650,2,FALSE))))</f>
        <v/>
      </c>
      <c r="I52" s="51">
        <f t="shared" si="1"/>
        <v>0</v>
      </c>
      <c r="J52" t="str">
        <f t="shared" si="2"/>
        <v/>
      </c>
    </row>
    <row r="53" spans="1:10" ht="15">
      <c r="A53" s="46"/>
      <c r="B53" s="47" t="str">
        <f t="shared" si="3"/>
        <v/>
      </c>
      <c r="C53" s="48"/>
      <c r="D53" s="49"/>
      <c r="E53" s="49"/>
      <c r="F53" s="49"/>
      <c r="G53" s="49"/>
      <c r="H53" s="50" t="str">
        <f>IF($B53="","",IF($J53="X",B53,CONCATENATE(VLOOKUP(B53,Competitors!$A$2:$I$650,3,FALSE)," ",VLOOKUP(B53,Competitors!$A$2:$I$650,2,FALSE))))</f>
        <v/>
      </c>
      <c r="I53" s="51">
        <f t="shared" si="1"/>
        <v>0</v>
      </c>
      <c r="J53" t="str">
        <f t="shared" si="2"/>
        <v/>
      </c>
    </row>
    <row r="54" spans="1:10" ht="15">
      <c r="A54" s="46"/>
      <c r="B54" s="47" t="str">
        <f t="shared" si="3"/>
        <v/>
      </c>
      <c r="C54" s="48"/>
      <c r="D54" s="49"/>
      <c r="E54" s="49"/>
      <c r="F54" s="49"/>
      <c r="G54" s="49"/>
      <c r="H54" s="50" t="str">
        <f>IF($B54="","",IF($J54="X",B54,CONCATENATE(VLOOKUP(B54,Competitors!$A$2:$I$650,3,FALSE)," ",VLOOKUP(B54,Competitors!$A$2:$I$650,2,FALSE))))</f>
        <v/>
      </c>
      <c r="I54" s="51">
        <f t="shared" si="1"/>
        <v>0</v>
      </c>
      <c r="J54" t="str">
        <f t="shared" si="2"/>
        <v/>
      </c>
    </row>
    <row r="55" spans="1:10" ht="15">
      <c r="A55" s="46"/>
      <c r="B55" s="47" t="str">
        <f t="shared" si="3"/>
        <v/>
      </c>
      <c r="C55" s="48"/>
      <c r="D55" s="49"/>
      <c r="E55" s="49"/>
      <c r="F55" s="49"/>
      <c r="G55" s="49"/>
      <c r="H55" s="50" t="str">
        <f>IF($B55="","",IF($J55="X",B55,CONCATENATE(VLOOKUP(B55,Competitors!$A$2:$I$650,3,FALSE)," ",VLOOKUP(B55,Competitors!$A$2:$I$650,2,FALSE))))</f>
        <v/>
      </c>
      <c r="I55" s="51">
        <f t="shared" si="1"/>
        <v>0</v>
      </c>
      <c r="J55" t="str">
        <f t="shared" si="2"/>
        <v/>
      </c>
    </row>
    <row r="56" spans="1:10" ht="15">
      <c r="A56" s="46"/>
      <c r="B56" s="47" t="str">
        <f t="shared" si="3"/>
        <v/>
      </c>
      <c r="C56" s="48"/>
      <c r="D56" s="49"/>
      <c r="E56" s="49"/>
      <c r="F56" s="49"/>
      <c r="G56" s="49"/>
      <c r="H56" s="50" t="str">
        <f>IF($B56="","",IF($J56="X",B56,CONCATENATE(VLOOKUP(B56,Competitors!$A$2:$I$650,3,FALSE)," ",VLOOKUP(B56,Competitors!$A$2:$I$650,2,FALSE))))</f>
        <v/>
      </c>
      <c r="I56" s="51">
        <f t="shared" si="1"/>
        <v>0</v>
      </c>
      <c r="J56" t="str">
        <f t="shared" si="2"/>
        <v/>
      </c>
    </row>
    <row r="57" spans="1:10" ht="15">
      <c r="A57" s="46"/>
      <c r="B57" s="47" t="str">
        <f t="shared" si="3"/>
        <v/>
      </c>
      <c r="C57" s="48"/>
      <c r="D57" s="49"/>
      <c r="E57" s="49"/>
      <c r="F57" s="49"/>
      <c r="G57" s="49"/>
      <c r="H57" s="50" t="str">
        <f>IF($B57="","",IF($J57="X",B57,CONCATENATE(VLOOKUP(B57,Competitors!$A$2:$I$650,3,FALSE)," ",VLOOKUP(B57,Competitors!$A$2:$I$650,2,FALSE))))</f>
        <v/>
      </c>
      <c r="I57" s="51">
        <f t="shared" si="1"/>
        <v>0</v>
      </c>
      <c r="J57" t="str">
        <f t="shared" si="2"/>
        <v/>
      </c>
    </row>
    <row r="58" spans="1:10" ht="15">
      <c r="A58" s="46"/>
      <c r="B58" s="47" t="str">
        <f t="shared" si="3"/>
        <v/>
      </c>
      <c r="C58" s="48"/>
      <c r="D58" s="49"/>
      <c r="E58" s="49"/>
      <c r="F58" s="49"/>
      <c r="G58" s="49"/>
      <c r="H58" s="50" t="str">
        <f>IF($B58="","",IF($J58="X",B58,CONCATENATE(VLOOKUP(B58,Competitors!$A$2:$I$650,3,FALSE)," ",VLOOKUP(B58,Competitors!$A$2:$I$650,2,FALSE))))</f>
        <v/>
      </c>
      <c r="I58" s="51">
        <f t="shared" si="1"/>
        <v>0</v>
      </c>
      <c r="J58" t="str">
        <f t="shared" si="2"/>
        <v/>
      </c>
    </row>
    <row r="59" spans="1:10" ht="15">
      <c r="A59" s="46"/>
      <c r="B59" s="47" t="str">
        <f t="shared" si="3"/>
        <v/>
      </c>
      <c r="C59" s="48"/>
      <c r="D59" s="49"/>
      <c r="E59" s="49"/>
      <c r="F59" s="49"/>
      <c r="G59" s="49"/>
      <c r="H59" s="50" t="str">
        <f>IF($B59="","",IF($J59="X",B59,CONCATENATE(VLOOKUP(B59,Competitors!$A$2:$I$650,3,FALSE)," ",VLOOKUP(B59,Competitors!$A$2:$I$650,2,FALSE))))</f>
        <v/>
      </c>
      <c r="I59" s="51">
        <f t="shared" si="1"/>
        <v>0</v>
      </c>
      <c r="J59" t="str">
        <f t="shared" si="2"/>
        <v/>
      </c>
    </row>
    <row r="60" spans="1:10" ht="15">
      <c r="A60" s="46"/>
      <c r="B60" s="47" t="str">
        <f t="shared" si="3"/>
        <v/>
      </c>
      <c r="C60" s="48"/>
      <c r="D60" s="49"/>
      <c r="E60" s="49"/>
      <c r="F60" s="49"/>
      <c r="G60" s="49"/>
      <c r="H60" s="50" t="str">
        <f>IF($B60="","",IF($J60="X",B60,CONCATENATE(VLOOKUP(B60,Competitors!$A$2:$I$650,3,FALSE)," ",VLOOKUP(B60,Competitors!$A$2:$I$650,2,FALSE))))</f>
        <v/>
      </c>
      <c r="I60" s="51">
        <f t="shared" si="1"/>
        <v>0</v>
      </c>
      <c r="J60" t="str">
        <f t="shared" si="2"/>
        <v/>
      </c>
    </row>
    <row r="61" spans="1:10" ht="15">
      <c r="A61" s="46"/>
      <c r="B61" s="47" t="str">
        <f t="shared" si="3"/>
        <v/>
      </c>
      <c r="C61" s="48"/>
      <c r="D61" s="49"/>
      <c r="E61" s="49"/>
      <c r="F61" s="49"/>
      <c r="G61" s="49"/>
      <c r="H61" s="50" t="str">
        <f>IF($B61="","",IF($J61="X",B61,CONCATENATE(VLOOKUP(B61,Competitors!$A$2:$I$650,3,FALSE)," ",VLOOKUP(B61,Competitors!$A$2:$I$650,2,FALSE))))</f>
        <v/>
      </c>
      <c r="I61" s="51">
        <f t="shared" si="1"/>
        <v>0</v>
      </c>
      <c r="J61" t="str">
        <f t="shared" si="2"/>
        <v/>
      </c>
    </row>
    <row r="62" spans="1:10" ht="15">
      <c r="A62" s="46"/>
      <c r="B62" s="47" t="str">
        <f t="shared" si="3"/>
        <v/>
      </c>
      <c r="C62" s="48"/>
      <c r="D62" s="49"/>
      <c r="E62" s="49"/>
      <c r="F62" s="49"/>
      <c r="G62" s="49"/>
      <c r="H62" s="50" t="str">
        <f>IF($B62="","",IF($J62="X",B62,CONCATENATE(VLOOKUP(B62,Competitors!$A$2:$I$650,3,FALSE)," ",VLOOKUP(B62,Competitors!$A$2:$I$650,2,FALSE))))</f>
        <v/>
      </c>
      <c r="I62" s="51">
        <f t="shared" si="1"/>
        <v>0</v>
      </c>
      <c r="J62" t="str">
        <f t="shared" si="2"/>
        <v/>
      </c>
    </row>
    <row r="63" spans="1:10" ht="15">
      <c r="A63" s="46"/>
      <c r="B63" s="47" t="str">
        <f t="shared" si="3"/>
        <v/>
      </c>
      <c r="C63" s="48"/>
      <c r="D63" s="49"/>
      <c r="E63" s="49"/>
      <c r="F63" s="49"/>
      <c r="G63" s="49"/>
      <c r="H63" s="50" t="str">
        <f>IF($B63="","",IF($J63="X",B63,CONCATENATE(VLOOKUP(B63,Competitors!$A$2:$I$650,3,FALSE)," ",VLOOKUP(B63,Competitors!$A$2:$I$650,2,FALSE))))</f>
        <v/>
      </c>
      <c r="I63" s="51">
        <f t="shared" si="1"/>
        <v>0</v>
      </c>
      <c r="J63" t="str">
        <f t="shared" si="2"/>
        <v/>
      </c>
    </row>
    <row r="64" spans="1:10" ht="15">
      <c r="A64" s="46"/>
      <c r="B64" s="47" t="str">
        <f t="shared" si="3"/>
        <v/>
      </c>
      <c r="C64" s="48"/>
      <c r="D64" s="49"/>
      <c r="E64" s="49"/>
      <c r="F64" s="49"/>
      <c r="G64" s="49"/>
      <c r="H64" s="50" t="str">
        <f>IF($B64="","",IF($J64="X",B64,CONCATENATE(VLOOKUP(B64,Competitors!$A$2:$I$650,3,FALSE)," ",VLOOKUP(B64,Competitors!$A$2:$I$650,2,FALSE))))</f>
        <v/>
      </c>
      <c r="I64" s="51">
        <f t="shared" si="1"/>
        <v>0</v>
      </c>
      <c r="J64" t="str">
        <f t="shared" si="2"/>
        <v/>
      </c>
    </row>
    <row r="65" spans="1:10" ht="15">
      <c r="A65" s="46"/>
      <c r="B65" s="47" t="str">
        <f t="shared" si="3"/>
        <v/>
      </c>
      <c r="C65" s="48"/>
      <c r="D65" s="49"/>
      <c r="E65" s="49"/>
      <c r="F65" s="49"/>
      <c r="G65" s="49"/>
      <c r="H65" s="50" t="str">
        <f>IF($B65="","",IF($J65="X",B65,CONCATENATE(VLOOKUP(B65,Competitors!$A$2:$I$650,3,FALSE)," ",VLOOKUP(B65,Competitors!$A$2:$I$650,2,FALSE))))</f>
        <v/>
      </c>
      <c r="I65" s="51">
        <f t="shared" si="1"/>
        <v>0</v>
      </c>
      <c r="J65" t="str">
        <f t="shared" si="2"/>
        <v/>
      </c>
    </row>
    <row r="66" spans="1:10" ht="15">
      <c r="A66" s="46"/>
      <c r="B66" s="47" t="str">
        <f t="shared" si="3"/>
        <v/>
      </c>
      <c r="C66" s="48"/>
      <c r="D66" s="49"/>
      <c r="E66" s="49"/>
      <c r="F66" s="49"/>
      <c r="G66" s="49"/>
      <c r="H66" s="50" t="str">
        <f>IF($B66="","",IF($J66="X",B66,CONCATENATE(VLOOKUP(B66,Competitors!$A$2:$I$650,3,FALSE)," ",VLOOKUP(B66,Competitors!$A$2:$I$650,2,FALSE))))</f>
        <v/>
      </c>
      <c r="I66" s="51">
        <f t="shared" ref="I66:I101" si="4">IF(LEFT($F66,1)="D",UPPER($F66),(C66*3600+D66*60+E66)/86400)</f>
        <v>0</v>
      </c>
      <c r="J66" t="str">
        <f t="shared" ref="J66:J101" si="5">IF(OR(B66="",ISNUMBER(B66)),"","X")</f>
        <v/>
      </c>
    </row>
    <row r="67" spans="1:10" ht="15">
      <c r="A67" s="46"/>
      <c r="B67" s="47" t="str">
        <f t="shared" si="3"/>
        <v/>
      </c>
      <c r="C67" s="48"/>
      <c r="D67" s="49"/>
      <c r="E67" s="49"/>
      <c r="F67" s="49"/>
      <c r="G67" s="49"/>
      <c r="H67" s="50" t="str">
        <f>IF($B67="","",IF($J67="X",B67,CONCATENATE(VLOOKUP(B67,Competitors!$A$2:$I$650,3,FALSE)," ",VLOOKUP(B67,Competitors!$A$2:$I$650,2,FALSE))))</f>
        <v/>
      </c>
      <c r="I67" s="51">
        <f t="shared" si="4"/>
        <v>0</v>
      </c>
      <c r="J67" t="str">
        <f t="shared" si="5"/>
        <v/>
      </c>
    </row>
    <row r="68" spans="1:10" ht="15">
      <c r="A68" s="46"/>
      <c r="B68" s="47" t="str">
        <f t="shared" si="3"/>
        <v/>
      </c>
      <c r="C68" s="48"/>
      <c r="D68" s="49"/>
      <c r="E68" s="49"/>
      <c r="F68" s="49"/>
      <c r="G68" s="49"/>
      <c r="H68" s="50" t="str">
        <f>IF($B68="","",IF($J68="X",B68,CONCATENATE(VLOOKUP(B68,Competitors!$A$2:$I$650,3,FALSE)," ",VLOOKUP(B68,Competitors!$A$2:$I$650,2,FALSE))))</f>
        <v/>
      </c>
      <c r="I68" s="51">
        <f t="shared" si="4"/>
        <v>0</v>
      </c>
      <c r="J68" t="str">
        <f t="shared" si="5"/>
        <v/>
      </c>
    </row>
    <row r="69" spans="1:10" ht="15">
      <c r="A69" s="46"/>
      <c r="B69" s="47" t="str">
        <f t="shared" si="3"/>
        <v/>
      </c>
      <c r="C69" s="48"/>
      <c r="D69" s="49"/>
      <c r="E69" s="49"/>
      <c r="F69" s="49"/>
      <c r="G69" s="49"/>
      <c r="H69" s="50" t="str">
        <f>IF($B69="","",IF($J69="X",B69,CONCATENATE(VLOOKUP(B69,Competitors!$A$2:$I$650,3,FALSE)," ",VLOOKUP(B69,Competitors!$A$2:$I$650,2,FALSE))))</f>
        <v/>
      </c>
      <c r="I69" s="51">
        <f t="shared" si="4"/>
        <v>0</v>
      </c>
      <c r="J69" t="str">
        <f t="shared" si="5"/>
        <v/>
      </c>
    </row>
    <row r="70" spans="1:10" ht="15">
      <c r="A70" s="46"/>
      <c r="B70" s="47" t="str">
        <f t="shared" si="3"/>
        <v/>
      </c>
      <c r="C70" s="48"/>
      <c r="D70" s="49"/>
      <c r="E70" s="49"/>
      <c r="F70" s="49"/>
      <c r="G70" s="49"/>
      <c r="H70" s="50" t="str">
        <f>IF($B70="","",IF($J70="X",B70,CONCATENATE(VLOOKUP(B70,Competitors!$A$2:$I$650,3,FALSE)," ",VLOOKUP(B70,Competitors!$A$2:$I$650,2,FALSE))))</f>
        <v/>
      </c>
      <c r="I70" s="51">
        <f t="shared" si="4"/>
        <v>0</v>
      </c>
      <c r="J70" t="str">
        <f t="shared" si="5"/>
        <v/>
      </c>
    </row>
    <row r="71" spans="1:10" ht="15">
      <c r="A71" s="46"/>
      <c r="B71" s="47" t="str">
        <f t="shared" si="3"/>
        <v/>
      </c>
      <c r="C71" s="48"/>
      <c r="D71" s="49"/>
      <c r="E71" s="49"/>
      <c r="F71" s="49"/>
      <c r="G71" s="49"/>
      <c r="H71" s="50" t="str">
        <f>IF($B71="","",IF($J71="X",B71,CONCATENATE(VLOOKUP(B71,Competitors!$A$2:$I$650,3,FALSE)," ",VLOOKUP(B71,Competitors!$A$2:$I$650,2,FALSE))))</f>
        <v/>
      </c>
      <c r="I71" s="51">
        <f t="shared" si="4"/>
        <v>0</v>
      </c>
      <c r="J71" t="str">
        <f t="shared" si="5"/>
        <v/>
      </c>
    </row>
    <row r="72" spans="1:10" ht="15">
      <c r="A72" s="46"/>
      <c r="B72" s="47" t="str">
        <f t="shared" si="3"/>
        <v/>
      </c>
      <c r="C72" s="48"/>
      <c r="D72" s="49"/>
      <c r="E72" s="49"/>
      <c r="F72" s="49"/>
      <c r="G72" s="49"/>
      <c r="H72" s="50" t="str">
        <f>IF($B72="","",IF($J72="X",B72,CONCATENATE(VLOOKUP(B72,Competitors!$A$2:$I$650,3,FALSE)," ",VLOOKUP(B72,Competitors!$A$2:$I$650,2,FALSE))))</f>
        <v/>
      </c>
      <c r="I72" s="51">
        <f t="shared" si="4"/>
        <v>0</v>
      </c>
      <c r="J72" t="str">
        <f t="shared" si="5"/>
        <v/>
      </c>
    </row>
    <row r="73" spans="1:10" ht="15">
      <c r="A73" s="46"/>
      <c r="B73" s="47" t="str">
        <f t="shared" si="3"/>
        <v/>
      </c>
      <c r="C73" s="48"/>
      <c r="D73" s="49"/>
      <c r="E73" s="49"/>
      <c r="F73" s="49"/>
      <c r="G73" s="49"/>
      <c r="H73" s="50" t="str">
        <f>IF($B73="","",IF($J73="X",B73,CONCATENATE(VLOOKUP(B73,Competitors!$A$2:$I$650,3,FALSE)," ",VLOOKUP(B73,Competitors!$A$2:$I$650,2,FALSE))))</f>
        <v/>
      </c>
      <c r="I73" s="51">
        <f t="shared" si="4"/>
        <v>0</v>
      </c>
      <c r="J73" t="str">
        <f t="shared" si="5"/>
        <v/>
      </c>
    </row>
    <row r="74" spans="1:10" ht="15">
      <c r="A74" s="46"/>
      <c r="B74" s="47" t="str">
        <f t="shared" si="3"/>
        <v/>
      </c>
      <c r="C74" s="48"/>
      <c r="D74" s="49"/>
      <c r="E74" s="49"/>
      <c r="F74" s="49"/>
      <c r="G74" s="49"/>
      <c r="H74" s="50" t="str">
        <f>IF($B74="","",IF($J74="X",B74,CONCATENATE(VLOOKUP(B74,Competitors!$A$2:$I$650,3,FALSE)," ",VLOOKUP(B74,Competitors!$A$2:$I$650,2,FALSE))))</f>
        <v/>
      </c>
      <c r="I74" s="51">
        <f t="shared" si="4"/>
        <v>0</v>
      </c>
      <c r="J74" t="str">
        <f t="shared" si="5"/>
        <v/>
      </c>
    </row>
    <row r="75" spans="1:10" ht="15">
      <c r="A75" s="46"/>
      <c r="B75" s="47" t="str">
        <f t="shared" si="3"/>
        <v/>
      </c>
      <c r="C75" s="48"/>
      <c r="D75" s="49"/>
      <c r="E75" s="49"/>
      <c r="F75" s="49"/>
      <c r="G75" s="49"/>
      <c r="H75" s="50" t="str">
        <f>IF($B75="","",IF($J75="X",B75,CONCATENATE(VLOOKUP(B75,Competitors!$A$2:$I$650,3,FALSE)," ",VLOOKUP(B75,Competitors!$A$2:$I$650,2,FALSE))))</f>
        <v/>
      </c>
      <c r="I75" s="51">
        <f t="shared" si="4"/>
        <v>0</v>
      </c>
      <c r="J75" t="str">
        <f t="shared" si="5"/>
        <v/>
      </c>
    </row>
    <row r="76" spans="1:10" ht="15">
      <c r="A76" s="46"/>
      <c r="B76" s="47" t="str">
        <f t="shared" si="3"/>
        <v/>
      </c>
      <c r="C76" s="48"/>
      <c r="D76" s="49"/>
      <c r="E76" s="49"/>
      <c r="F76" s="49"/>
      <c r="G76" s="49"/>
      <c r="H76" s="50" t="str">
        <f>IF($B76="","",IF($J76="X",B76,CONCATENATE(VLOOKUP(B76,Competitors!$A$2:$I$650,3,FALSE)," ",VLOOKUP(B76,Competitors!$A$2:$I$650,2,FALSE))))</f>
        <v/>
      </c>
      <c r="I76" s="51">
        <f t="shared" si="4"/>
        <v>0</v>
      </c>
      <c r="J76" t="str">
        <f t="shared" si="5"/>
        <v/>
      </c>
    </row>
    <row r="77" spans="1:10" ht="15">
      <c r="A77" s="46"/>
      <c r="B77" s="47" t="str">
        <f t="shared" si="3"/>
        <v/>
      </c>
      <c r="C77" s="48"/>
      <c r="D77" s="49"/>
      <c r="E77" s="49"/>
      <c r="F77" s="49"/>
      <c r="G77" s="49"/>
      <c r="H77" s="50" t="str">
        <f>IF($B77="","",IF($J77="X",B77,CONCATENATE(VLOOKUP(B77,Competitors!$A$2:$I$650,3,FALSE)," ",VLOOKUP(B77,Competitors!$A$2:$I$650,2,FALSE))))</f>
        <v/>
      </c>
      <c r="I77" s="51">
        <f t="shared" si="4"/>
        <v>0</v>
      </c>
      <c r="J77" t="str">
        <f t="shared" si="5"/>
        <v/>
      </c>
    </row>
    <row r="78" spans="1:10" ht="15">
      <c r="A78" s="46"/>
      <c r="B78" s="47" t="str">
        <f t="shared" si="3"/>
        <v/>
      </c>
      <c r="C78" s="48"/>
      <c r="D78" s="49"/>
      <c r="E78" s="49"/>
      <c r="F78" s="49"/>
      <c r="G78" s="49"/>
      <c r="H78" s="50" t="str">
        <f>IF($B78="","",IF($J78="X",B78,CONCATENATE(VLOOKUP(B78,Competitors!$A$2:$I$650,3,FALSE)," ",VLOOKUP(B78,Competitors!$A$2:$I$650,2,FALSE))))</f>
        <v/>
      </c>
      <c r="I78" s="51">
        <f t="shared" si="4"/>
        <v>0</v>
      </c>
      <c r="J78" t="str">
        <f t="shared" si="5"/>
        <v/>
      </c>
    </row>
    <row r="79" spans="1:10" ht="15">
      <c r="A79" s="46"/>
      <c r="B79" s="47" t="str">
        <f t="shared" si="3"/>
        <v/>
      </c>
      <c r="C79" s="48"/>
      <c r="D79" s="49"/>
      <c r="E79" s="49"/>
      <c r="F79" s="49"/>
      <c r="G79" s="49"/>
      <c r="H79" s="50" t="str">
        <f>IF($B79="","",IF($J79="X",B79,CONCATENATE(VLOOKUP(B79,Competitors!$A$2:$I$650,3,FALSE)," ",VLOOKUP(B79,Competitors!$A$2:$I$650,2,FALSE))))</f>
        <v/>
      </c>
      <c r="I79" s="51">
        <f t="shared" si="4"/>
        <v>0</v>
      </c>
      <c r="J79" t="str">
        <f t="shared" si="5"/>
        <v/>
      </c>
    </row>
    <row r="80" spans="1:10" ht="15">
      <c r="A80" s="46"/>
      <c r="B80" s="47" t="str">
        <f t="shared" si="3"/>
        <v/>
      </c>
      <c r="C80" s="48"/>
      <c r="D80" s="49"/>
      <c r="E80" s="49"/>
      <c r="F80" s="49"/>
      <c r="G80" s="49"/>
      <c r="H80" s="50" t="str">
        <f>IF($B80="","",IF($J80="X",B80,CONCATENATE(VLOOKUP(B80,Competitors!$A$2:$I$650,3,FALSE)," ",VLOOKUP(B80,Competitors!$A$2:$I$650,2,FALSE))))</f>
        <v/>
      </c>
      <c r="I80" s="51">
        <f t="shared" si="4"/>
        <v>0</v>
      </c>
      <c r="J80" t="str">
        <f t="shared" si="5"/>
        <v/>
      </c>
    </row>
    <row r="81" spans="1:10" ht="15">
      <c r="A81" s="46"/>
      <c r="B81" s="47" t="str">
        <f t="shared" si="3"/>
        <v/>
      </c>
      <c r="C81" s="48"/>
      <c r="D81" s="49"/>
      <c r="E81" s="49"/>
      <c r="F81" s="49"/>
      <c r="G81" s="49"/>
      <c r="H81" s="50" t="str">
        <f>IF($B81="","",IF($J81="X",B81,CONCATENATE(VLOOKUP(B81,Competitors!$A$2:$I$650,3,FALSE)," ",VLOOKUP(B81,Competitors!$A$2:$I$650,2,FALSE))))</f>
        <v/>
      </c>
      <c r="I81" s="51">
        <f t="shared" si="4"/>
        <v>0</v>
      </c>
      <c r="J81" t="str">
        <f t="shared" si="5"/>
        <v/>
      </c>
    </row>
    <row r="82" spans="1:10" ht="15">
      <c r="A82" s="46"/>
      <c r="B82" s="47" t="str">
        <f t="shared" si="3"/>
        <v/>
      </c>
      <c r="C82" s="48"/>
      <c r="D82" s="49"/>
      <c r="E82" s="49"/>
      <c r="F82" s="49"/>
      <c r="G82" s="49"/>
      <c r="H82" s="50" t="str">
        <f>IF($B82="","",IF($J82="X",B82,CONCATENATE(VLOOKUP(B82,Competitors!$A$2:$I$650,3,FALSE)," ",VLOOKUP(B82,Competitors!$A$2:$I$650,2,FALSE))))</f>
        <v/>
      </c>
      <c r="I82" s="51">
        <f t="shared" si="4"/>
        <v>0</v>
      </c>
      <c r="J82" t="str">
        <f t="shared" si="5"/>
        <v/>
      </c>
    </row>
    <row r="83" spans="1:10" ht="15">
      <c r="A83" s="46"/>
      <c r="B83" s="47" t="str">
        <f t="shared" si="3"/>
        <v/>
      </c>
      <c r="C83" s="48"/>
      <c r="D83" s="49"/>
      <c r="E83" s="49"/>
      <c r="F83" s="49"/>
      <c r="G83" s="49"/>
      <c r="H83" s="50" t="str">
        <f>IF($B83="","",IF($J83="X",B83,CONCATENATE(VLOOKUP(B83,Competitors!$A$2:$I$650,3,FALSE)," ",VLOOKUP(B83,Competitors!$A$2:$I$650,2,FALSE))))</f>
        <v/>
      </c>
      <c r="I83" s="51">
        <f t="shared" si="4"/>
        <v>0</v>
      </c>
      <c r="J83" t="str">
        <f t="shared" si="5"/>
        <v/>
      </c>
    </row>
    <row r="84" spans="1:10" ht="15">
      <c r="A84" s="46"/>
      <c r="B84" s="47" t="str">
        <f t="shared" si="3"/>
        <v/>
      </c>
      <c r="C84" s="48"/>
      <c r="D84" s="49"/>
      <c r="E84" s="49"/>
      <c r="F84" s="49"/>
      <c r="G84" s="49"/>
      <c r="H84" s="50" t="str">
        <f>IF($B84="","",IF($J84="X",B84,CONCATENATE(VLOOKUP(B84,Competitors!$A$2:$I$650,3,FALSE)," ",VLOOKUP(B84,Competitors!$A$2:$I$650,2,FALSE))))</f>
        <v/>
      </c>
      <c r="I84" s="51">
        <f t="shared" si="4"/>
        <v>0</v>
      </c>
      <c r="J84" t="str">
        <f t="shared" si="5"/>
        <v/>
      </c>
    </row>
    <row r="85" spans="1:10" ht="15">
      <c r="A85" s="46"/>
      <c r="B85" s="47" t="str">
        <f t="shared" si="3"/>
        <v/>
      </c>
      <c r="C85" s="48"/>
      <c r="D85" s="49"/>
      <c r="E85" s="49"/>
      <c r="F85" s="49"/>
      <c r="G85" s="49"/>
      <c r="H85" s="50" t="str">
        <f>IF($B85="","",IF($J85="X",B85,CONCATENATE(VLOOKUP(B85,Competitors!$A$2:$I$650,3,FALSE)," ",VLOOKUP(B85,Competitors!$A$2:$I$650,2,FALSE))))</f>
        <v/>
      </c>
      <c r="I85" s="51">
        <f t="shared" si="4"/>
        <v>0</v>
      </c>
      <c r="J85" t="str">
        <f t="shared" si="5"/>
        <v/>
      </c>
    </row>
    <row r="86" spans="1:10" ht="15">
      <c r="A86" s="46"/>
      <c r="B86" s="47" t="str">
        <f t="shared" si="3"/>
        <v/>
      </c>
      <c r="C86" s="48"/>
      <c r="D86" s="49"/>
      <c r="E86" s="49"/>
      <c r="F86" s="49"/>
      <c r="G86" s="49"/>
      <c r="H86" s="50" t="str">
        <f>IF($B86="","",IF($J86="X",B86,CONCATENATE(VLOOKUP(B86,Competitors!$A$2:$I$650,3,FALSE)," ",VLOOKUP(B86,Competitors!$A$2:$I$650,2,FALSE))))</f>
        <v/>
      </c>
      <c r="I86" s="51">
        <f t="shared" si="4"/>
        <v>0</v>
      </c>
      <c r="J86" t="str">
        <f t="shared" si="5"/>
        <v/>
      </c>
    </row>
    <row r="87" spans="1:10" ht="15">
      <c r="A87" s="46"/>
      <c r="B87" s="47" t="str">
        <f t="shared" si="3"/>
        <v/>
      </c>
      <c r="C87" s="48"/>
      <c r="D87" s="49"/>
      <c r="E87" s="49"/>
      <c r="F87" s="49"/>
      <c r="G87" s="49"/>
      <c r="H87" s="50" t="str">
        <f>IF($B87="","",IF($J87="X",B87,CONCATENATE(VLOOKUP(B87,Competitors!$A$2:$I$650,3,FALSE)," ",VLOOKUP(B87,Competitors!$A$2:$I$650,2,FALSE))))</f>
        <v/>
      </c>
      <c r="I87" s="51">
        <f t="shared" si="4"/>
        <v>0</v>
      </c>
      <c r="J87" t="str">
        <f t="shared" si="5"/>
        <v/>
      </c>
    </row>
    <row r="88" spans="1:10" ht="15">
      <c r="A88" s="46"/>
      <c r="B88" s="47" t="str">
        <f t="shared" si="3"/>
        <v/>
      </c>
      <c r="C88" s="48"/>
      <c r="D88" s="49"/>
      <c r="E88" s="49"/>
      <c r="F88" s="49"/>
      <c r="G88" s="49"/>
      <c r="H88" s="50" t="str">
        <f>IF($B88="","",IF($J88="X",B88,CONCATENATE(VLOOKUP(B88,Competitors!$A$2:$I$650,3,FALSE)," ",VLOOKUP(B88,Competitors!$A$2:$I$650,2,FALSE))))</f>
        <v/>
      </c>
      <c r="I88" s="51">
        <f t="shared" si="4"/>
        <v>0</v>
      </c>
      <c r="J88" t="str">
        <f t="shared" si="5"/>
        <v/>
      </c>
    </row>
    <row r="89" spans="1:10" ht="15">
      <c r="A89" s="46"/>
      <c r="B89" s="47" t="str">
        <f t="shared" si="3"/>
        <v/>
      </c>
      <c r="C89" s="48"/>
      <c r="D89" s="49"/>
      <c r="E89" s="49"/>
      <c r="F89" s="49"/>
      <c r="G89" s="49"/>
      <c r="H89" s="50" t="str">
        <f>IF($B89="","",IF($J89="X",B89,CONCATENATE(VLOOKUP(B89,Competitors!$A$2:$I$650,3,FALSE)," ",VLOOKUP(B89,Competitors!$A$2:$I$650,2,FALSE))))</f>
        <v/>
      </c>
      <c r="I89" s="51">
        <f t="shared" si="4"/>
        <v>0</v>
      </c>
      <c r="J89" t="str">
        <f t="shared" si="5"/>
        <v/>
      </c>
    </row>
    <row r="90" spans="1:10" ht="15">
      <c r="A90" s="46"/>
      <c r="B90" s="47" t="str">
        <f t="shared" si="3"/>
        <v/>
      </c>
      <c r="C90" s="48"/>
      <c r="D90" s="49"/>
      <c r="E90" s="49"/>
      <c r="F90" s="49"/>
      <c r="G90" s="49"/>
      <c r="H90" s="50" t="str">
        <f>IF($B90="","",IF($J90="X",B90,CONCATENATE(VLOOKUP(B90,Competitors!$A$2:$I$650,3,FALSE)," ",VLOOKUP(B90,Competitors!$A$2:$I$650,2,FALSE))))</f>
        <v/>
      </c>
      <c r="I90" s="51">
        <f t="shared" si="4"/>
        <v>0</v>
      </c>
      <c r="J90" t="str">
        <f t="shared" si="5"/>
        <v/>
      </c>
    </row>
    <row r="91" spans="1:10" ht="15">
      <c r="A91" s="46"/>
      <c r="B91" s="47" t="str">
        <f t="shared" si="3"/>
        <v/>
      </c>
      <c r="C91" s="48"/>
      <c r="D91" s="49"/>
      <c r="E91" s="49"/>
      <c r="F91" s="49"/>
      <c r="G91" s="49"/>
      <c r="H91" s="50" t="str">
        <f>IF($B91="","",IF($J91="X",B91,CONCATENATE(VLOOKUP(B91,Competitors!$A$2:$I$650,3,FALSE)," ",VLOOKUP(B91,Competitors!$A$2:$I$650,2,FALSE))))</f>
        <v/>
      </c>
      <c r="I91" s="51">
        <f t="shared" si="4"/>
        <v>0</v>
      </c>
      <c r="J91" t="str">
        <f t="shared" si="5"/>
        <v/>
      </c>
    </row>
    <row r="92" spans="1:10" ht="15">
      <c r="A92" s="46"/>
      <c r="B92" s="47" t="str">
        <f t="shared" si="3"/>
        <v/>
      </c>
      <c r="C92" s="48"/>
      <c r="D92" s="49"/>
      <c r="E92" s="49"/>
      <c r="F92" s="49"/>
      <c r="G92" s="49"/>
      <c r="H92" s="50" t="str">
        <f>IF($B92="","",IF($J92="X",B92,CONCATENATE(VLOOKUP(B92,Competitors!$A$2:$I$650,3,FALSE)," ",VLOOKUP(B92,Competitors!$A$2:$I$650,2,FALSE))))</f>
        <v/>
      </c>
      <c r="I92" s="51">
        <f t="shared" si="4"/>
        <v>0</v>
      </c>
      <c r="J92" t="str">
        <f t="shared" si="5"/>
        <v/>
      </c>
    </row>
    <row r="93" spans="1:10" ht="15">
      <c r="A93" s="46"/>
      <c r="B93" s="47" t="str">
        <f t="shared" si="3"/>
        <v/>
      </c>
      <c r="C93" s="48"/>
      <c r="D93" s="49"/>
      <c r="E93" s="49"/>
      <c r="F93" s="49"/>
      <c r="G93" s="49"/>
      <c r="H93" s="50" t="str">
        <f>IF($B93="","",IF($J93="X",B93,CONCATENATE(VLOOKUP(B93,Competitors!$A$2:$I$650,3,FALSE)," ",VLOOKUP(B93,Competitors!$A$2:$I$650,2,FALSE))))</f>
        <v/>
      </c>
      <c r="I93" s="51">
        <f t="shared" si="4"/>
        <v>0</v>
      </c>
      <c r="J93" t="str">
        <f t="shared" si="5"/>
        <v/>
      </c>
    </row>
    <row r="94" spans="1:10" ht="15">
      <c r="A94" s="46"/>
      <c r="B94" s="47" t="str">
        <f t="shared" si="3"/>
        <v/>
      </c>
      <c r="C94" s="48"/>
      <c r="D94" s="49"/>
      <c r="E94" s="49"/>
      <c r="F94" s="49"/>
      <c r="G94" s="49"/>
      <c r="H94" s="50" t="str">
        <f>IF($B94="","",IF($J94="X",B94,CONCATENATE(VLOOKUP(B94,Competitors!$A$2:$I$650,3,FALSE)," ",VLOOKUP(B94,Competitors!$A$2:$I$650,2,FALSE))))</f>
        <v/>
      </c>
      <c r="I94" s="51">
        <f t="shared" si="4"/>
        <v>0</v>
      </c>
      <c r="J94" t="str">
        <f t="shared" si="5"/>
        <v/>
      </c>
    </row>
    <row r="95" spans="1:10" ht="15">
      <c r="A95" s="46"/>
      <c r="B95" s="47" t="str">
        <f t="shared" si="3"/>
        <v/>
      </c>
      <c r="C95" s="48"/>
      <c r="D95" s="49"/>
      <c r="E95" s="49"/>
      <c r="F95" s="49"/>
      <c r="G95" s="49"/>
      <c r="H95" s="50" t="str">
        <f>IF($B95="","",IF($J95="X",B95,CONCATENATE(VLOOKUP(B95,Competitors!$A$2:$I$650,3,FALSE)," ",VLOOKUP(B95,Competitors!$A$2:$I$650,2,FALSE))))</f>
        <v/>
      </c>
      <c r="I95" s="51">
        <f t="shared" si="4"/>
        <v>0</v>
      </c>
      <c r="J95" t="str">
        <f t="shared" si="5"/>
        <v/>
      </c>
    </row>
    <row r="96" spans="1:10" ht="15">
      <c r="A96" s="46"/>
      <c r="B96" s="47" t="str">
        <f t="shared" si="3"/>
        <v/>
      </c>
      <c r="C96" s="48"/>
      <c r="D96" s="49"/>
      <c r="E96" s="49"/>
      <c r="F96" s="49"/>
      <c r="G96" s="49"/>
      <c r="H96" s="50" t="str">
        <f>IF($B96="","",IF($J96="X",B96,CONCATENATE(VLOOKUP(B96,Competitors!$A$2:$I$650,3,FALSE)," ",VLOOKUP(B96,Competitors!$A$2:$I$650,2,FALSE))))</f>
        <v/>
      </c>
      <c r="I96" s="51">
        <f t="shared" si="4"/>
        <v>0</v>
      </c>
      <c r="J96" t="str">
        <f t="shared" si="5"/>
        <v/>
      </c>
    </row>
    <row r="97" spans="1:10" ht="15">
      <c r="A97" s="46"/>
      <c r="B97" s="47" t="str">
        <f t="shared" si="3"/>
        <v/>
      </c>
      <c r="C97" s="48"/>
      <c r="D97" s="49"/>
      <c r="E97" s="49"/>
      <c r="F97" s="49"/>
      <c r="G97" s="49"/>
      <c r="H97" s="50" t="str">
        <f>IF($B97="","",IF($J97="X",B97,CONCATENATE(VLOOKUP(B97,Competitors!$A$2:$I$650,3,FALSE)," ",VLOOKUP(B97,Competitors!$A$2:$I$650,2,FALSE))))</f>
        <v/>
      </c>
      <c r="I97" s="51">
        <f t="shared" si="4"/>
        <v>0</v>
      </c>
      <c r="J97" t="str">
        <f t="shared" si="5"/>
        <v/>
      </c>
    </row>
    <row r="98" spans="1:10" ht="15">
      <c r="A98" s="46"/>
      <c r="B98" s="47" t="str">
        <f>IF(A98="","",_xlfn.XLOOKUP(A98,ClubNames,ClubNumbers,_xlfn.XLOOKUP(A98,RoundRobinRiderNames,RoundRobinRiderDecoratedNames,A98)))</f>
        <v/>
      </c>
      <c r="C98" s="48"/>
      <c r="D98" s="49"/>
      <c r="E98" s="49"/>
      <c r="F98" s="49"/>
      <c r="G98" s="49"/>
      <c r="H98" s="50" t="str">
        <f>IF($B98="","",IF($J98="X",B98,CONCATENATE(VLOOKUP(B98,Competitors!$A$2:$I$650,3,FALSE)," ",VLOOKUP(B98,Competitors!$A$2:$I$650,2,FALSE))))</f>
        <v/>
      </c>
      <c r="I98" s="51">
        <f t="shared" si="4"/>
        <v>0</v>
      </c>
      <c r="J98" t="str">
        <f t="shared" si="5"/>
        <v/>
      </c>
    </row>
    <row r="99" spans="1:10" ht="15">
      <c r="A99" s="46"/>
      <c r="B99" s="47" t="str">
        <f>IF(A99="","",_xlfn.XLOOKUP(A99,ClubNames,ClubNumbers,_xlfn.XLOOKUP(A99,RoundRobinRiderNames,RoundRobinRiderDecoratedNames,A99)))</f>
        <v/>
      </c>
      <c r="C99" s="48"/>
      <c r="D99" s="49"/>
      <c r="E99" s="49"/>
      <c r="F99" s="49"/>
      <c r="G99" s="49"/>
      <c r="H99" s="50" t="str">
        <f>IF($B99="","",IF($J99="X",B99,CONCATENATE(VLOOKUP(B99,Competitors!$A$2:$I$650,3,FALSE)," ",VLOOKUP(B99,Competitors!$A$2:$I$650,2,FALSE))))</f>
        <v/>
      </c>
      <c r="I99" s="51">
        <f t="shared" si="4"/>
        <v>0</v>
      </c>
      <c r="J99" t="str">
        <f t="shared" si="5"/>
        <v/>
      </c>
    </row>
    <row r="100" spans="1:10" ht="15">
      <c r="A100" s="46"/>
      <c r="B100" s="47" t="str">
        <f>IF(A100="","",_xlfn.XLOOKUP(A100,ClubNames,ClubNumbers,_xlfn.XLOOKUP(A100,RoundRobinRiderNames,RoundRobinRiderDecoratedNames,A100)))</f>
        <v/>
      </c>
      <c r="C100" s="48"/>
      <c r="D100" s="49"/>
      <c r="E100" s="49"/>
      <c r="F100" s="49"/>
      <c r="G100" s="49"/>
      <c r="H100" s="50" t="str">
        <f>IF($B100="","",IF($J100="X",B100,CONCATENATE(VLOOKUP(B100,Competitors!$A$2:$I$650,3, FALSE)," ",VLOOKUP(B100,Competitors!$A$2:$I$650,2,FALSE))))</f>
        <v/>
      </c>
      <c r="I100" s="51">
        <f t="shared" si="4"/>
        <v>0</v>
      </c>
      <c r="J100" t="str">
        <f t="shared" si="5"/>
        <v/>
      </c>
    </row>
    <row r="101" spans="1:10" ht="15">
      <c r="A101" s="46"/>
      <c r="B101" s="47" t="str">
        <f>IF(A101="","",_xlfn.XLOOKUP(A101,ClubNames,ClubNumbers,_xlfn.XLOOKUP(A101,RoundRobinRiderNames,RoundRobinRiderDecoratedNames,A101)))</f>
        <v/>
      </c>
      <c r="C101" s="48"/>
      <c r="D101" s="49"/>
      <c r="E101" s="49"/>
      <c r="F101" s="49"/>
      <c r="G101" s="49"/>
      <c r="H101" s="50" t="str">
        <f>IF($B101="","",IF($J101="X",B101,CONCATENATE(VLOOKUP(B101,Competitors!$A$2:$I$650,3,FALSE)," ",VLOOKUP(B101,Competitors!$A$2:$I$650,2,FALSE))))</f>
        <v/>
      </c>
      <c r="I101" s="51">
        <f t="shared" si="4"/>
        <v>0</v>
      </c>
      <c r="J101" t="str">
        <f t="shared" si="5"/>
        <v/>
      </c>
    </row>
    <row r="102" spans="1:10" s="52" customFormat="1">
      <c r="I102" s="53"/>
    </row>
    <row r="103" spans="1:10">
      <c r="B103" t="s">
        <v>551</v>
      </c>
      <c r="C103" t="str" cm="1">
        <f t="array" aca="1" ref="C103" ca="1">MID(CELL("filename",B1),FIND("]",CELL("filename",B1))+1,255)</f>
        <v>Event_27</v>
      </c>
    </row>
    <row r="104" spans="1:10">
      <c r="B104" t="s">
        <v>552</v>
      </c>
      <c r="C104" t="str">
        <f ca="1">_xlfn.XLOOKUP(C103,Calendar!O:O,Calendar!H:H,"Event is not in calendar")</f>
        <v/>
      </c>
    </row>
  </sheetData>
  <conditionalFormatting sqref="E2:E101">
    <cfRule type="expression" dxfId="2" priority="3">
      <formula>TEXT($C$104,"@")="Y"</formula>
    </cfRule>
  </conditionalFormatting>
  <conditionalFormatting sqref="H2:I101">
    <cfRule type="expression" dxfId="1" priority="2">
      <formula>$J2="X"</formula>
    </cfRule>
  </conditionalFormatting>
  <conditionalFormatting sqref="I2:I101">
    <cfRule type="expression" dxfId="0" priority="1">
      <formula>TEXT($C$104,"@")="Y"</formula>
    </cfRule>
  </conditionalFormatting>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48</vt:i4>
      </vt:variant>
      <vt:variant>
        <vt:lpstr>Named Ranges</vt:lpstr>
      </vt:variant>
      <vt:variant>
        <vt:i4>13</vt:i4>
      </vt:variant>
    </vt:vector>
  </HeadingPairs>
  <TitlesOfParts>
    <vt:vector size="61" baseType="lpstr">
      <vt:lpstr>Revisions</vt:lpstr>
      <vt:lpstr>Competitors</vt:lpstr>
      <vt:lpstr>0307_competitors_2026</vt:lpstr>
      <vt:lpstr>0310_competitors_2026</vt:lpstr>
      <vt:lpstr>0321_competitors_2026</vt:lpstr>
      <vt:lpstr>0407_competitors_2026</vt:lpstr>
      <vt:lpstr>0407_competitors_2026b</vt:lpstr>
      <vt:lpstr>0409_competitors_2026</vt:lpstr>
      <vt:lpstr>0413_competitors_2026</vt:lpstr>
      <vt:lpstr>0512_competitors_2026</vt:lpstr>
      <vt:lpstr>0515_competitors_2026</vt:lpstr>
      <vt:lpstr>0517_competitors_2026</vt:lpstr>
      <vt:lpstr>0601_competitors_2026</vt:lpstr>
      <vt:lpstr>0608_competitors_2026</vt:lpstr>
      <vt:lpstr>0623_competitors_2026</vt:lpstr>
      <vt:lpstr>0713_competitors_2026</vt:lpstr>
      <vt:lpstr>0802_competitors_2026</vt:lpstr>
      <vt:lpstr>NameLookup</vt:lpstr>
      <vt:lpstr>Calendar</vt:lpstr>
      <vt:lpstr>Leagues</vt:lpstr>
      <vt:lpstr>RoundRobinRiders</vt:lpstr>
      <vt:lpstr>Event_01</vt:lpstr>
      <vt:lpstr>Event_02</vt:lpstr>
      <vt:lpstr>Event_03</vt:lpstr>
      <vt:lpstr>Event_04</vt:lpstr>
      <vt:lpstr>Event_05</vt:lpstr>
      <vt:lpstr>Event_06</vt:lpstr>
      <vt:lpstr>Event_07</vt:lpstr>
      <vt:lpstr>Event_08</vt:lpstr>
      <vt:lpstr>Event_09</vt:lpstr>
      <vt:lpstr>Event_10</vt:lpstr>
      <vt:lpstr>Event_11</vt:lpstr>
      <vt:lpstr>Event_12</vt:lpstr>
      <vt:lpstr>Event_13</vt:lpstr>
      <vt:lpstr>Event_14</vt:lpstr>
      <vt:lpstr>Event_15</vt:lpstr>
      <vt:lpstr>Event_16</vt:lpstr>
      <vt:lpstr>Event_17</vt:lpstr>
      <vt:lpstr>Event_18</vt:lpstr>
      <vt:lpstr>Event_19</vt:lpstr>
      <vt:lpstr>Event_20</vt:lpstr>
      <vt:lpstr>Event_21</vt:lpstr>
      <vt:lpstr>Event_22</vt:lpstr>
      <vt:lpstr>Event_23</vt:lpstr>
      <vt:lpstr>Event_24</vt:lpstr>
      <vt:lpstr>Event_25</vt:lpstr>
      <vt:lpstr>Event_26</vt:lpstr>
      <vt:lpstr>Event_27</vt:lpstr>
      <vt:lpstr>Calendar</vt:lpstr>
      <vt:lpstr>CalendarEventNumbers</vt:lpstr>
      <vt:lpstr>ClubNames</vt:lpstr>
      <vt:lpstr>ClubNumbers</vt:lpstr>
      <vt:lpstr>MemberData</vt:lpstr>
      <vt:lpstr>NonTenEvents</vt:lpstr>
      <vt:lpstr>Number2Name</vt:lpstr>
      <vt:lpstr>RoundRobinNameToClub</vt:lpstr>
      <vt:lpstr>RoundRobinNameToClubRange</vt:lpstr>
      <vt:lpstr>RoundRobinRiderClubs</vt:lpstr>
      <vt:lpstr>RoundRobinRiderDecoratedNames</vt:lpstr>
      <vt:lpstr>RoundRobinRiderNames</vt:lpstr>
      <vt:lpstr>TenMileEvents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Ives</dc:creator>
  <cp:lastModifiedBy>Mike Ives</cp:lastModifiedBy>
  <cp:revision>13</cp:revision>
  <dcterms:created xsi:type="dcterms:W3CDTF">2025-10-19T14:39:15Z</dcterms:created>
  <dcterms:modified xsi:type="dcterms:W3CDTF">2026-09-26T17:04:16Z</dcterms:modified>
</cp:coreProperties>
</file>