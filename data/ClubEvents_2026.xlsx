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A2E2A248-F7A5-474A-9764-40B93B8264B9}" xr6:coauthVersionLast="47" xr6:coauthVersionMax="47" xr10:uidLastSave="{00000000-0000-0000-0000-000000000000}"/>
  <bookViews>
    <workbookView xWindow="-98" yWindow="-98" windowWidth="28996" windowHeight="17475" firstSheet="33" activeTab="3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B19" i="34"/>
  <c r="I44" i="34"/>
  <c r="B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B31" i="34" s="1"/>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6" i="18"/>
  <c r="I48" i="29"/>
  <c r="C59" i="18"/>
  <c r="I47" i="29"/>
  <c r="I46" i="29"/>
  <c r="C64" i="18"/>
  <c r="I45" i="29"/>
  <c r="I44" i="29"/>
  <c r="I43" i="29"/>
  <c r="I42" i="29"/>
  <c r="I41" i="29"/>
  <c r="I40" i="29"/>
  <c r="I39" i="29"/>
  <c r="I38" i="29"/>
  <c r="I37" i="29"/>
  <c r="I36" i="29"/>
  <c r="I35" i="29"/>
  <c r="I34" i="29"/>
  <c r="I33" i="29"/>
  <c r="I32" i="29"/>
  <c r="I31" i="29"/>
  <c r="I30" i="29"/>
  <c r="I29" i="29"/>
  <c r="I28" i="29"/>
  <c r="I27" i="29"/>
  <c r="I26" i="29"/>
  <c r="I25" i="29"/>
  <c r="I24" i="29"/>
  <c r="C43" i="18"/>
  <c r="B34" i="34" s="1"/>
  <c r="I23" i="29"/>
  <c r="I22" i="29"/>
  <c r="C33" i="18"/>
  <c r="I21" i="29"/>
  <c r="I20" i="29"/>
  <c r="I19" i="29"/>
  <c r="C38" i="18"/>
  <c r="I18" i="29"/>
  <c r="I17" i="29"/>
  <c r="I16" i="29"/>
  <c r="I15" i="29"/>
  <c r="I14" i="29"/>
  <c r="I13" i="29"/>
  <c r="I12" i="29"/>
  <c r="I11" i="29"/>
  <c r="I10" i="29"/>
  <c r="C34" i="18"/>
  <c r="I9" i="29"/>
  <c r="I8" i="29"/>
  <c r="I7" i="29"/>
  <c r="I6" i="29"/>
  <c r="I5" i="29"/>
  <c r="I4" i="29"/>
  <c r="I3" i="29"/>
  <c r="C40"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68" i="18"/>
  <c r="B32" i="34" s="1"/>
  <c r="C77" i="18"/>
  <c r="C76" i="18"/>
  <c r="C79" i="18"/>
  <c r="C78" i="18"/>
  <c r="C16" i="18"/>
  <c r="C19" i="18"/>
  <c r="C60" i="18"/>
  <c r="C71" i="18"/>
  <c r="C70" i="18"/>
  <c r="C18" i="18"/>
  <c r="C57" i="18"/>
  <c r="C74" i="18"/>
  <c r="C73" i="18"/>
  <c r="C72" i="18"/>
  <c r="C69" i="18"/>
  <c r="C67" i="18"/>
  <c r="C66" i="18"/>
  <c r="C65" i="18"/>
  <c r="C63" i="18"/>
  <c r="C62" i="18"/>
  <c r="C61" i="18"/>
  <c r="C58" i="18"/>
  <c r="C56" i="18"/>
  <c r="C55" i="18"/>
  <c r="C54" i="18"/>
  <c r="C53" i="18"/>
  <c r="C52" i="18"/>
  <c r="C51" i="18"/>
  <c r="C50" i="18"/>
  <c r="C49" i="18"/>
  <c r="C48" i="18"/>
  <c r="C47" i="18"/>
  <c r="C45" i="18"/>
  <c r="C44" i="18"/>
  <c r="C42" i="18"/>
  <c r="C41" i="18"/>
  <c r="C39" i="18"/>
  <c r="C37" i="18"/>
  <c r="C36" i="18"/>
  <c r="C35" i="18"/>
  <c r="C32" i="18"/>
  <c r="C31" i="18"/>
  <c r="C75" i="18"/>
  <c r="C30" i="18"/>
  <c r="C29" i="18"/>
  <c r="C28" i="18"/>
  <c r="C27" i="18"/>
  <c r="C26" i="18"/>
  <c r="C25" i="18"/>
  <c r="C24" i="18"/>
  <c r="C23" i="18"/>
  <c r="C22" i="18"/>
  <c r="C21" i="18"/>
  <c r="C20" i="18"/>
  <c r="C17"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J32" i="33" s="1"/>
  <c r="H32" i="33" s="1"/>
  <c r="B50" i="32"/>
  <c r="J50" i="32" s="1"/>
  <c r="H50" i="32" s="1"/>
  <c r="B7" i="33"/>
  <c r="B36" i="32"/>
  <c r="J36" i="32" s="1"/>
  <c r="H36" i="32" s="1"/>
  <c r="B27" i="33"/>
  <c r="B26" i="33"/>
  <c r="B16" i="32"/>
  <c r="B42" i="32"/>
  <c r="J42" i="32" s="1"/>
  <c r="H42" i="32" s="1"/>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s="1"/>
  <c r="J37" i="32"/>
  <c r="H37" i="32" s="1"/>
  <c r="J32" i="32"/>
  <c r="H32" i="32" s="1"/>
  <c r="J40" i="32"/>
  <c r="H40" i="32" s="1"/>
  <c r="J17" i="32"/>
  <c r="H17" i="32"/>
  <c r="J21" i="32"/>
  <c r="H21" i="32"/>
  <c r="J43" i="32"/>
  <c r="H43" i="32"/>
  <c r="J14" i="33"/>
  <c r="H14" i="33"/>
  <c r="J23" i="33"/>
  <c r="H23" i="33" s="1"/>
  <c r="J31" i="33"/>
  <c r="H31" i="33"/>
  <c r="J10" i="33"/>
  <c r="H10" i="33" s="1"/>
  <c r="J38" i="32"/>
  <c r="H38" i="32" s="1"/>
  <c r="J23" i="32"/>
  <c r="H23" i="32" s="1"/>
  <c r="J25" i="32"/>
  <c r="H25" i="32" s="1"/>
  <c r="J20" i="32"/>
  <c r="H20" i="32" s="1"/>
  <c r="J3" i="32"/>
  <c r="H3" i="32"/>
  <c r="J2" i="32"/>
  <c r="H2" i="32"/>
  <c r="J49" i="32"/>
  <c r="H49" i="32"/>
  <c r="J17" i="33"/>
  <c r="H17" i="33" s="1"/>
  <c r="J24" i="33"/>
  <c r="H24" i="33"/>
  <c r="J19" i="33"/>
  <c r="H19" i="33" s="1"/>
  <c r="J21" i="33"/>
  <c r="H21" i="33"/>
  <c r="J3" i="33"/>
  <c r="H3" i="33" s="1"/>
  <c r="J48" i="32"/>
  <c r="H48" i="32" s="1"/>
  <c r="J9" i="33"/>
  <c r="H9" i="33"/>
  <c r="J5" i="33"/>
  <c r="H5" i="33"/>
  <c r="J18" i="33"/>
  <c r="H18" i="33"/>
  <c r="J33" i="33"/>
  <c r="H33" i="33"/>
  <c r="J12" i="33"/>
  <c r="H12" i="33" s="1"/>
  <c r="J13" i="33"/>
  <c r="H13" i="33" s="1"/>
  <c r="J22" i="33"/>
  <c r="H22" i="33" s="1"/>
  <c r="J25" i="33"/>
  <c r="H25" i="33" s="1"/>
  <c r="J20" i="33"/>
  <c r="H20" i="33" s="1"/>
  <c r="J16" i="33"/>
  <c r="H16" i="33"/>
  <c r="J30" i="33"/>
  <c r="H30" i="33" s="1"/>
  <c r="J28" i="33"/>
  <c r="H28" i="33" s="1"/>
  <c r="J2" i="33"/>
  <c r="H2" i="33" s="1"/>
  <c r="J6" i="33"/>
  <c r="H6" i="33" s="1"/>
  <c r="J11" i="33"/>
  <c r="H11" i="33" s="1"/>
  <c r="J34" i="32"/>
  <c r="H34" i="32"/>
  <c r="J6" i="32"/>
  <c r="H6" i="32" s="1"/>
  <c r="J51" i="32"/>
  <c r="H51" i="32" s="1"/>
  <c r="J8" i="33"/>
  <c r="H8" i="33" s="1"/>
  <c r="J27" i="33"/>
  <c r="H27" i="33" s="1"/>
  <c r="J26" i="33"/>
  <c r="H26" i="33" s="1"/>
  <c r="J16" i="32"/>
  <c r="H16" i="32" s="1"/>
  <c r="J14" i="32"/>
  <c r="H14" i="32" s="1"/>
  <c r="J29" i="32"/>
  <c r="H29" i="32" s="1"/>
  <c r="J45" i="32"/>
  <c r="H45" i="32" s="1"/>
  <c r="J12" i="32"/>
  <c r="H12" i="32" s="1"/>
  <c r="J22" i="32"/>
  <c r="H22" i="32" s="1"/>
  <c r="J10" i="32"/>
  <c r="H10" i="32" s="1"/>
  <c r="J4" i="32"/>
  <c r="H4" i="32" s="1"/>
  <c r="H101" i="44" l="1"/>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J101" i="35"/>
  <c r="H101" i="35"/>
  <c r="H100" i="35"/>
  <c r="J100" i="35"/>
  <c r="H99" i="35"/>
  <c r="J99" i="35"/>
  <c r="H98" i="35"/>
  <c r="J98" i="35"/>
  <c r="H97" i="35"/>
  <c r="J97" i="35"/>
  <c r="J96" i="35"/>
  <c r="H96" i="35"/>
  <c r="J95" i="35"/>
  <c r="H95" i="35"/>
  <c r="H94" i="35"/>
  <c r="J94" i="35"/>
  <c r="H93" i="35"/>
  <c r="J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H79" i="35"/>
  <c r="J79" i="35"/>
  <c r="H78" i="35"/>
  <c r="J78" i="35"/>
  <c r="H77" i="35"/>
  <c r="J77" i="35"/>
  <c r="H76" i="35"/>
  <c r="J76" i="35"/>
  <c r="J75" i="35"/>
  <c r="H75" i="35"/>
  <c r="H74" i="35"/>
  <c r="J74" i="35"/>
  <c r="J73" i="35"/>
  <c r="H73" i="35"/>
  <c r="H72" i="35"/>
  <c r="J72" i="35"/>
  <c r="H71" i="35"/>
  <c r="J71" i="35"/>
  <c r="H70" i="35"/>
  <c r="J70" i="35"/>
  <c r="J69" i="35"/>
  <c r="H69" i="35"/>
  <c r="H68" i="35"/>
  <c r="J68" i="35"/>
  <c r="J67" i="35"/>
  <c r="H67" i="35"/>
  <c r="H66" i="35"/>
  <c r="J66" i="35"/>
  <c r="H65" i="35"/>
  <c r="J65" i="35"/>
  <c r="H64" i="35"/>
  <c r="J64" i="35"/>
  <c r="H63" i="35"/>
  <c r="J63" i="35"/>
  <c r="H62" i="35"/>
  <c r="J62" i="35"/>
  <c r="H61" i="35"/>
  <c r="J61" i="35"/>
  <c r="H60" i="35"/>
  <c r="J60" i="35"/>
  <c r="J59" i="35"/>
  <c r="H59" i="35"/>
  <c r="H58" i="35"/>
  <c r="J58" i="35"/>
  <c r="J57" i="35"/>
  <c r="H57" i="35"/>
  <c r="J56" i="35"/>
  <c r="H56" i="35"/>
  <c r="J55" i="35"/>
  <c r="H55" i="35"/>
  <c r="H54" i="35"/>
  <c r="J54" i="35"/>
  <c r="H53" i="35"/>
  <c r="J53" i="35"/>
  <c r="J52" i="35"/>
  <c r="H52" i="35"/>
  <c r="H51" i="35"/>
  <c r="J51" i="35"/>
  <c r="H50" i="35"/>
  <c r="J50" i="35"/>
  <c r="J49" i="35"/>
  <c r="H49" i="35"/>
  <c r="H48" i="35"/>
  <c r="J48" i="35"/>
  <c r="H47" i="35"/>
  <c r="J47" i="35"/>
  <c r="H46" i="35"/>
  <c r="J46" i="35"/>
  <c r="J45" i="35"/>
  <c r="H45" i="35"/>
  <c r="H44" i="35"/>
  <c r="J44" i="35"/>
  <c r="J43" i="35"/>
  <c r="H43" i="35"/>
  <c r="J42" i="35"/>
  <c r="H42" i="35"/>
  <c r="H41" i="35"/>
  <c r="J41" i="35"/>
  <c r="J40" i="35"/>
  <c r="H40" i="35"/>
  <c r="H39" i="35"/>
  <c r="J39" i="35"/>
  <c r="H38" i="35"/>
  <c r="J38" i="35"/>
  <c r="H37" i="35"/>
  <c r="J37" i="35"/>
  <c r="H36" i="35"/>
  <c r="J36" i="35"/>
  <c r="H35" i="35"/>
  <c r="J35" i="35"/>
  <c r="J34" i="35"/>
  <c r="H34" i="35"/>
  <c r="J33" i="35"/>
  <c r="H33" i="35"/>
  <c r="J32" i="35"/>
  <c r="H32" i="35"/>
  <c r="J31" i="35"/>
  <c r="H31" i="35"/>
  <c r="J30" i="35"/>
  <c r="H30" i="35"/>
  <c r="H29" i="35"/>
  <c r="J29" i="35"/>
  <c r="H28" i="35"/>
  <c r="J28" i="35"/>
  <c r="J27" i="35"/>
  <c r="H27" i="35"/>
  <c r="H26" i="35"/>
  <c r="J26" i="35"/>
  <c r="J25" i="35"/>
  <c r="H25" i="35"/>
  <c r="J24" i="35"/>
  <c r="H24" i="35"/>
  <c r="H23" i="35"/>
  <c r="J23" i="35"/>
  <c r="H22" i="35"/>
  <c r="J22" i="35"/>
  <c r="J21" i="35"/>
  <c r="H21" i="35"/>
  <c r="H20" i="35"/>
  <c r="J20" i="35"/>
  <c r="H19" i="35"/>
  <c r="J19" i="35"/>
  <c r="H18" i="35"/>
  <c r="J18" i="35"/>
  <c r="J17" i="35"/>
  <c r="H17" i="35"/>
  <c r="H16" i="35"/>
  <c r="J16" i="35"/>
  <c r="J15" i="35"/>
  <c r="H15" i="35"/>
  <c r="H14" i="35"/>
  <c r="J14" i="35"/>
  <c r="J13" i="35"/>
  <c r="H13" i="35"/>
  <c r="H12" i="35"/>
  <c r="J12" i="35"/>
  <c r="H11" i="35"/>
  <c r="J11" i="35"/>
  <c r="H10" i="35"/>
  <c r="J10" i="35"/>
  <c r="J9" i="35"/>
  <c r="H9" i="35"/>
  <c r="H8" i="35"/>
  <c r="J8" i="35"/>
  <c r="J7" i="35"/>
  <c r="H7" i="35"/>
  <c r="H6" i="35"/>
  <c r="J6" i="35"/>
  <c r="J5" i="35"/>
  <c r="H5" i="35"/>
  <c r="H4" i="35"/>
  <c r="J4" i="35"/>
  <c r="J3" i="35"/>
  <c r="H3" i="35"/>
  <c r="J2" i="35"/>
  <c r="H2" i="35"/>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J20" i="34"/>
  <c r="H20" i="34" s="1"/>
  <c r="J14" i="34"/>
  <c r="H14" i="34" s="1"/>
  <c r="J9" i="34"/>
  <c r="H9" i="34" s="1"/>
  <c r="J37" i="34"/>
  <c r="H37" i="34" s="1"/>
  <c r="J8" i="34"/>
  <c r="H8" i="34" s="1"/>
  <c r="J10" i="34"/>
  <c r="H10" i="34" s="1"/>
  <c r="J7" i="34"/>
  <c r="H7" i="34" s="1"/>
  <c r="J34" i="34"/>
  <c r="H34" i="34" s="1"/>
  <c r="J23" i="34"/>
  <c r="H23" i="34" s="1"/>
  <c r="J29" i="34"/>
  <c r="H29" i="34" s="1"/>
  <c r="J31" i="34"/>
  <c r="H31" i="34" s="1"/>
  <c r="J36" i="34"/>
  <c r="H36" i="34" s="1"/>
  <c r="J43" i="34"/>
  <c r="H43" i="34" s="1"/>
  <c r="J22" i="34"/>
  <c r="H22" i="34" s="1"/>
  <c r="J42" i="34"/>
  <c r="H42" i="34" s="1"/>
  <c r="J21" i="34"/>
  <c r="H21" i="34" s="1"/>
  <c r="J18" i="34"/>
  <c r="H18" i="34" s="1"/>
  <c r="J11" i="34"/>
  <c r="H11" i="34"/>
  <c r="J39" i="34"/>
  <c r="H39" i="34" s="1"/>
  <c r="J6" i="34"/>
  <c r="H6" i="34" s="1"/>
  <c r="J12" i="34"/>
  <c r="H12" i="34" s="1"/>
  <c r="J25" i="34"/>
  <c r="H25" i="34" s="1"/>
  <c r="J24" i="34"/>
  <c r="H24" i="34" s="1"/>
  <c r="J17" i="34"/>
  <c r="H17" i="34" s="1"/>
  <c r="J38" i="34"/>
  <c r="H38" i="34" s="1"/>
  <c r="J13" i="34"/>
  <c r="H13" i="34" s="1"/>
  <c r="J32" i="34"/>
  <c r="H32" i="34" s="1"/>
  <c r="J15" i="34"/>
  <c r="H15" i="34" s="1"/>
  <c r="J45" i="34"/>
  <c r="H45" i="34" s="1"/>
  <c r="J3" i="34"/>
  <c r="H3" i="34" s="1"/>
  <c r="J5" i="34"/>
  <c r="H5" i="34" s="1"/>
  <c r="J2" i="34"/>
  <c r="H2" i="34" s="1"/>
  <c r="J16" i="34"/>
  <c r="H16" i="34" s="1"/>
  <c r="J19" i="34"/>
  <c r="H19" i="34" s="1"/>
  <c r="J44" i="34"/>
  <c r="H44"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s="1"/>
  <c r="J13" i="32"/>
  <c r="H13" i="32" s="1"/>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<sst xmlns="http://schemas.openxmlformats.org/spreadsheetml/2006/main" count="15347" uniqueCount="645">
  <si>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</si>
  <si>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</si>
  <si>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</si>
  <si>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</si>
  <si>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</si>
  <si>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</si>
  <si>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</si>
  <si>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</si>
  <si>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</si>
  <si>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</si>
  <si>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</si>
  <si>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</si>
  <si>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</si>
  <si>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</si>
  <si>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</si>
  <si>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</si>
  <si>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</si>
  <si>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</si>
  <si>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</si>
  <si>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</si>
  <si>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</si>
  <si>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</si>
  <si>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</si>
  <si>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</si>
  <si>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</si>
  <si>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</si>
  <si>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</si>
  <si>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</si>
  <si>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</si>
  <si>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</si>
  <si>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</si>
  <si>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</si>
  <si>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</si>
  <si>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</si>
  <si>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</si>
  <si>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</si>
  <si>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</si>
  <si>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</si>
  <si>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</si>
  <si>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</si>
  <si>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</si>
  <si>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</si>
  <si>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</si>
  <si>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</si>
  <si>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</si>
  <si>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</si>
  <si>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</si>
  <si>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</si>
  <si>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</si>
  <si>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</si>
  <si>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</si>
  <si>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</si>
  <si>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</si>
  <si>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</si>
  <si>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</si>
  <si>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</si>
  <si>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</si>
  <si>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</si>
  <si>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</si>
  <si>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</si>
  <si>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</si>
  <si>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</si>
  <si>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</si>
  <si>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</si>
  <si>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</si>
  <si>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</si>
  <si>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</si>
  <si>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</si>
  <si>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</si>
  <si>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</si>
  <si>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</si>
  <si>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</si>
  <si>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</si>
  <si>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</si>
  <si>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</si>
  <si>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</si>
  <si>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</si>
  <si>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</si>
  <si>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</si>
  <si>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</si>
  <si>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</si>
  <si>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</si>
  <si>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</si>
  <si>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</si>
  <si>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</si>
  <si>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</si>
  <si>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</si>
  <si>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</si>
  <si>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</si>
  <si>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</si>
  <si>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</si>
  <si>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</si>
  <si>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</si>
  <si>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</si>
  <si>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</si>
  <si>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</si>
  <si>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</si>
  <si>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</si>
  <si>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</si>
  <si>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</si>
  <si>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</si>
  <si>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</si>
  <si>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</si>
  <si>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</si>
  <si>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</si>
  <si>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</si>
  <si>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</si>
  <si>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</si>
  <si>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</si>
  <si>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</si>
  <si>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</si>
  <si>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</si>
  <si>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</si>
  <si>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</si>
  <si>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</si>
  <si>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</si>
  <si>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</si>
  <si>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</si>
  <si>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</si>
  <si>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</si>
  <si>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</si>
  <si>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</si>
  <si>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</si>
  <si>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</si>
  <si>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</si>
  <si>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</si>
  <si>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</si>
  <si>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</si>
  <si>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</si>
  <si>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</si>
  <si>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</si>
  <si>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</si>
  <si>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</si>
  <si>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</si>
  <si>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</si>
  <si>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</si>
  <si>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</si>
  <si>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</si>
  <si>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</si>
  <si>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</si>
  <si>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</si>
  <si>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</si>
  <si>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</si>
  <si>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</si>
  <si>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</si>
  <si>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</si>
  <si>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</si>
  <si>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</si>
  <si>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</si>
  <si>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</si>
  <si>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</si>
  <si>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</si>
  <si>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</si>
  <si>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</si>
  <si>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</si>
  <si>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</si>
  <si>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</si>
  <si>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</si>
  <si>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</si>
  <si>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</si>
  <si>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</si>
  <si>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</si>
  <si>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</si>
  <si>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</si>
  <si>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</si>
  <si>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</si>
  <si>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</si>
  <si>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</si>
  <si>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</si>
  <si>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</si>
  <si>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</si>
  <si>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</si>
  <si>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</si>
  <si>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</si>
  <si>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</si>
  <si>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</si>
  <si>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</si>
  <si>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</si>
  <si>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</si>
  <si>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</si>
  <si>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</si>
  <si>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</si>
  <si>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</si>
  <si>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</si>
  <si>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</si>
  <si>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</si>
  <si>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</si>
  <si>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</si>
  <si>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</si>
  <si>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</si>
  <si>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</si>
  <si>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</si>
  <si>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</si>
  <si>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</si>
  <si>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</si>
  <si>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</si>
  <si>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</si>
  <si>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</si>
  <si>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</si>
  <si>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</si>
  <si>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</si>
  <si>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</si>
  <si>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</si>
  <si>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</si>
  <si>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</si>
  <si>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</si>
  <si>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</si>
  <si>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</si>
  <si>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</si>
  <si>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</si>
  <si>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</si>
  <si>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</si>
  <si>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</si>
  <si>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</si>
  <si>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</si>
  <si>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</si>
  <si>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</si>
  <si>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</si>
  <si>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</si>
  <si>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</si>
  <si>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</si>
  <si>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</si>
  <si>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</si>
  <si>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</si>
  <si>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</si>
  <si>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</si>
  <si>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</si>
  <si>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</si>
  <si>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</si>
  <si>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</si>
  <si>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</si>
  <si>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</si>
  <si>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</si>
  <si>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</si>
  <si>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</si>
  <si>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</si>
  <si>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</si>
  <si>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</si>
  <si>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</si>
  <si>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</si>
  <si>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</si>
  <si>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</si>
  <si>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</si>
  <si>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</si>
  <si>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</si>
  <si>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</si>
  <si>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</si>
  <si>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</si>
  <si>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</si>
  <si>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</si>
  <si>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</si>
  <si>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</si>
  <si>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</si>
  <si>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</si>
  <si>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</si>
  <si>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</si>
  <si>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</si>
  <si>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</si>
  <si>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</si>
  <si>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</si>
  <si>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</si>
  <si>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</si>
  <si>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</si>
  <si>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</si>
  <si>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</si>
  <si>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</si>
  <si>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</si>
  <si>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</si>
  <si>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</si>
  <si>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</si>
  <si>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</si>
  <si>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</si>
  <si>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</si>
  <si>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</si>
  <si>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</si>
  <si>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</si>
  <si>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</si>
  <si>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</si>
  <si>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</si>
  <si>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</si>
  <si>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</si>
  <si>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</si>
  <si>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</si>
  <si>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</si>
  <si>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</si>
  <si>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</si>
  <si>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</si>
  <si>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</si>
  <si>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</si>
  <si>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</si>
  <si>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</si>
  <si>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</si>
  <si>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</si>
  <si>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</si>
  <si>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</si>
  <si>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</si>
  <si>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</si>
  <si>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</si>
  <si>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</si>
  <si>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</si>
  <si>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</si>
  <si>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</si>
  <si>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</si>
  <si>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</si>
  <si>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</si>
  <si>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</si>
  <si>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</si>
  <si>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</si>
  <si>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</si>
  <si>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</si>
  <si>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</si>
  <si>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</si>
  <si>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</si>
  <si>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</si>
  <si>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</si>
  <si>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</si>
  <si>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</si>
  <si>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</si>
  <si>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</si>
  <si>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</si>
  <si>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</si>
  <si>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</si>
  <si>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</si>
  <si>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</si>
  <si>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</si>
  <si>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</si>
  <si>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</si>
  <si>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</si>
  <si>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</si>
  <si>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</si>
  <si>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</si>
  <si>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</si>
  <si>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</si>
  <si>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</si>
  <si>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</si>
  <si>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</si>
  <si>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</si>
  <si>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</si>
  <si>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</si>
  <si>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</si>
  <si>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</si>
  <si>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</si>
  <si>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</si>
  <si>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</si>
  <si>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</si>
  <si>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</si>
  <si>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</si>
  <si>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</si>
  <si>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</si>
  <si>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</si>
  <si>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</si>
  <si>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</si>
  <si>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</si>
  <si>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</si>
  <si>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</si>
  <si>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</si>
  <si>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</si>
  <si>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</si>
  <si>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</si>
  <si>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</si>
  <si>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</si>
  <si>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</si>
  <si>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</si>
  <si>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</si>
  <si>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</si>
  <si>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</si>
  <si>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</si>
  <si>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</si>
  <si>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</si>
  <si>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</si>
  <si>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</si>
  <si>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</si>
  <si>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</si>
  <si>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</si>
  <si>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</si>
  <si>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</si>
  <si>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</si>
  <si>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</si>
  <si>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</si>
  <si>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</si>
  <si>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</si>
  <si>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</si>
  <si>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</si>
  <si>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</si>
  <si>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</si>
  <si>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</si>
  <si>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</si>
  <si>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</si>
  <si>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</si>
  <si>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</si>
  <si>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</si>
  <si>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</si>
  <si>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</si>
  <si>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</si>
  <si>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</si>
  <si>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</si>
  <si>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</si>
  <si>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</si>
  <si>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</si>
  <si>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</si>
  <si>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</si>
  <si>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</si>
  <si>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</si>
  <si>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</si>
  <si>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</si>
  <si>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</si>
  <si>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</si>
  <si>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</si>
  <si>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</si>
  <si>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</si>
  <si>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</si>
  <si>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</si>
  <si>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</si>
  <si>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</si>
  <si>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</si>
  <si>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</si>
  <si>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</si>
  <si>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</si>
  <si>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</si>
  <si>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</si>
  <si>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</si>
  <si>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</si>
  <si>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</si>
  <si>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</si>
  <si>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</si>
  <si>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</si>
  <si>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</si>
  <si>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</si>
  <si>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</si>
  <si>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</si>
  <si>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</si>
  <si>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</si>
  <si>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</si>
  <si>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</si>
  <si>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</si>
  <si>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</si>
  <si>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</si>
  <si>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</si>
  <si>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</si>
  <si>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</si>
  <si>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</si>
  <si>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</si>
  <si>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</si>
  <si>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</si>
  <si>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</si>
  <si>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</si>
  <si>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</si>
  <si>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</si>
  <si>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</si>
  <si>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</si>
  <si>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</si>
  <si>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</si>
  <si>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</si>
  <si>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</si>
  <si>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</si>
  <si>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</si>
  <si>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</si>
  <si>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</si>
  <si>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</si>
  <si>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</si>
  <si>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</si>
  <si>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</si>
  <si>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</si>
  <si>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</si>
  <si>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</si>
  <si>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</si>
  <si>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</si>
  <si>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</si>
  <si>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</si>
  <si>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</si>
  <si>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</si>
  <si>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</si>
  <si>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</si>
  <si>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</si>
  <si>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</si>
  <si>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</si>
  <si>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</si>
  <si>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</si>
  <si>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</si>
  <si>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</si>
  <si>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</si>
  <si>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</si>
  <si>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</si>
  <si>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</si>
  <si>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</si>
  <si>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</si>
  <si>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</si>
  <si>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</si>
  <si>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</si>
  <si>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</si>
  <si>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</si>
  <si>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</si>
  <si>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</si>
  <si>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</si>
  <si>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</si>
  <si>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</si>
  <si>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</si>
  <si>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</si>
  <si>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</si>
  <si>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</si>
  <si>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</si>
  <si>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</si>
  <si>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</si>
  <si>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</si>
  <si>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</si>
  <si>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</si>
  <si>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</si>
  <si>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</si>
  <si>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</si>
  <si>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</si>
  <si>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</si>
  <si>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</si>
  <si>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</si>
  <si>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</si>
  <si>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</si>
  <si>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</si>
  <si>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</si>
  <si>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</si>
  <si>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</si>
  <si>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</si>
  <si>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</si>
  <si>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</si>
  <si>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</si>
  <si>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</si>
  <si>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</si>
  <si>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</si>
  <si>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</si>
  <si>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</si>
  <si>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</si>
  <si>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</si>
  <si>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</si>
  <si>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</si>
  <si>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</si>
  <si>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</si>
  <si>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</si>
  <si>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</si>
  <si>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</si>
  <si>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</si>
  <si>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</si>
  <si>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</si>
  <si>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</si>
  <si>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</si>
  <si>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</si>
  <si>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</si>
  <si>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</si>
  <si>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</si>
  <si>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</si>
  <si>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</si>
  <si>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</si>
  <si>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</si>
  <si>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</si>
  <si>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</si>
  <si>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</si>
  <si>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</si>
  <si>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</si>
  <si>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</si>
  <si>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</si>
  <si>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</si>
  <si>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</si>
  <si>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</si>
  <si>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</si>
  <si>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</si>
  <si>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</si>
  <si>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</si>
  <si>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</si>
  <si>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</si>
  <si>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</si>
  <si>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</si>
  <si>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</si>
  <si>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</si>
  <si>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</si>
  <si>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</si>
  <si>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</si>
  <si>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</si>
  <si>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</si>
  <si>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</si>
  <si>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</si>
  <si>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</si>
  <si>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</si>
  <si>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</si>
  <si>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</si>
  <si>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</si>
  <si>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</si>
  <si>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</si>
  <si>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</si>
  <si>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</si>
  <si>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</si>
  <si>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</si>
  <si>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</si>
  <si>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</si>
  <si>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</si>
  <si>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</si>
  <si>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</si>
  <si>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</si>
  <si>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</si>
  <si>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</si>
  <si>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</si>
  <si>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</si>
  <si>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</si>
  <si>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</si>
  <si>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</si>
  <si>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</si>
  <si>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</si>
  <si>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</si>
  <si>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</si>
  <si>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</si>
  <si>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</si>
  <si>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</si>
  <si>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</si>
  <si>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</si>
  <si>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</si>
  <si>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</si>
  <si>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</si>
  <si>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</si>
  <si>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</si>
  <si>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</si>
  <si>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</si>
  <si>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</si>
  <si>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</si>
  <si>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</si>
  <si>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</si>
  <si>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</si>
  <si>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</si>
  <si>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</si>
  <si>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</si>
  <si>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</si>
  <si>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</si>
  <si>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</si>
  <si>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</si>
  <si>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</si>
  <si>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</si>
  <si>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</si>
  <si>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</si>
  <si>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</si>
  <si>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</si>
  <si>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</si>
  <si>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</si>
  <si>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</si>
  <si>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</si>
  <si>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</si>
  <si>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</si>
  <si>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</si>
  <si>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</si>
  <si>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Robert Moore</t>
  </si>
  <si>
    <t>James Aldridge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</si>
</sst>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605</v>
      </c>
      <c r="C25" t="s">
        <v>604</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628</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605</v>
      </c>
      <c r="C25" s="64" t="s">
        <v>604</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opLeftCell="B1" zoomScale="120" workbookViewId="0">
      <selection activeCell="B26" sqref="B26:E2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629</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5" workbookViewId="0">
      <selection activeCell="C36" sqref="C36"/>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599</v>
      </c>
      <c r="B15" t="s">
        <v>391</v>
      </c>
      <c r="C15" s="36" t="str">
        <f t="shared" si="0"/>
        <v>Evan Collett (G Fox) (KCC)</v>
      </c>
    </row>
    <row r="16" spans="1:8" ht="14.25">
      <c r="A16" t="s">
        <v>631</v>
      </c>
      <c r="B16" t="s">
        <v>391</v>
      </c>
      <c r="C16" s="36" t="str">
        <f t="shared" si="0"/>
        <v>Ian Bird (KCC)</v>
      </c>
    </row>
    <row r="17" spans="1:4" ht="14.25">
      <c r="A17" t="s">
        <v>487</v>
      </c>
      <c r="B17" t="s">
        <v>391</v>
      </c>
      <c r="C17" s="36" t="str">
        <f t="shared" si="0"/>
        <v>Josh Brown (KCC)</v>
      </c>
    </row>
    <row r="18" spans="1:4" ht="14.25">
      <c r="A18" t="s">
        <v>592</v>
      </c>
      <c r="B18" t="s">
        <v>391</v>
      </c>
      <c r="C18" s="36" t="str">
        <f t="shared" si="0"/>
        <v>Maria Cayford (KCC)</v>
      </c>
      <c r="D18" t="s">
        <v>372</v>
      </c>
    </row>
    <row r="19" spans="1:4" ht="14.25">
      <c r="A19" t="s">
        <v>630</v>
      </c>
      <c r="B19" t="s">
        <v>391</v>
      </c>
      <c r="C19" s="36" t="str">
        <f t="shared" si="0"/>
        <v>Michael Wheeler (KCC)</v>
      </c>
    </row>
    <row r="20" spans="1:4" ht="14.25">
      <c r="A20" t="s">
        <v>488</v>
      </c>
      <c r="B20" t="s">
        <v>400</v>
      </c>
      <c r="C20" s="36" t="str">
        <f t="shared" si="0"/>
        <v>Harriet Hughes (LFCC)</v>
      </c>
      <c r="D20" t="s">
        <v>372</v>
      </c>
    </row>
    <row r="21" spans="1:4" ht="14.25">
      <c r="A21" t="s">
        <v>489</v>
      </c>
      <c r="B21" t="s">
        <v>400</v>
      </c>
      <c r="C21" s="36" t="str">
        <f t="shared" si="0"/>
        <v>Mat Mabe (LFCC)</v>
      </c>
    </row>
    <row r="22" spans="1:4" ht="14.25">
      <c r="A22" t="s">
        <v>490</v>
      </c>
      <c r="B22" t="s">
        <v>400</v>
      </c>
      <c r="C22" s="36" t="str">
        <f t="shared" si="0"/>
        <v>Matt Finch (LFCC)</v>
      </c>
    </row>
    <row r="23" spans="1:4" ht="14.25">
      <c r="A23" t="s">
        <v>491</v>
      </c>
      <c r="B23" t="s">
        <v>400</v>
      </c>
      <c r="C23" s="36" t="str">
        <f t="shared" si="0"/>
        <v>Morris Mabe (LFCC)</v>
      </c>
    </row>
    <row r="24" spans="1:4" ht="14.25">
      <c r="A24" t="s">
        <v>492</v>
      </c>
      <c r="B24" t="s">
        <v>400</v>
      </c>
      <c r="C24" s="36" t="str">
        <f t="shared" si="0"/>
        <v>Sam Nettel (LFCC)</v>
      </c>
    </row>
    <row r="25" spans="1:4" ht="14.25">
      <c r="A25" t="s">
        <v>493</v>
      </c>
      <c r="B25" t="s">
        <v>400</v>
      </c>
      <c r="C25" s="36" t="str">
        <f t="shared" si="0"/>
        <v>Talles Medevives (LFCC)</v>
      </c>
    </row>
    <row r="26" spans="1:4" ht="14.25">
      <c r="A26" t="s">
        <v>494</v>
      </c>
      <c r="B26" t="s">
        <v>495</v>
      </c>
      <c r="C26" s="36" t="str">
        <f t="shared" si="0"/>
        <v>Dean Tacey (LRC)</v>
      </c>
    </row>
    <row r="27" spans="1:4" ht="14.25">
      <c r="A27" t="s">
        <v>496</v>
      </c>
      <c r="B27" t="s">
        <v>497</v>
      </c>
      <c r="C27" s="36" t="str">
        <f t="shared" si="0"/>
        <v>Chris Booth (MOCC)</v>
      </c>
    </row>
    <row r="28" spans="1:4" ht="14.25">
      <c r="A28" t="s">
        <v>498</v>
      </c>
      <c r="B28" t="s">
        <v>497</v>
      </c>
      <c r="C28" s="36" t="str">
        <f t="shared" si="0"/>
        <v>David Cooper (MOCC)</v>
      </c>
    </row>
    <row r="29" spans="1:4" ht="14.25">
      <c r="A29" t="s">
        <v>499</v>
      </c>
      <c r="B29" t="s">
        <v>497</v>
      </c>
      <c r="C29" s="36" t="str">
        <f t="shared" si="0"/>
        <v>Jamie Haines (MOCC)</v>
      </c>
    </row>
    <row r="30" spans="1:4" ht="14.25">
      <c r="A30" t="s">
        <v>500</v>
      </c>
      <c r="B30" t="s">
        <v>497</v>
      </c>
      <c r="C30" s="36" t="str">
        <f t="shared" si="0"/>
        <v>Laura Ayers (W) (MOCC)</v>
      </c>
      <c r="D30" t="s">
        <v>372</v>
      </c>
    </row>
    <row r="31" spans="1:4" ht="14.25">
      <c r="A31" t="s">
        <v>502</v>
      </c>
      <c r="B31" t="s">
        <v>503</v>
      </c>
      <c r="C31" s="36" t="str">
        <f t="shared" si="0"/>
        <v>Lewis Cooper (RAF Tri)</v>
      </c>
    </row>
    <row r="32" spans="1:4" ht="14.25">
      <c r="A32" t="s">
        <v>504</v>
      </c>
      <c r="B32" t="s">
        <v>394</v>
      </c>
      <c r="C32" s="36" t="str">
        <f t="shared" si="0"/>
        <v>Alex Whitmore (Ratae)</v>
      </c>
    </row>
    <row r="33" spans="1:4" ht="14.25">
      <c r="A33" t="s">
        <v>505</v>
      </c>
      <c r="B33" t="s">
        <v>394</v>
      </c>
      <c r="C33" s="36" t="str">
        <f t="shared" si="0"/>
        <v>Brian Lincoln (Ratae)</v>
      </c>
    </row>
    <row r="34" spans="1:4" ht="14.25">
      <c r="A34" t="s">
        <v>506</v>
      </c>
      <c r="B34" t="s">
        <v>394</v>
      </c>
      <c r="C34" s="36" t="str">
        <f t="shared" si="0"/>
        <v>Chris Bonsor (Ratae)</v>
      </c>
    </row>
    <row r="35" spans="1:4" ht="14.25">
      <c r="A35" t="s">
        <v>507</v>
      </c>
      <c r="B35" t="s">
        <v>394</v>
      </c>
      <c r="C35" s="36" t="str">
        <f t="shared" si="0"/>
        <v>Chris Spray (Ratae)</v>
      </c>
    </row>
    <row r="36" spans="1:4" ht="14.25">
      <c r="A36" t="s">
        <v>508</v>
      </c>
      <c r="B36" t="s">
        <v>394</v>
      </c>
      <c r="C36" s="36" t="str">
        <f t="shared" ref="C36:C67" si="1">IF(ISBLANK(B36),IF(ISBLANK(A36),"",A36),_xlfn.CONCAT(A36," (",B36,")"))</f>
        <v>Debbie Cooper (Ratae)</v>
      </c>
      <c r="D36" t="s">
        <v>372</v>
      </c>
    </row>
    <row r="37" spans="1:4" ht="14.25">
      <c r="A37" t="s">
        <v>509</v>
      </c>
      <c r="B37" t="s">
        <v>394</v>
      </c>
      <c r="C37" s="36" t="str">
        <f t="shared" si="1"/>
        <v>Ed Watson (Ratae)</v>
      </c>
    </row>
    <row r="38" spans="1:4" ht="14.25">
      <c r="A38" t="s">
        <v>584</v>
      </c>
      <c r="B38" s="63" t="s">
        <v>394</v>
      </c>
      <c r="C38" s="36" t="str">
        <f t="shared" si="1"/>
        <v>Geoff Stanbridge (Ratae)</v>
      </c>
    </row>
    <row r="39" spans="1:4" ht="14.25">
      <c r="A39" t="s">
        <v>510</v>
      </c>
      <c r="B39" t="s">
        <v>394</v>
      </c>
      <c r="C39" s="36" t="str">
        <f t="shared" si="1"/>
        <v>Jonathon Clarke (Ratae)</v>
      </c>
      <c r="D39" s="36"/>
    </row>
    <row r="40" spans="1:4" ht="14.25">
      <c r="A40" t="s">
        <v>511</v>
      </c>
      <c r="B40" t="s">
        <v>394</v>
      </c>
      <c r="C40" s="36" t="str">
        <f t="shared" si="1"/>
        <v>Lesley Allden (Ratae)</v>
      </c>
      <c r="D40" t="s">
        <v>372</v>
      </c>
    </row>
    <row r="41" spans="1:4" ht="14.25">
      <c r="A41" t="s">
        <v>512</v>
      </c>
      <c r="B41" t="s">
        <v>394</v>
      </c>
      <c r="C41" s="36" t="str">
        <f t="shared" si="1"/>
        <v>Lucy Sturgess (Ratae)</v>
      </c>
      <c r="D41" t="s">
        <v>372</v>
      </c>
    </row>
    <row r="42" spans="1:4" ht="14.25">
      <c r="A42" t="s">
        <v>513</v>
      </c>
      <c r="B42" t="s">
        <v>394</v>
      </c>
      <c r="C42" s="36" t="str">
        <f t="shared" si="1"/>
        <v>Mark Marmoy (Ratae)</v>
      </c>
    </row>
    <row r="43" spans="1:4" ht="14.25">
      <c r="A43" t="s">
        <v>514</v>
      </c>
      <c r="B43" t="s">
        <v>394</v>
      </c>
      <c r="C43" s="36" t="str">
        <f t="shared" si="1"/>
        <v>Mark Newton (Ratae)</v>
      </c>
    </row>
    <row r="44" spans="1:4" ht="14.25">
      <c r="A44" t="s">
        <v>515</v>
      </c>
      <c r="B44" t="s">
        <v>394</v>
      </c>
      <c r="C44" s="36" t="str">
        <f t="shared" si="1"/>
        <v>Marshall Briggs (Ratae)</v>
      </c>
    </row>
    <row r="45" spans="1:4" ht="14.25">
      <c r="A45" t="s">
        <v>516</v>
      </c>
      <c r="B45" t="s">
        <v>394</v>
      </c>
      <c r="C45" s="36" t="str">
        <f t="shared" si="1"/>
        <v>Natalie Harris (Ratae)</v>
      </c>
      <c r="D45" t="s">
        <v>372</v>
      </c>
    </row>
    <row r="46" spans="1:4" ht="14.25">
      <c r="A46" t="s">
        <v>517</v>
      </c>
      <c r="B46" t="s">
        <v>394</v>
      </c>
      <c r="C46" s="36" t="str">
        <f t="shared" si="1"/>
        <v>Paul Eden (Ratae)</v>
      </c>
    </row>
    <row r="47" spans="1:4" ht="14.25">
      <c r="A47" t="s">
        <v>518</v>
      </c>
      <c r="B47" t="s">
        <v>394</v>
      </c>
      <c r="C47" s="36" t="str">
        <f t="shared" si="1"/>
        <v>Sadie Murphy (Ratae)</v>
      </c>
      <c r="D47" t="s">
        <v>372</v>
      </c>
    </row>
    <row r="48" spans="1:4" ht="14.25">
      <c r="A48" t="s">
        <v>519</v>
      </c>
      <c r="B48" t="s">
        <v>394</v>
      </c>
      <c r="C48" s="36" t="str">
        <f t="shared" si="1"/>
        <v>Steve Pearce (Ratae)</v>
      </c>
    </row>
    <row r="49" spans="1:4" ht="14.25">
      <c r="A49" t="s">
        <v>520</v>
      </c>
      <c r="B49" t="s">
        <v>385</v>
      </c>
      <c r="C49" s="36" t="str">
        <f t="shared" si="1"/>
        <v>Adam Wells (RFW)</v>
      </c>
    </row>
    <row r="50" spans="1:4" ht="14.25">
      <c r="A50" t="s">
        <v>596</v>
      </c>
      <c r="B50" t="s">
        <v>385</v>
      </c>
      <c r="C50" s="36" t="str">
        <f t="shared" si="1"/>
        <v>Alex Barrowman (RFW)</v>
      </c>
    </row>
    <row r="51" spans="1:4" ht="14.25">
      <c r="A51" t="s">
        <v>521</v>
      </c>
      <c r="B51" t="s">
        <v>385</v>
      </c>
      <c r="C51" s="36" t="str">
        <f t="shared" si="1"/>
        <v>Anne Gilhespy (RFW)</v>
      </c>
      <c r="D51" t="s">
        <v>372</v>
      </c>
    </row>
    <row r="52" spans="1:4" ht="14.25">
      <c r="A52" t="s">
        <v>522</v>
      </c>
      <c r="B52" t="s">
        <v>385</v>
      </c>
      <c r="C52" s="36" t="str">
        <f t="shared" si="1"/>
        <v>Chris Fowler (RFW)</v>
      </c>
    </row>
    <row r="53" spans="1:4" ht="14.25">
      <c r="A53" t="s">
        <v>523</v>
      </c>
      <c r="B53" t="s">
        <v>385</v>
      </c>
      <c r="C53" s="36" t="str">
        <f t="shared" si="1"/>
        <v>Dan Hempkin (RFW)</v>
      </c>
    </row>
    <row r="54" spans="1:4" ht="14.25">
      <c r="A54" t="s">
        <v>524</v>
      </c>
      <c r="B54" t="s">
        <v>385</v>
      </c>
      <c r="C54" s="36" t="str">
        <f t="shared" si="1"/>
        <v>David Hill (RFW)</v>
      </c>
    </row>
    <row r="55" spans="1:4" ht="14.25">
      <c r="A55" t="s">
        <v>640</v>
      </c>
      <c r="B55" t="s">
        <v>385</v>
      </c>
      <c r="C55" s="36" t="str">
        <f t="shared" si="1"/>
        <v>Ethan Mitchell-Clarke (Team Bottrill Nopinz) (RFW)</v>
      </c>
    </row>
    <row r="56" spans="1:4" ht="14.25">
      <c r="A56" t="s">
        <v>525</v>
      </c>
      <c r="B56" t="s">
        <v>385</v>
      </c>
      <c r="C56" s="36" t="str">
        <f t="shared" si="1"/>
        <v>Giles Cooper (RFW)</v>
      </c>
    </row>
    <row r="57" spans="1:4" ht="14.25">
      <c r="A57" t="s">
        <v>591</v>
      </c>
      <c r="B57" t="s">
        <v>385</v>
      </c>
      <c r="C57" s="36" t="str">
        <f t="shared" si="1"/>
        <v>Graeme Hall (RFW)</v>
      </c>
    </row>
    <row r="58" spans="1:4" ht="14.25">
      <c r="A58" t="s">
        <v>526</v>
      </c>
      <c r="B58" t="s">
        <v>385</v>
      </c>
      <c r="C58" s="36" t="str">
        <f t="shared" si="1"/>
        <v>Gregg Payne (RFW)</v>
      </c>
    </row>
    <row r="59" spans="1:4" ht="14.25">
      <c r="A59" t="s">
        <v>595</v>
      </c>
      <c r="B59" t="s">
        <v>385</v>
      </c>
      <c r="C59" s="36" t="str">
        <f t="shared" si="1"/>
        <v>Hudson Hendry (Ride Revolution) (RFW)</v>
      </c>
    </row>
    <row r="60" spans="1:4" ht="14.25">
      <c r="A60" t="s">
        <v>597</v>
      </c>
      <c r="B60" t="s">
        <v>385</v>
      </c>
      <c r="C60" s="36" t="str">
        <f t="shared" si="1"/>
        <v>Laurence Noble (RFW)</v>
      </c>
    </row>
    <row r="61" spans="1:4" ht="14.25">
      <c r="A61" t="s">
        <v>527</v>
      </c>
      <c r="B61" t="s">
        <v>385</v>
      </c>
      <c r="C61" s="36" t="str">
        <f t="shared" si="1"/>
        <v>Lynne Scofield (RFW)</v>
      </c>
      <c r="D61" t="s">
        <v>372</v>
      </c>
    </row>
    <row r="62" spans="1:4" ht="14.25">
      <c r="A62" t="s">
        <v>528</v>
      </c>
      <c r="B62" t="s">
        <v>385</v>
      </c>
      <c r="C62" s="36" t="str">
        <f t="shared" si="1"/>
        <v>Lynne Wilkinson-Scofield (RFW)</v>
      </c>
      <c r="D62" t="s">
        <v>372</v>
      </c>
    </row>
    <row r="63" spans="1:4" ht="14.25">
      <c r="A63" t="s">
        <v>529</v>
      </c>
      <c r="B63" t="s">
        <v>385</v>
      </c>
      <c r="C63" s="36" t="str">
        <f t="shared" si="1"/>
        <v>Michael Carter (RFW)</v>
      </c>
    </row>
    <row r="64" spans="1:4" ht="14.25">
      <c r="A64" s="63" t="s">
        <v>580</v>
      </c>
      <c r="B64" t="s">
        <v>385</v>
      </c>
      <c r="C64" s="36" t="str">
        <f t="shared" si="1"/>
        <v>Mike Deely (G Fox) (RFW)</v>
      </c>
    </row>
    <row r="65" spans="1:4" ht="14.25">
      <c r="A65" t="s">
        <v>517</v>
      </c>
      <c r="B65" t="s">
        <v>385</v>
      </c>
      <c r="C65" s="36" t="str">
        <f t="shared" si="1"/>
        <v>Paul Eden (RFW)</v>
      </c>
    </row>
    <row r="66" spans="1:4" ht="14.25">
      <c r="A66" t="s">
        <v>530</v>
      </c>
      <c r="B66" t="s">
        <v>385</v>
      </c>
      <c r="C66" s="36" t="str">
        <f t="shared" si="1"/>
        <v>Paul Russell (RFW)</v>
      </c>
    </row>
    <row r="67" spans="1:4" ht="14.25">
      <c r="A67" t="s">
        <v>531</v>
      </c>
      <c r="B67" t="s">
        <v>385</v>
      </c>
      <c r="C67" s="36" t="str">
        <f t="shared" si="1"/>
        <v>Paul Ryan (RFW)</v>
      </c>
    </row>
    <row r="68" spans="1:4" ht="14.25">
      <c r="A68" t="s">
        <v>641</v>
      </c>
      <c r="B68" t="s">
        <v>385</v>
      </c>
      <c r="C68" s="36" t="str">
        <f t="shared" ref="C68:C99" si="2">IF(ISBLANK(B68),IF(ISBLANK(A68),"",A68),_xlfn.CONCAT(A68," (",B68,")"))</f>
        <v>Pete Bradshaw (RFW)</v>
      </c>
    </row>
    <row r="69" spans="1:4" ht="14.25">
      <c r="A69" t="s">
        <v>532</v>
      </c>
      <c r="B69" t="s">
        <v>385</v>
      </c>
      <c r="C69" s="36" t="str">
        <f t="shared" si="2"/>
        <v>Phil Wilkinson (RFW)</v>
      </c>
    </row>
    <row r="70" spans="1:4" ht="14.25">
      <c r="A70" t="s">
        <v>593</v>
      </c>
      <c r="B70" t="s">
        <v>385</v>
      </c>
      <c r="C70" s="36" t="str">
        <f t="shared" si="2"/>
        <v>Steve Coombs (RFW)</v>
      </c>
    </row>
    <row r="71" spans="1:4" ht="14.25">
      <c r="A71" t="s">
        <v>594</v>
      </c>
      <c r="B71" t="s">
        <v>385</v>
      </c>
      <c r="C71" s="36" t="str">
        <f t="shared" si="2"/>
        <v>Steve Wickham (RFW)</v>
      </c>
    </row>
    <row r="72" spans="1:4" ht="14.25">
      <c r="A72" t="s">
        <v>534</v>
      </c>
      <c r="B72" t="s">
        <v>535</v>
      </c>
      <c r="C72" s="36" t="str">
        <f t="shared" si="2"/>
        <v>Adrian James (Rugby RCC)</v>
      </c>
    </row>
    <row r="73" spans="1:4" ht="14.25">
      <c r="A73" t="s">
        <v>536</v>
      </c>
      <c r="B73" t="s">
        <v>537</v>
      </c>
      <c r="C73" s="36" t="str">
        <f t="shared" si="2"/>
        <v>Carl Shaw (Speedhub)</v>
      </c>
    </row>
    <row r="74" spans="1:4" ht="14.25">
      <c r="A74" t="s">
        <v>538</v>
      </c>
      <c r="B74" t="s">
        <v>539</v>
      </c>
      <c r="C74" s="36" t="str">
        <f t="shared" si="2"/>
        <v>Oliver Searle (St Ives CC)</v>
      </c>
    </row>
    <row r="75" spans="1:4" ht="14.25">
      <c r="A75" t="s">
        <v>638</v>
      </c>
      <c r="B75" t="s">
        <v>388</v>
      </c>
      <c r="C75" s="36" t="str">
        <f t="shared" si="2"/>
        <v>Ed Tarelli (Race Hub) (WVCC)</v>
      </c>
      <c r="D75" s="36"/>
    </row>
    <row r="76" spans="1:4" ht="14.25">
      <c r="A76" t="s">
        <v>637</v>
      </c>
      <c r="B76" t="s">
        <v>388</v>
      </c>
      <c r="C76" s="36" t="str">
        <f t="shared" si="2"/>
        <v>Jamie Kershaw (Beeston CC) (WVCC)</v>
      </c>
    </row>
    <row r="77" spans="1:4" ht="14.25">
      <c r="A77" t="s">
        <v>639</v>
      </c>
      <c r="B77" t="s">
        <v>388</v>
      </c>
      <c r="C77" s="36" t="str">
        <f t="shared" si="2"/>
        <v>Jennifer Clegg (Team Bottrill Nopinz) (WVCC)</v>
      </c>
      <c r="D77" t="s">
        <v>372</v>
      </c>
    </row>
    <row r="78" spans="1:4" ht="14.25">
      <c r="A78" t="s">
        <v>635</v>
      </c>
      <c r="B78" t="s">
        <v>388</v>
      </c>
      <c r="C78" s="36" t="str">
        <f t="shared" si="2"/>
        <v>Leah Cuthbertson (G Fox) (WVCC)</v>
      </c>
      <c r="D78" t="s">
        <v>372</v>
      </c>
    </row>
    <row r="79" spans="1:4" ht="14.25">
      <c r="A79" t="s">
        <v>636</v>
      </c>
      <c r="B79" t="s">
        <v>388</v>
      </c>
      <c r="C79" s="36" t="str">
        <f t="shared" si="2"/>
        <v>Ruby Isaac (CAMS Majaco) (WVCC)</v>
      </c>
      <c r="D79" t="s">
        <v>372</v>
      </c>
    </row>
    <row r="80" spans="1:4"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94">
    <sortCondition ref="B2:B94"/>
    <sortCondition ref="A2:A94"/>
  </sortState>
  <conditionalFormatting sqref="A2:D89">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Event_01</v>
      </c>
    </row>
    <row r="104" spans="1:10">
      <c r="B104" t="s">
        <v>557</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Event_02</v>
      </c>
    </row>
    <row r="104" spans="1:10">
      <c r="B104" t="s">
        <v>557</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Event_03</v>
      </c>
    </row>
    <row r="104" spans="1:10">
      <c r="B104" t="s">
        <v>557</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Event_04</v>
      </c>
    </row>
    <row r="104" spans="1:10">
      <c r="B104" t="s">
        <v>557</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45" t="s">
        <v>462</v>
      </c>
      <c r="I1" s="45" t="s">
        <v>547</v>
      </c>
      <c r="J1" t="s">
        <v>548</v>
      </c>
    </row>
    <row r="2" spans="1:10" ht="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556</v>
      </c>
      <c r="C103" t="str" cm="1">
        <f t="array" aca="1" ref="C103" ca="1">MID(CELL("filename",B1),FIND("]",CELL("filename",B1))+1,255)</f>
        <v>Event_05</v>
      </c>
    </row>
    <row r="104" spans="1:10">
      <c r="B104" t="s">
        <v>557</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Event_06</v>
      </c>
    </row>
    <row r="104" spans="1:10">
      <c r="B104" t="s">
        <v>557</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556</v>
      </c>
      <c r="C103" t="str" cm="1">
        <f t="array" aca="1" ref="C103" ca="1">MID(CELL("filename",B1),FIND("]",CELL("filename",B1))+1,255)</f>
        <v>Event_07</v>
      </c>
    </row>
    <row r="104" spans="1:10">
      <c r="B104" t="s">
        <v>557</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Event_08</v>
      </c>
    </row>
    <row r="104" spans="1:10">
      <c r="B104" t="s">
        <v>557</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Event_09</v>
      </c>
    </row>
    <row r="104" spans="1:10">
      <c r="B104" t="s">
        <v>557</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Event_10</v>
      </c>
    </row>
    <row r="104" spans="1:10">
      <c r="B104" t="s">
        <v>557</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Event_11</v>
      </c>
    </row>
    <row r="104" spans="1:10">
      <c r="B104" t="s">
        <v>557</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556</v>
      </c>
      <c r="C103" t="str" cm="1">
        <f t="array" aca="1" ref="C103" ca="1">MID(CELL("filename",B1),FIND("]",CELL("filename",B1))+1,255)</f>
        <v>Event_12</v>
      </c>
    </row>
    <row r="104" spans="1:10">
      <c r="B104" t="s">
        <v>557</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Event_13</v>
      </c>
    </row>
    <row r="104" spans="1:10">
      <c r="B104" t="s">
        <v>557</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2"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Event_14</v>
      </c>
    </row>
    <row r="104" spans="1:10">
      <c r="B104" t="s">
        <v>557</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556</v>
      </c>
      <c r="C103" t="str" cm="1">
        <f t="array" aca="1" ref="C103" ca="1">MID(CELL("filename",B1),FIND("]",CELL("filename",B1))+1,255)</f>
        <v>Event_15</v>
      </c>
    </row>
    <row r="104" spans="1:10">
      <c r="B104" t="s">
        <v>557</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abSelected="1" workbookViewId="0">
      <selection activeCell="H46" sqref="H46"/>
    </sheetView>
  </sheetViews>
  <sheetFormatPr defaultColWidth="9.1328125" defaultRowHeight="12.75"/>
  <cols>
    <col min="1" max="1" width="36.3984375" bestFit="1" customWidth="1"/>
    <col min="2" max="2" width="49.6640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540</v>
      </c>
      <c r="B1" s="40" t="s">
        <v>541</v>
      </c>
      <c r="C1" s="41" t="s">
        <v>542</v>
      </c>
      <c r="D1" s="42" t="s">
        <v>543</v>
      </c>
      <c r="E1" s="43" t="s">
        <v>544</v>
      </c>
      <c r="F1" s="44" t="s">
        <v>545</v>
      </c>
      <c r="G1" s="44" t="s">
        <v>546</v>
      </c>
      <c r="H1" s="39" t="s">
        <v>462</v>
      </c>
      <c r="I1" s="45" t="s">
        <v>547</v>
      </c>
      <c r="J1" t="s">
        <v>548</v>
      </c>
    </row>
    <row r="2" spans="1:11" ht="15">
      <c r="A2" s="46" t="s">
        <v>460</v>
      </c>
      <c r="B2" s="47">
        <f>IF(A2="","",_xlfn.XLOOKUP(A2,ClubNames,ClubNumbers,_xlfn.XLOOKUP(A2,RoundRobinRiderNames,RoundRobinRiderDecoratedNames,A2)))</f>
        <v>742</v>
      </c>
      <c r="C2" s="48"/>
      <c r="D2" s="49"/>
      <c r="E2" s="49"/>
      <c r="F2" s="49" t="s">
        <v>549</v>
      </c>
      <c r="G2" s="49"/>
      <c r="H2" s="50" t="str">
        <f>IF($B2="","",IF($J2="X",B2,CONCATENATE(VLOOKUP(B2,Competitors!$A$2:$I$650,3,FALSE)," ",VLOOKUP(B2,Competitors!$A$2:$I$650,2,FALSE))))</f>
        <v>Claire Moore</v>
      </c>
      <c r="I2" s="51">
        <f>IF(LEFT($F2,1)="D",UPPER($F2),(C2*3600+D2*60+E2)/86400)</f>
        <v>0</v>
      </c>
      <c r="J2" t="str">
        <f>IF(OR(B2="",ISNUMBER(B2)),"","X")</f>
        <v/>
      </c>
      <c r="K2">
        <v>1</v>
      </c>
    </row>
    <row r="3" spans="1:11" ht="15">
      <c r="A3" s="46" t="s">
        <v>461</v>
      </c>
      <c r="B3" s="47">
        <f>IF(A3="","",_xlfn.XLOOKUP(A3,ClubNames,ClubNumbers,_xlfn.XLOOKUP(A3,RoundRobinRiderNames,RoundRobinRiderDecoratedNames,A3)))</f>
        <v>7</v>
      </c>
      <c r="C3" s="48"/>
      <c r="D3" s="49"/>
      <c r="E3" s="49"/>
      <c r="F3" s="49" t="s">
        <v>549</v>
      </c>
      <c r="G3" s="49"/>
      <c r="H3" s="50" t="str">
        <f>IF($B3="","",IF($J3="X",B3,CONCATENATE(VLOOKUP(B3,Competitors!$A$2:$I$650,3,FALSE)," ",VLOOKUP(B3,Competitors!$A$2:$I$650,2,FALSE))))</f>
        <v>Vic Barnett</v>
      </c>
      <c r="I3" s="51">
        <f>IF(LEFT($F3,1)="D",UPPER($F3),(C3*3600+D3*60+E3)/86400)</f>
        <v>0</v>
      </c>
      <c r="J3" t="str">
        <f>IF(OR(B3="",ISNUMBER(B3)),"","X")</f>
        <v/>
      </c>
      <c r="K3">
        <v>2</v>
      </c>
    </row>
    <row r="4" spans="1:11" ht="15">
      <c r="A4" s="46" t="s">
        <v>486</v>
      </c>
      <c r="B4" s="47" t="str">
        <f>IF(A4="","",_xlfn.XLOOKUP(A4,ClubNames,ClubNumbers,_xlfn.XLOOKUP(A4,RoundRobinRiderNames,RoundRobinRiderDecoratedNames,A4)))</f>
        <v>Andy King (KCC)</v>
      </c>
      <c r="C4" s="48"/>
      <c r="D4" s="49"/>
      <c r="E4" s="49"/>
      <c r="F4" s="49" t="s">
        <v>549</v>
      </c>
      <c r="G4" s="49"/>
      <c r="H4" s="50" t="str">
        <f>IF($B4="","",IF($J4="X",B4,CONCATENATE(VLOOKUP(B4,Competitors!$A$2:$I$650,3,FALSE)," ",VLOOKUP(B4,Competitors!$A$2:$I$650,2,FALSE))))</f>
        <v>Andy King (KCC)</v>
      </c>
      <c r="I4" s="51">
        <f>IF(LEFT($F4,1)="D",UPPER($F4),(C4*3600+D4*60+E4)/86400)</f>
        <v>0</v>
      </c>
      <c r="J4" t="str">
        <f>IF(OR(B4="",ISNUMBER(B4)),"","X")</f>
        <v>X</v>
      </c>
      <c r="K4">
        <v>3</v>
      </c>
    </row>
    <row r="5" spans="1:11" ht="15">
      <c r="A5" s="46" t="s">
        <v>640</v>
      </c>
      <c r="B5" s="47" t="str">
        <f>IF(A5="","",_xlfn.XLOOKUP(A5,ClubNames,ClubNumbers,_xlfn.XLOOKUP(A5,RoundRobinRiderNames,RoundRobinRiderDecoratedNames,A5)))</f>
        <v>Ethan Mitchell-Clarke (Team Bottrill Nopinz) (RFW)</v>
      </c>
      <c r="C5" s="48"/>
      <c r="D5" s="49"/>
      <c r="E5" s="49"/>
      <c r="F5" s="49" t="s">
        <v>549</v>
      </c>
      <c r="G5" s="49"/>
      <c r="H5" s="50" t="str">
        <f>IF($B5="","",IF($J5="X",B5,CONCATENATE(VLOOKUP(B5,Competitors!$A$2:$I$650,3,FALSE)," ",VLOOKUP(B5,Competitors!$A$2:$I$650,2,FALSE))))</f>
        <v>Ethan Mitchell-Clarke (Team Bottrill Nopinz) (RFW)</v>
      </c>
      <c r="I5" s="51">
        <f>IF(LEFT($F5,1)="D",UPPER($F5),(C5*3600+D5*60+E5)/86400)</f>
        <v>0</v>
      </c>
      <c r="J5" t="str">
        <f>IF(OR(B5="",ISNUMBER(B5)),"","X")</f>
        <v>X</v>
      </c>
      <c r="K5">
        <v>4</v>
      </c>
    </row>
    <row r="6" spans="1:11" ht="15">
      <c r="A6" s="46" t="s">
        <v>520</v>
      </c>
      <c r="B6" s="47" t="str">
        <f>IF(A6="","",_xlfn.XLOOKUP(A6,ClubNames,ClubNumbers,_xlfn.XLOOKUP(A6,RoundRobinRiderNames,RoundRobinRiderDecoratedNames,A6)))</f>
        <v>Adam Wells (RFW)</v>
      </c>
      <c r="C6" s="48"/>
      <c r="D6" s="49"/>
      <c r="E6" s="49"/>
      <c r="F6" s="49" t="s">
        <v>549</v>
      </c>
      <c r="G6" s="49"/>
      <c r="H6" s="50" t="str">
        <f>IF($B6="","",IF($J6="X",B6,CONCATENATE(VLOOKUP(B6,Competitors!$A$2:$I$650,3,FALSE)," ",VLOOKUP(B6,Competitors!$A$2:$I$650,2,FALSE))))</f>
        <v>Adam Wells (RFW)</v>
      </c>
      <c r="I6" s="51">
        <f>IF(LEFT($F6,1)="D",UPPER($F6),(C6*3600+D6*60+E6)/86400)</f>
        <v>0</v>
      </c>
      <c r="J6" t="str">
        <f>IF(OR(B6="",ISNUMBER(B6)),"","X")</f>
        <v>X</v>
      </c>
      <c r="K6">
        <v>5</v>
      </c>
    </row>
    <row r="7" spans="1:11" ht="15">
      <c r="A7" s="46" t="s">
        <v>586</v>
      </c>
      <c r="B7" s="47">
        <f>IF(A7="","",_xlfn.XLOOKUP(A7,ClubNames,ClubNumbers,_xlfn.XLOOKUP(A7,RoundRobinRiderNames,RoundRobinRiderDecoratedNames,A7)))</f>
        <v>1370</v>
      </c>
      <c r="C7" s="48"/>
      <c r="D7" s="49"/>
      <c r="E7" s="49"/>
      <c r="F7" s="49" t="s">
        <v>549</v>
      </c>
      <c r="G7" s="49"/>
      <c r="H7" s="50" t="str">
        <f>IF($B7="","",IF($J7="X",B7,CONCATENATE(VLOOKUP(B7,Competitors!$A$2:$I$650,3,FALSE)," ",VLOOKUP(B7,Competitors!$A$2:$I$650,2,FALSE))))</f>
        <v>Ian Aldridge</v>
      </c>
      <c r="I7" s="51">
        <f>IF(LEFT($F7,1)="D",UPPER($F7),(C7*3600+D7*60+E7)/86400)</f>
        <v>0</v>
      </c>
      <c r="J7" t="str">
        <f>IF(OR(B7="",ISNUMBER(B7)),"","X")</f>
        <v/>
      </c>
      <c r="K7">
        <v>6</v>
      </c>
    </row>
    <row r="8" spans="1:11" ht="15">
      <c r="A8" s="46" t="s">
        <v>441</v>
      </c>
      <c r="B8" s="47">
        <f>IF(A8="","",_xlfn.XLOOKUP(A8,ClubNames,ClubNumbers,_xlfn.XLOOKUP(A8,RoundRobinRiderNames,RoundRobinRiderDecoratedNames,A8)))</f>
        <v>245</v>
      </c>
      <c r="C8" s="48"/>
      <c r="D8" s="49"/>
      <c r="E8" s="49"/>
      <c r="F8" s="49"/>
      <c r="G8" s="49"/>
      <c r="H8" s="50" t="str">
        <f>IF($B8="","",IF($J8="X",B8,CONCATENATE(VLOOKUP(B8,Competitors!$A$2:$I$650,3,FALSE)," ",VLOOKUP(B8,Competitors!$A$2:$I$650,2,FALSE))))</f>
        <v>David Reay</v>
      </c>
      <c r="I8" s="51">
        <f>IF(LEFT($F8,1)="D",UPPER($F8),(C8*3600+D8*60+E8)/86400)</f>
        <v>0</v>
      </c>
      <c r="J8" t="str">
        <f>IF(OR(B8="",ISNUMBER(B8)),"","X")</f>
        <v/>
      </c>
      <c r="K8">
        <v>7</v>
      </c>
    </row>
    <row r="9" spans="1:11" ht="15">
      <c r="A9" s="46" t="s">
        <v>644</v>
      </c>
      <c r="B9" s="47">
        <f>IF(A9="","",_xlfn.XLOOKUP(A9,ClubNames,ClubNumbers,_xlfn.XLOOKUP(A9,RoundRobinRiderNames,RoundRobinRiderDecoratedNames,A9)))</f>
        <v>1415</v>
      </c>
      <c r="C9" s="48"/>
      <c r="D9" s="49"/>
      <c r="E9" s="49"/>
      <c r="F9" s="49" t="s">
        <v>549</v>
      </c>
      <c r="G9" s="49"/>
      <c r="H9" s="50" t="str">
        <f>IF($B9="","",IF($J9="X",B9,CONCATENATE(VLOOKUP(B9,Competitors!$A$2:$I$650,3,FALSE)," ",VLOOKUP(B9,Competitors!$A$2:$I$650,2,FALSE))))</f>
        <v>James Aldridge</v>
      </c>
      <c r="I9" s="51">
        <f>IF(LEFT($F9,1)="D",UPPER($F9),(C9*3600+D9*60+E9)/86400)</f>
        <v>0</v>
      </c>
      <c r="J9" t="str">
        <f>IF(OR(B9="",ISNUMBER(B9)),"","X")</f>
        <v/>
      </c>
      <c r="K9">
        <v>8</v>
      </c>
    </row>
    <row r="10" spans="1:11" ht="15">
      <c r="A10" s="46" t="s">
        <v>643</v>
      </c>
      <c r="B10" s="47" t="str">
        <f>IF(A10="","",_xlfn.XLOOKUP(A10,ClubNames,ClubNumbers,_xlfn.XLOOKUP(A10,RoundRobinRiderNames,RoundRobinRiderDecoratedNames,A10)))</f>
        <v>Robert Moore</v>
      </c>
      <c r="C10" s="48"/>
      <c r="D10" s="49"/>
      <c r="E10" s="49"/>
      <c r="F10" s="49" t="s">
        <v>549</v>
      </c>
      <c r="G10" s="49"/>
      <c r="H10" s="50" t="str">
        <f>IF($B10="","",IF($J10="X",B10,CONCATENATE(VLOOKUP(B10,Competitors!$A$2:$I$650,3,FALSE)," ",VLOOKUP(B10,Competitors!$A$2:$I$650,2,FALSE))))</f>
        <v>Robert Moore</v>
      </c>
      <c r="I10" s="51">
        <f>IF(LEFT($F10,1)="D",UPPER($F10),(C10*3600+D10*60+E10)/86400)</f>
        <v>0</v>
      </c>
      <c r="J10" t="str">
        <f>IF(OR(B10="",ISNUMBER(B10)),"","X")</f>
        <v>X</v>
      </c>
      <c r="K10">
        <v>9</v>
      </c>
    </row>
    <row r="11" spans="1:11" ht="15">
      <c r="A11" s="46" t="s">
        <v>528</v>
      </c>
      <c r="B11" s="47" t="str">
        <f>IF(A11="","",_xlfn.XLOOKUP(A11,ClubNames,ClubNumbers,_xlfn.XLOOKUP(A11,RoundRobinRiderNames,RoundRobinRiderDecoratedNames,A11)))</f>
        <v>Lynne Wilkinson-Scofield (RFW)</v>
      </c>
      <c r="C11" s="48"/>
      <c r="D11" s="49"/>
      <c r="E11" s="49"/>
      <c r="F11" s="49"/>
      <c r="G11" s="49"/>
      <c r="H11" s="50" t="str">
        <f>IF($B11="","",IF($J11="X",B11,CONCATENATE(VLOOKUP(B11,Competitors!$A$2:$I$650,3,FALSE)," ",VLOOKUP(B11,Competitors!$A$2:$I$650,2,FALSE))))</f>
        <v>Lynne Wilkinson-Scofield (RFW)</v>
      </c>
      <c r="I11" s="51">
        <f>IF(LEFT($F11,1)="D",UPPER($F11),(C11*3600+D11*60+E11)/86400)</f>
        <v>0</v>
      </c>
      <c r="J11" t="str">
        <f>IF(OR(B11="",ISNUMBER(B11)),"","X")</f>
        <v>X</v>
      </c>
      <c r="K11">
        <v>10</v>
      </c>
    </row>
    <row r="12" spans="1:11" ht="15">
      <c r="A12" s="46" t="s">
        <v>447</v>
      </c>
      <c r="B12" s="47">
        <f>IF(A12="","",_xlfn.XLOOKUP(A12,ClubNames,ClubNumbers,_xlfn.XLOOKUP(A12,RoundRobinRiderNames,RoundRobinRiderDecoratedNames,A12)))</f>
        <v>1379</v>
      </c>
      <c r="C12" s="48"/>
      <c r="D12" s="49"/>
      <c r="E12" s="49"/>
      <c r="F12" s="49" t="s">
        <v>549</v>
      </c>
      <c r="G12" s="49"/>
      <c r="H12" s="50" t="str">
        <f>IF($B12="","",IF($J12="X",B12,CONCATENATE(VLOOKUP(B12,Competitors!$A$2:$I$650,3,FALSE)," ",VLOOKUP(B12,Competitors!$A$2:$I$650,2,FALSE))))</f>
        <v>Michaela Latham</v>
      </c>
      <c r="I12" s="51">
        <f>IF(LEFT($F12,1)="D",UPPER($F12),(C12*3600+D12*60+E12)/86400)</f>
        <v>0</v>
      </c>
      <c r="J12" t="str">
        <f>IF(OR(B12="",ISNUMBER(B12)),"","X")</f>
        <v/>
      </c>
      <c r="K12">
        <v>11</v>
      </c>
    </row>
    <row r="13" spans="1:11" ht="15">
      <c r="A13" s="46" t="s">
        <v>431</v>
      </c>
      <c r="B13" s="47">
        <f>IF(A13="","",_xlfn.XLOOKUP(A13,ClubNames,ClubNumbers,_xlfn.XLOOKUP(A13,RoundRobinRiderNames,RoundRobinRiderDecoratedNames,A13)))</f>
        <v>616</v>
      </c>
      <c r="C13" s="48"/>
      <c r="D13" s="49"/>
      <c r="E13" s="49"/>
      <c r="F13" s="49"/>
      <c r="G13" s="49"/>
      <c r="H13" s="50" t="str">
        <f>IF($B13="","",IF($J13="X",B13,CONCATENATE(VLOOKUP(B13,Competitors!$A$2:$I$650,3,FALSE)," ",VLOOKUP(B13,Competitors!$A$2:$I$650,2,FALSE))))</f>
        <v>Simon Ward</v>
      </c>
      <c r="I13" s="51">
        <f>IF(LEFT($F13,1)="D",UPPER($F13),(C13*3600+D13*60+E13)/86400)</f>
        <v>0</v>
      </c>
      <c r="J13" t="str">
        <f>IF(OR(B13="",ISNUMBER(B13)),"","X")</f>
        <v/>
      </c>
      <c r="K13">
        <v>12</v>
      </c>
    </row>
    <row r="14" spans="1:11" ht="15">
      <c r="A14" s="46" t="s">
        <v>524</v>
      </c>
      <c r="B14" s="47" t="str">
        <f>IF(A14="","",_xlfn.XLOOKUP(A14,ClubNames,ClubNumbers,_xlfn.XLOOKUP(A14,RoundRobinRiderNames,RoundRobinRiderDecoratedNames,A14)))</f>
        <v>David Hill (RFW)</v>
      </c>
      <c r="C14" s="48"/>
      <c r="D14" s="49"/>
      <c r="E14" s="49"/>
      <c r="F14" s="49" t="s">
        <v>549</v>
      </c>
      <c r="G14" s="49"/>
      <c r="H14" s="50" t="str">
        <f>IF($B14="","",IF($J14="X",B14,CONCATENATE(VLOOKUP(B14,Competitors!$A$2:$I$650,3,FALSE)," ",VLOOKUP(B14,Competitors!$A$2:$I$650,2,FALSE))))</f>
        <v>David Hill (RFW)</v>
      </c>
      <c r="I14" s="51">
        <f>IF(LEFT($F14,1)="D",UPPER($F14),(C14*3600+D14*60+E14)/86400)</f>
        <v>0</v>
      </c>
      <c r="J14" t="str">
        <f>IF(OR(B14="",ISNUMBER(B14)),"","X")</f>
        <v>X</v>
      </c>
      <c r="K14">
        <v>13</v>
      </c>
    </row>
    <row r="15" spans="1:11" ht="15">
      <c r="A15" s="46" t="s">
        <v>517</v>
      </c>
      <c r="B15" s="47" t="str">
        <f>IF(A15="","",_xlfn.XLOOKUP(A15,ClubNames,ClubNumbers,_xlfn.XLOOKUP(A15,RoundRobinRiderNames,RoundRobinRiderDecoratedNames,A15)))</f>
        <v>Paul Eden (Ratae)</v>
      </c>
      <c r="C15" s="48"/>
      <c r="D15" s="49"/>
      <c r="E15" s="49"/>
      <c r="F15" s="49" t="s">
        <v>549</v>
      </c>
      <c r="G15" s="49"/>
      <c r="H15" s="50" t="str">
        <f>IF($B15="","",IF($J15="X",B15,CONCATENATE(VLOOKUP(B15,Competitors!$A$2:$I$650,3,FALSE)," ",VLOOKUP(B15,Competitors!$A$2:$I$650,2,FALSE))))</f>
        <v>Paul Eden (Ratae)</v>
      </c>
      <c r="I15" s="51">
        <f>IF(LEFT($F15,1)="D",UPPER($F15),(C15*3600+D15*60+E15)/86400)</f>
        <v>0</v>
      </c>
      <c r="J15" t="str">
        <f>IF(OR(B15="",ISNUMBER(B15)),"","X")</f>
        <v>X</v>
      </c>
      <c r="K15">
        <v>14</v>
      </c>
    </row>
    <row r="16" spans="1:11" ht="15">
      <c r="A16" s="46" t="s">
        <v>593</v>
      </c>
      <c r="B16" s="47" t="str">
        <f>IF(A16="","",_xlfn.XLOOKUP(A16,ClubNames,ClubNumbers,_xlfn.XLOOKUP(A16,RoundRobinRiderNames,RoundRobinRiderDecoratedNames,A16)))</f>
        <v>Steve Coombs (RFW)</v>
      </c>
      <c r="C16" s="48"/>
      <c r="D16" s="49"/>
      <c r="E16" s="49"/>
      <c r="F16" s="49"/>
      <c r="G16" s="49"/>
      <c r="H16" s="50" t="str">
        <f>IF($B16="","",IF($J16="X",B16,CONCATENATE(VLOOKUP(B16,Competitors!$A$2:$I$650,3,FALSE)," ",VLOOKUP(B16,Competitors!$A$2:$I$650,2,FALSE))))</f>
        <v>Steve Coombs (RFW)</v>
      </c>
      <c r="I16" s="51">
        <f>IF(LEFT($F16,1)="D",UPPER($F16),(C16*3600+D16*60+E16)/86400)</f>
        <v>0</v>
      </c>
      <c r="J16" t="str">
        <f>IF(OR(B16="",ISNUMBER(B16)),"","X")</f>
        <v>X</v>
      </c>
      <c r="K16">
        <v>15</v>
      </c>
    </row>
    <row r="17" spans="1:11" ht="15">
      <c r="A17" s="46" t="s">
        <v>423</v>
      </c>
      <c r="B17" s="47">
        <f>IF(A17="","",_xlfn.XLOOKUP(A17,ClubNames,ClubNumbers,_xlfn.XLOOKUP(A17,RoundRobinRiderNames,RoundRobinRiderDecoratedNames,A17)))</f>
        <v>1407</v>
      </c>
      <c r="C17" s="48"/>
      <c r="D17" s="49"/>
      <c r="E17" s="49"/>
      <c r="F17" s="49" t="s">
        <v>549</v>
      </c>
      <c r="G17" s="49"/>
      <c r="H17" s="50" t="str">
        <f>IF($B17="","",IF($J17="X",B17,CONCATENATE(VLOOKUP(B17,Competitors!$A$2:$I$650,3,FALSE)," ",VLOOKUP(B17,Competitors!$A$2:$I$650,2,FALSE))))</f>
        <v>Colin Dobson</v>
      </c>
      <c r="I17" s="51">
        <f>IF(LEFT($F17,1)="D",UPPER($F17),(C17*3600+D17*60+E17)/86400)</f>
        <v>0</v>
      </c>
      <c r="J17" t="str">
        <f>IF(OR(B17="",ISNUMBER(B17)),"","X")</f>
        <v/>
      </c>
      <c r="K17">
        <v>16</v>
      </c>
    </row>
    <row r="18" spans="1:11" ht="15">
      <c r="A18" s="46" t="s">
        <v>437</v>
      </c>
      <c r="B18" s="47">
        <f>IF(A18="","",_xlfn.XLOOKUP(A18,ClubNames,ClubNumbers,_xlfn.XLOOKUP(A18,RoundRobinRiderNames,RoundRobinRiderDecoratedNames,A18)))</f>
        <v>203</v>
      </c>
      <c r="C18" s="48"/>
      <c r="D18" s="49"/>
      <c r="E18" s="49"/>
      <c r="F18" s="49"/>
      <c r="G18" s="49"/>
      <c r="H18" s="50" t="str">
        <f>IF($B18="","",IF($J18="X",B18,CONCATENATE(VLOOKUP(B18,Competitors!$A$2:$I$650,3,FALSE)," ",VLOOKUP(B18,Competitors!$A$2:$I$650,2,FALSE))))</f>
        <v>Adrian Killworth</v>
      </c>
      <c r="I18" s="51">
        <f>IF(LEFT($F18,1)="D",UPPER($F18),(C18*3600+D18*60+E18)/86400)</f>
        <v>0</v>
      </c>
      <c r="J18" t="str">
        <f>IF(OR(B18="",ISNUMBER(B18)),"","X")</f>
        <v/>
      </c>
      <c r="K18">
        <v>17</v>
      </c>
    </row>
    <row r="19" spans="1:11" ht="15">
      <c r="A19" s="46" t="s">
        <v>506</v>
      </c>
      <c r="B19" s="47" t="str">
        <f>IF(A19="","",_xlfn.XLOOKUP(A19,ClubNames,ClubNumbers,_xlfn.XLOOKUP(A19,RoundRobinRiderNames,RoundRobinRiderDecoratedNames,A19)))</f>
        <v>Chris Bonsor (Ratae)</v>
      </c>
      <c r="C19" s="48"/>
      <c r="D19" s="49"/>
      <c r="E19" s="49"/>
      <c r="F19" s="49"/>
      <c r="G19" s="49"/>
      <c r="H19" s="50" t="str">
        <f>IF($B19="","",IF($J19="X",B19,CONCATENATE(VLOOKUP(B19,Competitors!$A$2:$I$650,3,FALSE)," ",VLOOKUP(B19,Competitors!$A$2:$I$650,2,FALSE))))</f>
        <v>Chris Bonsor (Ratae)</v>
      </c>
      <c r="I19" s="51">
        <f>IF(LEFT($F19,1)="D",UPPER($F19),(C19*3600+D19*60+E19)/86400)</f>
        <v>0</v>
      </c>
      <c r="J19" t="str">
        <f>IF(OR(B19="",ISNUMBER(B19)),"","X")</f>
        <v>X</v>
      </c>
      <c r="K19">
        <v>18</v>
      </c>
    </row>
    <row r="20" spans="1:11" ht="15">
      <c r="A20" s="46" t="s">
        <v>422</v>
      </c>
      <c r="B20" s="47">
        <f>IF(A20="","",_xlfn.XLOOKUP(A20,ClubNames,ClubNumbers,_xlfn.XLOOKUP(A20,RoundRobinRiderNames,RoundRobinRiderDecoratedNames,A20)))</f>
        <v>415</v>
      </c>
      <c r="C20" s="48"/>
      <c r="D20" s="49"/>
      <c r="E20" s="49"/>
      <c r="F20" s="49" t="s">
        <v>549</v>
      </c>
      <c r="G20" s="49"/>
      <c r="H20" s="50" t="str">
        <f>IF($B20="","",IF($J20="X",B20,CONCATENATE(VLOOKUP(B20,Competitors!$A$2:$I$650,3,FALSE)," ",VLOOKUP(B20,Competitors!$A$2:$I$650,2,FALSE))))</f>
        <v>Nik Kershaw</v>
      </c>
      <c r="I20" s="51">
        <f>IF(LEFT($F20,1)="D",UPPER($F20),(C20*3600+D20*60+E20)/86400)</f>
        <v>0</v>
      </c>
      <c r="J20" t="str">
        <f>IF(OR(B20="",ISNUMBER(B20)),"","X")</f>
        <v/>
      </c>
      <c r="K20">
        <v>19</v>
      </c>
    </row>
    <row r="21" spans="1:11" ht="15">
      <c r="A21" s="46" t="s">
        <v>597</v>
      </c>
      <c r="B21" s="47" t="str">
        <f>IF(A21="","",_xlfn.XLOOKUP(A21,ClubNames,ClubNumbers,_xlfn.XLOOKUP(A21,RoundRobinRiderNames,RoundRobinRiderDecoratedNames,A21)))</f>
        <v>Laurence Noble (RFW)</v>
      </c>
      <c r="C21" s="48"/>
      <c r="D21" s="49"/>
      <c r="E21" s="49"/>
      <c r="F21" s="49"/>
      <c r="G21" s="49"/>
      <c r="H21" s="50" t="str">
        <f>IF($B21="","",IF($J21="X",B21,CONCATENATE(VLOOKUP(B21,Competitors!$A$2:$I$650,3,FALSE)," ",VLOOKUP(B21,Competitors!$A$2:$I$650,2,FALSE))))</f>
        <v>Laurence Noble (RFW)</v>
      </c>
      <c r="I21" s="51">
        <f>IF(LEFT($F21,1)="D",UPPER($F21),(C21*3600+D21*60+E21)/86400)</f>
        <v>0</v>
      </c>
      <c r="J21" t="str">
        <f>IF(OR(B21="",ISNUMBER(B21)),"","X")</f>
        <v>X</v>
      </c>
      <c r="K21">
        <v>20</v>
      </c>
    </row>
    <row r="22" spans="1:11" ht="15">
      <c r="A22" s="46" t="s">
        <v>445</v>
      </c>
      <c r="B22" s="47">
        <f>IF(A22="","",_xlfn.XLOOKUP(A22,ClubNames,ClubNumbers,_xlfn.XLOOKUP(A22,RoundRobinRiderNames,RoundRobinRiderDecoratedNames,A22)))</f>
        <v>1386</v>
      </c>
      <c r="C22" s="48"/>
      <c r="D22" s="49"/>
      <c r="E22" s="49"/>
      <c r="F22" s="49" t="s">
        <v>549</v>
      </c>
      <c r="G22" s="49"/>
      <c r="H22" s="50" t="str">
        <f>IF($B22="","",IF($J22="X",B22,CONCATENATE(VLOOKUP(B22,Competitors!$A$2:$I$650,3,FALSE)," ",VLOOKUP(B22,Competitors!$A$2:$I$650,2,FALSE))))</f>
        <v>Mea Moore</v>
      </c>
      <c r="I22" s="51">
        <f>IF(LEFT($F22,1)="D",UPPER($F22),(C22*3600+D22*60+E22)/86400)</f>
        <v>0</v>
      </c>
      <c r="J22" t="str">
        <f>IF(OR(B22="",ISNUMBER(B22)),"","X")</f>
        <v/>
      </c>
      <c r="K22">
        <v>21</v>
      </c>
    </row>
    <row r="23" spans="1:11" ht="15">
      <c r="A23" s="46" t="s">
        <v>430</v>
      </c>
      <c r="B23" s="47">
        <f>IF(A23="","",_xlfn.XLOOKUP(A23,ClubNames,ClubNumbers,_xlfn.XLOOKUP(A23,RoundRobinRiderNames,RoundRobinRiderDecoratedNames,A23)))</f>
        <v>1107</v>
      </c>
      <c r="C23" s="48"/>
      <c r="D23" s="49"/>
      <c r="E23" s="49"/>
      <c r="F23" s="49" t="s">
        <v>549</v>
      </c>
      <c r="G23" s="49"/>
      <c r="H23" s="50" t="str">
        <f>IF($B23="","",IF($J23="X",B23,CONCATENATE(VLOOKUP(B23,Competitors!$A$2:$I$650,3,FALSE)," ",VLOOKUP(B23,Competitors!$A$2:$I$650,2,FALSE))))</f>
        <v>Milly Pinnock</v>
      </c>
      <c r="I23" s="51">
        <f>IF(LEFT($F23,1)="D",UPPER($F23),(C23*3600+D23*60+E23)/86400)</f>
        <v>0</v>
      </c>
      <c r="J23" t="str">
        <f>IF(OR(B23="",ISNUMBER(B23)),"","X")</f>
        <v/>
      </c>
      <c r="K23">
        <v>22</v>
      </c>
    </row>
    <row r="24" spans="1:11" ht="15">
      <c r="A24" s="46" t="s">
        <v>642</v>
      </c>
      <c r="B24" s="47">
        <f>IF(A24="","",_xlfn.XLOOKUP(A24,ClubNames,ClubNumbers,_xlfn.XLOOKUP(A24,RoundRobinRiderNames,RoundRobinRiderDecoratedNames,A24)))</f>
        <v>567</v>
      </c>
      <c r="C24" s="48"/>
      <c r="D24" s="49"/>
      <c r="E24" s="49"/>
      <c r="F24" s="49" t="s">
        <v>549</v>
      </c>
      <c r="G24" s="49"/>
      <c r="H24" s="50" t="str">
        <f>IF($B24="","",IF($J24="X",B24,CONCATENATE(VLOOKUP(B24,Competitors!$A$2:$I$650,3,FALSE)," ",VLOOKUP(B24,Competitors!$A$2:$I$650,2,FALSE))))</f>
        <v>Lawrence Cox</v>
      </c>
      <c r="I24" s="51">
        <f>IF(LEFT($F24,1)="D",UPPER($F24),(C24*3600+D24*60+E24)/86400)</f>
        <v>0</v>
      </c>
      <c r="J24" t="str">
        <f>IF(OR(B24="",ISNUMBER(B24)),"","X")</f>
        <v/>
      </c>
      <c r="K24">
        <v>23</v>
      </c>
    </row>
    <row r="25" spans="1:11" ht="15">
      <c r="A25" s="46" t="s">
        <v>627</v>
      </c>
      <c r="B25" s="47">
        <f>IF(A25="","",_xlfn.XLOOKUP(A25,ClubNames,ClubNumbers,_xlfn.XLOOKUP(A25,RoundRobinRiderNames,RoundRobinRiderDecoratedNames,A25)))</f>
        <v>1391</v>
      </c>
      <c r="C25" s="48"/>
      <c r="D25" s="49"/>
      <c r="E25" s="49"/>
      <c r="F25" s="49" t="s">
        <v>549</v>
      </c>
      <c r="G25" s="49"/>
      <c r="H25" s="50" t="str">
        <f>IF($B25="","",IF($J25="X",B25,CONCATENATE(VLOOKUP(B25,Competitors!$A$2:$I$650,3,FALSE)," ",VLOOKUP(B25,Competitors!$A$2:$I$650,2,FALSE))))</f>
        <v>Leah Cuthbertson</v>
      </c>
      <c r="I25" s="51">
        <f>IF(LEFT($F25,1)="D",UPPER($F25),(C25*3600+D25*60+E25)/86400)</f>
        <v>0</v>
      </c>
      <c r="J25" t="str">
        <f>IF(OR(B25="",ISNUMBER(B25)),"","X")</f>
        <v/>
      </c>
      <c r="K25">
        <v>24</v>
      </c>
    </row>
    <row r="26" spans="1:11" ht="15">
      <c r="A26" s="46" t="s">
        <v>519</v>
      </c>
      <c r="B26" s="47" t="str">
        <f>IF(A26="","",_xlfn.XLOOKUP(A26,ClubNames,ClubNumbers,_xlfn.XLOOKUP(A26,RoundRobinRiderNames,RoundRobinRiderDecoratedNames,A26)))</f>
        <v>Steve Pearce (Ratae)</v>
      </c>
      <c r="C26" s="48"/>
      <c r="D26" s="49"/>
      <c r="E26" s="49"/>
      <c r="F26" s="49"/>
      <c r="G26" s="49"/>
      <c r="H26" s="50" t="str">
        <f>IF($B26="","",IF($J26="X",B26,CONCATENATE(VLOOKUP(B26,Competitors!$A$2:$I$650,3,FALSE)," ",VLOOKUP(B26,Competitors!$A$2:$I$650,2,FALSE))))</f>
        <v>Steve Pearce (Ratae)</v>
      </c>
      <c r="I26" s="51">
        <f>IF(LEFT($F26,1)="D",UPPER($F26),(C26*3600+D26*60+E26)/86400)</f>
        <v>0</v>
      </c>
      <c r="J26" t="str">
        <f>IF(OR(B26="",ISNUMBER(B26)),"","X")</f>
        <v>X</v>
      </c>
      <c r="K26">
        <v>25</v>
      </c>
    </row>
    <row r="27" spans="1:11" ht="15">
      <c r="A27" s="46" t="s">
        <v>419</v>
      </c>
      <c r="B27" s="47">
        <f>IF(A27="","",_xlfn.XLOOKUP(A27,ClubNames,ClubNumbers,_xlfn.XLOOKUP(A27,RoundRobinRiderNames,RoundRobinRiderDecoratedNames,A27)))</f>
        <v>1355</v>
      </c>
      <c r="C27" s="48"/>
      <c r="D27" s="49"/>
      <c r="E27" s="49"/>
      <c r="F27" s="49" t="s">
        <v>549</v>
      </c>
      <c r="G27" s="49"/>
      <c r="H27" s="50" t="str">
        <f>IF($B27="","",IF($J27="X",B27,CONCATENATE(VLOOKUP(B27,Competitors!$A$2:$I$650,3, FALSE)," ",VLOOKUP(B27,Competitors!$A$2:$I$650,2,FALSE))))</f>
        <v>Aubrey Elmer</v>
      </c>
      <c r="I27" s="51">
        <f>IF(LEFT($F27,1)="D",UPPER($F27),(C27*3600+D27*60+E27)/86400)</f>
        <v>0</v>
      </c>
      <c r="J27" t="str">
        <f>IF(OR(B27="",ISNUMBER(B27)),"","X")</f>
        <v/>
      </c>
      <c r="K27">
        <v>26</v>
      </c>
    </row>
    <row r="28" spans="1:11" ht="15">
      <c r="A28" s="46" t="s">
        <v>414</v>
      </c>
      <c r="B28" s="47">
        <f>IF(A28="","",_xlfn.XLOOKUP(A28,ClubNames,ClubNumbers,_xlfn.XLOOKUP(A28,RoundRobinRiderNames,RoundRobinRiderDecoratedNames,A28)))</f>
        <v>989</v>
      </c>
      <c r="C28" s="48"/>
      <c r="D28" s="49"/>
      <c r="E28" s="49"/>
      <c r="F28" s="49" t="s">
        <v>549</v>
      </c>
      <c r="G28" s="49"/>
      <c r="H28" s="50" t="str">
        <f>IF($B28="","",IF($J28="X",B28,CONCATENATE(VLOOKUP(B28,Competitors!$A$2:$I$650,3,FALSE)," ",VLOOKUP(B28,Competitors!$A$2:$I$650,2,FALSE))))</f>
        <v>Jason Williams</v>
      </c>
      <c r="I28" s="51">
        <f>IF(LEFT($F28,1)="D",UPPER($F28),(C28*3600+D28*60+E28)/86400)</f>
        <v>0</v>
      </c>
      <c r="J28" t="str">
        <f>IF(OR(B28="",ISNUMBER(B28)),"","X")</f>
        <v/>
      </c>
      <c r="K28">
        <v>27</v>
      </c>
    </row>
    <row r="29" spans="1:11" ht="15">
      <c r="A29" s="46" t="s">
        <v>413</v>
      </c>
      <c r="B29" s="47">
        <f>IF(A29="","",_xlfn.XLOOKUP(A29,ClubNames,ClubNumbers,_xlfn.XLOOKUP(A29,RoundRobinRiderNames,RoundRobinRiderDecoratedNames,A29)))</f>
        <v>1144</v>
      </c>
      <c r="C29" s="48"/>
      <c r="D29" s="49"/>
      <c r="E29" s="49"/>
      <c r="F29" s="49" t="s">
        <v>549</v>
      </c>
      <c r="G29" s="49"/>
      <c r="H29" s="50" t="str">
        <f>IF($B29="","",IF($J29="X",B29,CONCATENATE(VLOOKUP(B29,Competitors!$A$2:$I$650,3,FALSE)," ",VLOOKUP(B29,Competitors!$A$2:$I$650,2,FALSE))))</f>
        <v>Jamie Kershaw</v>
      </c>
      <c r="I29" s="51">
        <f>IF(LEFT($F29,1)="D",UPPER($F29),(C29*3600+D29*60+E29)/86400)</f>
        <v>0</v>
      </c>
      <c r="J29" t="str">
        <f>IF(OR(B29="",ISNUMBER(B29)),"","X")</f>
        <v/>
      </c>
      <c r="K29">
        <v>28</v>
      </c>
    </row>
    <row r="30" spans="1:11" ht="15">
      <c r="A30" s="46" t="s">
        <v>458</v>
      </c>
      <c r="B30" s="47">
        <f>IF(A30="","",_xlfn.XLOOKUP(A30,ClubNames,ClubNumbers,_xlfn.XLOOKUP(A30,RoundRobinRiderNames,RoundRobinRiderDecoratedNames,A30)))</f>
        <v>120</v>
      </c>
      <c r="C30" s="48"/>
      <c r="D30" s="49"/>
      <c r="E30" s="49"/>
      <c r="F30" s="49"/>
      <c r="G30" s="49"/>
      <c r="H30" s="50" t="str">
        <f>IF($B30="","",IF($J30="X",B30,CONCATENATE(VLOOKUP(B30,Competitors!$A$2:$I$650,3,FALSE)," ",VLOOKUP(B30,Competitors!$A$2:$I$650,2,FALSE))))</f>
        <v>Linda Hubbard</v>
      </c>
      <c r="I30" s="51">
        <f>IF(LEFT($F30,1)="D",UPPER($F30),(C30*3600+D30*60+E30)/86400)</f>
        <v>0</v>
      </c>
      <c r="J30" t="str">
        <f>IF(OR(B30="",ISNUMBER(B30)),"","X")</f>
        <v/>
      </c>
      <c r="K30">
        <v>29</v>
      </c>
    </row>
    <row r="31" spans="1:11" ht="15">
      <c r="A31" s="46" t="s">
        <v>599</v>
      </c>
      <c r="B31" s="47" t="str">
        <f>IF(A31="","",_xlfn.XLOOKUP(A31,ClubNames,ClubNumbers,_xlfn.XLOOKUP(A31,RoundRobinRiderNames,RoundRobinRiderDecoratedNames,A31)))</f>
        <v>Evan Collett (G Fox) (KCC)</v>
      </c>
      <c r="C31" s="48"/>
      <c r="D31" s="49"/>
      <c r="E31" s="49"/>
      <c r="F31" s="49"/>
      <c r="G31" s="49"/>
      <c r="H31" s="50" t="str">
        <f>IF($B31="","",IF($J31="X",B31,CONCATENATE(VLOOKUP(B31,Competitors!$A$2:$I$650,3,FALSE)," ",VLOOKUP(B31,Competitors!$A$2:$I$650,2,FALSE))))</f>
        <v>Evan Collett (G Fox) (KCC)</v>
      </c>
      <c r="I31" s="51">
        <f>IF(LEFT($F31,1)="D",UPPER($F31),(C31*3600+D31*60+E31)/86400)</f>
        <v>0</v>
      </c>
      <c r="J31" t="str">
        <f>IF(OR(B31="",ISNUMBER(B31)),"","X")</f>
        <v>X</v>
      </c>
      <c r="K31">
        <v>30</v>
      </c>
    </row>
    <row r="32" spans="1:11" ht="15">
      <c r="A32" s="46" t="s">
        <v>641</v>
      </c>
      <c r="B32" s="47" t="str">
        <f>IF(A32="","",_xlfn.XLOOKUP(A32,ClubNames,ClubNumbers,_xlfn.XLOOKUP(A32,RoundRobinRiderNames,RoundRobinRiderDecoratedNames,A32)))</f>
        <v>Pete Bradshaw (RFW)</v>
      </c>
      <c r="C32" s="48"/>
      <c r="D32" s="49"/>
      <c r="E32" s="49"/>
      <c r="F32" s="49" t="s">
        <v>549</v>
      </c>
      <c r="G32" s="49"/>
      <c r="H32" s="50" t="str">
        <f>IF($B32="","",IF($J32="X",B32,CONCATENATE(VLOOKUP(B32,Competitors!$A$2:$I$650,3,FALSE)," ",VLOOKUP(B32,Competitors!$A$2:$I$650,2,FALSE))))</f>
        <v>Pete Bradshaw (RFW)</v>
      </c>
      <c r="I32" s="51">
        <f>IF(LEFT($F32,1)="D",UPPER($F32),(C32*3600+D32*60+E32)/86400)</f>
        <v>0</v>
      </c>
      <c r="J32" t="str">
        <f>IF(OR(B32="",ISNUMBER(B32)),"","X")</f>
        <v>X</v>
      </c>
      <c r="K32">
        <v>31</v>
      </c>
    </row>
    <row r="33" spans="1:11" ht="15">
      <c r="A33" s="46" t="s">
        <v>434</v>
      </c>
      <c r="B33" s="47">
        <f>IF(A33="","",_xlfn.XLOOKUP(A33,ClubNames,ClubNumbers,_xlfn.XLOOKUP(A33,RoundRobinRiderNames,RoundRobinRiderDecoratedNames,A33)))</f>
        <v>1109</v>
      </c>
      <c r="C33" s="48"/>
      <c r="D33" s="49"/>
      <c r="E33" s="49"/>
      <c r="F33" s="49" t="s">
        <v>549</v>
      </c>
      <c r="G33" s="49"/>
      <c r="H33" s="50" t="str">
        <f>IF($B33="","",IF($J33="X",B33,CONCATENATE(VLOOKUP(B33,Competitors!$A$2:$I$650,3,FALSE)," ",VLOOKUP(B33,Competitors!$A$2:$I$650,2,FALSE))))</f>
        <v>Stuart Haycox</v>
      </c>
      <c r="I33" s="51">
        <f>IF(LEFT($F33,1)="D",UPPER($F33),(C33*3600+D33*60+E33)/86400)</f>
        <v>0</v>
      </c>
      <c r="J33" t="str">
        <f>IF(OR(B33="",ISNUMBER(B33)),"","X")</f>
        <v/>
      </c>
      <c r="K33">
        <v>32</v>
      </c>
    </row>
    <row r="34" spans="1:11" ht="15">
      <c r="A34" s="46" t="s">
        <v>514</v>
      </c>
      <c r="B34" s="47" t="str">
        <f>IF(A34="","",_xlfn.XLOOKUP(A34,ClubNames,ClubNumbers,_xlfn.XLOOKUP(A34,RoundRobinRiderNames,RoundRobinRiderDecoratedNames,A34)))</f>
        <v>Mark Newton (Ratae)</v>
      </c>
      <c r="C34" s="48"/>
      <c r="D34" s="49"/>
      <c r="E34" s="49"/>
      <c r="F34" s="49"/>
      <c r="G34" s="49"/>
      <c r="H34" s="50" t="str">
        <f>IF($B34="","",IF($J34="X",B34,CONCATENATE(VLOOKUP(B34,Competitors!$A$2:$I$650,3,FALSE)," ",VLOOKUP(B34,Competitors!$A$2:$I$650,2,FALSE))))</f>
        <v>Mark Newton (Ratae)</v>
      </c>
      <c r="I34" s="51">
        <f>IF(LEFT($F34,1)="D",UPPER($F34),(C34*3600+D34*60+E34)/86400)</f>
        <v>0</v>
      </c>
      <c r="J34" t="str">
        <f>IF(OR(B34="",ISNUMBER(B34)),"","X")</f>
        <v>X</v>
      </c>
      <c r="K34">
        <v>33</v>
      </c>
    </row>
    <row r="35" spans="1:11" ht="15">
      <c r="A35" s="46" t="s">
        <v>529</v>
      </c>
      <c r="B35" s="47" t="str">
        <f>IF(A35="","",_xlfn.XLOOKUP(A35,ClubNames,ClubNumbers,_xlfn.XLOOKUP(A35,RoundRobinRiderNames,RoundRobinRiderDecoratedNames,A35)))</f>
        <v>Michael Carter (RFW)</v>
      </c>
      <c r="C35" s="48"/>
      <c r="D35" s="49"/>
      <c r="E35" s="49"/>
      <c r="F35" s="49" t="s">
        <v>549</v>
      </c>
      <c r="G35" s="49"/>
      <c r="H35" s="50" t="str">
        <f>IF($B35="","",IF($J35="X",B35,CONCATENATE(VLOOKUP(B35,Competitors!$A$2:$I$650,3,FALSE)," ",VLOOKUP(B35,Competitors!$A$2:$I$650,2,FALSE))))</f>
        <v>Michael Carter (RFW)</v>
      </c>
      <c r="I35" s="51">
        <f>IF(LEFT($F35,1)="D",UPPER($F35),(C35*3600+D35*60+E35)/86400)</f>
        <v>0</v>
      </c>
      <c r="J35" t="str">
        <f>IF(OR(B35="",ISNUMBER(B35)),"","X")</f>
        <v>X</v>
      </c>
      <c r="K35">
        <v>34</v>
      </c>
    </row>
    <row r="36" spans="1:11" ht="15">
      <c r="A36" s="46" t="s">
        <v>417</v>
      </c>
      <c r="B36" s="47">
        <f>IF(A36="","",_xlfn.XLOOKUP(A36,ClubNames,ClubNumbers,_xlfn.XLOOKUP(A36,RoundRobinRiderNames,RoundRobinRiderDecoratedNames,A36)))</f>
        <v>38</v>
      </c>
      <c r="C36" s="48"/>
      <c r="D36" s="49"/>
      <c r="E36" s="49"/>
      <c r="F36" s="49"/>
      <c r="G36" s="49"/>
      <c r="H36" s="50" t="str">
        <f>IF($B36="","",IF($J36="X",B36,CONCATENATE(VLOOKUP(B36,Competitors!$A$2:$I$650,3,FALSE)," ",VLOOKUP(B36,Competitors!$A$2:$I$650,2,FALSE))))</f>
        <v>Phil Rayner</v>
      </c>
      <c r="I36" s="51">
        <f>IF(LEFT($F36,1)="D",UPPER($F36),(C36*3600+D36*60+E36)/86400)</f>
        <v>0</v>
      </c>
      <c r="J36" t="str">
        <f>IF(OR(B36="",ISNUMBER(B36)),"","X")</f>
        <v/>
      </c>
      <c r="K36">
        <v>35</v>
      </c>
    </row>
    <row r="37" spans="1:11" ht="15">
      <c r="A37" s="46" t="s">
        <v>596</v>
      </c>
      <c r="B37" s="47" t="str">
        <f>IF(A37="","",_xlfn.XLOOKUP(A37,ClubNames,ClubNumbers,_xlfn.XLOOKUP(A37,RoundRobinRiderNames,RoundRobinRiderDecoratedNames,A37)))</f>
        <v>Alex Barrowman (RFW)</v>
      </c>
      <c r="C37" s="48"/>
      <c r="D37" s="49"/>
      <c r="E37" s="49"/>
      <c r="F37" s="49" t="s">
        <v>549</v>
      </c>
      <c r="G37" s="49"/>
      <c r="H37" s="50" t="str">
        <f>IF($B37="","",IF($J37="X",B37,CONCATENATE(VLOOKUP(B37,Competitors!$A$2:$I$650,3,FALSE)," ",VLOOKUP(B37,Competitors!$A$2:$I$650,2,FALSE))))</f>
        <v>Alex Barrowman (RFW)</v>
      </c>
      <c r="I37" s="51">
        <f>IF(LEFT($F37,1)="D",UPPER($F37),(C37*3600+D37*60+E37)/86400)</f>
        <v>0</v>
      </c>
      <c r="J37" t="str">
        <f>IF(OR(B37="",ISNUMBER(B37)),"","X")</f>
        <v>X</v>
      </c>
      <c r="K37">
        <v>36</v>
      </c>
    </row>
    <row r="38" spans="1:11" ht="15">
      <c r="A38" s="46" t="s">
        <v>411</v>
      </c>
      <c r="B38" s="47">
        <f>IF(A38="","",_xlfn.XLOOKUP(A38,ClubNames,ClubNumbers,_xlfn.XLOOKUP(A38,RoundRobinRiderNames,RoundRobinRiderDecoratedNames,A38)))</f>
        <v>747</v>
      </c>
      <c r="C38" s="48"/>
      <c r="D38" s="49"/>
      <c r="E38" s="49"/>
      <c r="F38" s="49"/>
      <c r="G38" s="49"/>
      <c r="H38" s="50" t="str">
        <f>IF($B38="","",IF($J38="X",B38,CONCATENATE(VLOOKUP(B38,Competitors!$A$2:$I$650,3,FALSE)," ",VLOOKUP(B38,Competitors!$A$2:$I$650,2,FALSE))))</f>
        <v>James Moore</v>
      </c>
      <c r="I38" s="51">
        <f>IF(LEFT($F38,1)="D",UPPER($F38),(C38*3600+D38*60+E38)/86400)</f>
        <v>0</v>
      </c>
      <c r="J38" t="str">
        <f>IF(OR(B38="",ISNUMBER(B38)),"","X")</f>
        <v/>
      </c>
      <c r="K38">
        <v>37</v>
      </c>
    </row>
    <row r="39" spans="1:11" ht="15">
      <c r="A39" s="46" t="s">
        <v>412</v>
      </c>
      <c r="B39" s="47">
        <f>IF(A39="","",_xlfn.XLOOKUP(A39,ClubNames,ClubNumbers,_xlfn.XLOOKUP(A39,RoundRobinRiderNames,RoundRobinRiderDecoratedNames,A39)))</f>
        <v>407</v>
      </c>
      <c r="C39" s="48"/>
      <c r="D39" s="49"/>
      <c r="E39" s="49"/>
      <c r="F39" s="49"/>
      <c r="G39" s="49"/>
      <c r="H39" s="50" t="str">
        <f>IF($B39="","",IF($J39="X",B39,CONCATENATE(VLOOKUP(B39,Competitors!$A$2:$I$650,3,FALSE)," ",VLOOKUP(B39,Competitors!$A$2:$I$650,2,FALSE))))</f>
        <v>Hans van Nierop</v>
      </c>
      <c r="I39" s="51">
        <f>IF(LEFT($F39,1)="D",UPPER($F39),(C39*3600+D39*60+E39)/86400)</f>
        <v>0</v>
      </c>
      <c r="J39" t="str">
        <f>IF(OR(B39="",ISNUMBER(B39)),"","X")</f>
        <v/>
      </c>
      <c r="K39">
        <v>38</v>
      </c>
    </row>
    <row r="40" spans="1:11" ht="15">
      <c r="A40" s="46" t="s">
        <v>522</v>
      </c>
      <c r="B40" s="47" t="str">
        <f>IF(A40="","",_xlfn.XLOOKUP(A40,ClubNames,ClubNumbers,_xlfn.XLOOKUP(A40,RoundRobinRiderNames,RoundRobinRiderDecoratedNames,A40)))</f>
        <v>Chris Fowler (RFW)</v>
      </c>
      <c r="C40" s="48"/>
      <c r="D40" s="49"/>
      <c r="E40" s="49"/>
      <c r="F40" s="49" t="s">
        <v>549</v>
      </c>
      <c r="G40" s="49"/>
      <c r="H40" s="50" t="str">
        <f>IF($B40="","",IF($J40="X",B40,CONCATENATE(VLOOKUP(B40,Competitors!$A$2:$I$650,3,FALSE)," ",VLOOKUP(B40,Competitors!$A$2:$I$650,2,FALSE))))</f>
        <v>Chris Fowler (RFW)</v>
      </c>
      <c r="I40" s="51">
        <f>IF(LEFT($F40,1)="D",UPPER($F40),(C40*3600+D40*60+E40)/86400)</f>
        <v>0</v>
      </c>
      <c r="J40" t="str">
        <f>IF(OR(B40="",ISNUMBER(B40)),"","X")</f>
        <v>X</v>
      </c>
      <c r="K40">
        <v>39</v>
      </c>
    </row>
    <row r="41" spans="1:11" ht="15">
      <c r="A41" s="46" t="s">
        <v>416</v>
      </c>
      <c r="B41" s="47">
        <f>IF(A41="","",_xlfn.XLOOKUP(A41,ClubNames,ClubNumbers,_xlfn.XLOOKUP(A41,RoundRobinRiderNames,RoundRobinRiderDecoratedNames,A41)))</f>
        <v>1161</v>
      </c>
      <c r="C41" s="48"/>
      <c r="D41" s="49"/>
      <c r="E41" s="49"/>
      <c r="F41" s="49"/>
      <c r="G41" s="49"/>
      <c r="H41" s="50" t="str">
        <f>IF($B41="","",IF($J41="X",B41,CONCATENATE(VLOOKUP(B41,Competitors!$A$2:$I$650,3,FALSE)," ",VLOOKUP(B41,Competitors!$A$2:$I$650,2,FALSE))))</f>
        <v>Maciej Suchocki</v>
      </c>
      <c r="I41" s="51">
        <f>IF(LEFT($F41,1)="D",UPPER($F41),(C41*3600+D41*60+E41)/86400)</f>
        <v>0</v>
      </c>
      <c r="J41" t="str">
        <f>IF(OR(B41="",ISNUMBER(B41)),"","X")</f>
        <v/>
      </c>
      <c r="K41">
        <v>40</v>
      </c>
    </row>
    <row r="42" spans="1:11" ht="15">
      <c r="A42" s="46" t="s">
        <v>600</v>
      </c>
      <c r="B42" s="47">
        <f>IF(A42="","",_xlfn.XLOOKUP(A42,ClubNames,ClubNumbers,_xlfn.XLOOKUP(A42,RoundRobinRiderNames,RoundRobinRiderDecoratedNames,A42)))</f>
        <v>1390</v>
      </c>
      <c r="C42" s="48"/>
      <c r="D42" s="49"/>
      <c r="E42" s="49"/>
      <c r="F42" s="49" t="s">
        <v>549</v>
      </c>
      <c r="G42" s="49"/>
      <c r="H42" s="50" t="str">
        <f>IF($B42="","",IF($J42="X",B42,CONCATENATE(VLOOKUP(B42,Competitors!$A$2:$I$650,3,FALSE)," ",VLOOKUP(B42,Competitors!$A$2:$I$650,2,FALSE))))</f>
        <v>Diego Patteri</v>
      </c>
      <c r="I42" s="51">
        <f>IF(LEFT($F42,1)="D",UPPER($F42),(C42*3600+D42*60+E42)/86400)</f>
        <v>0</v>
      </c>
      <c r="J42" t="str">
        <f>IF(OR(B42="",ISNUMBER(B42)),"","X")</f>
        <v/>
      </c>
      <c r="K42">
        <v>41</v>
      </c>
    </row>
    <row r="43" spans="1:11" ht="15">
      <c r="A43" s="46" t="s">
        <v>504</v>
      </c>
      <c r="B43" s="47" t="str">
        <f>IF(A43="","",_xlfn.XLOOKUP(A43,ClubNames,ClubNumbers,_xlfn.XLOOKUP(A43,RoundRobinRiderNames,RoundRobinRiderDecoratedNames,A43)))</f>
        <v>Alex Whitmore (Ratae)</v>
      </c>
      <c r="C43" s="48"/>
      <c r="D43" s="49"/>
      <c r="E43" s="49"/>
      <c r="F43" s="49" t="s">
        <v>549</v>
      </c>
      <c r="G43" s="49"/>
      <c r="H43" s="50" t="str">
        <f>IF($B43="","",IF($J43="X",B43,CONCATENATE(VLOOKUP(B43,Competitors!$A$2:$I$650,3,FALSE)," ",VLOOKUP(B43,Competitors!$A$2:$I$650,2,FALSE))))</f>
        <v>Alex Whitmore (Ratae)</v>
      </c>
      <c r="I43" s="51">
        <f>IF(LEFT($F43,1)="D",UPPER($F43),(C43*3600+D43*60+E43)/86400)</f>
        <v>0</v>
      </c>
      <c r="J43" t="str">
        <f>IF(OR(B43="",ISNUMBER(B43)),"","X")</f>
        <v>X</v>
      </c>
      <c r="K43">
        <v>42</v>
      </c>
    </row>
    <row r="44" spans="1:11" ht="15">
      <c r="A44" s="46"/>
      <c r="B44" s="47" t="str">
        <f>IF(A44="","",_xlfn.XLOOKUP(A44,ClubNames,ClubNumbers,_xlfn.XLOOKUP(A44,RoundRobinRiderNames,RoundRobinRiderDecoratedNames,A44)))</f>
        <v/>
      </c>
      <c r="C44" s="48"/>
      <c r="D44" s="49"/>
      <c r="E44" s="49"/>
      <c r="F44" s="49"/>
      <c r="G44" s="49"/>
      <c r="H44" s="50" t="str">
        <f>IF($B44="","",IF($J44="X",B44,CONCATENATE(VLOOKUP(B44,Competitors!$A$2:$I$650,3,FALSE)," ",VLOOKUP(B44,Competitors!$A$2:$I$650,2,FALSE))))</f>
        <v/>
      </c>
      <c r="I44" s="51">
        <f>IF(LEFT($F44,1)="D",UPPER($F44),(C44*3600+D44*60+E44)/86400)</f>
        <v>0</v>
      </c>
      <c r="J44" t="str">
        <f>IF(OR(B44="",ISNUMBER(B44)),"","X")</f>
        <v/>
      </c>
    </row>
    <row r="45" spans="1:11" ht="15">
      <c r="A45" s="46"/>
      <c r="B45" s="47" t="str">
        <f>IF(A45="","",_xlfn.XLOOKUP(A45,ClubNames,ClubNumbers,_xlfn.XLOOKUP(A45,RoundRobinRiderNames,RoundRobinRiderDecoratedNames,A45)))</f>
        <v/>
      </c>
      <c r="C45" s="48"/>
      <c r="D45" s="49"/>
      <c r="E45" s="49"/>
      <c r="F45" s="49"/>
      <c r="G45" s="49"/>
      <c r="H45" s="50" t="str">
        <f>IF($B45="","",IF($J45="X",B45,CONCATENATE(VLOOKUP(B45,Competitors!$A$2:$I$650,3,FALSE)," ",VLOOKUP(B45,Competitors!$A$2:$I$650,2,FALSE))))</f>
        <v/>
      </c>
      <c r="I45" s="51">
        <f>IF(LEFT($F45,1)="D",UPPER($F45),(C45*3600+D45*60+E45)/86400)</f>
        <v>0</v>
      </c>
      <c r="J45" t="str">
        <f>IF(OR(B45="",ISNUMBER(B45)),"","X")</f>
        <v/>
      </c>
    </row>
    <row r="46" spans="1:11" ht="15">
      <c r="A46" s="46"/>
      <c r="B46" s="47" t="str">
        <f t="shared" ref="B34:B97" si="0">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2:I65" si="1">IF(LEFT($F46,1)="D",UPPER($F46),(C46*3600+D46*60+E46)/86400)</f>
        <v>0</v>
      </c>
      <c r="J46" t="str">
        <f t="shared" ref="J2:J65" si="2">IF(OR(B46="",ISNUMBER(B46)),"","X")</f>
        <v/>
      </c>
    </row>
    <row r="47" spans="1:11" ht="15">
      <c r="A47" s="46"/>
      <c r="B47" s="47" t="str">
        <f t="shared" si="0"/>
        <v/>
      </c>
      <c r="C47" s="48"/>
      <c r="D47" s="49"/>
      <c r="E47" s="49"/>
      <c r="F47" s="49"/>
      <c r="G47" s="49"/>
      <c r="H47" s="50" t="str">
        <f>IF($B47="","",IF($J47="X",B47,CONCATENATE(VLOOKUP(B47,Competitors!$A$2:$I$650,3,FALSE)," ",VLOOKUP(B47,Competitors!$A$2:$I$650,2,FALSE))))</f>
        <v/>
      </c>
      <c r="I47" s="51">
        <f t="shared" si="1"/>
        <v>0</v>
      </c>
      <c r="J47" t="str">
        <f t="shared" si="2"/>
        <v/>
      </c>
    </row>
    <row r="48" spans="1:11" ht="15">
      <c r="A48" s="46"/>
      <c r="B48" s="47" t="str">
        <f t="shared" si="0"/>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0"/>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0"/>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0"/>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0"/>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0"/>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0"/>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0"/>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0"/>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0"/>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0"/>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0"/>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0"/>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0"/>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0"/>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0"/>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0"/>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0"/>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0"/>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0"/>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0"/>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0"/>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0"/>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0"/>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0"/>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0"/>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0"/>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0"/>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0"/>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0"/>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0"/>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0"/>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0"/>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0"/>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0"/>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0"/>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0"/>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0"/>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si="0"/>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0"/>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0"/>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0"/>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0"/>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0"/>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0"/>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0"/>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0"/>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0"/>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0"/>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0"/>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Event_16</v>
      </c>
    </row>
    <row r="104" spans="1:10">
      <c r="B104" t="s">
        <v>557</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Event_17</v>
      </c>
    </row>
    <row r="104" spans="1:10">
      <c r="B104" t="s">
        <v>557</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Event_18</v>
      </c>
    </row>
    <row r="104" spans="1:10">
      <c r="B104" t="s">
        <v>557</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Event_19</v>
      </c>
    </row>
    <row r="104" spans="1:10">
      <c r="B104" t="s">
        <v>557</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Event_20</v>
      </c>
    </row>
    <row r="104" spans="1:10">
      <c r="B104" t="s">
        <v>557</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Event_21</v>
      </c>
    </row>
    <row r="104" spans="1:10">
      <c r="B104" t="s">
        <v>557</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Event_22</v>
      </c>
    </row>
    <row r="104" spans="1:10">
      <c r="B104" t="s">
        <v>557</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Event_23</v>
      </c>
    </row>
    <row r="104" spans="1:10">
      <c r="B104" t="s">
        <v>557</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Event_24</v>
      </c>
    </row>
    <row r="104" spans="1:10">
      <c r="B104" t="s">
        <v>557</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Event_25</v>
      </c>
    </row>
    <row r="104" spans="1:10">
      <c r="B104" t="s">
        <v>557</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Event_26</v>
      </c>
    </row>
    <row r="104" spans="1:10">
      <c r="B104" t="s">
        <v>557</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Event_27</v>
      </c>
    </row>
    <row r="104" spans="1:10">
      <c r="B104" t="s">
        <v>557</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Event_28</v>
      </c>
    </row>
    <row r="104" spans="1:10">
      <c r="B104" t="s">
        <v>557</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2026-07-08T15:05:20Z</dcterms:modified>
</cp:coreProperties>
</file>