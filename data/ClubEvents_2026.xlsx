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BE9437E5-71DB-4B7A-AA91-76A9BB530260}" xr6:coauthVersionLast="47" xr6:coauthVersionMax="47" xr10:uidLastSave="{00000000-0000-0000-0000-000000000000}"/>
  <bookViews>
    <workbookView xWindow="7912" yWindow="2183" windowWidth="17280" windowHeight="10035" firstSheet="9" activeTab="10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Event_02" sheetId="6" r:id="rId11"/>
    <sheet name="Event_03" sheetId="7" r:id="rId12"/>
    <sheet name="Event_04" sheetId="8" r:id="rId13"/>
    <sheet name="Event_05" sheetId="9" r:id="rId14"/>
    <sheet name="Event_06" sheetId="10" r:id="rId15"/>
    <sheet name="Event_07" sheetId="11" r:id="rId16"/>
    <sheet name="Event_08" sheetId="12" r:id="rId17"/>
    <sheet name="Event_09" sheetId="13" r:id="rId18"/>
    <sheet name="Event_10" sheetId="14" r:id="rId19"/>
    <sheet name="Event_11" sheetId="15" r:id="rId20"/>
    <sheet name="Event_12" sheetId="16" r:id="rId21"/>
    <sheet name="Event_13" sheetId="17" r:id="rId22"/>
    <sheet name="Event_14" sheetId="18" r:id="rId23"/>
    <sheet name="Event_15" sheetId="19" r:id="rId24"/>
    <sheet name="Event_16" sheetId="20" r:id="rId25"/>
    <sheet name="Event_17" sheetId="21" r:id="rId26"/>
    <sheet name="Event_18" sheetId="22" r:id="rId27"/>
    <sheet name="Event_19" sheetId="23" r:id="rId28"/>
    <sheet name="Event_20" sheetId="24" r:id="rId29"/>
    <sheet name="Event_21" sheetId="25" r:id="rId30"/>
    <sheet name="Event_22" sheetId="26" r:id="rId31"/>
    <sheet name="Event_23" sheetId="27" r:id="rId32"/>
    <sheet name="Event_24" sheetId="28" r:id="rId33"/>
    <sheet name="Event_25" sheetId="29" r:id="rId34"/>
    <sheet name="Event_26" sheetId="30" r:id="rId35"/>
    <sheet name="Event_27" sheetId="34" r:id="rId36"/>
    <sheet name="Event_28" sheetId="35" r:id="rId37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6" i="6" l="1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H23" i="6"/>
  <c r="J23" i="6"/>
  <c r="H26" i="6"/>
  <c r="J26" i="6"/>
  <c r="J3" i="6"/>
  <c r="H3" i="6" s="1"/>
  <c r="J4" i="6"/>
  <c r="H4" i="6" s="1"/>
  <c r="J5" i="6"/>
  <c r="H5" i="6" s="1"/>
  <c r="J7" i="6"/>
  <c r="H7" i="6" s="1"/>
  <c r="H12" i="6"/>
  <c r="J12" i="6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<sst xmlns="http://schemas.openxmlformats.org/spreadsheetml/2006/main" count="3947" uniqueCount="489">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</sst>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0" applyFon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378</v>
      </c>
    </row>
    <row r="9" spans="1:3" x14ac:dyDescent="0.35">
      <c r="C9" t="s">
        <v>379</v>
      </c>
    </row>
    <row r="10" spans="1:3" x14ac:dyDescent="0.35">
      <c r="A10" s="1">
        <v>46046</v>
      </c>
      <c r="B10" s="1" t="s">
        <v>0</v>
      </c>
      <c r="C10" t="s">
        <v>381</v>
      </c>
    </row>
    <row r="11" spans="1:3" x14ac:dyDescent="0.35">
      <c r="C11" s="44" t="s">
        <v>382</v>
      </c>
    </row>
    <row r="12" spans="1:3" x14ac:dyDescent="0.35">
      <c r="C12" t="s">
        <v>383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86" zoomScaleNormal="100" workbookViewId="0">
      <selection activeCell="C124" sqref="C124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362</v>
      </c>
      <c r="G1" t="s">
        <v>363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3" t="s">
        <v>486</v>
      </c>
      <c r="C124" s="51" t="s">
        <v>452</v>
      </c>
      <c r="D124" s="51" t="s">
        <v>35</v>
      </c>
      <c r="E124" s="51" t="b">
        <v>0</v>
      </c>
      <c r="F124" s="51" t="s">
        <v>365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362</v>
      </c>
      <c r="G1" s="47" t="s">
        <v>363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365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364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364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364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364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366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364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365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364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443</v>
      </c>
      <c r="C11" s="47" t="s">
        <v>34</v>
      </c>
      <c r="D11" s="47" t="s">
        <v>35</v>
      </c>
      <c r="E11" s="47" t="b">
        <v>0</v>
      </c>
      <c r="F11" s="47" t="s">
        <v>364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364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364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364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364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364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365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366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364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364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365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364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364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442</v>
      </c>
      <c r="C24" s="47" t="s">
        <v>38</v>
      </c>
      <c r="D24" s="47" t="s">
        <v>35</v>
      </c>
      <c r="E24" s="47" t="b">
        <v>0</v>
      </c>
      <c r="F24" s="47" t="s">
        <v>364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364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364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364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441</v>
      </c>
      <c r="C28" s="47" t="s">
        <v>440</v>
      </c>
      <c r="D28" s="47" t="s">
        <v>35</v>
      </c>
      <c r="E28" s="47" t="b">
        <v>1</v>
      </c>
      <c r="F28" s="47" t="s">
        <v>366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364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364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365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364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364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364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364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364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364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364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439</v>
      </c>
      <c r="C39" s="47" t="s">
        <v>438</v>
      </c>
      <c r="D39" s="47" t="s">
        <v>35</v>
      </c>
      <c r="E39" s="47" t="b">
        <v>1</v>
      </c>
      <c r="F39" s="47" t="s">
        <v>365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364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364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364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365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366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364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437</v>
      </c>
      <c r="C46" s="47" t="s">
        <v>436</v>
      </c>
      <c r="D46" s="47" t="s">
        <v>35</v>
      </c>
      <c r="E46" s="47" t="b">
        <v>0</v>
      </c>
      <c r="F46" s="47" t="s">
        <v>365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366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364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364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365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365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364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435</v>
      </c>
      <c r="C53" s="47" t="s">
        <v>185</v>
      </c>
      <c r="D53" s="47" t="s">
        <v>35</v>
      </c>
      <c r="E53" s="47" t="b">
        <v>1</v>
      </c>
      <c r="F53" s="47" t="s">
        <v>364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366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365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364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364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434</v>
      </c>
      <c r="C58" s="47" t="s">
        <v>64</v>
      </c>
      <c r="D58" s="47" t="s">
        <v>35</v>
      </c>
      <c r="E58" s="47" t="b">
        <v>0</v>
      </c>
      <c r="F58" s="47" t="s">
        <v>365</v>
      </c>
      <c r="H58" s="48">
        <v>46088</v>
      </c>
    </row>
    <row r="59" spans="1:8" x14ac:dyDescent="0.45">
      <c r="A59" s="47">
        <v>1402</v>
      </c>
      <c r="B59" s="47" t="s">
        <v>433</v>
      </c>
      <c r="C59" s="47" t="s">
        <v>168</v>
      </c>
      <c r="D59" s="47" t="s">
        <v>35</v>
      </c>
      <c r="E59" s="47" t="b">
        <v>0</v>
      </c>
      <c r="F59" s="47" t="s">
        <v>364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364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364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364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365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365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364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364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365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365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366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366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366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364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364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365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364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432</v>
      </c>
      <c r="C76" s="47" t="s">
        <v>431</v>
      </c>
      <c r="D76" s="47" t="s">
        <v>35</v>
      </c>
      <c r="E76" s="47" t="b">
        <v>0</v>
      </c>
      <c r="F76" s="47" t="s">
        <v>365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366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365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364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364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364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364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364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430</v>
      </c>
      <c r="C84" s="47" t="s">
        <v>315</v>
      </c>
      <c r="D84" s="47" t="s">
        <v>35</v>
      </c>
      <c r="E84" s="47" t="b">
        <v>0</v>
      </c>
      <c r="F84" s="47" t="s">
        <v>364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364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364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365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364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364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429</v>
      </c>
      <c r="C90" s="47" t="s">
        <v>428</v>
      </c>
      <c r="D90" s="47" t="s">
        <v>35</v>
      </c>
      <c r="E90" s="47" t="b">
        <v>1</v>
      </c>
      <c r="F90" s="47" t="s">
        <v>366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365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364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367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364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365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364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364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367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364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364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364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364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364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365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364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365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364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427</v>
      </c>
      <c r="C108" s="47" t="s">
        <v>411</v>
      </c>
      <c r="D108" s="47" t="s">
        <v>35</v>
      </c>
      <c r="E108" s="47" t="b">
        <v>0</v>
      </c>
      <c r="F108" s="47" t="s">
        <v>364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427</v>
      </c>
      <c r="C109" s="47" t="s">
        <v>320</v>
      </c>
      <c r="D109" s="47" t="s">
        <v>35</v>
      </c>
      <c r="E109" s="47" t="b">
        <v>1</v>
      </c>
      <c r="F109" s="47" t="s">
        <v>365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365</v>
      </c>
      <c r="H110" s="48">
        <v>46088</v>
      </c>
    </row>
    <row r="111" spans="1:8" x14ac:dyDescent="0.45">
      <c r="A111" s="47">
        <v>1408</v>
      </c>
      <c r="B111" s="47" t="s">
        <v>425</v>
      </c>
      <c r="C111" s="47" t="s">
        <v>426</v>
      </c>
      <c r="D111" s="47" t="s">
        <v>35</v>
      </c>
      <c r="E111" s="47" t="b">
        <v>0</v>
      </c>
      <c r="F111" s="47" t="s">
        <v>364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425</v>
      </c>
      <c r="C112" s="47" t="s">
        <v>424</v>
      </c>
      <c r="D112" s="47" t="s">
        <v>35</v>
      </c>
      <c r="E112" s="47" t="b">
        <v>1</v>
      </c>
      <c r="F112" s="47" t="s">
        <v>364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364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364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364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365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366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364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364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364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422</v>
      </c>
      <c r="C121" s="47" t="s">
        <v>57</v>
      </c>
      <c r="D121" s="47" t="s">
        <v>35</v>
      </c>
      <c r="E121" s="47" t="b">
        <v>0</v>
      </c>
      <c r="F121" s="47" t="s">
        <v>365</v>
      </c>
      <c r="H121" s="48">
        <v>46088</v>
      </c>
    </row>
    <row r="122" spans="1:8" x14ac:dyDescent="0.45">
      <c r="A122" s="47">
        <v>1397</v>
      </c>
      <c r="B122" s="47" t="s">
        <v>422</v>
      </c>
      <c r="C122" s="47" t="s">
        <v>423</v>
      </c>
      <c r="D122" s="47" t="s">
        <v>35</v>
      </c>
      <c r="E122" s="47" t="b">
        <v>1</v>
      </c>
      <c r="F122" s="47" t="s">
        <v>365</v>
      </c>
      <c r="H122" s="48">
        <v>46088</v>
      </c>
    </row>
    <row r="123" spans="1:8" x14ac:dyDescent="0.45">
      <c r="A123" s="47">
        <v>1398</v>
      </c>
      <c r="B123" s="47" t="s">
        <v>422</v>
      </c>
      <c r="C123" s="47" t="s">
        <v>49</v>
      </c>
      <c r="D123" s="47" t="s">
        <v>35</v>
      </c>
      <c r="E123" s="47" t="b">
        <v>0</v>
      </c>
      <c r="F123" s="47" t="s">
        <v>366</v>
      </c>
      <c r="H123" s="48">
        <v>46088</v>
      </c>
    </row>
    <row r="124" spans="1:8" x14ac:dyDescent="0.45">
      <c r="A124" s="47">
        <v>1399</v>
      </c>
      <c r="B124" s="47" t="s">
        <v>422</v>
      </c>
      <c r="C124" s="47" t="s">
        <v>182</v>
      </c>
      <c r="D124" s="47" t="s">
        <v>35</v>
      </c>
      <c r="E124" s="47" t="b">
        <v>1</v>
      </c>
      <c r="F124" s="47" t="s">
        <v>366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364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364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364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364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364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364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364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366</v>
      </c>
      <c r="H132" s="48">
        <v>46088</v>
      </c>
    </row>
    <row r="133" spans="1:8" x14ac:dyDescent="0.45">
      <c r="A133" s="47">
        <v>564</v>
      </c>
      <c r="B133" s="47" t="s">
        <v>421</v>
      </c>
      <c r="C133" s="47" t="s">
        <v>37</v>
      </c>
      <c r="D133" s="47" t="s">
        <v>35</v>
      </c>
      <c r="E133" s="47" t="b">
        <v>0</v>
      </c>
      <c r="F133" s="47" t="s">
        <v>364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364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364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364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364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365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367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366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364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364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420</v>
      </c>
      <c r="C143" s="47" t="s">
        <v>419</v>
      </c>
      <c r="D143" s="47" t="s">
        <v>35</v>
      </c>
      <c r="E143" s="47" t="b">
        <v>0</v>
      </c>
      <c r="F143" s="47" t="s">
        <v>365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365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364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364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364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364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418</v>
      </c>
      <c r="C149" s="47" t="s">
        <v>417</v>
      </c>
      <c r="D149" s="47" t="s">
        <v>35</v>
      </c>
      <c r="E149" s="47" t="b">
        <v>1</v>
      </c>
      <c r="F149" s="47" t="s">
        <v>365</v>
      </c>
      <c r="H149" s="48">
        <v>46088</v>
      </c>
    </row>
    <row r="150" spans="1:8" x14ac:dyDescent="0.45">
      <c r="A150" s="47">
        <v>1285</v>
      </c>
      <c r="B150" s="47" t="s">
        <v>416</v>
      </c>
      <c r="C150" s="47" t="s">
        <v>40</v>
      </c>
      <c r="D150" s="47" t="s">
        <v>35</v>
      </c>
      <c r="E150" s="47" t="b">
        <v>0</v>
      </c>
      <c r="F150" s="47" t="s">
        <v>365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364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364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364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364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415</v>
      </c>
      <c r="C155" s="47" t="s">
        <v>414</v>
      </c>
      <c r="D155" s="47" t="s">
        <v>35</v>
      </c>
      <c r="E155" s="47" t="b">
        <v>1</v>
      </c>
      <c r="F155" s="47" t="s">
        <v>365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364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365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365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364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364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364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364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364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364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364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364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413</v>
      </c>
      <c r="D167" s="47" t="s">
        <v>35</v>
      </c>
      <c r="E167" s="47" t="b">
        <v>0</v>
      </c>
      <c r="F167" s="47" t="s">
        <v>365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365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364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364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365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365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364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364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364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365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365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364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364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365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365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364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364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364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364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365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364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364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412</v>
      </c>
      <c r="D189" s="47" t="s">
        <v>35</v>
      </c>
      <c r="E189" s="47" t="b">
        <v>1</v>
      </c>
      <c r="F189" s="47" t="s">
        <v>367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411</v>
      </c>
      <c r="D190" s="47" t="s">
        <v>35</v>
      </c>
      <c r="E190" s="47" t="b">
        <v>0</v>
      </c>
      <c r="F190" s="47" t="s">
        <v>367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365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365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364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365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364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364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364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364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362</v>
      </c>
      <c r="G1" s="49" t="s">
        <v>363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365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364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364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364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364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366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364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365</v>
      </c>
      <c r="H9" s="50">
        <v>46091</v>
      </c>
    </row>
    <row r="10" spans="1:8" x14ac:dyDescent="0.45">
      <c r="A10" s="49">
        <v>1112</v>
      </c>
      <c r="B10" s="49" t="s">
        <v>450</v>
      </c>
      <c r="C10" s="49" t="s">
        <v>449</v>
      </c>
      <c r="D10" s="49" t="s">
        <v>35</v>
      </c>
      <c r="E10" s="49" t="b">
        <v>0</v>
      </c>
      <c r="F10" s="49" t="s">
        <v>364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364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443</v>
      </c>
      <c r="C12" s="49" t="s">
        <v>34</v>
      </c>
      <c r="D12" s="49" t="s">
        <v>35</v>
      </c>
      <c r="E12" s="49" t="b">
        <v>0</v>
      </c>
      <c r="F12" s="49" t="s">
        <v>364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364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364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364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364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364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365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366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364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364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448</v>
      </c>
      <c r="C22" s="49" t="s">
        <v>447</v>
      </c>
      <c r="D22" s="49" t="s">
        <v>35</v>
      </c>
      <c r="E22" s="49" t="b">
        <v>0</v>
      </c>
      <c r="F22" s="49" t="s">
        <v>365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365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364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364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442</v>
      </c>
      <c r="C26" s="49" t="s">
        <v>38</v>
      </c>
      <c r="D26" s="49" t="s">
        <v>35</v>
      </c>
      <c r="E26" s="49" t="b">
        <v>0</v>
      </c>
      <c r="F26" s="49" t="s">
        <v>364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364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364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364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441</v>
      </c>
      <c r="C30" s="49" t="s">
        <v>440</v>
      </c>
      <c r="D30" s="49" t="s">
        <v>35</v>
      </c>
      <c r="E30" s="49" t="b">
        <v>1</v>
      </c>
      <c r="F30" s="49" t="s">
        <v>366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364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364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365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364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364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364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364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364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364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364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439</v>
      </c>
      <c r="C41" s="49" t="s">
        <v>438</v>
      </c>
      <c r="D41" s="49" t="s">
        <v>35</v>
      </c>
      <c r="E41" s="49" t="b">
        <v>1</v>
      </c>
      <c r="F41" s="49" t="s">
        <v>365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364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364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364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365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366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364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437</v>
      </c>
      <c r="C48" s="49" t="s">
        <v>436</v>
      </c>
      <c r="D48" s="49" t="s">
        <v>35</v>
      </c>
      <c r="E48" s="49" t="b">
        <v>0</v>
      </c>
      <c r="F48" s="49" t="s">
        <v>365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366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364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364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365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365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364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435</v>
      </c>
      <c r="C55" s="49" t="s">
        <v>185</v>
      </c>
      <c r="D55" s="49" t="s">
        <v>35</v>
      </c>
      <c r="E55" s="49" t="b">
        <v>1</v>
      </c>
      <c r="F55" s="49" t="s">
        <v>364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366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365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364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364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434</v>
      </c>
      <c r="C60" s="49" t="s">
        <v>64</v>
      </c>
      <c r="D60" s="49" t="s">
        <v>35</v>
      </c>
      <c r="E60" s="49" t="b">
        <v>0</v>
      </c>
      <c r="F60" s="49" t="s">
        <v>365</v>
      </c>
      <c r="H60" s="50">
        <v>46091</v>
      </c>
    </row>
    <row r="61" spans="1:8" x14ac:dyDescent="0.45">
      <c r="A61" s="49">
        <v>1402</v>
      </c>
      <c r="B61" s="49" t="s">
        <v>433</v>
      </c>
      <c r="C61" s="49" t="s">
        <v>168</v>
      </c>
      <c r="D61" s="49" t="s">
        <v>35</v>
      </c>
      <c r="E61" s="49" t="b">
        <v>0</v>
      </c>
      <c r="F61" s="49" t="s">
        <v>364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364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364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364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365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365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364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364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365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365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366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366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366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364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364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365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364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432</v>
      </c>
      <c r="C78" s="49" t="s">
        <v>431</v>
      </c>
      <c r="D78" s="49" t="s">
        <v>35</v>
      </c>
      <c r="E78" s="49" t="b">
        <v>0</v>
      </c>
      <c r="F78" s="49" t="s">
        <v>365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366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365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364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364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364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364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364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430</v>
      </c>
      <c r="C86" s="49" t="s">
        <v>315</v>
      </c>
      <c r="D86" s="49" t="s">
        <v>35</v>
      </c>
      <c r="E86" s="49" t="b">
        <v>0</v>
      </c>
      <c r="F86" s="49" t="s">
        <v>364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364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364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365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364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364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446</v>
      </c>
      <c r="C92" s="49" t="s">
        <v>149</v>
      </c>
      <c r="D92" s="49" t="s">
        <v>35</v>
      </c>
      <c r="E92" s="49" t="b">
        <v>1</v>
      </c>
      <c r="F92" s="49" t="s">
        <v>364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429</v>
      </c>
      <c r="C93" s="49" t="s">
        <v>428</v>
      </c>
      <c r="D93" s="49" t="s">
        <v>35</v>
      </c>
      <c r="E93" s="49" t="b">
        <v>1</v>
      </c>
      <c r="F93" s="49" t="s">
        <v>366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365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364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367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364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365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364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364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367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364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364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364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364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364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365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364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365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364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427</v>
      </c>
      <c r="C111" s="49" t="s">
        <v>411</v>
      </c>
      <c r="D111" s="49" t="s">
        <v>35</v>
      </c>
      <c r="E111" s="49" t="b">
        <v>0</v>
      </c>
      <c r="F111" s="49" t="s">
        <v>364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427</v>
      </c>
      <c r="C112" s="49" t="s">
        <v>320</v>
      </c>
      <c r="D112" s="49" t="s">
        <v>35</v>
      </c>
      <c r="E112" s="49" t="b">
        <v>1</v>
      </c>
      <c r="F112" s="49" t="s">
        <v>365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365</v>
      </c>
      <c r="H113" s="50">
        <v>46091</v>
      </c>
    </row>
    <row r="114" spans="1:8" x14ac:dyDescent="0.45">
      <c r="A114" s="49">
        <v>1408</v>
      </c>
      <c r="B114" s="49" t="s">
        <v>425</v>
      </c>
      <c r="C114" s="49" t="s">
        <v>426</v>
      </c>
      <c r="D114" s="49" t="s">
        <v>35</v>
      </c>
      <c r="E114" s="49" t="b">
        <v>0</v>
      </c>
      <c r="F114" s="49" t="s">
        <v>364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425</v>
      </c>
      <c r="C115" s="49" t="s">
        <v>424</v>
      </c>
      <c r="D115" s="49" t="s">
        <v>35</v>
      </c>
      <c r="E115" s="49" t="b">
        <v>1</v>
      </c>
      <c r="F115" s="49" t="s">
        <v>364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364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364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364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365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366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364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364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364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422</v>
      </c>
      <c r="C124" s="49" t="s">
        <v>57</v>
      </c>
      <c r="D124" s="49" t="s">
        <v>35</v>
      </c>
      <c r="E124" s="49" t="b">
        <v>0</v>
      </c>
      <c r="F124" s="49" t="s">
        <v>365</v>
      </c>
      <c r="H124" s="50">
        <v>46091</v>
      </c>
    </row>
    <row r="125" spans="1:8" x14ac:dyDescent="0.45">
      <c r="A125" s="49">
        <v>1397</v>
      </c>
      <c r="B125" s="49" t="s">
        <v>422</v>
      </c>
      <c r="C125" s="49" t="s">
        <v>423</v>
      </c>
      <c r="D125" s="49" t="s">
        <v>35</v>
      </c>
      <c r="E125" s="49" t="b">
        <v>1</v>
      </c>
      <c r="F125" s="49" t="s">
        <v>365</v>
      </c>
      <c r="H125" s="50">
        <v>46091</v>
      </c>
    </row>
    <row r="126" spans="1:8" x14ac:dyDescent="0.45">
      <c r="A126" s="49">
        <v>1398</v>
      </c>
      <c r="B126" s="49" t="s">
        <v>422</v>
      </c>
      <c r="C126" s="49" t="s">
        <v>49</v>
      </c>
      <c r="D126" s="49" t="s">
        <v>35</v>
      </c>
      <c r="E126" s="49" t="b">
        <v>0</v>
      </c>
      <c r="F126" s="49" t="s">
        <v>366</v>
      </c>
      <c r="H126" s="50">
        <v>46091</v>
      </c>
    </row>
    <row r="127" spans="1:8" x14ac:dyDescent="0.45">
      <c r="A127" s="49">
        <v>1399</v>
      </c>
      <c r="B127" s="49" t="s">
        <v>422</v>
      </c>
      <c r="C127" s="49" t="s">
        <v>182</v>
      </c>
      <c r="D127" s="49" t="s">
        <v>35</v>
      </c>
      <c r="E127" s="49" t="b">
        <v>1</v>
      </c>
      <c r="F127" s="49" t="s">
        <v>366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364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364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364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364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364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364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364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366</v>
      </c>
      <c r="H135" s="50">
        <v>46091</v>
      </c>
    </row>
    <row r="136" spans="1:8" x14ac:dyDescent="0.45">
      <c r="A136" s="49">
        <v>564</v>
      </c>
      <c r="B136" s="49" t="s">
        <v>421</v>
      </c>
      <c r="C136" s="49" t="s">
        <v>37</v>
      </c>
      <c r="D136" s="49" t="s">
        <v>35</v>
      </c>
      <c r="E136" s="49" t="b">
        <v>0</v>
      </c>
      <c r="F136" s="49" t="s">
        <v>364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364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364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364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364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365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367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366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364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364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420</v>
      </c>
      <c r="C146" s="49" t="s">
        <v>419</v>
      </c>
      <c r="D146" s="49" t="s">
        <v>35</v>
      </c>
      <c r="E146" s="49" t="b">
        <v>0</v>
      </c>
      <c r="F146" s="49" t="s">
        <v>365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365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364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364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364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364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418</v>
      </c>
      <c r="C152" s="49" t="s">
        <v>417</v>
      </c>
      <c r="D152" s="49" t="s">
        <v>35</v>
      </c>
      <c r="E152" s="49" t="b">
        <v>1</v>
      </c>
      <c r="F152" s="49" t="s">
        <v>365</v>
      </c>
      <c r="H152" s="50">
        <v>46091</v>
      </c>
    </row>
    <row r="153" spans="1:8" x14ac:dyDescent="0.45">
      <c r="A153" s="49">
        <v>1285</v>
      </c>
      <c r="B153" s="49" t="s">
        <v>416</v>
      </c>
      <c r="C153" s="49" t="s">
        <v>40</v>
      </c>
      <c r="D153" s="49" t="s">
        <v>35</v>
      </c>
      <c r="E153" s="49" t="b">
        <v>0</v>
      </c>
      <c r="F153" s="49" t="s">
        <v>365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364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364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364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364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415</v>
      </c>
      <c r="C158" s="49" t="s">
        <v>414</v>
      </c>
      <c r="D158" s="49" t="s">
        <v>35</v>
      </c>
      <c r="E158" s="49" t="b">
        <v>1</v>
      </c>
      <c r="F158" s="49" t="s">
        <v>365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364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365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365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364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364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364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364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364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364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364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364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413</v>
      </c>
      <c r="D170" s="49" t="s">
        <v>35</v>
      </c>
      <c r="E170" s="49" t="b">
        <v>0</v>
      </c>
      <c r="F170" s="49" t="s">
        <v>365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365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364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364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365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365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364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364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364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365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365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364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364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365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365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364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364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364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445</v>
      </c>
      <c r="C188" s="49" t="s">
        <v>226</v>
      </c>
      <c r="D188" s="49" t="s">
        <v>35</v>
      </c>
      <c r="E188" s="49" t="b">
        <v>1</v>
      </c>
      <c r="F188" s="49" t="s">
        <v>366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364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365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364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364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412</v>
      </c>
      <c r="D193" s="49" t="s">
        <v>35</v>
      </c>
      <c r="E193" s="49" t="b">
        <v>1</v>
      </c>
      <c r="F193" s="49" t="s">
        <v>367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411</v>
      </c>
      <c r="D194" s="49" t="s">
        <v>35</v>
      </c>
      <c r="E194" s="49" t="b">
        <v>0</v>
      </c>
      <c r="F194" s="49" t="s">
        <v>367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365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365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364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444</v>
      </c>
      <c r="D198" s="49" t="s">
        <v>35</v>
      </c>
      <c r="E198" s="49" t="b">
        <v>1</v>
      </c>
      <c r="F198" s="49" t="s">
        <v>364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365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364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364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364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364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362</v>
      </c>
      <c r="G1" s="51" t="s">
        <v>363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H9" s="52">
        <v>46102</v>
      </c>
    </row>
    <row r="10" spans="1:8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H30" s="52">
        <v>46102</v>
      </c>
    </row>
    <row r="31" spans="1:8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H34" s="52">
        <v>46102</v>
      </c>
    </row>
    <row r="35" spans="1:8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H63" s="52">
        <v>46102</v>
      </c>
    </row>
    <row r="64" spans="1:8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H116" s="52">
        <v>46102</v>
      </c>
    </row>
    <row r="117" spans="1:8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H123" s="52">
        <v>46102</v>
      </c>
    </row>
    <row r="124" spans="1:8" x14ac:dyDescent="0.45">
      <c r="A124" s="51">
        <v>1419</v>
      </c>
      <c r="B124" s="51" t="s">
        <v>453</v>
      </c>
      <c r="C124" s="51" t="s">
        <v>452</v>
      </c>
      <c r="D124" s="51" t="s">
        <v>35</v>
      </c>
      <c r="E124" s="51" t="b">
        <v>0</v>
      </c>
      <c r="F124" s="51" t="s">
        <v>365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H128" s="52">
        <v>46102</v>
      </c>
    </row>
    <row r="129" spans="1:8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H129" s="52">
        <v>46102</v>
      </c>
    </row>
    <row r="130" spans="1:8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H130" s="52">
        <v>46102</v>
      </c>
    </row>
    <row r="131" spans="1:8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H139" s="52">
        <v>46102</v>
      </c>
    </row>
    <row r="140" spans="1:8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H156" s="52">
        <v>46102</v>
      </c>
    </row>
    <row r="157" spans="1:8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H164" s="52">
        <v>46102</v>
      </c>
    </row>
    <row r="165" spans="1:8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Marsh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385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384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354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356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355</v>
      </c>
      <c r="E8"/>
      <c r="F8" s="39">
        <f>5+5</f>
        <v>10</v>
      </c>
      <c r="G8" t="s">
        <v>357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369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371</v>
      </c>
      <c r="E14" t="s">
        <v>387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372</v>
      </c>
      <c r="E15" t="s">
        <v>386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373</v>
      </c>
      <c r="E16" t="s">
        <v>84</v>
      </c>
      <c r="F16">
        <v>10</v>
      </c>
      <c r="G16" t="s">
        <v>359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374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375</v>
      </c>
      <c r="E18" t="s">
        <v>388</v>
      </c>
      <c r="F18">
        <v>10</v>
      </c>
      <c r="G18" t="s">
        <v>360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374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376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375</v>
      </c>
      <c r="E21" t="s">
        <v>388</v>
      </c>
      <c r="F21">
        <v>10</v>
      </c>
      <c r="G21" t="s">
        <v>360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371</v>
      </c>
      <c r="E22" t="s">
        <v>387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377</v>
      </c>
      <c r="E23" t="s">
        <v>386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373</v>
      </c>
      <c r="E24" t="s">
        <v>84</v>
      </c>
      <c r="F24">
        <v>9.4</v>
      </c>
      <c r="G24" t="s">
        <v>359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376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358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370</v>
      </c>
      <c r="F27" s="7">
        <v>0.88</v>
      </c>
      <c r="G27" s="8" t="s">
        <v>361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368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380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409</v>
      </c>
      <c r="B4" t="s">
        <v>81</v>
      </c>
      <c r="C4" s="46" t="str">
        <f t="shared" si="0"/>
        <v>Jayne Mumford (W) (Cov Tri)</v>
      </c>
      <c r="D4" t="s">
        <v>14</v>
      </c>
      <c r="H4" t="s">
        <v>406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392</v>
      </c>
      <c r="B6" t="s">
        <v>387</v>
      </c>
      <c r="C6" s="46" t="str">
        <f t="shared" si="0"/>
        <v>Andy Thomas (HCRC)</v>
      </c>
    </row>
    <row r="7" spans="1:8" ht="14.25" x14ac:dyDescent="0.45">
      <c r="A7" t="s">
        <v>393</v>
      </c>
      <c r="B7" t="s">
        <v>387</v>
      </c>
      <c r="C7" s="46" t="str">
        <f t="shared" si="0"/>
        <v>Colin Parkinson (SWRC) (HCRC)</v>
      </c>
    </row>
    <row r="8" spans="1:8" ht="14.25" x14ac:dyDescent="0.45">
      <c r="A8" t="s">
        <v>390</v>
      </c>
      <c r="B8" t="s">
        <v>387</v>
      </c>
      <c r="C8" s="46" t="str">
        <f t="shared" si="0"/>
        <v>Joe Murray (M I Racing) (HCRC)</v>
      </c>
    </row>
    <row r="9" spans="1:8" ht="14.25" x14ac:dyDescent="0.45">
      <c r="A9" t="s">
        <v>394</v>
      </c>
      <c r="B9" t="s">
        <v>387</v>
      </c>
      <c r="C9" s="46" t="str">
        <f t="shared" si="0"/>
        <v>Mick Wills (M I Racing) (HCRC)</v>
      </c>
    </row>
    <row r="10" spans="1:8" ht="14.25" x14ac:dyDescent="0.45">
      <c r="A10" t="s">
        <v>396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395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410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404</v>
      </c>
      <c r="B24" t="s">
        <v>405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388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388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388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388</v>
      </c>
      <c r="C29" s="46" t="str">
        <f t="shared" si="0"/>
        <v>Chris Spray (Ratae)</v>
      </c>
    </row>
    <row r="30" spans="1:4" ht="14.25" x14ac:dyDescent="0.45">
      <c r="A30" t="s">
        <v>407</v>
      </c>
      <c r="B30" t="s">
        <v>388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388</v>
      </c>
      <c r="C31" s="46" t="str">
        <f t="shared" si="0"/>
        <v>Ed Watson (Ratae)</v>
      </c>
    </row>
    <row r="32" spans="1:4" ht="14.25" x14ac:dyDescent="0.45">
      <c r="A32" t="s">
        <v>403</v>
      </c>
      <c r="B32" t="s">
        <v>388</v>
      </c>
      <c r="C32" s="46" t="str">
        <f t="shared" si="0"/>
        <v>Jonathon Clarke (Ratae)</v>
      </c>
      <c r="D32" s="46"/>
    </row>
    <row r="33" spans="1:4" ht="14.25" x14ac:dyDescent="0.45">
      <c r="A33" t="s">
        <v>408</v>
      </c>
      <c r="B33" t="s">
        <v>388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388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388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388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388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388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388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397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398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399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400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401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391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402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457</v>
      </c>
      <c r="B2" s="41">
        <v>558</v>
      </c>
      <c r="C2" s="17"/>
      <c r="D2" s="18">
        <v>43</v>
      </c>
      <c r="E2" s="18">
        <v>1</v>
      </c>
      <c r="F2" s="18" t="s">
        <v>474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v>1194</v>
      </c>
      <c r="C3" s="17"/>
      <c r="D3" s="18">
        <v>33</v>
      </c>
      <c r="E3" s="18">
        <v>41</v>
      </c>
      <c r="F3" s="18" t="s">
        <v>474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459</v>
      </c>
      <c r="B4" s="41">
        <v>1298</v>
      </c>
      <c r="C4" s="17"/>
      <c r="D4" s="18">
        <v>35</v>
      </c>
      <c r="E4" s="18">
        <v>37</v>
      </c>
      <c r="F4" s="18" t="s">
        <v>474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460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461</v>
      </c>
      <c r="B6" s="41">
        <v>1355</v>
      </c>
      <c r="C6" s="17"/>
      <c r="D6" s="18">
        <v>26</v>
      </c>
      <c r="E6" s="18">
        <v>29</v>
      </c>
      <c r="F6" s="18" t="s">
        <v>474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462</v>
      </c>
      <c r="B7" s="41">
        <v>1407</v>
      </c>
      <c r="C7" s="17"/>
      <c r="D7" s="18">
        <v>28</v>
      </c>
      <c r="E7" s="18">
        <v>22</v>
      </c>
      <c r="F7" s="18" t="s">
        <v>474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463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464</v>
      </c>
      <c r="B9" s="41">
        <v>1107</v>
      </c>
      <c r="C9" s="17"/>
      <c r="D9" s="18">
        <v>29</v>
      </c>
      <c r="E9" s="18">
        <v>43</v>
      </c>
      <c r="F9" s="18" t="s">
        <v>474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465</v>
      </c>
      <c r="B10" s="41">
        <v>1403</v>
      </c>
      <c r="C10" s="17"/>
      <c r="D10" s="18">
        <v>31</v>
      </c>
      <c r="E10" s="18">
        <v>7</v>
      </c>
      <c r="F10" s="18" t="s">
        <v>474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466</v>
      </c>
      <c r="B11" s="41">
        <v>1385</v>
      </c>
      <c r="C11" s="17"/>
      <c r="D11" s="18"/>
      <c r="E11" s="18"/>
      <c r="F11" s="18" t="s">
        <v>474</v>
      </c>
      <c r="G11" s="18" t="s">
        <v>475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467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468</v>
      </c>
      <c r="B13" s="41">
        <v>704</v>
      </c>
      <c r="C13" s="17"/>
      <c r="D13" s="18">
        <v>31</v>
      </c>
      <c r="E13" s="18">
        <v>30</v>
      </c>
      <c r="F13" s="18" t="s">
        <v>474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469</v>
      </c>
      <c r="B14" s="41">
        <v>1162</v>
      </c>
      <c r="C14" s="17"/>
      <c r="D14" s="18"/>
      <c r="E14" s="18"/>
      <c r="F14" s="18" t="s">
        <v>474</v>
      </c>
      <c r="G14" s="18" t="s">
        <v>475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470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471</v>
      </c>
      <c r="B16" s="41">
        <v>295</v>
      </c>
      <c r="C16" s="17"/>
      <c r="D16" s="18">
        <v>32</v>
      </c>
      <c r="E16" s="18">
        <v>12</v>
      </c>
      <c r="F16" s="18" t="s">
        <v>474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472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473</v>
      </c>
      <c r="B18" s="41">
        <v>38</v>
      </c>
      <c r="C18" s="17"/>
      <c r="D18" s="18">
        <v>28</v>
      </c>
      <c r="E18" s="18">
        <v>41</v>
      </c>
      <c r="F18" s="18" t="s">
        <v>474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478</v>
      </c>
      <c r="B19" s="41" t="s">
        <v>478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476</v>
      </c>
      <c r="B20" s="41">
        <v>245</v>
      </c>
      <c r="C20" s="17"/>
      <c r="D20" s="18">
        <v>32</v>
      </c>
      <c r="E20" s="18">
        <v>2</v>
      </c>
      <c r="F20" s="18" t="s">
        <v>474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477</v>
      </c>
      <c r="B21" s="41" t="s">
        <v>477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abSelected="1" topLeftCell="A7" zoomScaleNormal="100" workbookViewId="0">
      <selection activeCell="A22" sqref="A22"/>
    </sheetView>
  </sheetViews>
  <sheetFormatPr defaultColWidth="9.1328125" defaultRowHeight="12.75" x14ac:dyDescent="0.35"/>
  <cols>
    <col min="1" max="1" width="20.06640625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457</v>
      </c>
      <c r="B2" s="41">
        <v>558</v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479</v>
      </c>
      <c r="B3" s="41">
        <v>1404</v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 t="s">
        <v>459</v>
      </c>
      <c r="B4" s="41">
        <v>1298</v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0</v>
      </c>
      <c r="J4" t="str">
        <f t="shared" si="1"/>
        <v/>
      </c>
    </row>
    <row r="5" spans="1:10" ht="15" x14ac:dyDescent="0.4">
      <c r="A5" s="40" t="s">
        <v>480</v>
      </c>
      <c r="B5" s="41">
        <v>1055</v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0</v>
      </c>
      <c r="J5" t="str">
        <f t="shared" si="1"/>
        <v/>
      </c>
    </row>
    <row r="6" spans="1:10" ht="15" x14ac:dyDescent="0.4">
      <c r="A6" s="40" t="s">
        <v>481</v>
      </c>
      <c r="B6" s="41">
        <v>1152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462</v>
      </c>
      <c r="B7" s="41">
        <v>1407</v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0</v>
      </c>
      <c r="J7" t="str">
        <f t="shared" si="1"/>
        <v/>
      </c>
    </row>
    <row r="8" spans="1:10" ht="15" x14ac:dyDescent="0.4">
      <c r="A8" s="40" t="s">
        <v>463</v>
      </c>
      <c r="B8" s="41">
        <v>1418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0</v>
      </c>
      <c r="J8" t="str">
        <f t="shared" si="1"/>
        <v/>
      </c>
    </row>
    <row r="9" spans="1:10" ht="15" x14ac:dyDescent="0.4">
      <c r="A9" s="40" t="s">
        <v>482</v>
      </c>
      <c r="B9" s="41">
        <v>1112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0</v>
      </c>
      <c r="J9" t="str">
        <f t="shared" si="1"/>
        <v/>
      </c>
    </row>
    <row r="10" spans="1:10" ht="15" x14ac:dyDescent="0.4">
      <c r="A10" s="40" t="s">
        <v>465</v>
      </c>
      <c r="B10" s="41">
        <v>1403</v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460</v>
      </c>
      <c r="B11" s="41">
        <v>35</v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467</v>
      </c>
      <c r="B12" s="41">
        <v>616</v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468</v>
      </c>
      <c r="B13" s="41">
        <v>704</v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0</v>
      </c>
      <c r="J13" t="str">
        <f t="shared" si="1"/>
        <v/>
      </c>
    </row>
    <row r="14" spans="1:10" ht="15" x14ac:dyDescent="0.4">
      <c r="A14" s="40" t="s">
        <v>483</v>
      </c>
      <c r="B14" s="41">
        <v>1193</v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476</v>
      </c>
      <c r="B15" s="41">
        <v>245</v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471</v>
      </c>
      <c r="B16" s="41">
        <v>295</v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0</v>
      </c>
      <c r="J16" t="str">
        <f t="shared" si="1"/>
        <v/>
      </c>
    </row>
    <row r="17" spans="1:10" ht="15" x14ac:dyDescent="0.4">
      <c r="A17" s="40" t="s">
        <v>484</v>
      </c>
      <c r="B17" s="41">
        <v>989</v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0</v>
      </c>
      <c r="J17" t="str">
        <f t="shared" si="1"/>
        <v/>
      </c>
    </row>
    <row r="18" spans="1:10" ht="15" x14ac:dyDescent="0.4">
      <c r="A18" s="40" t="s">
        <v>473</v>
      </c>
      <c r="B18" s="41">
        <v>38</v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0</v>
      </c>
      <c r="J18" t="str">
        <f t="shared" si="1"/>
        <v/>
      </c>
    </row>
    <row r="19" spans="1:10" ht="15" x14ac:dyDescent="0.4">
      <c r="A19" s="40" t="s">
        <v>485</v>
      </c>
      <c r="B19" s="41">
        <v>1419</v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0</v>
      </c>
      <c r="J19" t="str">
        <f t="shared" si="1"/>
        <v/>
      </c>
    </row>
    <row r="20" spans="1:10" ht="15" x14ac:dyDescent="0.4">
      <c r="A20" s="40" t="s">
        <v>487</v>
      </c>
      <c r="B20" s="41">
        <v>564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488</v>
      </c>
      <c r="B21" s="41" t="s">
        <v>488</v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0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13</vt:i4>
      </vt:variant>
    </vt:vector>
  </HeadingPairs>
  <TitlesOfParts>
    <vt:vector size="50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2026-03-28T17:20:47Z</dcterms:modified>
</cp:coreProperties>
</file>