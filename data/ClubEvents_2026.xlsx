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6436C80-7180-4F53-8D67-78CFF339092C}" xr6:coauthVersionLast="47" xr6:coauthVersionMax="47" xr10:uidLastSave="{00000000-0000-0000-0000-000000000000}"/>
  <bookViews>
    <workbookView xWindow="-83" yWindow="0" windowWidth="14566" windowHeight="17363" firstSheet="33"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I37" i="34"/>
  <c r="B37" i="34"/>
  <c r="I36" i="34"/>
  <c r="B36" i="34"/>
  <c r="I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B35"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6" i="18"/>
  <c r="I48" i="29"/>
  <c r="C59" i="18"/>
  <c r="I47" i="29"/>
  <c r="I46" i="29"/>
  <c r="C64" i="18"/>
  <c r="I45" i="29"/>
  <c r="I44" i="29"/>
  <c r="I43" i="29"/>
  <c r="I42" i="29"/>
  <c r="I41" i="29"/>
  <c r="I40" i="29"/>
  <c r="I39" i="29"/>
  <c r="I38" i="29"/>
  <c r="I37" i="29"/>
  <c r="I36" i="29"/>
  <c r="I35" i="29"/>
  <c r="I34" i="29"/>
  <c r="I33" i="29"/>
  <c r="I32" i="29"/>
  <c r="I31" i="29"/>
  <c r="I30" i="29"/>
  <c r="I29" i="29"/>
  <c r="I28" i="29"/>
  <c r="I27" i="29"/>
  <c r="I26" i="29"/>
  <c r="I25" i="29"/>
  <c r="I24" i="29"/>
  <c r="C43" i="18"/>
  <c r="B38" i="34" s="1"/>
  <c r="I23" i="29"/>
  <c r="I22" i="29"/>
  <c r="C33" i="18"/>
  <c r="I21" i="29"/>
  <c r="I20" i="29"/>
  <c r="I19" i="29"/>
  <c r="C38" i="18"/>
  <c r="I18" i="29"/>
  <c r="I17" i="29"/>
  <c r="I16" i="29"/>
  <c r="I15" i="29"/>
  <c r="I14" i="29"/>
  <c r="I13" i="29"/>
  <c r="I12" i="29"/>
  <c r="I11" i="29"/>
  <c r="I10" i="29"/>
  <c r="C34" i="18"/>
  <c r="I9" i="29"/>
  <c r="I8" i="29"/>
  <c r="I7" i="29"/>
  <c r="I6" i="29"/>
  <c r="I5" i="29"/>
  <c r="I4" i="29"/>
  <c r="I3" i="29"/>
  <c r="C4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68" i="18"/>
  <c r="B19" i="34" s="1"/>
  <c r="C77" i="18"/>
  <c r="C76" i="18"/>
  <c r="C79" i="18"/>
  <c r="C78" i="18"/>
  <c r="C16" i="18"/>
  <c r="C19" i="18"/>
  <c r="C60" i="18"/>
  <c r="C71" i="18"/>
  <c r="C70" i="18"/>
  <c r="C18" i="18"/>
  <c r="C57" i="18"/>
  <c r="C74" i="18"/>
  <c r="C73" i="18"/>
  <c r="C72" i="18"/>
  <c r="C69" i="18"/>
  <c r="C67" i="18"/>
  <c r="C66" i="18"/>
  <c r="C65" i="18"/>
  <c r="C63" i="18"/>
  <c r="C62" i="18"/>
  <c r="C61" i="18"/>
  <c r="C58" i="18"/>
  <c r="C56" i="18"/>
  <c r="C55" i="18"/>
  <c r="C54" i="18"/>
  <c r="C53" i="18"/>
  <c r="C52" i="18"/>
  <c r="C51" i="18"/>
  <c r="C50" i="18"/>
  <c r="C49" i="18"/>
  <c r="C48" i="18"/>
  <c r="C47" i="18"/>
  <c r="C45" i="18"/>
  <c r="C44" i="18"/>
  <c r="C42" i="18"/>
  <c r="C41" i="18"/>
  <c r="C39" i="18"/>
  <c r="C37" i="18"/>
  <c r="C36" i="18"/>
  <c r="C35" i="18"/>
  <c r="C32" i="18"/>
  <c r="C31" i="18"/>
  <c r="C75" i="18"/>
  <c r="C30" i="18"/>
  <c r="C29" i="18"/>
  <c r="C28" i="18"/>
  <c r="C27" i="18"/>
  <c r="C26" i="18"/>
  <c r="C25" i="18"/>
  <c r="C24" i="18"/>
  <c r="C23" i="18"/>
  <c r="C22" i="18"/>
  <c r="C21" i="18"/>
  <c r="C20" i="18"/>
  <c r="C17"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J32" i="33" s="1"/>
  <c r="H32" i="33" s="1"/>
  <c r="B50" i="32"/>
  <c r="J50" i="32" s="1"/>
  <c r="H50" i="32" s="1"/>
  <c r="B7" i="33"/>
  <c r="B36" i="32"/>
  <c r="J36" i="32" s="1"/>
  <c r="H36" i="32" s="1"/>
  <c r="B27" i="33"/>
  <c r="B26" i="33"/>
  <c r="B16" i="32"/>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27" i="33"/>
  <c r="H27" i="33" s="1"/>
  <c r="J26" i="33"/>
  <c r="H26" i="33" s="1"/>
  <c r="J16" i="32"/>
  <c r="H16"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45" i="34"/>
  <c r="H45" i="34" s="1"/>
  <c r="J44" i="34"/>
  <c r="H44" i="34" s="1"/>
  <c r="J43" i="34"/>
  <c r="H43" i="34" s="1"/>
  <c r="J42" i="34"/>
  <c r="H42" i="34" s="1"/>
  <c r="J41" i="34"/>
  <c r="H41" i="34" s="1"/>
  <c r="J40" i="34"/>
  <c r="H40" i="34" s="1"/>
  <c r="J39" i="34"/>
  <c r="H39" i="34" s="1"/>
  <c r="J38" i="34"/>
  <c r="H38" i="34" s="1"/>
  <c r="J37" i="34"/>
  <c r="H37" i="34" s="1"/>
  <c r="J36" i="34"/>
  <c r="H36" i="34" s="1"/>
  <c r="J35" i="34"/>
  <c r="H35" i="34" s="1"/>
  <c r="J34" i="34"/>
  <c r="H34" i="34" s="1"/>
  <c r="J33" i="34"/>
  <c r="H33" i="34" s="1"/>
  <c r="J32" i="34"/>
  <c r="H32" i="34" s="1"/>
  <c r="J31" i="34"/>
  <c r="H31" i="34" s="1"/>
  <c r="J30" i="34"/>
  <c r="H30" i="34" s="1"/>
  <c r="J29" i="34"/>
  <c r="H29" i="34"/>
  <c r="J28" i="34"/>
  <c r="H28" i="34"/>
  <c r="J27" i="34"/>
  <c r="H27" i="34" s="1"/>
  <c r="J26" i="34"/>
  <c r="H26" i="34"/>
  <c r="J25" i="34"/>
  <c r="H25" i="34" s="1"/>
  <c r="J24" i="34"/>
  <c r="H24" i="34" s="1"/>
  <c r="J23" i="34"/>
  <c r="H23" i="34"/>
  <c r="J22" i="34"/>
  <c r="H22" i="34" s="1"/>
  <c r="J21" i="34"/>
  <c r="H21" i="34" s="1"/>
  <c r="J20" i="34"/>
  <c r="H20" i="34" s="1"/>
  <c r="J19" i="34"/>
  <c r="H19" i="34" s="1"/>
  <c r="J18" i="34"/>
  <c r="H18" i="34" s="1"/>
  <c r="J17" i="34"/>
  <c r="H17" i="34" s="1"/>
  <c r="J16" i="34"/>
  <c r="H16" i="34" s="1"/>
  <c r="J15" i="34"/>
  <c r="H15" i="34" s="1"/>
  <c r="J14" i="34"/>
  <c r="H14" i="34" s="1"/>
  <c r="J13" i="34"/>
  <c r="H13" i="34" s="1"/>
  <c r="J12" i="34"/>
  <c r="H12" i="34" s="1"/>
  <c r="J11" i="34"/>
  <c r="H11" i="34" s="1"/>
  <c r="J10" i="34"/>
  <c r="H10" i="34" s="1"/>
  <c r="J9" i="34"/>
  <c r="H9" i="34" s="1"/>
  <c r="J8" i="34"/>
  <c r="H8" i="34" s="1"/>
  <c r="J7" i="34"/>
  <c r="H7" i="34" s="1"/>
  <c r="J6" i="34"/>
  <c r="H6" i="34" s="1"/>
  <c r="J5" i="34"/>
  <c r="H5" i="34" s="1"/>
  <c r="J4" i="34"/>
  <c r="H4" i="34" s="1"/>
  <c r="J3" i="34"/>
  <c r="H3" i="34" s="1"/>
  <c r="J2" i="34"/>
  <c r="H2"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<sst xmlns="http://schemas.openxmlformats.org/spreadsheetml/2006/main" count="15350" uniqueCount="645">
  <si>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</si>
  <si>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</si>
  <si>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</si>
  <si>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</si>
  <si>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</si>
  <si>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</si>
  <si>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</si>
  <si>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</si>
  <si>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</si>
  <si>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</si>
  <si>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</si>
  <si>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</si>
  <si>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</si>
  <si>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</si>
  <si>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</si>
  <si>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</si>
  <si>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</si>
  <si>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</si>
  <si>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</si>
  <si>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</si>
  <si>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</si>
  <si>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</si>
  <si>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</si>
  <si>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</si>
  <si>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</si>
  <si>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</si>
  <si>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</si>
  <si>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</si>
  <si>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</si>
  <si>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</si>
  <si>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</si>
  <si>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</si>
  <si>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</si>
  <si>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</si>
  <si>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</si>
  <si>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</si>
  <si>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</si>
  <si>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</si>
  <si>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</si>
  <si>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</si>
  <si>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</si>
  <si>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</si>
  <si>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</si>
  <si>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</si>
  <si>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</si>
  <si>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</si>
  <si>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</si>
  <si>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</si>
  <si>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</si>
  <si>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</si>
  <si>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</si>
  <si>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</si>
  <si>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</si>
  <si>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</si>
  <si>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</si>
  <si>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</si>
  <si>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</si>
  <si>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</si>
  <si>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</si>
  <si>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</si>
  <si>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</si>
  <si>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</si>
  <si>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</si>
  <si>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</si>
  <si>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</si>
  <si>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</si>
  <si>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</si>
  <si>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</si>
  <si>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</si>
  <si>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</si>
  <si>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</si>
  <si>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</si>
  <si>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</si>
  <si>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</si>
  <si>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</si>
  <si>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</si>
  <si>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</si>
  <si>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</si>
  <si>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</si>
  <si>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</si>
  <si>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</si>
  <si>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</si>
  <si>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</si>
  <si>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</si>
  <si>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</si>
  <si>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</si>
  <si>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</si>
  <si>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</si>
  <si>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</si>
  <si>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</si>
  <si>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</si>
  <si>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</si>
  <si>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</si>
  <si>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</si>
  <si>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</si>
  <si>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</si>
  <si>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</si>
  <si>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</si>
  <si>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</si>
  <si>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</si>
  <si>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</si>
  <si>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</si>
  <si>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</si>
  <si>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</si>
  <si>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</si>
  <si>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</si>
  <si>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</si>
  <si>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</si>
  <si>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</si>
  <si>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</si>
  <si>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</si>
  <si>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</si>
  <si>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</si>
  <si>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</si>
  <si>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</si>
  <si>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</si>
  <si>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</si>
  <si>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</si>
  <si>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</si>
  <si>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</si>
  <si>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</si>
  <si>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</si>
  <si>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</si>
  <si>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</si>
  <si>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</si>
  <si>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</si>
  <si>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</si>
  <si>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</si>
  <si>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</si>
  <si>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</si>
  <si>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</si>
  <si>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</si>
  <si>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</si>
  <si>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</si>
  <si>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</si>
  <si>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</si>
  <si>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</si>
  <si>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</si>
  <si>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</si>
  <si>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</si>
  <si>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</si>
  <si>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</si>
  <si>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</si>
  <si>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</si>
  <si>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</si>
  <si>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</si>
  <si>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</si>
  <si>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</si>
  <si>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</si>
  <si>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</si>
  <si>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</si>
  <si>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</si>
  <si>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</si>
  <si>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</si>
  <si>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</si>
  <si>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</si>
  <si>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</si>
  <si>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</si>
  <si>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</si>
  <si>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</si>
  <si>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</si>
  <si>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</si>
  <si>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</si>
  <si>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</si>
  <si>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</si>
  <si>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</si>
  <si>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</si>
  <si>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</si>
  <si>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</si>
  <si>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</si>
  <si>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</si>
  <si>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</si>
  <si>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</si>
  <si>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</si>
  <si>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</si>
  <si>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</si>
  <si>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</si>
  <si>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</si>
  <si>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</si>
  <si>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</si>
  <si>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</si>
  <si>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</si>
  <si>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</si>
  <si>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</si>
  <si>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</si>
  <si>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</si>
  <si>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</si>
  <si>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</si>
  <si>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</si>
  <si>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</si>
  <si>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</si>
  <si>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</si>
  <si>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</si>
  <si>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</si>
  <si>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</si>
  <si>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</si>
  <si>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</si>
  <si>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</si>
  <si>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</si>
  <si>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</si>
  <si>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</si>
  <si>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</si>
  <si>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</si>
  <si>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</si>
  <si>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</si>
  <si>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</si>
  <si>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</si>
  <si>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</si>
  <si>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</si>
  <si>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</si>
  <si>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</si>
  <si>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</si>
  <si>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</si>
  <si>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</si>
  <si>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</si>
  <si>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</si>
  <si>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</si>
  <si>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</si>
  <si>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</si>
  <si>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</si>
  <si>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</si>
  <si>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</si>
  <si>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</si>
  <si>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</si>
  <si>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</si>
  <si>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</si>
  <si>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</si>
  <si>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</si>
  <si>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</si>
  <si>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</si>
  <si>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</si>
  <si>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</si>
  <si>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</si>
  <si>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</si>
  <si>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</si>
  <si>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</si>
  <si>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</si>
  <si>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</si>
  <si>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</si>
  <si>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</si>
  <si>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</si>
  <si>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</si>
  <si>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</si>
  <si>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</si>
  <si>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</si>
  <si>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</si>
  <si>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</si>
  <si>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</si>
  <si>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</si>
  <si>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</si>
  <si>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</si>
  <si>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</si>
  <si>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</si>
  <si>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</si>
  <si>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</si>
  <si>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</si>
  <si>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</si>
  <si>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</si>
  <si>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</si>
  <si>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</si>
  <si>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</si>
  <si>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</si>
  <si>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</si>
  <si>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</si>
  <si>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</si>
  <si>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</si>
  <si>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</si>
  <si>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</si>
  <si>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</si>
  <si>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</si>
  <si>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</si>
  <si>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</si>
  <si>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</si>
  <si>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</si>
  <si>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</si>
  <si>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</si>
  <si>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</si>
  <si>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</si>
  <si>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</si>
  <si>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</si>
  <si>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</si>
  <si>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</si>
  <si>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</si>
  <si>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</si>
  <si>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</si>
  <si>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</si>
  <si>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</si>
  <si>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</si>
  <si>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</si>
  <si>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</si>
  <si>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</si>
  <si>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</si>
  <si>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</si>
  <si>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</si>
  <si>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</si>
  <si>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</si>
  <si>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</si>
  <si>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</si>
  <si>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</si>
  <si>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</si>
  <si>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</si>
  <si>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</si>
  <si>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</si>
  <si>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</si>
  <si>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</si>
  <si>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</si>
  <si>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</si>
  <si>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</si>
  <si>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</si>
  <si>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</si>
  <si>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</si>
  <si>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</si>
  <si>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</si>
  <si>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</si>
  <si>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</si>
  <si>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</si>
  <si>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</si>
  <si>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</si>
  <si>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</si>
  <si>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</si>
  <si>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</si>
  <si>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</si>
  <si>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</si>
  <si>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</si>
  <si>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</si>
  <si>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</si>
  <si>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</si>
  <si>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</si>
  <si>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</si>
  <si>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</si>
  <si>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</si>
  <si>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</si>
  <si>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</si>
  <si>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</si>
  <si>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</si>
  <si>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</si>
  <si>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</si>
  <si>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</si>
  <si>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</si>
  <si>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</si>
  <si>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</si>
  <si>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</si>
  <si>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</si>
  <si>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</si>
  <si>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</si>
  <si>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</si>
  <si>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</si>
  <si>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</si>
  <si>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</si>
  <si>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</si>
  <si>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</si>
  <si>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</si>
  <si>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</si>
  <si>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</si>
  <si>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</si>
  <si>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</si>
  <si>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</si>
  <si>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</si>
  <si>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</si>
  <si>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</si>
  <si>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</si>
  <si>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</si>
  <si>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</si>
  <si>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</si>
  <si>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</si>
  <si>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</si>
  <si>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</si>
  <si>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</si>
  <si>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</si>
  <si>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</si>
  <si>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</si>
  <si>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</si>
  <si>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</si>
  <si>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</si>
  <si>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</si>
  <si>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</si>
  <si>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</si>
  <si>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</si>
  <si>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</si>
  <si>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</si>
  <si>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</si>
  <si>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</si>
  <si>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</si>
  <si>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</si>
  <si>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</si>
  <si>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</si>
  <si>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</si>
  <si>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</si>
  <si>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</si>
  <si>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</si>
  <si>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</si>
  <si>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</si>
  <si>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</si>
  <si>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</si>
  <si>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</si>
  <si>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</si>
  <si>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</si>
  <si>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</si>
  <si>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</si>
  <si>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</si>
  <si>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</si>
  <si>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</si>
  <si>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</si>
  <si>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</si>
  <si>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</si>
  <si>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</si>
  <si>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</si>
  <si>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</si>
  <si>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</si>
  <si>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</si>
  <si>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</si>
  <si>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</si>
  <si>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</si>
  <si>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</si>
  <si>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</si>
  <si>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</si>
  <si>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</si>
  <si>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</si>
  <si>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</si>
  <si>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</si>
  <si>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</si>
  <si>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</si>
  <si>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</si>
  <si>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</si>
  <si>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</si>
  <si>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</si>
  <si>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</si>
  <si>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</si>
  <si>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</si>
  <si>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</si>
  <si>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</si>
  <si>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</si>
  <si>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</si>
  <si>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</si>
  <si>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</si>
  <si>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</si>
  <si>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</si>
  <si>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</si>
  <si>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</si>
  <si>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</si>
  <si>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</si>
  <si>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</si>
  <si>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</si>
  <si>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</si>
  <si>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</si>
  <si>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</si>
  <si>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</si>
  <si>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</si>
  <si>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</si>
  <si>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</si>
  <si>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</si>
  <si>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</si>
  <si>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</si>
  <si>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</si>
  <si>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</si>
  <si>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</si>
  <si>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</si>
  <si>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</si>
  <si>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</si>
  <si>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</si>
  <si>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</si>
  <si>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</si>
  <si>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</si>
  <si>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</si>
  <si>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</si>
  <si>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</si>
  <si>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</si>
  <si>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</si>
  <si>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</si>
  <si>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</si>
  <si>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</si>
  <si>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</si>
  <si>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</si>
  <si>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</si>
  <si>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</si>
  <si>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</si>
  <si>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</si>
  <si>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</si>
  <si>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</si>
  <si>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</si>
  <si>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</si>
  <si>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</si>
  <si>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</si>
  <si>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</si>
  <si>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</si>
  <si>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</si>
  <si>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</si>
  <si>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</si>
  <si>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</si>
  <si>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</si>
  <si>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</si>
  <si>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</si>
  <si>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</si>
  <si>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</si>
  <si>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</si>
  <si>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</si>
  <si>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</si>
  <si>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</si>
  <si>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</si>
  <si>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</si>
  <si>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</si>
  <si>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</si>
  <si>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</si>
  <si>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</si>
  <si>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</si>
  <si>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</si>
  <si>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</si>
  <si>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</si>
  <si>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</si>
  <si>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</si>
  <si>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</si>
  <si>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</si>
  <si>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</si>
  <si>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</si>
  <si>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</si>
  <si>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</si>
  <si>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</si>
  <si>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</si>
  <si>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</si>
  <si>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</si>
  <si>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</si>
  <si>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</si>
  <si>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</si>
  <si>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</si>
  <si>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</si>
  <si>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</si>
  <si>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</si>
  <si>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</si>
  <si>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</si>
  <si>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</si>
  <si>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</si>
  <si>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</si>
  <si>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</si>
  <si>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</si>
  <si>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</si>
  <si>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</si>
  <si>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</si>
  <si>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</si>
  <si>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</si>
  <si>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</si>
  <si>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</si>
  <si>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</si>
  <si>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</si>
  <si>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</si>
  <si>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</si>
  <si>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</si>
  <si>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</si>
  <si>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</si>
  <si>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</si>
  <si>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</si>
  <si>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</si>
  <si>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</si>
  <si>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</si>
  <si>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</si>
  <si>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</si>
  <si>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</si>
  <si>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</si>
  <si>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</si>
  <si>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</si>
  <si>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</si>
  <si>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</si>
  <si>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</si>
  <si>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</si>
  <si>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</si>
  <si>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</si>
  <si>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</si>
  <si>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</si>
  <si>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</si>
  <si>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</si>
  <si>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</si>
  <si>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</si>
  <si>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</si>
  <si>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</si>
  <si>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</si>
  <si>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</si>
  <si>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</si>
  <si>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</si>
  <si>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</si>
  <si>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</si>
  <si>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</si>
  <si>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</si>
  <si>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</si>
  <si>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</si>
  <si>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</si>
  <si>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</si>
  <si>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</si>
  <si>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</si>
  <si>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</si>
  <si>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</si>
  <si>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</si>
  <si>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</si>
  <si>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</si>
  <si>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</si>
  <si>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</si>
  <si>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</si>
  <si>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</si>
  <si>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</si>
  <si>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</si>
  <si>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</si>
  <si>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</si>
  <si>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</si>
  <si>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</si>
  <si>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</si>
  <si>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</si>
  <si>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</si>
  <si>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</si>
  <si>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</si>
  <si>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</si>
  <si>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</si>
  <si>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</si>
  <si>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</si>
  <si>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</si>
  <si>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</si>
  <si>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</si>
  <si>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</si>
  <si>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</si>
  <si>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</si>
  <si>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</si>
  <si>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</si>
  <si>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</si>
  <si>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</si>
  <si>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</si>
  <si>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</si>
  <si>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</si>
  <si>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</si>
  <si>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</si>
  <si>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</si>
  <si>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</si>
  <si>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</si>
  <si>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</si>
  <si>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</si>
  <si>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</si>
  <si>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</si>
  <si>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</si>
  <si>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</si>
  <si>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</si>
  <si>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</si>
  <si>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</si>
  <si>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</si>
  <si>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</si>
  <si>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</si>
  <si>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</si>
  <si>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</si>
  <si>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Robert Moore</t>
  </si>
  <si>
    <t>James Aldridge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</si>
</sst>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9"/>
      <color indexed="81"/>
      <name val="Tahoma"/>
      <charset val="1"/>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91">
    <dxf>
      <fill>
        <patternFill>
          <bgColor rgb="FFFFFFCC"/>
        </patternFill>
      </fill>
    </dxf>
    <dxf>
      <font>
        <color rgb="FF9C0006"/>
      </font>
      <fill>
        <patternFill patternType="solid">
          <fgColor rgb="FFFFC7CE"/>
          <bgColor rgb="FFFFC7CE"/>
        </patternFill>
      </fill>
    </dxf>
    <dxf>
      <fill>
        <patternFill>
          <bgColor rgb="FFFFFFCC"/>
        </patternFill>
      </fill>
    </dxf>
    <dxf>
      <font>
        <color rgb="FF9C0006"/>
      </font>
      <fill>
        <patternFill patternType="solid">
          <fgColor rgb="FFFFC7CE"/>
          <bgColor rgb="FFFFC7CE"/>
        </patternFill>
      </fill>
    </dxf>
    <dxf>
      <fill>
        <patternFill>
          <bgColor rgb="FFFFFFCC"/>
        </patternFill>
      </fill>
    </dxf>
    <dxf>
      <font>
        <color rgb="FF9C0006"/>
      </font>
      <fill>
        <patternFill patternType="solid">
          <fgColor rgb="FFFFC7CE"/>
          <bgColor rgb="FFFFC7CE"/>
        </patternFill>
      </fill>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90"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5" workbookViewId="0">
      <selection activeCell="C36" sqref="C3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IF(ISBLANK(B4),IF(ISBLANK(A4),"",A4),_xlfn.CONCAT(A4," (",B4,")"))</f>
        <v>David Marshall (Bluelight CC)</v>
      </c>
      <c r="H4" t="s">
        <v>473</v>
      </c>
    </row>
    <row r="5" spans="1:8" ht="14.25">
      <c r="A5" t="s">
        <v>474</v>
      </c>
      <c r="B5" t="s">
        <v>475</v>
      </c>
      <c r="C5" s="36" t="str">
        <f>IF(ISBLANK(B5),IF(ISBLANK(A5),"",A5),_xlfn.CONCAT(A5," (",B5,")"))</f>
        <v>John Capel (Coalville Wheelers)</v>
      </c>
    </row>
    <row r="6" spans="1:8" ht="14.25">
      <c r="A6" t="s">
        <v>476</v>
      </c>
      <c r="B6" t="s">
        <v>475</v>
      </c>
      <c r="C6" s="36" t="str">
        <f>IF(ISBLANK(B6),IF(ISBLANK(A6),"",A6),_xlfn.CONCAT(A6," (",B6,")"))</f>
        <v>Pamela Moore (Coalville Wheelers)</v>
      </c>
      <c r="D6" t="s">
        <v>372</v>
      </c>
    </row>
    <row r="7" spans="1:8" ht="14.25">
      <c r="A7" t="s">
        <v>477</v>
      </c>
      <c r="B7" t="s">
        <v>478</v>
      </c>
      <c r="C7" s="36" t="str">
        <f>IF(ISBLANK(B7),IF(ISBLANK(A7),"",A7),_xlfn.CONCAT(A7," (",B7,")"))</f>
        <v>Jayne Mumford (W) (Cov Tri)</v>
      </c>
      <c r="D7" t="s">
        <v>372</v>
      </c>
    </row>
    <row r="8" spans="1:8" ht="14.25">
      <c r="A8" t="s">
        <v>479</v>
      </c>
      <c r="B8" t="s">
        <v>478</v>
      </c>
      <c r="C8" s="36" t="str">
        <f>IF(ISBLANK(B8),IF(ISBLANK(A8),"",A8),_xlfn.CONCAT(A8," (",B8,")"))</f>
        <v>Simon Clarke (Cov Tri)</v>
      </c>
    </row>
    <row r="9" spans="1:8" ht="14.25">
      <c r="A9" t="s">
        <v>480</v>
      </c>
      <c r="B9" t="s">
        <v>481</v>
      </c>
      <c r="C9" s="36" t="str">
        <f>IF(ISBLANK(B9),IF(ISBLANK(A9),"",A9),_xlfn.CONCAT(A9," (",B9,")"))</f>
        <v>Lydia Baxter (FTP Fusion)</v>
      </c>
      <c r="D9" t="s">
        <v>372</v>
      </c>
    </row>
    <row r="10" spans="1:8" ht="14.25">
      <c r="A10" t="s">
        <v>482</v>
      </c>
      <c r="B10" t="s">
        <v>397</v>
      </c>
      <c r="C10" s="36" t="str">
        <f>IF(ISBLANK(B10),IF(ISBLANK(A10),"",A10),_xlfn.CONCAT(A10," (",B10,")"))</f>
        <v>Andy Thomas (HCRC)</v>
      </c>
    </row>
    <row r="11" spans="1:8" ht="14.25">
      <c r="A11" t="s">
        <v>483</v>
      </c>
      <c r="B11" t="s">
        <v>397</v>
      </c>
      <c r="C11" s="36" t="str">
        <f>IF(ISBLANK(B11),IF(ISBLANK(A11),"",A11),_xlfn.CONCAT(A11," (",B11,")"))</f>
        <v>Colin Parkinson (SWRC) (HCRC)</v>
      </c>
    </row>
    <row r="12" spans="1:8" ht="14.25">
      <c r="A12" t="s">
        <v>484</v>
      </c>
      <c r="B12" t="s">
        <v>397</v>
      </c>
      <c r="C12" s="36" t="str">
        <f>IF(ISBLANK(B12),IF(ISBLANK(A12),"",A12),_xlfn.CONCAT(A12," (",B12,")"))</f>
        <v>Joe Murray (M I Racing) (HCRC)</v>
      </c>
    </row>
    <row r="13" spans="1:8" ht="14.25">
      <c r="A13" t="s">
        <v>485</v>
      </c>
      <c r="B13" t="s">
        <v>397</v>
      </c>
      <c r="C13" s="36" t="str">
        <f>IF(ISBLANK(B13),IF(ISBLANK(A13),"",A13),_xlfn.CONCAT(A13," (",B13,")"))</f>
        <v>Mick Wills (M I Racing) (HCRC)</v>
      </c>
    </row>
    <row r="14" spans="1:8" ht="14.25">
      <c r="A14" t="s">
        <v>486</v>
      </c>
      <c r="B14" t="s">
        <v>391</v>
      </c>
      <c r="C14" s="36" t="str">
        <f>IF(ISBLANK(B14),IF(ISBLANK(A14),"",A14),_xlfn.CONCAT(A14," (",B14,")"))</f>
        <v>Andy King (KCC)</v>
      </c>
    </row>
    <row r="15" spans="1:8" ht="14.25">
      <c r="A15" t="s">
        <v>599</v>
      </c>
      <c r="B15" t="s">
        <v>391</v>
      </c>
      <c r="C15" s="36" t="str">
        <f>IF(ISBLANK(B15),IF(ISBLANK(A15),"",A15),_xlfn.CONCAT(A15," (",B15,")"))</f>
        <v>Evan Collett (G Fox) (KCC)</v>
      </c>
    </row>
    <row r="16" spans="1:8" ht="14.25">
      <c r="A16" t="s">
        <v>631</v>
      </c>
      <c r="B16" t="s">
        <v>391</v>
      </c>
      <c r="C16" s="36" t="str">
        <f>IF(ISBLANK(B16),IF(ISBLANK(A16),"",A16),_xlfn.CONCAT(A16," (",B16,")"))</f>
        <v>Ian Bird (KCC)</v>
      </c>
    </row>
    <row r="17" spans="1:4" ht="14.25">
      <c r="A17" t="s">
        <v>487</v>
      </c>
      <c r="B17" t="s">
        <v>391</v>
      </c>
      <c r="C17" s="36" t="str">
        <f>IF(ISBLANK(B17),IF(ISBLANK(A17),"",A17),_xlfn.CONCAT(A17," (",B17,")"))</f>
        <v>Josh Brown (KCC)</v>
      </c>
    </row>
    <row r="18" spans="1:4" ht="14.25">
      <c r="A18" t="s">
        <v>592</v>
      </c>
      <c r="B18" t="s">
        <v>391</v>
      </c>
      <c r="C18" s="36" t="str">
        <f>IF(ISBLANK(B18),IF(ISBLANK(A18),"",A18),_xlfn.CONCAT(A18," (",B18,")"))</f>
        <v>Maria Cayford (KCC)</v>
      </c>
      <c r="D18" t="s">
        <v>372</v>
      </c>
    </row>
    <row r="19" spans="1:4" ht="14.25">
      <c r="A19" t="s">
        <v>630</v>
      </c>
      <c r="B19" t="s">
        <v>391</v>
      </c>
      <c r="C19" s="36" t="str">
        <f>IF(ISBLANK(B19),IF(ISBLANK(A19),"",A19),_xlfn.CONCAT(A19," (",B19,")"))</f>
        <v>Michael Wheeler (KCC)</v>
      </c>
    </row>
    <row r="20" spans="1:4" ht="14.25">
      <c r="A20" t="s">
        <v>488</v>
      </c>
      <c r="B20" t="s">
        <v>400</v>
      </c>
      <c r="C20" s="36" t="str">
        <f>IF(ISBLANK(B20),IF(ISBLANK(A20),"",A20),_xlfn.CONCAT(A20," (",B20,")"))</f>
        <v>Harriet Hughes (LFCC)</v>
      </c>
      <c r="D20" t="s">
        <v>372</v>
      </c>
    </row>
    <row r="21" spans="1:4" ht="14.25">
      <c r="A21" t="s">
        <v>489</v>
      </c>
      <c r="B21" t="s">
        <v>400</v>
      </c>
      <c r="C21" s="36" t="str">
        <f>IF(ISBLANK(B21),IF(ISBLANK(A21),"",A21),_xlfn.CONCAT(A21," (",B21,")"))</f>
        <v>Mat Mabe (LFCC)</v>
      </c>
    </row>
    <row r="22" spans="1:4" ht="14.25">
      <c r="A22" t="s">
        <v>490</v>
      </c>
      <c r="B22" t="s">
        <v>400</v>
      </c>
      <c r="C22" s="36" t="str">
        <f>IF(ISBLANK(B22),IF(ISBLANK(A22),"",A22),_xlfn.CONCAT(A22," (",B22,")"))</f>
        <v>Matt Finch (LFCC)</v>
      </c>
    </row>
    <row r="23" spans="1:4" ht="14.25">
      <c r="A23" t="s">
        <v>491</v>
      </c>
      <c r="B23" t="s">
        <v>400</v>
      </c>
      <c r="C23" s="36" t="str">
        <f>IF(ISBLANK(B23),IF(ISBLANK(A23),"",A23),_xlfn.CONCAT(A23," (",B23,")"))</f>
        <v>Morris Mabe (LFCC)</v>
      </c>
    </row>
    <row r="24" spans="1:4" ht="14.25">
      <c r="A24" t="s">
        <v>492</v>
      </c>
      <c r="B24" t="s">
        <v>400</v>
      </c>
      <c r="C24" s="36" t="str">
        <f>IF(ISBLANK(B24),IF(ISBLANK(A24),"",A24),_xlfn.CONCAT(A24," (",B24,")"))</f>
        <v>Sam Nettel (LFCC)</v>
      </c>
    </row>
    <row r="25" spans="1:4" ht="14.25">
      <c r="A25" t="s">
        <v>493</v>
      </c>
      <c r="B25" t="s">
        <v>400</v>
      </c>
      <c r="C25" s="36" t="str">
        <f>IF(ISBLANK(B25),IF(ISBLANK(A25),"",A25),_xlfn.CONCAT(A25," (",B25,")"))</f>
        <v>Talles Medevives (LFCC)</v>
      </c>
    </row>
    <row r="26" spans="1:4" ht="14.25">
      <c r="A26" t="s">
        <v>494</v>
      </c>
      <c r="B26" t="s">
        <v>495</v>
      </c>
      <c r="C26" s="36" t="str">
        <f>IF(ISBLANK(B26),IF(ISBLANK(A26),"",A26),_xlfn.CONCAT(A26," (",B26,")"))</f>
        <v>Dean Tacey (LRC)</v>
      </c>
    </row>
    <row r="27" spans="1:4" ht="14.25">
      <c r="A27" t="s">
        <v>496</v>
      </c>
      <c r="B27" t="s">
        <v>497</v>
      </c>
      <c r="C27" s="36" t="str">
        <f>IF(ISBLANK(B27),IF(ISBLANK(A27),"",A27),_xlfn.CONCAT(A27," (",B27,")"))</f>
        <v>Chris Booth (MOCC)</v>
      </c>
    </row>
    <row r="28" spans="1:4" ht="14.25">
      <c r="A28" t="s">
        <v>498</v>
      </c>
      <c r="B28" t="s">
        <v>497</v>
      </c>
      <c r="C28" s="36" t="str">
        <f>IF(ISBLANK(B28),IF(ISBLANK(A28),"",A28),_xlfn.CONCAT(A28," (",B28,")"))</f>
        <v>David Cooper (MOCC)</v>
      </c>
    </row>
    <row r="29" spans="1:4" ht="14.25">
      <c r="A29" t="s">
        <v>499</v>
      </c>
      <c r="B29" t="s">
        <v>497</v>
      </c>
      <c r="C29" s="36" t="str">
        <f>IF(ISBLANK(B29),IF(ISBLANK(A29),"",A29),_xlfn.CONCAT(A29," (",B29,")"))</f>
        <v>Jamie Haines (MOCC)</v>
      </c>
    </row>
    <row r="30" spans="1:4" ht="14.25">
      <c r="A30" t="s">
        <v>500</v>
      </c>
      <c r="B30" t="s">
        <v>497</v>
      </c>
      <c r="C30" s="36" t="str">
        <f>IF(ISBLANK(B30),IF(ISBLANK(A30),"",A30),_xlfn.CONCAT(A30," (",B30,")"))</f>
        <v>Laura Ayers (W) (MOCC)</v>
      </c>
      <c r="D30" t="s">
        <v>372</v>
      </c>
    </row>
    <row r="31" spans="1:4" ht="14.25">
      <c r="A31" t="s">
        <v>502</v>
      </c>
      <c r="B31" t="s">
        <v>503</v>
      </c>
      <c r="C31" s="36" t="str">
        <f>IF(ISBLANK(B31),IF(ISBLANK(A31),"",A31),_xlfn.CONCAT(A31," (",B31,")"))</f>
        <v>Lewis Cooper (RAF Tri)</v>
      </c>
    </row>
    <row r="32" spans="1:4" ht="14.25">
      <c r="A32" t="s">
        <v>504</v>
      </c>
      <c r="B32" t="s">
        <v>394</v>
      </c>
      <c r="C32" s="36" t="str">
        <f>IF(ISBLANK(B32),IF(ISBLANK(A32),"",A32),_xlfn.CONCAT(A32," (",B32,")"))</f>
        <v>Alex Whitmore (Ratae)</v>
      </c>
    </row>
    <row r="33" spans="1:4" ht="14.25">
      <c r="A33" t="s">
        <v>505</v>
      </c>
      <c r="B33" t="s">
        <v>394</v>
      </c>
      <c r="C33" s="36" t="str">
        <f>IF(ISBLANK(B33),IF(ISBLANK(A33),"",A33),_xlfn.CONCAT(A33," (",B33,")"))</f>
        <v>Brian Lincoln (Ratae)</v>
      </c>
    </row>
    <row r="34" spans="1:4" ht="14.25">
      <c r="A34" t="s">
        <v>506</v>
      </c>
      <c r="B34" t="s">
        <v>394</v>
      </c>
      <c r="C34" s="36" t="str">
        <f>IF(ISBLANK(B34),IF(ISBLANK(A34),"",A34),_xlfn.CONCAT(A34," (",B34,")"))</f>
        <v>Chris Bonsor (Ratae)</v>
      </c>
    </row>
    <row r="35" spans="1:4" ht="14.25">
      <c r="A35" t="s">
        <v>507</v>
      </c>
      <c r="B35" t="s">
        <v>394</v>
      </c>
      <c r="C35" s="36" t="str">
        <f>IF(ISBLANK(B35),IF(ISBLANK(A35),"",A35),_xlfn.CONCAT(A35," (",B35,")"))</f>
        <v>Chris Spray (Ratae)</v>
      </c>
    </row>
    <row r="36" spans="1:4" ht="14.25">
      <c r="A36" t="s">
        <v>508</v>
      </c>
      <c r="B36" t="s">
        <v>394</v>
      </c>
      <c r="C36" s="36" t="str">
        <f>IF(ISBLANK(B36),IF(ISBLANK(A36),"",A36),_xlfn.CONCAT(A36," (",B36,")"))</f>
        <v>Debbie Cooper (Ratae)</v>
      </c>
      <c r="D36" t="s">
        <v>372</v>
      </c>
    </row>
    <row r="37" spans="1:4" ht="14.25">
      <c r="A37" t="s">
        <v>509</v>
      </c>
      <c r="B37" t="s">
        <v>394</v>
      </c>
      <c r="C37" s="36" t="str">
        <f>IF(ISBLANK(B37),IF(ISBLANK(A37),"",A37),_xlfn.CONCAT(A37," (",B37,")"))</f>
        <v>Ed Watson (Ratae)</v>
      </c>
    </row>
    <row r="38" spans="1:4" ht="14.25">
      <c r="A38" t="s">
        <v>584</v>
      </c>
      <c r="B38" s="63" t="s">
        <v>394</v>
      </c>
      <c r="C38" s="36" t="str">
        <f>IF(ISBLANK(B38),IF(ISBLANK(A38),"",A38),_xlfn.CONCAT(A38," (",B38,")"))</f>
        <v>Geoff Stanbridge (Ratae)</v>
      </c>
    </row>
    <row r="39" spans="1:4" ht="14.25">
      <c r="A39" t="s">
        <v>510</v>
      </c>
      <c r="B39" t="s">
        <v>394</v>
      </c>
      <c r="C39" s="36" t="str">
        <f>IF(ISBLANK(B39),IF(ISBLANK(A39),"",A39),_xlfn.CONCAT(A39," (",B39,")"))</f>
        <v>Jonathon Clarke (Ratae)</v>
      </c>
      <c r="D39" s="36"/>
    </row>
    <row r="40" spans="1:4" ht="14.25">
      <c r="A40" t="s">
        <v>511</v>
      </c>
      <c r="B40" t="s">
        <v>394</v>
      </c>
      <c r="C40" s="36" t="str">
        <f>IF(ISBLANK(B40),IF(ISBLANK(A40),"",A40),_xlfn.CONCAT(A40," (",B40,")"))</f>
        <v>Lesley Allden (Ratae)</v>
      </c>
      <c r="D40" t="s">
        <v>372</v>
      </c>
    </row>
    <row r="41" spans="1:4" ht="14.25">
      <c r="A41" t="s">
        <v>512</v>
      </c>
      <c r="B41" t="s">
        <v>394</v>
      </c>
      <c r="C41" s="36" t="str">
        <f>IF(ISBLANK(B41),IF(ISBLANK(A41),"",A41),_xlfn.CONCAT(A41," (",B41,")"))</f>
        <v>Lucy Sturgess (Ratae)</v>
      </c>
      <c r="D41" t="s">
        <v>372</v>
      </c>
    </row>
    <row r="42" spans="1:4" ht="14.25">
      <c r="A42" t="s">
        <v>513</v>
      </c>
      <c r="B42" t="s">
        <v>394</v>
      </c>
      <c r="C42" s="36" t="str">
        <f>IF(ISBLANK(B42),IF(ISBLANK(A42),"",A42),_xlfn.CONCAT(A42," (",B42,")"))</f>
        <v>Mark Marmoy (Ratae)</v>
      </c>
    </row>
    <row r="43" spans="1:4" ht="14.25">
      <c r="A43" t="s">
        <v>514</v>
      </c>
      <c r="B43" t="s">
        <v>394</v>
      </c>
      <c r="C43" s="36" t="str">
        <f>IF(ISBLANK(B43),IF(ISBLANK(A43),"",A43),_xlfn.CONCAT(A43," (",B43,")"))</f>
        <v>Mark Newton (Ratae)</v>
      </c>
    </row>
    <row r="44" spans="1:4" ht="14.25">
      <c r="A44" t="s">
        <v>515</v>
      </c>
      <c r="B44" t="s">
        <v>394</v>
      </c>
      <c r="C44" s="36" t="str">
        <f>IF(ISBLANK(B44),IF(ISBLANK(A44),"",A44),_xlfn.CONCAT(A44," (",B44,")"))</f>
        <v>Marshall Briggs (Ratae)</v>
      </c>
    </row>
    <row r="45" spans="1:4" ht="14.25">
      <c r="A45" t="s">
        <v>516</v>
      </c>
      <c r="B45" t="s">
        <v>394</v>
      </c>
      <c r="C45" s="36" t="str">
        <f>IF(ISBLANK(B45),IF(ISBLANK(A45),"",A45),_xlfn.CONCAT(A45," (",B45,")"))</f>
        <v>Natalie Harris (Ratae)</v>
      </c>
      <c r="D45" t="s">
        <v>372</v>
      </c>
    </row>
    <row r="46" spans="1:4" ht="14.25">
      <c r="A46" t="s">
        <v>517</v>
      </c>
      <c r="B46" t="s">
        <v>394</v>
      </c>
      <c r="C46" s="36" t="str">
        <f>IF(ISBLANK(B46),IF(ISBLANK(A46),"",A46),_xlfn.CONCAT(A46," (",B46,")"))</f>
        <v>Paul Eden (Ratae)</v>
      </c>
    </row>
    <row r="47" spans="1:4" ht="14.25">
      <c r="A47" t="s">
        <v>518</v>
      </c>
      <c r="B47" t="s">
        <v>394</v>
      </c>
      <c r="C47" s="36" t="str">
        <f>IF(ISBLANK(B47),IF(ISBLANK(A47),"",A47),_xlfn.CONCAT(A47," (",B47,")"))</f>
        <v>Sadie Murphy (Ratae)</v>
      </c>
      <c r="D47" t="s">
        <v>372</v>
      </c>
    </row>
    <row r="48" spans="1:4" ht="14.25">
      <c r="A48" t="s">
        <v>519</v>
      </c>
      <c r="B48" t="s">
        <v>394</v>
      </c>
      <c r="C48" s="36" t="str">
        <f>IF(ISBLANK(B48),IF(ISBLANK(A48),"",A48),_xlfn.CONCAT(A48," (",B48,")"))</f>
        <v>Steve Pearce (Ratae)</v>
      </c>
    </row>
    <row r="49" spans="1:4" ht="14.25">
      <c r="A49" t="s">
        <v>520</v>
      </c>
      <c r="B49" t="s">
        <v>385</v>
      </c>
      <c r="C49" s="36" t="str">
        <f>IF(ISBLANK(B49),IF(ISBLANK(A49),"",A49),_xlfn.CONCAT(A49," (",B49,")"))</f>
        <v>Adam Wells (RFW)</v>
      </c>
    </row>
    <row r="50" spans="1:4" ht="14.25">
      <c r="A50" t="s">
        <v>596</v>
      </c>
      <c r="B50" t="s">
        <v>385</v>
      </c>
      <c r="C50" s="36" t="str">
        <f>IF(ISBLANK(B50),IF(ISBLANK(A50),"",A50),_xlfn.CONCAT(A50," (",B50,")"))</f>
        <v>Alex Barrowman (RFW)</v>
      </c>
    </row>
    <row r="51" spans="1:4" ht="14.25">
      <c r="A51" t="s">
        <v>521</v>
      </c>
      <c r="B51" t="s">
        <v>385</v>
      </c>
      <c r="C51" s="36" t="str">
        <f>IF(ISBLANK(B51),IF(ISBLANK(A51),"",A51),_xlfn.CONCAT(A51," (",B51,")"))</f>
        <v>Anne Gilhespy (RFW)</v>
      </c>
      <c r="D51" t="s">
        <v>372</v>
      </c>
    </row>
    <row r="52" spans="1:4" ht="14.25">
      <c r="A52" t="s">
        <v>522</v>
      </c>
      <c r="B52" t="s">
        <v>385</v>
      </c>
      <c r="C52" s="36" t="str">
        <f>IF(ISBLANK(B52),IF(ISBLANK(A52),"",A52),_xlfn.CONCAT(A52," (",B52,")"))</f>
        <v>Chris Fowler (RFW)</v>
      </c>
    </row>
    <row r="53" spans="1:4" ht="14.25">
      <c r="A53" t="s">
        <v>523</v>
      </c>
      <c r="B53" t="s">
        <v>385</v>
      </c>
      <c r="C53" s="36" t="str">
        <f>IF(ISBLANK(B53),IF(ISBLANK(A53),"",A53),_xlfn.CONCAT(A53," (",B53,")"))</f>
        <v>Dan Hempkin (RFW)</v>
      </c>
    </row>
    <row r="54" spans="1:4" ht="14.25">
      <c r="A54" t="s">
        <v>524</v>
      </c>
      <c r="B54" t="s">
        <v>385</v>
      </c>
      <c r="C54" s="36" t="str">
        <f>IF(ISBLANK(B54),IF(ISBLANK(A54),"",A54),_xlfn.CONCAT(A54," (",B54,")"))</f>
        <v>David Hill (RFW)</v>
      </c>
    </row>
    <row r="55" spans="1:4" ht="14.25">
      <c r="A55" t="s">
        <v>640</v>
      </c>
      <c r="B55" t="s">
        <v>385</v>
      </c>
      <c r="C55" s="36" t="str">
        <f>IF(ISBLANK(B55),IF(ISBLANK(A55),"",A55),_xlfn.CONCAT(A55," (",B55,")"))</f>
        <v>Ethan Mitchell-Clarke (Team Bottrill Nopinz) (RFW)</v>
      </c>
    </row>
    <row r="56" spans="1:4" ht="14.25">
      <c r="A56" t="s">
        <v>525</v>
      </c>
      <c r="B56" t="s">
        <v>385</v>
      </c>
      <c r="C56" s="36" t="str">
        <f>IF(ISBLANK(B56),IF(ISBLANK(A56),"",A56),_xlfn.CONCAT(A56," (",B56,")"))</f>
        <v>Giles Cooper (RFW)</v>
      </c>
    </row>
    <row r="57" spans="1:4" ht="14.25">
      <c r="A57" t="s">
        <v>591</v>
      </c>
      <c r="B57" t="s">
        <v>385</v>
      </c>
      <c r="C57" s="36" t="str">
        <f>IF(ISBLANK(B57),IF(ISBLANK(A57),"",A57),_xlfn.CONCAT(A57," (",B57,")"))</f>
        <v>Graeme Hall (RFW)</v>
      </c>
    </row>
    <row r="58" spans="1:4" ht="14.25">
      <c r="A58" t="s">
        <v>526</v>
      </c>
      <c r="B58" t="s">
        <v>385</v>
      </c>
      <c r="C58" s="36" t="str">
        <f>IF(ISBLANK(B58),IF(ISBLANK(A58),"",A58),_xlfn.CONCAT(A58," (",B58,")"))</f>
        <v>Gregg Payne (RFW)</v>
      </c>
    </row>
    <row r="59" spans="1:4" ht="14.25">
      <c r="A59" t="s">
        <v>595</v>
      </c>
      <c r="B59" t="s">
        <v>385</v>
      </c>
      <c r="C59" s="36" t="str">
        <f>IF(ISBLANK(B59),IF(ISBLANK(A59),"",A59),_xlfn.CONCAT(A59," (",B59,")"))</f>
        <v>Hudson Hendry (Ride Revolution) (RFW)</v>
      </c>
    </row>
    <row r="60" spans="1:4" ht="14.25">
      <c r="A60" t="s">
        <v>597</v>
      </c>
      <c r="B60" t="s">
        <v>385</v>
      </c>
      <c r="C60" s="36" t="str">
        <f>IF(ISBLANK(B60),IF(ISBLANK(A60),"",A60),_xlfn.CONCAT(A60," (",B60,")"))</f>
        <v>Laurence Noble (RFW)</v>
      </c>
    </row>
    <row r="61" spans="1:4" ht="14.25">
      <c r="A61" t="s">
        <v>527</v>
      </c>
      <c r="B61" t="s">
        <v>385</v>
      </c>
      <c r="C61" s="36" t="str">
        <f>IF(ISBLANK(B61),IF(ISBLANK(A61),"",A61),_xlfn.CONCAT(A61," (",B61,")"))</f>
        <v>Lynne Scofield (RFW)</v>
      </c>
      <c r="D61" t="s">
        <v>372</v>
      </c>
    </row>
    <row r="62" spans="1:4" ht="14.25">
      <c r="A62" t="s">
        <v>528</v>
      </c>
      <c r="B62" t="s">
        <v>385</v>
      </c>
      <c r="C62" s="36" t="str">
        <f>IF(ISBLANK(B62),IF(ISBLANK(A62),"",A62),_xlfn.CONCAT(A62," (",B62,")"))</f>
        <v>Lynne Wilkinson-Scofield (RFW)</v>
      </c>
      <c r="D62" t="s">
        <v>372</v>
      </c>
    </row>
    <row r="63" spans="1:4" ht="14.25">
      <c r="A63" t="s">
        <v>529</v>
      </c>
      <c r="B63" t="s">
        <v>385</v>
      </c>
      <c r="C63" s="36" t="str">
        <f>IF(ISBLANK(B63),IF(ISBLANK(A63),"",A63),_xlfn.CONCAT(A63," (",B63,")"))</f>
        <v>Michael Carter (RFW)</v>
      </c>
    </row>
    <row r="64" spans="1:4" ht="14.25">
      <c r="A64" s="63" t="s">
        <v>580</v>
      </c>
      <c r="B64" t="s">
        <v>385</v>
      </c>
      <c r="C64" s="36" t="str">
        <f>IF(ISBLANK(B64),IF(ISBLANK(A64),"",A64),_xlfn.CONCAT(A64," (",B64,")"))</f>
        <v>Mike Deely (G Fox) (RFW)</v>
      </c>
    </row>
    <row r="65" spans="1:4" ht="14.25">
      <c r="A65" t="s">
        <v>517</v>
      </c>
      <c r="B65" t="s">
        <v>385</v>
      </c>
      <c r="C65" s="36" t="str">
        <f>IF(ISBLANK(B65),IF(ISBLANK(A65),"",A65),_xlfn.CONCAT(A65," (",B65,")"))</f>
        <v>Paul Eden (RFW)</v>
      </c>
    </row>
    <row r="66" spans="1:4" ht="14.25">
      <c r="A66" t="s">
        <v>530</v>
      </c>
      <c r="B66" t="s">
        <v>385</v>
      </c>
      <c r="C66" s="36" t="str">
        <f>IF(ISBLANK(B66),IF(ISBLANK(A66),"",A66),_xlfn.CONCAT(A66," (",B66,")"))</f>
        <v>Paul Russell (RFW)</v>
      </c>
    </row>
    <row r="67" spans="1:4" ht="14.25">
      <c r="A67" t="s">
        <v>531</v>
      </c>
      <c r="B67" t="s">
        <v>385</v>
      </c>
      <c r="C67" s="36" t="str">
        <f>IF(ISBLANK(B67),IF(ISBLANK(A67),"",A67),_xlfn.CONCAT(A67," (",B67,")"))</f>
        <v>Paul Ryan (RFW)</v>
      </c>
    </row>
    <row r="68" spans="1:4" ht="14.25">
      <c r="A68" t="s">
        <v>641</v>
      </c>
      <c r="B68" t="s">
        <v>385</v>
      </c>
      <c r="C68" s="36" t="str">
        <f>IF(ISBLANK(B68),IF(ISBLANK(A68),"",A68),_xlfn.CONCAT(A68," (",B68,")"))</f>
        <v>Pete Bradshaw (RFW)</v>
      </c>
    </row>
    <row r="69" spans="1:4" ht="14.25">
      <c r="A69" t="s">
        <v>532</v>
      </c>
      <c r="B69" t="s">
        <v>385</v>
      </c>
      <c r="C69" s="36" t="str">
        <f>IF(ISBLANK(B69),IF(ISBLANK(A69),"",A69),_xlfn.CONCAT(A69," (",B69,")"))</f>
        <v>Phil Wilkinson (RFW)</v>
      </c>
    </row>
    <row r="70" spans="1:4" ht="14.25">
      <c r="A70" t="s">
        <v>593</v>
      </c>
      <c r="B70" t="s">
        <v>385</v>
      </c>
      <c r="C70" s="36" t="str">
        <f>IF(ISBLANK(B70),IF(ISBLANK(A70),"",A70),_xlfn.CONCAT(A70," (",B70,")"))</f>
        <v>Steve Coombs (RFW)</v>
      </c>
    </row>
    <row r="71" spans="1:4" ht="14.25">
      <c r="A71" t="s">
        <v>594</v>
      </c>
      <c r="B71" t="s">
        <v>385</v>
      </c>
      <c r="C71" s="36" t="str">
        <f>IF(ISBLANK(B71),IF(ISBLANK(A71),"",A71),_xlfn.CONCAT(A71," (",B71,")"))</f>
        <v>Steve Wickham (RFW)</v>
      </c>
    </row>
    <row r="72" spans="1:4" ht="14.25">
      <c r="A72" t="s">
        <v>534</v>
      </c>
      <c r="B72" t="s">
        <v>535</v>
      </c>
      <c r="C72" s="36" t="str">
        <f>IF(ISBLANK(B72),IF(ISBLANK(A72),"",A72),_xlfn.CONCAT(A72," (",B72,")"))</f>
        <v>Adrian James (Rugby RCC)</v>
      </c>
    </row>
    <row r="73" spans="1:4" ht="14.25">
      <c r="A73" t="s">
        <v>536</v>
      </c>
      <c r="B73" t="s">
        <v>537</v>
      </c>
      <c r="C73" s="36" t="str">
        <f>IF(ISBLANK(B73),IF(ISBLANK(A73),"",A73),_xlfn.CONCAT(A73," (",B73,")"))</f>
        <v>Carl Shaw (Speedhub)</v>
      </c>
    </row>
    <row r="74" spans="1:4" ht="14.25">
      <c r="A74" t="s">
        <v>538</v>
      </c>
      <c r="B74" t="s">
        <v>539</v>
      </c>
      <c r="C74" s="36" t="str">
        <f>IF(ISBLANK(B74),IF(ISBLANK(A74),"",A74),_xlfn.CONCAT(A74," (",B74,")"))</f>
        <v>Oliver Searle (St Ives CC)</v>
      </c>
    </row>
    <row r="75" spans="1:4" ht="14.25">
      <c r="A75" t="s">
        <v>638</v>
      </c>
      <c r="B75" t="s">
        <v>388</v>
      </c>
      <c r="C75" s="36" t="str">
        <f>IF(ISBLANK(B75),IF(ISBLANK(A75),"",A75),_xlfn.CONCAT(A75," (",B75,")"))</f>
        <v>Ed Tarelli (Race Hub) (WVCC)</v>
      </c>
      <c r="D75" s="36"/>
    </row>
    <row r="76" spans="1:4" ht="14.25">
      <c r="A76" t="s">
        <v>637</v>
      </c>
      <c r="B76" t="s">
        <v>388</v>
      </c>
      <c r="C76" s="36" t="str">
        <f>IF(ISBLANK(B76),IF(ISBLANK(A76),"",A76),_xlfn.CONCAT(A76," (",B76,")"))</f>
        <v>Jamie Kershaw (Beeston CC) (WVCC)</v>
      </c>
    </row>
    <row r="77" spans="1:4" ht="14.25">
      <c r="A77" t="s">
        <v>639</v>
      </c>
      <c r="B77" t="s">
        <v>388</v>
      </c>
      <c r="C77" s="36" t="str">
        <f>IF(ISBLANK(B77),IF(ISBLANK(A77),"",A77),_xlfn.CONCAT(A77," (",B77,")"))</f>
        <v>Jennifer Clegg (Team Bottrill Nopinz) (WVCC)</v>
      </c>
      <c r="D77" t="s">
        <v>372</v>
      </c>
    </row>
    <row r="78" spans="1:4" ht="14.25">
      <c r="A78" t="s">
        <v>635</v>
      </c>
      <c r="B78" t="s">
        <v>388</v>
      </c>
      <c r="C78" s="36" t="str">
        <f>IF(ISBLANK(B78),IF(ISBLANK(A78),"",A78),_xlfn.CONCAT(A78," (",B78,")"))</f>
        <v>Leah Cuthbertson (G Fox) (WVCC)</v>
      </c>
      <c r="D78" t="s">
        <v>372</v>
      </c>
    </row>
    <row r="79" spans="1:4" ht="14.25">
      <c r="A79" t="s">
        <v>636</v>
      </c>
      <c r="B79" t="s">
        <v>388</v>
      </c>
      <c r="C79" s="36" t="str">
        <f>IF(ISBLANK(B79),IF(ISBLANK(A79),"",A79),_xlfn.CONCAT(A79," (",B79,")"))</f>
        <v>Ruby Isaac (CAMS Majaco) (WVCC)</v>
      </c>
      <c r="D79" t="s">
        <v>372</v>
      </c>
    </row>
    <row r="80" spans="1:4" ht="14.25">
      <c r="C80" s="36" t="str">
        <f>IF(ISBLANK(B80),IF(ISBLANK(A80),"",A80),_xlfn.CONCAT(A80," (",B80,")"))</f>
        <v/>
      </c>
    </row>
    <row r="81" spans="3:3" ht="14.25">
      <c r="C81" s="36" t="str">
        <f>IF(ISBLANK(B81),IF(ISBLANK(A81),"",A81),_xlfn.CONCAT(A81," (",B81,")"))</f>
        <v/>
      </c>
    </row>
    <row r="82" spans="3:3" ht="14.25">
      <c r="C82" s="36" t="str">
        <f>IF(ISBLANK(B82),IF(ISBLANK(A82),"",A82),_xlfn.CONCAT(A82," (",B82,")"))</f>
        <v/>
      </c>
    </row>
    <row r="83" spans="3:3" ht="14.25">
      <c r="C83" s="36" t="str">
        <f>IF(ISBLANK(B83),IF(ISBLANK(A83),"",A83),_xlfn.CONCAT(A83," (",B83,")"))</f>
        <v/>
      </c>
    </row>
    <row r="84" spans="3:3" ht="14.25">
      <c r="C84" s="36" t="str">
        <f>IF(ISBLANK(B84),IF(ISBLANK(A84),"",A84),_xlfn.CONCAT(A84," (",B84,")"))</f>
        <v/>
      </c>
    </row>
    <row r="85" spans="3:3" ht="14.25">
      <c r="C85" s="36" t="str">
        <f>IF(ISBLANK(B85),IF(ISBLANK(A85),"",A85),_xlfn.CONCAT(A85," (",B85,")"))</f>
        <v/>
      </c>
    </row>
    <row r="86" spans="3:3" ht="14.25">
      <c r="C86" s="36" t="str">
        <f>IF(ISBLANK(B86),IF(ISBLANK(A86),"",A86),_xlfn.CONCAT(A86," (",B86,")"))</f>
        <v/>
      </c>
    </row>
    <row r="87" spans="3:3" ht="14.25">
      <c r="C87" s="36" t="str">
        <f>IF(ISBLANK(B87),IF(ISBLANK(A87),"",A87),_xlfn.CONCAT(A87," (",B87,")"))</f>
        <v/>
      </c>
    </row>
    <row r="88" spans="3:3" ht="14.25">
      <c r="C88" s="36" t="str">
        <f>IF(ISBLANK(B88),IF(ISBLANK(A88),"",A88),_xlfn.CONCAT(A88," (",B88,")"))</f>
        <v/>
      </c>
    </row>
    <row r="89" spans="3:3" ht="14.25">
      <c r="C89" s="36" t="str">
        <f>IF(ISBLANK(B89),IF(ISBLANK(A89),"",A89),_xlfn.CONCAT(A89," (",B89,")"))</f>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94">
    <sortCondition ref="B2:B94"/>
    <sortCondition ref="A2:A94"/>
  </sortState>
  <conditionalFormatting sqref="G2:G4">
    <cfRule type="uniqueValues" dxfId="3" priority="2"/>
  </conditionalFormatting>
  <conditionalFormatting sqref="A2:D89">
    <cfRule type="expression" dxfId="2" priority="1">
      <formula>$B2="WVCC"</formula>
    </cfRule>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9" priority="3">
      <formula>TEXT($C$104,"@")="Y"</formula>
    </cfRule>
  </conditionalFormatting>
  <conditionalFormatting sqref="H2:I101">
    <cfRule type="expression" dxfId="88" priority="2">
      <formula>$J2="X"</formula>
    </cfRule>
  </conditionalFormatting>
  <conditionalFormatting sqref="I2:I101">
    <cfRule type="expression" dxfId="8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6" priority="3">
      <formula>TEXT($C$104,"@")="Y"</formula>
    </cfRule>
  </conditionalFormatting>
  <conditionalFormatting sqref="H2:I101">
    <cfRule type="expression" dxfId="85" priority="2">
      <formula>$J2="X"</formula>
    </cfRule>
  </conditionalFormatting>
  <conditionalFormatting sqref="I2:I101">
    <cfRule type="expression" dxfId="8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tabSelected="1" workbookViewId="0">
      <selection activeCell="A45" sqref="A45"/>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419</v>
      </c>
      <c r="B2" s="47">
        <f t="shared" ref="B2:B33" si="0">IF(A2="","",_xlfn.XLOOKUP(A2,ClubNames,ClubNumbers,_xlfn.XLOOKUP(A2,RoundRobinRiderNames,RoundRobinRiderDecoratedNames,A2)))</f>
        <v>1355</v>
      </c>
      <c r="C2" s="48"/>
      <c r="D2" s="49"/>
      <c r="E2" s="49"/>
      <c r="F2" s="49" t="s">
        <v>549</v>
      </c>
      <c r="G2" s="49"/>
      <c r="H2" s="50" t="str">
        <f>IF($B2="","",IF($J2="X",B2,CONCATENATE(VLOOKUP(B2,Competitors!$A$2:$I$650,3, FALSE)," ",VLOOKUP(B2,Competitors!$A$2:$I$650,2,FALSE))))</f>
        <v>Aubrey Elmer</v>
      </c>
      <c r="I2" s="51">
        <f t="shared" ref="I2:I65" si="1">IF(LEFT($F2,1)="D",UPPER($F2),(C2*3600+D2*60+E2)/86400)</f>
        <v>0</v>
      </c>
      <c r="J2" t="str">
        <f t="shared" ref="J2:J65" si="2">IF(OR(B2="",ISNUMBER(B2)),"","X")</f>
        <v/>
      </c>
    </row>
    <row r="3" spans="1:10" ht="15">
      <c r="A3" s="46" t="s">
        <v>529</v>
      </c>
      <c r="B3" s="47" t="str">
        <f t="shared" si="0"/>
        <v>Michael Carter (RFW)</v>
      </c>
      <c r="C3" s="48"/>
      <c r="D3" s="49"/>
      <c r="E3" s="49"/>
      <c r="F3" s="49" t="s">
        <v>549</v>
      </c>
      <c r="G3" s="49"/>
      <c r="H3" s="50" t="str">
        <f>IF($B3="","",IF($J3="X",B3,CONCATENATE(VLOOKUP(B3,Competitors!$A$2:$I$650,3,FALSE)," ",VLOOKUP(B3,Competitors!$A$2:$I$650,2,FALSE))))</f>
        <v>Michael Carter (RFW)</v>
      </c>
      <c r="I3" s="51">
        <f t="shared" si="1"/>
        <v>0</v>
      </c>
      <c r="J3" t="str">
        <f t="shared" si="2"/>
        <v>X</v>
      </c>
    </row>
    <row r="4" spans="1:10" ht="15">
      <c r="A4" s="46" t="s">
        <v>522</v>
      </c>
      <c r="B4" s="47" t="str">
        <f t="shared" si="0"/>
        <v>Chris Fowler (RFW)</v>
      </c>
      <c r="C4" s="48"/>
      <c r="D4" s="49"/>
      <c r="E4" s="49"/>
      <c r="F4" s="49" t="s">
        <v>549</v>
      </c>
      <c r="G4" s="49"/>
      <c r="H4" s="50" t="str">
        <f>IF($B4="","",IF($J4="X",B4,CONCATENATE(VLOOKUP(B4,Competitors!$A$2:$I$650,3,FALSE)," ",VLOOKUP(B4,Competitors!$A$2:$I$650,2,FALSE))))</f>
        <v>Chris Fowler (RFW)</v>
      </c>
      <c r="I4" s="51">
        <f t="shared" si="1"/>
        <v>0</v>
      </c>
      <c r="J4" t="str">
        <f t="shared" si="2"/>
        <v>X</v>
      </c>
    </row>
    <row r="5" spans="1:10" ht="15">
      <c r="A5" s="46" t="s">
        <v>486</v>
      </c>
      <c r="B5" s="47" t="str">
        <f t="shared" si="0"/>
        <v>Andy King (KCC)</v>
      </c>
      <c r="C5" s="48"/>
      <c r="D5" s="49"/>
      <c r="E5" s="49"/>
      <c r="F5" s="49" t="s">
        <v>549</v>
      </c>
      <c r="G5" s="49"/>
      <c r="H5" s="50" t="str">
        <f>IF($B5="","",IF($J5="X",B5,CONCATENATE(VLOOKUP(B5,Competitors!$A$2:$I$650,3,FALSE)," ",VLOOKUP(B5,Competitors!$A$2:$I$650,2,FALSE))))</f>
        <v>Andy King (KCC)</v>
      </c>
      <c r="I5" s="51">
        <f t="shared" si="1"/>
        <v>0</v>
      </c>
      <c r="J5" t="str">
        <f t="shared" si="2"/>
        <v>X</v>
      </c>
    </row>
    <row r="6" spans="1:10" ht="15">
      <c r="A6" s="46" t="s">
        <v>434</v>
      </c>
      <c r="B6" s="47">
        <f t="shared" si="0"/>
        <v>1109</v>
      </c>
      <c r="C6" s="48"/>
      <c r="D6" s="49"/>
      <c r="E6" s="49"/>
      <c r="F6" s="49" t="s">
        <v>549</v>
      </c>
      <c r="G6" s="49"/>
      <c r="H6" s="50" t="str">
        <f>IF($B6="","",IF($J6="X",B6,CONCATENATE(VLOOKUP(B6,Competitors!$A$2:$I$650,3,FALSE)," ",VLOOKUP(B6,Competitors!$A$2:$I$650,2,FALSE))))</f>
        <v>Stuart Haycox</v>
      </c>
      <c r="I6" s="51">
        <f t="shared" si="1"/>
        <v>0</v>
      </c>
      <c r="J6" t="str">
        <f t="shared" si="2"/>
        <v/>
      </c>
    </row>
    <row r="7" spans="1:10" ht="15">
      <c r="A7" s="46" t="s">
        <v>519</v>
      </c>
      <c r="B7" s="47" t="str">
        <f t="shared" si="0"/>
        <v>Steve Pearce (Ratae)</v>
      </c>
      <c r="C7" s="48"/>
      <c r="D7" s="49"/>
      <c r="E7" s="49"/>
      <c r="F7" s="49"/>
      <c r="G7" s="49"/>
      <c r="H7" s="50" t="str">
        <f>IF($B7="","",IF($J7="X",B7,CONCATENATE(VLOOKUP(B7,Competitors!$A$2:$I$650,3,FALSE)," ",VLOOKUP(B7,Competitors!$A$2:$I$650,2,FALSE))))</f>
        <v>Steve Pearce (Ratae)</v>
      </c>
      <c r="I7" s="51">
        <f t="shared" si="1"/>
        <v>0</v>
      </c>
      <c r="J7" t="str">
        <f t="shared" si="2"/>
        <v>X</v>
      </c>
    </row>
    <row r="8" spans="1:10" ht="15">
      <c r="A8" s="46" t="s">
        <v>414</v>
      </c>
      <c r="B8" s="47">
        <f t="shared" si="0"/>
        <v>989</v>
      </c>
      <c r="C8" s="48"/>
      <c r="D8" s="49"/>
      <c r="E8" s="49"/>
      <c r="F8" s="49" t="s">
        <v>549</v>
      </c>
      <c r="G8" s="49"/>
      <c r="H8" s="50" t="str">
        <f>IF($B8="","",IF($J8="X",B8,CONCATENATE(VLOOKUP(B8,Competitors!$A$2:$I$650,3,FALSE)," ",VLOOKUP(B8,Competitors!$A$2:$I$650,2,FALSE))))</f>
        <v>Jason Williams</v>
      </c>
      <c r="I8" s="51">
        <f t="shared" si="1"/>
        <v>0</v>
      </c>
      <c r="J8" t="str">
        <f t="shared" si="2"/>
        <v/>
      </c>
    </row>
    <row r="9" spans="1:10" ht="15">
      <c r="A9" s="46" t="s">
        <v>458</v>
      </c>
      <c r="B9" s="47">
        <f t="shared" si="0"/>
        <v>120</v>
      </c>
      <c r="C9" s="48"/>
      <c r="D9" s="49"/>
      <c r="E9" s="49"/>
      <c r="F9" s="49"/>
      <c r="G9" s="49"/>
      <c r="H9" s="50" t="str">
        <f>IF($B9="","",IF($J9="X",B9,CONCATENATE(VLOOKUP(B9,Competitors!$A$2:$I$650,3,FALSE)," ",VLOOKUP(B9,Competitors!$A$2:$I$650,2,FALSE))))</f>
        <v>Linda Hubbard</v>
      </c>
      <c r="I9" s="51">
        <f t="shared" si="1"/>
        <v>0</v>
      </c>
      <c r="J9" t="str">
        <f t="shared" si="2"/>
        <v/>
      </c>
    </row>
    <row r="10" spans="1:10" ht="15">
      <c r="A10" s="46" t="s">
        <v>416</v>
      </c>
      <c r="B10" s="47">
        <f t="shared" si="0"/>
        <v>1161</v>
      </c>
      <c r="C10" s="48"/>
      <c r="D10" s="49"/>
      <c r="E10" s="49"/>
      <c r="F10" s="49"/>
      <c r="G10" s="49"/>
      <c r="H10" s="50" t="str">
        <f>IF($B10="","",IF($J10="X",B10,CONCATENATE(VLOOKUP(B10,Competitors!$A$2:$I$650,3,FALSE)," ",VLOOKUP(B10,Competitors!$A$2:$I$650,2,FALSE))))</f>
        <v>Maciej Suchocki</v>
      </c>
      <c r="I10" s="51">
        <f t="shared" si="1"/>
        <v>0</v>
      </c>
      <c r="J10" t="str">
        <f t="shared" si="2"/>
        <v/>
      </c>
    </row>
    <row r="11" spans="1:10" ht="15">
      <c r="A11" s="46" t="s">
        <v>516</v>
      </c>
      <c r="B11" s="47" t="str">
        <f t="shared" si="0"/>
        <v>Natalie Harris (Ratae)</v>
      </c>
      <c r="C11" s="48"/>
      <c r="D11" s="49"/>
      <c r="E11" s="49"/>
      <c r="F11" s="49" t="s">
        <v>549</v>
      </c>
      <c r="G11" s="49"/>
      <c r="H11" s="50" t="str">
        <f>IF($B11="","",IF($J11="X",B11,CONCATENATE(VLOOKUP(B11,Competitors!$A$2:$I$650,3,FALSE)," ",VLOOKUP(B11,Competitors!$A$2:$I$650,2,FALSE))))</f>
        <v>Natalie Harris (Ratae)</v>
      </c>
      <c r="I11" s="51">
        <f t="shared" si="1"/>
        <v>0</v>
      </c>
      <c r="J11" t="str">
        <f t="shared" si="2"/>
        <v>X</v>
      </c>
    </row>
    <row r="12" spans="1:10" ht="15">
      <c r="A12" s="46" t="s">
        <v>506</v>
      </c>
      <c r="B12" s="47" t="str">
        <f t="shared" si="0"/>
        <v>Chris Bonsor (Ratae)</v>
      </c>
      <c r="C12" s="48"/>
      <c r="D12" s="49"/>
      <c r="E12" s="49"/>
      <c r="F12" s="49"/>
      <c r="G12" s="49"/>
      <c r="H12" s="50" t="str">
        <f>IF($B12="","",IF($J12="X",B12,CONCATENATE(VLOOKUP(B12,Competitors!$A$2:$I$650,3,FALSE)," ",VLOOKUP(B12,Competitors!$A$2:$I$650,2,FALSE))))</f>
        <v>Chris Bonsor (Ratae)</v>
      </c>
      <c r="I12" s="51">
        <f t="shared" si="1"/>
        <v>0</v>
      </c>
      <c r="J12" t="str">
        <f t="shared" si="2"/>
        <v>X</v>
      </c>
    </row>
    <row r="13" spans="1:10" ht="15">
      <c r="A13" s="46" t="s">
        <v>593</v>
      </c>
      <c r="B13" s="47" t="str">
        <f t="shared" si="0"/>
        <v>Steve Coombs (RFW)</v>
      </c>
      <c r="C13" s="48"/>
      <c r="D13" s="49"/>
      <c r="E13" s="49"/>
      <c r="F13" s="49"/>
      <c r="G13" s="49"/>
      <c r="H13" s="50" t="str">
        <f>IF($B13="","",IF($J13="X",B13,CONCATENATE(VLOOKUP(B13,Competitors!$A$2:$I$650,3,FALSE)," ",VLOOKUP(B13,Competitors!$A$2:$I$650,2,FALSE))))</f>
        <v>Steve Coombs (RFW)</v>
      </c>
      <c r="I13" s="51">
        <f t="shared" si="1"/>
        <v>0</v>
      </c>
      <c r="J13" t="str">
        <f t="shared" si="2"/>
        <v>X</v>
      </c>
    </row>
    <row r="14" spans="1:10" ht="15">
      <c r="A14" s="46" t="s">
        <v>460</v>
      </c>
      <c r="B14" s="47">
        <f t="shared" si="0"/>
        <v>742</v>
      </c>
      <c r="C14" s="48"/>
      <c r="D14" s="49"/>
      <c r="E14" s="49"/>
      <c r="F14" s="49" t="s">
        <v>549</v>
      </c>
      <c r="G14" s="49"/>
      <c r="H14" s="50" t="str">
        <f>IF($B14="","",IF($J14="X",B14,CONCATENATE(VLOOKUP(B14,Competitors!$A$2:$I$650,3,FALSE)," ",VLOOKUP(B14,Competitors!$A$2:$I$650,2,FALSE))))</f>
        <v>Claire Moore</v>
      </c>
      <c r="I14" s="51">
        <f t="shared" si="1"/>
        <v>0</v>
      </c>
      <c r="J14" t="str">
        <f t="shared" si="2"/>
        <v/>
      </c>
    </row>
    <row r="15" spans="1:10" ht="15">
      <c r="A15" s="46" t="s">
        <v>640</v>
      </c>
      <c r="B15" s="47" t="str">
        <f t="shared" si="0"/>
        <v>Ethan Mitchell-Clarke (Team Bottrill Nopinz) (RFW)</v>
      </c>
      <c r="C15" s="48"/>
      <c r="D15" s="49"/>
      <c r="E15" s="49"/>
      <c r="F15" s="49" t="s">
        <v>549</v>
      </c>
      <c r="G15" s="49"/>
      <c r="H15" s="50" t="str">
        <f>IF($B15="","",IF($J15="X",B15,CONCATENATE(VLOOKUP(B15,Competitors!$A$2:$I$650,3,FALSE)," ",VLOOKUP(B15,Competitors!$A$2:$I$650,2,FALSE))))</f>
        <v>Ethan Mitchell-Clarke (Team Bottrill Nopinz) (RFW)</v>
      </c>
      <c r="I15" s="51">
        <f t="shared" si="1"/>
        <v>0</v>
      </c>
      <c r="J15" t="str">
        <f t="shared" si="2"/>
        <v>X</v>
      </c>
    </row>
    <row r="16" spans="1:10" ht="15">
      <c r="A16" s="46" t="s">
        <v>461</v>
      </c>
      <c r="B16" s="47">
        <f t="shared" si="0"/>
        <v>7</v>
      </c>
      <c r="C16" s="48"/>
      <c r="D16" s="49"/>
      <c r="E16" s="49"/>
      <c r="F16" s="49" t="s">
        <v>549</v>
      </c>
      <c r="G16" s="49"/>
      <c r="H16" s="50" t="str">
        <f>IF($B16="","",IF($J16="X",B16,CONCATENATE(VLOOKUP(B16,Competitors!$A$2:$I$650,3,FALSE)," ",VLOOKUP(B16,Competitors!$A$2:$I$650,2,FALSE))))</f>
        <v>Vic Barnett</v>
      </c>
      <c r="I16" s="51">
        <f t="shared" si="1"/>
        <v>0</v>
      </c>
      <c r="J16" t="str">
        <f t="shared" si="2"/>
        <v/>
      </c>
    </row>
    <row r="17" spans="1:10" ht="15">
      <c r="A17" s="46" t="s">
        <v>532</v>
      </c>
      <c r="B17" s="47" t="str">
        <f t="shared" si="0"/>
        <v>Phil Wilkinson (RFW)</v>
      </c>
      <c r="C17" s="48"/>
      <c r="D17" s="49"/>
      <c r="E17" s="49"/>
      <c r="F17" s="49"/>
      <c r="G17" s="49"/>
      <c r="H17" s="50" t="str">
        <f>IF($B17="","",IF($J17="X",B17,CONCATENATE(VLOOKUP(B17,Competitors!$A$2:$I$650,3,FALSE)," ",VLOOKUP(B17,Competitors!$A$2:$I$650,2,FALSE))))</f>
        <v>Phil Wilkinson (RFW)</v>
      </c>
      <c r="I17" s="51">
        <f t="shared" si="1"/>
        <v>0</v>
      </c>
      <c r="J17" t="str">
        <f t="shared" si="2"/>
        <v>X</v>
      </c>
    </row>
    <row r="18" spans="1:10" ht="15">
      <c r="A18" s="46" t="s">
        <v>517</v>
      </c>
      <c r="B18" s="47" t="str">
        <f t="shared" si="0"/>
        <v>Paul Eden (Ratae)</v>
      </c>
      <c r="C18" s="48"/>
      <c r="D18" s="49"/>
      <c r="E18" s="49"/>
      <c r="F18" s="49" t="s">
        <v>549</v>
      </c>
      <c r="G18" s="49"/>
      <c r="H18" s="50" t="str">
        <f>IF($B18="","",IF($J18="X",B18,CONCATENATE(VLOOKUP(B18,Competitors!$A$2:$I$650,3,FALSE)," ",VLOOKUP(B18,Competitors!$A$2:$I$650,2,FALSE))))</f>
        <v>Paul Eden (Ratae)</v>
      </c>
      <c r="I18" s="51">
        <f t="shared" si="1"/>
        <v>0</v>
      </c>
      <c r="J18" t="str">
        <f t="shared" si="2"/>
        <v>X</v>
      </c>
    </row>
    <row r="19" spans="1:10" ht="15">
      <c r="A19" s="46" t="s">
        <v>641</v>
      </c>
      <c r="B19" s="47" t="str">
        <f t="shared" si="0"/>
        <v>Pete Bradshaw (RFW)</v>
      </c>
      <c r="C19" s="48"/>
      <c r="D19" s="49"/>
      <c r="E19" s="49"/>
      <c r="F19" s="49" t="s">
        <v>549</v>
      </c>
      <c r="G19" s="49"/>
      <c r="H19" s="50" t="str">
        <f>IF($B19="","",IF($J19="X",B19,CONCATENATE(VLOOKUP(B19,Competitors!$A$2:$I$650,3,FALSE)," ",VLOOKUP(B19,Competitors!$A$2:$I$650,2,FALSE))))</f>
        <v>Pete Bradshaw (RFW)</v>
      </c>
      <c r="I19" s="51">
        <f t="shared" si="1"/>
        <v>0</v>
      </c>
      <c r="J19" t="str">
        <f t="shared" si="2"/>
        <v>X</v>
      </c>
    </row>
    <row r="20" spans="1:10" ht="15">
      <c r="A20" s="46" t="s">
        <v>431</v>
      </c>
      <c r="B20" s="47">
        <f t="shared" si="0"/>
        <v>616</v>
      </c>
      <c r="C20" s="48"/>
      <c r="D20" s="49"/>
      <c r="E20" s="49"/>
      <c r="F20" s="49"/>
      <c r="G20" s="49"/>
      <c r="H20" s="50" t="str">
        <f>IF($B20="","",IF($J20="X",B20,CONCATENATE(VLOOKUP(B20,Competitors!$A$2:$I$650,3,FALSE)," ",VLOOKUP(B20,Competitors!$A$2:$I$650,2,FALSE))))</f>
        <v>Simon Ward</v>
      </c>
      <c r="I20" s="51">
        <f t="shared" si="1"/>
        <v>0</v>
      </c>
      <c r="J20" t="str">
        <f t="shared" si="2"/>
        <v/>
      </c>
    </row>
    <row r="21" spans="1:10" ht="15">
      <c r="A21" s="46" t="s">
        <v>411</v>
      </c>
      <c r="B21" s="47">
        <f t="shared" si="0"/>
        <v>747</v>
      </c>
      <c r="C21" s="48"/>
      <c r="D21" s="49"/>
      <c r="E21" s="49"/>
      <c r="F21" s="49"/>
      <c r="G21" s="49"/>
      <c r="H21" s="50" t="str">
        <f>IF($B21="","",IF($J21="X",B21,CONCATENATE(VLOOKUP(B21,Competitors!$A$2:$I$650,3,FALSE)," ",VLOOKUP(B21,Competitors!$A$2:$I$650,2,FALSE))))</f>
        <v>James Moore</v>
      </c>
      <c r="I21" s="51">
        <f t="shared" si="1"/>
        <v>0</v>
      </c>
      <c r="J21" t="str">
        <f t="shared" si="2"/>
        <v/>
      </c>
    </row>
    <row r="22" spans="1:10" ht="15">
      <c r="A22" s="46" t="s">
        <v>423</v>
      </c>
      <c r="B22" s="47">
        <f t="shared" si="0"/>
        <v>1407</v>
      </c>
      <c r="C22" s="48"/>
      <c r="D22" s="49"/>
      <c r="E22" s="49"/>
      <c r="F22" s="49" t="s">
        <v>549</v>
      </c>
      <c r="G22" s="49"/>
      <c r="H22" s="50" t="str">
        <f>IF($B22="","",IF($J22="X",B22,CONCATENATE(VLOOKUP(B22,Competitors!$A$2:$I$650,3,FALSE)," ",VLOOKUP(B22,Competitors!$A$2:$I$650,2,FALSE))))</f>
        <v>Colin Dobson</v>
      </c>
      <c r="I22" s="51">
        <f t="shared" si="1"/>
        <v>0</v>
      </c>
      <c r="J22" t="str">
        <f t="shared" si="2"/>
        <v/>
      </c>
    </row>
    <row r="23" spans="1:10" ht="15">
      <c r="A23" s="46" t="s">
        <v>642</v>
      </c>
      <c r="B23" s="47">
        <f t="shared" si="0"/>
        <v>567</v>
      </c>
      <c r="C23" s="48"/>
      <c r="D23" s="49"/>
      <c r="E23" s="49"/>
      <c r="F23" s="49" t="s">
        <v>549</v>
      </c>
      <c r="G23" s="49"/>
      <c r="H23" s="50" t="str">
        <f>IF($B23="","",IF($J23="X",B23,CONCATENATE(VLOOKUP(B23,Competitors!$A$2:$I$650,3,FALSE)," ",VLOOKUP(B23,Competitors!$A$2:$I$650,2,FALSE))))</f>
        <v>Lawrence Cox</v>
      </c>
      <c r="I23" s="51">
        <f t="shared" si="1"/>
        <v>0</v>
      </c>
      <c r="J23" t="str">
        <f t="shared" si="2"/>
        <v/>
      </c>
    </row>
    <row r="24" spans="1:10" ht="15">
      <c r="A24" s="46" t="s">
        <v>627</v>
      </c>
      <c r="B24" s="47">
        <f t="shared" si="0"/>
        <v>1391</v>
      </c>
      <c r="C24" s="48"/>
      <c r="D24" s="49"/>
      <c r="E24" s="49"/>
      <c r="F24" s="49" t="s">
        <v>549</v>
      </c>
      <c r="G24" s="49"/>
      <c r="H24" s="50" t="str">
        <f>IF($B24="","",IF($J24="X",B24,CONCATENATE(VLOOKUP(B24,Competitors!$A$2:$I$650,3,FALSE)," ",VLOOKUP(B24,Competitors!$A$2:$I$650,2,FALSE))))</f>
        <v>Leah Cuthbertson</v>
      </c>
      <c r="I24" s="51">
        <f t="shared" si="1"/>
        <v>0</v>
      </c>
      <c r="J24" t="str">
        <f t="shared" si="2"/>
        <v/>
      </c>
    </row>
    <row r="25" spans="1:10" ht="15">
      <c r="A25" s="46" t="s">
        <v>447</v>
      </c>
      <c r="B25" s="47">
        <f t="shared" si="0"/>
        <v>1379</v>
      </c>
      <c r="C25" s="48"/>
      <c r="D25" s="49"/>
      <c r="E25" s="49"/>
      <c r="F25" s="49" t="s">
        <v>549</v>
      </c>
      <c r="G25" s="49"/>
      <c r="H25" s="50" t="str">
        <f>IF($B25="","",IF($J25="X",B25,CONCATENATE(VLOOKUP(B25,Competitors!$A$2:$I$650,3,FALSE)," ",VLOOKUP(B25,Competitors!$A$2:$I$650,2,FALSE))))</f>
        <v>Michaela Latham</v>
      </c>
      <c r="I25" s="51">
        <f t="shared" si="1"/>
        <v>0</v>
      </c>
      <c r="J25" t="str">
        <f t="shared" si="2"/>
        <v/>
      </c>
    </row>
    <row r="26" spans="1:10" ht="15">
      <c r="A26" s="46" t="s">
        <v>520</v>
      </c>
      <c r="B26" s="47" t="str">
        <f t="shared" si="0"/>
        <v>Adam Wells (RFW)</v>
      </c>
      <c r="C26" s="48"/>
      <c r="D26" s="49"/>
      <c r="E26" s="49"/>
      <c r="F26" s="49" t="s">
        <v>549</v>
      </c>
      <c r="G26" s="49"/>
      <c r="H26" s="50" t="str">
        <f>IF($B26="","",IF($J26="X",B26,CONCATENATE(VLOOKUP(B26,Competitors!$A$2:$I$650,3,FALSE)," ",VLOOKUP(B26,Competitors!$A$2:$I$650,2,FALSE))))</f>
        <v>Adam Wells (RFW)</v>
      </c>
      <c r="I26" s="51">
        <f t="shared" si="1"/>
        <v>0</v>
      </c>
      <c r="J26" t="str">
        <f t="shared" si="2"/>
        <v>X</v>
      </c>
    </row>
    <row r="27" spans="1:10" ht="15">
      <c r="A27" s="46" t="s">
        <v>412</v>
      </c>
      <c r="B27" s="47">
        <f t="shared" si="0"/>
        <v>407</v>
      </c>
      <c r="C27" s="48"/>
      <c r="D27" s="49"/>
      <c r="E27" s="49"/>
      <c r="F27" s="49"/>
      <c r="G27" s="49"/>
      <c r="H27" s="50" t="str">
        <f>IF($B27="","",IF($J27="X",B27,CONCATENATE(VLOOKUP(B27,Competitors!$A$2:$I$650,3,FALSE)," ",VLOOKUP(B27,Competitors!$A$2:$I$650,2,FALSE))))</f>
        <v>Hans van Nierop</v>
      </c>
      <c r="I27" s="51">
        <f t="shared" si="1"/>
        <v>0</v>
      </c>
      <c r="J27" t="str">
        <f t="shared" si="2"/>
        <v/>
      </c>
    </row>
    <row r="28" spans="1:10" ht="15">
      <c r="A28" s="46" t="s">
        <v>528</v>
      </c>
      <c r="B28" s="47" t="str">
        <f t="shared" si="0"/>
        <v>Lynne Wilkinson-Scofield (RFW)</v>
      </c>
      <c r="C28" s="48"/>
      <c r="D28" s="49"/>
      <c r="E28" s="49"/>
      <c r="F28" s="49"/>
      <c r="G28" s="49"/>
      <c r="H28" s="50" t="str">
        <f>IF($B28="","",IF($J28="X",B28,CONCATENATE(VLOOKUP(B28,Competitors!$A$2:$I$650,3,FALSE)," ",VLOOKUP(B28,Competitors!$A$2:$I$650,2,FALSE))))</f>
        <v>Lynne Wilkinson-Scofield (RFW)</v>
      </c>
      <c r="I28" s="51">
        <f t="shared" si="1"/>
        <v>0</v>
      </c>
      <c r="J28" t="str">
        <f t="shared" si="2"/>
        <v>X</v>
      </c>
    </row>
    <row r="29" spans="1:10" ht="15">
      <c r="A29" s="46" t="s">
        <v>437</v>
      </c>
      <c r="B29" s="47">
        <f t="shared" si="0"/>
        <v>203</v>
      </c>
      <c r="C29" s="48"/>
      <c r="D29" s="49"/>
      <c r="E29" s="49"/>
      <c r="F29" s="49"/>
      <c r="G29" s="49"/>
      <c r="H29" s="50" t="str">
        <f>IF($B29="","",IF($J29="X",B29,CONCATENATE(VLOOKUP(B29,Competitors!$A$2:$I$650,3,FALSE)," ",VLOOKUP(B29,Competitors!$A$2:$I$650,2,FALSE))))</f>
        <v>Adrian Killworth</v>
      </c>
      <c r="I29" s="51">
        <f t="shared" si="1"/>
        <v>0</v>
      </c>
      <c r="J29" t="str">
        <f t="shared" si="2"/>
        <v/>
      </c>
    </row>
    <row r="30" spans="1:10" ht="15">
      <c r="A30" s="46" t="s">
        <v>597</v>
      </c>
      <c r="B30" s="47" t="str">
        <f t="shared" si="0"/>
        <v>Laurence Noble (RFW)</v>
      </c>
      <c r="C30" s="48"/>
      <c r="D30" s="49"/>
      <c r="E30" s="49"/>
      <c r="F30" s="49"/>
      <c r="G30" s="49"/>
      <c r="H30" s="50" t="str">
        <f>IF($B30="","",IF($J30="X",B30,CONCATENATE(VLOOKUP(B30,Competitors!$A$2:$I$650,3,FALSE)," ",VLOOKUP(B30,Competitors!$A$2:$I$650,2,FALSE))))</f>
        <v>Laurence Noble (RFW)</v>
      </c>
      <c r="I30" s="51">
        <f t="shared" si="1"/>
        <v>0</v>
      </c>
      <c r="J30" t="str">
        <f t="shared" si="2"/>
        <v>X</v>
      </c>
    </row>
    <row r="31" spans="1:10" ht="15">
      <c r="A31" s="46" t="s">
        <v>600</v>
      </c>
      <c r="B31" s="47">
        <f t="shared" si="0"/>
        <v>1390</v>
      </c>
      <c r="C31" s="48"/>
      <c r="D31" s="49"/>
      <c r="E31" s="49"/>
      <c r="F31" s="49" t="s">
        <v>549</v>
      </c>
      <c r="G31" s="49"/>
      <c r="H31" s="50" t="str">
        <f>IF($B31="","",IF($J31="X",B31,CONCATENATE(VLOOKUP(B31,Competitors!$A$2:$I$650,3,FALSE)," ",VLOOKUP(B31,Competitors!$A$2:$I$650,2,FALSE))))</f>
        <v>Diego Patteri</v>
      </c>
      <c r="I31" s="51">
        <f t="shared" si="1"/>
        <v>0</v>
      </c>
      <c r="J31" t="str">
        <f t="shared" si="2"/>
        <v/>
      </c>
    </row>
    <row r="32" spans="1:10" ht="15">
      <c r="A32" s="46" t="s">
        <v>445</v>
      </c>
      <c r="B32" s="47">
        <f t="shared" si="0"/>
        <v>1386</v>
      </c>
      <c r="C32" s="48"/>
      <c r="D32" s="49"/>
      <c r="E32" s="49"/>
      <c r="F32" s="49" t="s">
        <v>549</v>
      </c>
      <c r="G32" s="49"/>
      <c r="H32" s="50" t="str">
        <f>IF($B32="","",IF($J32="X",B32,CONCATENATE(VLOOKUP(B32,Competitors!$A$2:$I$650,3,FALSE)," ",VLOOKUP(B32,Competitors!$A$2:$I$650,2,FALSE))))</f>
        <v>Mea Moore</v>
      </c>
      <c r="I32" s="51">
        <f t="shared" si="1"/>
        <v>0</v>
      </c>
      <c r="J32" t="str">
        <f t="shared" si="2"/>
        <v/>
      </c>
    </row>
    <row r="33" spans="1:10" ht="15">
      <c r="A33" s="46" t="s">
        <v>504</v>
      </c>
      <c r="B33" s="47" t="str">
        <f t="shared" si="0"/>
        <v>Alex Whitmore (Ratae)</v>
      </c>
      <c r="C33" s="48"/>
      <c r="D33" s="49"/>
      <c r="E33" s="49"/>
      <c r="F33" s="49" t="s">
        <v>549</v>
      </c>
      <c r="G33" s="49"/>
      <c r="H33" s="50" t="str">
        <f>IF($B33="","",IF($J33="X",B33,CONCATENATE(VLOOKUP(B33,Competitors!$A$2:$I$650,3,FALSE)," ",VLOOKUP(B33,Competitors!$A$2:$I$650,2,FALSE))))</f>
        <v>Alex Whitmore (Ratae)</v>
      </c>
      <c r="I33" s="51">
        <f t="shared" si="1"/>
        <v>0</v>
      </c>
      <c r="J33" t="str">
        <f t="shared" si="2"/>
        <v>X</v>
      </c>
    </row>
    <row r="34" spans="1:10" ht="15">
      <c r="A34" s="46" t="s">
        <v>417</v>
      </c>
      <c r="B34" s="47">
        <f t="shared" ref="B34:B97" si="3">IF(A34="","",_xlfn.XLOOKUP(A34,ClubNames,ClubNumbers,_xlfn.XLOOKUP(A34,RoundRobinRiderNames,RoundRobinRiderDecoratedNames,A34)))</f>
        <v>38</v>
      </c>
      <c r="C34" s="48"/>
      <c r="D34" s="49"/>
      <c r="E34" s="49"/>
      <c r="F34" s="49"/>
      <c r="G34" s="49"/>
      <c r="H34" s="50" t="str">
        <f>IF($B34="","",IF($J34="X",B34,CONCATENATE(VLOOKUP(B34,Competitors!$A$2:$I$650,3,FALSE)," ",VLOOKUP(B34,Competitors!$A$2:$I$650,2,FALSE))))</f>
        <v>Phil Rayner</v>
      </c>
      <c r="I34" s="51">
        <f t="shared" si="1"/>
        <v>0</v>
      </c>
      <c r="J34" t="str">
        <f t="shared" si="2"/>
        <v/>
      </c>
    </row>
    <row r="35" spans="1:10" ht="15">
      <c r="A35" s="46" t="s">
        <v>599</v>
      </c>
      <c r="B35" s="47" t="str">
        <f t="shared" si="3"/>
        <v>Evan Collett (G Fox) (KCC)</v>
      </c>
      <c r="C35" s="48"/>
      <c r="D35" s="49"/>
      <c r="E35" s="49"/>
      <c r="F35" s="49"/>
      <c r="G35" s="49"/>
      <c r="H35" s="50" t="str">
        <f>IF($B35="","",IF($J35="X",B35,CONCATENATE(VLOOKUP(B35,Competitors!$A$2:$I$650,3,FALSE)," ",VLOOKUP(B35,Competitors!$A$2:$I$650,2,FALSE))))</f>
        <v>Evan Collett (G Fox) (KCC)</v>
      </c>
      <c r="I35" s="51">
        <f t="shared" si="1"/>
        <v>0</v>
      </c>
      <c r="J35" t="str">
        <f t="shared" si="2"/>
        <v>X</v>
      </c>
    </row>
    <row r="36" spans="1:10" ht="15">
      <c r="A36" s="46" t="s">
        <v>413</v>
      </c>
      <c r="B36" s="47">
        <f t="shared" si="3"/>
        <v>1144</v>
      </c>
      <c r="C36" s="48"/>
      <c r="D36" s="49"/>
      <c r="E36" s="49"/>
      <c r="F36" s="49" t="s">
        <v>549</v>
      </c>
      <c r="G36" s="49"/>
      <c r="H36" s="50" t="str">
        <f>IF($B36="","",IF($J36="X",B36,CONCATENATE(VLOOKUP(B36,Competitors!$A$2:$I$650,3,FALSE)," ",VLOOKUP(B36,Competitors!$A$2:$I$650,2,FALSE))))</f>
        <v>Jamie Kershaw</v>
      </c>
      <c r="I36" s="51">
        <f t="shared" si="1"/>
        <v>0</v>
      </c>
      <c r="J36" t="str">
        <f t="shared" si="2"/>
        <v/>
      </c>
    </row>
    <row r="37" spans="1:10" ht="15">
      <c r="A37" s="46" t="s">
        <v>430</v>
      </c>
      <c r="B37" s="47">
        <f t="shared" si="3"/>
        <v>1107</v>
      </c>
      <c r="C37" s="48"/>
      <c r="D37" s="49"/>
      <c r="E37" s="49"/>
      <c r="F37" s="49" t="s">
        <v>549</v>
      </c>
      <c r="G37" s="49"/>
      <c r="H37" s="50" t="str">
        <f>IF($B37="","",IF($J37="X",B37,CONCATENATE(VLOOKUP(B37,Competitors!$A$2:$I$650,3,FALSE)," ",VLOOKUP(B37,Competitors!$A$2:$I$650,2,FALSE))))</f>
        <v>Milly Pinnock</v>
      </c>
      <c r="I37" s="51">
        <f t="shared" si="1"/>
        <v>0</v>
      </c>
      <c r="J37" t="str">
        <f t="shared" si="2"/>
        <v/>
      </c>
    </row>
    <row r="38" spans="1:10" ht="15">
      <c r="A38" s="46" t="s">
        <v>514</v>
      </c>
      <c r="B38" s="47" t="str">
        <f t="shared" si="3"/>
        <v>Mark Newton (Ratae)</v>
      </c>
      <c r="C38" s="48"/>
      <c r="D38" s="49"/>
      <c r="E38" s="49"/>
      <c r="F38" s="49"/>
      <c r="G38" s="49"/>
      <c r="H38" s="50" t="str">
        <f>IF($B38="","",IF($J38="X",B38,CONCATENATE(VLOOKUP(B38,Competitors!$A$2:$I$650,3,FALSE)," ",VLOOKUP(B38,Competitors!$A$2:$I$650,2,FALSE))))</f>
        <v>Mark Newton (Ratae)</v>
      </c>
      <c r="I38" s="51">
        <f t="shared" si="1"/>
        <v>0</v>
      </c>
      <c r="J38" t="str">
        <f t="shared" si="2"/>
        <v>X</v>
      </c>
    </row>
    <row r="39" spans="1:10" ht="15">
      <c r="A39" s="46" t="s">
        <v>586</v>
      </c>
      <c r="B39" s="47">
        <f t="shared" si="3"/>
        <v>1370</v>
      </c>
      <c r="C39" s="48"/>
      <c r="D39" s="49"/>
      <c r="E39" s="49"/>
      <c r="F39" s="49" t="s">
        <v>549</v>
      </c>
      <c r="G39" s="49"/>
      <c r="H39" s="50" t="str">
        <f>IF($B39="","",IF($J39="X",B39,CONCATENATE(VLOOKUP(B39,Competitors!$A$2:$I$650,3,FALSE)," ",VLOOKUP(B39,Competitors!$A$2:$I$650,2,FALSE))))</f>
        <v>Ian Aldridge</v>
      </c>
      <c r="I39" s="51">
        <f t="shared" si="1"/>
        <v>0</v>
      </c>
      <c r="J39" t="str">
        <f t="shared" si="2"/>
        <v/>
      </c>
    </row>
    <row r="40" spans="1:10" ht="15">
      <c r="A40" s="46" t="s">
        <v>643</v>
      </c>
      <c r="B40" s="47" t="str">
        <f t="shared" si="3"/>
        <v>Robert Moore</v>
      </c>
      <c r="C40" s="48"/>
      <c r="D40" s="49"/>
      <c r="E40" s="49"/>
      <c r="F40" s="49" t="s">
        <v>549</v>
      </c>
      <c r="G40" s="49"/>
      <c r="H40" s="50" t="str">
        <f>IF($B40="","",IF($J40="X",B40,CONCATENATE(VLOOKUP(B40,Competitors!$A$2:$I$650,3,FALSE)," ",VLOOKUP(B40,Competitors!$A$2:$I$650,2,FALSE))))</f>
        <v>Robert Moore</v>
      </c>
      <c r="I40" s="51">
        <f t="shared" si="1"/>
        <v>0</v>
      </c>
      <c r="J40" t="str">
        <f t="shared" si="2"/>
        <v>X</v>
      </c>
    </row>
    <row r="41" spans="1:10" ht="15">
      <c r="A41" s="46" t="s">
        <v>441</v>
      </c>
      <c r="B41" s="47">
        <f t="shared" si="3"/>
        <v>245</v>
      </c>
      <c r="C41" s="48"/>
      <c r="D41" s="49"/>
      <c r="E41" s="49"/>
      <c r="F41" s="49"/>
      <c r="G41" s="49"/>
      <c r="H41" s="50" t="str">
        <f>IF($B41="","",IF($J41="X",B41,CONCATENATE(VLOOKUP(B41,Competitors!$A$2:$I$650,3,FALSE)," ",VLOOKUP(B41,Competitors!$A$2:$I$650,2,FALSE))))</f>
        <v>David Reay</v>
      </c>
      <c r="I41" s="51">
        <f t="shared" si="1"/>
        <v>0</v>
      </c>
      <c r="J41" t="str">
        <f t="shared" si="2"/>
        <v/>
      </c>
    </row>
    <row r="42" spans="1:10" ht="15">
      <c r="A42" s="46" t="s">
        <v>596</v>
      </c>
      <c r="B42" s="47" t="str">
        <f t="shared" si="3"/>
        <v>Alex Barrowman (RFW)</v>
      </c>
      <c r="C42" s="48"/>
      <c r="D42" s="49"/>
      <c r="E42" s="49"/>
      <c r="F42" s="49" t="s">
        <v>549</v>
      </c>
      <c r="G42" s="49"/>
      <c r="H42" s="50" t="str">
        <f>IF($B42="","",IF($J42="X",B42,CONCATENATE(VLOOKUP(B42,Competitors!$A$2:$I$650,3,FALSE)," ",VLOOKUP(B42,Competitors!$A$2:$I$650,2,FALSE))))</f>
        <v>Alex Barrowman (RFW)</v>
      </c>
      <c r="I42" s="51">
        <f t="shared" si="1"/>
        <v>0</v>
      </c>
      <c r="J42" t="str">
        <f t="shared" si="2"/>
        <v>X</v>
      </c>
    </row>
    <row r="43" spans="1:10" ht="15">
      <c r="A43" s="46" t="s">
        <v>644</v>
      </c>
      <c r="B43" s="47">
        <f t="shared" si="3"/>
        <v>1415</v>
      </c>
      <c r="C43" s="48"/>
      <c r="D43" s="49"/>
      <c r="E43" s="49"/>
      <c r="F43" s="49" t="s">
        <v>549</v>
      </c>
      <c r="G43" s="49"/>
      <c r="H43" s="50" t="str">
        <f>IF($B43="","",IF($J43="X",B43,CONCATENATE(VLOOKUP(B43,Competitors!$A$2:$I$650,3,FALSE)," ",VLOOKUP(B43,Competitors!$A$2:$I$650,2,FALSE))))</f>
        <v>James Aldridge</v>
      </c>
      <c r="I43" s="51">
        <f t="shared" si="1"/>
        <v>0</v>
      </c>
      <c r="J43" t="str">
        <f t="shared" si="2"/>
        <v/>
      </c>
    </row>
    <row r="44" spans="1:10" ht="15">
      <c r="A44" s="46" t="s">
        <v>524</v>
      </c>
      <c r="B44" s="47" t="str">
        <f t="shared" si="3"/>
        <v>David Hill (RFW)</v>
      </c>
      <c r="C44" s="48"/>
      <c r="D44" s="49"/>
      <c r="E44" s="49"/>
      <c r="F44" s="49" t="s">
        <v>549</v>
      </c>
      <c r="G44" s="49"/>
      <c r="H44" s="50" t="str">
        <f>IF($B44="","",IF($J44="X",B44,CONCATENATE(VLOOKUP(B44,Competitors!$A$2:$I$650,3,FALSE)," ",VLOOKUP(B44,Competitors!$A$2:$I$650,2,FALSE))))</f>
        <v>David Hill (RFW)</v>
      </c>
      <c r="I44" s="51">
        <f t="shared" si="1"/>
        <v>0</v>
      </c>
      <c r="J44" t="str">
        <f t="shared" si="2"/>
        <v>X</v>
      </c>
    </row>
    <row r="45" spans="1:10" ht="15">
      <c r="A45" s="46" t="s">
        <v>422</v>
      </c>
      <c r="B45" s="47">
        <f t="shared" si="3"/>
        <v>415</v>
      </c>
      <c r="C45" s="48"/>
      <c r="D45" s="49"/>
      <c r="E45" s="49"/>
      <c r="F45" s="49" t="s">
        <v>549</v>
      </c>
      <c r="G45" s="49"/>
      <c r="H45" s="50" t="str">
        <f>IF($B45="","",IF($J45="X",B45,CONCATENATE(VLOOKUP(B45,Competitors!$A$2:$I$650,3,FALSE)," ",VLOOKUP(B45,Competitors!$A$2:$I$650,2,FALSE))))</f>
        <v>Nik Kershaw</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2026-07-08T11:39:31Z</dcterms:modified>
</cp:coreProperties>
</file>