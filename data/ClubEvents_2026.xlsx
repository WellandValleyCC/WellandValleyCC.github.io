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8F6EFBC2-C3EC-447F-A2A3-81A3B50E12E2}" xr6:coauthVersionLast="47" xr6:coauthVersionMax="47" xr10:uidLastSave="{00000000-0000-0000-0000-000000000000}"/>
  <bookViews>
    <workbookView xWindow="14317" yWindow="0" windowWidth="14565" windowHeight="17363" firstSheet="36" activeTab="39" xr2:uid="{C6EFFE21-4431-4F26-81EF-7BFBA2735BF4}"/>
    <workbookView xWindow="-83" yWindow="0" windowWidth="14566" windowHeight="17363" firstSheet="19" activeTab="19" xr2:uid="{F10BBD0F-679B-472B-AF0E-E0F34F7BACED}"/>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2" r:id="rId33"/>
    <sheet name="Event_14" sheetId="33" r:id="rId34"/>
    <sheet name="Event_15" sheetId="34" r:id="rId35"/>
    <sheet name="Event_16" sheetId="35" r:id="rId36"/>
    <sheet name="Event_17" sheetId="36" r:id="rId37"/>
    <sheet name="Event_18" sheetId="37" r:id="rId38"/>
    <sheet name="Event_19" sheetId="46"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s>
  <definedNames>
    <definedName name="_xlnm._FilterDatabase" localSheetId="32" hidden="1">Event_13!$A$1:$J$101</definedName>
    <definedName name="_xlnm._FilterDatabase" localSheetId="19"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RoundRobinRiders!$A$4:$C$202</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46" l="1"/>
  <c r="B8" i="46"/>
  <c r="C110" i="18"/>
  <c r="A14" i="16"/>
  <c r="A15" i="16"/>
  <c r="O14" i="16"/>
  <c r="B23" i="37"/>
  <c r="C30" i="18"/>
  <c r="C31" i="18"/>
  <c r="C39" i="18"/>
  <c r="C52" i="18"/>
  <c r="B29" i="37"/>
  <c r="C111" i="18"/>
  <c r="C112" i="18"/>
  <c r="C113" i="18"/>
  <c r="C114" i="18"/>
  <c r="B3" i="38" s="1"/>
  <c r="C115" i="18"/>
  <c r="B15" i="38" s="1"/>
  <c r="C116" i="18"/>
  <c r="B35" i="38" s="1"/>
  <c r="C117" i="18"/>
  <c r="B41" i="38" s="1"/>
  <c r="C118" i="18"/>
  <c r="C119" i="18"/>
  <c r="C120" i="18"/>
  <c r="C121" i="18"/>
  <c r="C122" i="18"/>
  <c r="C123" i="18"/>
  <c r="C124" i="18"/>
  <c r="C125" i="18"/>
  <c r="C126" i="18"/>
  <c r="C127" i="18"/>
  <c r="C128" i="18"/>
  <c r="C129" i="18"/>
  <c r="C130" i="18"/>
  <c r="C131" i="18"/>
  <c r="C132" i="18"/>
  <c r="C133"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19" i="18"/>
  <c r="C10" i="18"/>
  <c r="C18" i="18"/>
  <c r="C64" i="18"/>
  <c r="C57" i="18"/>
  <c r="B30" i="37"/>
  <c r="C72" i="18"/>
  <c r="C42" i="18"/>
  <c r="C101" i="18"/>
  <c r="C7" i="18"/>
  <c r="C6" i="18"/>
  <c r="C103" i="18"/>
  <c r="C104" i="18"/>
  <c r="C48" i="18"/>
  <c r="C46" i="18"/>
  <c r="C13" i="18"/>
  <c r="C14" i="18"/>
  <c r="C34" i="18"/>
  <c r="B28" i="37"/>
  <c r="C45" i="18"/>
  <c r="C9" i="18"/>
  <c r="B9" i="38" s="1"/>
  <c r="C47" i="18"/>
  <c r="C35"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I17" i="46"/>
  <c r="B17" i="46"/>
  <c r="I16" i="46"/>
  <c r="B16" i="46"/>
  <c r="I15" i="46"/>
  <c r="B15" i="46"/>
  <c r="I14" i="46"/>
  <c r="B14" i="46"/>
  <c r="I13" i="46"/>
  <c r="B13" i="46"/>
  <c r="I12" i="46"/>
  <c r="B12" i="46"/>
  <c r="I11" i="46"/>
  <c r="B11" i="46"/>
  <c r="I10" i="46"/>
  <c r="B10" i="46"/>
  <c r="I9" i="46"/>
  <c r="B9" i="46"/>
  <c r="I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H22" i="44" s="1"/>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I40" i="38"/>
  <c r="B40" i="38"/>
  <c r="I39" i="38"/>
  <c r="B39" i="38"/>
  <c r="I38" i="38"/>
  <c r="B38" i="38"/>
  <c r="I37" i="38"/>
  <c r="B37" i="38"/>
  <c r="I36" i="38"/>
  <c r="B36" i="38"/>
  <c r="I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I14" i="38"/>
  <c r="B14" i="38"/>
  <c r="I13" i="38"/>
  <c r="B13" i="38"/>
  <c r="I12" i="38"/>
  <c r="B12" i="38"/>
  <c r="I11" i="38"/>
  <c r="B11" i="38"/>
  <c r="I10" i="38"/>
  <c r="B10" i="38"/>
  <c r="I9" i="38"/>
  <c r="I8" i="38"/>
  <c r="B8" i="38"/>
  <c r="I7" i="38"/>
  <c r="B7" i="38"/>
  <c r="I6" i="38"/>
  <c r="B6" i="38"/>
  <c r="I5" i="38"/>
  <c r="B5" i="38"/>
  <c r="I4" i="38"/>
  <c r="B4" i="38"/>
  <c r="I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5"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1" i="18"/>
  <c r="I48" i="29"/>
  <c r="C86" i="18"/>
  <c r="I47" i="29"/>
  <c r="I46" i="29"/>
  <c r="C91" i="18"/>
  <c r="I45" i="29"/>
  <c r="I44" i="29"/>
  <c r="I43" i="29"/>
  <c r="I42" i="29"/>
  <c r="I41" i="29"/>
  <c r="I40" i="29"/>
  <c r="I39" i="29"/>
  <c r="I38" i="29"/>
  <c r="I37" i="29"/>
  <c r="I36" i="29"/>
  <c r="I35" i="29"/>
  <c r="I34" i="29"/>
  <c r="I33" i="29"/>
  <c r="I32" i="29"/>
  <c r="I31" i="29"/>
  <c r="I30" i="29"/>
  <c r="I29" i="29"/>
  <c r="I28" i="29"/>
  <c r="I27" i="29"/>
  <c r="I26" i="29"/>
  <c r="I25" i="29"/>
  <c r="I24" i="29"/>
  <c r="C68" i="18"/>
  <c r="I23" i="29"/>
  <c r="I22" i="29"/>
  <c r="C56" i="18"/>
  <c r="I21" i="29"/>
  <c r="I20" i="29"/>
  <c r="I19" i="29"/>
  <c r="C62" i="18"/>
  <c r="I18" i="29"/>
  <c r="I17" i="29"/>
  <c r="I16" i="29"/>
  <c r="I15" i="29"/>
  <c r="I14" i="29"/>
  <c r="I13" i="29"/>
  <c r="I12" i="29"/>
  <c r="I11" i="29"/>
  <c r="I10" i="29"/>
  <c r="C58" i="18"/>
  <c r="I9" i="29"/>
  <c r="I8" i="29"/>
  <c r="I7" i="29"/>
  <c r="I6" i="29"/>
  <c r="I5" i="29"/>
  <c r="I4" i="29"/>
  <c r="I3" i="29"/>
  <c r="C65"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5" i="18"/>
  <c r="C41" i="18"/>
  <c r="B27" i="37"/>
  <c r="C33" i="18"/>
  <c r="B26" i="37"/>
  <c r="C95" i="18"/>
  <c r="C107" i="18"/>
  <c r="C106" i="18"/>
  <c r="C109" i="18"/>
  <c r="C108" i="18"/>
  <c r="C26" i="18"/>
  <c r="C29" i="18"/>
  <c r="C87" i="18"/>
  <c r="C98" i="18"/>
  <c r="C97" i="18"/>
  <c r="C28" i="18"/>
  <c r="C84" i="18"/>
  <c r="C102" i="18"/>
  <c r="C100" i="18"/>
  <c r="C99" i="18"/>
  <c r="C96" i="18"/>
  <c r="C94" i="18"/>
  <c r="C93" i="18"/>
  <c r="C92" i="18"/>
  <c r="C90" i="18"/>
  <c r="C89" i="18"/>
  <c r="C88" i="18"/>
  <c r="C85" i="18"/>
  <c r="C83" i="18"/>
  <c r="C82" i="18"/>
  <c r="C81" i="18"/>
  <c r="C80" i="18"/>
  <c r="C79" i="18"/>
  <c r="C78" i="18"/>
  <c r="C77" i="18"/>
  <c r="C76" i="18"/>
  <c r="C74" i="18"/>
  <c r="C73" i="18"/>
  <c r="C70" i="18"/>
  <c r="C69" i="18"/>
  <c r="C67" i="18"/>
  <c r="C66" i="18"/>
  <c r="C63" i="18"/>
  <c r="C61" i="18"/>
  <c r="C60" i="18"/>
  <c r="C59" i="18"/>
  <c r="C55" i="18"/>
  <c r="C54" i="18"/>
  <c r="C105" i="18"/>
  <c r="C53" i="18"/>
  <c r="C51" i="18"/>
  <c r="C50" i="18"/>
  <c r="C49" i="18"/>
  <c r="C44" i="18"/>
  <c r="C43" i="18"/>
  <c r="C40" i="18"/>
  <c r="C38" i="18"/>
  <c r="C37" i="18"/>
  <c r="C36" i="18"/>
  <c r="C32" i="18"/>
  <c r="C27" i="18"/>
  <c r="C24" i="18"/>
  <c r="C23" i="18"/>
  <c r="C22" i="18"/>
  <c r="C21" i="18"/>
  <c r="B53" i="36"/>
  <c r="C20" i="18"/>
  <c r="C17" i="18"/>
  <c r="C16" i="18"/>
  <c r="C15" i="18"/>
  <c r="C12" i="18"/>
  <c r="C11"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B15" i="35"/>
  <c r="B17" i="36"/>
  <c r="K17" i="36" s="1"/>
  <c r="I17" i="36" s="1"/>
  <c r="B14" i="36"/>
  <c r="K14" i="36" s="1"/>
  <c r="I14" i="36" s="1"/>
  <c r="B13" i="36"/>
  <c r="K13" i="36" s="1"/>
  <c r="I13" i="36" s="1"/>
  <c r="B6" i="36"/>
  <c r="K6" i="36" s="1"/>
  <c r="I6" i="36" s="1"/>
  <c r="B31" i="36"/>
  <c r="B30" i="36"/>
  <c r="K30" i="36" s="1"/>
  <c r="I30" i="36" s="1"/>
  <c r="B38" i="35"/>
  <c r="B4" i="35"/>
  <c r="B16" i="33"/>
  <c r="B32" i="32"/>
  <c r="B14" i="35"/>
  <c r="B32" i="34"/>
  <c r="B16" i="35"/>
  <c r="B6" i="33"/>
  <c r="B2" i="33"/>
  <c r="B3" i="33"/>
  <c r="B21" i="33"/>
  <c r="B19" i="33"/>
  <c r="B11" i="35"/>
  <c r="B34" i="34"/>
  <c r="B44" i="34"/>
  <c r="B23" i="33"/>
  <c r="B51" i="32"/>
  <c r="B6" i="32"/>
  <c r="B34" i="32"/>
  <c r="B24" i="33"/>
  <c r="B17" i="33"/>
  <c r="B49" i="32"/>
  <c r="B29" i="33"/>
  <c r="B13" i="35"/>
  <c r="B2" i="35"/>
  <c r="B31" i="34"/>
  <c r="B27" i="35"/>
  <c r="B28" i="35"/>
  <c r="B39" i="35"/>
  <c r="B40" i="35"/>
  <c r="B41" i="35"/>
  <c r="K41" i="35"/>
  <c r="I41" i="35"/>
  <c r="B42" i="35"/>
  <c r="K42" i="35"/>
  <c r="I42" i="35"/>
  <c r="B10" i="35"/>
  <c r="B17" i="35"/>
  <c r="B18" i="35"/>
  <c r="B20" i="35"/>
  <c r="B27" i="36"/>
  <c r="B29" i="36"/>
  <c r="B20" i="34"/>
  <c r="B3" i="35"/>
  <c r="K3" i="35"/>
  <c r="I3" i="35"/>
  <c r="B29" i="35"/>
  <c r="B20" i="36"/>
  <c r="B9" i="34"/>
  <c r="B14" i="34"/>
  <c r="J14" i="34"/>
  <c r="H14" i="34"/>
  <c r="B30" i="35"/>
  <c r="B5" i="36"/>
  <c r="B19" i="34"/>
  <c r="J19" i="34"/>
  <c r="H19" i="34"/>
  <c r="B9" i="35"/>
  <c r="K9" i="35"/>
  <c r="I9" i="35"/>
  <c r="B27" i="32"/>
  <c r="B18" i="32"/>
  <c r="B8" i="32"/>
  <c r="B31" i="32"/>
  <c r="B39" i="32"/>
  <c r="B24" i="32"/>
  <c r="B44" i="32"/>
  <c r="B4" i="32"/>
  <c r="J4" i="32"/>
  <c r="H4" i="32"/>
  <c r="B5" i="32"/>
  <c r="B10" i="32"/>
  <c r="J10" i="32"/>
  <c r="H10" i="32"/>
  <c r="B11" i="32"/>
  <c r="B46" i="32"/>
  <c r="B30" i="32"/>
  <c r="B26" i="32"/>
  <c r="B33" i="32"/>
  <c r="B22" i="32"/>
  <c r="J22" i="32"/>
  <c r="H22" i="32"/>
  <c r="B7" i="32"/>
  <c r="B9" i="32"/>
  <c r="B41" i="32"/>
  <c r="B15" i="32"/>
  <c r="B12" i="32"/>
  <c r="B13" i="32"/>
  <c r="B45" i="32"/>
  <c r="J45" i="32"/>
  <c r="H45" i="32"/>
  <c r="B29" i="32"/>
  <c r="J29" i="32"/>
  <c r="H29" i="32"/>
  <c r="B28" i="32"/>
  <c r="B14" i="32"/>
  <c r="B35" i="32"/>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B42" i="32"/>
  <c r="B16" i="32"/>
  <c r="B26" i="33"/>
  <c r="J26" i="33"/>
  <c r="H26" i="33"/>
  <c r="B27" i="33"/>
  <c r="B36" i="32"/>
  <c r="B7" i="33"/>
  <c r="B27" i="34"/>
  <c r="B35" i="34"/>
  <c r="J35" i="34"/>
  <c r="H35" i="34"/>
  <c r="B40" i="34"/>
  <c r="B4" i="34"/>
  <c r="B33" i="34"/>
  <c r="B26" i="34"/>
  <c r="J26" i="34"/>
  <c r="H26" i="34"/>
  <c r="B28" i="34"/>
  <c r="B30" i="34"/>
  <c r="B41" i="34"/>
  <c r="B16" i="34"/>
  <c r="J16" i="34"/>
  <c r="H16" i="34"/>
  <c r="B2" i="34"/>
  <c r="B5" i="34"/>
  <c r="J5" i="34"/>
  <c r="H5" i="34"/>
  <c r="B3" i="34"/>
  <c r="B15" i="34"/>
  <c r="J15" i="34"/>
  <c r="H15" i="34"/>
  <c r="B13" i="34"/>
  <c r="B38" i="34"/>
  <c r="B17" i="34"/>
  <c r="B24" i="34"/>
  <c r="B25" i="34"/>
  <c r="B12" i="34"/>
  <c r="B6" i="34"/>
  <c r="J6" i="34"/>
  <c r="H6" i="34"/>
  <c r="B39" i="34"/>
  <c r="B11" i="34"/>
  <c r="J11" i="34"/>
  <c r="H11" i="34"/>
  <c r="B18" i="34"/>
  <c r="B21" i="34"/>
  <c r="J21" i="34"/>
  <c r="H21" i="34"/>
  <c r="B42" i="34"/>
  <c r="B22" i="34"/>
  <c r="B43" i="34"/>
  <c r="J43" i="34"/>
  <c r="H43" i="34"/>
  <c r="B36" i="34"/>
  <c r="B29" i="34"/>
  <c r="B23" i="34"/>
  <c r="B7" i="34"/>
  <c r="B10" i="34"/>
  <c r="B8" i="34"/>
  <c r="B37" i="34"/>
  <c r="J37" i="34"/>
  <c r="H37" i="34"/>
  <c r="B19" i="35"/>
  <c r="K19" i="35"/>
  <c r="I19" i="35"/>
  <c r="B21" i="35"/>
  <c r="K21" i="35"/>
  <c r="I21" i="35"/>
  <c r="B22" i="35"/>
  <c r="K22" i="35"/>
  <c r="I22" i="35"/>
  <c r="B23" i="35"/>
  <c r="K23" i="35"/>
  <c r="I23" i="35"/>
  <c r="B32" i="35"/>
  <c r="B34" i="35"/>
  <c r="K34" i="35"/>
  <c r="I34" i="35"/>
  <c r="B35" i="35"/>
  <c r="K35" i="35"/>
  <c r="I35" i="35"/>
  <c r="B36" i="35"/>
  <c r="K36" i="35"/>
  <c r="I36" i="35"/>
  <c r="B37" i="35"/>
  <c r="K37" i="35" s="1"/>
  <c r="B7" i="36"/>
  <c r="B8" i="36"/>
  <c r="B11" i="36"/>
  <c r="B4" i="36"/>
  <c r="B22" i="36"/>
  <c r="B23" i="36"/>
  <c r="B26" i="36"/>
  <c r="B5" i="35"/>
  <c r="B6" i="35"/>
  <c r="K6" i="35"/>
  <c r="I6" i="35"/>
  <c r="B7" i="35"/>
  <c r="K7" i="35"/>
  <c r="I7" i="35"/>
  <c r="B31" i="35"/>
  <c r="K31" i="35"/>
  <c r="I31" i="35"/>
  <c r="B9" i="36"/>
  <c r="B26" i="35"/>
  <c r="B2" i="36"/>
  <c r="B21" i="36"/>
  <c r="B10" i="36"/>
  <c r="B24" i="35"/>
  <c r="K24" i="35"/>
  <c r="I24" i="35"/>
  <c r="B25" i="35"/>
  <c r="K25" i="35"/>
  <c r="I25" i="35"/>
  <c r="B18" i="36"/>
  <c r="B15" i="36"/>
  <c r="B25" i="36"/>
  <c r="B24" i="36"/>
  <c r="B3" i="36"/>
  <c r="K3" i="36"/>
  <c r="B16" i="36"/>
  <c r="B13" i="33"/>
  <c r="J13" i="33"/>
  <c r="H13" i="33"/>
  <c r="B20" i="32"/>
  <c r="B40" i="32"/>
  <c r="J40" i="32"/>
  <c r="H40" i="32"/>
  <c r="B33" i="33"/>
  <c r="J33" i="33"/>
  <c r="H33" i="33"/>
  <c r="B25" i="32"/>
  <c r="J25" i="32"/>
  <c r="H25" i="32"/>
  <c r="B21" i="32"/>
  <c r="J21" i="32"/>
  <c r="H21" i="32"/>
  <c r="B32" i="33"/>
  <c r="J32" i="33"/>
  <c r="H32" i="33"/>
  <c r="B2" i="32"/>
  <c r="J2" i="32"/>
  <c r="H2" i="32"/>
  <c r="B37" i="32"/>
  <c r="J37" i="32"/>
  <c r="H37" i="32"/>
  <c r="B28" i="33"/>
  <c r="J28" i="33"/>
  <c r="H28" i="33"/>
  <c r="B30" i="33"/>
  <c r="J30" i="33"/>
  <c r="H30" i="33"/>
  <c r="B48" i="32"/>
  <c r="J48" i="32"/>
  <c r="H48" i="32"/>
  <c r="B19" i="32"/>
  <c r="B8" i="33"/>
  <c r="J8" i="33"/>
  <c r="H8" i="33"/>
  <c r="B9" i="33"/>
  <c r="J9" i="33"/>
  <c r="H9" i="33"/>
  <c r="B17" i="32"/>
  <c r="J17" i="32"/>
  <c r="H17" i="32"/>
  <c r="B11" i="33"/>
  <c r="J11" i="33"/>
  <c r="H11" i="33"/>
  <c r="B3" i="32"/>
  <c r="J3" i="32"/>
  <c r="H3" i="32"/>
  <c r="B43" i="32"/>
  <c r="J43" i="32"/>
  <c r="H43" i="32"/>
  <c r="J50" i="32"/>
  <c r="H50" i="32"/>
  <c r="B18" i="33"/>
  <c r="J18" i="33"/>
  <c r="H18" i="33"/>
  <c r="B5" i="33"/>
  <c r="J5" i="33"/>
  <c r="H5" i="33"/>
  <c r="B14" i="33"/>
  <c r="J14" i="33"/>
  <c r="H14" i="33"/>
  <c r="B25" i="33"/>
  <c r="J25" i="33"/>
  <c r="H25" i="33"/>
  <c r="B22" i="33"/>
  <c r="J22" i="33"/>
  <c r="H22" i="33"/>
  <c r="B12" i="33"/>
  <c r="J12" i="33"/>
  <c r="H12" i="33"/>
  <c r="B23" i="32"/>
  <c r="B4" i="33"/>
  <c r="B33" i="35"/>
  <c r="K33" i="35"/>
  <c r="I33" i="35"/>
  <c r="B12" i="35"/>
  <c r="K12" i="35"/>
  <c r="I12" i="35"/>
  <c r="B8" i="35"/>
  <c r="K8" i="35"/>
  <c r="I8" i="35"/>
  <c r="B20" i="33"/>
  <c r="J20" i="33"/>
  <c r="H20" i="33"/>
  <c r="B38" i="32"/>
  <c r="J38" i="32"/>
  <c r="H38" i="32"/>
  <c r="B10" i="33"/>
  <c r="J10" i="33"/>
  <c r="H10" i="33"/>
  <c r="B31" i="33"/>
  <c r="B47" i="32"/>
  <c r="J47" i="32"/>
  <c r="H47" i="32"/>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37" i="38"/>
  <c r="H37" i="38" s="1"/>
  <c r="J36" i="38"/>
  <c r="H36" i="38" s="1"/>
  <c r="H30" i="44"/>
  <c r="J30" i="44"/>
  <c r="H29" i="44"/>
  <c r="J29" i="44"/>
  <c r="H28" i="44"/>
  <c r="J28" i="44"/>
  <c r="H27" i="44"/>
  <c r="J27" i="44"/>
  <c r="J26" i="44"/>
  <c r="H26" i="44"/>
  <c r="H25" i="44"/>
  <c r="J25" i="44"/>
  <c r="J24" i="44"/>
  <c r="H24" i="44"/>
  <c r="J23" i="44"/>
  <c r="H23" i="44"/>
  <c r="J22" i="44"/>
  <c r="J8" i="46"/>
  <c r="H8" i="46"/>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J42" i="38" l="1"/>
  <c r="H42" i="38" s="1"/>
  <c r="H21" i="44"/>
  <c r="J21" i="44"/>
  <c r="H20" i="44"/>
  <c r="J20" i="44"/>
  <c r="J19" i="44"/>
  <c r="H19" i="44"/>
  <c r="J18" i="44"/>
  <c r="H18" i="44"/>
  <c r="H17" i="44"/>
  <c r="J17" i="44"/>
  <c r="J16" i="44"/>
  <c r="H16" i="44"/>
  <c r="H15" i="44"/>
  <c r="J15" i="44"/>
  <c r="J14" i="44"/>
  <c r="H14" i="44"/>
  <c r="J98" i="43"/>
  <c r="H98" i="43"/>
  <c r="H97" i="43"/>
  <c r="J97" i="43"/>
  <c r="H96" i="43"/>
  <c r="J96" i="43"/>
  <c r="J95" i="43"/>
  <c r="H95" i="43"/>
  <c r="J94" i="43"/>
  <c r="H94" i="43"/>
  <c r="J93" i="43"/>
  <c r="H93" i="43"/>
  <c r="H92" i="43"/>
  <c r="J92" i="43"/>
  <c r="J91" i="43"/>
  <c r="H91" i="43"/>
  <c r="J90" i="43"/>
  <c r="H90" i="43"/>
  <c r="H89" i="43"/>
  <c r="J89" i="43"/>
  <c r="J88" i="43"/>
  <c r="H88" i="43"/>
  <c r="H87" i="43"/>
  <c r="J87" i="43"/>
  <c r="H86" i="43"/>
  <c r="J86" i="43"/>
  <c r="H85" i="43"/>
  <c r="J85" i="43"/>
  <c r="H84" i="43"/>
  <c r="J84" i="43"/>
  <c r="H83" i="43"/>
  <c r="J83" i="43"/>
  <c r="H82" i="43"/>
  <c r="J82" i="43"/>
  <c r="J81" i="43"/>
  <c r="H81" i="43"/>
  <c r="H80" i="43"/>
  <c r="J80" i="43"/>
  <c r="J79" i="43"/>
  <c r="H79" i="43"/>
  <c r="H78" i="43"/>
  <c r="J78" i="43"/>
  <c r="H77" i="43"/>
  <c r="J77" i="43"/>
  <c r="J76" i="43"/>
  <c r="H76" i="43"/>
  <c r="J75" i="43"/>
  <c r="H75" i="43"/>
  <c r="J74" i="43"/>
  <c r="H74" i="43"/>
  <c r="J73" i="43"/>
  <c r="H73" i="43"/>
  <c r="H72" i="43"/>
  <c r="J72" i="43"/>
  <c r="H71" i="43"/>
  <c r="J71" i="43"/>
  <c r="H70" i="43"/>
  <c r="J70" i="43"/>
  <c r="H69" i="43"/>
  <c r="J69" i="43"/>
  <c r="H68" i="43"/>
  <c r="J68" i="43"/>
  <c r="H67" i="43"/>
  <c r="J67" i="43"/>
  <c r="H66" i="43"/>
  <c r="J66" i="43"/>
  <c r="J65" i="43"/>
  <c r="H65" i="43"/>
  <c r="H64" i="43"/>
  <c r="J64" i="43"/>
  <c r="J63" i="43"/>
  <c r="H63" i="43"/>
  <c r="J62" i="43"/>
  <c r="H62" i="43"/>
  <c r="J61" i="43"/>
  <c r="H61" i="43"/>
  <c r="H60" i="43"/>
  <c r="J60" i="43"/>
  <c r="J59" i="43"/>
  <c r="H59" i="43"/>
  <c r="H58" i="43"/>
  <c r="J58" i="43"/>
  <c r="H57" i="43"/>
  <c r="J57" i="43"/>
  <c r="H56" i="43"/>
  <c r="J56" i="43"/>
  <c r="H55" i="43"/>
  <c r="J55" i="43"/>
  <c r="J54" i="43"/>
  <c r="H54" i="43"/>
  <c r="J53" i="43"/>
  <c r="H53" i="43"/>
  <c r="H52" i="43"/>
  <c r="J52" i="43"/>
  <c r="J51" i="43"/>
  <c r="H51" i="43"/>
  <c r="J50" i="43"/>
  <c r="H50" i="43"/>
  <c r="J49" i="43"/>
  <c r="H49" i="43"/>
  <c r="J48" i="43"/>
  <c r="H48" i="43"/>
  <c r="H47" i="43"/>
  <c r="J47" i="43"/>
  <c r="J46" i="43"/>
  <c r="H46" i="43"/>
  <c r="J45" i="43"/>
  <c r="H45" i="43"/>
  <c r="H44" i="43"/>
  <c r="J44" i="43"/>
  <c r="H43" i="43"/>
  <c r="J43" i="43"/>
  <c r="J42" i="43"/>
  <c r="H42" i="43"/>
  <c r="H41" i="43"/>
  <c r="J41" i="43"/>
  <c r="H40" i="43"/>
  <c r="J40" i="43"/>
  <c r="H39" i="43"/>
  <c r="J39" i="43"/>
  <c r="J38" i="43"/>
  <c r="H38" i="43"/>
  <c r="J37" i="43"/>
  <c r="H37" i="43"/>
  <c r="H36" i="43"/>
  <c r="J36" i="43"/>
  <c r="J35" i="43"/>
  <c r="H35" i="43"/>
  <c r="H34" i="43"/>
  <c r="J34" i="43"/>
  <c r="H33" i="43"/>
  <c r="J33" i="43"/>
  <c r="H32" i="43"/>
  <c r="J32" i="43"/>
  <c r="J31" i="43"/>
  <c r="H31" i="43"/>
  <c r="H30" i="43"/>
  <c r="J30" i="43"/>
  <c r="H29" i="43"/>
  <c r="J29" i="43"/>
  <c r="H28" i="43"/>
  <c r="J28" i="43"/>
  <c r="H27" i="43"/>
  <c r="J27" i="43"/>
  <c r="H26" i="43"/>
  <c r="J26" i="43"/>
  <c r="H25" i="43"/>
  <c r="J25" i="43"/>
  <c r="J24" i="43"/>
  <c r="H24" i="43"/>
  <c r="J23" i="43"/>
  <c r="H23" i="43"/>
  <c r="H22" i="43"/>
  <c r="J22" i="43"/>
  <c r="H21" i="43"/>
  <c r="J21" i="43"/>
  <c r="J20" i="43"/>
  <c r="H20" i="43"/>
  <c r="J19" i="43"/>
  <c r="H19" i="43"/>
  <c r="J18" i="43"/>
  <c r="H18" i="43"/>
  <c r="H17" i="43"/>
  <c r="J17" i="43"/>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2" i="32"/>
  <c r="H12" i="32"/>
  <c r="K5" i="35"/>
  <c r="I5" i="35"/>
  <c r="J41" i="38"/>
  <c r="H41" i="38" s="1"/>
  <c r="J40" i="38"/>
  <c r="H40" i="38" s="1"/>
  <c r="J39" i="38"/>
  <c r="H39" i="38" s="1"/>
  <c r="J38" i="38"/>
  <c r="H38" i="38" s="1"/>
  <c r="K28" i="35"/>
  <c r="I28" i="35" s="1"/>
  <c r="J40" i="34"/>
  <c r="H40" i="34"/>
  <c r="J14" i="32"/>
  <c r="H14" i="32" s="1"/>
  <c r="I37" i="35"/>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H10" i="44"/>
  <c r="J10" i="44"/>
  <c r="H9" i="44"/>
  <c r="J9" i="44"/>
  <c r="J8" i="44"/>
  <c r="H8" i="44"/>
  <c r="H7" i="44"/>
  <c r="J7" i="44"/>
  <c r="H6" i="44"/>
  <c r="J6" i="44"/>
  <c r="J5" i="44"/>
  <c r="H5" i="44"/>
  <c r="H4" i="44"/>
  <c r="J4" i="44"/>
  <c r="J3" i="44"/>
  <c r="H3" i="44"/>
  <c r="H2" i="44"/>
  <c r="J2" i="44"/>
  <c r="J101" i="43"/>
  <c r="H101" i="43"/>
  <c r="J100" i="43"/>
  <c r="H100" i="43"/>
  <c r="H99" i="43"/>
  <c r="J99" i="43"/>
  <c r="J101" i="37"/>
  <c r="H101" i="37"/>
  <c r="J100" i="37"/>
  <c r="H100" i="37"/>
  <c r="J99" i="37"/>
  <c r="H99" i="37"/>
  <c r="H97" i="37"/>
  <c r="J97" i="37"/>
  <c r="H96" i="37"/>
  <c r="J96" i="37"/>
  <c r="J95" i="37"/>
  <c r="H95" i="37"/>
  <c r="H94" i="37"/>
  <c r="J94" i="37"/>
  <c r="J93" i="37"/>
  <c r="H93" i="37"/>
  <c r="J92" i="37"/>
  <c r="H92" i="37"/>
  <c r="H91" i="37"/>
  <c r="J91" i="37"/>
  <c r="H90" i="37"/>
  <c r="J90" i="37"/>
  <c r="J89" i="37"/>
  <c r="H89" i="37"/>
  <c r="J88" i="37"/>
  <c r="H88" i="37"/>
  <c r="J87" i="37"/>
  <c r="H87" i="37"/>
  <c r="H86" i="37"/>
  <c r="J86" i="37"/>
  <c r="H85" i="37"/>
  <c r="J85" i="37"/>
  <c r="J84" i="37"/>
  <c r="H84" i="37"/>
  <c r="H83" i="37"/>
  <c r="J83" i="37"/>
  <c r="H82" i="37"/>
  <c r="J82" i="37"/>
  <c r="H81" i="37"/>
  <c r="J81" i="37"/>
  <c r="J80" i="37"/>
  <c r="H80" i="37"/>
  <c r="J71" i="32"/>
  <c r="H71" i="32"/>
  <c r="H70" i="32"/>
  <c r="J70" i="32"/>
  <c r="H69" i="32"/>
  <c r="J69" i="32"/>
  <c r="J68" i="32"/>
  <c r="H68" i="32"/>
  <c r="J67" i="32"/>
  <c r="H67" i="32"/>
  <c r="H66" i="32"/>
  <c r="J66" i="32"/>
  <c r="J32" i="26"/>
  <c r="H32" i="26"/>
  <c r="J101" i="25"/>
  <c r="H101" i="25"/>
  <c r="H100" i="25"/>
  <c r="J100" i="25"/>
  <c r="J99" i="25"/>
  <c r="H99" i="25"/>
  <c r="H98" i="25"/>
  <c r="J98" i="25"/>
  <c r="H97" i="25"/>
  <c r="J97" i="25"/>
  <c r="J96" i="25"/>
  <c r="H96" i="25"/>
  <c r="J95" i="25"/>
  <c r="H95" i="25"/>
  <c r="H94" i="25"/>
  <c r="J94" i="25"/>
  <c r="J93" i="25"/>
  <c r="H93" i="25"/>
  <c r="J92" i="25"/>
  <c r="H92" i="25"/>
  <c r="H91" i="25"/>
  <c r="J91" i="25"/>
  <c r="J90" i="25"/>
  <c r="H90" i="25"/>
  <c r="H89" i="25"/>
  <c r="J89" i="25"/>
  <c r="J88" i="25"/>
  <c r="H88" i="25"/>
  <c r="H71" i="24"/>
  <c r="J71" i="24"/>
  <c r="H70" i="24"/>
  <c r="J70" i="24"/>
  <c r="H69" i="24"/>
  <c r="J69" i="24"/>
  <c r="J81" i="23"/>
  <c r="H81" i="23"/>
  <c r="H80" i="23"/>
  <c r="J80" i="23"/>
  <c r="H79" i="23"/>
  <c r="J79" i="23"/>
  <c r="H78" i="23"/>
  <c r="J78" i="23"/>
  <c r="J77" i="23"/>
  <c r="H77" i="23"/>
  <c r="H76" i="23"/>
  <c r="J76" i="23"/>
  <c r="J75" i="23"/>
  <c r="H75" i="23"/>
  <c r="H74" i="23"/>
  <c r="J74" i="23"/>
  <c r="H73" i="23"/>
  <c r="J73" i="23"/>
  <c r="H72" i="23"/>
  <c r="J72" i="23"/>
  <c r="H71" i="23"/>
  <c r="J71" i="23"/>
  <c r="J70" i="23"/>
  <c r="H70" i="23"/>
  <c r="J69" i="23"/>
  <c r="H69" i="23"/>
  <c r="H68" i="23"/>
  <c r="J68" i="23"/>
  <c r="H67" i="23"/>
  <c r="J67" i="23"/>
  <c r="J66" i="23"/>
  <c r="H66" i="23"/>
  <c r="H65" i="23"/>
  <c r="J65" i="23"/>
  <c r="H64" i="23"/>
  <c r="J64" i="23"/>
  <c r="H63" i="23"/>
  <c r="J63" i="23"/>
  <c r="J62" i="23"/>
  <c r="H62" i="23"/>
  <c r="J61" i="23"/>
  <c r="H61" i="23"/>
  <c r="J60" i="23"/>
  <c r="H60" i="23"/>
  <c r="J59" i="23"/>
  <c r="H59" i="23"/>
  <c r="H58" i="23"/>
  <c r="J58" i="23"/>
  <c r="H57" i="23"/>
  <c r="J57" i="23"/>
  <c r="J56" i="23"/>
  <c r="H56" i="23"/>
  <c r="H55" i="23"/>
  <c r="J55" i="23"/>
  <c r="J54" i="23"/>
  <c r="H54" i="23"/>
  <c r="H53" i="23"/>
  <c r="J53" i="23"/>
  <c r="H52" i="23"/>
  <c r="J52" i="23"/>
  <c r="H51" i="23"/>
  <c r="J51" i="23"/>
  <c r="H50" i="23"/>
  <c r="J50" i="23"/>
  <c r="H49" i="23"/>
  <c r="J49" i="23"/>
  <c r="H48" i="23"/>
  <c r="J48" i="23"/>
  <c r="J47" i="23"/>
  <c r="H47" i="23"/>
  <c r="H46" i="23"/>
  <c r="J46" i="23"/>
  <c r="H45" i="23"/>
  <c r="J45" i="23"/>
  <c r="H44" i="23"/>
  <c r="J44" i="23"/>
  <c r="H43" i="23"/>
  <c r="J43" i="23"/>
  <c r="H42" i="23"/>
  <c r="J42" i="23"/>
  <c r="H41" i="23"/>
  <c r="J41" i="23"/>
  <c r="J40" i="23"/>
  <c r="H40" i="23"/>
  <c r="J39" i="23"/>
  <c r="H39" i="23"/>
  <c r="H38" i="23"/>
  <c r="J38" i="23"/>
  <c r="J37" i="23"/>
  <c r="H37" i="23"/>
  <c r="H36" i="23"/>
  <c r="J36" i="23"/>
  <c r="H35" i="23"/>
  <c r="J35" i="23"/>
  <c r="H34" i="23"/>
  <c r="J34" i="23"/>
  <c r="H33" i="23"/>
  <c r="J33" i="23"/>
  <c r="H32" i="23"/>
  <c r="J32" i="23"/>
  <c r="H101" i="22"/>
  <c r="J101" i="22"/>
  <c r="J100" i="22"/>
  <c r="H100" i="22"/>
  <c r="H99" i="22"/>
  <c r="J99" i="22"/>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J82" i="22"/>
  <c r="H82" i="22"/>
  <c r="H81" i="22"/>
  <c r="J81" i="22"/>
  <c r="H80" i="22"/>
  <c r="J80" i="22"/>
  <c r="H79" i="22"/>
  <c r="J79" i="22"/>
  <c r="J78" i="22"/>
  <c r="H78" i="22"/>
  <c r="H77" i="22"/>
  <c r="J77" i="22"/>
  <c r="H76" i="22"/>
  <c r="J76" i="22"/>
  <c r="J75" i="22"/>
  <c r="H75" i="22"/>
  <c r="J74" i="22"/>
  <c r="H74" i="22"/>
  <c r="J73" i="22"/>
  <c r="H73" i="22"/>
  <c r="H72" i="22"/>
  <c r="J72" i="22"/>
  <c r="H71" i="22"/>
  <c r="J71" i="22"/>
  <c r="H70" i="22"/>
  <c r="J70" i="22"/>
  <c r="H69" i="22"/>
  <c r="J69" i="22"/>
  <c r="H68" i="22"/>
  <c r="J68" i="22"/>
  <c r="J67" i="22"/>
  <c r="H67" i="22"/>
  <c r="J66" i="22"/>
  <c r="H66" i="22"/>
  <c r="J65" i="22"/>
  <c r="H65" i="22"/>
  <c r="H64" i="22"/>
  <c r="J64" i="22"/>
  <c r="J63" i="22"/>
  <c r="H63" i="22"/>
  <c r="H62" i="22"/>
  <c r="J62" i="22"/>
  <c r="J61" i="22"/>
  <c r="H61" i="22"/>
  <c r="J60" i="22"/>
  <c r="H60" i="22"/>
  <c r="J59" i="22"/>
  <c r="H59" i="22"/>
  <c r="H58" i="22"/>
  <c r="J58" i="22"/>
  <c r="H57" i="22"/>
  <c r="J57" i="22"/>
  <c r="H56" i="22"/>
  <c r="J56" i="22"/>
  <c r="J55" i="22"/>
  <c r="H55" i="22"/>
  <c r="H54" i="22"/>
  <c r="J54" i="22"/>
  <c r="H53" i="22"/>
  <c r="J53" i="22"/>
  <c r="J52" i="22"/>
  <c r="H52" i="22"/>
  <c r="H51" i="22"/>
  <c r="J51" i="22"/>
  <c r="H50" i="22"/>
  <c r="J50" i="22"/>
  <c r="J49" i="22"/>
  <c r="H49" i="22"/>
  <c r="J48" i="22"/>
  <c r="H48" i="22"/>
  <c r="H47" i="22"/>
  <c r="J47" i="22"/>
  <c r="J46" i="22"/>
  <c r="H46" i="22"/>
  <c r="J45" i="22"/>
  <c r="H45" i="22"/>
  <c r="H44" i="22"/>
  <c r="J44" i="22"/>
  <c r="J43" i="22"/>
  <c r="H43" i="22"/>
  <c r="J42" i="22"/>
  <c r="H42" i="22"/>
  <c r="H41" i="22"/>
  <c r="J41" i="22"/>
  <c r="J40" i="22"/>
  <c r="H40" i="22"/>
  <c r="H39" i="22"/>
  <c r="J39" i="2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J4" i="34"/>
  <c r="H4" i="34" s="1"/>
  <c r="J35" i="38"/>
  <c r="H35" i="38" s="1"/>
  <c r="J34" i="38"/>
  <c r="H34" i="38" s="1"/>
  <c r="J33" i="38"/>
  <c r="H33" i="38" s="1"/>
  <c r="J32" i="38"/>
  <c r="H32" i="38" s="1"/>
  <c r="J31" i="38"/>
  <c r="H31" i="38" s="1"/>
  <c r="J30" i="38"/>
  <c r="H30" i="38" s="1"/>
  <c r="J29" i="38"/>
  <c r="H29" i="38" s="1"/>
  <c r="J28" i="38"/>
  <c r="H28" i="38" s="1"/>
  <c r="J27" i="38"/>
  <c r="H27" i="38" s="1"/>
  <c r="J26" i="38"/>
  <c r="H26" i="38" s="1"/>
  <c r="J25" i="38"/>
  <c r="H25" i="38" s="1"/>
  <c r="J24" i="38"/>
  <c r="H24" i="38" s="1"/>
  <c r="J23" i="38"/>
  <c r="H23" i="38" s="1"/>
  <c r="J22" i="38"/>
  <c r="H22" i="38" s="1"/>
  <c r="J21" i="38"/>
  <c r="H21" i="38"/>
  <c r="J20" i="38"/>
  <c r="H20" i="38" s="1"/>
  <c r="J19" i="38"/>
  <c r="H19" i="38" s="1"/>
  <c r="J18" i="38"/>
  <c r="H18" i="38" s="1"/>
  <c r="J17" i="38"/>
  <c r="H17" i="38"/>
  <c r="J16" i="38"/>
  <c r="H16" i="38" s="1"/>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c r="J45" i="39"/>
  <c r="H45" i="39"/>
  <c r="J44" i="39"/>
  <c r="H44" i="39"/>
  <c r="J43" i="39"/>
  <c r="H43" i="39"/>
  <c r="H42" i="39"/>
  <c r="J42" i="39"/>
  <c r="J41" i="39"/>
  <c r="H41" i="39"/>
  <c r="J40" i="39"/>
  <c r="H40" i="39"/>
  <c r="H39" i="39"/>
  <c r="J39" i="39"/>
  <c r="J38" i="39"/>
  <c r="H38" i="39"/>
  <c r="H37" i="39"/>
  <c r="J37" i="39"/>
  <c r="H36" i="39"/>
  <c r="J36" i="39"/>
  <c r="H35" i="39"/>
  <c r="J35" i="39"/>
  <c r="J34" i="39"/>
  <c r="H34" i="39"/>
  <c r="J33" i="39"/>
  <c r="H33" i="39"/>
  <c r="J32" i="39"/>
  <c r="H32" i="39"/>
  <c r="H31" i="39"/>
  <c r="J31" i="39"/>
  <c r="H30" i="39"/>
  <c r="J30" i="39"/>
  <c r="J29" i="39"/>
  <c r="H29" i="39"/>
  <c r="H28" i="39"/>
  <c r="J28" i="39"/>
  <c r="H27" i="39"/>
  <c r="J27" i="39"/>
  <c r="H26" i="39"/>
  <c r="J26" i="39"/>
  <c r="J25" i="39"/>
  <c r="H25" i="39"/>
  <c r="J24" i="39"/>
  <c r="H24" i="39"/>
  <c r="J23" i="39"/>
  <c r="H23" i="39"/>
  <c r="H22" i="39"/>
  <c r="J22" i="39"/>
  <c r="J21" i="39"/>
  <c r="H21" i="39"/>
  <c r="J20" i="39"/>
  <c r="H20" i="39"/>
  <c r="J19" i="39"/>
  <c r="H19" i="39"/>
  <c r="H18" i="39"/>
  <c r="J18" i="39"/>
  <c r="H17" i="39"/>
  <c r="J17" i="39"/>
  <c r="J16" i="39"/>
  <c r="H16" i="39"/>
  <c r="J15" i="39"/>
  <c r="H15" i="39"/>
  <c r="H14" i="39"/>
  <c r="J14" i="39"/>
  <c r="J13" i="39"/>
  <c r="H13" i="39"/>
  <c r="H12" i="39"/>
  <c r="J12" i="39"/>
  <c r="H11" i="39"/>
  <c r="J11" i="39"/>
  <c r="H10" i="39"/>
  <c r="J10" i="39"/>
  <c r="J45" i="27"/>
  <c r="H45" i="27"/>
  <c r="J44" i="27"/>
  <c r="H44" i="27"/>
  <c r="J43" i="27"/>
  <c r="H43" i="27"/>
  <c r="H42" i="27"/>
  <c r="J42" i="27"/>
  <c r="H41" i="27"/>
  <c r="J41" i="27"/>
  <c r="J40" i="27"/>
  <c r="H40" i="27"/>
  <c r="J39" i="27"/>
  <c r="H39" i="27"/>
  <c r="J38" i="27"/>
  <c r="H38" i="27"/>
  <c r="J37" i="27"/>
  <c r="H37" i="27"/>
  <c r="J36" i="27"/>
  <c r="H36" i="27"/>
  <c r="J35" i="27"/>
  <c r="H35" i="27"/>
  <c r="H34" i="27"/>
  <c r="J34" i="27"/>
  <c r="J33" i="27"/>
  <c r="H33" i="27"/>
  <c r="H101" i="26"/>
  <c r="J101" i="26"/>
  <c r="J100" i="26"/>
  <c r="H100" i="26"/>
  <c r="J99" i="26"/>
  <c r="H99" i="26"/>
  <c r="H98" i="26"/>
  <c r="J98" i="26"/>
  <c r="J97" i="26"/>
  <c r="H97" i="26"/>
  <c r="J96" i="26"/>
  <c r="H96" i="26"/>
  <c r="H95" i="26"/>
  <c r="J95" i="26"/>
  <c r="H94" i="26"/>
  <c r="J94" i="26"/>
  <c r="H93" i="26"/>
  <c r="J93" i="26"/>
  <c r="H92" i="26"/>
  <c r="J92" i="26"/>
  <c r="J91" i="26"/>
  <c r="H91" i="26"/>
  <c r="H90" i="26"/>
  <c r="J90" i="26"/>
  <c r="J89" i="26"/>
  <c r="H89" i="26"/>
  <c r="J88" i="26"/>
  <c r="H88" i="26"/>
  <c r="H87" i="26"/>
  <c r="J87" i="26"/>
  <c r="J86" i="26"/>
  <c r="H86" i="26"/>
  <c r="H85" i="26"/>
  <c r="J85" i="26"/>
  <c r="J84" i="26"/>
  <c r="H84" i="26"/>
  <c r="J83" i="26"/>
  <c r="H83" i="26"/>
  <c r="H82" i="26"/>
  <c r="J82" i="26"/>
  <c r="J81" i="26"/>
  <c r="H81" i="26"/>
  <c r="H80" i="26"/>
  <c r="J80" i="26"/>
  <c r="H79" i="26"/>
  <c r="J79" i="26"/>
  <c r="H78" i="26"/>
  <c r="J78" i="26"/>
  <c r="H77" i="26"/>
  <c r="J77" i="26"/>
  <c r="H76" i="26"/>
  <c r="J76" i="26"/>
  <c r="J75" i="26"/>
  <c r="H75" i="26"/>
  <c r="J74" i="26"/>
  <c r="H74" i="26"/>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J27" i="37"/>
  <c r="H27" i="37" s="1"/>
  <c r="J26" i="37"/>
  <c r="H26" i="37" s="1"/>
  <c r="K53" i="36"/>
  <c r="I53" i="36" s="1"/>
  <c r="J29" i="37"/>
  <c r="H29" i="37"/>
  <c r="J30" i="37"/>
  <c r="H30" i="37" s="1"/>
  <c r="J28" i="37"/>
  <c r="H28" i="37" s="1"/>
  <c r="K26" i="35"/>
  <c r="I26" i="35" s="1"/>
  <c r="J15" i="38"/>
  <c r="H15" i="38" s="1"/>
  <c r="J14" i="38"/>
  <c r="H14" i="38" s="1"/>
  <c r="J13" i="38"/>
  <c r="H13" i="38"/>
  <c r="J12" i="38"/>
  <c r="H12" i="38" s="1"/>
  <c r="J11" i="38"/>
  <c r="H11" i="38" s="1"/>
  <c r="J10" i="38"/>
  <c r="H10" i="38" s="1"/>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64" i="34"/>
  <c r="J64" i="34"/>
  <c r="H63" i="34"/>
  <c r="J63" i="34"/>
  <c r="J62" i="34"/>
  <c r="H62" i="34"/>
  <c r="J61" i="34"/>
  <c r="H61" i="34"/>
  <c r="H60" i="34"/>
  <c r="J60" i="34"/>
  <c r="H59" i="34"/>
  <c r="J59" i="34"/>
  <c r="J58" i="34"/>
  <c r="H58" i="34"/>
  <c r="H57" i="34"/>
  <c r="J57" i="34"/>
  <c r="J56" i="34"/>
  <c r="H56" i="34"/>
  <c r="H55" i="34"/>
  <c r="J55" i="34"/>
  <c r="J54" i="34"/>
  <c r="H54" i="34"/>
  <c r="J53" i="34"/>
  <c r="H53" i="34"/>
  <c r="J52" i="34"/>
  <c r="H52" i="34"/>
  <c r="J51" i="34"/>
  <c r="H51" i="34"/>
  <c r="J50" i="34"/>
  <c r="H50" i="34"/>
  <c r="H49" i="34"/>
  <c r="J49" i="34"/>
  <c r="H48" i="34"/>
  <c r="J48" i="34"/>
  <c r="J47" i="34"/>
  <c r="H47" i="34"/>
  <c r="H46" i="34"/>
  <c r="J46" i="34"/>
  <c r="H45" i="34"/>
  <c r="J45" i="34"/>
  <c r="H101" i="33"/>
  <c r="J101" i="33"/>
  <c r="H100" i="33"/>
  <c r="J100" i="33"/>
  <c r="H99" i="33"/>
  <c r="J99" i="33"/>
  <c r="J98" i="33"/>
  <c r="H98" i="33"/>
  <c r="H97" i="33"/>
  <c r="J97" i="33"/>
  <c r="H96" i="33"/>
  <c r="J96" i="33"/>
  <c r="J95" i="33"/>
  <c r="H95" i="33"/>
  <c r="J94" i="33"/>
  <c r="H94" i="33"/>
  <c r="J93" i="33"/>
  <c r="H93" i="33"/>
  <c r="J92" i="33"/>
  <c r="H92" i="33"/>
  <c r="H91" i="33"/>
  <c r="J91" i="33"/>
  <c r="H90" i="33"/>
  <c r="J90" i="33"/>
  <c r="J89" i="33"/>
  <c r="H89" i="33"/>
  <c r="H88" i="33"/>
  <c r="J88" i="33"/>
  <c r="H87" i="33"/>
  <c r="J87" i="33"/>
  <c r="H86" i="33"/>
  <c r="J86" i="33"/>
  <c r="H85" i="33"/>
  <c r="J85" i="33"/>
  <c r="H84" i="33"/>
  <c r="J84" i="33"/>
  <c r="H83" i="33"/>
  <c r="J83" i="33"/>
  <c r="H82" i="33"/>
  <c r="J82" i="33"/>
  <c r="J81" i="33"/>
  <c r="H81" i="33"/>
  <c r="H80" i="33"/>
  <c r="J80" i="33"/>
  <c r="H79" i="33"/>
  <c r="J79" i="33"/>
  <c r="J78" i="33"/>
  <c r="H78" i="33"/>
  <c r="J77" i="33"/>
  <c r="H77" i="33"/>
  <c r="H76" i="33"/>
  <c r="J76" i="33"/>
  <c r="H75" i="33"/>
  <c r="J75" i="33"/>
  <c r="H74" i="33"/>
  <c r="J74" i="33"/>
  <c r="J73" i="33"/>
  <c r="H73" i="33"/>
  <c r="H72" i="33"/>
  <c r="J72" i="33"/>
  <c r="J71" i="33"/>
  <c r="H71" i="33"/>
  <c r="H70" i="33"/>
  <c r="J70" i="33"/>
  <c r="H69" i="33"/>
  <c r="J69" i="33"/>
  <c r="H68" i="33"/>
  <c r="J68" i="33"/>
  <c r="J67" i="33"/>
  <c r="H67" i="33"/>
  <c r="H66" i="33"/>
  <c r="J66" i="33"/>
  <c r="H65" i="33"/>
  <c r="J65" i="33"/>
  <c r="H64" i="33"/>
  <c r="J64" i="33"/>
  <c r="H63" i="33"/>
  <c r="J63" i="33"/>
  <c r="H62" i="33"/>
  <c r="J62" i="33"/>
  <c r="J61" i="33"/>
  <c r="H61" i="33"/>
  <c r="J60" i="33"/>
  <c r="H60" i="33"/>
  <c r="J59" i="33"/>
  <c r="H59" i="33"/>
  <c r="J58" i="33"/>
  <c r="H58" i="33"/>
  <c r="J57" i="33"/>
  <c r="H57" i="33"/>
  <c r="J56" i="33"/>
  <c r="H56" i="33"/>
  <c r="J55" i="33"/>
  <c r="H55" i="33"/>
  <c r="J54" i="33"/>
  <c r="H54" i="33"/>
  <c r="J53" i="33"/>
  <c r="H53" i="33"/>
  <c r="H52" i="33"/>
  <c r="J52" i="33"/>
  <c r="H51" i="33"/>
  <c r="J51" i="33"/>
  <c r="H50" i="33"/>
  <c r="J50" i="33"/>
  <c r="H49" i="33"/>
  <c r="J49" i="33"/>
  <c r="H48" i="33"/>
  <c r="J48" i="33"/>
  <c r="J47" i="33"/>
  <c r="H47" i="33"/>
  <c r="H46" i="33"/>
  <c r="J46" i="33"/>
  <c r="J45" i="33"/>
  <c r="H45" i="33"/>
  <c r="H44" i="33"/>
  <c r="J44" i="33"/>
  <c r="J43" i="33"/>
  <c r="H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H56" i="32"/>
  <c r="J56" i="32"/>
  <c r="J55" i="32"/>
  <c r="H55" i="32"/>
  <c r="J54" i="32"/>
  <c r="H54" i="32"/>
  <c r="H53" i="32"/>
  <c r="J53" i="32"/>
  <c r="H52" i="32"/>
  <c r="J52" i="32"/>
  <c r="H101" i="29"/>
  <c r="J101" i="29"/>
  <c r="H100" i="29"/>
  <c r="J100" i="29"/>
  <c r="J99" i="29"/>
  <c r="H99" i="29"/>
  <c r="J98" i="29"/>
  <c r="H98" i="29"/>
  <c r="H97" i="29"/>
  <c r="J97" i="29"/>
  <c r="H96" i="29"/>
  <c r="J96" i="29"/>
  <c r="J95" i="29"/>
  <c r="H95" i="29"/>
  <c r="J94" i="29"/>
  <c r="H94" i="29"/>
  <c r="J93" i="29"/>
  <c r="H93" i="29"/>
  <c r="H92" i="29"/>
  <c r="J92" i="29"/>
  <c r="H91" i="29"/>
  <c r="J91" i="29"/>
  <c r="H90" i="29"/>
  <c r="J90" i="29"/>
  <c r="J89" i="29"/>
  <c r="H89" i="29"/>
  <c r="J88" i="29"/>
  <c r="H88" i="29"/>
  <c r="J87" i="29"/>
  <c r="H87" i="29"/>
  <c r="H86" i="29"/>
  <c r="J86" i="29"/>
  <c r="J85" i="29"/>
  <c r="H85" i="29"/>
  <c r="J84" i="29"/>
  <c r="H84" i="29"/>
  <c r="H83" i="29"/>
  <c r="J83" i="29"/>
  <c r="H82" i="29"/>
  <c r="J82" i="29"/>
  <c r="H81" i="29"/>
  <c r="J81" i="29"/>
  <c r="J80" i="29"/>
  <c r="H80" i="29"/>
  <c r="J79" i="29"/>
  <c r="H79" i="29"/>
  <c r="H78" i="29"/>
  <c r="J78" i="29"/>
  <c r="J77" i="29"/>
  <c r="H77" i="29"/>
  <c r="J76" i="29"/>
  <c r="H76" i="29"/>
  <c r="J75" i="29"/>
  <c r="H75" i="29"/>
  <c r="H74" i="29"/>
  <c r="J74" i="29"/>
  <c r="H73" i="29"/>
  <c r="J73" i="29"/>
  <c r="H72" i="29"/>
  <c r="J72" i="29"/>
  <c r="H71" i="29"/>
  <c r="J71" i="29"/>
  <c r="J70" i="29"/>
  <c r="H70" i="29"/>
  <c r="H69" i="29"/>
  <c r="J69" i="29"/>
  <c r="H68" i="29"/>
  <c r="J68" i="29"/>
  <c r="H67" i="29"/>
  <c r="J67" i="29"/>
  <c r="J66" i="29"/>
  <c r="H66" i="29"/>
  <c r="J65" i="29"/>
  <c r="H65" i="29"/>
  <c r="H64" i="29"/>
  <c r="J64" i="29"/>
  <c r="H63" i="29"/>
  <c r="J63" i="29"/>
  <c r="H62" i="29"/>
  <c r="J62" i="29"/>
  <c r="H61" i="29"/>
  <c r="J61" i="29"/>
  <c r="J60" i="29"/>
  <c r="H60" i="29"/>
  <c r="J59" i="29"/>
  <c r="H59" i="29"/>
  <c r="H58" i="29"/>
  <c r="J58" i="29"/>
  <c r="J57" i="29"/>
  <c r="H57" i="29"/>
  <c r="H56" i="29"/>
  <c r="J56" i="29"/>
  <c r="H55" i="29"/>
  <c r="J55" i="29"/>
  <c r="J54" i="29"/>
  <c r="H54" i="29"/>
  <c r="J53" i="29"/>
  <c r="H53" i="29"/>
  <c r="H101" i="28"/>
  <c r="J101" i="28"/>
  <c r="J100" i="28"/>
  <c r="H100" i="28"/>
  <c r="H99" i="28"/>
  <c r="J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J65" i="28"/>
  <c r="H65" i="28"/>
  <c r="H64" i="28"/>
  <c r="J64" i="28"/>
  <c r="J63" i="28"/>
  <c r="H63" i="28"/>
  <c r="J62" i="28"/>
  <c r="H62" i="28"/>
  <c r="H61" i="28"/>
  <c r="J61" i="28"/>
  <c r="H60" i="28"/>
  <c r="J60" i="28"/>
  <c r="H59" i="28"/>
  <c r="J59" i="28"/>
  <c r="J58" i="28"/>
  <c r="H58" i="28"/>
  <c r="H57" i="28"/>
  <c r="J57" i="28"/>
  <c r="H56" i="28"/>
  <c r="J56" i="28"/>
  <c r="H55" i="28"/>
  <c r="J55" i="28"/>
  <c r="H54" i="28"/>
  <c r="J54" i="28"/>
  <c r="J53" i="28"/>
  <c r="H53" i="28"/>
  <c r="J52" i="28"/>
  <c r="H52" i="28"/>
  <c r="J51" i="28"/>
  <c r="H51" i="28"/>
  <c r="J50" i="28"/>
  <c r="H50" i="28"/>
  <c r="H49" i="28"/>
  <c r="J49" i="28"/>
  <c r="H48" i="28"/>
  <c r="J48" i="28"/>
  <c r="J47" i="28"/>
  <c r="H47" i="28"/>
  <c r="H101" i="27"/>
  <c r="J101" i="27"/>
  <c r="H100" i="27"/>
  <c r="J100" i="27"/>
  <c r="H99" i="27"/>
  <c r="J99" i="27"/>
  <c r="H98" i="27"/>
  <c r="J98" i="27"/>
  <c r="H97" i="27"/>
  <c r="J97" i="27"/>
  <c r="J96" i="27"/>
  <c r="H96" i="27"/>
  <c r="H95" i="27"/>
  <c r="J95" i="27"/>
  <c r="J94" i="27"/>
  <c r="H94" i="27"/>
  <c r="H93" i="27"/>
  <c r="J93" i="27"/>
  <c r="J92" i="27"/>
  <c r="H92" i="27"/>
  <c r="H91" i="27"/>
  <c r="J91" i="27"/>
  <c r="H90" i="27"/>
  <c r="J90" i="27"/>
  <c r="J89" i="27"/>
  <c r="H89" i="27"/>
  <c r="J88" i="27"/>
  <c r="H88" i="27"/>
  <c r="H87" i="27"/>
  <c r="J87" i="27"/>
  <c r="J86" i="27"/>
  <c r="H86" i="27"/>
  <c r="H85" i="27"/>
  <c r="J85" i="27"/>
  <c r="H84" i="27"/>
  <c r="J84" i="27"/>
  <c r="J83" i="27"/>
  <c r="H83" i="27"/>
  <c r="H82" i="27"/>
  <c r="J82" i="27"/>
  <c r="H81" i="27"/>
  <c r="J81" i="27"/>
  <c r="H80" i="27"/>
  <c r="J80" i="27"/>
  <c r="J79" i="27"/>
  <c r="H79" i="27"/>
  <c r="H78" i="27"/>
  <c r="J78" i="27"/>
  <c r="H77" i="27"/>
  <c r="J77" i="27"/>
  <c r="J76" i="27"/>
  <c r="H76" i="27"/>
  <c r="J75" i="27"/>
  <c r="H75" i="27"/>
  <c r="H74" i="27"/>
  <c r="J74" i="27"/>
  <c r="J73" i="27"/>
  <c r="H73" i="27"/>
  <c r="J72" i="27"/>
  <c r="H72" i="27"/>
  <c r="H71" i="27"/>
  <c r="J71" i="27"/>
  <c r="J70" i="27"/>
  <c r="H70" i="27"/>
  <c r="H69" i="27"/>
  <c r="J69" i="27"/>
  <c r="J68" i="27"/>
  <c r="H68" i="27"/>
  <c r="J67" i="27"/>
  <c r="H67" i="27"/>
  <c r="H66" i="27"/>
  <c r="J66" i="27"/>
  <c r="J65" i="27"/>
  <c r="H65" i="27"/>
  <c r="H64" i="27"/>
  <c r="J64" i="27"/>
  <c r="J63" i="27"/>
  <c r="H63" i="27"/>
  <c r="H62" i="27"/>
  <c r="J62" i="27"/>
  <c r="H61" i="27"/>
  <c r="J61" i="27"/>
  <c r="J60" i="27"/>
  <c r="H60" i="27"/>
  <c r="J59" i="27"/>
  <c r="H59" i="27"/>
  <c r="J58" i="27"/>
  <c r="H58" i="27"/>
  <c r="H57" i="27"/>
  <c r="J57" i="27"/>
  <c r="H56" i="27"/>
  <c r="J56" i="27"/>
  <c r="H55" i="27"/>
  <c r="J55" i="27"/>
  <c r="H54" i="27"/>
  <c r="J54" i="27"/>
  <c r="J53" i="27"/>
  <c r="H53" i="27"/>
  <c r="H52" i="27"/>
  <c r="J52" i="27"/>
  <c r="J51" i="27"/>
  <c r="H51" i="27"/>
  <c r="J50" i="27"/>
  <c r="H50" i="27"/>
  <c r="J49" i="27"/>
  <c r="H49" i="27"/>
  <c r="J48" i="27"/>
  <c r="H48" i="27"/>
  <c r="J47" i="27"/>
  <c r="H47" i="27"/>
  <c r="J46" i="27"/>
  <c r="H46" i="27"/>
  <c r="J87" i="25"/>
  <c r="H87" i="25"/>
  <c r="H86" i="25"/>
  <c r="J86" i="25"/>
  <c r="H85" i="25"/>
  <c r="J85" i="25"/>
  <c r="H84" i="25"/>
  <c r="J84" i="25"/>
  <c r="J83" i="25"/>
  <c r="H83" i="25"/>
  <c r="J82" i="25"/>
  <c r="H82" i="25"/>
  <c r="J81" i="25"/>
  <c r="H81" i="25"/>
  <c r="J80" i="25"/>
  <c r="H80" i="25"/>
  <c r="H79" i="25"/>
  <c r="J79" i="25"/>
  <c r="H78" i="25"/>
  <c r="J78" i="25"/>
  <c r="J77" i="25"/>
  <c r="H77" i="25"/>
  <c r="J76" i="25"/>
  <c r="H76" i="25"/>
  <c r="J75" i="25"/>
  <c r="H75" i="25"/>
  <c r="J74" i="25"/>
  <c r="H74" i="25"/>
  <c r="J73" i="25"/>
  <c r="H73" i="25"/>
  <c r="J72" i="25"/>
  <c r="H72" i="25"/>
  <c r="H71" i="25"/>
  <c r="J71" i="25"/>
  <c r="J70" i="25"/>
  <c r="H70" i="25"/>
  <c r="H44" i="25"/>
  <c r="J44" i="25"/>
  <c r="H43" i="25"/>
  <c r="J43" i="25"/>
  <c r="H40" i="25"/>
  <c r="J40" i="25"/>
  <c r="H93" i="24"/>
  <c r="J93" i="24"/>
  <c r="J92" i="24"/>
  <c r="H92" i="24"/>
  <c r="J91" i="24"/>
  <c r="H91" i="24"/>
  <c r="H90" i="24"/>
  <c r="J90" i="24"/>
  <c r="J89" i="24"/>
  <c r="H89" i="24"/>
  <c r="H88" i="24"/>
  <c r="J88" i="24"/>
  <c r="J87" i="24"/>
  <c r="H87" i="24"/>
  <c r="J86" i="24"/>
  <c r="H86" i="24"/>
  <c r="J85" i="24"/>
  <c r="H85" i="24"/>
  <c r="H84" i="24"/>
  <c r="J84" i="24"/>
  <c r="J83" i="24"/>
  <c r="H83" i="24"/>
  <c r="H82" i="24"/>
  <c r="J82" i="24"/>
  <c r="H81" i="24"/>
  <c r="J81" i="24"/>
  <c r="H80" i="24"/>
  <c r="J80" i="24"/>
  <c r="H79" i="24"/>
  <c r="J79" i="24"/>
  <c r="J78" i="24"/>
  <c r="H78" i="24"/>
  <c r="J77" i="24"/>
  <c r="H77" i="24"/>
  <c r="H76" i="24"/>
  <c r="J76" i="24"/>
  <c r="J75" i="24"/>
  <c r="H75" i="24"/>
  <c r="J74" i="24"/>
  <c r="H74" i="24"/>
  <c r="J73" i="24"/>
  <c r="H73" i="24"/>
  <c r="H72" i="24"/>
  <c r="J72" i="24"/>
  <c r="J20" i="32"/>
  <c r="H20" i="32" s="1"/>
  <c r="J9" i="38"/>
  <c r="H9" i="38" s="1"/>
  <c r="J8" i="38"/>
  <c r="H8" i="38" s="1"/>
  <c r="J7" i="38"/>
  <c r="H7" i="38" s="1"/>
  <c r="J6" i="38"/>
  <c r="H6" i="38" s="1"/>
  <c r="J5" i="38"/>
  <c r="H5" i="38" s="1"/>
  <c r="J4" i="38"/>
  <c r="H4" i="38"/>
  <c r="I3" i="36"/>
  <c r="J82" i="38"/>
  <c r="H82" i="38"/>
  <c r="H81" i="38"/>
  <c r="J81" i="38"/>
  <c r="K62" i="35"/>
  <c r="I62" i="35"/>
  <c r="K61" i="35"/>
  <c r="I61" i="35"/>
  <c r="K60" i="35"/>
  <c r="I60" i="35"/>
  <c r="I59" i="35"/>
  <c r="K59" i="35"/>
  <c r="K58" i="35"/>
  <c r="I58" i="35"/>
  <c r="K57" i="35"/>
  <c r="I57" i="35"/>
  <c r="I56" i="35"/>
  <c r="K56" i="35"/>
  <c r="K55" i="35"/>
  <c r="I55" i="35"/>
  <c r="I54" i="35"/>
  <c r="K54" i="35"/>
  <c r="I53" i="35"/>
  <c r="K53" i="35"/>
  <c r="K52" i="35"/>
  <c r="I52" i="35"/>
  <c r="K51" i="35"/>
  <c r="I51" i="35"/>
  <c r="I50" i="35"/>
  <c r="K50" i="35"/>
  <c r="I49" i="35"/>
  <c r="K49" i="35"/>
  <c r="I48" i="35"/>
  <c r="K48" i="35"/>
  <c r="I47" i="35"/>
  <c r="K47" i="35"/>
  <c r="K46" i="35"/>
  <c r="I46" i="35"/>
  <c r="I45" i="35"/>
  <c r="K45" i="35"/>
  <c r="K44" i="35"/>
  <c r="I44" i="35"/>
  <c r="K43" i="35"/>
  <c r="I43" i="35"/>
  <c r="H101" i="34"/>
  <c r="J101" i="34"/>
  <c r="H100" i="34"/>
  <c r="J100" i="34"/>
  <c r="J99" i="34"/>
  <c r="H99" i="34"/>
  <c r="H98" i="34"/>
  <c r="J98" i="34"/>
  <c r="J97" i="34"/>
  <c r="H97" i="34"/>
  <c r="H96" i="34"/>
  <c r="J96" i="34"/>
  <c r="H95" i="34"/>
  <c r="J95" i="34"/>
  <c r="J94" i="34"/>
  <c r="H94" i="34"/>
  <c r="J93" i="34"/>
  <c r="H93" i="34"/>
  <c r="J92" i="34"/>
  <c r="H92" i="34"/>
  <c r="J91" i="34"/>
  <c r="H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J72" i="34"/>
  <c r="H72" i="34"/>
  <c r="J71" i="34"/>
  <c r="H71" i="34"/>
  <c r="J70" i="34"/>
  <c r="H70" i="34"/>
  <c r="H69" i="34"/>
  <c r="J69" i="34"/>
  <c r="J68" i="34"/>
  <c r="H68" i="34"/>
  <c r="J67" i="34"/>
  <c r="H67" i="34"/>
  <c r="J66" i="34"/>
  <c r="H66" i="34"/>
  <c r="H65" i="34"/>
  <c r="J65" i="34"/>
  <c r="K15" i="35"/>
  <c r="I15" i="35" s="1"/>
  <c r="J21" i="33"/>
  <c r="H21" i="33" s="1"/>
  <c r="J19" i="33"/>
  <c r="H19" i="33" s="1"/>
  <c r="K11" i="35"/>
  <c r="I11" i="35" s="1"/>
  <c r="J34" i="34"/>
  <c r="H34" i="34" s="1"/>
  <c r="J44" i="34"/>
  <c r="H44" i="34" s="1"/>
  <c r="J6" i="32"/>
  <c r="H6" i="32" s="1"/>
  <c r="J34" i="32"/>
  <c r="H34" i="32"/>
  <c r="J17" i="33"/>
  <c r="H17" i="33" s="1"/>
  <c r="J49" i="32"/>
  <c r="H49" i="32" s="1"/>
  <c r="K13" i="35"/>
  <c r="I13" i="35" s="1"/>
  <c r="K2" i="35"/>
  <c r="I2" i="35" s="1"/>
  <c r="J31" i="34"/>
  <c r="H31" i="34" s="1"/>
  <c r="K17" i="35"/>
  <c r="I17" i="35" s="1"/>
  <c r="K18" i="35"/>
  <c r="I18" i="35" s="1"/>
  <c r="K20" i="35"/>
  <c r="I20" i="35" s="1"/>
  <c r="J27" i="32"/>
  <c r="H27" i="32"/>
  <c r="J18" i="46"/>
  <c r="H18" i="46" s="1"/>
  <c r="J23" i="37"/>
  <c r="H23" i="37" s="1"/>
  <c r="J101" i="46"/>
  <c r="H101" i="46"/>
  <c r="H100" i="46"/>
  <c r="J100" i="46"/>
  <c r="H99" i="46"/>
  <c r="J99" i="46"/>
  <c r="J98" i="46"/>
  <c r="H98" i="46"/>
  <c r="J97" i="46"/>
  <c r="H97" i="46"/>
  <c r="H96" i="46"/>
  <c r="J96" i="46"/>
  <c r="H95" i="46"/>
  <c r="J95" i="46"/>
  <c r="J94" i="46"/>
  <c r="H94" i="46"/>
  <c r="J93" i="46"/>
  <c r="H93" i="46"/>
  <c r="J92" i="46"/>
  <c r="H92" i="46"/>
  <c r="J91" i="46"/>
  <c r="H91" i="46"/>
  <c r="J90" i="46"/>
  <c r="H90" i="46"/>
  <c r="H89" i="46"/>
  <c r="J89" i="46"/>
  <c r="H88" i="46"/>
  <c r="J88" i="46"/>
  <c r="J87" i="46"/>
  <c r="H87" i="46"/>
  <c r="J86" i="46"/>
  <c r="H86" i="46"/>
  <c r="H85" i="46"/>
  <c r="J85" i="46"/>
  <c r="H84" i="46"/>
  <c r="J84" i="46"/>
  <c r="J83" i="46"/>
  <c r="H83" i="46"/>
  <c r="H82" i="46"/>
  <c r="J82" i="46"/>
  <c r="H81" i="46"/>
  <c r="J81" i="46"/>
  <c r="J80" i="46"/>
  <c r="H80" i="46"/>
  <c r="J79" i="46"/>
  <c r="H79" i="46"/>
  <c r="H78" i="46"/>
  <c r="J78" i="46"/>
  <c r="J77" i="46"/>
  <c r="H77" i="46"/>
  <c r="J76" i="46"/>
  <c r="H76" i="46"/>
  <c r="J75" i="46"/>
  <c r="H75" i="46"/>
  <c r="H74" i="46"/>
  <c r="J74" i="46"/>
  <c r="J73" i="46"/>
  <c r="H73" i="46"/>
  <c r="H72" i="46"/>
  <c r="J72" i="46"/>
  <c r="H71" i="46"/>
  <c r="J71" i="46"/>
  <c r="H70" i="46"/>
  <c r="J70" i="46"/>
  <c r="J69" i="46"/>
  <c r="H69" i="46"/>
  <c r="J68" i="46"/>
  <c r="H68" i="46"/>
  <c r="J67" i="46"/>
  <c r="H67" i="46"/>
  <c r="H66" i="46"/>
  <c r="J66" i="46"/>
  <c r="H65" i="46"/>
  <c r="J65" i="46"/>
  <c r="J64" i="46"/>
  <c r="H64" i="46"/>
  <c r="H63" i="46"/>
  <c r="J63" i="46"/>
  <c r="H62" i="46"/>
  <c r="J62" i="46"/>
  <c r="H61" i="46"/>
  <c r="J61" i="46"/>
  <c r="J60" i="46"/>
  <c r="H60" i="46"/>
  <c r="J59" i="46"/>
  <c r="H59" i="46"/>
  <c r="J58" i="46"/>
  <c r="H58" i="46"/>
  <c r="J57" i="46"/>
  <c r="H57" i="46"/>
  <c r="J56" i="46"/>
  <c r="H56" i="46"/>
  <c r="J55" i="46"/>
  <c r="H55" i="46"/>
  <c r="H54" i="46"/>
  <c r="J54" i="46"/>
  <c r="J53" i="46"/>
  <c r="H53" i="46"/>
  <c r="J52" i="46"/>
  <c r="H52" i="46"/>
  <c r="H51" i="46"/>
  <c r="J51" i="46"/>
  <c r="J50" i="46"/>
  <c r="H50" i="46"/>
  <c r="H49" i="46"/>
  <c r="J49" i="46"/>
  <c r="J48" i="46"/>
  <c r="H48" i="46"/>
  <c r="H47" i="46"/>
  <c r="J47" i="46"/>
  <c r="H46" i="46"/>
  <c r="J46" i="46"/>
  <c r="J45" i="46"/>
  <c r="H45" i="46"/>
  <c r="J44" i="46"/>
  <c r="H44" i="46"/>
  <c r="J43" i="46"/>
  <c r="H43" i="46"/>
  <c r="H42" i="46"/>
  <c r="J42" i="46"/>
  <c r="J41" i="46"/>
  <c r="H41" i="46" s="1"/>
  <c r="J40" i="46"/>
  <c r="H40" i="46" s="1"/>
  <c r="J39" i="46"/>
  <c r="H39" i="46" s="1"/>
  <c r="J38" i="46"/>
  <c r="H38" i="46" s="1"/>
  <c r="J37" i="46"/>
  <c r="H37" i="46" s="1"/>
  <c r="J36" i="46"/>
  <c r="H36" i="46" s="1"/>
  <c r="J35" i="46"/>
  <c r="H35" i="46" s="1"/>
  <c r="J34" i="46"/>
  <c r="H34" i="46" s="1"/>
  <c r="J33" i="46"/>
  <c r="H33" i="46" s="1"/>
  <c r="J32" i="46"/>
  <c r="H32" i="46" s="1"/>
  <c r="J31" i="46"/>
  <c r="H31" i="46" s="1"/>
  <c r="J30" i="46"/>
  <c r="H30" i="46" s="1"/>
  <c r="J29" i="46"/>
  <c r="H29" i="46" s="1"/>
  <c r="J28" i="46"/>
  <c r="H28" i="46" s="1"/>
  <c r="J27" i="46"/>
  <c r="H27" i="46" s="1"/>
  <c r="J26" i="46"/>
  <c r="H26" i="46" s="1"/>
  <c r="J25" i="46"/>
  <c r="H25" i="46" s="1"/>
  <c r="J24" i="46"/>
  <c r="H24" i="46" s="1"/>
  <c r="J23" i="46"/>
  <c r="H23" i="46" s="1"/>
  <c r="J22" i="46"/>
  <c r="H22" i="46" s="1"/>
  <c r="J21" i="46"/>
  <c r="H21" i="46" s="1"/>
  <c r="J20" i="46"/>
  <c r="H20" i="46" s="1"/>
  <c r="J19" i="46"/>
  <c r="H19" i="46" s="1"/>
  <c r="J17" i="46"/>
  <c r="H17" i="46" s="1"/>
  <c r="J16" i="46"/>
  <c r="H16" i="46" s="1"/>
  <c r="J15" i="46"/>
  <c r="H15" i="46" s="1"/>
  <c r="J14" i="46"/>
  <c r="H14" i="46" s="1"/>
  <c r="J13" i="46"/>
  <c r="H13" i="46" s="1"/>
  <c r="J12" i="46"/>
  <c r="H12" i="46" s="1"/>
  <c r="J11" i="46"/>
  <c r="H11" i="46" s="1"/>
  <c r="J10" i="46"/>
  <c r="H10" i="46" s="1"/>
  <c r="J9" i="46"/>
  <c r="H9" i="46" s="1"/>
  <c r="J7" i="46"/>
  <c r="H7" i="46" s="1"/>
  <c r="J6" i="46"/>
  <c r="H6" i="46" s="1"/>
  <c r="J5" i="46"/>
  <c r="H5" i="46" s="1"/>
  <c r="J4" i="46"/>
  <c r="H4" i="46" s="1"/>
  <c r="J3" i="46"/>
  <c r="H3" i="46" s="1"/>
  <c r="J2" i="46"/>
  <c r="H2" i="46" s="1"/>
  <c r="J101" i="45"/>
  <c r="H101" i="45"/>
  <c r="H100" i="45"/>
  <c r="J100" i="45"/>
  <c r="J99" i="45"/>
  <c r="H99" i="45"/>
  <c r="H98" i="45"/>
  <c r="J98" i="45"/>
  <c r="H97" i="45"/>
  <c r="J97" i="45"/>
  <c r="H96" i="45"/>
  <c r="J96" i="45"/>
  <c r="J95" i="45"/>
  <c r="H95" i="45"/>
  <c r="H94" i="45"/>
  <c r="J94" i="45"/>
  <c r="H93" i="45"/>
  <c r="J93" i="45"/>
  <c r="J92" i="45"/>
  <c r="H92" i="45"/>
  <c r="H91" i="45"/>
  <c r="J91" i="45"/>
  <c r="J90" i="45"/>
  <c r="H90" i="45"/>
  <c r="H89" i="45"/>
  <c r="J89" i="45"/>
  <c r="H88" i="45"/>
  <c r="J88" i="45"/>
  <c r="H87" i="45"/>
  <c r="J87" i="45"/>
  <c r="H86" i="45"/>
  <c r="J86" i="45"/>
  <c r="J85" i="45"/>
  <c r="H85" i="45"/>
  <c r="J84" i="45"/>
  <c r="H84" i="45"/>
  <c r="J83" i="45"/>
  <c r="H83" i="45"/>
  <c r="H82" i="45"/>
  <c r="J82" i="45"/>
  <c r="J81" i="45"/>
  <c r="H81" i="45"/>
  <c r="J80" i="45"/>
  <c r="H80" i="45"/>
  <c r="J79" i="45"/>
  <c r="H79" i="45"/>
  <c r="J78" i="45"/>
  <c r="H78" i="45"/>
  <c r="H77" i="45"/>
  <c r="J77" i="45"/>
  <c r="H76" i="45"/>
  <c r="J76" i="45"/>
  <c r="H75" i="45"/>
  <c r="J75" i="45"/>
  <c r="H74" i="45"/>
  <c r="J74" i="45"/>
  <c r="J73" i="45"/>
  <c r="H73" i="45"/>
  <c r="H72" i="45"/>
  <c r="J72" i="45"/>
  <c r="H71" i="45"/>
  <c r="J71" i="45"/>
  <c r="J70" i="45"/>
  <c r="H70" i="45"/>
  <c r="H69" i="45"/>
  <c r="J69" i="45"/>
  <c r="H68" i="45"/>
  <c r="J68" i="45"/>
  <c r="H67" i="45"/>
  <c r="J67" i="45"/>
  <c r="H66" i="45"/>
  <c r="J66" i="45"/>
  <c r="J65" i="45"/>
  <c r="H65" i="45"/>
  <c r="H64" i="45"/>
  <c r="J64" i="45"/>
  <c r="H63" i="45"/>
  <c r="J63" i="45"/>
  <c r="J62" i="45"/>
  <c r="H62" i="45"/>
  <c r="H61" i="45"/>
  <c r="J61" i="45"/>
  <c r="H60" i="45"/>
  <c r="J60" i="45"/>
  <c r="H59" i="45"/>
  <c r="J59" i="45"/>
  <c r="J58" i="45"/>
  <c r="H58" i="45"/>
  <c r="H57" i="45"/>
  <c r="J57" i="45"/>
  <c r="H56" i="45"/>
  <c r="J56" i="45"/>
  <c r="J55" i="45"/>
  <c r="H55" i="45"/>
  <c r="H54" i="45"/>
  <c r="J54" i="45"/>
  <c r="J53" i="45"/>
  <c r="H53" i="45"/>
  <c r="H52" i="45"/>
  <c r="J52" i="45"/>
  <c r="J51" i="45"/>
  <c r="H51" i="45"/>
  <c r="J50" i="45"/>
  <c r="H50" i="45"/>
  <c r="J49" i="45"/>
  <c r="H49" i="45"/>
  <c r="J48" i="45"/>
  <c r="H48" i="45"/>
  <c r="H47" i="45"/>
  <c r="J47" i="45"/>
  <c r="H46" i="45"/>
  <c r="J46" i="45"/>
  <c r="J45" i="45"/>
  <c r="H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J23" i="45"/>
  <c r="H23" i="45"/>
  <c r="J22" i="45"/>
  <c r="H22" i="45"/>
  <c r="H21" i="45"/>
  <c r="J21" i="45"/>
  <c r="J20" i="45"/>
  <c r="H20" i="45"/>
  <c r="J19" i="45"/>
  <c r="H19" i="45"/>
  <c r="H18" i="45"/>
  <c r="J18" i="45"/>
  <c r="J17" i="45"/>
  <c r="H17" i="45"/>
  <c r="J16" i="45"/>
  <c r="H16" i="45"/>
  <c r="H15" i="45"/>
  <c r="J15" i="45"/>
  <c r="H14" i="45"/>
  <c r="J14" i="45"/>
  <c r="J13" i="45"/>
  <c r="H13" i="45"/>
  <c r="H12" i="45"/>
  <c r="J12" i="45"/>
  <c r="J11" i="45"/>
  <c r="H11" i="45"/>
  <c r="J10" i="45"/>
  <c r="H10" i="45"/>
  <c r="J9" i="45"/>
  <c r="H9" i="45"/>
  <c r="J8" i="45"/>
  <c r="H8" i="45"/>
  <c r="H7" i="45"/>
  <c r="J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H92" i="44"/>
  <c r="J92" i="44"/>
  <c r="H91" i="44"/>
  <c r="J91" i="44"/>
  <c r="H90" i="44"/>
  <c r="J90" i="44"/>
  <c r="H89" i="44"/>
  <c r="J89" i="44"/>
  <c r="H88" i="44"/>
  <c r="J88" i="44"/>
  <c r="H87" i="44"/>
  <c r="J87" i="44"/>
  <c r="H86" i="44"/>
  <c r="J86" i="44"/>
  <c r="H85" i="44"/>
  <c r="J85" i="44"/>
  <c r="J84" i="44"/>
  <c r="H84" i="44"/>
  <c r="H83" i="44"/>
  <c r="J83" i="44"/>
  <c r="J82" i="44"/>
  <c r="H82" i="44"/>
  <c r="H81" i="44"/>
  <c r="J81" i="44"/>
  <c r="J80" i="44"/>
  <c r="H80" i="44"/>
  <c r="H79" i="44"/>
  <c r="J79" i="44"/>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9" i="39"/>
  <c r="H9" i="39"/>
  <c r="J8" i="39"/>
  <c r="H8" i="39"/>
  <c r="J7" i="39"/>
  <c r="H7" i="39"/>
  <c r="J6" i="39"/>
  <c r="H6" i="39"/>
  <c r="H5" i="39"/>
  <c r="J5" i="39"/>
  <c r="J4" i="39"/>
  <c r="H4" i="39"/>
  <c r="J3" i="39"/>
  <c r="H3" i="39"/>
  <c r="J2" i="39"/>
  <c r="H2" i="39"/>
  <c r="J101" i="38"/>
  <c r="H101" i="38"/>
  <c r="H100" i="38"/>
  <c r="J100" i="38"/>
  <c r="H99" i="38"/>
  <c r="J99" i="38"/>
  <c r="J98" i="38"/>
  <c r="H98" i="38"/>
  <c r="J97" i="38"/>
  <c r="H97" i="38"/>
  <c r="H96" i="38"/>
  <c r="J96" i="38"/>
  <c r="J95" i="38"/>
  <c r="H95" i="38"/>
  <c r="J94" i="38"/>
  <c r="H94" i="38"/>
  <c r="H93" i="38"/>
  <c r="J93" i="38"/>
  <c r="H92" i="38"/>
  <c r="J92" i="38"/>
  <c r="H91" i="38"/>
  <c r="J91" i="38"/>
  <c r="J90" i="38"/>
  <c r="H90" i="38"/>
  <c r="J89" i="38"/>
  <c r="H89" i="38"/>
  <c r="J88" i="38"/>
  <c r="H88" i="38"/>
  <c r="J87" i="38"/>
  <c r="H87" i="38"/>
  <c r="J86" i="38"/>
  <c r="H86" i="38"/>
  <c r="J85" i="38"/>
  <c r="H85" i="38"/>
  <c r="J84" i="38"/>
  <c r="H84" i="38"/>
  <c r="J83" i="38"/>
  <c r="H83" i="38"/>
  <c r="J25" i="37"/>
  <c r="H25" i="37" s="1"/>
  <c r="J24" i="37"/>
  <c r="H24" i="37" s="1"/>
  <c r="J22" i="37"/>
  <c r="H22" i="37" s="1"/>
  <c r="J21" i="37"/>
  <c r="H21" i="37" s="1"/>
  <c r="J20" i="37"/>
  <c r="H20" i="37" s="1"/>
  <c r="J19" i="37"/>
  <c r="H19" i="37" s="1"/>
  <c r="J18" i="37"/>
  <c r="H18" i="37" s="1"/>
  <c r="J17" i="37"/>
  <c r="H17" i="37" s="1"/>
  <c r="J16" i="37"/>
  <c r="H16" i="37" s="1"/>
  <c r="J15" i="37"/>
  <c r="H15" i="37" s="1"/>
  <c r="J14" i="37"/>
  <c r="H14" i="37" s="1"/>
  <c r="J13" i="37"/>
  <c r="H13" i="37" s="1"/>
  <c r="J12" i="37"/>
  <c r="H12" i="37" s="1"/>
  <c r="J11" i="37"/>
  <c r="H11" i="37" s="1"/>
  <c r="J10" i="37"/>
  <c r="H10" i="37" s="1"/>
  <c r="J9" i="37"/>
  <c r="H9" i="37"/>
  <c r="J8" i="37"/>
  <c r="H8" i="37" s="1"/>
  <c r="J7" i="37"/>
  <c r="H7" i="37" s="1"/>
  <c r="J6" i="37"/>
  <c r="H6" i="37" s="1"/>
  <c r="J5" i="37"/>
  <c r="H5" i="37" s="1"/>
  <c r="J4" i="37"/>
  <c r="H4" i="37" s="1"/>
  <c r="J3" i="37"/>
  <c r="H3" i="37" s="1"/>
  <c r="J2" i="37"/>
  <c r="H2" i="37" s="1"/>
  <c r="I101" i="36"/>
  <c r="K101" i="36"/>
  <c r="I100" i="36"/>
  <c r="K100" i="36"/>
  <c r="I99" i="36"/>
  <c r="K99" i="36"/>
  <c r="I98" i="36"/>
  <c r="K98" i="36"/>
  <c r="K97" i="36"/>
  <c r="I97" i="36"/>
  <c r="K96" i="36"/>
  <c r="I96" i="36"/>
  <c r="K95" i="36"/>
  <c r="I95" i="36"/>
  <c r="I94" i="36"/>
  <c r="K94" i="36"/>
  <c r="I93" i="36"/>
  <c r="K93" i="36"/>
  <c r="I92" i="36"/>
  <c r="K92" i="36"/>
  <c r="I91" i="36"/>
  <c r="K91" i="36"/>
  <c r="I90" i="36"/>
  <c r="K90" i="36"/>
  <c r="K89" i="36"/>
  <c r="I89" i="36"/>
  <c r="I88" i="36"/>
  <c r="K88" i="36"/>
  <c r="K87" i="36"/>
  <c r="I87" i="36"/>
  <c r="I86" i="36"/>
  <c r="K86" i="36"/>
  <c r="I85" i="36"/>
  <c r="K85" i="36"/>
  <c r="I84" i="36"/>
  <c r="K84" i="36"/>
  <c r="I83" i="36"/>
  <c r="K83" i="36"/>
  <c r="K82" i="36"/>
  <c r="I82" i="36"/>
  <c r="I81" i="36"/>
  <c r="K81" i="36"/>
  <c r="I80" i="36"/>
  <c r="K80" i="36"/>
  <c r="K79" i="36"/>
  <c r="I79" i="36"/>
  <c r="I78" i="36"/>
  <c r="K78" i="36"/>
  <c r="K77" i="36"/>
  <c r="I77" i="36"/>
  <c r="I76" i="36"/>
  <c r="K76" i="36"/>
  <c r="I75" i="36"/>
  <c r="K75" i="36"/>
  <c r="I74" i="36"/>
  <c r="K74" i="36"/>
  <c r="I73" i="36"/>
  <c r="K73" i="36"/>
  <c r="I72" i="36"/>
  <c r="K72" i="36"/>
  <c r="I71" i="36"/>
  <c r="K71" i="36"/>
  <c r="K70" i="36"/>
  <c r="I70" i="36"/>
  <c r="K69" i="36"/>
  <c r="I69" i="36"/>
  <c r="I68" i="36"/>
  <c r="K68" i="36"/>
  <c r="I67" i="36"/>
  <c r="K67" i="36"/>
  <c r="I66" i="36"/>
  <c r="K66" i="36"/>
  <c r="I65" i="36"/>
  <c r="K65" i="36"/>
  <c r="I64" i="36"/>
  <c r="K64" i="36"/>
  <c r="K63" i="36"/>
  <c r="I63" i="36"/>
  <c r="K62" i="36"/>
  <c r="I62" i="36"/>
  <c r="I61" i="36"/>
  <c r="K61" i="36"/>
  <c r="K60" i="36"/>
  <c r="I60" i="36"/>
  <c r="I59" i="36"/>
  <c r="K59" i="36"/>
  <c r="I58" i="36"/>
  <c r="K58" i="36"/>
  <c r="K57" i="36"/>
  <c r="I57" i="36"/>
  <c r="I56" i="36"/>
  <c r="K56" i="36"/>
  <c r="I55" i="36"/>
  <c r="K55" i="36"/>
  <c r="K54" i="36"/>
  <c r="I54" i="36"/>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c r="K51" i="36"/>
  <c r="I51" i="36" s="1"/>
  <c r="K46" i="36"/>
  <c r="I46" i="36" s="1"/>
  <c r="K39" i="36"/>
  <c r="I39" i="36" s="1"/>
  <c r="K44" i="36"/>
  <c r="I44" i="36" s="1"/>
  <c r="K49" i="36"/>
  <c r="I49" i="36" s="1"/>
  <c r="K48" i="36"/>
  <c r="I48" i="36" s="1"/>
  <c r="K43" i="36"/>
  <c r="I43" i="36" s="1"/>
  <c r="K45" i="36"/>
  <c r="I45" i="36" s="1"/>
  <c r="K12" i="36"/>
  <c r="I12" i="36" s="1"/>
  <c r="K42" i="36"/>
  <c r="I42" i="36" s="1"/>
  <c r="K28" i="36"/>
  <c r="I28" i="36" s="1"/>
  <c r="K19" i="36"/>
  <c r="I19" i="36" s="1"/>
  <c r="I101" i="35"/>
  <c r="K101" i="35"/>
  <c r="I100" i="35"/>
  <c r="K100" i="35"/>
  <c r="K99" i="35"/>
  <c r="I99" i="35"/>
  <c r="I98" i="35"/>
  <c r="K98" i="35"/>
  <c r="I97" i="35"/>
  <c r="K97" i="35"/>
  <c r="I96" i="35"/>
  <c r="K96" i="35"/>
  <c r="I95" i="35"/>
  <c r="K95" i="35"/>
  <c r="K94" i="35"/>
  <c r="I94" i="35"/>
  <c r="K93" i="35"/>
  <c r="I93" i="35"/>
  <c r="I92" i="35"/>
  <c r="K92" i="35"/>
  <c r="K91" i="35"/>
  <c r="I91" i="35"/>
  <c r="K90" i="35"/>
  <c r="I90" i="35"/>
  <c r="I89" i="35"/>
  <c r="K89" i="35"/>
  <c r="I88" i="35"/>
  <c r="K88" i="35"/>
  <c r="I87" i="35"/>
  <c r="K87" i="35"/>
  <c r="K86" i="35"/>
  <c r="I86" i="35"/>
  <c r="I85" i="35"/>
  <c r="K85" i="35"/>
  <c r="I84" i="35"/>
  <c r="K84" i="35"/>
  <c r="K83" i="35"/>
  <c r="I83" i="35"/>
  <c r="I82" i="35"/>
  <c r="K82" i="35"/>
  <c r="I81" i="35"/>
  <c r="K81" i="35"/>
  <c r="K80" i="35"/>
  <c r="I80" i="35"/>
  <c r="K79" i="35"/>
  <c r="I79" i="35"/>
  <c r="K78" i="35"/>
  <c r="I78" i="35"/>
  <c r="I77" i="35"/>
  <c r="K77" i="35"/>
  <c r="K76" i="35"/>
  <c r="I76" i="35"/>
  <c r="K75" i="35"/>
  <c r="I75" i="35"/>
  <c r="K74" i="35"/>
  <c r="I74" i="35"/>
  <c r="K73" i="35"/>
  <c r="I73" i="35"/>
  <c r="I72" i="35"/>
  <c r="K72" i="35"/>
  <c r="I71" i="35"/>
  <c r="K71" i="35"/>
  <c r="I70" i="35"/>
  <c r="K70" i="35"/>
  <c r="K69" i="35"/>
  <c r="I69" i="35"/>
  <c r="K68" i="35"/>
  <c r="I68" i="35"/>
  <c r="I67" i="35"/>
  <c r="K67" i="35"/>
  <c r="K66" i="35"/>
  <c r="I66" i="35"/>
  <c r="K65" i="35"/>
  <c r="I65" i="35"/>
  <c r="I64" i="35"/>
  <c r="K64" i="35"/>
  <c r="I63" i="35"/>
  <c r="K63" i="35"/>
  <c r="J101" i="32"/>
  <c r="H101" i="32"/>
  <c r="H100" i="32"/>
  <c r="J100" i="32"/>
  <c r="H99" i="32"/>
  <c r="J99" i="32"/>
  <c r="H98" i="32"/>
  <c r="J98" i="32"/>
  <c r="J97" i="32"/>
  <c r="H97" i="32"/>
  <c r="H96" i="32"/>
  <c r="J96" i="32"/>
  <c r="J95" i="32"/>
  <c r="H95" i="32"/>
  <c r="J94" i="32"/>
  <c r="H94" i="32"/>
  <c r="H93" i="32"/>
  <c r="J93" i="32"/>
  <c r="J92" i="32"/>
  <c r="H92" i="32"/>
  <c r="H91" i="32"/>
  <c r="J91" i="32"/>
  <c r="H90" i="32"/>
  <c r="J90" i="32"/>
  <c r="H89" i="32"/>
  <c r="J89" i="32"/>
  <c r="J88" i="32"/>
  <c r="H88" i="32"/>
  <c r="J87" i="32"/>
  <c r="H87" i="32"/>
  <c r="H86" i="32"/>
  <c r="J86" i="32"/>
  <c r="H85" i="32"/>
  <c r="J85" i="32"/>
  <c r="J84" i="32"/>
  <c r="H84" i="32"/>
  <c r="J83" i="32"/>
  <c r="H83" i="32"/>
  <c r="J82" i="32"/>
  <c r="H82" i="32"/>
  <c r="H81" i="32"/>
  <c r="J81" i="32"/>
  <c r="J80" i="32"/>
  <c r="H80" i="32"/>
  <c r="H79" i="32"/>
  <c r="J79" i="32"/>
  <c r="J78" i="32"/>
  <c r="H78" i="32"/>
  <c r="H77" i="32"/>
  <c r="J77" i="32"/>
  <c r="H76" i="32"/>
  <c r="J76" i="32"/>
  <c r="J75" i="32"/>
  <c r="H75" i="32"/>
  <c r="J74" i="32"/>
  <c r="H74" i="32"/>
  <c r="H73" i="32"/>
  <c r="J73" i="32"/>
  <c r="J72" i="32"/>
  <c r="H72" i="32"/>
  <c r="J69" i="25"/>
  <c r="H69" i="25"/>
  <c r="H68" i="25"/>
  <c r="J68" i="25"/>
  <c r="H67" i="25"/>
  <c r="J67" i="25"/>
  <c r="H66" i="25"/>
  <c r="J66" i="25"/>
  <c r="J65" i="25"/>
  <c r="H65" i="25"/>
  <c r="J64" i="25"/>
  <c r="H64" i="25"/>
  <c r="J63" i="25"/>
  <c r="H63" i="25"/>
  <c r="H62" i="25"/>
  <c r="J62" i="25"/>
  <c r="J61" i="25"/>
  <c r="H61" i="25"/>
  <c r="J60" i="25"/>
  <c r="H60" i="25"/>
  <c r="J59" i="25"/>
  <c r="H59" i="25"/>
  <c r="J58" i="25"/>
  <c r="H58" i="25"/>
  <c r="J57" i="25"/>
  <c r="H57" i="25"/>
  <c r="H56" i="25"/>
  <c r="J56" i="25"/>
  <c r="J55" i="25"/>
  <c r="H55" i="25"/>
  <c r="J54" i="25"/>
  <c r="H54" i="25"/>
  <c r="J53" i="25"/>
  <c r="H53" i="25"/>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J38" i="24"/>
  <c r="H38" i="24"/>
  <c r="J37" i="24"/>
  <c r="H37" i="24"/>
  <c r="H36" i="24"/>
  <c r="J36" i="24"/>
  <c r="H35" i="24"/>
  <c r="J35" i="24"/>
  <c r="J34" i="24"/>
  <c r="H34" i="24"/>
  <c r="H33" i="24"/>
  <c r="J33" i="24"/>
  <c r="H32" i="24"/>
  <c r="J32" i="24"/>
  <c r="H31" i="24"/>
  <c r="J31" i="24"/>
  <c r="H30" i="24"/>
  <c r="J30" i="24"/>
  <c r="J29" i="24"/>
  <c r="H29" i="24"/>
  <c r="J28" i="24"/>
  <c r="H28" i="24"/>
  <c r="J27" i="24"/>
  <c r="H27" i="24"/>
  <c r="H101" i="23"/>
  <c r="J101" i="23"/>
  <c r="J100" i="23"/>
  <c r="H100" i="23"/>
  <c r="H99" i="23"/>
  <c r="J99" i="23"/>
  <c r="J98" i="23"/>
  <c r="H98" i="23"/>
  <c r="H97" i="23"/>
  <c r="J97" i="23"/>
  <c r="H96" i="23"/>
  <c r="J96" i="23"/>
  <c r="J95" i="23"/>
  <c r="H95" i="23"/>
  <c r="J94" i="23"/>
  <c r="H94" i="23"/>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K31" i="36"/>
  <c r="I31" i="36" s="1"/>
  <c r="K38" i="35"/>
  <c r="I38" i="35" s="1"/>
  <c r="K4" i="35"/>
  <c r="I4" i="35" s="1"/>
  <c r="J16" i="33"/>
  <c r="H16" i="33" s="1"/>
  <c r="J32" i="32"/>
  <c r="H32" i="32" s="1"/>
  <c r="K14" i="35"/>
  <c r="I14" i="35" s="1"/>
  <c r="J32" i="34"/>
  <c r="H32" i="34" s="1"/>
  <c r="K16" i="35"/>
  <c r="I16" i="35" s="1"/>
  <c r="J6" i="33"/>
  <c r="H6" i="33" s="1"/>
  <c r="J2" i="33"/>
  <c r="H2" i="33" s="1"/>
  <c r="J3" i="33"/>
  <c r="H3" i="33" s="1"/>
  <c r="J51" i="32"/>
  <c r="H51" i="32" s="1"/>
  <c r="J24" i="33"/>
  <c r="H24" i="33" s="1"/>
  <c r="J29" i="33"/>
  <c r="H29" i="33" s="1"/>
  <c r="K27" i="35"/>
  <c r="I27" i="35" s="1"/>
  <c r="K39" i="35"/>
  <c r="I39" i="35" s="1"/>
  <c r="K40" i="35"/>
  <c r="I40" i="35" s="1"/>
  <c r="K10" i="35"/>
  <c r="I10" i="35" s="1"/>
  <c r="K27" i="36"/>
  <c r="I27" i="36" s="1"/>
  <c r="K29" i="36"/>
  <c r="I29" i="36" s="1"/>
  <c r="J20" i="34"/>
  <c r="H20" i="34" s="1"/>
  <c r="K29" i="35"/>
  <c r="I29" i="35" s="1"/>
  <c r="K20" i="36"/>
  <c r="I20" i="36" s="1"/>
  <c r="J9" i="34"/>
  <c r="H9" i="34" s="1"/>
  <c r="K30" i="35"/>
  <c r="I30" i="35" s="1"/>
  <c r="K5" i="36"/>
  <c r="I5" i="36" s="1"/>
  <c r="J18" i="32"/>
  <c r="H18" i="32" s="1"/>
  <c r="J8" i="32"/>
  <c r="H8" i="32" s="1"/>
  <c r="J31" i="32"/>
  <c r="H31" i="32" s="1"/>
  <c r="J39" i="32"/>
  <c r="H39" i="32" s="1"/>
  <c r="J24" i="32"/>
  <c r="H24" i="32" s="1"/>
  <c r="J44" i="32"/>
  <c r="H44" i="32" s="1"/>
  <c r="J5" i="32"/>
  <c r="H5" i="32" s="1"/>
  <c r="J11" i="32"/>
  <c r="H11" i="32" s="1"/>
  <c r="J46" i="32"/>
  <c r="H46" i="32" s="1"/>
  <c r="J30" i="32"/>
  <c r="H30" i="32" s="1"/>
  <c r="J26" i="32"/>
  <c r="H26" i="32" s="1"/>
  <c r="J33" i="32"/>
  <c r="H33" i="32" s="1"/>
  <c r="J7" i="32"/>
  <c r="H7" i="32" s="1"/>
  <c r="J9" i="32"/>
  <c r="H9" i="32" s="1"/>
  <c r="J41" i="32"/>
  <c r="H41" i="32" s="1"/>
  <c r="J15" i="32"/>
  <c r="H15" i="32" s="1"/>
  <c r="J13" i="32"/>
  <c r="H13" i="32" s="1"/>
  <c r="J28" i="32"/>
  <c r="H28" i="32" s="1"/>
  <c r="J35" i="32"/>
  <c r="H35" i="32" s="1"/>
  <c r="J32" i="21"/>
  <c r="H32" i="21" s="1"/>
  <c r="J15" i="33"/>
  <c r="H15" i="33" s="1"/>
  <c r="J42" i="32"/>
  <c r="H42" i="32" s="1"/>
  <c r="J16" i="32"/>
  <c r="H16" i="32" s="1"/>
  <c r="J27" i="33"/>
  <c r="H27" i="33" s="1"/>
  <c r="J36" i="32"/>
  <c r="H36" i="32" s="1"/>
  <c r="J7" i="33"/>
  <c r="H7" i="33" s="1"/>
  <c r="J27" i="34"/>
  <c r="H27" i="34" s="1"/>
  <c r="J33" i="34"/>
  <c r="H33" i="34" s="1"/>
  <c r="J28" i="34"/>
  <c r="H28" i="34" s="1"/>
  <c r="J30" i="34"/>
  <c r="H30" i="34" s="1"/>
  <c r="J41" i="34"/>
  <c r="H41" i="34" s="1"/>
  <c r="J2" i="34"/>
  <c r="H2" i="34" s="1"/>
  <c r="J3" i="34"/>
  <c r="H3" i="34" s="1"/>
  <c r="J13" i="34"/>
  <c r="H13" i="34" s="1"/>
  <c r="J38" i="34"/>
  <c r="H38" i="34" s="1"/>
  <c r="J17" i="34"/>
  <c r="H17" i="34" s="1"/>
  <c r="J24" i="34"/>
  <c r="H24" i="34" s="1"/>
  <c r="J25" i="34"/>
  <c r="H25" i="34" s="1"/>
  <c r="J12" i="34"/>
  <c r="H12" i="34" s="1"/>
  <c r="J39" i="34"/>
  <c r="H39" i="34" s="1"/>
  <c r="J18" i="34"/>
  <c r="H18" i="34" s="1"/>
  <c r="J42" i="34"/>
  <c r="H42" i="34" s="1"/>
  <c r="J22" i="34"/>
  <c r="H22" i="34" s="1"/>
  <c r="J36" i="34"/>
  <c r="H36" i="34" s="1"/>
  <c r="J29" i="34"/>
  <c r="H29" i="34" s="1"/>
  <c r="J23" i="34"/>
  <c r="H23" i="34" s="1"/>
  <c r="J7" i="34"/>
  <c r="H7" i="34" s="1"/>
  <c r="J10" i="34"/>
  <c r="H10" i="34" s="1"/>
  <c r="J8" i="34"/>
  <c r="H8" i="34" s="1"/>
  <c r="K32" i="35"/>
  <c r="I32" i="35" s="1"/>
  <c r="K7" i="36"/>
  <c r="I7" i="36" s="1"/>
  <c r="K8" i="36"/>
  <c r="I8" i="36" s="1"/>
  <c r="K11" i="36"/>
  <c r="I11" i="36" s="1"/>
  <c r="K4" i="36"/>
  <c r="I4" i="36" s="1"/>
  <c r="K22" i="36"/>
  <c r="I22" i="36" s="1"/>
  <c r="K23" i="36"/>
  <c r="I23" i="36" s="1"/>
  <c r="K26" i="36"/>
  <c r="I26" i="36" s="1"/>
  <c r="K9" i="36"/>
  <c r="I9" i="36" s="1"/>
  <c r="K2" i="36"/>
  <c r="I2" i="36" s="1"/>
  <c r="K21" i="36"/>
  <c r="I21" i="36" s="1"/>
  <c r="K10" i="36"/>
  <c r="I10" i="36" s="1"/>
  <c r="K18" i="36"/>
  <c r="I18" i="36" s="1"/>
  <c r="K15" i="36"/>
  <c r="I15" i="36" s="1"/>
  <c r="K25" i="36"/>
  <c r="I25" i="36" s="1"/>
  <c r="K24" i="36"/>
  <c r="I24" i="36" s="1"/>
  <c r="K16" i="36"/>
  <c r="I16" i="36" s="1"/>
  <c r="J19" i="32"/>
  <c r="H19" i="32" s="1"/>
  <c r="J23" i="32"/>
  <c r="H23" i="32" s="1"/>
  <c r="J4" i="33"/>
  <c r="H4" i="33" s="1"/>
  <c r="J31" i="33"/>
  <c r="H31" i="33" s="1"/>
  <c r="J3" i="38"/>
  <c r="H3" i="38" s="1"/>
  <c r="J2" i="38"/>
  <c r="H2" i="3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<sst xmlns="http://schemas.openxmlformats.org/spreadsheetml/2006/main" count="16780" uniqueCount="759">
  <si>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</si>
  <si>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</si>
  <si>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</si>
  <si>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</si>
  <si>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</si>
  <si>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</si>
  <si>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</si>
  <si>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</si>
  <si>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</si>
  <si>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</si>
  <si>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</si>
  <si>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</si>
  <si>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</si>
  <si>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</si>
  <si>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</si>
  <si>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</si>
  <si>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</si>
  <si>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</si>
  <si>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</si>
  <si>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</si>
  <si>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</si>
  <si>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</si>
  <si>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</si>
  <si>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</si>
  <si>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</si>
  <si>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</si>
  <si>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</si>
  <si>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</si>
  <si>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</si>
  <si>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</si>
  <si>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</si>
  <si>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</si>
  <si>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</si>
  <si>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</si>
  <si>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</si>
  <si>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</si>
  <si>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</si>
  <si>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</si>
  <si>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</si>
  <si>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</si>
  <si>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</si>
  <si>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</si>
  <si>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</si>
  <si>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</si>
  <si>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</si>
  <si>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</si>
  <si>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</si>
  <si>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</si>
  <si>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</si>
  <si>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</si>
  <si>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</si>
  <si>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</si>
  <si>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</si>
  <si>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</si>
  <si>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</si>
  <si>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</si>
  <si>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</si>
  <si>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</si>
  <si>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</si>
  <si>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</si>
  <si>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</si>
  <si>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</si>
  <si>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</si>
  <si>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</si>
  <si>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</si>
  <si>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</si>
  <si>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</si>
  <si>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</si>
  <si>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</si>
  <si>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</si>
  <si>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</si>
  <si>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</si>
  <si>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</si>
  <si>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</si>
  <si>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</si>
  <si>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</si>
  <si>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</si>
  <si>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</si>
  <si>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</si>
  <si>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</si>
  <si>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</si>
  <si>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</si>
  <si>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</si>
  <si>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</si>
  <si>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</si>
  <si>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</si>
  <si>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</si>
  <si>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</si>
  <si>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</si>
  <si>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</si>
  <si>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</si>
  <si>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</si>
  <si>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</si>
  <si>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</si>
  <si>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</si>
  <si>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</si>
  <si>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</si>
  <si>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</si>
  <si>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</si>
  <si>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</si>
  <si>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</si>
  <si>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</si>
  <si>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</si>
  <si>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</si>
  <si>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</si>
  <si>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</si>
  <si>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</si>
  <si>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</si>
  <si>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</si>
  <si>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</si>
  <si>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</si>
  <si>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</si>
  <si>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</si>
  <si>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</si>
  <si>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</si>
  <si>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</si>
  <si>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</si>
  <si>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</si>
  <si>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</si>
  <si>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</si>
  <si>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</si>
  <si>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</si>
  <si>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</si>
  <si>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</si>
  <si>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</si>
  <si>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</si>
  <si>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</si>
  <si>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</si>
  <si>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</si>
  <si>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</si>
  <si>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</si>
  <si>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</si>
  <si>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</si>
  <si>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</si>
  <si>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</si>
  <si>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</si>
  <si>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</si>
  <si>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</si>
  <si>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</si>
  <si>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</si>
  <si>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</si>
  <si>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</si>
  <si>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</si>
  <si>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</si>
  <si>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</si>
  <si>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</si>
  <si>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</si>
  <si>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</si>
  <si>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</si>
  <si>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</si>
  <si>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</si>
  <si>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</si>
  <si>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</si>
  <si>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</si>
  <si>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</si>
  <si>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</si>
  <si>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</si>
  <si>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</si>
  <si>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</si>
  <si>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</si>
  <si>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</si>
  <si>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</si>
  <si>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</si>
  <si>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</si>
  <si>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</si>
  <si>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</si>
  <si>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</si>
  <si>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</si>
  <si>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</si>
  <si>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</si>
  <si>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</si>
  <si>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</si>
  <si>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</si>
  <si>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</si>
  <si>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</si>
  <si>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</si>
  <si>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</si>
  <si>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</si>
  <si>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</si>
  <si>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</si>
  <si>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</si>
  <si>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</si>
  <si>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</si>
  <si>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</si>
  <si>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</si>
  <si>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</si>
  <si>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</si>
  <si>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</si>
  <si>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</si>
  <si>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</si>
  <si>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</si>
  <si>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</si>
  <si>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</si>
  <si>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</si>
  <si>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</si>
  <si>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</si>
  <si>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</si>
  <si>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</si>
  <si>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</si>
  <si>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</si>
  <si>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</si>
  <si>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</si>
  <si>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</si>
  <si>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</si>
  <si>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</si>
  <si>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</si>
  <si>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</si>
  <si>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</si>
  <si>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</si>
  <si>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</si>
  <si>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</si>
  <si>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</si>
  <si>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</si>
  <si>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</si>
  <si>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</si>
  <si>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</si>
  <si>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</si>
  <si>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</si>
  <si>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</si>
  <si>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</si>
  <si>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</si>
  <si>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</si>
  <si>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</si>
  <si>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</si>
  <si>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</si>
  <si>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</si>
  <si>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</si>
  <si>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</si>
  <si>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</si>
  <si>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</si>
  <si>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</si>
  <si>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</si>
  <si>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</si>
  <si>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</si>
  <si>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</si>
  <si>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</si>
  <si>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</si>
  <si>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</si>
  <si>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</si>
  <si>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</si>
  <si>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</si>
  <si>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</si>
  <si>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</si>
  <si>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</si>
  <si>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</si>
  <si>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</si>
  <si>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</si>
  <si>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</si>
  <si>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</si>
  <si>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</si>
  <si>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</si>
  <si>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</si>
  <si>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</si>
  <si>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</si>
  <si>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</si>
  <si>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</si>
  <si>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</si>
  <si>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</si>
  <si>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</si>
  <si>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</si>
  <si>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</si>
  <si>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</si>
  <si>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</si>
  <si>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</si>
  <si>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</si>
  <si>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</si>
  <si>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</si>
  <si>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</si>
  <si>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</si>
  <si>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</si>
  <si>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</si>
  <si>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</si>
  <si>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</si>
  <si>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</si>
  <si>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</si>
  <si>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</si>
  <si>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</si>
  <si>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</si>
  <si>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</si>
  <si>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</si>
  <si>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</si>
  <si>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</si>
  <si>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</si>
  <si>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</si>
  <si>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</si>
  <si>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</si>
  <si>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</si>
  <si>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</si>
  <si>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</si>
  <si>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</si>
  <si>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</si>
  <si>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</si>
  <si>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</si>
  <si>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</si>
  <si>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</si>
  <si>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</si>
  <si>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</si>
  <si>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</si>
  <si>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</si>
  <si>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</si>
  <si>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</si>
  <si>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</si>
  <si>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</si>
  <si>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</si>
  <si>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</si>
  <si>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</si>
  <si>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</si>
  <si>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</si>
  <si>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</si>
  <si>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</si>
  <si>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</si>
  <si>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</si>
  <si>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</si>
  <si>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</si>
  <si>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</si>
  <si>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</si>
  <si>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</si>
  <si>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</si>
  <si>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</si>
  <si>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</si>
  <si>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</si>
  <si>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</si>
  <si>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</si>
  <si>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</si>
  <si>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</si>
  <si>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</si>
  <si>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</si>
  <si>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</si>
  <si>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</si>
  <si>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</si>
  <si>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</si>
  <si>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</si>
  <si>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</si>
  <si>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</si>
  <si>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</si>
  <si>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</si>
  <si>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</si>
  <si>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</si>
  <si>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</si>
  <si>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</si>
  <si>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</si>
  <si>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</si>
  <si>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</si>
  <si>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</si>
  <si>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</si>
  <si>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</si>
  <si>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</si>
  <si>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</si>
  <si>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</si>
  <si>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</si>
  <si>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</si>
  <si>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</si>
  <si>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</si>
  <si>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</si>
  <si>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</si>
  <si>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</si>
  <si>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</si>
  <si>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</si>
  <si>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</si>
  <si>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</si>
  <si>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</si>
  <si>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</si>
  <si>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</si>
  <si>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</si>
  <si>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</si>
  <si>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</si>
  <si>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</si>
  <si>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</si>
  <si>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</si>
  <si>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</si>
  <si>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</si>
  <si>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</si>
  <si>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</si>
  <si>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</si>
  <si>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</si>
  <si>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</si>
  <si>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</si>
  <si>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</si>
  <si>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</si>
  <si>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</si>
  <si>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</si>
  <si>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</si>
  <si>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</si>
  <si>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</si>
  <si>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</si>
  <si>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</si>
  <si>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</si>
  <si>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</si>
  <si>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</si>
  <si>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</si>
  <si>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</si>
  <si>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</si>
  <si>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</si>
  <si>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</si>
  <si>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</si>
  <si>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</si>
  <si>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</si>
  <si>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</si>
  <si>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</si>
  <si>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</si>
  <si>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</si>
  <si>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</si>
  <si>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</si>
  <si>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</si>
  <si>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</si>
  <si>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</si>
  <si>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</si>
  <si>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</si>
  <si>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</si>
  <si>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</si>
  <si>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</si>
  <si>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</si>
  <si>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</si>
  <si>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</si>
  <si>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</si>
  <si>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</si>
  <si>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</si>
  <si>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</si>
  <si>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</si>
  <si>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</si>
  <si>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</si>
  <si>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</si>
  <si>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</si>
  <si>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</si>
  <si>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</si>
  <si>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</si>
  <si>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</si>
  <si>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</si>
  <si>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</si>
  <si>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</si>
  <si>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</si>
  <si>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</si>
  <si>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</si>
  <si>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</si>
  <si>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</si>
  <si>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</si>
  <si>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</si>
  <si>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</si>
  <si>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</si>
  <si>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</si>
  <si>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</si>
  <si>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</si>
  <si>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</si>
  <si>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</si>
  <si>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</si>
  <si>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</si>
  <si>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</si>
  <si>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</si>
  <si>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</si>
  <si>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</si>
  <si>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</si>
  <si>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</si>
  <si>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</si>
  <si>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</si>
  <si>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</si>
  <si>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</si>
  <si>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</si>
  <si>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</si>
  <si>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</si>
  <si>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</si>
  <si>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</si>
  <si>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</si>
  <si>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</si>
  <si>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</si>
  <si>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</si>
  <si>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</si>
  <si>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</si>
  <si>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</si>
  <si>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</si>
  <si>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</si>
  <si>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</si>
  <si>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</si>
  <si>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</si>
  <si>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</si>
  <si>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</si>
  <si>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</si>
  <si>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</si>
  <si>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</si>
  <si>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</si>
  <si>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</si>
  <si>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</si>
  <si>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</si>
  <si>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</si>
  <si>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</si>
  <si>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</si>
  <si>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</si>
  <si>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</si>
  <si>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</si>
  <si>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</si>
  <si>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</si>
  <si>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</si>
  <si>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</si>
  <si>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</si>
  <si>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</si>
  <si>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</si>
  <si>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</si>
  <si>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</si>
  <si>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</si>
  <si>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</si>
  <si>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</si>
  <si>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</si>
  <si>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</si>
  <si>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</si>
  <si>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</si>
  <si>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</si>
  <si>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</si>
  <si>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</si>
  <si>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</si>
  <si>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</si>
  <si>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</si>
  <si>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</si>
  <si>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</si>
  <si>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</si>
  <si>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</si>
  <si>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</si>
  <si>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</si>
  <si>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</si>
  <si>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</si>
  <si>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</si>
  <si>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</si>
  <si>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</si>
  <si>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</si>
  <si>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</si>
  <si>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</si>
  <si>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</si>
  <si>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</si>
  <si>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</si>
  <si>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</si>
  <si>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</si>
  <si>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</si>
  <si>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</si>
  <si>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</si>
  <si>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</si>
  <si>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</si>
  <si>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</si>
  <si>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</si>
  <si>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</si>
  <si>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</si>
  <si>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</si>
  <si>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</si>
  <si>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</si>
  <si>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</si>
  <si>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</si>
  <si>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</si>
  <si>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</si>
  <si>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</si>
  <si>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</si>
  <si>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</si>
  <si>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</si>
  <si>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</si>
  <si>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</si>
  <si>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</si>
  <si>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</si>
  <si>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</si>
  <si>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</si>
  <si>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</si>
  <si>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</si>
  <si>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</si>
  <si>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</si>
  <si>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</si>
  <si>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</si>
  <si>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</si>
  <si>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</si>
  <si>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</si>
  <si>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</si>
  <si>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</si>
  <si>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</si>
  <si>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</si>
  <si>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</si>
  <si>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</si>
  <si>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</si>
  <si>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</si>
  <si>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</si>
  <si>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</si>
  <si>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</si>
  <si>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</si>
  <si>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</si>
  <si>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</si>
  <si>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</si>
  <si>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</si>
  <si>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</si>
  <si>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</si>
  <si>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</si>
  <si>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</si>
  <si>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</si>
  <si>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</si>
  <si>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</si>
  <si>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</si>
  <si>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</si>
  <si>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</si>
  <si>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</si>
  <si>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</si>
  <si>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</si>
  <si>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</si>
  <si>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</si>
  <si>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</si>
  <si>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</si>
  <si>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</si>
  <si>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</si>
  <si>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</si>
  <si>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</si>
  <si>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</si>
  <si>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</si>
  <si>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</si>
  <si>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</si>
  <si>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</si>
  <si>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</si>
  <si>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</si>
  <si>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</si>
  <si>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</si>
  <si>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</si>
  <si>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</si>
  <si>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</si>
  <si>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</si>
  <si>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</si>
  <si>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</si>
  <si>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</si>
  <si>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</si>
  <si>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</si>
  <si>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</si>
  <si>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</si>
  <si>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</si>
  <si>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</si>
  <si>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</si>
  <si>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</si>
  <si>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</si>
  <si>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</si>
  <si>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</si>
  <si>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</si>
  <si>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</si>
  <si>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</si>
  <si>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</si>
  <si>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</si>
  <si>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</si>
  <si>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</si>
  <si>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</si>
  <si>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</si>
  <si>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</si>
  <si>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</si>
  <si>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</si>
  <si>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</si>
  <si>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</si>
  <si>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</si>
  <si>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</si>
  <si>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</si>
  <si>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</si>
  <si>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</si>
  <si>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</si>
  <si>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</si>
  <si>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</si>
  <si>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</si>
  <si>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</si>
  <si>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</si>
  <si>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</si>
  <si>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</si>
  <si>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</si>
  <si>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</si>
  <si>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</si>
  <si>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</si>
  <si>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</si>
  <si>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</si>
  <si>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</si>
  <si>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</si>
  <si>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</si>
  <si>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</si>
  <si>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</si>
  <si>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</si>
  <si>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</si>
  <si>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</si>
  <si>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</si>
  <si>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</si>
  <si>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</si>
  <si>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</si>
  <si>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</si>
  <si>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</si>
  <si>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</si>
  <si>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</si>
  <si>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</si>
  <si>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</si>
  <si>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</si>
  <si>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</si>
  <si>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</si>
  <si>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</si>
  <si>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</si>
  <si>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</si>
  <si>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</si>
  <si>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</si>
  <si>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</si>
  <si>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</si>
  <si>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</si>
  <si>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</si>
  <si>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</si>
  <si>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</si>
  <si>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</si>
  <si>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</si>
  <si>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</si>
  <si>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</si>
  <si>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</si>
  <si>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</si>
  <si>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</si>
  <si>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</si>
  <si>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</si>
  <si>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</si>
  <si>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</si>
  <si>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</si>
  <si>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</si>
  <si>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</si>
  <si>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</si>
  <si>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</si>
  <si>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</si>
  <si>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</si>
  <si>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</si>
  <si>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</si>
  <si>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</si>
  <si>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</si>
  <si>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</si>
  <si>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</si>
  <si>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</si>
  <si>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</si>
  <si>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</si>
  <si>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</si>
  <si>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</si>
  <si>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</si>
  <si>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</si>
  <si>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</si>
  <si>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</si>
  <si>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</si>
  <si>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</si>
  <si>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</si>
  <si>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</si>
  <si>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</si>
  <si>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</si>
  <si>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</si>
  <si>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</si>
  <si>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</si>
  <si>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</si>
  <si>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</si>
  <si>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</si>
  <si>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</si>
  <si>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</si>
  <si>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</si>
  <si>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</si>
  <si>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</si>
  <si>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</si>
  <si>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</si>
  <si>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</si>
  <si>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</si>
  <si>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Sally Richard</t>
  </si>
  <si>
    <t>Tom Swain</t>
  </si>
  <si>
    <t>Rugby Tri</t>
  </si>
  <si>
    <t>Jules Wilks</t>
  </si>
  <si>
    <t>Angus Gordon</t>
  </si>
  <si>
    <t>David Alexander</t>
  </si>
  <si>
    <t>Esme Shipman</t>
  </si>
  <si>
    <t>Steve Evans</t>
  </si>
  <si>
    <t>Ian Parker</t>
  </si>
  <si>
    <t>Julian Church</t>
  </si>
  <si>
    <t>Worcester St. Johns CC</t>
  </si>
  <si>
    <t>Oliver Church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</si>
</sst>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5">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 workbookViewId="1"/>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 workbookViewId="1"/>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600</v>
      </c>
      <c r="C25" s="68" t="s">
        <v>599</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707</v>
      </c>
      <c r="C37" s="68" t="s">
        <v>709</v>
      </c>
      <c r="D37" s="68" t="s">
        <v>23</v>
      </c>
      <c r="E37" s="68" t="b">
        <v>0</v>
      </c>
      <c r="F37" s="68" t="s">
        <v>35</v>
      </c>
      <c r="G37" s="68"/>
      <c r="H37" s="69">
        <v>46216</v>
      </c>
      <c r="J37" s="1"/>
    </row>
    <row r="38" spans="1:10" ht="14.25">
      <c r="A38" s="68">
        <v>1189</v>
      </c>
      <c r="B38" s="68" t="s">
        <v>707</v>
      </c>
      <c r="C38" s="68" t="s">
        <v>708</v>
      </c>
      <c r="D38" s="68" t="s">
        <v>23</v>
      </c>
      <c r="E38" s="68" t="b">
        <v>0</v>
      </c>
      <c r="F38" s="68" t="s">
        <v>35</v>
      </c>
      <c r="G38" s="68"/>
      <c r="H38" s="69">
        <v>46216</v>
      </c>
      <c r="J38" s="1"/>
    </row>
    <row r="39" spans="1:10" ht="14.25">
      <c r="A39" s="68">
        <v>735</v>
      </c>
      <c r="B39" s="68" t="s">
        <v>707</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621</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706</v>
      </c>
      <c r="C108" s="68" t="s">
        <v>705</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704</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 workbookViewId="1"/>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 workbookViewId="1"/>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 workbookViewId="1"/>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 workbookViewId="1"/>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 workbookViewId="1"/>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 workbookViewId="1"/>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 workbookViewId="1"/>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 workbookViewId="1"/>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 workbookViewId="1"/>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600</v>
      </c>
      <c r="C25" s="64" t="s">
        <v>599</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 workbookViewId="1"/>
  </sheetViews>
  <sheetFormatPr defaultColWidth="9" defaultRowHeight="14.25"/>
  <cols>
    <col min="1" max="7" width="9" style="68"/>
    <col min="8" max="8" width="10.265625" style="68" bestFit="1" customWidth="1"/>
    <col min="9" max="16384" width="9"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600</v>
      </c>
      <c r="C25" s="68" t="s">
        <v>599</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707</v>
      </c>
      <c r="C37" s="68" t="s">
        <v>709</v>
      </c>
      <c r="D37" s="68" t="s">
        <v>23</v>
      </c>
      <c r="E37" s="68" t="b">
        <v>0</v>
      </c>
      <c r="F37" s="68" t="s">
        <v>35</v>
      </c>
      <c r="H37" s="69">
        <v>46216</v>
      </c>
    </row>
    <row r="38" spans="1:8">
      <c r="A38" s="68">
        <v>1189</v>
      </c>
      <c r="B38" s="68" t="s">
        <v>707</v>
      </c>
      <c r="C38" s="68" t="s">
        <v>708</v>
      </c>
      <c r="D38" s="68" t="s">
        <v>23</v>
      </c>
      <c r="E38" s="68" t="b">
        <v>0</v>
      </c>
      <c r="F38" s="68" t="s">
        <v>35</v>
      </c>
      <c r="H38" s="69">
        <v>46216</v>
      </c>
    </row>
    <row r="39" spans="1:8">
      <c r="A39" s="68">
        <v>735</v>
      </c>
      <c r="B39" s="68" t="s">
        <v>707</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621</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706</v>
      </c>
      <c r="C108" s="68" t="s">
        <v>705</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704</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 workbookViewId="1"/>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 workbookViewId="1"/>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4" priority="2">
      <formula>NOT(YEAR(B2)=CompetitionYear)</formula>
    </cfRule>
  </conditionalFormatting>
  <conditionalFormatting sqref="K2:L30">
    <cfRule type="expression" dxfId="83"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 workbookViewId="1"/>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38"/>
  <sheetViews>
    <sheetView topLeftCell="A9" workbookViewId="0">
      <selection activeCell="A9" sqref="A9"/>
    </sheetView>
    <sheetView tabSelected="1" topLeftCell="A84" workbookViewId="1">
      <selection activeCell="C117" sqref="C117"/>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752</v>
      </c>
      <c r="B9" t="s">
        <v>475</v>
      </c>
      <c r="C9" s="36" t="str">
        <f t="shared" si="0"/>
        <v>David Alexander (Coalville Wheelers)</v>
      </c>
    </row>
    <row r="10" spans="1:8" ht="14.25">
      <c r="A10" t="s">
        <v>645</v>
      </c>
      <c r="B10" t="s">
        <v>475</v>
      </c>
      <c r="C10" s="36" t="str">
        <f t="shared" si="0"/>
        <v>James Dexter (Coalville Wheelers)</v>
      </c>
    </row>
    <row r="11" spans="1:8" ht="14.25">
      <c r="A11" t="s">
        <v>474</v>
      </c>
      <c r="B11" t="s">
        <v>475</v>
      </c>
      <c r="C11" s="36" t="str">
        <f t="shared" si="0"/>
        <v>John Capel (Coalville Wheelers)</v>
      </c>
    </row>
    <row r="12" spans="1:8" ht="14.25">
      <c r="A12" t="s">
        <v>476</v>
      </c>
      <c r="B12" t="s">
        <v>475</v>
      </c>
      <c r="C12" s="36" t="str">
        <f t="shared" si="0"/>
        <v>Pamela Moore (Coalville Wheelers)</v>
      </c>
      <c r="D12" t="s">
        <v>372</v>
      </c>
    </row>
    <row r="13" spans="1:8" ht="14.25">
      <c r="A13" t="s">
        <v>720</v>
      </c>
      <c r="B13" t="s">
        <v>478</v>
      </c>
      <c r="C13" s="36" t="str">
        <f t="shared" si="0"/>
        <v>Alex Williamson (Cov Tri)</v>
      </c>
    </row>
    <row r="14" spans="1:8" ht="14.25">
      <c r="A14" t="s">
        <v>721</v>
      </c>
      <c r="B14" t="s">
        <v>478</v>
      </c>
      <c r="C14" s="36" t="str">
        <f t="shared" si="0"/>
        <v>David Melhuish (Cov Tri)</v>
      </c>
    </row>
    <row r="15" spans="1:8" ht="14.25">
      <c r="A15" t="s">
        <v>477</v>
      </c>
      <c r="B15" t="s">
        <v>478</v>
      </c>
      <c r="C15" s="36" t="str">
        <f t="shared" si="0"/>
        <v>Jayne Mumford (W) (Cov Tri)</v>
      </c>
      <c r="D15" t="s">
        <v>372</v>
      </c>
    </row>
    <row r="16" spans="1:8" ht="14.25">
      <c r="A16" t="s">
        <v>479</v>
      </c>
      <c r="B16" t="s">
        <v>478</v>
      </c>
      <c r="C16" s="36" t="str">
        <f t="shared" si="0"/>
        <v>Simon Clarke (Cov Tri)</v>
      </c>
    </row>
    <row r="17" spans="1:4" ht="14.25">
      <c r="A17" t="s">
        <v>480</v>
      </c>
      <c r="B17" t="s">
        <v>481</v>
      </c>
      <c r="C17" s="36" t="str">
        <f t="shared" si="0"/>
        <v>Lydia Baxter (FTP Fusion)</v>
      </c>
      <c r="D17" t="s">
        <v>372</v>
      </c>
    </row>
    <row r="18" spans="1:4" ht="14.25">
      <c r="A18" t="s">
        <v>646</v>
      </c>
      <c r="B18" t="s">
        <v>644</v>
      </c>
      <c r="C18" s="36" t="str">
        <f t="shared" si="0"/>
        <v>Muhammad Sheikh (Gapped RT)</v>
      </c>
    </row>
    <row r="19" spans="1:4" ht="14.25">
      <c r="A19" t="s">
        <v>643</v>
      </c>
      <c r="B19" t="s">
        <v>644</v>
      </c>
      <c r="C19" s="36" t="str">
        <f t="shared" si="0"/>
        <v>Umair Nurgat (Gapped RT)</v>
      </c>
    </row>
    <row r="20" spans="1:4" ht="14.25">
      <c r="A20" t="s">
        <v>482</v>
      </c>
      <c r="B20" t="s">
        <v>397</v>
      </c>
      <c r="C20" s="36" t="str">
        <f t="shared" si="0"/>
        <v>Andy Thomas (HCRC)</v>
      </c>
    </row>
    <row r="21" spans="1:4" ht="14.25">
      <c r="A21" t="s">
        <v>483</v>
      </c>
      <c r="B21" t="s">
        <v>397</v>
      </c>
      <c r="C21" s="36" t="str">
        <f t="shared" si="0"/>
        <v>Colin Parkinson (SWRC) (HCRC)</v>
      </c>
    </row>
    <row r="22" spans="1:4" ht="14.25">
      <c r="A22" t="s">
        <v>701</v>
      </c>
      <c r="B22" t="s">
        <v>397</v>
      </c>
      <c r="C22" s="36" t="str">
        <f t="shared" si="0"/>
        <v>Joe Murray (M.I. Racing) (HCRC)</v>
      </c>
    </row>
    <row r="23" spans="1:4" ht="14.25">
      <c r="A23" t="s">
        <v>702</v>
      </c>
      <c r="B23" t="s">
        <v>397</v>
      </c>
      <c r="C23" s="36" t="str">
        <f t="shared" si="0"/>
        <v>Mick Wills (M.I. Racing) (HCRC)</v>
      </c>
    </row>
    <row r="24" spans="1:4" ht="14.25">
      <c r="A24" t="s">
        <v>484</v>
      </c>
      <c r="B24" t="s">
        <v>391</v>
      </c>
      <c r="C24" s="36" t="str">
        <f t="shared" si="0"/>
        <v>Andy King (KCC)</v>
      </c>
    </row>
    <row r="25" spans="1:4" ht="14.25">
      <c r="A25" t="s">
        <v>595</v>
      </c>
      <c r="B25" t="s">
        <v>391</v>
      </c>
      <c r="C25" s="36" t="str">
        <f t="shared" si="0"/>
        <v>Evan Collett (G Fox) (KCC)</v>
      </c>
    </row>
    <row r="26" spans="1:4" ht="14.25">
      <c r="A26" t="s">
        <v>624</v>
      </c>
      <c r="B26" t="s">
        <v>391</v>
      </c>
      <c r="C26" s="36" t="str">
        <f t="shared" si="0"/>
        <v>Ian Bird (KCC)</v>
      </c>
    </row>
    <row r="27" spans="1:4" ht="14.25">
      <c r="A27" t="s">
        <v>485</v>
      </c>
      <c r="B27" t="s">
        <v>391</v>
      </c>
      <c r="C27" s="36" t="str">
        <f t="shared" si="0"/>
        <v>Josh Brown (KCC)</v>
      </c>
    </row>
    <row r="28" spans="1:4" ht="14.25">
      <c r="A28" t="s">
        <v>588</v>
      </c>
      <c r="B28" t="s">
        <v>391</v>
      </c>
      <c r="C28" s="36" t="str">
        <f t="shared" si="0"/>
        <v>Maria Cayford (KCC)</v>
      </c>
      <c r="D28" t="s">
        <v>372</v>
      </c>
    </row>
    <row r="29" spans="1:4" ht="14.25">
      <c r="A29" t="s">
        <v>623</v>
      </c>
      <c r="B29" t="s">
        <v>391</v>
      </c>
      <c r="C29" s="36" t="str">
        <f t="shared" si="0"/>
        <v>Michael Wheeler (KCC)</v>
      </c>
    </row>
    <row r="30" spans="1:4" ht="14.25">
      <c r="A30" t="s">
        <v>738</v>
      </c>
      <c r="B30" t="s">
        <v>400</v>
      </c>
      <c r="C30" s="36" t="str">
        <f t="shared" si="0"/>
        <v>Dave Tomlinson (LFCC)</v>
      </c>
    </row>
    <row r="31" spans="1:4" ht="14.25">
      <c r="A31" t="s">
        <v>737</v>
      </c>
      <c r="B31" t="s">
        <v>400</v>
      </c>
      <c r="C31" s="36" t="str">
        <f t="shared" si="0"/>
        <v>Eric Fullerton (LFCC)</v>
      </c>
    </row>
    <row r="32" spans="1:4" ht="14.25">
      <c r="A32" t="s">
        <v>743</v>
      </c>
      <c r="B32" t="s">
        <v>400</v>
      </c>
      <c r="C32" s="36" t="str">
        <f t="shared" si="0"/>
        <v>Harriet Hughes (Beeston RC) (LFCC)</v>
      </c>
      <c r="D32" t="s">
        <v>372</v>
      </c>
    </row>
    <row r="33" spans="1:3" ht="14.25">
      <c r="A33" t="s">
        <v>636</v>
      </c>
      <c r="B33" t="s">
        <v>400</v>
      </c>
      <c r="C33" s="36" t="str">
        <f t="shared" si="0"/>
        <v>Jeff Jones (LFCC)</v>
      </c>
    </row>
    <row r="34" spans="1:3" ht="14.25">
      <c r="A34" t="s">
        <v>722</v>
      </c>
      <c r="B34" t="s">
        <v>400</v>
      </c>
      <c r="C34" s="36" t="str">
        <f t="shared" si="0"/>
        <v>Josh Jones (LFCC)</v>
      </c>
    </row>
    <row r="35" spans="1:3" ht="14.25">
      <c r="A35" t="s">
        <v>637</v>
      </c>
      <c r="B35" t="s">
        <v>400</v>
      </c>
      <c r="C35" s="36" t="str">
        <f t="shared" si="0"/>
        <v>Joshua Jones (LFCC)</v>
      </c>
    </row>
    <row r="36" spans="1:3" ht="14.25">
      <c r="A36" t="s">
        <v>486</v>
      </c>
      <c r="B36" t="s">
        <v>400</v>
      </c>
      <c r="C36" s="36" t="str">
        <f t="shared" ref="C36:C67" si="1">IF(ISBLANK(B36),IF(ISBLANK(A36),"",A36),_xlfn.CONCAT(A36," (",B36,")"))</f>
        <v>Mat Mabe (LFCC)</v>
      </c>
    </row>
    <row r="37" spans="1:3" ht="14.25">
      <c r="A37" t="s">
        <v>487</v>
      </c>
      <c r="B37" t="s">
        <v>400</v>
      </c>
      <c r="C37" s="36" t="str">
        <f t="shared" si="1"/>
        <v>Matt Finch (LFCC)</v>
      </c>
    </row>
    <row r="38" spans="1:3" ht="14.25">
      <c r="A38" t="s">
        <v>488</v>
      </c>
      <c r="B38" t="s">
        <v>400</v>
      </c>
      <c r="C38" s="36" t="str">
        <f t="shared" si="1"/>
        <v>Morris Mabe (LFCC)</v>
      </c>
    </row>
    <row r="39" spans="1:3" ht="14.25">
      <c r="A39" t="s">
        <v>740</v>
      </c>
      <c r="B39" t="s">
        <v>400</v>
      </c>
      <c r="C39" s="36" t="str">
        <f t="shared" si="1"/>
        <v>Pietro Saman (LFCC)</v>
      </c>
    </row>
    <row r="40" spans="1:3" ht="14.25">
      <c r="A40" t="s">
        <v>489</v>
      </c>
      <c r="B40" t="s">
        <v>400</v>
      </c>
      <c r="C40" s="36" t="str">
        <f t="shared" si="1"/>
        <v>Sam Nettel (LFCC)</v>
      </c>
    </row>
    <row r="41" spans="1:3" ht="14.25">
      <c r="A41" t="s">
        <v>638</v>
      </c>
      <c r="B41" t="s">
        <v>400</v>
      </c>
      <c r="C41" s="36" t="str">
        <f t="shared" si="1"/>
        <v>Simon Jones (LFCC)</v>
      </c>
    </row>
    <row r="42" spans="1:3" ht="14.25">
      <c r="A42" t="s">
        <v>692</v>
      </c>
      <c r="B42" t="s">
        <v>400</v>
      </c>
      <c r="C42" s="36" t="str">
        <f t="shared" si="1"/>
        <v>Steve Walsh (LFCC)</v>
      </c>
    </row>
    <row r="43" spans="1:3" ht="14.25">
      <c r="A43" t="s">
        <v>490</v>
      </c>
      <c r="B43" t="s">
        <v>400</v>
      </c>
      <c r="C43" s="36" t="str">
        <f t="shared" si="1"/>
        <v>Talles Medevives (LFCC)</v>
      </c>
    </row>
    <row r="44" spans="1:3" ht="14.25">
      <c r="A44" t="s">
        <v>491</v>
      </c>
      <c r="B44" t="s">
        <v>492</v>
      </c>
      <c r="C44" s="36" t="str">
        <f t="shared" si="1"/>
        <v>Dean Tacey (LRC)</v>
      </c>
    </row>
    <row r="45" spans="1:3" ht="14.25">
      <c r="A45" t="s">
        <v>723</v>
      </c>
      <c r="B45" t="s">
        <v>703</v>
      </c>
      <c r="C45" s="36" t="str">
        <f t="shared" si="1"/>
        <v>David Mead (M.I. Racing)</v>
      </c>
    </row>
    <row r="46" spans="1:3" ht="14.25">
      <c r="A46" t="s">
        <v>719</v>
      </c>
      <c r="B46" t="s">
        <v>703</v>
      </c>
      <c r="C46" s="36" t="str">
        <f t="shared" si="1"/>
        <v>Mark Wise (M.I. Racing)</v>
      </c>
    </row>
    <row r="47" spans="1:3" ht="14.25">
      <c r="A47" t="s">
        <v>732</v>
      </c>
      <c r="B47" t="s">
        <v>703</v>
      </c>
      <c r="C47" s="36" t="str">
        <f t="shared" si="1"/>
        <v>Simon Law (M.I. Racing)</v>
      </c>
    </row>
    <row r="48" spans="1:3" ht="14.25">
      <c r="A48" t="s">
        <v>700</v>
      </c>
      <c r="B48" t="s">
        <v>703</v>
      </c>
      <c r="C48" s="36" t="str">
        <f t="shared" si="1"/>
        <v>Zoe Shepherd (M.I. Racing)</v>
      </c>
    </row>
    <row r="49" spans="1:4" ht="14.25">
      <c r="A49" t="s">
        <v>493</v>
      </c>
      <c r="B49" t="s">
        <v>494</v>
      </c>
      <c r="C49" s="36" t="str">
        <f t="shared" si="1"/>
        <v>Chris Booth (MOCC)</v>
      </c>
    </row>
    <row r="50" spans="1:4" ht="14.25">
      <c r="A50" t="s">
        <v>495</v>
      </c>
      <c r="B50" t="s">
        <v>494</v>
      </c>
      <c r="C50" s="36" t="str">
        <f t="shared" si="1"/>
        <v>David Cooper (MOCC)</v>
      </c>
    </row>
    <row r="51" spans="1:4" ht="14.25">
      <c r="A51" t="s">
        <v>496</v>
      </c>
      <c r="B51" t="s">
        <v>494</v>
      </c>
      <c r="C51" s="36" t="str">
        <f t="shared" si="1"/>
        <v>Jamie Haines (MOCC)</v>
      </c>
    </row>
    <row r="52" spans="1:4" ht="14.25">
      <c r="A52" t="s">
        <v>742</v>
      </c>
      <c r="B52" t="s">
        <v>494</v>
      </c>
      <c r="C52" s="36" t="str">
        <f t="shared" si="1"/>
        <v>Juraj Rys (MOCC)</v>
      </c>
    </row>
    <row r="53" spans="1:4" ht="14.25">
      <c r="A53" t="s">
        <v>697</v>
      </c>
      <c r="B53" t="s">
        <v>494</v>
      </c>
      <c r="C53" s="36" t="str">
        <f t="shared" si="1"/>
        <v>Laura Ayres (MOCC)</v>
      </c>
      <c r="D53" t="s">
        <v>372</v>
      </c>
    </row>
    <row r="54" spans="1:4" ht="14.25">
      <c r="A54" t="s">
        <v>498</v>
      </c>
      <c r="B54" t="s">
        <v>499</v>
      </c>
      <c r="C54" s="36" t="str">
        <f t="shared" si="1"/>
        <v>Lewis Cooper (RAF Tri)</v>
      </c>
    </row>
    <row r="55" spans="1:4" ht="14.25">
      <c r="A55" t="s">
        <v>500</v>
      </c>
      <c r="B55" t="s">
        <v>394</v>
      </c>
      <c r="C55" s="36" t="str">
        <f t="shared" si="1"/>
        <v>Alex Whitmore (Ratae)</v>
      </c>
    </row>
    <row r="56" spans="1:4" ht="14.25">
      <c r="A56" t="s">
        <v>501</v>
      </c>
      <c r="B56" t="s">
        <v>394</v>
      </c>
      <c r="C56" s="36" t="str">
        <f t="shared" si="1"/>
        <v>Brian Lincoln (Ratae)</v>
      </c>
    </row>
    <row r="57" spans="1:4" ht="14.25">
      <c r="A57" t="s">
        <v>660</v>
      </c>
      <c r="B57" t="s">
        <v>394</v>
      </c>
      <c r="C57" s="36" t="str">
        <f t="shared" si="1"/>
        <v>Brigitte Gaillard (Ratae)</v>
      </c>
      <c r="D57" t="s">
        <v>372</v>
      </c>
    </row>
    <row r="58" spans="1:4" ht="14.25">
      <c r="A58" t="s">
        <v>502</v>
      </c>
      <c r="B58" t="s">
        <v>394</v>
      </c>
      <c r="C58" s="36" t="str">
        <f t="shared" si="1"/>
        <v>Chris Bonsor (Ratae)</v>
      </c>
    </row>
    <row r="59" spans="1:4" ht="14.25">
      <c r="A59" t="s">
        <v>503</v>
      </c>
      <c r="B59" t="s">
        <v>394</v>
      </c>
      <c r="C59" s="36" t="str">
        <f t="shared" si="1"/>
        <v>Chris Spray (Ratae)</v>
      </c>
    </row>
    <row r="60" spans="1:4" ht="14.25">
      <c r="A60" t="s">
        <v>504</v>
      </c>
      <c r="B60" t="s">
        <v>394</v>
      </c>
      <c r="C60" s="36" t="str">
        <f t="shared" si="1"/>
        <v>Debbie Cooper (Ratae)</v>
      </c>
      <c r="D60" t="s">
        <v>372</v>
      </c>
    </row>
    <row r="61" spans="1:4" ht="14.25">
      <c r="A61" t="s">
        <v>505</v>
      </c>
      <c r="B61" t="s">
        <v>394</v>
      </c>
      <c r="C61" s="36" t="str">
        <f t="shared" si="1"/>
        <v>Ed Watson (Ratae)</v>
      </c>
    </row>
    <row r="62" spans="1:4" ht="14.25">
      <c r="A62" t="s">
        <v>580</v>
      </c>
      <c r="B62" s="63" t="s">
        <v>394</v>
      </c>
      <c r="C62" s="36" t="str">
        <f t="shared" si="1"/>
        <v>Geoff Stanbridge (Ratae)</v>
      </c>
    </row>
    <row r="63" spans="1:4" ht="14.25">
      <c r="A63" t="s">
        <v>506</v>
      </c>
      <c r="B63" t="s">
        <v>394</v>
      </c>
      <c r="C63" s="36" t="str">
        <f t="shared" si="1"/>
        <v>Jonathon Clarke (Ratae)</v>
      </c>
      <c r="D63" s="36"/>
    </row>
    <row r="64" spans="1:4" ht="14.25">
      <c r="A64" t="s">
        <v>647</v>
      </c>
      <c r="B64" t="s">
        <v>394</v>
      </c>
      <c r="C64" s="36" t="str">
        <f t="shared" si="1"/>
        <v>Karl Williams (Ratae)</v>
      </c>
    </row>
    <row r="65" spans="1:4" ht="14.25">
      <c r="A65" t="s">
        <v>507</v>
      </c>
      <c r="B65" t="s">
        <v>394</v>
      </c>
      <c r="C65" s="36" t="str">
        <f t="shared" si="1"/>
        <v>Lesley Allden (Ratae)</v>
      </c>
      <c r="D65" t="s">
        <v>372</v>
      </c>
    </row>
    <row r="66" spans="1:4" ht="14.25">
      <c r="A66" t="s">
        <v>508</v>
      </c>
      <c r="B66" t="s">
        <v>394</v>
      </c>
      <c r="C66" s="36" t="str">
        <f t="shared" si="1"/>
        <v>Lucy Sturgess (Ratae)</v>
      </c>
      <c r="D66" t="s">
        <v>372</v>
      </c>
    </row>
    <row r="67" spans="1:4" ht="14.25">
      <c r="A67" t="s">
        <v>509</v>
      </c>
      <c r="B67" t="s">
        <v>394</v>
      </c>
      <c r="C67" s="36" t="str">
        <f t="shared" si="1"/>
        <v>Mark Marmoy (Ratae)</v>
      </c>
    </row>
    <row r="68" spans="1:4" ht="14.25">
      <c r="A68" t="s">
        <v>510</v>
      </c>
      <c r="B68" t="s">
        <v>394</v>
      </c>
      <c r="C68" s="36" t="str">
        <f t="shared" ref="C68:C99" si="2">IF(ISBLANK(B68),IF(ISBLANK(A68),"",A68),_xlfn.CONCAT(A68," (",B68,")"))</f>
        <v>Mark Newton (Ratae)</v>
      </c>
    </row>
    <row r="69" spans="1:4" ht="14.25">
      <c r="A69" t="s">
        <v>511</v>
      </c>
      <c r="B69" t="s">
        <v>394</v>
      </c>
      <c r="C69" s="36" t="str">
        <f t="shared" si="2"/>
        <v>Marshall Briggs (Ratae)</v>
      </c>
    </row>
    <row r="70" spans="1:4" ht="14.25">
      <c r="A70" t="s">
        <v>512</v>
      </c>
      <c r="B70" t="s">
        <v>394</v>
      </c>
      <c r="C70" s="36" t="str">
        <f t="shared" si="2"/>
        <v>Natalie Harris (Ratae)</v>
      </c>
      <c r="D70" t="s">
        <v>372</v>
      </c>
    </row>
    <row r="71" spans="1:4" ht="14.25">
      <c r="A71" t="s">
        <v>513</v>
      </c>
      <c r="B71" t="s">
        <v>394</v>
      </c>
      <c r="C71" s="36" t="str">
        <f t="shared" si="2"/>
        <v>Paul Eden (Ratae)</v>
      </c>
    </row>
    <row r="72" spans="1:4" ht="14.25">
      <c r="A72" t="s">
        <v>661</v>
      </c>
      <c r="B72" t="s">
        <v>394</v>
      </c>
      <c r="C72" s="36" t="str">
        <f t="shared" si="2"/>
        <v>Peter Kott (Ratae)</v>
      </c>
    </row>
    <row r="73" spans="1:4" ht="14.25">
      <c r="A73" t="s">
        <v>514</v>
      </c>
      <c r="B73" t="s">
        <v>394</v>
      </c>
      <c r="C73" s="36" t="str">
        <f t="shared" si="2"/>
        <v>Sadie Murphy (Ratae)</v>
      </c>
      <c r="D73" t="s">
        <v>372</v>
      </c>
    </row>
    <row r="74" spans="1:4" ht="14.25">
      <c r="A74" t="s">
        <v>515</v>
      </c>
      <c r="B74" t="s">
        <v>394</v>
      </c>
      <c r="C74" s="36" t="str">
        <f t="shared" si="2"/>
        <v>Steve Pearce (Ratae)</v>
      </c>
    </row>
    <row r="75" spans="1:4" ht="14.25">
      <c r="A75" t="s">
        <v>639</v>
      </c>
      <c r="B75" t="s">
        <v>394</v>
      </c>
      <c r="C75" s="36" t="str">
        <f t="shared" si="2"/>
        <v>Sue Bonsor (Ratae)</v>
      </c>
      <c r="D75" t="s">
        <v>372</v>
      </c>
    </row>
    <row r="76" spans="1:4" ht="14.25">
      <c r="A76" t="s">
        <v>516</v>
      </c>
      <c r="B76" t="s">
        <v>385</v>
      </c>
      <c r="C76" s="36" t="str">
        <f t="shared" si="2"/>
        <v>Adam Wells (RFW)</v>
      </c>
    </row>
    <row r="77" spans="1:4" ht="14.25">
      <c r="A77" t="s">
        <v>592</v>
      </c>
      <c r="B77" t="s">
        <v>385</v>
      </c>
      <c r="C77" s="36" t="str">
        <f t="shared" si="2"/>
        <v>Alex Barrowman (RFW)</v>
      </c>
    </row>
    <row r="78" spans="1:4" ht="14.25">
      <c r="A78" t="s">
        <v>517</v>
      </c>
      <c r="B78" t="s">
        <v>385</v>
      </c>
      <c r="C78" s="36" t="str">
        <f t="shared" si="2"/>
        <v>Anne Gilhespy (RFW)</v>
      </c>
      <c r="D78" t="s">
        <v>372</v>
      </c>
    </row>
    <row r="79" spans="1:4" ht="14.25">
      <c r="A79" t="s">
        <v>518</v>
      </c>
      <c r="B79" t="s">
        <v>385</v>
      </c>
      <c r="C79" s="36" t="str">
        <f t="shared" si="2"/>
        <v>Chris Fowler (RFW)</v>
      </c>
    </row>
    <row r="80" spans="1:4" ht="14.25">
      <c r="A80" t="s">
        <v>519</v>
      </c>
      <c r="B80" t="s">
        <v>385</v>
      </c>
      <c r="C80" s="36" t="str">
        <f t="shared" si="2"/>
        <v>Dan Hempkin (RFW)</v>
      </c>
    </row>
    <row r="81" spans="1:4" ht="14.25">
      <c r="A81" t="s">
        <v>520</v>
      </c>
      <c r="B81" t="s">
        <v>385</v>
      </c>
      <c r="C81" s="36" t="str">
        <f t="shared" si="2"/>
        <v>David Hill (RFW)</v>
      </c>
    </row>
    <row r="82" spans="1:4" ht="14.25">
      <c r="A82" t="s">
        <v>632</v>
      </c>
      <c r="B82" t="s">
        <v>385</v>
      </c>
      <c r="C82" s="36" t="str">
        <f t="shared" si="2"/>
        <v>Ethan Mitchell-Clarke (Team Bottrill Nopinz) (RFW)</v>
      </c>
    </row>
    <row r="83" spans="1:4" ht="14.25">
      <c r="A83" t="s">
        <v>521</v>
      </c>
      <c r="B83" t="s">
        <v>385</v>
      </c>
      <c r="C83" s="36" t="str">
        <f t="shared" si="2"/>
        <v>Giles Cooper (RFW)</v>
      </c>
    </row>
    <row r="84" spans="1:4" ht="14.25">
      <c r="A84" t="s">
        <v>587</v>
      </c>
      <c r="B84" t="s">
        <v>385</v>
      </c>
      <c r="C84" s="36" t="str">
        <f t="shared" si="2"/>
        <v>Graeme Hall (RFW)</v>
      </c>
    </row>
    <row r="85" spans="1:4" ht="14.25">
      <c r="A85" t="s">
        <v>522</v>
      </c>
      <c r="B85" t="s">
        <v>385</v>
      </c>
      <c r="C85" s="36" t="str">
        <f t="shared" si="2"/>
        <v>Gregg Payne (RFW)</v>
      </c>
    </row>
    <row r="86" spans="1:4" ht="14.25">
      <c r="A86" t="s">
        <v>591</v>
      </c>
      <c r="B86" t="s">
        <v>385</v>
      </c>
      <c r="C86" s="36" t="str">
        <f t="shared" si="2"/>
        <v>Hudson Hendry (Ride Revolution) (RFW)</v>
      </c>
    </row>
    <row r="87" spans="1:4" ht="14.25">
      <c r="A87" t="s">
        <v>593</v>
      </c>
      <c r="B87" t="s">
        <v>385</v>
      </c>
      <c r="C87" s="36" t="str">
        <f t="shared" si="2"/>
        <v>Laurence Noble (RFW)</v>
      </c>
    </row>
    <row r="88" spans="1:4" ht="14.25">
      <c r="A88" t="s">
        <v>523</v>
      </c>
      <c r="B88" t="s">
        <v>385</v>
      </c>
      <c r="C88" s="36" t="str">
        <f t="shared" si="2"/>
        <v>Lynne Scofield (RFW)</v>
      </c>
      <c r="D88" t="s">
        <v>372</v>
      </c>
    </row>
    <row r="89" spans="1:4" ht="14.25">
      <c r="A89" t="s">
        <v>524</v>
      </c>
      <c r="B89" t="s">
        <v>385</v>
      </c>
      <c r="C89" s="36" t="str">
        <f t="shared" si="2"/>
        <v>Lynne Wilkinson-Scofield (RFW)</v>
      </c>
      <c r="D89" t="s">
        <v>372</v>
      </c>
    </row>
    <row r="90" spans="1:4" ht="14.25">
      <c r="A90" t="s">
        <v>525</v>
      </c>
      <c r="B90" t="s">
        <v>385</v>
      </c>
      <c r="C90" s="36" t="str">
        <f t="shared" si="2"/>
        <v>Michael Carter (RFW)</v>
      </c>
    </row>
    <row r="91" spans="1:4" ht="14.25">
      <c r="A91" s="63" t="s">
        <v>576</v>
      </c>
      <c r="B91" t="s">
        <v>385</v>
      </c>
      <c r="C91" s="36" t="str">
        <f t="shared" si="2"/>
        <v>Mike Deely (G Fox) (RFW)</v>
      </c>
    </row>
    <row r="92" spans="1:4" ht="14.25">
      <c r="A92" t="s">
        <v>513</v>
      </c>
      <c r="B92" t="s">
        <v>385</v>
      </c>
      <c r="C92" s="36" t="str">
        <f t="shared" si="2"/>
        <v>Paul Eden (RFW)</v>
      </c>
    </row>
    <row r="93" spans="1:4" ht="14.25">
      <c r="A93" t="s">
        <v>526</v>
      </c>
      <c r="B93" t="s">
        <v>385</v>
      </c>
      <c r="C93" s="36" t="str">
        <f t="shared" si="2"/>
        <v>Paul Russell (RFW)</v>
      </c>
    </row>
    <row r="94" spans="1:4" ht="14.25">
      <c r="A94" t="s">
        <v>527</v>
      </c>
      <c r="B94" t="s">
        <v>385</v>
      </c>
      <c r="C94" s="36" t="str">
        <f t="shared" si="2"/>
        <v>Paul Ryan (RFW)</v>
      </c>
    </row>
    <row r="95" spans="1:4" ht="14.25">
      <c r="A95" t="s">
        <v>633</v>
      </c>
      <c r="B95" t="s">
        <v>385</v>
      </c>
      <c r="C95" s="36" t="str">
        <f t="shared" si="2"/>
        <v>Pete Bradshaw (RFW)</v>
      </c>
    </row>
    <row r="96" spans="1:4" ht="14.25">
      <c r="A96" t="s">
        <v>528</v>
      </c>
      <c r="B96" t="s">
        <v>385</v>
      </c>
      <c r="C96" s="36" t="str">
        <f t="shared" si="2"/>
        <v>Phil Wilkinson (RFW)</v>
      </c>
    </row>
    <row r="97" spans="1:4" ht="14.25">
      <c r="A97" t="s">
        <v>589</v>
      </c>
      <c r="B97" t="s">
        <v>385</v>
      </c>
      <c r="C97" s="36" t="str">
        <f t="shared" si="2"/>
        <v>Steve Coombs (RFW)</v>
      </c>
    </row>
    <row r="98" spans="1:4" ht="14.25">
      <c r="A98" t="s">
        <v>590</v>
      </c>
      <c r="B98" t="s">
        <v>385</v>
      </c>
      <c r="C98" s="36" t="str">
        <f t="shared" si="2"/>
        <v>Steve Wickham (RFW)</v>
      </c>
    </row>
    <row r="99" spans="1:4" ht="14.25">
      <c r="A99" t="s">
        <v>530</v>
      </c>
      <c r="B99" t="s">
        <v>531</v>
      </c>
      <c r="C99" s="36" t="str">
        <f t="shared" si="2"/>
        <v>Adrian James (Rugby RCC)</v>
      </c>
    </row>
    <row r="100" spans="1:4" ht="14.25">
      <c r="A100" t="s">
        <v>532</v>
      </c>
      <c r="B100" t="s">
        <v>533</v>
      </c>
      <c r="C100" s="36" t="str">
        <f t="shared" ref="C100:C110" si="3">IF(ISBLANK(B100),IF(ISBLANK(A100),"",A100),_xlfn.CONCAT(A100," (",B100,")"))</f>
        <v>Carl Shaw (Speedhub)</v>
      </c>
    </row>
    <row r="101" spans="1:4" ht="14.25">
      <c r="A101" t="s">
        <v>693</v>
      </c>
      <c r="B101" t="s">
        <v>533</v>
      </c>
      <c r="C101" s="36" t="str">
        <f t="shared" si="3"/>
        <v>Tom Swan (Speedhub)</v>
      </c>
    </row>
    <row r="102" spans="1:4" ht="14.25">
      <c r="A102" t="s">
        <v>534</v>
      </c>
      <c r="B102" t="s">
        <v>535</v>
      </c>
      <c r="C102" s="36" t="str">
        <f t="shared" si="3"/>
        <v>Oliver Searle (St Ives CC)</v>
      </c>
    </row>
    <row r="103" spans="1:4" ht="14.25">
      <c r="A103" t="s">
        <v>694</v>
      </c>
      <c r="B103" t="s">
        <v>695</v>
      </c>
      <c r="C103" s="36" t="str">
        <f t="shared" si="3"/>
        <v>Tom Scott-Collins (Velo Elite)</v>
      </c>
    </row>
    <row r="104" spans="1:4" ht="14.25">
      <c r="A104" t="s">
        <v>698</v>
      </c>
      <c r="B104" t="s">
        <v>699</v>
      </c>
      <c r="C104" s="36" t="str">
        <f t="shared" si="3"/>
        <v>Paul Akroyd (VTTA E.Mids)</v>
      </c>
    </row>
    <row r="105" spans="1:4" ht="14.25">
      <c r="A105" t="s">
        <v>630</v>
      </c>
      <c r="B105" t="s">
        <v>388</v>
      </c>
      <c r="C105" s="36" t="str">
        <f t="shared" si="3"/>
        <v>Ed Tarelli (Race Hub) (WVCC)</v>
      </c>
      <c r="D105" s="36"/>
    </row>
    <row r="106" spans="1:4" ht="14.25">
      <c r="A106" t="s">
        <v>629</v>
      </c>
      <c r="B106" t="s">
        <v>388</v>
      </c>
      <c r="C106" s="36" t="str">
        <f t="shared" si="3"/>
        <v>Jamie Kershaw (Beeston CC) (WVCC)</v>
      </c>
    </row>
    <row r="107" spans="1:4" ht="14.25">
      <c r="A107" t="s">
        <v>631</v>
      </c>
      <c r="B107" t="s">
        <v>388</v>
      </c>
      <c r="C107" s="36" t="str">
        <f t="shared" si="3"/>
        <v>Jennifer Clegg (Team Bottrill Nopinz) (WVCC)</v>
      </c>
      <c r="D107" t="s">
        <v>372</v>
      </c>
    </row>
    <row r="108" spans="1:4" ht="14.25">
      <c r="A108" t="s">
        <v>627</v>
      </c>
      <c r="B108" t="s">
        <v>388</v>
      </c>
      <c r="C108" s="36" t="str">
        <f t="shared" si="3"/>
        <v>Leah Cuthbertson (G Fox) (WVCC)</v>
      </c>
      <c r="D108" t="s">
        <v>372</v>
      </c>
    </row>
    <row r="109" spans="1:4" ht="14.25">
      <c r="A109" t="s">
        <v>628</v>
      </c>
      <c r="B109" t="s">
        <v>388</v>
      </c>
      <c r="C109" s="36" t="str">
        <f t="shared" si="3"/>
        <v>Ruby Isaac (CAMS Majaco) (WVCC)</v>
      </c>
      <c r="D109" t="s">
        <v>372</v>
      </c>
    </row>
    <row r="110" spans="1:4" ht="14.25">
      <c r="A110" t="s">
        <v>744</v>
      </c>
      <c r="B110" t="s">
        <v>394</v>
      </c>
      <c r="C110" s="36" t="str">
        <f t="shared" si="3"/>
        <v>Jim Smith (Ratae)</v>
      </c>
    </row>
    <row r="111" spans="1:4" ht="14.25">
      <c r="A111" t="s">
        <v>746</v>
      </c>
      <c r="B111" t="s">
        <v>475</v>
      </c>
      <c r="C111" s="36" t="str">
        <f t="shared" ref="C111:C133" si="4">IF(ISBLANK(B111),IF(ISBLANK(A111),"",A111),_xlfn.CONCAT(A111," (",B111,")"))</f>
        <v>Andrea Winkless (Coalville Wheelers)</v>
      </c>
      <c r="D111" t="s">
        <v>372</v>
      </c>
    </row>
    <row r="112" spans="1:4" ht="14.25">
      <c r="A112" t="s">
        <v>747</v>
      </c>
      <c r="B112" t="s">
        <v>394</v>
      </c>
      <c r="C112" s="36" t="str">
        <f t="shared" si="4"/>
        <v>Sally Richard (Ratae)</v>
      </c>
      <c r="D112" t="s">
        <v>372</v>
      </c>
    </row>
    <row r="113" spans="1:3" ht="14.25">
      <c r="A113" t="s">
        <v>748</v>
      </c>
      <c r="B113" t="s">
        <v>749</v>
      </c>
      <c r="C113" s="36" t="str">
        <f t="shared" si="4"/>
        <v>Tom Swain (Rugby Tri)</v>
      </c>
    </row>
    <row r="114" spans="1:3" ht="14.25">
      <c r="A114" t="s">
        <v>751</v>
      </c>
      <c r="B114" t="s">
        <v>531</v>
      </c>
      <c r="C114" s="36" t="str">
        <f t="shared" si="4"/>
        <v>Angus Gordon (Rugby RCC)</v>
      </c>
    </row>
    <row r="115" spans="1:3" ht="14.25">
      <c r="A115" t="s">
        <v>754</v>
      </c>
      <c r="B115" t="s">
        <v>397</v>
      </c>
      <c r="C115" s="36" t="str">
        <f t="shared" si="4"/>
        <v>Steve Evans (HCRC)</v>
      </c>
    </row>
    <row r="116" spans="1:3" ht="14.25">
      <c r="A116" t="s">
        <v>756</v>
      </c>
      <c r="B116" t="s">
        <v>757</v>
      </c>
      <c r="C116" s="36" t="str">
        <f t="shared" si="4"/>
        <v>Julian Church (Worcester St. Johns CC)</v>
      </c>
    </row>
    <row r="117" spans="1:3" ht="14.25">
      <c r="A117" t="s">
        <v>758</v>
      </c>
      <c r="B117" t="s">
        <v>757</v>
      </c>
      <c r="C117" s="36" t="str">
        <f t="shared" si="4"/>
        <v>Oliver Church (Worcester St. Johns CC)</v>
      </c>
    </row>
    <row r="118" spans="1:3" ht="14.25">
      <c r="C118" s="36" t="str">
        <f t="shared" si="4"/>
        <v/>
      </c>
    </row>
    <row r="119" spans="1:3" ht="14.25">
      <c r="C119" s="36" t="str">
        <f t="shared" si="4"/>
        <v/>
      </c>
    </row>
    <row r="120" spans="1:3" ht="14.25">
      <c r="C120" s="36" t="str">
        <f t="shared" si="4"/>
        <v/>
      </c>
    </row>
    <row r="121" spans="1:3" ht="14.25">
      <c r="C121" s="36" t="str">
        <f t="shared" si="4"/>
        <v/>
      </c>
    </row>
    <row r="122" spans="1:3" ht="14.25">
      <c r="C122" s="36" t="str">
        <f t="shared" si="4"/>
        <v/>
      </c>
    </row>
    <row r="123" spans="1:3" ht="14.25">
      <c r="C123" s="36" t="str">
        <f t="shared" si="4"/>
        <v/>
      </c>
    </row>
    <row r="124" spans="1:3" ht="14.25">
      <c r="C124" s="36" t="str">
        <f t="shared" si="4"/>
        <v/>
      </c>
    </row>
    <row r="125" spans="1:3" ht="14.25">
      <c r="C125" s="36" t="str">
        <f t="shared" si="4"/>
        <v/>
      </c>
    </row>
    <row r="126" spans="1:3" ht="14.25">
      <c r="C126" s="36" t="str">
        <f t="shared" si="4"/>
        <v/>
      </c>
    </row>
    <row r="127" spans="1:3" ht="14.25">
      <c r="C127" s="36" t="str">
        <f t="shared" si="4"/>
        <v/>
      </c>
    </row>
    <row r="128" spans="1:3"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s="37" customFormat="1"/>
    <row r="136" spans="3:3" ht="14.25">
      <c r="C136" s="36"/>
    </row>
    <row r="137" spans="3:3" ht="14.25">
      <c r="C137" s="36"/>
    </row>
    <row r="138" spans="3:3" ht="14.25">
      <c r="C138" s="36"/>
    </row>
  </sheetData>
  <autoFilter ref="A1:D67" xr:uid="{00000000-0001-0000-1100-000000000000}"/>
  <sortState xmlns:xlrd2="http://schemas.microsoft.com/office/spreadsheetml/2017/richdata2" ref="A2:D133">
    <sortCondition ref="B2:B133"/>
    <sortCondition ref="A2:A133"/>
  </sortState>
  <conditionalFormatting sqref="A2:D133">
    <cfRule type="expression" dxfId="82" priority="1">
      <formula>$B2="WVCC"</formula>
    </cfRule>
  </conditionalFormatting>
  <conditionalFormatting sqref="G2:G4">
    <cfRule type="uniqueValues" dxfId="81"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 workbookViewId="1">
      <selection activeCell="A14" sqref="A14"/>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 workbookViewId="1"/>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 workbookViewId="1"/>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 workbookViewId="1"/>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 workbookViewId="1"/>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 workbookViewId="1"/>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 workbookViewId="1"/>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 workbookViewId="1"/>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B47" sqref="B47"/>
    </sheetView>
    <sheetView workbookViewId="1"/>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752</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 workbookViewId="1"/>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G28" sqref="G28"/>
    </sheetView>
    <sheetView workbookViewId="1"/>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46" t="s">
        <v>747</v>
      </c>
      <c r="B14" s="47" t="str">
        <f t="shared" si="0"/>
        <v>Sally Richard (Ratae)</v>
      </c>
      <c r="C14" s="48"/>
      <c r="D14" s="49">
        <v>29</v>
      </c>
      <c r="E14" s="49">
        <v>14</v>
      </c>
      <c r="F14" s="49"/>
      <c r="G14" s="49"/>
      <c r="H14" s="50" t="str">
        <f>IF($B14="","",IF($J14="X",B14,CONCATENATE(VLOOKUP(B14,Competitors!$A$2:$I$650,3,FALSE)," ",VLOOKUP(B14,Competitors!$A$2:$I$650,2,FALSE))))</f>
        <v>Sally Richard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748</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750</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tabSelected="1" workbookViewId="0">
      <selection activeCell="B43" sqref="B43"/>
    </sheetView>
    <sheetView workbookViewId="1"/>
  </sheetViews>
  <sheetFormatPr defaultColWidth="9.1328125" defaultRowHeight="12.75"/>
  <cols>
    <col min="1" max="1" width="20.33203125" bestFit="1" customWidth="1"/>
    <col min="2" max="2" width="39.33203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f t="shared" ref="B2:B33" si="0">IF(A2="","",_xlfn.XLOOKUP(A2,ClubNames,ClubNumbers,_xlfn.XLOOKUP(A2,RoundRobinRiderNames,RoundRobinRiderDecoratedNames,A2)))</f>
        <v>990</v>
      </c>
      <c r="C2" s="48"/>
      <c r="D2" s="49"/>
      <c r="E2" s="58"/>
      <c r="F2" s="49" t="s">
        <v>545</v>
      </c>
      <c r="G2" s="49"/>
      <c r="H2" s="50" t="str">
        <f>IF($B2="","",IF($J2="X",B2,CONCATENATE(VLOOKUP(B2,Competitors!$A$2:$I$650,3, FALSE)," ",VLOOKUP(B2,Competitors!$A$2:$I$650,2,FALSE))))</f>
        <v>Jen Hulme</v>
      </c>
      <c r="I2" s="51">
        <f t="shared" ref="I2:I65" si="1">IF(LEFT($F2,1)="D",UPPER($F2),(C2*3600+D2*60+E2)/86400)</f>
        <v>0</v>
      </c>
      <c r="J2" t="str">
        <f t="shared" ref="J2:J65" si="2">IF(OR(B2="",ISNUMBER(B2)),"","X")</f>
        <v/>
      </c>
    </row>
    <row r="3" spans="1:10" ht="15">
      <c r="A3" s="46" t="s">
        <v>751</v>
      </c>
      <c r="B3" s="47" t="str">
        <f t="shared" si="0"/>
        <v>Angus Gordon (Rugby RCC)</v>
      </c>
      <c r="C3" s="48"/>
      <c r="D3" s="49"/>
      <c r="E3" s="58"/>
      <c r="F3" s="49" t="s">
        <v>545</v>
      </c>
      <c r="G3" s="49"/>
      <c r="H3" s="50" t="str">
        <f>IF($B3="","",IF($J3="X",B3,CONCATENATE(VLOOKUP(B3,Competitors!$A$2:$I$650,3,FALSE)," ",VLOOKUP(B3,Competitors!$A$2:$I$650,2,FALSE))))</f>
        <v>Angus Gordon (Rugby RCC)</v>
      </c>
      <c r="I3" s="51">
        <f t="shared" si="1"/>
        <v>0</v>
      </c>
      <c r="J3" t="str">
        <f t="shared" si="2"/>
        <v>X</v>
      </c>
    </row>
    <row r="4" spans="1:10" ht="15">
      <c r="A4" s="46" t="s">
        <v>415</v>
      </c>
      <c r="B4" s="47">
        <f t="shared" si="0"/>
        <v>699</v>
      </c>
      <c r="C4" s="48"/>
      <c r="D4" s="49"/>
      <c r="E4" s="58"/>
      <c r="F4" s="49"/>
      <c r="G4" s="49"/>
      <c r="H4" s="50" t="str">
        <f>IF($B4="","",IF($J4="X",B4,CONCATENATE(VLOOKUP(B4,Competitors!$A$2:$I$650,3,FALSE)," ",VLOOKUP(B4,Competitors!$A$2:$I$650,2,FALSE))))</f>
        <v>Jonathan Durnin</v>
      </c>
      <c r="I4" s="51">
        <f t="shared" si="1"/>
        <v>0</v>
      </c>
      <c r="J4" t="str">
        <f t="shared" si="2"/>
        <v/>
      </c>
    </row>
    <row r="5" spans="1:10" ht="15">
      <c r="A5" s="46" t="s">
        <v>424</v>
      </c>
      <c r="B5" s="47">
        <f t="shared" si="0"/>
        <v>35</v>
      </c>
      <c r="C5" s="48"/>
      <c r="D5" s="49"/>
      <c r="E5" s="58"/>
      <c r="F5" s="49"/>
      <c r="G5" s="49"/>
      <c r="H5" s="50" t="str">
        <f>IF($B5="","",IF($J5="X",B5,CONCATENATE(VLOOKUP(B5,Competitors!$A$2:$I$650,3,FALSE)," ",VLOOKUP(B5,Competitors!$A$2:$I$650,2,FALSE))))</f>
        <v>Matt Plews</v>
      </c>
      <c r="I5" s="51">
        <f t="shared" si="1"/>
        <v>0</v>
      </c>
      <c r="J5" t="str">
        <f t="shared" si="2"/>
        <v/>
      </c>
    </row>
    <row r="6" spans="1:10" ht="15">
      <c r="A6" s="46" t="s">
        <v>510</v>
      </c>
      <c r="B6" s="47" t="str">
        <f t="shared" si="0"/>
        <v>Mark Newton (Ratae)</v>
      </c>
      <c r="C6" s="48"/>
      <c r="D6" s="49"/>
      <c r="E6" s="58"/>
      <c r="F6" s="49" t="s">
        <v>545</v>
      </c>
      <c r="G6" s="49"/>
      <c r="H6" s="50" t="str">
        <f>IF($B6="","",IF($J6="X",B6,CONCATENATE(VLOOKUP(B6,Competitors!$A$2:$I$650,3,FALSE)," ",VLOOKUP(B6,Competitors!$A$2:$I$650,2,FALSE))))</f>
        <v>Mark Newton (Ratae)</v>
      </c>
      <c r="I6" s="51">
        <f t="shared" si="1"/>
        <v>0</v>
      </c>
      <c r="J6" t="str">
        <f t="shared" si="2"/>
        <v>X</v>
      </c>
    </row>
    <row r="7" spans="1:10" ht="15">
      <c r="A7" s="46" t="s">
        <v>579</v>
      </c>
      <c r="B7" s="47">
        <f t="shared" si="0"/>
        <v>1048</v>
      </c>
      <c r="C7" s="48"/>
      <c r="D7" s="49"/>
      <c r="E7" s="58"/>
      <c r="F7" s="49" t="s">
        <v>545</v>
      </c>
      <c r="G7" s="49"/>
      <c r="H7" s="50" t="str">
        <f>IF($B7="","",IF($J7="X",B7,CONCATENATE(VLOOKUP(B7,Competitors!$A$2:$I$650,3,FALSE)," ",VLOOKUP(B7,Competitors!$A$2:$I$650,2,FALSE))))</f>
        <v>Andy Smith</v>
      </c>
      <c r="I7" s="51">
        <f t="shared" si="1"/>
        <v>0</v>
      </c>
      <c r="J7" t="str">
        <f t="shared" si="2"/>
        <v/>
      </c>
    </row>
    <row r="8" spans="1:10" ht="15">
      <c r="A8" s="46" t="s">
        <v>474</v>
      </c>
      <c r="B8" s="47" t="str">
        <f t="shared" si="0"/>
        <v>John Capel (Coalville Wheelers)</v>
      </c>
      <c r="C8" s="48"/>
      <c r="D8" s="49"/>
      <c r="E8" s="58"/>
      <c r="F8" s="49"/>
      <c r="G8" s="49"/>
      <c r="H8" s="50" t="str">
        <f>IF($B8="","",IF($J8="X",B8,CONCATENATE(VLOOKUP(B8,Competitors!$A$2:$I$650,3,FALSE)," ",VLOOKUP(B8,Competitors!$A$2:$I$650,2,FALSE))))</f>
        <v>John Capel (Coalville Wheelers)</v>
      </c>
      <c r="I8" s="51">
        <f t="shared" si="1"/>
        <v>0</v>
      </c>
      <c r="J8" t="str">
        <f t="shared" si="2"/>
        <v>X</v>
      </c>
    </row>
    <row r="9" spans="1:10" ht="15">
      <c r="A9" s="46" t="s">
        <v>752</v>
      </c>
      <c r="B9" s="47" t="str">
        <f t="shared" si="0"/>
        <v>David Alexander (Coalville Wheelers)</v>
      </c>
      <c r="C9" s="48"/>
      <c r="D9" s="49"/>
      <c r="E9" s="58"/>
      <c r="F9" s="49"/>
      <c r="G9" s="49"/>
      <c r="H9" s="50" t="str">
        <f>IF($B9="","",IF($J9="X",B9,CONCATENATE(VLOOKUP(B9,Competitors!$A$2:$I$650,3,FALSE)," ",VLOOKUP(B9,Competitors!$A$2:$I$650,2,FALSE))))</f>
        <v>David Alexander (Coalville Wheelers)</v>
      </c>
      <c r="I9" s="51">
        <f t="shared" si="1"/>
        <v>0</v>
      </c>
      <c r="J9" t="str">
        <f t="shared" si="2"/>
        <v>X</v>
      </c>
    </row>
    <row r="10" spans="1:10" ht="15">
      <c r="A10" s="46" t="s">
        <v>442</v>
      </c>
      <c r="B10" s="47">
        <f t="shared" si="0"/>
        <v>1254</v>
      </c>
      <c r="C10" s="48"/>
      <c r="D10" s="49"/>
      <c r="E10" s="58"/>
      <c r="F10" s="49"/>
      <c r="G10" s="49"/>
      <c r="H10" s="50" t="str">
        <f>IF($B10="","",IF($J10="X",B10,CONCATENATE(VLOOKUP(B10,Competitors!$A$2:$I$650,3, FALSE)," ",VLOOKUP(B10,Competitors!$A$2:$I$650,2,FALSE))))</f>
        <v>Paul White</v>
      </c>
      <c r="I10" s="51">
        <f t="shared" si="1"/>
        <v>0</v>
      </c>
      <c r="J10" t="str">
        <f t="shared" si="2"/>
        <v/>
      </c>
    </row>
    <row r="11" spans="1:10" ht="15">
      <c r="A11" s="46" t="s">
        <v>582</v>
      </c>
      <c r="B11" s="47">
        <f t="shared" si="0"/>
        <v>1370</v>
      </c>
      <c r="C11" s="48"/>
      <c r="D11" s="49"/>
      <c r="E11" s="58"/>
      <c r="F11" s="49" t="s">
        <v>545</v>
      </c>
      <c r="G11" s="49"/>
      <c r="H11" s="50" t="str">
        <f>IF($B11="","",IF($J11="X",B11,CONCATENATE(VLOOKUP(B11,Competitors!$A$2:$I$650,3,FALSE)," ",VLOOKUP(B11,Competitors!$A$2:$I$650,2,FALSE))))</f>
        <v>Ian Aldridge</v>
      </c>
      <c r="I11" s="51">
        <f t="shared" si="1"/>
        <v>0</v>
      </c>
      <c r="J11" t="str">
        <f t="shared" si="2"/>
        <v/>
      </c>
    </row>
    <row r="12" spans="1:10" ht="15">
      <c r="A12" s="46" t="s">
        <v>513</v>
      </c>
      <c r="B12" s="47" t="str">
        <f t="shared" si="0"/>
        <v>Paul Eden (Ratae)</v>
      </c>
      <c r="C12" s="48"/>
      <c r="D12" s="49"/>
      <c r="E12" s="58"/>
      <c r="F12" s="49" t="s">
        <v>545</v>
      </c>
      <c r="G12" s="49"/>
      <c r="H12" s="50" t="str">
        <f>IF($B12="","",IF($J12="X",B12,CONCATENATE(VLOOKUP(B12,Competitors!$A$2:$I$650,3,FALSE)," ",VLOOKUP(B12,Competitors!$A$2:$I$650,2,FALSE))))</f>
        <v>Paul Eden (Ratae)</v>
      </c>
      <c r="I12" s="51">
        <f t="shared" si="1"/>
        <v>0</v>
      </c>
      <c r="J12" t="str">
        <f t="shared" si="2"/>
        <v>X</v>
      </c>
    </row>
    <row r="13" spans="1:10" ht="15">
      <c r="A13" s="46" t="s">
        <v>447</v>
      </c>
      <c r="B13" s="47">
        <f t="shared" si="0"/>
        <v>1379</v>
      </c>
      <c r="C13" s="48"/>
      <c r="D13" s="49"/>
      <c r="E13" s="58"/>
      <c r="F13" s="49" t="s">
        <v>545</v>
      </c>
      <c r="G13" s="49"/>
      <c r="H13" s="50" t="str">
        <f>IF($B13="","",IF($J13="X",B13,CONCATENATE(VLOOKUP(B13,Competitors!$A$2:$I$650,3,FALSE)," ",VLOOKUP(B13,Competitors!$A$2:$I$650,2,FALSE))))</f>
        <v>Michaela Latham</v>
      </c>
      <c r="I13" s="51">
        <f t="shared" si="1"/>
        <v>0</v>
      </c>
      <c r="J13" t="str">
        <f t="shared" si="2"/>
        <v/>
      </c>
    </row>
    <row r="14" spans="1:10" ht="15">
      <c r="A14" s="46" t="s">
        <v>753</v>
      </c>
      <c r="B14" s="47" t="str">
        <f t="shared" si="0"/>
        <v>Esme Shipman</v>
      </c>
      <c r="C14" s="48"/>
      <c r="D14" s="49"/>
      <c r="E14" s="58"/>
      <c r="F14" s="49" t="s">
        <v>545</v>
      </c>
      <c r="G14" s="49"/>
      <c r="H14" s="50" t="str">
        <f>IF($B14="","",IF($J14="X",B14,CONCATENATE(VLOOKUP(B14,Competitors!$A$2:$I$650,3,FALSE)," ",VLOOKUP(B14,Competitors!$A$2:$I$650,2,FALSE))))</f>
        <v>Esme Shipman</v>
      </c>
      <c r="I14" s="51">
        <f t="shared" si="1"/>
        <v>0</v>
      </c>
      <c r="J14" t="str">
        <f t="shared" si="2"/>
        <v>X</v>
      </c>
    </row>
    <row r="15" spans="1:10" ht="15">
      <c r="A15" s="46" t="s">
        <v>754</v>
      </c>
      <c r="B15" s="47" t="str">
        <f t="shared" si="0"/>
        <v>Steve Evans (HCRC)</v>
      </c>
      <c r="C15" s="48"/>
      <c r="D15" s="49"/>
      <c r="E15" s="58"/>
      <c r="F15" s="49"/>
      <c r="G15" s="49"/>
      <c r="H15" s="50" t="str">
        <f>IF($B15="","",IF($J15="X",B15,CONCATENATE(VLOOKUP(B15,Competitors!$A$2:$I$650,3,FALSE)," ",VLOOKUP(B15,Competitors!$A$2:$I$650,2,FALSE))))</f>
        <v>Steve Evans (HCRC)</v>
      </c>
      <c r="I15" s="51">
        <f t="shared" si="1"/>
        <v>0</v>
      </c>
      <c r="J15" t="str">
        <f t="shared" si="2"/>
        <v>X</v>
      </c>
    </row>
    <row r="16" spans="1:10" ht="15">
      <c r="A16" s="46" t="s">
        <v>660</v>
      </c>
      <c r="B16" s="47" t="str">
        <f t="shared" si="0"/>
        <v>Brigitte Gaillard (Ratae)</v>
      </c>
      <c r="C16" s="48"/>
      <c r="D16" s="49"/>
      <c r="E16" s="58"/>
      <c r="F16" s="49" t="s">
        <v>545</v>
      </c>
      <c r="G16" s="49"/>
      <c r="H16" s="50" t="str">
        <f>IF($B16="","",IF($J16="X",B16,CONCATENATE(VLOOKUP(B16,Competitors!$A$2:$I$650,3,FALSE)," ",VLOOKUP(B16,Competitors!$A$2:$I$650,2,FALSE))))</f>
        <v>Brigitte Gaillard (Ratae)</v>
      </c>
      <c r="I16" s="51">
        <f t="shared" si="1"/>
        <v>0</v>
      </c>
      <c r="J16" t="str">
        <f t="shared" si="2"/>
        <v>X</v>
      </c>
    </row>
    <row r="17" spans="1:10" ht="15">
      <c r="A17" s="46" t="s">
        <v>507</v>
      </c>
      <c r="B17" s="47" t="str">
        <f t="shared" si="0"/>
        <v>Lesley Allden (Ratae)</v>
      </c>
      <c r="C17" s="48"/>
      <c r="D17" s="49"/>
      <c r="E17" s="58"/>
      <c r="F17" s="49" t="s">
        <v>545</v>
      </c>
      <c r="G17" s="49"/>
      <c r="H17" s="50" t="str">
        <f>IF($B17="","",IF($J17="X",B17,CONCATENATE(VLOOKUP(B17,Competitors!$A$2:$I$650,3,FALSE)," ",VLOOKUP(B17,Competitors!$A$2:$I$650,2,FALSE))))</f>
        <v>Lesley Allden (Ratae)</v>
      </c>
      <c r="I17" s="51">
        <f t="shared" si="1"/>
        <v>0</v>
      </c>
      <c r="J17" t="str">
        <f t="shared" si="2"/>
        <v>X</v>
      </c>
    </row>
    <row r="18" spans="1:10" ht="15">
      <c r="A18" s="46" t="s">
        <v>445</v>
      </c>
      <c r="B18" s="47">
        <f t="shared" si="0"/>
        <v>1386</v>
      </c>
      <c r="C18" s="48"/>
      <c r="D18" s="49"/>
      <c r="E18" s="58"/>
      <c r="F18" s="49" t="s">
        <v>545</v>
      </c>
      <c r="G18" s="49"/>
      <c r="H18" s="50" t="str">
        <f>IF($B18="","",IF($J18="X",B18,CONCATENATE(VLOOKUP(B18,Competitors!$A$2:$I$650,3,FALSE)," ",VLOOKUP(B18,Competitors!$A$2:$I$650,2,FALSE))))</f>
        <v>Mea Moore</v>
      </c>
      <c r="I18" s="51">
        <f t="shared" si="1"/>
        <v>0</v>
      </c>
      <c r="J18" t="str">
        <f t="shared" si="2"/>
        <v/>
      </c>
    </row>
    <row r="19" spans="1:10" ht="15">
      <c r="A19" s="46" t="s">
        <v>595</v>
      </c>
      <c r="B19" s="47" t="str">
        <f t="shared" si="0"/>
        <v>Evan Collett (G Fox) (KCC)</v>
      </c>
      <c r="C19" s="48"/>
      <c r="D19" s="49"/>
      <c r="E19" s="58"/>
      <c r="F19" s="49"/>
      <c r="G19" s="49"/>
      <c r="H19" s="50" t="str">
        <f>IF($B19="","",IF($J19="X",B19,CONCATENATE(VLOOKUP(B19,Competitors!$A$2:$I$650,3,FALSE)," ",VLOOKUP(B19,Competitors!$A$2:$I$650,2,FALSE))))</f>
        <v>Evan Collett (G Fox) (KCC)</v>
      </c>
      <c r="I19" s="51">
        <f t="shared" si="1"/>
        <v>0</v>
      </c>
      <c r="J19" t="str">
        <f t="shared" si="2"/>
        <v>X</v>
      </c>
    </row>
    <row r="20" spans="1:10" ht="15">
      <c r="A20" s="46" t="s">
        <v>439</v>
      </c>
      <c r="B20" s="47">
        <f t="shared" si="0"/>
        <v>704</v>
      </c>
      <c r="C20" s="48"/>
      <c r="D20" s="49"/>
      <c r="E20" s="58"/>
      <c r="F20" s="49" t="s">
        <v>545</v>
      </c>
      <c r="G20" s="49"/>
      <c r="H20" s="50" t="str">
        <f>IF($B20="","",IF($J20="X",B20,CONCATENATE(VLOOKUP(B20,Competitors!$A$2:$I$650,3,FALSE)," ",VLOOKUP(B20,Competitors!$A$2:$I$650,2,FALSE))))</f>
        <v>Chris Dainty</v>
      </c>
      <c r="I20" s="51">
        <f t="shared" si="1"/>
        <v>0</v>
      </c>
      <c r="J20" t="str">
        <f t="shared" si="2"/>
        <v/>
      </c>
    </row>
    <row r="21" spans="1:10" ht="15">
      <c r="A21" s="46" t="s">
        <v>414</v>
      </c>
      <c r="B21" s="47">
        <f t="shared" si="0"/>
        <v>989</v>
      </c>
      <c r="C21" s="48"/>
      <c r="D21" s="49"/>
      <c r="E21" s="58"/>
      <c r="F21" s="49" t="s">
        <v>545</v>
      </c>
      <c r="G21" s="49"/>
      <c r="H21" s="50" t="str">
        <f>IF($B21="","",IF($J21="X",B21,CONCATENATE(VLOOKUP(B21,Competitors!$A$2:$I$650,3,FALSE)," ",VLOOKUP(B21,Competitors!$A$2:$I$650,2,FALSE))))</f>
        <v>Jason Williams</v>
      </c>
      <c r="I21" s="51">
        <f t="shared" si="1"/>
        <v>0</v>
      </c>
      <c r="J21" t="str">
        <f t="shared" si="2"/>
        <v/>
      </c>
    </row>
    <row r="22" spans="1:10" ht="15">
      <c r="A22" s="46" t="s">
        <v>698</v>
      </c>
      <c r="B22" s="47" t="str">
        <f t="shared" si="0"/>
        <v>Paul Akroyd (VTTA E.Mids)</v>
      </c>
      <c r="C22" s="48"/>
      <c r="D22" s="49"/>
      <c r="E22" s="58"/>
      <c r="F22" s="49" t="s">
        <v>545</v>
      </c>
      <c r="G22" s="49"/>
      <c r="H22" s="50" t="str">
        <f>IF($B22="","",IF($J22="X",B22,CONCATENATE(VLOOKUP(B22,Competitors!$A$2:$I$650,3,FALSE)," ",VLOOKUP(B22,Competitors!$A$2:$I$650,2,FALSE))))</f>
        <v>Paul Akroyd (VTTA E.Mids)</v>
      </c>
      <c r="I22" s="51">
        <f t="shared" si="1"/>
        <v>0</v>
      </c>
      <c r="J22" t="str">
        <f t="shared" si="2"/>
        <v>X</v>
      </c>
    </row>
    <row r="23" spans="1:10" ht="15">
      <c r="A23" s="46" t="s">
        <v>436</v>
      </c>
      <c r="B23" s="47">
        <f t="shared" si="0"/>
        <v>846</v>
      </c>
      <c r="C23" s="48"/>
      <c r="D23" s="49"/>
      <c r="E23" s="58"/>
      <c r="F23" s="49"/>
      <c r="G23" s="49"/>
      <c r="H23" s="50" t="str">
        <f>IF($B23="","",IF($J23="X",B23,CONCATENATE(VLOOKUP(B23,Competitors!$A$2:$I$650,3,FALSE)," ",VLOOKUP(B23,Competitors!$A$2:$I$650,2,FALSE))))</f>
        <v>Roger Kockelbergh</v>
      </c>
      <c r="I23" s="51">
        <f t="shared" si="1"/>
        <v>0</v>
      </c>
      <c r="J23" t="str">
        <f t="shared" si="2"/>
        <v/>
      </c>
    </row>
    <row r="24" spans="1:10" ht="15">
      <c r="A24" s="46" t="s">
        <v>444</v>
      </c>
      <c r="B24" s="47">
        <f t="shared" si="0"/>
        <v>1193</v>
      </c>
      <c r="C24" s="48"/>
      <c r="D24" s="49"/>
      <c r="E24" s="58"/>
      <c r="F24" s="49" t="s">
        <v>545</v>
      </c>
      <c r="G24" s="49"/>
      <c r="H24" s="50" t="str">
        <f>IF($B24="","",IF($J24="X",B24,CONCATENATE(VLOOKUP(B24,Competitors!$A$2:$I$650,3,FALSE)," ",VLOOKUP(B24,Competitors!$A$2:$I$650,2,FALSE))))</f>
        <v>Richard Hardwicke</v>
      </c>
      <c r="I24" s="51">
        <f t="shared" si="1"/>
        <v>0</v>
      </c>
      <c r="J24" t="str">
        <f t="shared" si="2"/>
        <v/>
      </c>
    </row>
    <row r="25" spans="1:10" ht="15">
      <c r="A25" s="46" t="s">
        <v>419</v>
      </c>
      <c r="B25" s="47">
        <f t="shared" si="0"/>
        <v>1355</v>
      </c>
      <c r="C25" s="48"/>
      <c r="D25" s="49"/>
      <c r="E25" s="58"/>
      <c r="F25" s="49" t="s">
        <v>545</v>
      </c>
      <c r="G25" s="49"/>
      <c r="H25" s="50" t="str">
        <f>IF($B25="","",IF($J25="X",B25,CONCATENATE(VLOOKUP(B25,Competitors!$A$2:$I$650,3,FALSE)," ",VLOOKUP(B25,Competitors!$A$2:$I$650,2,FALSE))))</f>
        <v>Aubrey Elmer</v>
      </c>
      <c r="I25" s="51">
        <f t="shared" si="1"/>
        <v>0</v>
      </c>
      <c r="J25" t="str">
        <f t="shared" si="2"/>
        <v/>
      </c>
    </row>
    <row r="26" spans="1:10" ht="15">
      <c r="A26" s="46" t="s">
        <v>501</v>
      </c>
      <c r="B26" s="47" t="str">
        <f t="shared" si="0"/>
        <v>Brian Lincoln (Ratae)</v>
      </c>
      <c r="C26" s="48"/>
      <c r="D26" s="49"/>
      <c r="E26" s="58"/>
      <c r="F26" s="49" t="s">
        <v>545</v>
      </c>
      <c r="G26" s="49"/>
      <c r="H26" s="50" t="str">
        <f>IF($B26="","",IF($J26="X",B26,CONCATENATE(VLOOKUP(B26,Competitors!$A$2:$I$650,3,FALSE)," ",VLOOKUP(B26,Competitors!$A$2:$I$650,2,FALSE))))</f>
        <v>Brian Lincoln (Ratae)</v>
      </c>
      <c r="I26" s="51">
        <f t="shared" si="1"/>
        <v>0</v>
      </c>
      <c r="J26" t="str">
        <f t="shared" si="2"/>
        <v>X</v>
      </c>
    </row>
    <row r="27" spans="1:10" ht="15">
      <c r="A27" s="46" t="s">
        <v>438</v>
      </c>
      <c r="B27" s="47">
        <f t="shared" si="0"/>
        <v>1195</v>
      </c>
      <c r="C27" s="48"/>
      <c r="D27" s="49"/>
      <c r="E27" s="58"/>
      <c r="F27" s="49" t="s">
        <v>545</v>
      </c>
      <c r="G27" s="49"/>
      <c r="H27" s="50" t="str">
        <f>IF($B27="","",IF($J27="X",B27,CONCATENATE(VLOOKUP(B27,Competitors!$A$2:$I$650,3,FALSE)," ",VLOOKUP(B27,Competitors!$A$2:$I$650,2,FALSE))))</f>
        <v>Charlie Hardwicke</v>
      </c>
      <c r="I27" s="51">
        <f t="shared" si="1"/>
        <v>0</v>
      </c>
      <c r="J27" t="str">
        <f t="shared" si="2"/>
        <v/>
      </c>
    </row>
    <row r="28" spans="1:10" ht="15">
      <c r="A28" s="46" t="s">
        <v>434</v>
      </c>
      <c r="B28" s="47">
        <f t="shared" si="0"/>
        <v>1109</v>
      </c>
      <c r="C28" s="48"/>
      <c r="D28" s="49"/>
      <c r="E28" s="58"/>
      <c r="F28" s="49"/>
      <c r="G28" s="49"/>
      <c r="H28" s="50" t="str">
        <f>IF($B28="","",IF($J28="X",B28,CONCATENATE(VLOOKUP(B28,Competitors!$A$2:$I$650,3,FALSE)," ",VLOOKUP(B28,Competitors!$A$2:$I$650,2,FALSE))))</f>
        <v>Stuart Haycox</v>
      </c>
      <c r="I28" s="51">
        <f t="shared" si="1"/>
        <v>0</v>
      </c>
      <c r="J28" t="str">
        <f t="shared" si="2"/>
        <v/>
      </c>
    </row>
    <row r="29" spans="1:10" ht="15">
      <c r="A29" s="46" t="s">
        <v>430</v>
      </c>
      <c r="B29" s="47">
        <f t="shared" si="0"/>
        <v>1107</v>
      </c>
      <c r="C29" s="48"/>
      <c r="D29" s="49"/>
      <c r="E29" s="58"/>
      <c r="F29" s="49"/>
      <c r="G29" s="49"/>
      <c r="H29" s="50" t="str">
        <f>IF($B29="","",IF($J29="X",B29,CONCATENATE(VLOOKUP(B29,Competitors!$A$2:$I$650,3,FALSE)," ",VLOOKUP(B29,Competitors!$A$2:$I$650,2,FALSE))))</f>
        <v>Milly Pinnock</v>
      </c>
      <c r="I29" s="51">
        <f t="shared" si="1"/>
        <v>0</v>
      </c>
      <c r="J29" t="str">
        <f t="shared" si="2"/>
        <v/>
      </c>
    </row>
    <row r="30" spans="1:10" ht="15">
      <c r="A30" s="46" t="s">
        <v>692</v>
      </c>
      <c r="B30" s="47" t="str">
        <f t="shared" si="0"/>
        <v>Steve Walsh (LFCC)</v>
      </c>
      <c r="C30" s="48"/>
      <c r="D30" s="49"/>
      <c r="E30" s="58"/>
      <c r="F30" s="49" t="s">
        <v>545</v>
      </c>
      <c r="G30" s="49"/>
      <c r="H30" s="50" t="str">
        <f>IF($B30="","",IF($J30="X",B30,CONCATENATE(VLOOKUP(B30,Competitors!$A$2:$I$650,3,FALSE)," ",VLOOKUP(B30,Competitors!$A$2:$I$650,2,FALSE))))</f>
        <v>Steve Walsh (LFCC)</v>
      </c>
      <c r="I30" s="51">
        <f t="shared" si="1"/>
        <v>0</v>
      </c>
      <c r="J30" t="str">
        <f t="shared" si="2"/>
        <v>X</v>
      </c>
    </row>
    <row r="31" spans="1:10" ht="15">
      <c r="A31" s="46" t="s">
        <v>596</v>
      </c>
      <c r="B31" s="47">
        <f t="shared" si="0"/>
        <v>1390</v>
      </c>
      <c r="C31" s="48"/>
      <c r="D31" s="49"/>
      <c r="E31" s="58"/>
      <c r="F31" s="49" t="s">
        <v>545</v>
      </c>
      <c r="G31" s="49"/>
      <c r="H31" s="50" t="str">
        <f>IF($B31="","",IF($J31="X",B31,CONCATENATE(VLOOKUP(B31,Competitors!$A$2:$I$650,3,FALSE)," ",VLOOKUP(B31,Competitors!$A$2:$I$650,2,FALSE))))</f>
        <v>Diego Patteri</v>
      </c>
      <c r="I31" s="51">
        <f t="shared" si="1"/>
        <v>0</v>
      </c>
      <c r="J31" t="str">
        <f t="shared" si="2"/>
        <v/>
      </c>
    </row>
    <row r="32" spans="1:10" ht="15">
      <c r="A32" s="46" t="s">
        <v>433</v>
      </c>
      <c r="B32" s="47">
        <f t="shared" si="0"/>
        <v>1112</v>
      </c>
      <c r="C32" s="48"/>
      <c r="D32" s="49"/>
      <c r="E32" s="58"/>
      <c r="F32" s="49"/>
      <c r="G32" s="49"/>
      <c r="H32" s="50" t="str">
        <f>IF($B32="","",IF($J32="X",B32,CONCATENATE(VLOOKUP(B32,Competitors!$A$2:$I$650,3,FALSE)," ",VLOOKUP(B32,Competitors!$A$2:$I$650,2,FALSE))))</f>
        <v>Gary Ashwell</v>
      </c>
      <c r="I32" s="51">
        <f t="shared" si="1"/>
        <v>0</v>
      </c>
      <c r="J32" t="str">
        <f t="shared" si="2"/>
        <v/>
      </c>
    </row>
    <row r="33" spans="1:10" ht="15">
      <c r="A33" s="46" t="s">
        <v>416</v>
      </c>
      <c r="B33" s="47">
        <f t="shared" si="0"/>
        <v>1161</v>
      </c>
      <c r="C33" s="48"/>
      <c r="D33" s="49"/>
      <c r="E33" s="58"/>
      <c r="F33" s="49"/>
      <c r="G33" s="49"/>
      <c r="H33" s="50" t="str">
        <f>IF($B33="","",IF($J33="X",B33,CONCATENATE(VLOOKUP(B33,Competitors!$A$2:$I$650,3,FALSE)," ",VLOOKUP(B33,Competitors!$A$2:$I$650,2,FALSE))))</f>
        <v>Maciej Suchocki</v>
      </c>
      <c r="I33" s="51">
        <f t="shared" si="1"/>
        <v>0</v>
      </c>
      <c r="J33" t="str">
        <f t="shared" si="2"/>
        <v/>
      </c>
    </row>
    <row r="34" spans="1:10" ht="15">
      <c r="A34" s="46" t="s">
        <v>755</v>
      </c>
      <c r="B34" s="47">
        <f t="shared" ref="B34:B97" si="3">IF(A34="","",_xlfn.XLOOKUP(A34,ClubNames,ClubNumbers,_xlfn.XLOOKUP(A34,RoundRobinRiderNames,RoundRobinRiderDecoratedNames,A34)))</f>
        <v>1357</v>
      </c>
      <c r="C34" s="48"/>
      <c r="D34" s="49"/>
      <c r="E34" s="58"/>
      <c r="F34" s="49" t="s">
        <v>545</v>
      </c>
      <c r="G34" s="49"/>
      <c r="H34" s="50" t="str">
        <f>IF($B34="","",IF($J34="X",B34,CONCATENATE(VLOOKUP(B34,Competitors!$A$2:$I$650,3,FALSE)," ",VLOOKUP(B34,Competitors!$A$2:$I$650,2,FALSE))))</f>
        <v>Ian Parker</v>
      </c>
      <c r="I34" s="51">
        <f t="shared" si="1"/>
        <v>0</v>
      </c>
      <c r="J34" t="str">
        <f t="shared" si="2"/>
        <v/>
      </c>
    </row>
    <row r="35" spans="1:10" ht="15">
      <c r="A35" s="46" t="s">
        <v>756</v>
      </c>
      <c r="B35" s="47" t="str">
        <f t="shared" si="3"/>
        <v>Julian Church (Worcester St. Johns CC)</v>
      </c>
      <c r="C35" s="48"/>
      <c r="D35" s="49"/>
      <c r="E35" s="58"/>
      <c r="F35" s="49" t="s">
        <v>545</v>
      </c>
      <c r="G35" s="49"/>
      <c r="H35" s="50" t="str">
        <f>IF($B35="","",IF($J35="X",B35,CONCATENATE(VLOOKUP(B35,Competitors!$A$2:$I$650,3,FALSE)," ",VLOOKUP(B35,Competitors!$A$2:$I$650,2,FALSE))))</f>
        <v>Julian Church (Worcester St. Johns CC)</v>
      </c>
      <c r="I35" s="51">
        <f t="shared" si="1"/>
        <v>0</v>
      </c>
      <c r="J35" t="str">
        <f t="shared" si="2"/>
        <v>X</v>
      </c>
    </row>
    <row r="36" spans="1:10" ht="15">
      <c r="A36" s="46" t="s">
        <v>489</v>
      </c>
      <c r="B36" s="47" t="str">
        <f t="shared" si="3"/>
        <v>Sam Nettel (LFCC)</v>
      </c>
      <c r="C36" s="48"/>
      <c r="D36" s="49"/>
      <c r="E36" s="58"/>
      <c r="F36" s="49"/>
      <c r="G36" s="49"/>
      <c r="H36" s="50" t="str">
        <f>IF($B36="","",IF($J36="X",B36,CONCATENATE(VLOOKUP(B36,Competitors!$A$2:$I$650,3,FALSE)," ",VLOOKUP(B36,Competitors!$A$2:$I$650,2,FALSE))))</f>
        <v>Sam Nettel (LFCC)</v>
      </c>
      <c r="I36" s="51">
        <f t="shared" si="1"/>
        <v>0</v>
      </c>
      <c r="J36" t="str">
        <f t="shared" si="2"/>
        <v>X</v>
      </c>
    </row>
    <row r="37" spans="1:10" ht="15">
      <c r="A37" s="46" t="s">
        <v>511</v>
      </c>
      <c r="B37" s="47" t="str">
        <f t="shared" si="3"/>
        <v>Marshall Briggs (Ratae)</v>
      </c>
      <c r="C37" s="48"/>
      <c r="D37" s="49"/>
      <c r="E37" s="58"/>
      <c r="F37" s="49"/>
      <c r="G37" s="49"/>
      <c r="H37" s="50" t="str">
        <f>IF($B37="","",IF($J37="X",B37,CONCATENATE(VLOOKUP(B37,Competitors!$A$2:$I$650,3,FALSE)," ",VLOOKUP(B37,Competitors!$A$2:$I$650,2,FALSE))))</f>
        <v>Marshall Briggs (Ratae)</v>
      </c>
      <c r="I37" s="51">
        <f t="shared" si="1"/>
        <v>0</v>
      </c>
      <c r="J37" t="str">
        <f t="shared" si="2"/>
        <v>X</v>
      </c>
    </row>
    <row r="38" spans="1:10" ht="15">
      <c r="A38" s="46" t="s">
        <v>421</v>
      </c>
      <c r="B38" s="47">
        <f t="shared" si="3"/>
        <v>1192</v>
      </c>
      <c r="C38" s="48"/>
      <c r="D38" s="49"/>
      <c r="E38" s="58"/>
      <c r="F38" s="49"/>
      <c r="G38" s="49"/>
      <c r="H38" s="50" t="str">
        <f>IF($B38="","",IF($J38="X",B38,CONCATENATE(VLOOKUP(B38,Competitors!$A$2:$I$650,3,FALSE)," ",VLOOKUP(B38,Competitors!$A$2:$I$650,2,FALSE))))</f>
        <v>Dale Norris</v>
      </c>
      <c r="I38" s="51">
        <f t="shared" si="1"/>
        <v>0</v>
      </c>
      <c r="J38" t="str">
        <f t="shared" si="2"/>
        <v/>
      </c>
    </row>
    <row r="39" spans="1:10" ht="15">
      <c r="A39" s="46" t="s">
        <v>432</v>
      </c>
      <c r="B39" s="47">
        <f t="shared" si="3"/>
        <v>1403</v>
      </c>
      <c r="C39" s="48"/>
      <c r="D39" s="49"/>
      <c r="E39" s="58"/>
      <c r="F39" s="49"/>
      <c r="G39" s="49"/>
      <c r="H39" s="50" t="str">
        <f>IF($B39="","",IF($J39="X",B39,CONCATENATE(VLOOKUP(B39,Competitors!$A$2:$I$650,3,FALSE)," ",VLOOKUP(B39,Competitors!$A$2:$I$650,2,FALSE))))</f>
        <v>Toby Lenehan</v>
      </c>
      <c r="I39" s="51">
        <f t="shared" si="1"/>
        <v>0</v>
      </c>
      <c r="J39" t="str">
        <f t="shared" si="2"/>
        <v/>
      </c>
    </row>
    <row r="40" spans="1:10" ht="15">
      <c r="A40" s="46" t="s">
        <v>515</v>
      </c>
      <c r="B40" s="47" t="str">
        <f t="shared" si="3"/>
        <v>Steve Pearce (Ratae)</v>
      </c>
      <c r="C40" s="48"/>
      <c r="D40" s="49"/>
      <c r="E40" s="58"/>
      <c r="F40" s="49"/>
      <c r="G40" s="49"/>
      <c r="H40" s="50" t="str">
        <f>IF($B40="","",IF($J40="X",B40,CONCATENATE(VLOOKUP(B40,Competitors!$A$2:$I$650,3,FALSE)," ",VLOOKUP(B40,Competitors!$A$2:$I$650,2,FALSE))))</f>
        <v>Steve Pearce (Ratae)</v>
      </c>
      <c r="I40" s="51">
        <f t="shared" si="1"/>
        <v>0</v>
      </c>
      <c r="J40" t="str">
        <f t="shared" si="2"/>
        <v>X</v>
      </c>
    </row>
    <row r="41" spans="1:10" ht="15">
      <c r="A41" s="46" t="s">
        <v>758</v>
      </c>
      <c r="B41" s="47" t="str">
        <f t="shared" si="3"/>
        <v>Oliver Church (Worcester St. Johns CC)</v>
      </c>
      <c r="C41" s="48"/>
      <c r="D41" s="49"/>
      <c r="E41" s="58"/>
      <c r="F41" s="49" t="s">
        <v>545</v>
      </c>
      <c r="G41" s="49"/>
      <c r="H41" s="50" t="str">
        <f>IF($B41="","",IF($J41="X",B41,CONCATENATE(VLOOKUP(B41,Competitors!$A$2:$I$650,3,FALSE)," ",VLOOKUP(B41,Competitors!$A$2:$I$650,2,FALSE))))</f>
        <v>Oliver Church (Worcester St. Johns CC)</v>
      </c>
      <c r="I41" s="51">
        <f t="shared" si="1"/>
        <v>0</v>
      </c>
      <c r="J41" t="str">
        <f t="shared" si="2"/>
        <v>X</v>
      </c>
    </row>
    <row r="42" spans="1:10" ht="15">
      <c r="A42" s="46" t="s">
        <v>476</v>
      </c>
      <c r="B42" s="47" t="str">
        <f t="shared" si="3"/>
        <v>Pamela Moore (Coalville Wheelers)</v>
      </c>
      <c r="C42" s="48"/>
      <c r="D42" s="49"/>
      <c r="E42" s="58"/>
      <c r="F42" s="49"/>
      <c r="G42" s="49"/>
      <c r="H42" s="50" t="str">
        <f>IF($B42="","",IF($J42="X",B42,CONCATENATE(VLOOKUP(B42,Competitors!$A$2:$I$650,3,FALSE)," ",VLOOKUP(B42,Competitors!$A$2:$I$650,2,FALSE))))</f>
        <v>Pamela Moore (Coalville Wheelers)</v>
      </c>
      <c r="I42" s="51">
        <f t="shared" si="1"/>
        <v>0</v>
      </c>
      <c r="J42" t="str">
        <f t="shared" si="2"/>
        <v>X</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Event_20</v>
      </c>
    </row>
    <row r="104" spans="1:10">
      <c r="B104" t="s">
        <v>553</v>
      </c>
      <c r="C104" t="str">
        <f ca="1">_xlfn.XLOOKUP(C103,Calendar!O:O,Calendar!H:H,"Event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 workbookViewId="1"/>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2026-07-27T18:06:00Z</dcterms:modified>
</cp:coreProperties>
</file>