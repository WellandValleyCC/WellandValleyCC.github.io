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2BF5B474-AE26-4FA3-A2E6-86B48C03B6AE}" xr6:coauthVersionLast="47" xr6:coauthVersionMax="47" xr10:uidLastSave="{00000000-0000-0000-0000-000000000000}"/>
  <bookViews>
    <workbookView xWindow="0" yWindow="0" windowWidth="14400" windowHeight="17280" firstSheet="15" activeTab="18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" i="4" l="1"/>
  <c r="C61" i="4"/>
  <c r="C59" i="4"/>
  <c r="B12" i="9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 s="1"/>
  <c r="J15" i="9"/>
  <c r="H15" i="9" s="1"/>
  <c r="J16" i="9"/>
  <c r="H16" i="9" s="1"/>
  <c r="J17" i="9"/>
  <c r="H17" i="9" s="1"/>
  <c r="J18" i="9"/>
  <c r="H18" i="9" s="1"/>
  <c r="J19" i="9"/>
  <c r="H19" i="9" s="1"/>
  <c r="J20" i="9"/>
  <c r="H20" i="9" s="1"/>
  <c r="J21" i="9"/>
  <c r="H21" i="9" s="1"/>
  <c r="J22" i="9"/>
  <c r="H22" i="9" s="1"/>
  <c r="J23" i="9"/>
  <c r="H23" i="9" s="1"/>
  <c r="J24" i="9"/>
  <c r="H24" i="9" s="1"/>
  <c r="J25" i="9"/>
  <c r="H25" i="9" s="1"/>
  <c r="J26" i="9"/>
  <c r="H26" i="9" s="1"/>
  <c r="J27" i="9"/>
  <c r="H27" i="9" s="1"/>
  <c r="J28" i="9"/>
  <c r="H28" i="9" s="1"/>
  <c r="J29" i="9"/>
  <c r="H29" i="9" s="1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 s="1"/>
  <c r="J4" i="10"/>
  <c r="H4" i="10" s="1"/>
  <c r="J5" i="10"/>
  <c r="H5" i="10" s="1"/>
  <c r="J6" i="10"/>
  <c r="H6" i="10" s="1"/>
  <c r="J7" i="10"/>
  <c r="H7" i="10" s="1"/>
  <c r="J8" i="10"/>
  <c r="H8" i="10" s="1"/>
  <c r="J9" i="10"/>
  <c r="H9" i="10" s="1"/>
  <c r="J10" i="10"/>
  <c r="H10" i="10" s="1"/>
  <c r="J11" i="10"/>
  <c r="H11" i="10"/>
  <c r="J12" i="10"/>
  <c r="H12" i="10" s="1"/>
  <c r="J13" i="10"/>
  <c r="H13" i="10"/>
  <c r="J14" i="10"/>
  <c r="H14" i="10" s="1"/>
  <c r="J15" i="10"/>
  <c r="H15" i="10" s="1"/>
  <c r="J16" i="10"/>
  <c r="H16" i="10" s="1"/>
  <c r="J17" i="10"/>
  <c r="H17" i="10" s="1"/>
  <c r="J18" i="10"/>
  <c r="H18" i="10" s="1"/>
  <c r="J19" i="10"/>
  <c r="H19" i="10" s="1"/>
  <c r="J20" i="10"/>
  <c r="H20" i="10" s="1"/>
  <c r="J21" i="10"/>
  <c r="H21" i="10" s="1"/>
  <c r="J22" i="10"/>
  <c r="H22" i="10" s="1"/>
  <c r="J23" i="10"/>
  <c r="H23" i="10" s="1"/>
  <c r="J24" i="10"/>
  <c r="H24" i="10" s="1"/>
  <c r="J25" i="10"/>
  <c r="H25" i="10" s="1"/>
  <c r="J26" i="10"/>
  <c r="H26" i="10" s="1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H2" i="10" s="1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<sst xmlns="http://schemas.openxmlformats.org/spreadsheetml/2006/main" count="7680" uniqueCount="540">
  <si>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</si>
  <si>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</si>
  <si>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</si>
  <si>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</si>
  <si>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</si>
  <si>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</si>
  <si>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</si>
  <si>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</si>
  <si>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</si>
  <si>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</si>
  <si>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</si>
  <si>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</si>
  <si>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</si>
  <si>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</si>
  <si>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</si>
  <si>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</si>
  <si>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</si>
  <si>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</si>
  <si>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</si>
  <si>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</si>
  <si>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</si>
  <si>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</si>
  <si>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</si>
  <si>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</si>
  <si>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</si>
  <si>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</si>
  <si>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</si>
  <si>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</si>
  <si>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</si>
  <si>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</si>
  <si>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</si>
  <si>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</si>
  <si>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</si>
  <si>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</si>
  <si>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</si>
  <si>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</si>
  <si>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</si>
  <si>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</si>
  <si>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</si>
  <si>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</si>
  <si>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</si>
  <si>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</si>
  <si>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</si>
  <si>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</si>
  <si>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</si>
  <si>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</si>
  <si>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</si>
  <si>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</si>
  <si>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</si>
  <si>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</si>
  <si>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</si>
  <si>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</si>
  <si>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</si>
  <si>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</si>
  <si>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</si>
  <si>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</si>
  <si>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</si>
  <si>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</si>
  <si>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</si>
  <si>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</si>
  <si>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</si>
  <si>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</si>
  <si>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</si>
  <si>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</si>
  <si>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</si>
  <si>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</si>
  <si>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</si>
  <si>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</si>
  <si>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</si>
  <si>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</si>
  <si>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</si>
  <si>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</si>
  <si>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</si>
  <si>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</si>
  <si>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</si>
  <si>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</si>
  <si>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</si>
  <si>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</si>
  <si>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</si>
  <si>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</si>
  <si>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</si>
  <si>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</si>
  <si>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</si>
  <si>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</si>
  <si>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</si>
  <si>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</si>
  <si>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</si>
  <si>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</si>
  <si>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</si>
  <si>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</si>
  <si>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</si>
  <si>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</si>
  <si>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</si>
  <si>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</si>
  <si>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</si>
  <si>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</si>
  <si>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</si>
  <si>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</si>
  <si>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</si>
  <si>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</si>
  <si>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</si>
  <si>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</si>
  <si>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</si>
  <si>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</si>
  <si>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</si>
  <si>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</si>
  <si>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</si>
  <si>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</si>
  <si>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</si>
  <si>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</si>
  <si>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</si>
  <si>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</si>
  <si>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</si>
  <si>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</si>
  <si>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</si>
  <si>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</si>
  <si>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</si>
  <si>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</si>
  <si>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</si>
  <si>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</si>
  <si>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</si>
  <si>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</si>
  <si>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</si>
  <si>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</si>
  <si>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</si>
  <si>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</si>
  <si>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</si>
  <si>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</si>
  <si>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</si>
  <si>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</si>
  <si>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</si>
  <si>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</si>
  <si>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</si>
  <si>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</si>
  <si>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</si>
  <si>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</si>
  <si>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</si>
  <si>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</si>
  <si>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</si>
  <si>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</si>
  <si>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</si>
  <si>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</si>
  <si>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</si>
  <si>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</si>
  <si>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</si>
  <si>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</si>
  <si>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</si>
  <si>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</si>
  <si>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</si>
  <si>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</si>
  <si>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</si>
  <si>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</si>
  <si>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</si>
  <si>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</si>
  <si>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</si>
  <si>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</si>
  <si>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</si>
  <si>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</si>
  <si>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</si>
  <si>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</si>
  <si>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</si>
  <si>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</si>
  <si>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</si>
  <si>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</si>
  <si>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</si>
  <si>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</si>
  <si>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</si>
  <si>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</si>
  <si>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</si>
  <si>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</si>
  <si>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</si>
  <si>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</si>
  <si>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</si>
  <si>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</si>
  <si>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</si>
  <si>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</si>
  <si>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</si>
  <si>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</si>
  <si>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</si>
  <si>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</si>
  <si>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</si>
  <si>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</si>
  <si>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</si>
  <si>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</si>
  <si>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</si>
  <si>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</si>
  <si>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</si>
  <si>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</si>
  <si>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</si>
  <si>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</si>
  <si>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</si>
  <si>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</si>
  <si>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</si>
  <si>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</si>
  <si>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</si>
  <si>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</si>
  <si>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</si>
  <si>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</si>
  <si>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</si>
  <si>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</si>
  <si>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</si>
  <si>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</si>
  <si>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</si>
  <si>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</si>
  <si>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</si>
  <si>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</si>
  <si>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</si>
  <si>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</si>
  <si>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</si>
  <si>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</si>
  <si>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</si>
  <si>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</si>
  <si>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</si>
  <si>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</si>
  <si>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</si>
  <si>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</si>
  <si>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</si>
  <si>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</si>
  <si>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</si>
  <si>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</si>
  <si>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</si>
  <si>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</si>
  <si>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</si>
  <si>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</si>
  <si>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</si>
  <si>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</si>
  <si>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</si>
  <si>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</si>
  <si>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</si>
  <si>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</si>
  <si>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</si>
  <si>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</si>
  <si>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</si>
  <si>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</si>
  <si>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</si>
  <si>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</si>
  <si>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</si>
  <si>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</si>
  <si>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</si>
  <si>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</si>
  <si>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</si>
  <si>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</si>
  <si>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</si>
  <si>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</si>
  <si>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</si>
  <si>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</si>
  <si>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</si>
  <si>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</si>
  <si>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</si>
  <si>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</si>
  <si>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</si>
  <si>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</si>
  <si>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</si>
  <si>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</si>
  <si>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</si>
  <si>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</si>
  <si>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</si>
  <si>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</si>
  <si>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</si>
  <si>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</si>
  <si>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</si>
  <si>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</si>
  <si>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</si>
  <si>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</si>
  <si>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</si>
  <si>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</si>
  <si>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</si>
  <si>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</si>
  <si>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</si>
  <si>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</si>
  <si>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</si>
  <si>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</si>
  <si>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</si>
  <si>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</si>
  <si>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</si>
  <si>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</si>
  <si>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</si>
  <si>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</si>
  <si>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</si>
  <si>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</si>
  <si>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</si>
  <si>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</si>
  <si>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</si>
  <si>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</si>
  <si>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</si>
  <si>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</si>
  <si>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</si>
  <si>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</si>
  <si>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</si>
  <si>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</si>
  <si>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</si>
  <si>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</si>
  <si>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</si>
  <si>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</si>
  <si>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</si>
  <si>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</si>
  <si>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</si>
  <si>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</si>
  <si>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</si>
  <si>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</si>
  <si>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</si>
  <si>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</si>
  <si>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</si>
  <si>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</si>
  <si>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</si>
  <si>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</si>
  <si>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</si>
  <si>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</si>
  <si>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</si>
  <si>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</si>
  <si>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</si>
  <si>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</si>
  <si>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</si>
  <si>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</si>
  <si>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</si>
  <si>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</si>
  <si>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</si>
  <si>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</si>
  <si>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</si>
  <si>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</si>
  <si>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</si>
  <si>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</si>
  <si>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</si>
  <si>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</si>
  <si>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</si>
  <si>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</si>
  <si>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</si>
  <si>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</si>
  <si>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</si>
  <si>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</si>
  <si>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</si>
  <si>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</si>
  <si>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</si>
  <si>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</si>
  <si>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</si>
  <si>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</si>
  <si>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</si>
  <si>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</si>
  <si>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</si>
  <si>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</si>
  <si>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</si>
  <si>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</si>
  <si>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</si>
  <si>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</si>
  <si>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</si>
  <si>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</si>
  <si>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</si>
  <si>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</si>
  <si>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</si>
  <si>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</si>
  <si>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</si>
  <si>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</si>
  <si>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</si>
  <si>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</si>
  <si>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</si>
  <si>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</si>
  <si>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</si>
  <si>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</si>
  <si>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</si>
  <si>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</si>
  <si>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</si>
  <si>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</si>
  <si>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</si>
  <si>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</si>
  <si>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</si>
  <si>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</si>
  <si>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</si>
  <si>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</si>
  <si>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</si>
  <si>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</si>
  <si>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</si>
  <si>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</si>
  <si>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</si>
  <si>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</si>
  <si>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</si>
  <si>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</si>
  <si>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</si>
  <si>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</si>
  <si>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</si>
  <si>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</si>
  <si>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</si>
  <si>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</si>
  <si>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</si>
  <si>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</si>
  <si>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</si>
  <si>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</si>
  <si>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</si>
  <si>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</si>
  <si>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</si>
  <si>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</si>
  <si>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</si>
  <si>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</si>
  <si>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</si>
  <si>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</si>
  <si>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</si>
  <si>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</si>
  <si>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</si>
  <si>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</si>
  <si>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</si>
  <si>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</si>
  <si>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</si>
  <si>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</si>
  <si>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</si>
  <si>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</si>
  <si>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</si>
  <si>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</si>
  <si>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</si>
  <si>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</si>
  <si>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</si>
  <si>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</si>
  <si>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</si>
  <si>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</si>
  <si>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</si>
  <si>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</si>
  <si>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</si>
  <si>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</si>
  <si>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</si>
  <si>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</si>
  <si>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</si>
  <si>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</si>
  <si>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</si>
  <si>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</si>
  <si>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</si>
  <si>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</si>
  <si>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</si>
  <si>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</si>
  <si>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</si>
  <si>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</si>
  <si>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</si>
  <si>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</si>
  <si>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</si>
  <si>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</si>
  <si>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</si>
  <si>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</si>
  <si>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</si>
  <si>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</si>
  <si>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</si>
  <si>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</si>
  <si>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</si>
  <si>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</si>
  <si>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</si>
  <si>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</si>
  <si>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</si>
  <si>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</si>
  <si>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</si>
  <si>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</si>
  <si>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</si>
  <si>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</si>
  <si>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</si>
  <si>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</si>
  <si>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</si>
  <si>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</si>
  <si>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</si>
  <si>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</si>
  <si>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</si>
  <si>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</si>
  <si>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</si>
  <si>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</si>
  <si>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</si>
  <si>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</si>
  <si>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</si>
  <si>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</si>
  <si>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</si>
  <si>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</si>
  <si>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</si>
  <si>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</si>
  <si>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</si>
  <si>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</si>
  <si>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</si>
  <si>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</si>
  <si>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</si>
  <si>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</si>
  <si>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</si>
  <si>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</si>
  <si>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</si>
  <si>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</si>
  <si>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</si>
  <si>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</si>
  <si>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</si>
  <si>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</si>
  <si>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</si>
  <si>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</si>
  <si>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</si>
  <si>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</si>
  <si>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</si>
  <si>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</si>
  <si>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</si>
  <si>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</si>
  <si>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</si>
  <si>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</si>
  <si>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</si>
  <si>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</si>
  <si>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</si>
  <si>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</si>
  <si>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</si>
  <si>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</si>
  <si>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</si>
  <si>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</si>
  <si>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</si>
  <si>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</si>
  <si>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</si>
  <si>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</si>
  <si>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</si>
  <si>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</si>
  <si>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</si>
  <si>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</si>
  <si>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</si>
  <si>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</si>
  <si>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</si>
  <si>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</si>
  <si>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</si>
  <si>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</si>
  <si>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</si>
  <si>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</si>
  <si>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</si>
  <si>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</si>
  <si>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</si>
  <si>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</si>
  <si>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</si>
  <si>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</si>
  <si>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</si>
  <si>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</si>
  <si>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</si>
  <si>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</si>
  <si>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</si>
  <si>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</si>
  <si>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</si>
  <si>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</si>
  <si>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</si>
  <si>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</si>
  <si>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</si>
  <si>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</si>
  <si>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</si>
  <si>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</si>
  <si>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</si>
  <si>
    <t>Pamela Moore</t>
  </si>
  <si>
    <t>John Capel</t>
  </si>
  <si>
    <t>Linda Thames</t>
  </si>
  <si>
    <t>Coalville Wheelers</t>
  </si>
  <si>
    <t>DNF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</si>
</sst>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2" fillId="0" borderId="0"/>
  </cellStyleXfs>
  <cellXfs count="63">
    <xf numFmtId="0" fontId="0" fillId="0" borderId="0" xfId="0"/>
    <xf numFmtId="14" fontId="0" fillId="0" borderId="0" xfId="0" applyNumberFormat="1"/>
    <xf numFmtId="16" fontId="15" fillId="2" borderId="0" xfId="2" applyNumberFormat="1" applyFont="1" applyFill="1" applyAlignment="1">
      <alignment horizontal="center"/>
    </xf>
    <xf numFmtId="0" fontId="15" fillId="2" borderId="0" xfId="2" applyFont="1" applyFill="1" applyAlignment="1">
      <alignment horizontal="center"/>
    </xf>
    <xf numFmtId="16" fontId="15" fillId="2" borderId="0" xfId="2" applyNumberFormat="1" applyFont="1" applyFill="1"/>
    <xf numFmtId="0" fontId="15" fillId="2" borderId="0" xfId="2" applyFont="1" applyFill="1"/>
    <xf numFmtId="0" fontId="15" fillId="2" borderId="0" xfId="3" applyFont="1" applyFill="1" applyAlignment="1">
      <alignment horizontal="center" vertical="center" wrapText="1"/>
    </xf>
    <xf numFmtId="0" fontId="14" fillId="0" borderId="0" xfId="2" applyAlignment="1">
      <alignment horizontal="center"/>
    </xf>
    <xf numFmtId="0" fontId="14" fillId="0" borderId="0" xfId="2"/>
    <xf numFmtId="0" fontId="0" fillId="3" borderId="0" xfId="0" applyFill="1"/>
    <xf numFmtId="0" fontId="16" fillId="2" borderId="1" xfId="0" applyFont="1" applyFill="1" applyBorder="1" applyAlignment="1">
      <alignment wrapText="1"/>
    </xf>
    <xf numFmtId="0" fontId="16" fillId="2" borderId="2" xfId="0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/>
    <xf numFmtId="0" fontId="16" fillId="2" borderId="6" xfId="0" applyFont="1" applyFill="1" applyBorder="1" applyAlignment="1">
      <alignment horizontal="left"/>
    </xf>
    <xf numFmtId="0" fontId="18" fillId="4" borderId="6" xfId="0" applyFont="1" applyFill="1" applyBorder="1" applyAlignment="1">
      <alignment horizontal="center"/>
    </xf>
    <xf numFmtId="164" fontId="18" fillId="4" borderId="6" xfId="0" applyNumberFormat="1" applyFont="1" applyFill="1" applyBorder="1" applyAlignment="1">
      <alignment horizontal="center"/>
    </xf>
    <xf numFmtId="0" fontId="18" fillId="0" borderId="6" xfId="0" applyFont="1" applyBorder="1"/>
    <xf numFmtId="165" fontId="1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8" fillId="0" borderId="6" xfId="0" applyFont="1" applyBorder="1" applyAlignment="1">
      <alignment horizontal="left"/>
    </xf>
    <xf numFmtId="166" fontId="18" fillId="4" borderId="6" xfId="0" applyNumberFormat="1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14" fillId="0" borderId="0" xfId="3" applyAlignment="1">
      <alignment horizontal="center"/>
    </xf>
    <xf numFmtId="14" fontId="14" fillId="0" borderId="0" xfId="0" applyNumberFormat="1" applyFont="1"/>
    <xf numFmtId="0" fontId="0" fillId="0" borderId="0" xfId="0" applyAlignment="1">
      <alignment horizontal="center"/>
    </xf>
    <xf numFmtId="0" fontId="18" fillId="7" borderId="6" xfId="0" applyFont="1" applyFill="1" applyBorder="1" applyAlignment="1">
      <alignment horizontal="center"/>
    </xf>
    <xf numFmtId="164" fontId="18" fillId="7" borderId="6" xfId="0" applyNumberFormat="1" applyFont="1" applyFill="1" applyBorder="1" applyAlignment="1">
      <alignment horizontal="center"/>
    </xf>
    <xf numFmtId="166" fontId="18" fillId="7" borderId="6" xfId="0" applyNumberFormat="1" applyFont="1" applyFill="1" applyBorder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5" fillId="2" borderId="0" xfId="2" applyNumberFormat="1" applyFont="1" applyFill="1"/>
    <xf numFmtId="167" fontId="1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8" fillId="0" borderId="6" xfId="0" applyFont="1" applyBorder="1" applyAlignment="1">
      <alignment horizontal="center"/>
    </xf>
    <xf numFmtId="0" fontId="19" fillId="0" borderId="6" xfId="0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0" fontId="0" fillId="0" borderId="0" xfId="0" quotePrefix="1"/>
    <xf numFmtId="0" fontId="11" fillId="0" borderId="0" xfId="0" applyFont="1"/>
    <xf numFmtId="0" fontId="10" fillId="0" borderId="0" xfId="0" applyFont="1"/>
    <xf numFmtId="0" fontId="9" fillId="0" borderId="0" xfId="8"/>
    <xf numFmtId="14" fontId="9" fillId="0" borderId="0" xfId="8" applyNumberFormat="1"/>
    <xf numFmtId="0" fontId="8" fillId="0" borderId="0" xfId="9"/>
    <xf numFmtId="14" fontId="8" fillId="0" borderId="0" xfId="9" applyNumberFormat="1"/>
    <xf numFmtId="0" fontId="7" fillId="0" borderId="0" xfId="10"/>
    <xf numFmtId="14" fontId="7" fillId="0" borderId="0" xfId="10" applyNumberFormat="1"/>
    <xf numFmtId="0" fontId="6" fillId="0" borderId="0" xfId="11"/>
    <xf numFmtId="14" fontId="6" fillId="0" borderId="0" xfId="11" applyNumberFormat="1"/>
    <xf numFmtId="0" fontId="5" fillId="0" borderId="0" xfId="12"/>
    <xf numFmtId="14" fontId="5" fillId="0" borderId="0" xfId="12" applyNumberFormat="1"/>
    <xf numFmtId="0" fontId="4" fillId="0" borderId="0" xfId="13"/>
    <xf numFmtId="14" fontId="4" fillId="0" borderId="0" xfId="13" applyNumberFormat="1"/>
    <xf numFmtId="0" fontId="3" fillId="0" borderId="0" xfId="0" applyFont="1"/>
    <xf numFmtId="0" fontId="2" fillId="0" borderId="0" xfId="14"/>
    <xf numFmtId="14" fontId="2" fillId="0" borderId="0" xfId="14" applyNumberFormat="1"/>
    <xf numFmtId="0" fontId="1" fillId="0" borderId="0" xfId="0" applyFon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7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20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B61" sqref="B61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61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59" spans="1:4" ht="14.25" x14ac:dyDescent="0.45">
      <c r="A59" t="s">
        <v>535</v>
      </c>
      <c r="B59" t="s">
        <v>538</v>
      </c>
      <c r="C59" s="62" t="str">
        <f t="shared" si="0"/>
        <v>Pamela Moore (Coalville Wheelers)</v>
      </c>
    </row>
    <row r="60" spans="1:4" ht="14.25" x14ac:dyDescent="0.45">
      <c r="A60" t="s">
        <v>536</v>
      </c>
      <c r="B60" t="s">
        <v>538</v>
      </c>
      <c r="C60" s="62" t="str">
        <f t="shared" si="0"/>
        <v>John Capel (Coalville Wheelers)</v>
      </c>
    </row>
    <row r="61" spans="1:4" ht="14.25" x14ac:dyDescent="0.45">
      <c r="C61" s="62" t="str">
        <f t="shared" si="0"/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S11" sqref="S11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 t="s">
        <v>473</v>
      </c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tabSelected="1" zoomScaleNormal="100" workbookViewId="0">
      <selection activeCell="F24" sqref="F24"/>
    </sheetView>
  </sheetViews>
  <sheetFormatPr defaultColWidth="9.1328125" defaultRowHeight="12.75" x14ac:dyDescent="0.35"/>
  <cols>
    <col min="1" max="1" width="20.3984375" bestFit="1" customWidth="1"/>
    <col min="2" max="2" width="42.53125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458</v>
      </c>
      <c r="B2" s="41">
        <f t="shared" ref="B2:B33" si="0">IF(A2="","",_xlfn.XLOOKUP(A2,ClubNames,ClubNumbers,_xlfn.XLOOKUP(A2,RoundRobinRiderNames,RoundRobinRiderDecoratedNames,A2)))</f>
        <v>1298</v>
      </c>
      <c r="C2" s="17"/>
      <c r="D2" s="17"/>
      <c r="E2" s="17"/>
      <c r="F2" s="17" t="s">
        <v>473</v>
      </c>
      <c r="G2" s="17" t="s">
        <v>474</v>
      </c>
      <c r="H2" s="19" t="str">
        <f>IF($B2="","",IF($J2="X",B2,CONCATENATE(VLOOKUP(B2,Competitors!$A$2:$I$650,3, FALSE)," ",VLOOKUP(B2,Competitors!$A$2:$I$650,2,FALSE))))</f>
        <v>Jane Moore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496</v>
      </c>
      <c r="B3" s="41">
        <f t="shared" si="0"/>
        <v>23</v>
      </c>
      <c r="C3" s="17">
        <v>1</v>
      </c>
      <c r="D3" s="17">
        <v>12</v>
      </c>
      <c r="E3" s="17">
        <v>2</v>
      </c>
      <c r="F3" s="17"/>
      <c r="G3" s="17"/>
      <c r="H3" s="19" t="str">
        <f>IF($B3="","",IF($J3="X",B3,CONCATENATE(VLOOKUP(B3,Competitors!$A$2:$I$650,3, FALSE)," ",VLOOKUP(B3,Competitors!$A$2:$I$650,2,FALSE))))</f>
        <v>Chris Hyde</v>
      </c>
      <c r="I3" s="20">
        <f t="shared" ref="I3:I66" si="1">IF(LEFT($F3,1)="D",UPPER($F3),(C3*3600+D3*60+E3)/86400)</f>
        <v>5.002314814814815E-2</v>
      </c>
      <c r="J3" t="str">
        <f t="shared" ref="J3:J66" si="2">IF(OR(B3="",ISNUMBER(B3)),"","X")</f>
        <v/>
      </c>
    </row>
    <row r="4" spans="1:10" ht="15" x14ac:dyDescent="0.4">
      <c r="A4" s="40" t="s">
        <v>478</v>
      </c>
      <c r="B4" s="41">
        <f t="shared" si="0"/>
        <v>1404</v>
      </c>
      <c r="C4" s="17">
        <v>1</v>
      </c>
      <c r="D4" s="17">
        <v>23</v>
      </c>
      <c r="E4" s="17">
        <v>47</v>
      </c>
      <c r="F4" s="17"/>
      <c r="G4" s="17"/>
      <c r="H4" s="19" t="str">
        <f>IF($B4="","",IF($J4="X",B4,CONCATENATE(VLOOKUP(B4,Competitors!$A$2:$I$650,3, FALSE)," ",VLOOKUP(B4,Competitors!$A$2:$I$650,2,FALSE))))</f>
        <v>Millie Lenehan</v>
      </c>
      <c r="I4" s="20">
        <f t="shared" si="1"/>
        <v>5.8182870370370371E-2</v>
      </c>
      <c r="J4" t="str">
        <f t="shared" si="2"/>
        <v/>
      </c>
    </row>
    <row r="5" spans="1:10" ht="15" x14ac:dyDescent="0.4">
      <c r="A5" s="40" t="s">
        <v>535</v>
      </c>
      <c r="B5" s="41" t="str">
        <f t="shared" si="0"/>
        <v>Pamela Moore (Coalville Wheelers)</v>
      </c>
      <c r="C5" s="17">
        <v>1</v>
      </c>
      <c r="D5" s="17">
        <v>24</v>
      </c>
      <c r="E5" s="17">
        <v>38</v>
      </c>
      <c r="F5" s="17"/>
      <c r="G5" s="17"/>
      <c r="H5" s="19" t="str">
        <f>IF($B5="","",IF($J5="X",B5,CONCATENATE(VLOOKUP(B5,Competitors!$A$2:$I$650,3, FALSE)," ",VLOOKUP(B5,Competitors!$A$2:$I$650,2,FALSE))))</f>
        <v>Pamela Moore (Coalville Wheelers)</v>
      </c>
      <c r="I5" s="20">
        <f t="shared" si="1"/>
        <v>5.8773148148148151E-2</v>
      </c>
      <c r="J5" t="str">
        <f t="shared" si="2"/>
        <v>X</v>
      </c>
    </row>
    <row r="6" spans="1:10" ht="15" x14ac:dyDescent="0.4">
      <c r="A6" s="40" t="s">
        <v>481</v>
      </c>
      <c r="B6" s="41">
        <f t="shared" si="0"/>
        <v>1112</v>
      </c>
      <c r="C6" s="17">
        <v>1</v>
      </c>
      <c r="D6" s="17">
        <v>9</v>
      </c>
      <c r="E6" s="17">
        <v>24</v>
      </c>
      <c r="F6" s="17"/>
      <c r="G6" s="17"/>
      <c r="H6" s="19" t="str">
        <f>IF($B6="","",IF($J6="X",B6,CONCATENATE(VLOOKUP(B6,Competitors!$A$2:$I$650,3, FALSE)," ",VLOOKUP(B6,Competitors!$A$2:$I$650,2,FALSE))))</f>
        <v>Gary Ashwell</v>
      </c>
      <c r="I6" s="20">
        <f t="shared" si="1"/>
        <v>4.8194444444444443E-2</v>
      </c>
      <c r="J6" t="str">
        <f t="shared" si="2"/>
        <v/>
      </c>
    </row>
    <row r="7" spans="1:10" ht="15" x14ac:dyDescent="0.4">
      <c r="A7" s="40" t="s">
        <v>102</v>
      </c>
      <c r="B7" s="41" t="str">
        <f t="shared" si="0"/>
        <v>Chris Bonsor (Ratae)</v>
      </c>
      <c r="C7" s="17"/>
      <c r="D7" s="17"/>
      <c r="E7" s="17"/>
      <c r="F7" s="17"/>
      <c r="G7" s="17" t="s">
        <v>474</v>
      </c>
      <c r="H7" s="19" t="str">
        <f>IF($B7="","",IF($J7="X",B7,CONCATENATE(VLOOKUP(B7,Competitors!$A$2:$I$650,3, FALSE)," ",VLOOKUP(B7,Competitors!$A$2:$I$650,2,FALSE))))</f>
        <v>Chris Bonsor (Ratae)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536</v>
      </c>
      <c r="B8" s="41" t="str">
        <f t="shared" si="0"/>
        <v>John Capel (Coalville Wheelers)</v>
      </c>
      <c r="C8" s="17">
        <v>1</v>
      </c>
      <c r="D8" s="17">
        <v>9</v>
      </c>
      <c r="E8" s="17">
        <v>52</v>
      </c>
      <c r="F8" s="17"/>
      <c r="G8" s="17"/>
      <c r="H8" s="19" t="str">
        <f>IF($B8="","",IF($J8="X",B8,CONCATENATE(VLOOKUP(B8,Competitors!$A$2:$I$650,3, FALSE)," ",VLOOKUP(B8,Competitors!$A$2:$I$650,2,FALSE))))</f>
        <v>John Capel (Coalville Wheelers)</v>
      </c>
      <c r="I8" s="20">
        <f t="shared" si="1"/>
        <v>4.8518518518518516E-2</v>
      </c>
      <c r="J8" t="str">
        <f t="shared" si="2"/>
        <v>X</v>
      </c>
    </row>
    <row r="9" spans="1:10" ht="15" x14ac:dyDescent="0.4">
      <c r="A9" s="40" t="s">
        <v>493</v>
      </c>
      <c r="B9" s="41">
        <f t="shared" si="0"/>
        <v>1254</v>
      </c>
      <c r="C9" s="17"/>
      <c r="D9" s="17"/>
      <c r="E9" s="17"/>
      <c r="F9" s="17"/>
      <c r="G9" s="17" t="s">
        <v>474</v>
      </c>
      <c r="H9" s="19" t="str">
        <f>IF($B9="","",IF($J9="X",B9,CONCATENATE(VLOOKUP(B9,Competitors!$A$2:$I$650,3, FALSE)," ",VLOOKUP(B9,Competitors!$A$2:$I$650,2,FALSE))))</f>
        <v>Paul White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460</v>
      </c>
      <c r="B10" s="41">
        <f t="shared" si="0"/>
        <v>1355</v>
      </c>
      <c r="C10" s="17">
        <v>1</v>
      </c>
      <c r="D10" s="17">
        <v>5</v>
      </c>
      <c r="E10" s="17">
        <v>44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4.5648148148148146E-2</v>
      </c>
      <c r="J10" t="str">
        <f t="shared" si="2"/>
        <v/>
      </c>
    </row>
    <row r="11" spans="1:10" ht="15" x14ac:dyDescent="0.4">
      <c r="A11" s="40" t="s">
        <v>529</v>
      </c>
      <c r="B11" s="41">
        <f t="shared" si="0"/>
        <v>1195</v>
      </c>
      <c r="C11" s="17">
        <v>1</v>
      </c>
      <c r="D11" s="17">
        <v>11</v>
      </c>
      <c r="E11" s="17">
        <v>52</v>
      </c>
      <c r="F11" s="17" t="s">
        <v>473</v>
      </c>
      <c r="G11" s="17"/>
      <c r="H11" s="19" t="str">
        <f>IF($B11="","",IF($J11="X",B11,CONCATENATE(VLOOKUP(B11,Competitors!$A$2:$I$650,3, FALSE)," ",VLOOKUP(B11,Competitors!$A$2:$I$650,2,FALSE))))</f>
        <v>Charlie Hardwicke</v>
      </c>
      <c r="I11" s="20">
        <f t="shared" si="1"/>
        <v>4.9907407407407407E-2</v>
      </c>
      <c r="J11" t="str">
        <f t="shared" si="2"/>
        <v/>
      </c>
    </row>
    <row r="12" spans="1:10" ht="15" x14ac:dyDescent="0.4">
      <c r="A12" s="40" t="s">
        <v>482</v>
      </c>
      <c r="B12" s="41">
        <f t="shared" si="0"/>
        <v>1193</v>
      </c>
      <c r="C12" s="17">
        <v>1</v>
      </c>
      <c r="D12" s="17">
        <v>12</v>
      </c>
      <c r="E12" s="17">
        <v>17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Richard Hardwicke</v>
      </c>
      <c r="I12" s="20">
        <f t="shared" si="1"/>
        <v>5.019675925925926E-2</v>
      </c>
      <c r="J12" t="str">
        <f t="shared" si="2"/>
        <v/>
      </c>
    </row>
    <row r="13" spans="1:10" ht="15" x14ac:dyDescent="0.4">
      <c r="A13" s="40" t="s">
        <v>484</v>
      </c>
      <c r="B13" s="41">
        <f t="shared" si="0"/>
        <v>1419</v>
      </c>
      <c r="C13" s="17"/>
      <c r="D13" s="17"/>
      <c r="E13" s="17"/>
      <c r="F13" s="17" t="s">
        <v>473</v>
      </c>
      <c r="G13" s="17" t="s">
        <v>474</v>
      </c>
      <c r="H13" s="19" t="str">
        <f>IF($B13="","",IF($J13="X",B13,CONCATENATE(VLOOKUP(B13,Competitors!$A$2:$I$650,3, FALSE)," ",VLOOKUP(B13,Competitors!$A$2:$I$650,2,FALSE))))</f>
        <v>Ethan Marsh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461</v>
      </c>
      <c r="B14" s="41">
        <f t="shared" si="0"/>
        <v>1407</v>
      </c>
      <c r="C14" s="17">
        <v>1</v>
      </c>
      <c r="D14" s="17">
        <v>6</v>
      </c>
      <c r="E14" s="17">
        <v>32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Colin Dobson</v>
      </c>
      <c r="I14" s="20">
        <f t="shared" si="1"/>
        <v>4.6203703703703705E-2</v>
      </c>
      <c r="J14" t="str">
        <f t="shared" si="2"/>
        <v/>
      </c>
    </row>
    <row r="15" spans="1:10" ht="15" x14ac:dyDescent="0.4">
      <c r="A15" s="40" t="s">
        <v>497</v>
      </c>
      <c r="B15" s="41">
        <f t="shared" si="0"/>
        <v>407</v>
      </c>
      <c r="C15" s="17"/>
      <c r="D15" s="17">
        <v>57</v>
      </c>
      <c r="E15" s="17">
        <v>53</v>
      </c>
      <c r="F15" s="17"/>
      <c r="G15" s="17"/>
      <c r="H15" s="19" t="str">
        <f>IF($B15="","",IF($J15="X",B15,CONCATENATE(VLOOKUP(B15,Competitors!$A$2:$I$650,3, FALSE)," ",VLOOKUP(B15,Competitors!$A$2:$I$650,2,FALSE))))</f>
        <v>Hans van Nierop</v>
      </c>
      <c r="I15" s="20">
        <f t="shared" si="1"/>
        <v>4.0196759259259258E-2</v>
      </c>
      <c r="J15" t="str">
        <f t="shared" si="2"/>
        <v/>
      </c>
    </row>
    <row r="16" spans="1:10" ht="15" x14ac:dyDescent="0.4">
      <c r="A16" s="40" t="s">
        <v>467</v>
      </c>
      <c r="B16" s="41">
        <f t="shared" si="0"/>
        <v>704</v>
      </c>
      <c r="C16" s="17">
        <v>1</v>
      </c>
      <c r="D16" s="17">
        <v>11</v>
      </c>
      <c r="E16" s="17">
        <v>53</v>
      </c>
      <c r="F16" s="17"/>
      <c r="G16" s="17"/>
      <c r="H16" s="19" t="str">
        <f>IF($B16="","",IF($J16="X",B16,CONCATENATE(VLOOKUP(B16,Competitors!$A$2:$I$650,3, FALSE)," ",VLOOKUP(B16,Competitors!$A$2:$I$650,2,FALSE))))</f>
        <v>Chris Dainty</v>
      </c>
      <c r="I16" s="20">
        <f t="shared" si="1"/>
        <v>4.9918981481481481E-2</v>
      </c>
      <c r="J16" t="str">
        <f t="shared" si="2"/>
        <v/>
      </c>
    </row>
    <row r="17" spans="1:10" ht="15" x14ac:dyDescent="0.4">
      <c r="A17" s="40" t="s">
        <v>486</v>
      </c>
      <c r="B17" s="41">
        <f t="shared" si="0"/>
        <v>564</v>
      </c>
      <c r="C17" s="17">
        <v>1</v>
      </c>
      <c r="D17" s="17">
        <v>11</v>
      </c>
      <c r="E17" s="17">
        <v>54</v>
      </c>
      <c r="F17" s="17"/>
      <c r="G17" s="17"/>
      <c r="H17" s="19" t="str">
        <f>IF($B17="","",IF($J17="X",B17,CONCATENATE(VLOOKUP(B17,Competitors!$A$2:$I$650,3, FALSE)," ",VLOOKUP(B17,Competitors!$A$2:$I$650,2,FALSE))))</f>
        <v>Ian Murdey</v>
      </c>
      <c r="I17" s="20">
        <f t="shared" si="1"/>
        <v>4.9930555555555554E-2</v>
      </c>
      <c r="J17" t="str">
        <f t="shared" si="2"/>
        <v/>
      </c>
    </row>
    <row r="18" spans="1:10" ht="15" x14ac:dyDescent="0.4">
      <c r="A18" s="40" t="s">
        <v>500</v>
      </c>
      <c r="B18" s="41">
        <f t="shared" si="0"/>
        <v>915</v>
      </c>
      <c r="C18" s="17"/>
      <c r="D18" s="17"/>
      <c r="E18" s="17"/>
      <c r="F18" s="17"/>
      <c r="G18" s="17" t="s">
        <v>474</v>
      </c>
      <c r="H18" s="19" t="str">
        <f>IF($B18="","",IF($J18="X",B18,CONCATENATE(VLOOKUP(B18,Competitors!$A$2:$I$650,3, FALSE)," ",VLOOKUP(B18,Competitors!$A$2:$I$650,2,FALSE))))</f>
        <v>Julian Twynham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499</v>
      </c>
      <c r="B19" s="41">
        <f t="shared" si="0"/>
        <v>415</v>
      </c>
      <c r="C19" s="17">
        <v>1</v>
      </c>
      <c r="D19" s="17">
        <v>5</v>
      </c>
      <c r="E19" s="17">
        <v>56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Nik Kershaw</v>
      </c>
      <c r="I19" s="20">
        <f t="shared" si="1"/>
        <v>4.5787037037037036E-2</v>
      </c>
      <c r="J19" t="str">
        <f t="shared" si="2"/>
        <v/>
      </c>
    </row>
    <row r="20" spans="1:10" ht="15" x14ac:dyDescent="0.4">
      <c r="A20" s="40" t="s">
        <v>464</v>
      </c>
      <c r="B20" s="41">
        <f t="shared" si="0"/>
        <v>1403</v>
      </c>
      <c r="C20" s="17">
        <v>1</v>
      </c>
      <c r="D20" s="17">
        <v>10</v>
      </c>
      <c r="E20" s="17">
        <v>48</v>
      </c>
      <c r="F20" s="17"/>
      <c r="G20" s="17"/>
      <c r="H20" s="19" t="str">
        <f>IF($B20="","",IF($J20="X",B20,CONCATENATE(VLOOKUP(B20,Competitors!$A$2:$I$650,3, FALSE)," ",VLOOKUP(B20,Competitors!$A$2:$I$650,2,FALSE))))</f>
        <v>Toby Lenehan</v>
      </c>
      <c r="I20" s="20">
        <f t="shared" si="1"/>
        <v>4.9166666666666664E-2</v>
      </c>
      <c r="J20" t="str">
        <f t="shared" si="2"/>
        <v/>
      </c>
    </row>
    <row r="21" spans="1:10" ht="15" x14ac:dyDescent="0.4">
      <c r="A21" s="40" t="s">
        <v>498</v>
      </c>
      <c r="B21" s="41">
        <f t="shared" si="0"/>
        <v>1192</v>
      </c>
      <c r="C21" s="17">
        <v>1</v>
      </c>
      <c r="D21" s="17">
        <v>4</v>
      </c>
      <c r="E21" s="17">
        <v>27</v>
      </c>
      <c r="F21" s="17"/>
      <c r="G21" s="17"/>
      <c r="H21" s="19" t="str">
        <f>IF($B21="","",IF($J21="X",B21,CONCATENATE(VLOOKUP(B21,Competitors!$A$2:$I$650,3, FALSE)," ",VLOOKUP(B21,Competitors!$A$2:$I$650,2,FALSE))))</f>
        <v>Dale Norris</v>
      </c>
      <c r="I21" s="20">
        <f t="shared" si="1"/>
        <v>4.4756944444444446E-2</v>
      </c>
      <c r="J21" t="str">
        <f t="shared" si="2"/>
        <v/>
      </c>
    </row>
    <row r="22" spans="1:10" ht="15" x14ac:dyDescent="0.4">
      <c r="A22" s="40" t="s">
        <v>479</v>
      </c>
      <c r="B22" s="41">
        <f t="shared" si="0"/>
        <v>1055</v>
      </c>
      <c r="C22" s="17">
        <v>1</v>
      </c>
      <c r="D22" s="17">
        <v>6</v>
      </c>
      <c r="E22" s="17">
        <v>35</v>
      </c>
      <c r="F22" s="17"/>
      <c r="G22" s="17"/>
      <c r="H22" s="19" t="str">
        <f>IF($B22="","",IF($J22="X",B22,CONCATENATE(VLOOKUP(B22,Competitors!$A$2:$I$650,3, FALSE)," ",VLOOKUP(B22,Competitors!$A$2:$I$650,2,FALSE))))</f>
        <v>Austin Smith</v>
      </c>
      <c r="I22" s="20">
        <f t="shared" si="1"/>
        <v>4.6238425925925926E-2</v>
      </c>
      <c r="J22" t="str">
        <f t="shared" si="2"/>
        <v/>
      </c>
    </row>
    <row r="23" spans="1:10" ht="15" x14ac:dyDescent="0.4">
      <c r="A23" s="40" t="s">
        <v>490</v>
      </c>
      <c r="B23" s="41">
        <f t="shared" si="0"/>
        <v>699</v>
      </c>
      <c r="C23" s="17">
        <v>1</v>
      </c>
      <c r="D23" s="17">
        <v>1</v>
      </c>
      <c r="E23" s="17">
        <v>46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Jonathan Durnin</v>
      </c>
      <c r="I23" s="20">
        <f t="shared" si="1"/>
        <v>4.2893518518518518E-2</v>
      </c>
      <c r="J23" t="str">
        <f t="shared" si="2"/>
        <v/>
      </c>
    </row>
    <row r="24" spans="1:10" ht="15" x14ac:dyDescent="0.4">
      <c r="A24" s="40" t="s">
        <v>502</v>
      </c>
      <c r="B24" s="41">
        <f t="shared" si="0"/>
        <v>846</v>
      </c>
      <c r="C24" s="17">
        <v>1</v>
      </c>
      <c r="D24" s="17">
        <v>8</v>
      </c>
      <c r="E24" s="17">
        <v>33</v>
      </c>
      <c r="F24" s="17"/>
      <c r="G24" s="17"/>
      <c r="H24" s="19" t="str">
        <f>IF($B24="","",IF($J24="X",B24,CONCATENATE(VLOOKUP(B24,Competitors!$A$2:$I$650,3, FALSE)," ",VLOOKUP(B24,Competitors!$A$2:$I$650,2,FALSE))))</f>
        <v>Roger Kockelbergh</v>
      </c>
      <c r="I24" s="20">
        <f t="shared" si="1"/>
        <v>4.760416666666667E-2</v>
      </c>
      <c r="J24" t="str">
        <f t="shared" si="2"/>
        <v/>
      </c>
    </row>
    <row r="25" spans="1:10" ht="15" x14ac:dyDescent="0.4">
      <c r="A25" s="40" t="s">
        <v>503</v>
      </c>
      <c r="B25" s="41">
        <f t="shared" si="0"/>
        <v>1094</v>
      </c>
      <c r="C25" s="17"/>
      <c r="D25" s="17"/>
      <c r="E25" s="17"/>
      <c r="F25" s="17"/>
      <c r="G25" s="17" t="s">
        <v>539</v>
      </c>
      <c r="H25" s="19" t="str">
        <f>IF($B25="","",IF($J25="X",B25,CONCATENATE(VLOOKUP(B25,Competitors!$A$2:$I$650,3, FALSE)," ",VLOOKUP(B25,Competitors!$A$2:$I$650,2,FALSE))))</f>
        <v>Andy Poulton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537</v>
      </c>
      <c r="B26" s="41" t="str">
        <f t="shared" si="0"/>
        <v>Linda Thames</v>
      </c>
      <c r="C26" s="17">
        <v>1</v>
      </c>
      <c r="D26" s="17">
        <v>14</v>
      </c>
      <c r="E26" s="17">
        <v>38</v>
      </c>
      <c r="F26" s="17"/>
      <c r="G26" s="17"/>
      <c r="H26" s="19" t="str">
        <f>IF($B26="","",IF($J26="X",B26,CONCATENATE(VLOOKUP(B26,Competitors!$A$2:$I$650,3, FALSE)," ",VLOOKUP(B26,Competitors!$A$2:$I$650,2,FALSE))))</f>
        <v>Linda Thames</v>
      </c>
      <c r="I26" s="20">
        <f t="shared" si="1"/>
        <v>5.1828703703703703E-2</v>
      </c>
      <c r="J26" t="str">
        <f t="shared" si="2"/>
        <v>X</v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2026-05-03T11:10:40Z</dcterms:modified>
</cp:coreProperties>
</file>