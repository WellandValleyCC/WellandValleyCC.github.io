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3292BCB7-61E8-4BB1-AE0A-FDC30E2E2A1E}" xr6:coauthVersionLast="47" xr6:coauthVersionMax="47" xr10:uidLastSave="{00000000-0000-0000-0000-000000000000}"/>
  <bookViews>
    <workbookView xWindow="0" yWindow="0" windowWidth="14400" windowHeight="17280" firstSheet="15" activeTab="18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4" l="1"/>
  <c r="C61" i="4"/>
  <c r="C59" i="4"/>
  <c r="B12" i="9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 s="1"/>
  <c r="J15" i="9"/>
  <c r="H15" i="9" s="1"/>
  <c r="J16" i="9"/>
  <c r="H16" i="9" s="1"/>
  <c r="J17" i="9"/>
  <c r="H17" i="9" s="1"/>
  <c r="J18" i="9"/>
  <c r="H18" i="9" s="1"/>
  <c r="J19" i="9"/>
  <c r="H19" i="9" s="1"/>
  <c r="J20" i="9"/>
  <c r="H20" i="9" s="1"/>
  <c r="J21" i="9"/>
  <c r="H21" i="9" s="1"/>
  <c r="J22" i="9"/>
  <c r="H22" i="9" s="1"/>
  <c r="J23" i="9"/>
  <c r="H23" i="9" s="1"/>
  <c r="J24" i="9"/>
  <c r="H24" i="9" s="1"/>
  <c r="J25" i="9"/>
  <c r="H25" i="9" s="1"/>
  <c r="J26" i="9"/>
  <c r="H26" i="9" s="1"/>
  <c r="J27" i="9"/>
  <c r="H27" i="9" s="1"/>
  <c r="J28" i="9"/>
  <c r="H28" i="9" s="1"/>
  <c r="J29" i="9"/>
  <c r="H29" i="9" s="1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 s="1"/>
  <c r="J4" i="10"/>
  <c r="H4" i="10" s="1"/>
  <c r="J5" i="10"/>
  <c r="H5" i="10" s="1"/>
  <c r="J6" i="10"/>
  <c r="H6" i="10" s="1"/>
  <c r="J7" i="10"/>
  <c r="H7" i="10" s="1"/>
  <c r="J8" i="10"/>
  <c r="H8" i="10" s="1"/>
  <c r="J9" i="10"/>
  <c r="H9" i="10" s="1"/>
  <c r="J10" i="10"/>
  <c r="H10" i="10" s="1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 s="1"/>
  <c r="J17" i="10"/>
  <c r="H17" i="10" s="1"/>
  <c r="J18" i="10"/>
  <c r="H18" i="10" s="1"/>
  <c r="J19" i="10"/>
  <c r="H19" i="10" s="1"/>
  <c r="J20" i="10"/>
  <c r="H20" i="10" s="1"/>
  <c r="J21" i="10"/>
  <c r="H21" i="10" s="1"/>
  <c r="J22" i="10"/>
  <c r="H22" i="10" s="1"/>
  <c r="J23" i="10"/>
  <c r="H23" i="10" s="1"/>
  <c r="J24" i="10"/>
  <c r="H24" i="10" s="1"/>
  <c r="J25" i="10"/>
  <c r="H25" i="10" s="1"/>
  <c r="J26" i="10"/>
  <c r="H26" i="10" s="1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<sst xmlns="http://schemas.openxmlformats.org/spreadsheetml/2006/main" count="7680" uniqueCount="540">
  <si>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</si>
  <si>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</si>
  <si>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</si>
  <si>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</si>
  <si>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</si>
  <si>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</si>
  <si>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</si>
  <si>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</si>
  <si>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</si>
  <si>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</si>
  <si>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</si>
  <si>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</si>
  <si>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</si>
  <si>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</si>
  <si>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</si>
  <si>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</si>
  <si>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</si>
  <si>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</si>
  <si>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</si>
  <si>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</si>
  <si>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</si>
  <si>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</si>
  <si>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</si>
  <si>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</si>
  <si>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</si>
  <si>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</si>
  <si>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</si>
  <si>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</si>
  <si>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</si>
  <si>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</si>
  <si>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</si>
  <si>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</si>
  <si>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</si>
  <si>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</si>
  <si>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</si>
  <si>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</si>
  <si>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</si>
  <si>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</si>
  <si>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</si>
  <si>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</si>
  <si>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</si>
  <si>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</si>
  <si>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</si>
  <si>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</si>
  <si>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</si>
  <si>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</si>
  <si>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</si>
  <si>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</si>
  <si>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</si>
  <si>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</si>
  <si>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</si>
  <si>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</si>
  <si>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</si>
  <si>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</si>
  <si>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</si>
  <si>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</si>
  <si>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</si>
  <si>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</si>
  <si>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</si>
  <si>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</si>
  <si>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</si>
  <si>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</si>
  <si>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</si>
  <si>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</si>
  <si>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</si>
  <si>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</si>
  <si>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</si>
  <si>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</si>
  <si>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</si>
  <si>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</si>
  <si>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</si>
  <si>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</si>
  <si>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</si>
  <si>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</si>
  <si>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</si>
  <si>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</si>
  <si>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</si>
  <si>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</si>
  <si>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</si>
  <si>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</si>
  <si>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</si>
  <si>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</si>
  <si>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</si>
  <si>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</si>
  <si>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</si>
  <si>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</si>
  <si>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</si>
  <si>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</si>
  <si>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</si>
  <si>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</si>
  <si>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</si>
  <si>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</si>
  <si>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</si>
  <si>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</si>
  <si>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</si>
  <si>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</si>
  <si>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</si>
  <si>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</si>
  <si>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</si>
  <si>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</si>
  <si>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</si>
  <si>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</si>
  <si>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</si>
  <si>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</si>
  <si>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</si>
  <si>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</si>
  <si>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</si>
  <si>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</si>
  <si>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</si>
  <si>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</si>
  <si>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</si>
  <si>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</si>
  <si>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</si>
  <si>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</si>
  <si>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</si>
  <si>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</si>
  <si>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</si>
  <si>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</si>
  <si>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</si>
  <si>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</si>
  <si>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</si>
  <si>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</si>
  <si>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</si>
  <si>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</si>
  <si>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</si>
  <si>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</si>
  <si>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</si>
  <si>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</si>
  <si>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</si>
  <si>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</si>
  <si>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</si>
  <si>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</si>
  <si>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</si>
  <si>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</si>
  <si>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</si>
  <si>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</si>
  <si>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</si>
  <si>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</si>
  <si>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</si>
  <si>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</si>
  <si>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</si>
  <si>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</si>
  <si>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</si>
  <si>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</si>
  <si>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</si>
  <si>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</si>
  <si>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</si>
  <si>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</si>
  <si>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</si>
  <si>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</si>
  <si>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</si>
  <si>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</si>
  <si>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</si>
  <si>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</si>
  <si>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</si>
  <si>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</si>
  <si>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</si>
  <si>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</si>
  <si>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</si>
  <si>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</si>
  <si>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</si>
  <si>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</si>
  <si>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</si>
  <si>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</si>
  <si>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</si>
  <si>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</si>
  <si>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</si>
  <si>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</si>
  <si>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</si>
  <si>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</si>
  <si>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</si>
  <si>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</si>
  <si>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</si>
  <si>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</si>
  <si>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</si>
  <si>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</si>
  <si>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</si>
  <si>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</si>
  <si>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</si>
  <si>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</si>
  <si>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</si>
  <si>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</si>
  <si>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</si>
  <si>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</si>
  <si>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</si>
  <si>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</si>
  <si>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</si>
  <si>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</si>
  <si>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</si>
  <si>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</si>
  <si>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</si>
  <si>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</si>
  <si>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</si>
  <si>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</si>
  <si>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</si>
  <si>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</si>
  <si>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</si>
  <si>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</si>
  <si>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</si>
  <si>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</si>
  <si>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</si>
  <si>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</si>
  <si>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</si>
  <si>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</si>
  <si>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</si>
  <si>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</si>
  <si>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</si>
  <si>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</si>
  <si>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</si>
  <si>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</si>
  <si>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</si>
  <si>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</si>
  <si>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</si>
  <si>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</si>
  <si>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</si>
  <si>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</si>
  <si>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</si>
  <si>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</si>
  <si>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</si>
  <si>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</si>
  <si>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</si>
  <si>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</si>
  <si>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</si>
  <si>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</si>
  <si>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</si>
  <si>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</si>
  <si>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</si>
  <si>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</si>
  <si>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</si>
  <si>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</si>
  <si>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</si>
  <si>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</si>
  <si>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</si>
  <si>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</si>
  <si>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</si>
  <si>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</si>
  <si>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</si>
  <si>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</si>
  <si>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</si>
  <si>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</si>
  <si>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</si>
  <si>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</si>
  <si>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</si>
  <si>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</si>
  <si>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</si>
  <si>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</si>
  <si>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</si>
  <si>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</si>
  <si>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</si>
  <si>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</si>
  <si>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</si>
  <si>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</si>
  <si>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</si>
  <si>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</si>
  <si>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</si>
  <si>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</si>
  <si>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</si>
  <si>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</si>
  <si>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</si>
  <si>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</si>
  <si>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</si>
  <si>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</si>
  <si>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</si>
  <si>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</si>
  <si>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</si>
  <si>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</si>
  <si>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</si>
  <si>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</si>
  <si>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</si>
  <si>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</si>
  <si>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</si>
  <si>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</si>
  <si>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</si>
  <si>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</si>
  <si>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</si>
  <si>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</si>
  <si>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</si>
  <si>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</si>
  <si>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</si>
  <si>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</si>
  <si>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</si>
  <si>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</si>
  <si>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</si>
  <si>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</si>
  <si>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</si>
  <si>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</si>
  <si>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</si>
  <si>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</si>
  <si>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</si>
  <si>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</si>
  <si>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</si>
  <si>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</si>
  <si>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</si>
  <si>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</si>
  <si>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</si>
  <si>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</si>
  <si>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</si>
  <si>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</si>
  <si>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</si>
  <si>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</si>
  <si>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</si>
  <si>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</si>
  <si>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</si>
  <si>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</si>
  <si>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</si>
  <si>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</si>
  <si>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</si>
  <si>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</si>
  <si>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</si>
  <si>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</si>
  <si>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</si>
  <si>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</si>
  <si>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</si>
  <si>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</si>
  <si>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</si>
  <si>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</si>
  <si>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</si>
  <si>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</si>
  <si>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</si>
  <si>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</si>
  <si>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</si>
  <si>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</si>
  <si>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</si>
  <si>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</si>
  <si>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</si>
  <si>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</si>
  <si>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</si>
  <si>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</si>
  <si>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</si>
  <si>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</si>
  <si>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</si>
  <si>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</si>
  <si>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</si>
  <si>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</si>
  <si>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</si>
  <si>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</si>
  <si>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</si>
  <si>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</si>
  <si>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</si>
  <si>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</si>
  <si>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</si>
  <si>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</si>
  <si>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</si>
  <si>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</si>
  <si>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</si>
  <si>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</si>
  <si>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</si>
  <si>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</si>
  <si>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</si>
  <si>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</si>
  <si>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</si>
  <si>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</si>
  <si>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</si>
  <si>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</si>
  <si>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</si>
  <si>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</si>
  <si>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</si>
  <si>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</si>
  <si>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</si>
  <si>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</si>
  <si>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</si>
  <si>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</si>
  <si>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</si>
  <si>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</si>
  <si>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</si>
  <si>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</si>
  <si>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</si>
  <si>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</si>
  <si>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</si>
  <si>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</si>
  <si>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</si>
  <si>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</si>
  <si>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</si>
  <si>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</si>
  <si>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</si>
  <si>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</si>
  <si>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</si>
  <si>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</si>
  <si>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</si>
  <si>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</si>
  <si>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</si>
  <si>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</si>
  <si>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</si>
  <si>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</si>
  <si>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</si>
  <si>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</si>
  <si>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</si>
  <si>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</si>
  <si>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</si>
  <si>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</si>
  <si>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</si>
  <si>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</si>
  <si>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</si>
  <si>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</si>
  <si>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</si>
  <si>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</si>
  <si>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</si>
  <si>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</si>
  <si>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</si>
  <si>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</si>
  <si>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</si>
  <si>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</si>
  <si>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</si>
  <si>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</si>
  <si>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</si>
  <si>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</si>
  <si>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</si>
  <si>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</si>
  <si>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</si>
  <si>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</si>
  <si>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</si>
  <si>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</si>
  <si>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</si>
  <si>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</si>
  <si>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</si>
  <si>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</si>
  <si>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</si>
  <si>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</si>
  <si>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</si>
  <si>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</si>
  <si>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</si>
  <si>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</si>
  <si>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</si>
  <si>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</si>
  <si>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</si>
  <si>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</si>
  <si>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</si>
  <si>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</si>
  <si>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</si>
  <si>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</si>
  <si>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</si>
  <si>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</si>
  <si>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</si>
  <si>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</si>
  <si>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</si>
  <si>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</si>
  <si>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</si>
  <si>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</si>
  <si>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</si>
  <si>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</si>
  <si>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</si>
  <si>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</si>
  <si>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</si>
  <si>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</si>
  <si>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</si>
  <si>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</si>
  <si>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</si>
  <si>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</si>
  <si>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</si>
  <si>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</si>
  <si>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</si>
  <si>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</si>
  <si>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</si>
  <si>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</si>
  <si>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</si>
  <si>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</si>
  <si>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</si>
  <si>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</si>
  <si>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</si>
  <si>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</si>
  <si>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</si>
  <si>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</si>
  <si>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</si>
  <si>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</si>
  <si>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</si>
  <si>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</si>
  <si>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</si>
  <si>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</si>
  <si>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</si>
  <si>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</si>
  <si>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</si>
  <si>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</si>
  <si>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</si>
  <si>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</si>
  <si>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</si>
  <si>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</si>
  <si>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</si>
  <si>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</si>
  <si>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</si>
  <si>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</si>
  <si>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</si>
  <si>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</si>
  <si>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</si>
  <si>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</si>
  <si>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</si>
  <si>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</si>
  <si>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</si>
  <si>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</si>
  <si>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</si>
  <si>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</si>
  <si>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</si>
  <si>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</si>
  <si>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</si>
  <si>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</si>
  <si>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</si>
  <si>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</si>
  <si>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</si>
  <si>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</si>
  <si>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</si>
  <si>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</si>
  <si>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</si>
  <si>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</si>
  <si>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</si>
  <si>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</si>
  <si>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</si>
  <si>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</si>
  <si>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</si>
  <si>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</si>
  <si>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</si>
  <si>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</si>
  <si>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</si>
  <si>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</si>
  <si>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</si>
  <si>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</si>
  <si>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</si>
  <si>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</si>
  <si>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</si>
  <si>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</si>
  <si>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</si>
  <si>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</si>
  <si>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</si>
  <si>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</si>
  <si>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</si>
  <si>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</si>
  <si>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</si>
  <si>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</si>
  <si>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</si>
  <si>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</si>
  <si>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</si>
  <si>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</si>
  <si>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</si>
  <si>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</si>
  <si>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</si>
  <si>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</si>
  <si>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</si>
  <si>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</si>
  <si>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</si>
  <si>
    <t>Linda Thames</t>
  </si>
  <si>
    <t>Coalville Wheelers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</si>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</sst>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2" fillId="0" borderId="0"/>
  </cellStyleXfs>
  <cellXfs count="63">
    <xf numFmtId="0" fontId="0" fillId="0" borderId="0" xfId="0"/>
    <xf numFmtId="14" fontId="0" fillId="0" borderId="0" xfId="0" applyNumberFormat="1"/>
    <xf numFmtId="16" fontId="15" fillId="2" borderId="0" xfId="2" applyNumberFormat="1" applyFont="1" applyFill="1" applyAlignment="1">
      <alignment horizontal="center"/>
    </xf>
    <xf numFmtId="0" fontId="15" fillId="2" borderId="0" xfId="2" applyFont="1" applyFill="1" applyAlignment="1">
      <alignment horizontal="center"/>
    </xf>
    <xf numFmtId="16" fontId="15" fillId="2" borderId="0" xfId="2" applyNumberFormat="1" applyFont="1" applyFill="1"/>
    <xf numFmtId="0" fontId="15" fillId="2" borderId="0" xfId="2" applyFont="1" applyFill="1"/>
    <xf numFmtId="0" fontId="15" fillId="2" borderId="0" xfId="3" applyFont="1" applyFill="1" applyAlignment="1">
      <alignment horizontal="center" vertical="center" wrapText="1"/>
    </xf>
    <xf numFmtId="0" fontId="14" fillId="0" borderId="0" xfId="2" applyAlignment="1">
      <alignment horizontal="center"/>
    </xf>
    <xf numFmtId="0" fontId="14" fillId="0" borderId="0" xfId="2"/>
    <xf numFmtId="0" fontId="0" fillId="3" borderId="0" xfId="0" applyFill="1"/>
    <xf numFmtId="0" fontId="16" fillId="2" borderId="1" xfId="0" applyFont="1" applyFill="1" applyBorder="1" applyAlignment="1">
      <alignment wrapText="1"/>
    </xf>
    <xf numFmtId="0" fontId="16" fillId="2" borderId="2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/>
    <xf numFmtId="0" fontId="16" fillId="2" borderId="6" xfId="0" applyFont="1" applyFill="1" applyBorder="1" applyAlignment="1">
      <alignment horizontal="left"/>
    </xf>
    <xf numFmtId="0" fontId="18" fillId="4" borderId="6" xfId="0" applyFont="1" applyFill="1" applyBorder="1" applyAlignment="1">
      <alignment horizontal="center"/>
    </xf>
    <xf numFmtId="164" fontId="18" fillId="4" borderId="6" xfId="0" applyNumberFormat="1" applyFont="1" applyFill="1" applyBorder="1" applyAlignment="1">
      <alignment horizontal="center"/>
    </xf>
    <xf numFmtId="0" fontId="18" fillId="0" borderId="6" xfId="0" applyFont="1" applyBorder="1"/>
    <xf numFmtId="165" fontId="1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8" fillId="0" borderId="6" xfId="0" applyFont="1" applyBorder="1" applyAlignment="1">
      <alignment horizontal="left"/>
    </xf>
    <xf numFmtId="166" fontId="18" fillId="4" borderId="6" xfId="0" applyNumberFormat="1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14" fillId="0" borderId="0" xfId="3" applyAlignment="1">
      <alignment horizontal="center"/>
    </xf>
    <xf numFmtId="14" fontId="14" fillId="0" borderId="0" xfId="0" applyNumberFormat="1" applyFont="1"/>
    <xf numFmtId="0" fontId="0" fillId="0" borderId="0" xfId="0" applyAlignment="1">
      <alignment horizontal="center"/>
    </xf>
    <xf numFmtId="0" fontId="18" fillId="7" borderId="6" xfId="0" applyFont="1" applyFill="1" applyBorder="1" applyAlignment="1">
      <alignment horizontal="center"/>
    </xf>
    <xf numFmtId="164" fontId="18" fillId="7" borderId="6" xfId="0" applyNumberFormat="1" applyFont="1" applyFill="1" applyBorder="1" applyAlignment="1">
      <alignment horizontal="center"/>
    </xf>
    <xf numFmtId="166" fontId="18" fillId="7" borderId="6" xfId="0" applyNumberFormat="1" applyFont="1" applyFill="1" applyBorder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5" fillId="2" borderId="0" xfId="2" applyNumberFormat="1" applyFont="1" applyFill="1"/>
    <xf numFmtId="167" fontId="1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8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0" fillId="0" borderId="0" xfId="0" quotePrefix="1"/>
    <xf numFmtId="0" fontId="11" fillId="0" borderId="0" xfId="0" applyFont="1"/>
    <xf numFmtId="0" fontId="10" fillId="0" borderId="0" xfId="0" applyFont="1"/>
    <xf numFmtId="0" fontId="9" fillId="0" borderId="0" xfId="8"/>
    <xf numFmtId="14" fontId="9" fillId="0" borderId="0" xfId="8" applyNumberFormat="1"/>
    <xf numFmtId="0" fontId="8" fillId="0" borderId="0" xfId="9"/>
    <xf numFmtId="14" fontId="8" fillId="0" borderId="0" xfId="9" applyNumberFormat="1"/>
    <xf numFmtId="0" fontId="7" fillId="0" borderId="0" xfId="10"/>
    <xf numFmtId="14" fontId="7" fillId="0" borderId="0" xfId="10" applyNumberFormat="1"/>
    <xf numFmtId="0" fontId="6" fillId="0" borderId="0" xfId="11"/>
    <xf numFmtId="14" fontId="6" fillId="0" borderId="0" xfId="11" applyNumberFormat="1"/>
    <xf numFmtId="0" fontId="5" fillId="0" borderId="0" xfId="12"/>
    <xf numFmtId="14" fontId="5" fillId="0" borderId="0" xfId="12" applyNumberFormat="1"/>
    <xf numFmtId="0" fontId="4" fillId="0" borderId="0" xfId="13"/>
    <xf numFmtId="14" fontId="4" fillId="0" borderId="0" xfId="13" applyNumberFormat="1"/>
    <xf numFmtId="0" fontId="3" fillId="0" borderId="0" xfId="0" applyFont="1"/>
    <xf numFmtId="0" fontId="2" fillId="0" borderId="0" xfId="14"/>
    <xf numFmtId="14" fontId="2" fillId="0" borderId="0" xfId="14" applyNumberFormat="1"/>
    <xf numFmtId="0" fontId="1" fillId="0" borderId="0" xfId="0" applyFon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20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B61" sqref="B6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61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59" spans="1:4" ht="14.25" x14ac:dyDescent="0.45">
      <c r="A59" t="s">
        <v>535</v>
      </c>
      <c r="B59" t="s">
        <v>538</v>
      </c>
      <c r="C59" s="62" t="str">
        <f t="shared" si="0"/>
        <v>Pamela Moore (Coalville Wheelers)</v>
      </c>
    </row>
    <row r="60" spans="1:4" ht="14.25" x14ac:dyDescent="0.45">
      <c r="A60" t="s">
        <v>536</v>
      </c>
      <c r="B60" t="s">
        <v>538</v>
      </c>
      <c r="C60" s="62" t="str">
        <f t="shared" si="0"/>
        <v>John Capel (Coalville Wheelers)</v>
      </c>
    </row>
    <row r="61" spans="1:4" ht="14.25" x14ac:dyDescent="0.45">
      <c r="C61" s="62" t="str">
        <f t="shared" si="0"/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tabSelected="1" zoomScaleNormal="100" workbookViewId="0">
      <selection activeCell="F24" sqref="F24"/>
    </sheetView>
  </sheetViews>
  <sheetFormatPr defaultColWidth="9.1328125" defaultRowHeight="12.75" x14ac:dyDescent="0.35"/>
  <cols>
    <col min="1" max="1" width="20.3984375" bestFit="1" customWidth="1"/>
    <col min="2" max="2" width="36.06640625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 t="s">
        <v>474</v>
      </c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>
        <v>1</v>
      </c>
      <c r="D3" s="17">
        <v>12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5.002314814814815E-2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>
        <v>1</v>
      </c>
      <c r="D4" s="17">
        <v>23</v>
      </c>
      <c r="E4" s="17">
        <v>47</v>
      </c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5.8182870370370371E-2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 (Coalville Wheelers)</v>
      </c>
      <c r="C5" s="17">
        <v>1</v>
      </c>
      <c r="D5" s="17">
        <v>24</v>
      </c>
      <c r="E5" s="17">
        <v>38</v>
      </c>
      <c r="F5" s="17"/>
      <c r="G5" s="17"/>
      <c r="H5" s="19" t="str">
        <f>IF($B5="","",IF($J5="X",B5,CONCATENATE(VLOOKUP(B5,Competitors!$A$2:$I$650,3, FALSE)," ",VLOOKUP(B5,Competitors!$A$2:$I$650,2,FALSE))))</f>
        <v>Pamela Moore (Coalville Wheelers)</v>
      </c>
      <c r="I5" s="20">
        <f t="shared" si="1"/>
        <v>5.8773148148148151E-2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>
        <v>1</v>
      </c>
      <c r="D6" s="17">
        <v>9</v>
      </c>
      <c r="E6" s="17">
        <v>24</v>
      </c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4.8194444444444443E-2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 t="s">
        <v>474</v>
      </c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 (Coalville Wheelers)</v>
      </c>
      <c r="C8" s="17">
        <v>1</v>
      </c>
      <c r="D8" s="17">
        <v>9</v>
      </c>
      <c r="E8" s="17">
        <v>52</v>
      </c>
      <c r="F8" s="17"/>
      <c r="G8" s="17"/>
      <c r="H8" s="19" t="str">
        <f>IF($B8="","",IF($J8="X",B8,CONCATENATE(VLOOKUP(B8,Competitors!$A$2:$I$650,3, FALSE)," ",VLOOKUP(B8,Competitors!$A$2:$I$650,2,FALSE))))</f>
        <v>John Capel (Coalville Wheelers)</v>
      </c>
      <c r="I8" s="20">
        <f t="shared" si="1"/>
        <v>4.8518518518518516E-2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 t="s">
        <v>474</v>
      </c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>
        <v>1</v>
      </c>
      <c r="D10" s="17">
        <v>5</v>
      </c>
      <c r="E10" s="17">
        <v>44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4.5648148148148146E-2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>
        <v>1</v>
      </c>
      <c r="D11" s="17">
        <v>11</v>
      </c>
      <c r="E11" s="17">
        <v>52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4.9907407407407407E-2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>
        <v>1</v>
      </c>
      <c r="D12" s="17">
        <v>12</v>
      </c>
      <c r="E12" s="17">
        <v>17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5.019675925925926E-2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 t="s">
        <v>474</v>
      </c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>
        <v>1</v>
      </c>
      <c r="D14" s="17">
        <v>6</v>
      </c>
      <c r="E14" s="17">
        <v>32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4.6203703703703705E-2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>
        <v>57</v>
      </c>
      <c r="E15" s="17">
        <v>53</v>
      </c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4.0196759259259258E-2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>
        <v>1</v>
      </c>
      <c r="D16" s="17">
        <v>11</v>
      </c>
      <c r="E16" s="17">
        <v>53</v>
      </c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4.9918981481481481E-2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>
        <v>1</v>
      </c>
      <c r="D17" s="17">
        <v>11</v>
      </c>
      <c r="E17" s="17">
        <v>54</v>
      </c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4.9930555555555554E-2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 t="s">
        <v>474</v>
      </c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>
        <v>1</v>
      </c>
      <c r="D19" s="17">
        <v>5</v>
      </c>
      <c r="E19" s="17">
        <v>56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4.5787037037037036E-2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>
        <v>1</v>
      </c>
      <c r="D20" s="17">
        <v>10</v>
      </c>
      <c r="E20" s="17">
        <v>48</v>
      </c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4.9166666666666664E-2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>
        <v>1</v>
      </c>
      <c r="D21" s="17">
        <v>4</v>
      </c>
      <c r="E21" s="17">
        <v>27</v>
      </c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4.4756944444444446E-2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>
        <v>1</v>
      </c>
      <c r="D22" s="17">
        <v>6</v>
      </c>
      <c r="E22" s="17">
        <v>35</v>
      </c>
      <c r="F22" s="17"/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4.6238425925925926E-2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>
        <v>1</v>
      </c>
      <c r="D23" s="17">
        <v>1</v>
      </c>
      <c r="E23" s="17">
        <v>46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4.2893518518518518E-2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>
        <v>1</v>
      </c>
      <c r="D24" s="17">
        <v>8</v>
      </c>
      <c r="E24" s="17">
        <v>33</v>
      </c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4.760416666666667E-2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 t="s">
        <v>539</v>
      </c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537</v>
      </c>
      <c r="B26" s="41" t="str">
        <f t="shared" si="0"/>
        <v>Linda Thames</v>
      </c>
      <c r="C26" s="17">
        <v>1</v>
      </c>
      <c r="D26" s="17">
        <v>14</v>
      </c>
      <c r="E26" s="17">
        <v>38</v>
      </c>
      <c r="F26" s="17"/>
      <c r="G26" s="17"/>
      <c r="H26" s="19" t="str">
        <f>IF($B26="","",IF($J26="X",B26,CONCATENATE(VLOOKUP(B26,Competitors!$A$2:$I$650,3, FALSE)," ",VLOOKUP(B26,Competitors!$A$2:$I$650,2,FALSE))))</f>
        <v>Linda Thames</v>
      </c>
      <c r="I26" s="20">
        <f t="shared" si="1"/>
        <v>5.1828703703703703E-2</v>
      </c>
      <c r="J26" t="str">
        <f t="shared" si="2"/>
        <v>X</v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2026-05-03T11:35:37Z</dcterms:modified>
</cp:coreProperties>
</file>