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E240D51-0CB5-4610-8011-5878D1FEC49D}"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41" i="29" l="1"/>
  <c r="J21" i="29"/>
  <c r="H21" i="29"/>
  <c r="C104" i="19"/>
  <c r="C104" i="22"/>
  <c r="C104" i="28"/>
  <c r="C104" i="31"/>
  <c r="C104" i="34"/>
  <c r="C104" i="36"/>
  <c r="C104" i="42"/>
  <c r="C104" i="38"/>
  <c r="C104" i="24"/>
  <c r="C104" i="29"/>
  <c r="C104" i="27"/>
  <c r="C104" i="33"/>
  <c r="C104" i="37"/>
  <c r="C104" i="25"/>
  <c r="C104" i="44"/>
  <c r="C104" i="45"/>
  <c r="C104" i="21"/>
  <c r="C104" i="20"/>
  <c r="C104" i="23"/>
  <c r="C104" i="26"/>
  <c r="C104" i="30"/>
  <c r="C104" i="32"/>
  <c r="C104" i="35"/>
  <c r="C104" i="39"/>
  <c r="C104" i="41"/>
  <c r="C104" i="40"/>
  <c r="C104" i="46"/>
  <c r="C104" i="43"/>
  <c r="H41" i="2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<sst xmlns="http://schemas.openxmlformats.org/spreadsheetml/2006/main" count="14225" uniqueCount="597">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</sst>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488</v>
      </c>
      <c r="B15" t="s">
        <v>391</v>
      </c>
      <c r="C15" s="36" t="str">
        <f t="shared" si="0"/>
        <v>Evan Collett Jnr (KCC)</v>
      </c>
    </row>
    <row r="16" spans="1:8" ht="14.25">
      <c r="A16" t="s">
        <v>489</v>
      </c>
      <c r="B16" t="s">
        <v>391</v>
      </c>
      <c r="C16" s="36" t="str">
        <f t="shared" si="0"/>
        <v>Josh Brown (KCC)</v>
      </c>
    </row>
    <row r="17" spans="1:4" ht="14.25">
      <c r="A17" t="s">
        <v>490</v>
      </c>
      <c r="B17" t="s">
        <v>400</v>
      </c>
      <c r="C17" s="36" t="str">
        <f t="shared" si="0"/>
        <v>Harriet Hughes (LFCC)</v>
      </c>
      <c r="D17" t="s">
        <v>372</v>
      </c>
    </row>
    <row r="18" spans="1:4" ht="14.25">
      <c r="A18" t="s">
        <v>491</v>
      </c>
      <c r="B18" t="s">
        <v>400</v>
      </c>
      <c r="C18" s="36" t="str">
        <f t="shared" si="0"/>
        <v>Mat Mabe (LFCC)</v>
      </c>
    </row>
    <row r="19" spans="1:4" ht="14.25">
      <c r="A19" t="s">
        <v>492</v>
      </c>
      <c r="B19" t="s">
        <v>400</v>
      </c>
      <c r="C19" s="36" t="str">
        <f t="shared" si="0"/>
        <v>Matt Finch (LFCC)</v>
      </c>
    </row>
    <row r="20" spans="1:4" ht="14.25">
      <c r="A20" t="s">
        <v>493</v>
      </c>
      <c r="B20" t="s">
        <v>400</v>
      </c>
      <c r="C20" s="36" t="str">
        <f t="shared" si="0"/>
        <v>Morris Mabe (LFCC)</v>
      </c>
    </row>
    <row r="21" spans="1:4" ht="14.25">
      <c r="A21" t="s">
        <v>494</v>
      </c>
      <c r="B21" t="s">
        <v>400</v>
      </c>
      <c r="C21" s="36" t="str">
        <f t="shared" si="0"/>
        <v>Sam Nettel (LFCC)</v>
      </c>
    </row>
    <row r="22" spans="1:4" ht="14.25">
      <c r="A22" t="s">
        <v>495</v>
      </c>
      <c r="B22" t="s">
        <v>400</v>
      </c>
      <c r="C22" s="36" t="str">
        <f t="shared" si="0"/>
        <v>Talles Medevives (LFCC)</v>
      </c>
    </row>
    <row r="23" spans="1:4" ht="14.25">
      <c r="A23" t="s">
        <v>496</v>
      </c>
      <c r="B23" t="s">
        <v>497</v>
      </c>
      <c r="C23" s="36" t="str">
        <f t="shared" si="0"/>
        <v>Dean Tacey (LRC)</v>
      </c>
    </row>
    <row r="24" spans="1:4" ht="14.25">
      <c r="A24" t="s">
        <v>498</v>
      </c>
      <c r="B24" t="s">
        <v>499</v>
      </c>
      <c r="C24" s="36" t="str">
        <f t="shared" si="0"/>
        <v>Chris Booth (MOCC)</v>
      </c>
    </row>
    <row r="25" spans="1:4" ht="14.25">
      <c r="A25" t="s">
        <v>500</v>
      </c>
      <c r="B25" t="s">
        <v>499</v>
      </c>
      <c r="C25" s="36" t="str">
        <f t="shared" si="0"/>
        <v>David Cooper (MOCC)</v>
      </c>
    </row>
    <row r="26" spans="1:4" ht="14.25">
      <c r="A26" t="s">
        <v>501</v>
      </c>
      <c r="B26" t="s">
        <v>499</v>
      </c>
      <c r="C26" s="36" t="str">
        <f t="shared" si="0"/>
        <v>Jamie Haines (MOCC)</v>
      </c>
    </row>
    <row r="27" spans="1:4" ht="14.25">
      <c r="A27" t="s">
        <v>502</v>
      </c>
      <c r="B27" t="s">
        <v>499</v>
      </c>
      <c r="C27" s="36" t="str">
        <f t="shared" si="0"/>
        <v>Laura Ayers (W) (MOCC)</v>
      </c>
      <c r="D27" t="s">
        <v>372</v>
      </c>
    </row>
    <row r="28" spans="1:4" ht="14.25">
      <c r="A28" t="s">
        <v>503</v>
      </c>
      <c r="B28" t="s">
        <v>504</v>
      </c>
      <c r="C28" s="36" t="str">
        <f t="shared" si="0"/>
        <v>Ed Tarelli (Race Hub)</v>
      </c>
      <c r="D28" s="36"/>
    </row>
    <row r="29" spans="1:4" ht="14.25">
      <c r="A29" t="s">
        <v>505</v>
      </c>
      <c r="B29" t="s">
        <v>506</v>
      </c>
      <c r="C29" s="36" t="str">
        <f t="shared" si="0"/>
        <v>Lewis Cooper (RAF Tri)</v>
      </c>
    </row>
    <row r="30" spans="1:4" ht="14.25">
      <c r="A30" t="s">
        <v>507</v>
      </c>
      <c r="B30" t="s">
        <v>394</v>
      </c>
      <c r="C30" s="36" t="str">
        <f t="shared" si="0"/>
        <v>Alex Whitmore (Ratae)</v>
      </c>
    </row>
    <row r="31" spans="1:4" ht="14.25">
      <c r="A31" t="s">
        <v>508</v>
      </c>
      <c r="B31" t="s">
        <v>394</v>
      </c>
      <c r="C31" s="36" t="str">
        <f t="shared" si="0"/>
        <v>Brian Lincoln (Ratae)</v>
      </c>
    </row>
    <row r="32" spans="1:4" ht="14.25">
      <c r="A32" t="s">
        <v>509</v>
      </c>
      <c r="B32" t="s">
        <v>394</v>
      </c>
      <c r="C32" s="36" t="str">
        <f t="shared" si="0"/>
        <v>Chris Bonsor (Ratae)</v>
      </c>
    </row>
    <row r="33" spans="1:4" ht="14.25">
      <c r="A33" t="s">
        <v>510</v>
      </c>
      <c r="B33" t="s">
        <v>394</v>
      </c>
      <c r="C33" s="36" t="str">
        <f t="shared" si="0"/>
        <v>Chris Spray (Ratae)</v>
      </c>
    </row>
    <row r="34" spans="1:4" ht="14.25">
      <c r="A34" t="s">
        <v>511</v>
      </c>
      <c r="B34" t="s">
        <v>394</v>
      </c>
      <c r="C34" s="36" t="str">
        <f t="shared" si="0"/>
        <v>Debbie Cooper (Ratae)</v>
      </c>
      <c r="D34" t="s">
        <v>372</v>
      </c>
    </row>
    <row r="35" spans="1:4" ht="14.25">
      <c r="A35" t="s">
        <v>512</v>
      </c>
      <c r="B35" t="s">
        <v>394</v>
      </c>
      <c r="C35" s="36" t="str">
        <f t="shared" si="0"/>
        <v>Ed Watson (Ratae)</v>
      </c>
    </row>
    <row r="36" spans="1:4" ht="14.25">
      <c r="A36" t="s">
        <v>590</v>
      </c>
      <c r="B36" s="63" t="s">
        <v>394</v>
      </c>
      <c r="C36" s="36" t="str">
        <f t="shared" ref="C36:C66" si="1">IF(ISBLANK(B36),IF(ISBLANK(A36),"",A36),_xlfn.CONCAT(A36," (",B36,")"))</f>
        <v>Geoff Stanbridge (Ratae)</v>
      </c>
    </row>
    <row r="37" spans="1:4" ht="14.25">
      <c r="A37" t="s">
        <v>513</v>
      </c>
      <c r="B37" t="s">
        <v>394</v>
      </c>
      <c r="C37" s="36" t="str">
        <f t="shared" si="1"/>
        <v>Jonathon Clarke (Ratae)</v>
      </c>
      <c r="D37" s="36"/>
    </row>
    <row r="38" spans="1:4" ht="14.25">
      <c r="A38" t="s">
        <v>514</v>
      </c>
      <c r="B38" t="s">
        <v>394</v>
      </c>
      <c r="C38" s="36" t="str">
        <f t="shared" si="1"/>
        <v>Lesley Allden (Ratae)</v>
      </c>
      <c r="D38" t="s">
        <v>372</v>
      </c>
    </row>
    <row r="39" spans="1:4" ht="14.25">
      <c r="A39" t="s">
        <v>515</v>
      </c>
      <c r="B39" t="s">
        <v>394</v>
      </c>
      <c r="C39" s="36" t="str">
        <f t="shared" si="1"/>
        <v>Lucy Sturgess (Ratae)</v>
      </c>
      <c r="D39" t="s">
        <v>372</v>
      </c>
    </row>
    <row r="40" spans="1:4" ht="14.25">
      <c r="A40" t="s">
        <v>516</v>
      </c>
      <c r="B40" t="s">
        <v>394</v>
      </c>
      <c r="C40" s="36" t="str">
        <f t="shared" si="1"/>
        <v>Mark Marmoy (Ratae)</v>
      </c>
    </row>
    <row r="41" spans="1:4" ht="14.25">
      <c r="A41" t="s">
        <v>517</v>
      </c>
      <c r="B41" t="s">
        <v>394</v>
      </c>
      <c r="C41" s="36" t="str">
        <f t="shared" si="1"/>
        <v>Mark Newton (Ratae)</v>
      </c>
    </row>
    <row r="42" spans="1:4" ht="14.25">
      <c r="A42" t="s">
        <v>518</v>
      </c>
      <c r="B42" t="s">
        <v>394</v>
      </c>
      <c r="C42" s="36" t="str">
        <f t="shared" si="1"/>
        <v>Marshall Briggs (Ratae)</v>
      </c>
    </row>
    <row r="43" spans="1:4" ht="14.25">
      <c r="A43" t="s">
        <v>519</v>
      </c>
      <c r="B43" t="s">
        <v>394</v>
      </c>
      <c r="C43" s="36" t="str">
        <f t="shared" si="1"/>
        <v>Natalie Harris (Ratae)</v>
      </c>
      <c r="D43" t="s">
        <v>372</v>
      </c>
    </row>
    <row r="44" spans="1:4" ht="14.25">
      <c r="A44" t="s">
        <v>520</v>
      </c>
      <c r="B44" t="s">
        <v>394</v>
      </c>
      <c r="C44" s="36" t="str">
        <f t="shared" si="1"/>
        <v>Paul Eden (Ratae)</v>
      </c>
    </row>
    <row r="45" spans="1:4" ht="14.25">
      <c r="A45" t="s">
        <v>521</v>
      </c>
      <c r="B45" t="s">
        <v>394</v>
      </c>
      <c r="C45" s="36" t="str">
        <f t="shared" si="1"/>
        <v>Sadie Murphy (Ratae)</v>
      </c>
      <c r="D45" t="s">
        <v>372</v>
      </c>
    </row>
    <row r="46" spans="1:4" ht="14.25">
      <c r="A46" t="s">
        <v>522</v>
      </c>
      <c r="B46" t="s">
        <v>394</v>
      </c>
      <c r="C46" s="36" t="str">
        <f t="shared" si="1"/>
        <v>Steve Pearce (Ratae)</v>
      </c>
    </row>
    <row r="47" spans="1:4" ht="14.25">
      <c r="A47" t="s">
        <v>523</v>
      </c>
      <c r="B47" t="s">
        <v>385</v>
      </c>
      <c r="C47" s="36" t="str">
        <f t="shared" si="1"/>
        <v>Adam Wells (RFW)</v>
      </c>
    </row>
    <row r="48" spans="1:4" ht="14.25">
      <c r="A48" t="s">
        <v>524</v>
      </c>
      <c r="B48" t="s">
        <v>385</v>
      </c>
      <c r="C48" s="36" t="str">
        <f t="shared" si="1"/>
        <v>Alex Borrowman (RFW)</v>
      </c>
    </row>
    <row r="49" spans="1:4" ht="14.25">
      <c r="A49" t="s">
        <v>525</v>
      </c>
      <c r="B49" t="s">
        <v>385</v>
      </c>
      <c r="C49" s="36" t="str">
        <f t="shared" si="1"/>
        <v>Anne Gilhespy (RFW)</v>
      </c>
      <c r="D49" t="s">
        <v>372</v>
      </c>
    </row>
    <row r="50" spans="1:4" ht="14.25">
      <c r="A50" t="s">
        <v>526</v>
      </c>
      <c r="B50" t="s">
        <v>385</v>
      </c>
      <c r="C50" s="36" t="str">
        <f t="shared" si="1"/>
        <v>Chris Fowler (RFW)</v>
      </c>
    </row>
    <row r="51" spans="1:4" ht="14.25">
      <c r="A51" t="s">
        <v>527</v>
      </c>
      <c r="B51" t="s">
        <v>385</v>
      </c>
      <c r="C51" s="36" t="str">
        <f t="shared" si="1"/>
        <v>Dan Hempkin (RFW)</v>
      </c>
    </row>
    <row r="52" spans="1:4" ht="14.25">
      <c r="A52" t="s">
        <v>528</v>
      </c>
      <c r="B52" t="s">
        <v>385</v>
      </c>
      <c r="C52" s="36" t="str">
        <f t="shared" si="1"/>
        <v>David Hill (RFW)</v>
      </c>
    </row>
    <row r="53" spans="1:4" ht="14.25">
      <c r="A53" t="s">
        <v>529</v>
      </c>
      <c r="B53" t="s">
        <v>385</v>
      </c>
      <c r="C53" s="36" t="str">
        <f t="shared" si="1"/>
        <v>Ethan Mitchell-Clarke (RFW)</v>
      </c>
    </row>
    <row r="54" spans="1:4" ht="14.25">
      <c r="A54" t="s">
        <v>530</v>
      </c>
      <c r="B54" t="s">
        <v>385</v>
      </c>
      <c r="C54" s="36" t="str">
        <f t="shared" si="1"/>
        <v>Giles Cooper (RFW)</v>
      </c>
    </row>
    <row r="55" spans="1:4" ht="14.25">
      <c r="A55" t="s">
        <v>531</v>
      </c>
      <c r="B55" t="s">
        <v>385</v>
      </c>
      <c r="C55" s="36" t="str">
        <f t="shared" si="1"/>
        <v>Gregg Payne (RFW)</v>
      </c>
    </row>
    <row r="56" spans="1:4" ht="14.25">
      <c r="A56" t="s">
        <v>532</v>
      </c>
      <c r="B56" t="s">
        <v>385</v>
      </c>
      <c r="C56" s="36" t="str">
        <f t="shared" si="1"/>
        <v>Lynne Scofield (RFW)</v>
      </c>
      <c r="D56" t="s">
        <v>372</v>
      </c>
    </row>
    <row r="57" spans="1:4" ht="14.25">
      <c r="A57" t="s">
        <v>533</v>
      </c>
      <c r="B57" t="s">
        <v>385</v>
      </c>
      <c r="C57" s="36" t="str">
        <f t="shared" si="1"/>
        <v>Lynne Wilkinson-Scofield (RFW)</v>
      </c>
      <c r="D57" t="s">
        <v>372</v>
      </c>
    </row>
    <row r="58" spans="1:4" ht="14.25">
      <c r="A58" t="s">
        <v>534</v>
      </c>
      <c r="B58" t="s">
        <v>385</v>
      </c>
      <c r="C58" s="36" t="str">
        <f t="shared" si="1"/>
        <v>Michael Carter (RFW)</v>
      </c>
    </row>
    <row r="59" spans="1:4" ht="14.25">
      <c r="A59" t="s">
        <v>520</v>
      </c>
      <c r="B59" t="s">
        <v>385</v>
      </c>
      <c r="C59" s="36" t="str">
        <f t="shared" si="1"/>
        <v>Paul Eden (RFW)</v>
      </c>
    </row>
    <row r="60" spans="1:4" ht="14.25">
      <c r="A60" t="s">
        <v>535</v>
      </c>
      <c r="B60" t="s">
        <v>385</v>
      </c>
      <c r="C60" s="36" t="str">
        <f t="shared" si="1"/>
        <v>Paul Russell (RFW)</v>
      </c>
    </row>
    <row r="61" spans="1:4" ht="14.25">
      <c r="A61" t="s">
        <v>536</v>
      </c>
      <c r="B61" t="s">
        <v>385</v>
      </c>
      <c r="C61" s="36" t="str">
        <f t="shared" si="1"/>
        <v>Paul Ryan (RFW)</v>
      </c>
    </row>
    <row r="62" spans="1:4" ht="14.25">
      <c r="A62" t="s">
        <v>537</v>
      </c>
      <c r="B62" t="s">
        <v>385</v>
      </c>
      <c r="C62" s="36" t="str">
        <f t="shared" si="1"/>
        <v>Phil Wilkinson (RFW)</v>
      </c>
    </row>
    <row r="63" spans="1:4" ht="14.25">
      <c r="A63" t="s">
        <v>538</v>
      </c>
      <c r="B63" t="s">
        <v>539</v>
      </c>
      <c r="C63" s="36" t="str">
        <f t="shared" si="1"/>
        <v>Hudson Hendry (Ride Revolution)</v>
      </c>
    </row>
    <row r="64" spans="1:4" ht="14.25">
      <c r="A64" t="s">
        <v>540</v>
      </c>
      <c r="B64" t="s">
        <v>541</v>
      </c>
      <c r="C64" s="36" t="str">
        <f t="shared" si="1"/>
        <v>Adrian James (Rugby RCC)</v>
      </c>
    </row>
    <row r="65" spans="1:3" ht="14.25">
      <c r="A65" t="s">
        <v>542</v>
      </c>
      <c r="B65" t="s">
        <v>543</v>
      </c>
      <c r="C65" s="36" t="str">
        <f t="shared" si="1"/>
        <v>Carl Shaw (Speedhub)</v>
      </c>
    </row>
    <row r="66" spans="1:3" ht="14.25">
      <c r="A66" t="s">
        <v>544</v>
      </c>
      <c r="B66" t="s">
        <v>545</v>
      </c>
      <c r="C66" s="36" t="str">
        <f t="shared" si="1"/>
        <v>Oliver Searle (St Ives CC)</v>
      </c>
    </row>
    <row r="67" spans="1:3" ht="14.25">
      <c r="C67" s="36" t="str">
        <f t="shared" ref="C67:C73" si="2">IF(ISBLANK(B67),IF(ISBLANK(A67),"",A67),_xlfn.CONCAT(A67," (",B67,")"))</f>
        <v/>
      </c>
    </row>
    <row r="68" spans="1:3" ht="14.25">
      <c r="C68" s="36" t="str">
        <f t="shared" si="2"/>
        <v/>
      </c>
    </row>
    <row r="69" spans="1:3" ht="14.25">
      <c r="C69" s="36" t="str">
        <f t="shared" si="2"/>
        <v/>
      </c>
    </row>
    <row r="70" spans="1:3" ht="14.25">
      <c r="C70" s="36" t="str">
        <f t="shared" si="2"/>
        <v/>
      </c>
    </row>
    <row r="71" spans="1:3" ht="14.25">
      <c r="C71" s="36" t="str">
        <f t="shared" si="2"/>
        <v/>
      </c>
    </row>
    <row r="72" spans="1:3" ht="14.25">
      <c r="C72" s="36" t="str">
        <f t="shared" si="2"/>
        <v/>
      </c>
    </row>
    <row r="73" spans="1:3" ht="14.25">
      <c r="C73" s="36" t="str">
        <f t="shared" si="2"/>
        <v/>
      </c>
    </row>
    <row r="74" spans="1:3" ht="14.25">
      <c r="C74" s="36" t="str">
        <f t="shared" ref="C74:C89" si="3">IF(ISBLANK(B74),IF(ISBLANK(A74),"",A74),_xlfn.CONCAT(A74," (",B74,")"))</f>
        <v/>
      </c>
    </row>
    <row r="75" spans="1:3" ht="14.25">
      <c r="C75" s="36" t="str">
        <f t="shared" si="3"/>
        <v/>
      </c>
    </row>
    <row r="76" spans="1:3" ht="14.25">
      <c r="C76" s="36" t="str">
        <f t="shared" si="3"/>
        <v/>
      </c>
    </row>
    <row r="77" spans="1:3" ht="14.25">
      <c r="C77" s="36" t="str">
        <f t="shared" si="3"/>
        <v/>
      </c>
    </row>
    <row r="78" spans="1:3" ht="14.25">
      <c r="C78" s="36" t="str">
        <f t="shared" si="3"/>
        <v/>
      </c>
    </row>
    <row r="79" spans="1:3" ht="14.25">
      <c r="C79" s="36" t="str">
        <f t="shared" si="3"/>
        <v/>
      </c>
    </row>
    <row r="80" spans="1:3" ht="14.25">
      <c r="C80" s="36" t="str">
        <f t="shared" si="3"/>
        <v/>
      </c>
    </row>
    <row r="81" spans="3:3" ht="14.25">
      <c r="C81" s="36" t="str">
        <f t="shared" si="3"/>
        <v/>
      </c>
    </row>
    <row r="82" spans="3:3" ht="14.25">
      <c r="C82" s="36" t="str">
        <f t="shared" si="3"/>
        <v/>
      </c>
    </row>
    <row r="83" spans="3:3" ht="14.25">
      <c r="C83" s="36" t="str">
        <f t="shared" si="3"/>
        <v/>
      </c>
    </row>
    <row r="84" spans="3:3" ht="14.25">
      <c r="C84" s="36" t="str">
        <f t="shared" si="3"/>
        <v/>
      </c>
    </row>
    <row r="85" spans="3:3" ht="14.25">
      <c r="C85" s="36" t="str">
        <f t="shared" si="3"/>
        <v/>
      </c>
    </row>
    <row r="86" spans="3:3" ht="14.25">
      <c r="C86" s="36" t="str">
        <f t="shared" si="3"/>
        <v/>
      </c>
    </row>
    <row r="87" spans="3:3" ht="14.25">
      <c r="C87" s="36" t="str">
        <f t="shared" si="3"/>
        <v/>
      </c>
    </row>
    <row r="88" spans="3:3" ht="14.25">
      <c r="C88" s="36" t="str">
        <f t="shared" si="3"/>
        <v/>
      </c>
    </row>
    <row r="89" spans="3:3" ht="14.25">
      <c r="C89" s="36" t="str">
        <f t="shared" si="3"/>
        <v/>
      </c>
    </row>
    <row r="90" spans="3:3" s="37" customFormat="1"/>
    <row r="92" spans="3:3" ht="14.25">
      <c r="C92" s="36"/>
    </row>
    <row r="93" spans="3:3" ht="14.25">
      <c r="C93" s="36"/>
    </row>
    <row r="94" spans="3:3" ht="14.25">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A16" workbookViewId="0">
      <selection activeCell="F53" sqref="F53"/>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586</v>
      </c>
      <c r="B46" s="47" t="str">
        <f t="shared" si="3"/>
        <v>Mike Deely (G Fox)</v>
      </c>
      <c r="C46" s="48"/>
      <c r="D46" s="48">
        <v>24</v>
      </c>
      <c r="E46" s="48">
        <v>56</v>
      </c>
      <c r="F46" s="48"/>
      <c r="G46" s="48"/>
      <c r="H46" s="50" t="str">
        <f>IF($B46="","",IF($J46="X",B46,CONCATENATE(VLOOKUP(B46,Competitors!$A$2:$I$650,3,FALSE)," ",VLOOKUP(B46,Competitors!$A$2:$I$650,2,FALSE))))</f>
        <v>Mike Deely (G Fox)</v>
      </c>
      <c r="I46" s="51">
        <f t="shared" si="1"/>
        <v>1.7314814814814814E-2</v>
      </c>
      <c r="J46" t="str">
        <f t="shared" si="2"/>
        <v>X</v>
      </c>
    </row>
    <row r="47" spans="1:10" ht="15">
      <c r="A47" s="61" t="s">
        <v>590</v>
      </c>
      <c r="B47" s="47" t="str">
        <f t="shared" si="3"/>
        <v>Geoff Stanbridge (Ratae)</v>
      </c>
      <c r="C47" s="48"/>
      <c r="D47" s="48"/>
      <c r="E47" s="48"/>
      <c r="F47" s="48"/>
      <c r="G47" s="48" t="s">
        <v>564</v>
      </c>
      <c r="H47" s="50" t="str">
        <f>IF($B47="","",IF($J47="X",B47,CONCATENATE(VLOOKUP(B47,Competitors!$A$2:$I$650,3,FALSE)," ",VLOOKUP(B47,Competitors!$A$2:$I$650,2,FALSE))))</f>
        <v>Geoff Stanbridge (Ratae)</v>
      </c>
      <c r="I47" s="51">
        <f t="shared" si="1"/>
        <v>0</v>
      </c>
      <c r="J47" t="str">
        <f t="shared" si="2"/>
        <v>X</v>
      </c>
    </row>
    <row r="48" spans="1:10" ht="15">
      <c r="A48" s="46" t="s">
        <v>417</v>
      </c>
      <c r="B48" s="47">
        <f t="shared" si="3"/>
        <v>38</v>
      </c>
      <c r="C48" s="48"/>
      <c r="D48" s="48">
        <v>23</v>
      </c>
      <c r="E48" s="48">
        <v>36</v>
      </c>
      <c r="F48" s="48"/>
      <c r="G48" s="48"/>
      <c r="H48" s="50" t="str">
        <f>IF($B48="","",IF($J48="X",B48,CONCATENATE(VLOOKUP(B48,Competitors!$A$2:$I$650,3,FALSE)," ",VLOOKUP(B48,Competitors!$A$2:$I$650,2,FALSE))))</f>
        <v>Phil Rayner</v>
      </c>
      <c r="I48" s="51">
        <f t="shared" si="1"/>
        <v>1.638888888888889E-2</v>
      </c>
      <c r="J48" t="str">
        <f t="shared" si="2"/>
        <v/>
      </c>
    </row>
    <row r="49" spans="1:10" ht="15">
      <c r="A49" s="46" t="s">
        <v>538</v>
      </c>
      <c r="B49" s="47" t="str">
        <f t="shared" si="3"/>
        <v>Hudson Hendry (Ride Revolution)</v>
      </c>
      <c r="C49" s="48"/>
      <c r="D49" s="48">
        <v>20</v>
      </c>
      <c r="E49" s="48">
        <v>22</v>
      </c>
      <c r="F49" s="48"/>
      <c r="G49" s="48"/>
      <c r="H49" s="50" t="str">
        <f>IF($B49="","",IF($J49="X",B49,CONCATENATE(VLOOKUP(B49,Competitors!$A$2:$I$650,3,FALSE)," ",VLOOKUP(B49,Competitors!$A$2:$I$650,2,FALSE))))</f>
        <v>Hudson Hendry (Ride Revolution)</v>
      </c>
      <c r="I49" s="51">
        <f t="shared" si="1"/>
        <v>1.4143518518518519E-2</v>
      </c>
      <c r="J49" t="str">
        <f t="shared" si="2"/>
        <v>X</v>
      </c>
    </row>
    <row r="50" spans="1:10" ht="15">
      <c r="A50" s="46" t="s">
        <v>520</v>
      </c>
      <c r="B50" s="47" t="str">
        <f t="shared" si="3"/>
        <v>Paul Eden (Ratae)</v>
      </c>
      <c r="C50" s="48"/>
      <c r="D50" s="48">
        <v>29</v>
      </c>
      <c r="E50" s="48">
        <v>58</v>
      </c>
      <c r="F50" s="48" t="s">
        <v>555</v>
      </c>
      <c r="G50" s="48"/>
      <c r="H50" s="50" t="str">
        <f>IF($B50="","",IF($J50="X",B50,CONCATENATE(VLOOKUP(B50,Competitors!$A$2:$I$650,3,FALSE)," ",VLOOKUP(B50,Competitors!$A$2:$I$650,2,FALSE))))</f>
        <v>Paul Eden (Ratae)</v>
      </c>
      <c r="I50" s="51">
        <f t="shared" si="1"/>
        <v>2.0810185185185185E-2</v>
      </c>
      <c r="J50" t="str">
        <f t="shared" si="2"/>
        <v>X</v>
      </c>
    </row>
    <row r="51" spans="1:10" ht="15">
      <c r="A51" s="46" t="s">
        <v>596</v>
      </c>
      <c r="B51" s="47" t="str">
        <f t="shared" si="3"/>
        <v>Megan Cherry (CAMS Majaco)</v>
      </c>
      <c r="C51" s="48"/>
      <c r="D51" s="48">
        <v>23</v>
      </c>
      <c r="E51" s="48">
        <v>28</v>
      </c>
      <c r="F51" s="48"/>
      <c r="G51" s="48"/>
      <c r="H51" s="50" t="str">
        <f>IF($B51="","",IF($J51="X",B51,CONCATENATE(VLOOKUP(B51,Competitors!$A$2:$I$650,3,FALSE)," ",VLOOKUP(B51,Competitors!$A$2:$I$650,2,FALSE))))</f>
        <v>Megan Cherry (CAMS Majaco)</v>
      </c>
      <c r="I51" s="51">
        <f t="shared" si="1"/>
        <v>1.6296296296296295E-2</v>
      </c>
      <c r="J51" t="str">
        <f t="shared" si="2"/>
        <v>X</v>
      </c>
    </row>
    <row r="52" spans="1:10" ht="15">
      <c r="A52" s="46" t="s">
        <v>595</v>
      </c>
      <c r="B52" s="47">
        <f t="shared" si="3"/>
        <v>1347</v>
      </c>
      <c r="C52" s="48"/>
      <c r="D52" s="48">
        <v>26</v>
      </c>
      <c r="E52" s="48">
        <v>5</v>
      </c>
      <c r="F52" s="48" t="s">
        <v>555</v>
      </c>
      <c r="G52" s="48"/>
      <c r="H52" s="50" t="str">
        <f>IF($B52="","",IF($J52="X",B52,CONCATENATE(VLOOKUP(B52,Competitors!$A$2:$I$650,3,FALSE)," ",VLOOKUP(B52,Competitors!$A$2:$I$650,2,FALSE))))</f>
        <v>Stuart Simpson-Smith</v>
      </c>
      <c r="I52" s="51">
        <f t="shared" si="1"/>
        <v>1.8113425925925925E-2</v>
      </c>
      <c r="J52" t="str">
        <f t="shared" si="2"/>
        <v/>
      </c>
    </row>
    <row r="53" spans="1:10" ht="15">
      <c r="A53" s="46" t="s">
        <v>415</v>
      </c>
      <c r="B53" s="47">
        <f t="shared" si="3"/>
        <v>699</v>
      </c>
      <c r="C53" s="48"/>
      <c r="D53" s="48">
        <v>22</v>
      </c>
      <c r="E53" s="48">
        <v>39</v>
      </c>
      <c r="F53" s="48"/>
      <c r="G53" s="48"/>
      <c r="H53" s="50" t="str">
        <f>IF($B53="","",IF($J53="X",B53,CONCATENATE(VLOOKUP(B53,Competitors!$A$2:$I$650,3,FALSE)," ",VLOOKUP(B53,Competitors!$A$2:$I$650,2,FALSE))))</f>
        <v>Jonathan Durnin</v>
      </c>
      <c r="I53" s="51">
        <f t="shared" si="1"/>
        <v>1.5729166666666666E-2</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2026-06-16T20:32:42Z</dcterms:modified>
</cp:coreProperties>
</file>