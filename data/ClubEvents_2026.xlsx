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E26126E9-78CD-47EE-BC62-18ADB3C21161}" xr6:coauthVersionLast="47" xr6:coauthVersionMax="47" xr10:uidLastSave="{00000000-0000-0000-0000-000000000000}"/>
  <bookViews>
    <workbookView xWindow="-98" yWindow="-98" windowWidth="28996" windowHeight="17475" firstSheet="33" activeTab="37" xr2:uid="{A4BBD886-34CD-4BB2-A3E1-51E591FE7E95}"/>
    <workbookView xWindow="14317" yWindow="0" windowWidth="14565" windowHeight="17363" firstSheet="17" activeTab="19" xr2:uid="{C6BA513C-3247-45D3-9BF5-750EB976B6F9}"/>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36" l="1"/>
  <c r="J4" i="36"/>
  <c r="J5" i="36"/>
  <c r="J6" i="36"/>
  <c r="J7" i="36"/>
  <c r="J8" i="36"/>
  <c r="J9" i="36"/>
  <c r="J10" i="36"/>
  <c r="J11" i="36"/>
  <c r="J12" i="36"/>
  <c r="J13" i="36"/>
  <c r="J14" i="36"/>
  <c r="J15" i="36"/>
  <c r="J16" i="36"/>
  <c r="J17" i="36"/>
  <c r="J18" i="36"/>
  <c r="J19" i="36"/>
  <c r="J20" i="36"/>
  <c r="J21" i="36"/>
  <c r="J22" i="36"/>
  <c r="J23" i="36"/>
  <c r="J24" i="36"/>
  <c r="J25" i="36"/>
  <c r="J26" i="36"/>
  <c r="J27" i="36"/>
  <c r="J28" i="36"/>
  <c r="J29" i="36"/>
  <c r="J30" i="36"/>
  <c r="C18" i="18"/>
  <c r="C9" i="18"/>
  <c r="C17" i="18"/>
  <c r="C56" i="18"/>
  <c r="C49" i="18"/>
  <c r="C64" i="18"/>
  <c r="C37" i="18"/>
  <c r="C93" i="18"/>
  <c r="C7" i="18"/>
  <c r="C6" i="18"/>
  <c r="C95" i="18"/>
  <c r="C96" i="18"/>
  <c r="C41" i="18"/>
  <c r="C40" i="18"/>
  <c r="C12" i="18"/>
  <c r="C13" i="18"/>
  <c r="C102" i="18"/>
  <c r="C103" i="18"/>
  <c r="C104" i="18"/>
  <c r="C105" i="18"/>
  <c r="C106" i="18"/>
  <c r="C107" i="18"/>
  <c r="C31"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2" i="36"/>
  <c r="B52" i="36"/>
  <c r="J51" i="36"/>
  <c r="B51" i="36"/>
  <c r="J46" i="36"/>
  <c r="B46" i="36"/>
  <c r="J40" i="36"/>
  <c r="B40" i="36"/>
  <c r="J37" i="36"/>
  <c r="B37" i="36"/>
  <c r="J36" i="36"/>
  <c r="B36" i="36"/>
  <c r="J35" i="36"/>
  <c r="B35" i="36"/>
  <c r="J34" i="36"/>
  <c r="B34" i="36"/>
  <c r="J33" i="36"/>
  <c r="B33" i="36"/>
  <c r="J32" i="36"/>
  <c r="B32" i="36"/>
  <c r="J31" i="36"/>
  <c r="B31" i="36"/>
  <c r="J39" i="36"/>
  <c r="B39" i="36"/>
  <c r="J49" i="36"/>
  <c r="B49" i="36"/>
  <c r="J50" i="36"/>
  <c r="B50" i="36"/>
  <c r="J45" i="36"/>
  <c r="B45" i="36"/>
  <c r="J38" i="36"/>
  <c r="B38" i="36"/>
  <c r="J43" i="36"/>
  <c r="B43" i="36"/>
  <c r="J48" i="36"/>
  <c r="B48" i="36"/>
  <c r="J47" i="36"/>
  <c r="B47" i="36"/>
  <c r="J42" i="36"/>
  <c r="B42" i="36"/>
  <c r="J44" i="36"/>
  <c r="B44" i="36"/>
  <c r="J53" i="36"/>
  <c r="B53" i="36"/>
  <c r="J41" i="36"/>
  <c r="B41" i="36"/>
  <c r="B27" i="36"/>
  <c r="B18"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4"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3" i="18"/>
  <c r="I48" i="29"/>
  <c r="C78" i="18"/>
  <c r="I47" i="29"/>
  <c r="I46" i="29"/>
  <c r="C83" i="18"/>
  <c r="I45" i="29"/>
  <c r="I44" i="29"/>
  <c r="I43" i="29"/>
  <c r="I42" i="29"/>
  <c r="I41" i="29"/>
  <c r="I40" i="29"/>
  <c r="I39" i="29"/>
  <c r="I38" i="29"/>
  <c r="I37" i="29"/>
  <c r="I36" i="29"/>
  <c r="I35" i="29"/>
  <c r="I34" i="29"/>
  <c r="I33" i="29"/>
  <c r="I32" i="29"/>
  <c r="I31" i="29"/>
  <c r="I30" i="29"/>
  <c r="I29" i="29"/>
  <c r="I28" i="29"/>
  <c r="I27" i="29"/>
  <c r="I26" i="29"/>
  <c r="I25" i="29"/>
  <c r="I24" i="29"/>
  <c r="C60" i="18"/>
  <c r="I23" i="29"/>
  <c r="I22" i="29"/>
  <c r="C48" i="18"/>
  <c r="I21" i="29"/>
  <c r="I20" i="29"/>
  <c r="I19" i="29"/>
  <c r="C54" i="18"/>
  <c r="I18" i="29"/>
  <c r="I17" i="29"/>
  <c r="I16" i="29"/>
  <c r="I15" i="29"/>
  <c r="I14" i="29"/>
  <c r="I13" i="29"/>
  <c r="I12" i="29"/>
  <c r="I11" i="29"/>
  <c r="I10" i="29"/>
  <c r="C50" i="18"/>
  <c r="I9" i="29"/>
  <c r="I8" i="29"/>
  <c r="I7" i="29"/>
  <c r="I6" i="29"/>
  <c r="I5" i="29"/>
  <c r="I4" i="29"/>
  <c r="I3" i="29"/>
  <c r="C57"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67" i="18"/>
  <c r="C36" i="18"/>
  <c r="C30" i="18"/>
  <c r="C87" i="18"/>
  <c r="C99" i="18"/>
  <c r="C98" i="18"/>
  <c r="C101" i="18"/>
  <c r="C100" i="18"/>
  <c r="C25" i="18"/>
  <c r="C28" i="18"/>
  <c r="C79" i="18"/>
  <c r="C90" i="18"/>
  <c r="C89" i="18"/>
  <c r="C27" i="18"/>
  <c r="C76" i="18"/>
  <c r="C94" i="18"/>
  <c r="C92" i="18"/>
  <c r="C91" i="18"/>
  <c r="C88" i="18"/>
  <c r="C86" i="18"/>
  <c r="C85" i="18"/>
  <c r="C84" i="18"/>
  <c r="C82" i="18"/>
  <c r="C81" i="18"/>
  <c r="C80" i="18"/>
  <c r="C77" i="18"/>
  <c r="C75" i="18"/>
  <c r="C74" i="18"/>
  <c r="C73" i="18"/>
  <c r="C72" i="18"/>
  <c r="C71" i="18"/>
  <c r="C70" i="18"/>
  <c r="C69" i="18"/>
  <c r="C68" i="18"/>
  <c r="C66" i="18"/>
  <c r="C65" i="18"/>
  <c r="C62" i="18"/>
  <c r="C61" i="18"/>
  <c r="C59" i="18"/>
  <c r="C58" i="18"/>
  <c r="C55" i="18"/>
  <c r="C53" i="18"/>
  <c r="C52" i="18"/>
  <c r="C51" i="18"/>
  <c r="C47" i="18"/>
  <c r="C46" i="18"/>
  <c r="C97" i="18"/>
  <c r="C45" i="18"/>
  <c r="C44" i="18"/>
  <c r="C43" i="18"/>
  <c r="C42" i="18"/>
  <c r="C39" i="18"/>
  <c r="C38" i="18"/>
  <c r="C35" i="18"/>
  <c r="C34" i="18"/>
  <c r="C33" i="18"/>
  <c r="C32" i="18"/>
  <c r="C29" i="18"/>
  <c r="C26" i="18"/>
  <c r="C23" i="18"/>
  <c r="C22" i="18"/>
  <c r="C21" i="18"/>
  <c r="C20" i="18"/>
  <c r="C19" i="18"/>
  <c r="C16" i="18"/>
  <c r="C15" i="18"/>
  <c r="C14"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101" i="46" l="1"/>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3" i="36"/>
  <c r="I43"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7" i="36"/>
  <c r="I27" i="36" s="1"/>
  <c r="K18" i="36"/>
  <c r="I18" i="36" s="1"/>
  <c r="B15" i="35"/>
  <c r="K15" i="35" s="1"/>
  <c r="I15" i="35" s="1"/>
  <c r="B16" i="36"/>
  <c r="B13" i="36"/>
  <c r="B12" i="36"/>
  <c r="B6" i="36"/>
  <c r="K6" i="36" s="1"/>
  <c r="B30" i="36"/>
  <c r="B29"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6" i="36"/>
  <c r="B28" i="36"/>
  <c r="B20" i="34"/>
  <c r="J20" i="34" s="1"/>
  <c r="H20" i="34" s="1"/>
  <c r="B3" i="35"/>
  <c r="K3" i="35" s="1"/>
  <c r="I3" i="35" s="1"/>
  <c r="B29" i="35"/>
  <c r="K29" i="35" s="1"/>
  <c r="I29" i="35" s="1"/>
  <c r="B19"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1" i="36"/>
  <c r="B22" i="36"/>
  <c r="B25" i="36"/>
  <c r="B5" i="35"/>
  <c r="K5" i="35" s="1"/>
  <c r="I5" i="35" s="1"/>
  <c r="B6" i="35"/>
  <c r="K6" i="35" s="1"/>
  <c r="I6" i="35" s="1"/>
  <c r="B7" i="35"/>
  <c r="K7" i="35" s="1"/>
  <c r="I7" i="35" s="1"/>
  <c r="B31" i="35"/>
  <c r="K31" i="35" s="1"/>
  <c r="I31" i="35" s="1"/>
  <c r="B9" i="36"/>
  <c r="B26" i="35"/>
  <c r="K26" i="35" s="1"/>
  <c r="I26" i="35" s="1"/>
  <c r="B2" i="36"/>
  <c r="B20" i="36"/>
  <c r="B10" i="36"/>
  <c r="B24" i="35"/>
  <c r="K24" i="35" s="1"/>
  <c r="I24" i="35" s="1"/>
  <c r="B25" i="35"/>
  <c r="K25" i="35" s="1"/>
  <c r="I25" i="35" s="1"/>
  <c r="B17" i="36"/>
  <c r="B14" i="36"/>
  <c r="B24" i="36"/>
  <c r="B23" i="36"/>
  <c r="B3" i="36"/>
  <c r="K3" i="36" s="1"/>
  <c r="B15"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B50" i="32"/>
  <c r="J50" i="32" s="1"/>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2" i="36"/>
  <c r="I52" i="36" s="1"/>
  <c r="K51" i="36"/>
  <c r="I51" i="36" s="1"/>
  <c r="K46" i="36"/>
  <c r="I46" i="36" s="1"/>
  <c r="K40" i="36"/>
  <c r="I40" i="36" s="1"/>
  <c r="K37" i="36"/>
  <c r="I37" i="36" s="1"/>
  <c r="K36" i="36"/>
  <c r="I36" i="36" s="1"/>
  <c r="K35" i="36"/>
  <c r="I35" i="36" s="1"/>
  <c r="K34" i="36"/>
  <c r="I34" i="36" s="1"/>
  <c r="K33" i="36"/>
  <c r="I33" i="36" s="1"/>
  <c r="K32" i="36"/>
  <c r="I32" i="36" s="1"/>
  <c r="K31" i="36"/>
  <c r="I31" i="36" s="1"/>
  <c r="K39" i="36"/>
  <c r="I39" i="36" s="1"/>
  <c r="K49" i="36"/>
  <c r="I49" i="36" s="1"/>
  <c r="K50" i="36"/>
  <c r="I50" i="36" s="1"/>
  <c r="K45" i="36"/>
  <c r="I45" i="36" s="1"/>
  <c r="K38" i="36"/>
  <c r="I38" i="36" s="1"/>
  <c r="K48" i="36"/>
  <c r="I48" i="36" s="1"/>
  <c r="K47" i="36"/>
  <c r="I47" i="36" s="1"/>
  <c r="K42" i="36"/>
  <c r="I42" i="36" s="1"/>
  <c r="K44" i="36"/>
  <c r="I44" i="36" s="1"/>
  <c r="K53" i="36"/>
  <c r="I53" i="36" s="1"/>
  <c r="K41" i="36"/>
  <c r="I41"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K16" i="36" l="1"/>
  <c r="I16" i="36" s="1"/>
  <c r="K13" i="36"/>
  <c r="I13" i="36" s="1"/>
  <c r="K12" i="36"/>
  <c r="I12" i="36" s="1"/>
  <c r="K30" i="36"/>
  <c r="I30" i="36" s="1"/>
  <c r="K29" i="36"/>
  <c r="I29" i="36"/>
  <c r="K26" i="36"/>
  <c r="I26" i="36" s="1"/>
  <c r="K28" i="36"/>
  <c r="I28" i="36" s="1"/>
  <c r="K19" i="36"/>
  <c r="I19" i="36" s="1"/>
  <c r="K7" i="36"/>
  <c r="I7" i="36" s="1"/>
  <c r="K8" i="36"/>
  <c r="I8" i="36" s="1"/>
  <c r="K11" i="36"/>
  <c r="I11" i="36" s="1"/>
  <c r="K21" i="36"/>
  <c r="I21" i="36" s="1"/>
  <c r="K22" i="36"/>
  <c r="I22" i="36" s="1"/>
  <c r="K25" i="36"/>
  <c r="I25" i="36" s="1"/>
  <c r="K9" i="36"/>
  <c r="I9" i="36" s="1"/>
  <c r="K20" i="36"/>
  <c r="I20" i="36" s="1"/>
  <c r="K10" i="36"/>
  <c r="I10" i="36" s="1"/>
  <c r="K17" i="36"/>
  <c r="I17" i="36" s="1"/>
  <c r="K14" i="36"/>
  <c r="I14" i="36" s="1"/>
  <c r="K24" i="36"/>
  <c r="I24" i="36" s="1"/>
  <c r="K23" i="36"/>
  <c r="I23" i="36" s="1"/>
  <c r="K15" i="36"/>
  <c r="I15" i="36" s="1"/>
  <c r="K2" i="36"/>
  <c r="I4" i="36"/>
  <c r="J19" i="32"/>
  <c r="H19" i="32" s="1"/>
  <c r="J4" i="33"/>
  <c r="H4" i="33" s="1"/>
  <c r="J23" i="32"/>
  <c r="H23" i="32" s="1"/>
  <c r="J31" i="33"/>
  <c r="H31" i="33" s="1"/>
  <c r="I3" i="36" l="1"/>
  <c r="I2" i="36"/>
  <c r="I5" i="36"/>
  <c r="I6"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<sst xmlns="http://schemas.openxmlformats.org/spreadsheetml/2006/main" count="16633" uniqueCount="741">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</sst>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4" borderId="0" xfId="0" applyFill="1" applyBorder="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220" workbookViewId="0">
      <selection sqref="A1:H243"/>
    </sheetView>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topLeftCell="A196" workbookViewId="0">
      <selection sqref="A1:H243"/>
    </sheetView>
    <sheetView workbookViewId="1"/>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 workbookViewId="1"/>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600</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599</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 workbookViewId="1"/>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6" workbookViewId="0">
      <selection activeCell="C102" sqref="C102"/>
    </sheetView>
    <sheetView tabSelected="1" topLeftCell="A88" workbookViewId="1">
      <selection activeCell="C106" sqref="C10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645</v>
      </c>
      <c r="B4" t="s">
        <v>646</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700</v>
      </c>
      <c r="B6" t="s">
        <v>695</v>
      </c>
      <c r="C6" s="36" t="str">
        <f t="shared" si="0"/>
        <v>Ali Nurgat (BOB CC)</v>
      </c>
    </row>
    <row r="7" spans="1:8" ht="14.25">
      <c r="A7" t="s">
        <v>595</v>
      </c>
      <c r="B7" t="s">
        <v>695</v>
      </c>
      <c r="C7" s="36" t="str">
        <f t="shared" si="0"/>
        <v>Mohammed Nurgat (BOB CC)</v>
      </c>
    </row>
    <row r="8" spans="1:8" ht="14.25">
      <c r="A8" t="s">
        <v>644</v>
      </c>
      <c r="B8" t="s">
        <v>695</v>
      </c>
      <c r="C8" s="36" t="str">
        <f t="shared" si="0"/>
        <v>Shareeq S. Shaikh (BOB CC)</v>
      </c>
    </row>
    <row r="9" spans="1:8" ht="14.25">
      <c r="A9" t="s">
        <v>649</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724</v>
      </c>
      <c r="B12" t="s">
        <v>478</v>
      </c>
      <c r="C12" s="36" t="str">
        <f t="shared" si="0"/>
        <v>Alex Williamson (Cov Tri)</v>
      </c>
    </row>
    <row r="13" spans="1:8" ht="14.25">
      <c r="A13" t="s">
        <v>725</v>
      </c>
      <c r="B13" t="s">
        <v>478</v>
      </c>
      <c r="C13" s="36" t="str">
        <f t="shared" si="0"/>
        <v>David Melhuish (Cov Tri)</v>
      </c>
    </row>
    <row r="14" spans="1:8" ht="14.25">
      <c r="A14" t="s">
        <v>477</v>
      </c>
      <c r="B14" t="s">
        <v>478</v>
      </c>
      <c r="C14" s="36" t="str">
        <f t="shared" si="0"/>
        <v>Jayne Mumford (W) (Cov Tri)</v>
      </c>
      <c r="D14" t="s">
        <v>372</v>
      </c>
    </row>
    <row r="15" spans="1:8" ht="14.25">
      <c r="A15" t="s">
        <v>479</v>
      </c>
      <c r="B15" t="s">
        <v>478</v>
      </c>
      <c r="C15" s="36" t="str">
        <f t="shared" si="0"/>
        <v>Simon Clarke (Cov Tri)</v>
      </c>
    </row>
    <row r="16" spans="1:8" ht="14.25">
      <c r="A16" t="s">
        <v>480</v>
      </c>
      <c r="B16" t="s">
        <v>481</v>
      </c>
      <c r="C16" s="36" t="str">
        <f t="shared" si="0"/>
        <v>Lydia Baxter (FTP Fusion)</v>
      </c>
      <c r="D16" t="s">
        <v>372</v>
      </c>
    </row>
    <row r="17" spans="1:4" ht="14.25">
      <c r="A17" t="s">
        <v>650</v>
      </c>
      <c r="B17" t="s">
        <v>648</v>
      </c>
      <c r="C17" s="36" t="str">
        <f t="shared" si="0"/>
        <v>Muhammad Sheikh (Gapped RT)</v>
      </c>
    </row>
    <row r="18" spans="1:4" ht="14.25">
      <c r="A18" t="s">
        <v>647</v>
      </c>
      <c r="B18" t="s">
        <v>648</v>
      </c>
      <c r="C18" s="36" t="str">
        <f t="shared" si="0"/>
        <v>Umair Nurgat (Gapped RT)</v>
      </c>
    </row>
    <row r="19" spans="1:4" ht="14.25">
      <c r="A19" t="s">
        <v>482</v>
      </c>
      <c r="B19" t="s">
        <v>397</v>
      </c>
      <c r="C19" s="36" t="str">
        <f t="shared" si="0"/>
        <v>Andy Thomas (HCRC)</v>
      </c>
    </row>
    <row r="20" spans="1:4" ht="14.25">
      <c r="A20" t="s">
        <v>483</v>
      </c>
      <c r="B20" t="s">
        <v>397</v>
      </c>
      <c r="C20" s="36" t="str">
        <f t="shared" si="0"/>
        <v>Colin Parkinson (SWRC) (HCRC)</v>
      </c>
    </row>
    <row r="21" spans="1:4" ht="14.25">
      <c r="A21" t="s">
        <v>705</v>
      </c>
      <c r="B21" t="s">
        <v>397</v>
      </c>
      <c r="C21" s="36" t="str">
        <f t="shared" si="0"/>
        <v>Joe Murray (M.I. Racing) (HCRC)</v>
      </c>
    </row>
    <row r="22" spans="1:4" ht="14.25">
      <c r="A22" t="s">
        <v>706</v>
      </c>
      <c r="B22" t="s">
        <v>397</v>
      </c>
      <c r="C22" s="36" t="str">
        <f t="shared" si="0"/>
        <v>Mick Wills (M.I. Racing) (HCRC)</v>
      </c>
    </row>
    <row r="23" spans="1:4" ht="14.25">
      <c r="A23" t="s">
        <v>484</v>
      </c>
      <c r="B23" t="s">
        <v>391</v>
      </c>
      <c r="C23" s="36" t="str">
        <f t="shared" si="0"/>
        <v>Andy King (KCC)</v>
      </c>
    </row>
    <row r="24" spans="1:4" ht="14.25">
      <c r="A24" t="s">
        <v>596</v>
      </c>
      <c r="B24" t="s">
        <v>391</v>
      </c>
      <c r="C24" s="36" t="str">
        <f t="shared" si="0"/>
        <v>Evan Collett (G Fox) (KCC)</v>
      </c>
    </row>
    <row r="25" spans="1:4" ht="14.25">
      <c r="A25" t="s">
        <v>628</v>
      </c>
      <c r="B25" t="s">
        <v>391</v>
      </c>
      <c r="C25" s="36" t="str">
        <f t="shared" si="0"/>
        <v>Ian Bird (KCC)</v>
      </c>
    </row>
    <row r="26" spans="1:4" ht="14.25">
      <c r="A26" t="s">
        <v>485</v>
      </c>
      <c r="B26" t="s">
        <v>391</v>
      </c>
      <c r="C26" s="36" t="str">
        <f t="shared" si="0"/>
        <v>Josh Brown (KCC)</v>
      </c>
    </row>
    <row r="27" spans="1:4" ht="14.25">
      <c r="A27" t="s">
        <v>589</v>
      </c>
      <c r="B27" t="s">
        <v>391</v>
      </c>
      <c r="C27" s="36" t="str">
        <f t="shared" si="0"/>
        <v>Maria Cayford (KCC)</v>
      </c>
      <c r="D27" t="s">
        <v>372</v>
      </c>
    </row>
    <row r="28" spans="1:4" ht="14.25">
      <c r="A28" t="s">
        <v>627</v>
      </c>
      <c r="B28" t="s">
        <v>391</v>
      </c>
      <c r="C28" s="36" t="str">
        <f t="shared" si="0"/>
        <v>Michael Wheeler (KCC)</v>
      </c>
    </row>
    <row r="29" spans="1:4" ht="14.25">
      <c r="A29" t="s">
        <v>486</v>
      </c>
      <c r="B29" t="s">
        <v>400</v>
      </c>
      <c r="C29" s="36" t="str">
        <f t="shared" si="0"/>
        <v>Harriet Hughes (LFCC)</v>
      </c>
      <c r="D29" t="s">
        <v>372</v>
      </c>
    </row>
    <row r="30" spans="1:4" ht="14.25">
      <c r="A30" t="s">
        <v>640</v>
      </c>
      <c r="B30" t="s">
        <v>400</v>
      </c>
      <c r="C30" s="36" t="str">
        <f t="shared" si="0"/>
        <v>Jeff Jones (LFCC)</v>
      </c>
    </row>
    <row r="31" spans="1:4" ht="14.25">
      <c r="A31" t="s">
        <v>641</v>
      </c>
      <c r="B31" t="s">
        <v>400</v>
      </c>
      <c r="C31" s="36" t="str">
        <f t="shared" si="0"/>
        <v>Joshua Jones (LFCC)</v>
      </c>
    </row>
    <row r="32" spans="1:4" ht="14.25">
      <c r="A32" t="s">
        <v>487</v>
      </c>
      <c r="B32" t="s">
        <v>400</v>
      </c>
      <c r="C32" s="36" t="str">
        <f t="shared" si="0"/>
        <v>Mat Mabe (LFCC)</v>
      </c>
    </row>
    <row r="33" spans="1:4" ht="14.25">
      <c r="A33" t="s">
        <v>488</v>
      </c>
      <c r="B33" t="s">
        <v>400</v>
      </c>
      <c r="C33" s="36" t="str">
        <f t="shared" si="0"/>
        <v>Matt Finch (LFCC)</v>
      </c>
    </row>
    <row r="34" spans="1:4" ht="14.25">
      <c r="A34" t="s">
        <v>489</v>
      </c>
      <c r="B34" t="s">
        <v>400</v>
      </c>
      <c r="C34" s="36" t="str">
        <f t="shared" si="0"/>
        <v>Morris Mabe (LFCC)</v>
      </c>
    </row>
    <row r="35" spans="1:4" ht="14.25">
      <c r="A35" t="s">
        <v>490</v>
      </c>
      <c r="B35" t="s">
        <v>400</v>
      </c>
      <c r="C35" s="36" t="str">
        <f t="shared" si="0"/>
        <v>Sam Nettel (LFCC)</v>
      </c>
    </row>
    <row r="36" spans="1:4" ht="14.25">
      <c r="A36" t="s">
        <v>642</v>
      </c>
      <c r="B36" t="s">
        <v>400</v>
      </c>
      <c r="C36" s="36" t="str">
        <f t="shared" ref="C36:C67" si="1">IF(ISBLANK(B36),IF(ISBLANK(A36),"",A36),_xlfn.CONCAT(A36," (",B36,")"))</f>
        <v>Simon Jones (LFCC)</v>
      </c>
    </row>
    <row r="37" spans="1:4" ht="14.25">
      <c r="A37" t="s">
        <v>696</v>
      </c>
      <c r="B37" t="s">
        <v>400</v>
      </c>
      <c r="C37" s="36" t="str">
        <f t="shared" si="1"/>
        <v>Steve Walsh (LFCC)</v>
      </c>
    </row>
    <row r="38" spans="1:4" ht="14.25">
      <c r="A38" t="s">
        <v>491</v>
      </c>
      <c r="B38" t="s">
        <v>400</v>
      </c>
      <c r="C38" s="36" t="str">
        <f t="shared" si="1"/>
        <v>Talles Medevives (LFCC)</v>
      </c>
    </row>
    <row r="39" spans="1:4" ht="14.25">
      <c r="A39" t="s">
        <v>492</v>
      </c>
      <c r="B39" t="s">
        <v>493</v>
      </c>
      <c r="C39" s="36" t="str">
        <f t="shared" si="1"/>
        <v>Dean Tacey (LRC)</v>
      </c>
    </row>
    <row r="40" spans="1:4" ht="14.25">
      <c r="A40" t="s">
        <v>723</v>
      </c>
      <c r="B40" t="s">
        <v>707</v>
      </c>
      <c r="C40" s="36" t="str">
        <f t="shared" si="1"/>
        <v>Mark Wise (M.I. Racing)</v>
      </c>
    </row>
    <row r="41" spans="1:4" ht="14.25">
      <c r="A41" t="s">
        <v>704</v>
      </c>
      <c r="B41" t="s">
        <v>707</v>
      </c>
      <c r="C41" s="36" t="str">
        <f t="shared" si="1"/>
        <v>Zoe Shepherd (M.I. Racing)</v>
      </c>
    </row>
    <row r="42" spans="1:4" ht="14.25">
      <c r="A42" t="s">
        <v>494</v>
      </c>
      <c r="B42" t="s">
        <v>495</v>
      </c>
      <c r="C42" s="36" t="str">
        <f t="shared" si="1"/>
        <v>Chris Booth (MOCC)</v>
      </c>
    </row>
    <row r="43" spans="1:4" ht="14.25">
      <c r="A43" t="s">
        <v>496</v>
      </c>
      <c r="B43" t="s">
        <v>495</v>
      </c>
      <c r="C43" s="36" t="str">
        <f t="shared" si="1"/>
        <v>David Cooper (MOCC)</v>
      </c>
    </row>
    <row r="44" spans="1:4" ht="14.25">
      <c r="A44" t="s">
        <v>497</v>
      </c>
      <c r="B44" t="s">
        <v>495</v>
      </c>
      <c r="C44" s="36" t="str">
        <f t="shared" si="1"/>
        <v>Jamie Haines (MOCC)</v>
      </c>
    </row>
    <row r="45" spans="1:4" ht="14.25">
      <c r="A45" t="s">
        <v>701</v>
      </c>
      <c r="B45" t="s">
        <v>495</v>
      </c>
      <c r="C45" s="36" t="str">
        <f t="shared" si="1"/>
        <v>Laura Ayres (MOCC)</v>
      </c>
      <c r="D45" t="s">
        <v>372</v>
      </c>
    </row>
    <row r="46" spans="1:4" ht="14.25">
      <c r="A46" t="s">
        <v>499</v>
      </c>
      <c r="B46" t="s">
        <v>500</v>
      </c>
      <c r="C46" s="36" t="str">
        <f t="shared" si="1"/>
        <v>Lewis Cooper (RAF Tri)</v>
      </c>
    </row>
    <row r="47" spans="1:4" ht="14.25">
      <c r="A47" t="s">
        <v>501</v>
      </c>
      <c r="B47" t="s">
        <v>394</v>
      </c>
      <c r="C47" s="36" t="str">
        <f t="shared" si="1"/>
        <v>Alex Whitmore (Ratae)</v>
      </c>
    </row>
    <row r="48" spans="1:4" ht="14.25">
      <c r="A48" t="s">
        <v>502</v>
      </c>
      <c r="B48" t="s">
        <v>394</v>
      </c>
      <c r="C48" s="36" t="str">
        <f t="shared" si="1"/>
        <v>Brian Lincoln (Ratae)</v>
      </c>
    </row>
    <row r="49" spans="1:4" ht="14.25">
      <c r="A49" t="s">
        <v>664</v>
      </c>
      <c r="B49" t="s">
        <v>394</v>
      </c>
      <c r="C49" s="36" t="str">
        <f t="shared" si="1"/>
        <v>Brigitte Gaillard (Ratae)</v>
      </c>
      <c r="D49" t="s">
        <v>372</v>
      </c>
    </row>
    <row r="50" spans="1:4" ht="14.25">
      <c r="A50" t="s">
        <v>503</v>
      </c>
      <c r="B50" t="s">
        <v>394</v>
      </c>
      <c r="C50" s="36" t="str">
        <f t="shared" si="1"/>
        <v>Chris Bonsor (Ratae)</v>
      </c>
    </row>
    <row r="51" spans="1:4" ht="14.25">
      <c r="A51" t="s">
        <v>504</v>
      </c>
      <c r="B51" t="s">
        <v>394</v>
      </c>
      <c r="C51" s="36" t="str">
        <f t="shared" si="1"/>
        <v>Chris Spray (Ratae)</v>
      </c>
    </row>
    <row r="52" spans="1:4" ht="14.25">
      <c r="A52" t="s">
        <v>505</v>
      </c>
      <c r="B52" t="s">
        <v>394</v>
      </c>
      <c r="C52" s="36" t="str">
        <f t="shared" si="1"/>
        <v>Debbie Cooper (Ratae)</v>
      </c>
      <c r="D52" t="s">
        <v>372</v>
      </c>
    </row>
    <row r="53" spans="1:4" ht="14.25">
      <c r="A53" t="s">
        <v>506</v>
      </c>
      <c r="B53" t="s">
        <v>394</v>
      </c>
      <c r="C53" s="36" t="str">
        <f t="shared" si="1"/>
        <v>Ed Watson (Ratae)</v>
      </c>
    </row>
    <row r="54" spans="1:4" ht="14.25">
      <c r="A54" t="s">
        <v>581</v>
      </c>
      <c r="B54" s="63" t="s">
        <v>394</v>
      </c>
      <c r="C54" s="36" t="str">
        <f t="shared" si="1"/>
        <v>Geoff Stanbridge (Ratae)</v>
      </c>
    </row>
    <row r="55" spans="1:4" ht="14.25">
      <c r="A55" t="s">
        <v>507</v>
      </c>
      <c r="B55" t="s">
        <v>394</v>
      </c>
      <c r="C55" s="36" t="str">
        <f t="shared" si="1"/>
        <v>Jonathon Clarke (Ratae)</v>
      </c>
      <c r="D55" s="36"/>
    </row>
    <row r="56" spans="1:4" ht="14.25">
      <c r="A56" t="s">
        <v>651</v>
      </c>
      <c r="B56" t="s">
        <v>394</v>
      </c>
      <c r="C56" s="36" t="str">
        <f t="shared" si="1"/>
        <v>Karl Williams (Ratae)</v>
      </c>
    </row>
    <row r="57" spans="1:4" ht="14.25">
      <c r="A57" t="s">
        <v>508</v>
      </c>
      <c r="B57" t="s">
        <v>394</v>
      </c>
      <c r="C57" s="36" t="str">
        <f t="shared" si="1"/>
        <v>Lesley Allden (Ratae)</v>
      </c>
      <c r="D57" t="s">
        <v>372</v>
      </c>
    </row>
    <row r="58" spans="1:4" ht="14.25">
      <c r="A58" t="s">
        <v>509</v>
      </c>
      <c r="B58" t="s">
        <v>394</v>
      </c>
      <c r="C58" s="36" t="str">
        <f t="shared" si="1"/>
        <v>Lucy Sturgess (Ratae)</v>
      </c>
      <c r="D58" t="s">
        <v>372</v>
      </c>
    </row>
    <row r="59" spans="1:4" ht="14.25">
      <c r="A59" t="s">
        <v>510</v>
      </c>
      <c r="B59" t="s">
        <v>394</v>
      </c>
      <c r="C59" s="36" t="str">
        <f t="shared" si="1"/>
        <v>Mark Marmoy (Ratae)</v>
      </c>
    </row>
    <row r="60" spans="1:4" ht="14.25">
      <c r="A60" t="s">
        <v>511</v>
      </c>
      <c r="B60" t="s">
        <v>394</v>
      </c>
      <c r="C60" s="36" t="str">
        <f t="shared" si="1"/>
        <v>Mark Newton (Ratae)</v>
      </c>
    </row>
    <row r="61" spans="1:4" ht="14.25">
      <c r="A61" t="s">
        <v>512</v>
      </c>
      <c r="B61" t="s">
        <v>394</v>
      </c>
      <c r="C61" s="36" t="str">
        <f t="shared" si="1"/>
        <v>Marshall Briggs (Ratae)</v>
      </c>
    </row>
    <row r="62" spans="1:4" ht="14.25">
      <c r="A62" t="s">
        <v>513</v>
      </c>
      <c r="B62" t="s">
        <v>394</v>
      </c>
      <c r="C62" s="36" t="str">
        <f t="shared" si="1"/>
        <v>Natalie Harris (Ratae)</v>
      </c>
      <c r="D62" t="s">
        <v>372</v>
      </c>
    </row>
    <row r="63" spans="1:4" ht="14.25">
      <c r="A63" t="s">
        <v>514</v>
      </c>
      <c r="B63" t="s">
        <v>394</v>
      </c>
      <c r="C63" s="36" t="str">
        <f t="shared" si="1"/>
        <v>Paul Eden (Ratae)</v>
      </c>
    </row>
    <row r="64" spans="1:4" ht="14.25">
      <c r="A64" t="s">
        <v>665</v>
      </c>
      <c r="B64" t="s">
        <v>394</v>
      </c>
      <c r="C64" s="36" t="str">
        <f t="shared" si="1"/>
        <v>Peter Kott (Ratae)</v>
      </c>
    </row>
    <row r="65" spans="1:4" ht="14.25">
      <c r="A65" t="s">
        <v>515</v>
      </c>
      <c r="B65" t="s">
        <v>394</v>
      </c>
      <c r="C65" s="36" t="str">
        <f t="shared" si="1"/>
        <v>Sadie Murphy (Ratae)</v>
      </c>
      <c r="D65" t="s">
        <v>372</v>
      </c>
    </row>
    <row r="66" spans="1:4" ht="14.25">
      <c r="A66" t="s">
        <v>516</v>
      </c>
      <c r="B66" t="s">
        <v>394</v>
      </c>
      <c r="C66" s="36" t="str">
        <f t="shared" si="1"/>
        <v>Steve Pearce (Ratae)</v>
      </c>
    </row>
    <row r="67" spans="1:4" ht="14.25">
      <c r="A67" t="s">
        <v>643</v>
      </c>
      <c r="B67" t="s">
        <v>394</v>
      </c>
      <c r="C67" s="36" t="str">
        <f t="shared" si="1"/>
        <v>Sue Bonsor (Ratae)</v>
      </c>
      <c r="D67" t="s">
        <v>372</v>
      </c>
    </row>
    <row r="68" spans="1:4" ht="14.25">
      <c r="A68" t="s">
        <v>517</v>
      </c>
      <c r="B68" t="s">
        <v>385</v>
      </c>
      <c r="C68" s="36" t="str">
        <f t="shared" ref="C68:C99" si="2">IF(ISBLANK(B68),IF(ISBLANK(A68),"",A68),_xlfn.CONCAT(A68," (",B68,")"))</f>
        <v>Adam Wells (RFW)</v>
      </c>
    </row>
    <row r="69" spans="1:4" ht="14.25">
      <c r="A69" t="s">
        <v>593</v>
      </c>
      <c r="B69" t="s">
        <v>385</v>
      </c>
      <c r="C69" s="36" t="str">
        <f t="shared" si="2"/>
        <v>Alex Barrowman (RFW)</v>
      </c>
    </row>
    <row r="70" spans="1:4" ht="14.25">
      <c r="A70" t="s">
        <v>518</v>
      </c>
      <c r="B70" t="s">
        <v>385</v>
      </c>
      <c r="C70" s="36" t="str">
        <f t="shared" si="2"/>
        <v>Anne Gilhespy (RFW)</v>
      </c>
      <c r="D70" t="s">
        <v>372</v>
      </c>
    </row>
    <row r="71" spans="1:4" ht="14.25">
      <c r="A71" t="s">
        <v>519</v>
      </c>
      <c r="B71" t="s">
        <v>385</v>
      </c>
      <c r="C71" s="36" t="str">
        <f t="shared" si="2"/>
        <v>Chris Fowler (RFW)</v>
      </c>
    </row>
    <row r="72" spans="1:4" ht="14.25">
      <c r="A72" t="s">
        <v>520</v>
      </c>
      <c r="B72" t="s">
        <v>385</v>
      </c>
      <c r="C72" s="36" t="str">
        <f t="shared" si="2"/>
        <v>Dan Hempkin (RFW)</v>
      </c>
    </row>
    <row r="73" spans="1:4" ht="14.25">
      <c r="A73" t="s">
        <v>521</v>
      </c>
      <c r="B73" t="s">
        <v>385</v>
      </c>
      <c r="C73" s="36" t="str">
        <f t="shared" si="2"/>
        <v>David Hill (RFW)</v>
      </c>
    </row>
    <row r="74" spans="1:4" ht="14.25">
      <c r="A74" t="s">
        <v>636</v>
      </c>
      <c r="B74" t="s">
        <v>385</v>
      </c>
      <c r="C74" s="36" t="str">
        <f t="shared" si="2"/>
        <v>Ethan Mitchell-Clarke (Team Bottrill Nopinz) (RFW)</v>
      </c>
    </row>
    <row r="75" spans="1:4" ht="14.25">
      <c r="A75" t="s">
        <v>522</v>
      </c>
      <c r="B75" t="s">
        <v>385</v>
      </c>
      <c r="C75" s="36" t="str">
        <f t="shared" si="2"/>
        <v>Giles Cooper (RFW)</v>
      </c>
    </row>
    <row r="76" spans="1:4" ht="14.25">
      <c r="A76" t="s">
        <v>588</v>
      </c>
      <c r="B76" t="s">
        <v>385</v>
      </c>
      <c r="C76" s="36" t="str">
        <f t="shared" si="2"/>
        <v>Graeme Hall (RFW)</v>
      </c>
    </row>
    <row r="77" spans="1:4" ht="14.25">
      <c r="A77" t="s">
        <v>523</v>
      </c>
      <c r="B77" t="s">
        <v>385</v>
      </c>
      <c r="C77" s="36" t="str">
        <f t="shared" si="2"/>
        <v>Gregg Payne (RFW)</v>
      </c>
    </row>
    <row r="78" spans="1:4" ht="14.25">
      <c r="A78" t="s">
        <v>592</v>
      </c>
      <c r="B78" t="s">
        <v>385</v>
      </c>
      <c r="C78" s="36" t="str">
        <f t="shared" si="2"/>
        <v>Hudson Hendry (Ride Revolution) (RFW)</v>
      </c>
    </row>
    <row r="79" spans="1:4" ht="14.25">
      <c r="A79" t="s">
        <v>594</v>
      </c>
      <c r="B79" t="s">
        <v>385</v>
      </c>
      <c r="C79" s="36" t="str">
        <f t="shared" si="2"/>
        <v>Laurence Noble (RFW)</v>
      </c>
    </row>
    <row r="80" spans="1:4" ht="14.25">
      <c r="A80" t="s">
        <v>524</v>
      </c>
      <c r="B80" t="s">
        <v>385</v>
      </c>
      <c r="C80" s="36" t="str">
        <f t="shared" si="2"/>
        <v>Lynne Scofield (RFW)</v>
      </c>
      <c r="D80" t="s">
        <v>372</v>
      </c>
    </row>
    <row r="81" spans="1:4" ht="14.25">
      <c r="A81" t="s">
        <v>525</v>
      </c>
      <c r="B81" t="s">
        <v>385</v>
      </c>
      <c r="C81" s="36" t="str">
        <f t="shared" si="2"/>
        <v>Lynne Wilkinson-Scofield (RFW)</v>
      </c>
      <c r="D81" t="s">
        <v>372</v>
      </c>
    </row>
    <row r="82" spans="1:4" ht="14.25">
      <c r="A82" t="s">
        <v>526</v>
      </c>
      <c r="B82" t="s">
        <v>385</v>
      </c>
      <c r="C82" s="36" t="str">
        <f t="shared" si="2"/>
        <v>Michael Carter (RFW)</v>
      </c>
    </row>
    <row r="83" spans="1:4" ht="14.25">
      <c r="A83" s="63" t="s">
        <v>577</v>
      </c>
      <c r="B83" t="s">
        <v>385</v>
      </c>
      <c r="C83" s="36" t="str">
        <f t="shared" si="2"/>
        <v>Mike Deely (G Fox) (RFW)</v>
      </c>
    </row>
    <row r="84" spans="1:4" ht="14.25">
      <c r="A84" t="s">
        <v>514</v>
      </c>
      <c r="B84" t="s">
        <v>385</v>
      </c>
      <c r="C84" s="36" t="str">
        <f t="shared" si="2"/>
        <v>Paul Eden (RFW)</v>
      </c>
    </row>
    <row r="85" spans="1:4" ht="14.25">
      <c r="A85" t="s">
        <v>527</v>
      </c>
      <c r="B85" t="s">
        <v>385</v>
      </c>
      <c r="C85" s="36" t="str">
        <f t="shared" si="2"/>
        <v>Paul Russell (RFW)</v>
      </c>
    </row>
    <row r="86" spans="1:4" ht="14.25">
      <c r="A86" t="s">
        <v>528</v>
      </c>
      <c r="B86" t="s">
        <v>385</v>
      </c>
      <c r="C86" s="36" t="str">
        <f t="shared" si="2"/>
        <v>Paul Ryan (RFW)</v>
      </c>
    </row>
    <row r="87" spans="1:4" ht="14.25">
      <c r="A87" t="s">
        <v>637</v>
      </c>
      <c r="B87" t="s">
        <v>385</v>
      </c>
      <c r="C87" s="36" t="str">
        <f t="shared" si="2"/>
        <v>Pete Bradshaw (RFW)</v>
      </c>
    </row>
    <row r="88" spans="1:4" ht="14.25">
      <c r="A88" t="s">
        <v>529</v>
      </c>
      <c r="B88" t="s">
        <v>385</v>
      </c>
      <c r="C88" s="36" t="str">
        <f t="shared" si="2"/>
        <v>Phil Wilkinson (RFW)</v>
      </c>
    </row>
    <row r="89" spans="1:4" ht="14.25">
      <c r="A89" t="s">
        <v>590</v>
      </c>
      <c r="B89" t="s">
        <v>385</v>
      </c>
      <c r="C89" s="36" t="str">
        <f t="shared" si="2"/>
        <v>Steve Coombs (RFW)</v>
      </c>
    </row>
    <row r="90" spans="1:4" ht="14.25">
      <c r="A90" t="s">
        <v>591</v>
      </c>
      <c r="B90" t="s">
        <v>385</v>
      </c>
      <c r="C90" s="36" t="str">
        <f t="shared" si="2"/>
        <v>Steve Wickham (RFW)</v>
      </c>
    </row>
    <row r="91" spans="1:4" ht="14.25">
      <c r="A91" t="s">
        <v>531</v>
      </c>
      <c r="B91" t="s">
        <v>532</v>
      </c>
      <c r="C91" s="36" t="str">
        <f t="shared" si="2"/>
        <v>Adrian James (Rugby RCC)</v>
      </c>
    </row>
    <row r="92" spans="1:4" ht="14.25">
      <c r="A92" t="s">
        <v>533</v>
      </c>
      <c r="B92" t="s">
        <v>534</v>
      </c>
      <c r="C92" s="36" t="str">
        <f t="shared" si="2"/>
        <v>Carl Shaw (Speedhub)</v>
      </c>
    </row>
    <row r="93" spans="1:4" ht="14.25">
      <c r="A93" t="s">
        <v>697</v>
      </c>
      <c r="B93" t="s">
        <v>534</v>
      </c>
      <c r="C93" s="36" t="str">
        <f t="shared" si="2"/>
        <v>Tom Swan (Speedhub)</v>
      </c>
    </row>
    <row r="94" spans="1:4" ht="14.25">
      <c r="A94" t="s">
        <v>535</v>
      </c>
      <c r="B94" t="s">
        <v>536</v>
      </c>
      <c r="C94" s="36" t="str">
        <f t="shared" si="2"/>
        <v>Oliver Searle (St Ives CC)</v>
      </c>
    </row>
    <row r="95" spans="1:4" ht="14.25">
      <c r="A95" t="s">
        <v>698</v>
      </c>
      <c r="B95" t="s">
        <v>699</v>
      </c>
      <c r="C95" s="36" t="str">
        <f t="shared" si="2"/>
        <v>Tom Scott-Collins (Velo Elite)</v>
      </c>
    </row>
    <row r="96" spans="1:4" ht="14.25">
      <c r="A96" t="s">
        <v>702</v>
      </c>
      <c r="B96" t="s">
        <v>703</v>
      </c>
      <c r="C96" s="36" t="str">
        <f t="shared" si="2"/>
        <v>Paul Akroyd (VTTA E.Mids)</v>
      </c>
    </row>
    <row r="97" spans="1:4" ht="14.25">
      <c r="A97" t="s">
        <v>634</v>
      </c>
      <c r="B97" t="s">
        <v>388</v>
      </c>
      <c r="C97" s="36" t="str">
        <f t="shared" si="2"/>
        <v>Ed Tarelli (Race Hub) (WVCC)</v>
      </c>
      <c r="D97" s="36"/>
    </row>
    <row r="98" spans="1:4" ht="14.25">
      <c r="A98" t="s">
        <v>633</v>
      </c>
      <c r="B98" t="s">
        <v>388</v>
      </c>
      <c r="C98" s="36" t="str">
        <f t="shared" si="2"/>
        <v>Jamie Kershaw (Beeston CC) (WVCC)</v>
      </c>
    </row>
    <row r="99" spans="1:4" ht="14.25">
      <c r="A99" t="s">
        <v>635</v>
      </c>
      <c r="B99" t="s">
        <v>388</v>
      </c>
      <c r="C99" s="36" t="str">
        <f t="shared" si="2"/>
        <v>Jennifer Clegg (Team Bottrill Nopinz) (WVCC)</v>
      </c>
      <c r="D99" t="s">
        <v>372</v>
      </c>
    </row>
    <row r="100" spans="1:4" ht="14.25">
      <c r="A100" t="s">
        <v>631</v>
      </c>
      <c r="B100" t="s">
        <v>388</v>
      </c>
      <c r="C100" s="36" t="str">
        <f t="shared" ref="C100:C131" si="3">IF(ISBLANK(B100),IF(ISBLANK(A100),"",A100),_xlfn.CONCAT(A100," (",B100,")"))</f>
        <v>Leah Cuthbertson (G Fox) (WVCC)</v>
      </c>
      <c r="D100" t="s">
        <v>372</v>
      </c>
    </row>
    <row r="101" spans="1:4" ht="14.25">
      <c r="A101" t="s">
        <v>632</v>
      </c>
      <c r="B101" t="s">
        <v>388</v>
      </c>
      <c r="C101" s="36" t="str">
        <f t="shared" si="3"/>
        <v>Ruby Isaac (CAMS Majaco) (WVCC)</v>
      </c>
      <c r="D101" t="s">
        <v>372</v>
      </c>
    </row>
    <row r="102" spans="1:4" ht="14.25">
      <c r="A102" t="s">
        <v>726</v>
      </c>
      <c r="B102" t="s">
        <v>400</v>
      </c>
      <c r="C102" s="36" t="str">
        <f t="shared" ref="C102:C107" si="4">IF(ISBLANK(B102),IF(ISBLANK(A102),"",A102),_xlfn.CONCAT(A102," (",B102,")"))</f>
        <v>Josh Jones (LFCC)</v>
      </c>
    </row>
    <row r="103" spans="1:4" ht="14.25">
      <c r="A103" t="s">
        <v>727</v>
      </c>
      <c r="B103" t="s">
        <v>707</v>
      </c>
      <c r="C103" s="36" t="str">
        <f t="shared" si="4"/>
        <v>David Mead (M.I. Racing)</v>
      </c>
    </row>
    <row r="104" spans="1:4" ht="14.25">
      <c r="A104" t="s">
        <v>731</v>
      </c>
      <c r="B104" t="s">
        <v>475</v>
      </c>
      <c r="C104" s="36" t="str">
        <f t="shared" si="4"/>
        <v>D Alexander (Coalville Wheelers)</v>
      </c>
    </row>
    <row r="105" spans="1:4" ht="14.25">
      <c r="A105" t="s">
        <v>737</v>
      </c>
      <c r="B105" t="s">
        <v>707</v>
      </c>
      <c r="C105" s="36" t="str">
        <f t="shared" si="4"/>
        <v>Simon Law (M.I. Racing)</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101">
    <sortCondition ref="B2:B101"/>
    <sortCondition ref="A2:A101"/>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553</v>
      </c>
      <c r="C103" t="str" cm="1">
        <f t="array" aca="1" ref="C103" ca="1">MID(CELL("filename",B1),FIND("]",CELL("filename",B1))+1,255)</f>
        <v>Event_07</v>
      </c>
    </row>
    <row r="104" spans="1:10">
      <c r="B104" t="s">
        <v>554</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Event_08</v>
      </c>
    </row>
    <row r="104" spans="1:10">
      <c r="B104" t="s">
        <v>554</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Event_09</v>
      </c>
    </row>
    <row r="104" spans="1:10">
      <c r="B104" t="s">
        <v>554</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 workbookViewId="1"/>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 workbookViewId="1"/>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 workbookViewId="1"/>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 workbookViewId="1"/>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16" workbookViewId="0">
      <selection activeCell="A21" sqref="A21:XFD21"/>
    </sheetView>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f t="shared" si="3"/>
        <v>735</v>
      </c>
      <c r="C50" s="48"/>
      <c r="D50" s="49">
        <v>24</v>
      </c>
      <c r="E50" s="49">
        <v>33</v>
      </c>
      <c r="F50" s="49"/>
      <c r="G50" s="49"/>
      <c r="H50" s="50" t="str">
        <f>IF($B50="","",IF($J50="X",B50,CONCATENATE(VLOOKUP(B50,Competitors!$A$2:$I$650,3,FALSE)," ",VLOOKUP(B50,Competitors!$A$2:$I$650,2,FALSE))))</f>
        <v>Michael Burke</v>
      </c>
      <c r="I50" s="51">
        <f t="shared" si="1"/>
        <v>1.7048611111111112E-2</v>
      </c>
      <c r="J50" t="str">
        <f t="shared" si="2"/>
        <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553</v>
      </c>
      <c r="C103" t="str" cm="1">
        <f t="array" aca="1" ref="C103" ca="1">MID(CELL("filename",B1),FIND("]",CELL("filename",B1))+1,255)</f>
        <v>Event_15</v>
      </c>
    </row>
    <row r="104" spans="1:10">
      <c r="B104" t="s">
        <v>554</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election activeCell="A17" sqref="A17"/>
    </sheetView>
    <sheetView workbookViewId="1"/>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 workbookViewId="1"/>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_xlfn.XLOOKUP(D103,Calendar!N:N,Calendar!H:H,"Event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abSelected="1" topLeftCell="A10" workbookViewId="0">
      <selection activeCell="G32" sqref="G32"/>
    </sheetView>
    <sheetView workbookViewId="1"/>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70" t="s">
        <v>461</v>
      </c>
      <c r="B2" s="47">
        <f>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IF(LEFT($G2,1)="D",UPPER($G2),(D2*3600+E2*60+F2)/86400)</f>
        <v>2.179398148148148E-2</v>
      </c>
      <c r="K2" t="str">
        <f>IF(OR(B2="",ISNUMBER(B2)),"","X")</f>
        <v/>
      </c>
    </row>
    <row r="3" spans="1:11" ht="15">
      <c r="A3" s="46" t="s">
        <v>516</v>
      </c>
      <c r="B3" s="47" t="str">
        <f>IF(A3="","",_xlfn.XLOOKUP(A3,ClubNames,ClubNumbers,_xlfn.XLOOKUP(A3,RoundRobinRiderNames,RoundRobinRiderDecoratedNames,A3)))</f>
        <v>Steve Pearce (Ratae)</v>
      </c>
      <c r="C3" s="47" t="s">
        <v>722</v>
      </c>
      <c r="D3" s="48"/>
      <c r="E3" s="49">
        <v>25</v>
      </c>
      <c r="F3" s="49">
        <v>43</v>
      </c>
      <c r="G3" s="49"/>
      <c r="H3" s="49"/>
      <c r="I3" s="50" t="str">
        <f>IF($B3="","",IF($K3="X",B3,CONCATENATE(VLOOKUP(B3,Competitors!$A$2:$I$650,3,FALSE)," ",VLOOKUP(B3,Competitors!$A$2:$I$650,2,FALSE))))</f>
        <v>Steve Pearce (Ratae)</v>
      </c>
      <c r="J3" s="51">
        <f>IF(LEFT($G3,1)="D",UPPER($G3),(D3*3600+E3*60+F3)/86400)</f>
        <v>1.7858796296296296E-2</v>
      </c>
      <c r="K3" t="str">
        <f>IF(OR(B3="",ISNUMBER(B3)),"","X")</f>
        <v>X</v>
      </c>
    </row>
    <row r="4" spans="1:11" ht="15">
      <c r="A4" s="46" t="s">
        <v>512</v>
      </c>
      <c r="B4" s="47" t="str">
        <f>IF(A4="","",_xlfn.XLOOKUP(A4,ClubNames,ClubNumbers,_xlfn.XLOOKUP(A4,RoundRobinRiderNames,RoundRobinRiderDecoratedNames,A4)))</f>
        <v>Marshall Briggs (Ratae)</v>
      </c>
      <c r="C4" s="47" t="s">
        <v>716</v>
      </c>
      <c r="D4" s="48"/>
      <c r="E4" s="49">
        <v>25</v>
      </c>
      <c r="F4" s="49">
        <v>49</v>
      </c>
      <c r="G4" s="49"/>
      <c r="H4" s="49"/>
      <c r="I4" s="50" t="str">
        <f>IF($B4="","",IF($K4="X",B4,CONCATENATE(VLOOKUP(B4,Competitors!$A$2:$I$650,3,FALSE)," ",VLOOKUP(B4,Competitors!$A$2:$I$650,2,FALSE))))</f>
        <v>Marshall Briggs (Ratae)</v>
      </c>
      <c r="J4" s="51">
        <f>IF(LEFT($G4,1)="D",UPPER($G4),(D4*3600+E4*60+F4)/86400)</f>
        <v>1.7928240740740741E-2</v>
      </c>
      <c r="K4" t="str">
        <f>IF(OR(B4="",ISNUMBER(B4)),"","X")</f>
        <v>X</v>
      </c>
    </row>
    <row r="5" spans="1:11" ht="15">
      <c r="A5" s="46" t="s">
        <v>626</v>
      </c>
      <c r="B5" s="47">
        <f>IF(A5="","",_xlfn.XLOOKUP(A5,ClubNames,ClubNumbers,_xlfn.XLOOKUP(A5,RoundRobinRiderNames,RoundRobinRiderDecoratedNames,A5)))</f>
        <v>990</v>
      </c>
      <c r="C5" s="47" t="s">
        <v>717</v>
      </c>
      <c r="D5" s="48"/>
      <c r="E5" s="49">
        <v>31</v>
      </c>
      <c r="F5" s="49">
        <v>35</v>
      </c>
      <c r="G5" s="49" t="s">
        <v>546</v>
      </c>
      <c r="H5" s="49"/>
      <c r="I5" s="50" t="str">
        <f>IF($B5="","",IF($K5="X",B5,CONCATENATE(VLOOKUP(B5,Competitors!$A$2:$I$650,3,FALSE)," ",VLOOKUP(B5,Competitors!$A$2:$I$650,2,FALSE))))</f>
        <v>Jen Hulme</v>
      </c>
      <c r="J5" s="51">
        <f>IF(LEFT($G5,1)="D",UPPER($G5),(D5*3600+E5*60+F5)/86400)</f>
        <v>2.193287037037037E-2</v>
      </c>
      <c r="K5" t="str">
        <f>IF(OR(B5="",ISNUMBER(B5)),"","X")</f>
        <v/>
      </c>
    </row>
    <row r="6" spans="1:11" ht="15">
      <c r="A6" s="46" t="s">
        <v>581</v>
      </c>
      <c r="B6" s="47" t="str">
        <f>IF(A6="","",_xlfn.XLOOKUP(A6,ClubNames,ClubNumbers,_xlfn.XLOOKUP(A6,RoundRobinRiderNames,RoundRobinRiderDecoratedNames,A6)))</f>
        <v>Geoff Stanbridge (Ratae)</v>
      </c>
      <c r="C6" s="47" t="s">
        <v>718</v>
      </c>
      <c r="D6" s="48"/>
      <c r="E6" s="49">
        <v>37</v>
      </c>
      <c r="F6" s="49">
        <v>13</v>
      </c>
      <c r="G6" s="49" t="s">
        <v>546</v>
      </c>
      <c r="H6" s="49"/>
      <c r="I6" s="50" t="str">
        <f>IF($B6="","",IF($K6="X",B6,CONCATENATE(VLOOKUP(B6,Competitors!$A$2:$I$650,3,FALSE)," ",VLOOKUP(B6,Competitors!$A$2:$I$650,2,FALSE))))</f>
        <v>Geoff Stanbridge (Ratae)</v>
      </c>
      <c r="J6" s="51">
        <f>IF(LEFT($G6,1)="D",UPPER($G6),(D6*3600+E6*60+F6)/86400)</f>
        <v>2.5844907407407407E-2</v>
      </c>
      <c r="K6" t="str">
        <f>IF(OR(B6="",ISNUMBER(B6)),"","X")</f>
        <v>X</v>
      </c>
    </row>
    <row r="7" spans="1:11" ht="15">
      <c r="A7" s="46" t="s">
        <v>664</v>
      </c>
      <c r="B7" s="47" t="str">
        <f>IF(A7="","",_xlfn.XLOOKUP(A7,ClubNames,ClubNumbers,_xlfn.XLOOKUP(A7,RoundRobinRiderNames,RoundRobinRiderDecoratedNames,A7)))</f>
        <v>Brigitte Gaillard (Ratae)</v>
      </c>
      <c r="C7" s="47" t="s">
        <v>714</v>
      </c>
      <c r="D7" s="48"/>
      <c r="E7" s="49">
        <v>29</v>
      </c>
      <c r="F7" s="49">
        <v>53</v>
      </c>
      <c r="G7" s="49" t="s">
        <v>546</v>
      </c>
      <c r="H7" s="49"/>
      <c r="I7" s="50" t="str">
        <f>IF($B7="","",IF($K7="X",B7,CONCATENATE(VLOOKUP(B7,Competitors!$A$2:$I$650,3,FALSE)," ",VLOOKUP(B7,Competitors!$A$2:$I$650,2,FALSE))))</f>
        <v>Brigitte Gaillard (Ratae)</v>
      </c>
      <c r="J7" s="51">
        <f>IF(LEFT($G7,1)="D",UPPER($G7),(D7*3600+E7*60+F7)/86400)</f>
        <v>2.0752314814814814E-2</v>
      </c>
      <c r="K7" t="str">
        <f>IF(OR(B7="",ISNUMBER(B7)),"","X")</f>
        <v>X</v>
      </c>
    </row>
    <row r="8" spans="1:11" ht="15">
      <c r="A8" s="46" t="s">
        <v>696</v>
      </c>
      <c r="B8" s="47" t="str">
        <f>IF(A8="","",_xlfn.XLOOKUP(A8,ClubNames,ClubNumbers,_xlfn.XLOOKUP(A8,RoundRobinRiderNames,RoundRobinRiderDecoratedNames,A8)))</f>
        <v>Steve Walsh (LFCC)</v>
      </c>
      <c r="C8" s="47" t="s">
        <v>719</v>
      </c>
      <c r="D8" s="48"/>
      <c r="E8" s="49">
        <v>28</v>
      </c>
      <c r="F8" s="49">
        <v>20</v>
      </c>
      <c r="G8" s="49" t="s">
        <v>546</v>
      </c>
      <c r="H8" s="49"/>
      <c r="I8" s="50" t="str">
        <f>IF($B8="","",IF($K8="X",B8,CONCATENATE(VLOOKUP(B8,Competitors!$A$2:$I$650,3,FALSE)," ",VLOOKUP(B8,Competitors!$A$2:$I$650,2,FALSE))))</f>
        <v>Steve Walsh (LFCC)</v>
      </c>
      <c r="J8" s="51">
        <f>IF(LEFT($G8,1)="D",UPPER($G8),(D8*3600+E8*60+F8)/86400)</f>
        <v>1.9675925925925927E-2</v>
      </c>
      <c r="K8" t="str">
        <f>IF(OR(B8="",ISNUMBER(B8)),"","X")</f>
        <v>X</v>
      </c>
    </row>
    <row r="9" spans="1:11" ht="15">
      <c r="A9" s="46" t="s">
        <v>580</v>
      </c>
      <c r="B9" s="47">
        <f>IF(A9="","",_xlfn.XLOOKUP(A9,ClubNames,ClubNumbers,_xlfn.XLOOKUP(A9,RoundRobinRiderNames,RoundRobinRiderDecoratedNames,A9)))</f>
        <v>1048</v>
      </c>
      <c r="C9" s="47" t="s">
        <v>720</v>
      </c>
      <c r="D9" s="48"/>
      <c r="E9" s="49">
        <v>28</v>
      </c>
      <c r="F9" s="49">
        <v>46</v>
      </c>
      <c r="G9" s="49" t="s">
        <v>546</v>
      </c>
      <c r="H9" s="49"/>
      <c r="I9" s="50" t="str">
        <f>IF($B9="","",IF($K9="X",B9,CONCATENATE(VLOOKUP(B9,Competitors!$A$2:$I$650,3,FALSE)," ",VLOOKUP(B9,Competitors!$A$2:$I$650,2,FALSE))))</f>
        <v>Andy Smith</v>
      </c>
      <c r="J9" s="51">
        <f>IF(LEFT($G9,1)="D",UPPER($G9),(D9*3600+E9*60+F9)/86400)</f>
        <v>1.9976851851851853E-2</v>
      </c>
      <c r="K9" t="str">
        <f>IF(OR(B9="",ISNUMBER(B9)),"","X")</f>
        <v/>
      </c>
    </row>
    <row r="10" spans="1:11" ht="15">
      <c r="A10" s="46" t="s">
        <v>705</v>
      </c>
      <c r="B10" s="47" t="str">
        <f>IF(A10="","",_xlfn.XLOOKUP(A10,ClubNames,ClubNumbers,_xlfn.XLOOKUP(A10,RoundRobinRiderNames,RoundRobinRiderDecoratedNames,A10)))</f>
        <v>Joe Murray (M.I. Racing) (HCRC)</v>
      </c>
      <c r="C10" s="47" t="s">
        <v>721</v>
      </c>
      <c r="D10" s="48"/>
      <c r="E10" s="49">
        <v>22</v>
      </c>
      <c r="F10" s="49">
        <v>46</v>
      </c>
      <c r="G10" s="49"/>
      <c r="H10" s="49"/>
      <c r="I10" s="50" t="str">
        <f>IF($B10="","",IF($K10="X",B10,CONCATENATE(VLOOKUP(B10,Competitors!$A$2:$I$650,3,FALSE)," ",VLOOKUP(B10,Competitors!$A$2:$I$650,2,FALSE))))</f>
        <v>Joe Murray (M.I. Racing) (HCRC)</v>
      </c>
      <c r="J10" s="51">
        <f>IF(LEFT($G10,1)="D",UPPER($G10),(D10*3600+E10*60+F10)/86400)</f>
        <v>1.5810185185185184E-2</v>
      </c>
      <c r="K10" t="str">
        <f>IF(OR(B10="",ISNUMBER(B10)),"","X")</f>
        <v>X</v>
      </c>
    </row>
    <row r="11" spans="1:11" ht="15">
      <c r="A11" s="46" t="s">
        <v>474</v>
      </c>
      <c r="B11" s="47" t="str">
        <f>IF(A11="","",_xlfn.XLOOKUP(A11,ClubNames,ClubNumbers,_xlfn.XLOOKUP(A11,RoundRobinRiderNames,RoundRobinRiderDecoratedNames,A11)))</f>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IF(LEFT($G11,1)="D",UPPER($G11),(D11*3600+E11*60+F11)/86400)</f>
        <v>1.7962962962962962E-2</v>
      </c>
      <c r="K11" t="str">
        <f>IF(OR(B11="",ISNUMBER(B11)),"","X")</f>
        <v>X</v>
      </c>
    </row>
    <row r="12" spans="1:11" ht="15">
      <c r="A12" s="46" t="s">
        <v>502</v>
      </c>
      <c r="B12" s="47" t="str">
        <f>IF(A12="","",_xlfn.XLOOKUP(A12,ClubNames,ClubNumbers,_xlfn.XLOOKUP(A12,RoundRobinRiderNames,RoundRobinRiderDecoratedNames,A12)))</f>
        <v>Brian Lincoln (Ratae)</v>
      </c>
      <c r="C12" s="47" t="s">
        <v>676</v>
      </c>
      <c r="D12" s="48"/>
      <c r="E12" s="49">
        <v>29</v>
      </c>
      <c r="F12" s="49">
        <v>33</v>
      </c>
      <c r="G12" s="49" t="s">
        <v>546</v>
      </c>
      <c r="H12" s="49"/>
      <c r="I12" s="50" t="str">
        <f>IF($B12="","",IF($K12="X",B12,CONCATENATE(VLOOKUP(B12,Competitors!$A$2:$I$650,3,FALSE)," ",VLOOKUP(B12,Competitors!$A$2:$I$650,2,FALSE))))</f>
        <v>Brian Lincoln (Ratae)</v>
      </c>
      <c r="J12" s="51">
        <f>IF(LEFT($G12,1)="D",UPPER($G12),(D12*3600+E12*60+F12)/86400)</f>
        <v>2.0520833333333332E-2</v>
      </c>
      <c r="K12" t="str">
        <f>IF(OR(B12="",ISNUMBER(B12)),"","X")</f>
        <v>X</v>
      </c>
    </row>
    <row r="13" spans="1:11" ht="15">
      <c r="A13" s="46" t="s">
        <v>494</v>
      </c>
      <c r="B13" s="47" t="str">
        <f>IF(A13="","",_xlfn.XLOOKUP(A13,ClubNames,ClubNumbers,_xlfn.XLOOKUP(A13,RoundRobinRiderNames,RoundRobinRiderDecoratedNames,A13)))</f>
        <v>Chris Booth (MOCC)</v>
      </c>
      <c r="C13" s="47" t="s">
        <v>677</v>
      </c>
      <c r="D13" s="48"/>
      <c r="E13" s="49">
        <v>24</v>
      </c>
      <c r="F13" s="49">
        <v>20</v>
      </c>
      <c r="G13" s="49" t="s">
        <v>546</v>
      </c>
      <c r="H13" s="49"/>
      <c r="I13" s="50" t="str">
        <f>IF($B13="","",IF($K13="X",B13,CONCATENATE(VLOOKUP(B13,Competitors!$A$2:$I$650,3,FALSE)," ",VLOOKUP(B13,Competitors!$A$2:$I$650,2,FALSE))))</f>
        <v>Chris Booth (MOCC)</v>
      </c>
      <c r="J13" s="51">
        <f>IF(LEFT($G13,1)="D",UPPER($G13),(D13*3600+E13*60+F13)/86400)</f>
        <v>1.6898148148148148E-2</v>
      </c>
      <c r="K13" t="str">
        <f>IF(OR(B13="",ISNUMBER(B13)),"","X")</f>
        <v>X</v>
      </c>
    </row>
    <row r="14" spans="1:11" ht="15">
      <c r="A14" s="46" t="s">
        <v>511</v>
      </c>
      <c r="B14" s="47" t="str">
        <f>IF(A14="","",_xlfn.XLOOKUP(A14,ClubNames,ClubNumbers,_xlfn.XLOOKUP(A14,RoundRobinRiderNames,RoundRobinRiderDecoratedNames,A14)))</f>
        <v>Mark Newton (Ratae)</v>
      </c>
      <c r="C14" s="47" t="s">
        <v>678</v>
      </c>
      <c r="D14" s="48"/>
      <c r="E14" s="49">
        <v>24</v>
      </c>
      <c r="F14" s="49">
        <v>4</v>
      </c>
      <c r="G14" s="49"/>
      <c r="H14" s="49"/>
      <c r="I14" s="50" t="str">
        <f>IF($B14="","",IF($K14="X",B14,CONCATENATE(VLOOKUP(B14,Competitors!$A$2:$I$650,3,FALSE)," ",VLOOKUP(B14,Competitors!$A$2:$I$650,2,FALSE))))</f>
        <v>Mark Newton (Ratae)</v>
      </c>
      <c r="J14" s="51">
        <f>IF(LEFT($G14,1)="D",UPPER($G14),(D14*3600+E14*60+F14)/86400)</f>
        <v>1.6712962962962964E-2</v>
      </c>
      <c r="K14" t="str">
        <f>IF(OR(B14="",ISNUMBER(B14)),"","X")</f>
        <v>X</v>
      </c>
    </row>
    <row r="15" spans="1:11" ht="15">
      <c r="A15" s="46" t="s">
        <v>433</v>
      </c>
      <c r="B15" s="47">
        <f>IF(A15="","",_xlfn.XLOOKUP(A15,ClubNames,ClubNumbers,_xlfn.XLOOKUP(A15,RoundRobinRiderNames,RoundRobinRiderDecoratedNames,A15)))</f>
        <v>1112</v>
      </c>
      <c r="C15" s="47" t="s">
        <v>679</v>
      </c>
      <c r="D15" s="48"/>
      <c r="E15" s="49"/>
      <c r="F15" s="49"/>
      <c r="G15" s="49"/>
      <c r="H15" s="49" t="s">
        <v>555</v>
      </c>
      <c r="I15" s="50" t="str">
        <f>IF($B15="","",IF($K15="X",B15,CONCATENATE(VLOOKUP(B15,Competitors!$A$2:$I$650,3,FALSE)," ",VLOOKUP(B15,Competitors!$A$2:$I$650,2,FALSE))))</f>
        <v>Gary Ashwell</v>
      </c>
      <c r="J15" s="51">
        <f>IF(LEFT($G15,1)="D",UPPER($G15),(D15*3600+E15*60+F15)/86400)</f>
        <v>0</v>
      </c>
      <c r="K15" t="str">
        <f>IF(OR(B15="",ISNUMBER(B15)),"","X")</f>
        <v/>
      </c>
    </row>
    <row r="16" spans="1:11" ht="15">
      <c r="A16" s="46" t="s">
        <v>531</v>
      </c>
      <c r="B16" s="47" t="str">
        <f>IF(A16="","",_xlfn.XLOOKUP(A16,ClubNames,ClubNumbers,_xlfn.XLOOKUP(A16,RoundRobinRiderNames,RoundRobinRiderDecoratedNames,A16)))</f>
        <v>Adrian James (Rugby RCC)</v>
      </c>
      <c r="C16" s="47" t="s">
        <v>680</v>
      </c>
      <c r="D16" s="48"/>
      <c r="E16" s="49">
        <v>27</v>
      </c>
      <c r="F16" s="49">
        <v>48</v>
      </c>
      <c r="G16" s="49"/>
      <c r="H16" s="49"/>
      <c r="I16" s="50" t="str">
        <f>IF($B16="","",IF($K16="X",B16,CONCATENATE(VLOOKUP(B16,Competitors!$A$2:$I$650,3,FALSE)," ",VLOOKUP(B16,Competitors!$A$2:$I$650,2,FALSE))))</f>
        <v>Adrian James (Rugby RCC)</v>
      </c>
      <c r="J16" s="51">
        <f>IF(LEFT($G16,1)="D",UPPER($G16),(D16*3600+E16*60+F16)/86400)</f>
        <v>1.9305555555555555E-2</v>
      </c>
      <c r="K16" t="str">
        <f>IF(OR(B16="",ISNUMBER(B16)),"","X")</f>
        <v>X</v>
      </c>
    </row>
    <row r="17" spans="1:11" ht="15">
      <c r="A17" s="46" t="s">
        <v>414</v>
      </c>
      <c r="B17" s="47">
        <f>IF(A17="","",_xlfn.XLOOKUP(A17,ClubNames,ClubNumbers,_xlfn.XLOOKUP(A17,RoundRobinRiderNames,RoundRobinRiderDecoratedNames,A17)))</f>
        <v>989</v>
      </c>
      <c r="C17" s="47" t="s">
        <v>681</v>
      </c>
      <c r="D17" s="48"/>
      <c r="E17" s="49">
        <v>23</v>
      </c>
      <c r="F17" s="49">
        <v>44</v>
      </c>
      <c r="G17" s="49" t="s">
        <v>546</v>
      </c>
      <c r="H17" s="49"/>
      <c r="I17" s="50" t="str">
        <f>IF($B17="","",IF($K17="X",B17,CONCATENATE(VLOOKUP(B17,Competitors!$A$2:$I$650,3,FALSE)," ",VLOOKUP(B17,Competitors!$A$2:$I$650,2,FALSE))))</f>
        <v>Jason Williams</v>
      </c>
      <c r="J17" s="51">
        <f>IF(LEFT($G17,1)="D",UPPER($G17),(D17*3600+E17*60+F17)/86400)</f>
        <v>1.6481481481481482E-2</v>
      </c>
      <c r="K17" t="str">
        <f>IF(OR(B17="",ISNUMBER(B17)),"","X")</f>
        <v/>
      </c>
    </row>
    <row r="18" spans="1:11" ht="15">
      <c r="A18" s="46" t="s">
        <v>438</v>
      </c>
      <c r="B18" s="47">
        <f>IF(A18="","",_xlfn.XLOOKUP(A18,ClubNames,ClubNumbers,_xlfn.XLOOKUP(A18,RoundRobinRiderNames,RoundRobinRiderDecoratedNames,A18)))</f>
        <v>1195</v>
      </c>
      <c r="C18" s="47" t="s">
        <v>682</v>
      </c>
      <c r="D18" s="48"/>
      <c r="E18" s="49">
        <v>25</v>
      </c>
      <c r="F18" s="49">
        <v>51</v>
      </c>
      <c r="G18" s="49" t="s">
        <v>546</v>
      </c>
      <c r="H18" s="49"/>
      <c r="I18" s="50" t="str">
        <f>IF($B18="","",IF($K18="X",B18,CONCATENATE(VLOOKUP(B18,Competitors!$A$2:$I$650,3,FALSE)," ",VLOOKUP(B18,Competitors!$A$2:$I$650,2,FALSE))))</f>
        <v>Charlie Hardwicke</v>
      </c>
      <c r="J18" s="51">
        <f>IF(LEFT($G18,1)="D",UPPER($G18),(D18*3600+E18*60+F18)/86400)</f>
        <v>1.7951388888888888E-2</v>
      </c>
      <c r="K18" t="str">
        <f>IF(OR(B18="",ISNUMBER(B18)),"","X")</f>
        <v/>
      </c>
    </row>
    <row r="19" spans="1:11" ht="15">
      <c r="A19" s="46" t="s">
        <v>419</v>
      </c>
      <c r="B19" s="47">
        <f>IF(A19="","",_xlfn.XLOOKUP(A19,ClubNames,ClubNumbers,_xlfn.XLOOKUP(A19,RoundRobinRiderNames,RoundRobinRiderDecoratedNames,A19)))</f>
        <v>1355</v>
      </c>
      <c r="C19" s="47" t="s">
        <v>683</v>
      </c>
      <c r="D19" s="48"/>
      <c r="E19" s="49">
        <v>24</v>
      </c>
      <c r="F19" s="49">
        <v>5</v>
      </c>
      <c r="G19" s="49" t="s">
        <v>546</v>
      </c>
      <c r="H19" s="49"/>
      <c r="I19" s="50" t="str">
        <f>IF($B19="","",IF($K19="X",B19,CONCATENATE(VLOOKUP(B19,Competitors!$A$2:$I$650,3,FALSE)," ",VLOOKUP(B19,Competitors!$A$2:$I$650,2,FALSE))))</f>
        <v>Aubrey Elmer</v>
      </c>
      <c r="J19" s="51">
        <f>IF(LEFT($G19,1)="D",UPPER($G19),(D19*3600+E19*60+F19)/86400)</f>
        <v>1.6724537037037038E-2</v>
      </c>
      <c r="K19" t="str">
        <f>IF(OR(B19="",ISNUMBER(B19)),"","X")</f>
        <v/>
      </c>
    </row>
    <row r="20" spans="1:11" ht="15">
      <c r="A20" s="46" t="s">
        <v>421</v>
      </c>
      <c r="B20" s="47">
        <f>IF(A20="","",_xlfn.XLOOKUP(A20,ClubNames,ClubNumbers,_xlfn.XLOOKUP(A20,RoundRobinRiderNames,RoundRobinRiderDecoratedNames,A20)))</f>
        <v>1192</v>
      </c>
      <c r="C20" s="47" t="s">
        <v>684</v>
      </c>
      <c r="D20" s="48"/>
      <c r="E20" s="49">
        <v>24</v>
      </c>
      <c r="F20" s="49">
        <v>26</v>
      </c>
      <c r="G20" s="49"/>
      <c r="H20" s="49"/>
      <c r="I20" s="50" t="str">
        <f>IF($B20="","",IF($K20="X",B20,CONCATENATE(VLOOKUP(B20,Competitors!$A$2:$I$650,3,FALSE)," ",VLOOKUP(B20,Competitors!$A$2:$I$650,2,FALSE))))</f>
        <v>Dale Norris</v>
      </c>
      <c r="J20" s="51">
        <f>IF(LEFT($G20,1)="D",UPPER($G20),(D20*3600+E20*60+F20)/86400)</f>
        <v>1.6967592592592593E-2</v>
      </c>
      <c r="K20" t="str">
        <f>IF(OR(B20="",ISNUMBER(B20)),"","X")</f>
        <v/>
      </c>
    </row>
    <row r="21" spans="1:11" ht="15">
      <c r="A21" s="46" t="s">
        <v>597</v>
      </c>
      <c r="B21" s="47">
        <f>IF(A21="","",_xlfn.XLOOKUP(A21,ClubNames,ClubNumbers,_xlfn.XLOOKUP(A21,RoundRobinRiderNames,RoundRobinRiderDecoratedNames,A21)))</f>
        <v>1390</v>
      </c>
      <c r="C21" s="47" t="s">
        <v>685</v>
      </c>
      <c r="D21" s="48"/>
      <c r="E21" s="49">
        <v>23</v>
      </c>
      <c r="F21" s="49">
        <v>42</v>
      </c>
      <c r="G21" s="49" t="s">
        <v>546</v>
      </c>
      <c r="H21" s="49"/>
      <c r="I21" s="50" t="str">
        <f>IF($B21="","",IF($K21="X",B21,CONCATENATE(VLOOKUP(B21,Competitors!$A$2:$I$650,3,FALSE)," ",VLOOKUP(B21,Competitors!$A$2:$I$650,2,FALSE))))</f>
        <v>Diego Patteri</v>
      </c>
      <c r="J21" s="51">
        <f>IF(LEFT($G21,1)="D",UPPER($G21),(D21*3600+E21*60+F21)/86400)</f>
        <v>1.6458333333333332E-2</v>
      </c>
      <c r="K21" t="str">
        <f>IF(OR(B21="",ISNUMBER(B21)),"","X")</f>
        <v/>
      </c>
    </row>
    <row r="22" spans="1:11" ht="15">
      <c r="A22" s="46" t="s">
        <v>704</v>
      </c>
      <c r="B22" s="47" t="str">
        <f>IF(A22="","",_xlfn.XLOOKUP(A22,ClubNames,ClubNumbers,_xlfn.XLOOKUP(A22,RoundRobinRiderNames,RoundRobinRiderDecoratedNames,A22)))</f>
        <v>Zoe Shepherd (M.I. Racing)</v>
      </c>
      <c r="C22" s="47" t="s">
        <v>686</v>
      </c>
      <c r="D22" s="48"/>
      <c r="E22" s="49">
        <v>26</v>
      </c>
      <c r="F22" s="49">
        <v>50</v>
      </c>
      <c r="G22" s="49"/>
      <c r="H22" s="49"/>
      <c r="I22" s="50" t="str">
        <f>IF($B22="","",IF($K22="X",B22,CONCATENATE(VLOOKUP(B22,Competitors!$A$2:$I$650,3,FALSE)," ",VLOOKUP(B22,Competitors!$A$2:$I$650,2,FALSE))))</f>
        <v>Zoe Shepherd (M.I. Racing)</v>
      </c>
      <c r="J22" s="51">
        <f>IF(LEFT($G22,1)="D",UPPER($G22),(D22*3600+E22*60+F22)/86400)</f>
        <v>1.863425925925926E-2</v>
      </c>
      <c r="K22" t="str">
        <f>IF(OR(B22="",ISNUMBER(B22)),"","X")</f>
        <v>X</v>
      </c>
    </row>
    <row r="23" spans="1:11" ht="15">
      <c r="A23" s="46" t="s">
        <v>488</v>
      </c>
      <c r="B23" s="47" t="str">
        <f>IF(A23="","",_xlfn.XLOOKUP(A23,ClubNames,ClubNumbers,_xlfn.XLOOKUP(A23,RoundRobinRiderNames,RoundRobinRiderDecoratedNames,A23)))</f>
        <v>Matt Finch (LFCC)</v>
      </c>
      <c r="C23" s="47" t="s">
        <v>687</v>
      </c>
      <c r="D23" s="48"/>
      <c r="E23" s="49">
        <v>28</v>
      </c>
      <c r="F23" s="49">
        <v>48</v>
      </c>
      <c r="G23" s="49" t="s">
        <v>546</v>
      </c>
      <c r="H23" s="49"/>
      <c r="I23" s="50" t="str">
        <f>IF($B23="","",IF($K23="X",B23,CONCATENATE(VLOOKUP(B23,Competitors!$A$2:$I$650,3,FALSE)," ",VLOOKUP(B23,Competitors!$A$2:$I$650,2,FALSE))))</f>
        <v>Matt Finch (LFCC)</v>
      </c>
      <c r="J23" s="51">
        <f>IF(LEFT($G23,1)="D",UPPER($G23),(D23*3600+E23*60+F23)/86400)</f>
        <v>0.02</v>
      </c>
      <c r="K23" t="str">
        <f>IF(OR(B23="",ISNUMBER(B23)),"","X")</f>
        <v>X</v>
      </c>
    </row>
    <row r="24" spans="1:11" ht="15">
      <c r="A24" s="46" t="s">
        <v>702</v>
      </c>
      <c r="B24" s="47" t="str">
        <f>IF(A24="","",_xlfn.XLOOKUP(A24,ClubNames,ClubNumbers,_xlfn.XLOOKUP(A24,RoundRobinRiderNames,RoundRobinRiderDecoratedNames,A24)))</f>
        <v>Paul Akroyd (VTTA E.Mids)</v>
      </c>
      <c r="C24" s="47" t="s">
        <v>688</v>
      </c>
      <c r="D24" s="48"/>
      <c r="E24" s="49">
        <v>25</v>
      </c>
      <c r="F24" s="49">
        <v>45</v>
      </c>
      <c r="G24" s="49" t="s">
        <v>546</v>
      </c>
      <c r="H24" s="49"/>
      <c r="I24" s="50" t="str">
        <f>IF($B24="","",IF($K24="X",B24,CONCATENATE(VLOOKUP(B24,Competitors!$A$2:$I$650,3,FALSE)," ",VLOOKUP(B24,Competitors!$A$2:$I$650,2,FALSE))))</f>
        <v>Paul Akroyd (VTTA E.Mids)</v>
      </c>
      <c r="J24" s="51">
        <f>IF(LEFT($G24,1)="D",UPPER($G24),(D24*3600+E24*60+F24)/86400)</f>
        <v>1.7881944444444443E-2</v>
      </c>
      <c r="K24" t="str">
        <f>IF(OR(B24="",ISNUMBER(B24)),"","X")</f>
        <v>X</v>
      </c>
    </row>
    <row r="25" spans="1:11" ht="15">
      <c r="A25" s="46" t="s">
        <v>514</v>
      </c>
      <c r="B25" s="47" t="str">
        <f>IF(A25="","",_xlfn.XLOOKUP(A25,ClubNames,ClubNumbers,_xlfn.XLOOKUP(A25,RoundRobinRiderNames,RoundRobinRiderDecoratedNames,A25)))</f>
        <v>Paul Eden (Ratae)</v>
      </c>
      <c r="C25" s="47" t="s">
        <v>689</v>
      </c>
      <c r="D25" s="48"/>
      <c r="E25" s="49">
        <v>30</v>
      </c>
      <c r="F25" s="49">
        <v>11</v>
      </c>
      <c r="G25" s="49" t="s">
        <v>546</v>
      </c>
      <c r="H25" s="49"/>
      <c r="I25" s="50" t="str">
        <f>IF($B25="","",IF($K25="X",B25,CONCATENATE(VLOOKUP(B25,Competitors!$A$2:$I$650,3,FALSE)," ",VLOOKUP(B25,Competitors!$A$2:$I$650,2,FALSE))))</f>
        <v>Paul Eden (Ratae)</v>
      </c>
      <c r="J25" s="51">
        <f>IF(LEFT($G25,1)="D",UPPER($G25),(D25*3600+E25*60+F25)/86400)</f>
        <v>2.0960648148148148E-2</v>
      </c>
      <c r="K25" t="str">
        <f>IF(OR(B25="",ISNUMBER(B25)),"","X")</f>
        <v>X</v>
      </c>
    </row>
    <row r="26" spans="1:11" ht="15">
      <c r="A26" s="46" t="s">
        <v>432</v>
      </c>
      <c r="B26" s="47">
        <f>IF(A26="","",_xlfn.XLOOKUP(A26,ClubNames,ClubNumbers,_xlfn.XLOOKUP(A26,RoundRobinRiderNames,RoundRobinRiderDecoratedNames,A26)))</f>
        <v>1403</v>
      </c>
      <c r="C26" s="47" t="s">
        <v>652</v>
      </c>
      <c r="D26" s="48"/>
      <c r="E26" s="49">
        <v>25</v>
      </c>
      <c r="F26" s="49">
        <v>50</v>
      </c>
      <c r="G26" s="49"/>
      <c r="H26" s="49"/>
      <c r="I26" s="50" t="str">
        <f>IF($B26="","",IF($K26="X",B26,CONCATENATE(VLOOKUP(B26,Competitors!$A$2:$I$650,3,FALSE)," ",VLOOKUP(B26,Competitors!$A$2:$I$650,2,FALSE))))</f>
        <v>Toby Lenehan</v>
      </c>
      <c r="J26" s="51">
        <f>IF(LEFT($G26,1)="D",UPPER($G26),(D26*3600+E26*60+F26)/86400)</f>
        <v>1.7939814814814815E-2</v>
      </c>
      <c r="K26" t="str">
        <f>IF(OR(B26="",ISNUMBER(B26)),"","X")</f>
        <v/>
      </c>
    </row>
    <row r="27" spans="1:11" ht="15">
      <c r="A27" s="46" t="s">
        <v>430</v>
      </c>
      <c r="B27" s="47">
        <f>IF(A27="","",_xlfn.XLOOKUP(A27,ClubNames,ClubNumbers,_xlfn.XLOOKUP(A27,RoundRobinRiderNames,RoundRobinRiderDecoratedNames,A27)))</f>
        <v>1107</v>
      </c>
      <c r="C27" s="47" t="s">
        <v>653</v>
      </c>
      <c r="D27" s="48"/>
      <c r="E27" s="49">
        <v>26</v>
      </c>
      <c r="F27" s="49">
        <v>10</v>
      </c>
      <c r="G27" s="49" t="s">
        <v>546</v>
      </c>
      <c r="H27" s="49"/>
      <c r="I27" s="50" t="str">
        <f>IF($B27="","",IF($K27="X",B27,CONCATENATE(VLOOKUP(B27,Competitors!$A$2:$I$650,3,FALSE)," ",VLOOKUP(B27,Competitors!$A$2:$I$650,2,FALSE))))</f>
        <v>Milly Pinnock</v>
      </c>
      <c r="J27" s="51">
        <f>IF(LEFT($G27,1)="D",UPPER($G27),(D27*3600+E27*60+F27)/86400)</f>
        <v>1.8171296296296297E-2</v>
      </c>
      <c r="K27" t="str">
        <f>IF(OR(B27="",ISNUMBER(B27)),"","X")</f>
        <v/>
      </c>
    </row>
    <row r="28" spans="1:11" ht="15">
      <c r="A28" s="46" t="s">
        <v>431</v>
      </c>
      <c r="B28" s="47">
        <f>IF(A28="","",_xlfn.XLOOKUP(A28,ClubNames,ClubNumbers,_xlfn.XLOOKUP(A28,RoundRobinRiderNames,RoundRobinRiderDecoratedNames,A28)))</f>
        <v>616</v>
      </c>
      <c r="C28" s="47" t="s">
        <v>654</v>
      </c>
      <c r="D28" s="48"/>
      <c r="E28" s="49">
        <v>27</v>
      </c>
      <c r="F28" s="49">
        <v>2</v>
      </c>
      <c r="G28" s="49"/>
      <c r="H28" s="49"/>
      <c r="I28" s="50" t="str">
        <f>IF($B28="","",IF($K28="X",B28,CONCATENATE(VLOOKUP(B28,Competitors!$A$2:$I$650,3,FALSE)," ",VLOOKUP(B28,Competitors!$A$2:$I$650,2,FALSE))))</f>
        <v>Simon Ward</v>
      </c>
      <c r="J28" s="51">
        <f>IF(LEFT($G28,1)="D",UPPER($G28),(D28*3600+E28*60+F28)/86400)</f>
        <v>1.8773148148148146E-2</v>
      </c>
      <c r="K28" t="str">
        <f>IF(OR(B28="",ISNUMBER(B28)),"","X")</f>
        <v/>
      </c>
    </row>
    <row r="29" spans="1:11" ht="15">
      <c r="A29" s="46" t="s">
        <v>513</v>
      </c>
      <c r="B29" s="47" t="str">
        <f>IF(A29="","",_xlfn.XLOOKUP(A29,ClubNames,ClubNumbers,_xlfn.XLOOKUP(A29,RoundRobinRiderNames,RoundRobinRiderDecoratedNames,A29)))</f>
        <v>Natalie Harris (Ratae)</v>
      </c>
      <c r="C29" s="47" t="s">
        <v>655</v>
      </c>
      <c r="D29" s="48"/>
      <c r="E29" s="49">
        <v>29</v>
      </c>
      <c r="F29" s="49">
        <v>35</v>
      </c>
      <c r="G29" s="49" t="s">
        <v>546</v>
      </c>
      <c r="H29" s="49"/>
      <c r="I29" s="50" t="str">
        <f>IF($B29="","",IF($K29="X",B29,CONCATENATE(VLOOKUP(B29,Competitors!$A$2:$I$650,3,FALSE)," ",VLOOKUP(B29,Competitors!$A$2:$I$650,2,FALSE))))</f>
        <v>Natalie Harris (Ratae)</v>
      </c>
      <c r="J29" s="51">
        <f>IF(LEFT($G29,1)="D",UPPER($G29),(D29*3600+E29*60+F29)/86400)</f>
        <v>2.0543981481481483E-2</v>
      </c>
      <c r="K29" t="str">
        <f>IF(OR(B29="",ISNUMBER(B29)),"","X")</f>
        <v>X</v>
      </c>
    </row>
    <row r="30" spans="1:11" ht="15">
      <c r="A30" s="46" t="s">
        <v>624</v>
      </c>
      <c r="B30" s="47">
        <f>IF(A30="","",_xlfn.XLOOKUP(A30,ClubNames,ClubNumbers,_xlfn.XLOOKUP(A30,RoundRobinRiderNames,RoundRobinRiderDecoratedNames,A30)))</f>
        <v>1391</v>
      </c>
      <c r="C30" s="47" t="s">
        <v>656</v>
      </c>
      <c r="D30" s="48"/>
      <c r="E30" s="49">
        <v>23</v>
      </c>
      <c r="F30" s="49">
        <v>50</v>
      </c>
      <c r="G30" s="49" t="s">
        <v>546</v>
      </c>
      <c r="H30" s="49"/>
      <c r="I30" s="50" t="str">
        <f>IF($B30="","",IF($K30="X",B30,CONCATENATE(VLOOKUP(B30,Competitors!$A$2:$I$650,3,FALSE)," ",VLOOKUP(B30,Competitors!$A$2:$I$650,2,FALSE))))</f>
        <v>Leah Cuthbertson</v>
      </c>
      <c r="J30" s="51">
        <f>IF(LEFT($G30,1)="D",UPPER($G30),(D30*3600+E30*60+F30)/86400)</f>
        <v>1.6550925925925927E-2</v>
      </c>
      <c r="K30" t="str">
        <f>IF(OR(B30="",ISNUMBER(B30)),"","X")</f>
        <v/>
      </c>
    </row>
    <row r="31" spans="1:11" ht="15">
      <c r="A31" s="46" t="s">
        <v>422</v>
      </c>
      <c r="B31" s="47">
        <f>IF(A31="","",_xlfn.XLOOKUP(A31,ClubNames,ClubNumbers,_xlfn.XLOOKUP(A31,RoundRobinRiderNames,RoundRobinRiderDecoratedNames,A31)))</f>
        <v>415</v>
      </c>
      <c r="C31" s="47" t="s">
        <v>657</v>
      </c>
      <c r="D31" s="48"/>
      <c r="E31" s="49">
        <v>25</v>
      </c>
      <c r="F31" s="49">
        <v>34</v>
      </c>
      <c r="G31" s="49" t="s">
        <v>546</v>
      </c>
      <c r="H31" s="49"/>
      <c r="I31" s="50" t="str">
        <f>IF($B31="","",IF($K31="X",B31,CONCATENATE(VLOOKUP(B31,Competitors!$A$2:$I$650,3,FALSE)," ",VLOOKUP(B31,Competitors!$A$2:$I$650,2,FALSE))))</f>
        <v>Nik Kershaw</v>
      </c>
      <c r="J31" s="51">
        <f>IF(LEFT($G31,1)="D",UPPER($G31),(D31*3600+E31*60+F31)/86400)</f>
        <v>1.7754629629629631E-2</v>
      </c>
      <c r="K31" t="str">
        <f>IF(OR(B31="",ISNUMBER(B31)),"","X")</f>
        <v/>
      </c>
    </row>
    <row r="32" spans="1:11" ht="15">
      <c r="A32" s="46" t="s">
        <v>413</v>
      </c>
      <c r="B32" s="47">
        <f>IF(A32="","",_xlfn.XLOOKUP(A32,ClubNames,ClubNumbers,_xlfn.XLOOKUP(A32,RoundRobinRiderNames,RoundRobinRiderDecoratedNames,A32)))</f>
        <v>1144</v>
      </c>
      <c r="C32" s="47" t="s">
        <v>658</v>
      </c>
      <c r="D32" s="48"/>
      <c r="E32" s="49">
        <v>22</v>
      </c>
      <c r="F32" s="49">
        <v>13</v>
      </c>
      <c r="G32" s="49"/>
      <c r="H32" s="49"/>
      <c r="I32" s="50" t="str">
        <f>IF($B32="","",IF($K32="X",B32,CONCATENATE(VLOOKUP(B32,Competitors!$A$2:$I$650,3,FALSE)," ",VLOOKUP(B32,Competitors!$A$2:$I$650,2,FALSE))))</f>
        <v>Jamie Kershaw</v>
      </c>
      <c r="J32" s="51">
        <f>IF(LEFT($G32,1)="D",UPPER($G32),(D32*3600+E32*60+F32)/86400)</f>
        <v>1.5428240740740741E-2</v>
      </c>
      <c r="K32" t="str">
        <f>IF(OR(B32="",ISNUMBER(B32)),"","X")</f>
        <v/>
      </c>
    </row>
    <row r="33" spans="1:11" ht="15">
      <c r="A33" s="46" t="s">
        <v>423</v>
      </c>
      <c r="B33" s="47">
        <f>IF(A33="","",_xlfn.XLOOKUP(A33,ClubNames,ClubNumbers,_xlfn.XLOOKUP(A33,RoundRobinRiderNames,RoundRobinRiderDecoratedNames,A33)))</f>
        <v>1407</v>
      </c>
      <c r="C33" s="47" t="s">
        <v>659</v>
      </c>
      <c r="D33" s="48"/>
      <c r="E33" s="49">
        <v>25</v>
      </c>
      <c r="F33" s="49">
        <v>9</v>
      </c>
      <c r="G33" s="49" t="s">
        <v>546</v>
      </c>
      <c r="H33" s="49"/>
      <c r="I33" s="50" t="str">
        <f>IF($B33="","",IF($K33="X",B33,CONCATENATE(VLOOKUP(B33,Competitors!$A$2:$I$650,3,FALSE)," ",VLOOKUP(B33,Competitors!$A$2:$I$650,2,FALSE))))</f>
        <v>Colin Dobson</v>
      </c>
      <c r="J33" s="51">
        <f>IF(LEFT($G33,1)="D",UPPER($G33),(D33*3600+E33*60+F33)/86400)</f>
        <v>1.7465277777777777E-2</v>
      </c>
      <c r="K33" t="str">
        <f>IF(OR(B33="",ISNUMBER(B33)),"","X")</f>
        <v/>
      </c>
    </row>
    <row r="34" spans="1:11" ht="15">
      <c r="A34" s="46" t="s">
        <v>640</v>
      </c>
      <c r="B34" s="47" t="str">
        <f>IF(A34="","",_xlfn.XLOOKUP(A34,ClubNames,ClubNumbers,_xlfn.XLOOKUP(A34,RoundRobinRiderNames,RoundRobinRiderDecoratedNames,A34)))</f>
        <v>Jeff Jones (LFCC)</v>
      </c>
      <c r="C34" s="47" t="s">
        <v>660</v>
      </c>
      <c r="D34" s="48"/>
      <c r="E34" s="49">
        <v>32</v>
      </c>
      <c r="F34" s="49">
        <v>31</v>
      </c>
      <c r="G34" s="49"/>
      <c r="H34" s="49"/>
      <c r="I34" s="50" t="str">
        <f>IF($B34="","",IF($K34="X",B34,CONCATENATE(VLOOKUP(B34,Competitors!$A$2:$I$650,3,FALSE)," ",VLOOKUP(B34,Competitors!$A$2:$I$650,2,FALSE))))</f>
        <v>Jeff Jones (LFCC)</v>
      </c>
      <c r="J34" s="51">
        <f>IF(LEFT($G34,1)="D",UPPER($G34),(D34*3600+E34*60+F34)/86400)</f>
        <v>2.2581018518518518E-2</v>
      </c>
      <c r="K34" t="str">
        <f>IF(OR(B34="",ISNUMBER(B34)),"","X")</f>
        <v>X</v>
      </c>
    </row>
    <row r="35" spans="1:11" ht="15">
      <c r="A35" s="46" t="s">
        <v>726</v>
      </c>
      <c r="B35" s="47" t="str">
        <f>IF(A35="","",_xlfn.XLOOKUP(A35,ClubNames,ClubNumbers,_xlfn.XLOOKUP(A35,RoundRobinRiderNames,RoundRobinRiderDecoratedNames,A35)))</f>
        <v>Josh Jones (LFCC)</v>
      </c>
      <c r="C35" s="47" t="s">
        <v>661</v>
      </c>
      <c r="D35" s="48"/>
      <c r="E35" s="49">
        <v>26</v>
      </c>
      <c r="F35" s="49">
        <v>52</v>
      </c>
      <c r="G35" s="49"/>
      <c r="H35" s="49"/>
      <c r="I35" s="50" t="str">
        <f>IF($B35="","",IF($K35="X",B35,CONCATENATE(VLOOKUP(B35,Competitors!$A$2:$I$650,3,FALSE)," ",VLOOKUP(B35,Competitors!$A$2:$I$650,2,FALSE))))</f>
        <v>Josh Jones (LFCC)</v>
      </c>
      <c r="J35" s="51">
        <f>IF(LEFT($G35,1)="D",UPPER($G35),(D35*3600+E35*60+F35)/86400)</f>
        <v>1.8657407407407407E-2</v>
      </c>
      <c r="K35" t="str">
        <f>IF(OR(B35="",ISNUMBER(B35)),"","X")</f>
        <v>X</v>
      </c>
    </row>
    <row r="36" spans="1:11" ht="15">
      <c r="A36" s="46" t="s">
        <v>642</v>
      </c>
      <c r="B36" s="47" t="str">
        <f>IF(A36="","",_xlfn.XLOOKUP(A36,ClubNames,ClubNumbers,_xlfn.XLOOKUP(A36,RoundRobinRiderNames,RoundRobinRiderDecoratedNames,A36)))</f>
        <v>Simon Jones (LFCC)</v>
      </c>
      <c r="C36" s="47" t="s">
        <v>662</v>
      </c>
      <c r="D36" s="48"/>
      <c r="E36" s="49">
        <v>28</v>
      </c>
      <c r="F36" s="49">
        <v>35</v>
      </c>
      <c r="G36" s="49"/>
      <c r="H36" s="49"/>
      <c r="I36" s="50" t="str">
        <f>IF($B36="","",IF($K36="X",B36,CONCATENATE(VLOOKUP(B36,Competitors!$A$2:$I$650,3,FALSE)," ",VLOOKUP(B36,Competitors!$A$2:$I$650,2,FALSE))))</f>
        <v>Simon Jones (LFCC)</v>
      </c>
      <c r="J36" s="51">
        <f>IF(LEFT($G36,1)="D",UPPER($G36),(D36*3600+E36*60+F36)/86400)</f>
        <v>1.9849537037037037E-2</v>
      </c>
      <c r="K36" t="str">
        <f>IF(OR(B36="",ISNUMBER(B36)),"","X")</f>
        <v>X</v>
      </c>
    </row>
    <row r="37" spans="1:11" ht="15">
      <c r="A37" s="46" t="s">
        <v>424</v>
      </c>
      <c r="B37" s="47">
        <f>IF(A37="","",_xlfn.XLOOKUP(A37,ClubNames,ClubNumbers,_xlfn.XLOOKUP(A37,RoundRobinRiderNames,RoundRobinRiderDecoratedNames,A37)))</f>
        <v>35</v>
      </c>
      <c r="C37" s="47" t="s">
        <v>663</v>
      </c>
      <c r="D37" s="48"/>
      <c r="E37" s="49">
        <v>24</v>
      </c>
      <c r="F37" s="49">
        <v>35</v>
      </c>
      <c r="G37" s="49"/>
      <c r="H37" s="49"/>
      <c r="I37" s="50" t="str">
        <f>IF($B37="","",IF($K37="X",B37,CONCATENATE(VLOOKUP(B37,Competitors!$A$2:$I$650,3,FALSE)," ",VLOOKUP(B37,Competitors!$A$2:$I$650,2,FALSE))))</f>
        <v>Matt Plews</v>
      </c>
      <c r="J37" s="51">
        <f>IF(LEFT($G37,1)="D",UPPER($G37),(D37*3600+E37*60+F37)/86400)</f>
        <v>1.7071759259259259E-2</v>
      </c>
      <c r="K37" t="str">
        <f>IF(OR(B37="",ISNUMBER(B37)),"","X")</f>
        <v/>
      </c>
    </row>
    <row r="38" spans="1:11" ht="15">
      <c r="A38" s="46" t="s">
        <v>442</v>
      </c>
      <c r="B38" s="47">
        <f>IF(A38="","",_xlfn.XLOOKUP(A38,ClubNames,ClubNumbers,_xlfn.XLOOKUP(A38,RoundRobinRiderNames,RoundRobinRiderDecoratedNames,A38)))</f>
        <v>1254</v>
      </c>
      <c r="C38" s="47" t="s">
        <v>690</v>
      </c>
      <c r="D38" s="48"/>
      <c r="E38" s="49">
        <v>26</v>
      </c>
      <c r="F38" s="49">
        <v>27</v>
      </c>
      <c r="G38" s="49"/>
      <c r="H38" s="49"/>
      <c r="I38" s="50" t="str">
        <f>IF($B38="","",IF($K38="X",B38,CONCATENATE(VLOOKUP(B38,Competitors!$A$2:$I$650,3,FALSE)," ",VLOOKUP(B38,Competitors!$A$2:$I$650,2,FALSE))))</f>
        <v>Paul White</v>
      </c>
      <c r="J38" s="51">
        <f>IF(LEFT($G38,1)="D",UPPER($G38),(D38*3600+E38*60+F38)/86400)</f>
        <v>1.8368055555555554E-2</v>
      </c>
      <c r="K38" t="str">
        <f>IF(OR(B38="",ISNUMBER(B38)),"","X")</f>
        <v/>
      </c>
    </row>
    <row r="39" spans="1:11" ht="15">
      <c r="A39" s="46" t="s">
        <v>412</v>
      </c>
      <c r="B39" s="47">
        <f>IF(A39="","",_xlfn.XLOOKUP(A39,ClubNames,ClubNumbers,_xlfn.XLOOKUP(A39,RoundRobinRiderNames,RoundRobinRiderDecoratedNames,A39)))</f>
        <v>407</v>
      </c>
      <c r="C39" s="47" t="s">
        <v>691</v>
      </c>
      <c r="D39" s="48"/>
      <c r="E39" s="49">
        <v>22</v>
      </c>
      <c r="F39" s="49">
        <v>7</v>
      </c>
      <c r="G39" s="49"/>
      <c r="H39" s="49"/>
      <c r="I39" s="50" t="str">
        <f>IF($B39="","",IF($K39="X",B39,CONCATENATE(VLOOKUP(B39,Competitors!$A$2:$I$650,3,FALSE)," ",VLOOKUP(B39,Competitors!$A$2:$I$650,2,FALSE))))</f>
        <v>Hans van Nierop</v>
      </c>
      <c r="J39" s="51">
        <f>IF(LEFT($G39,1)="D",UPPER($G39),(D39*3600+E39*60+F39)/86400)</f>
        <v>1.5358796296296296E-2</v>
      </c>
      <c r="K39" t="str">
        <f>IF(OR(B39="",ISNUMBER(B39)),"","X")</f>
        <v/>
      </c>
    </row>
    <row r="40" spans="1:11" ht="15">
      <c r="A40" s="46" t="s">
        <v>727</v>
      </c>
      <c r="B40" s="47" t="str">
        <f>IF(A40="","",_xlfn.XLOOKUP(A40,ClubNames,ClubNumbers,_xlfn.XLOOKUP(A40,RoundRobinRiderNames,RoundRobinRiderDecoratedNames,A40)))</f>
        <v>David Mead (M.I. Racing)</v>
      </c>
      <c r="C40" s="47" t="s">
        <v>692</v>
      </c>
      <c r="D40" s="48"/>
      <c r="E40" s="49">
        <v>20</v>
      </c>
      <c r="F40" s="49">
        <v>22</v>
      </c>
      <c r="G40" s="49"/>
      <c r="H40" s="49"/>
      <c r="I40" s="50" t="str">
        <f>IF($B40="","",IF($K40="X",B40,CONCATENATE(VLOOKUP(B40,Competitors!$A$2:$I$650,3,FALSE)," ",VLOOKUP(B40,Competitors!$A$2:$I$650,2,FALSE))))</f>
        <v>David Mead (M.I. Racing)</v>
      </c>
      <c r="J40" s="51">
        <f>IF(LEFT($G40,1)="D",UPPER($G40),(D40*3600+E40*60+F40)/86400)</f>
        <v>1.4143518518518519E-2</v>
      </c>
      <c r="K40" t="str">
        <f>IF(OR(B40="",ISNUMBER(B40)),"","X")</f>
        <v>X</v>
      </c>
    </row>
    <row r="41" spans="1:11" ht="15">
      <c r="A41" s="46" t="s">
        <v>498</v>
      </c>
      <c r="B41" s="47">
        <f>IF(A41="","",_xlfn.XLOOKUP(A41,ClubNames,ClubNumbers,_xlfn.XLOOKUP(A41,RoundRobinRiderNames,RoundRobinRiderDecoratedNames,A41)))</f>
        <v>1166</v>
      </c>
      <c r="C41" s="47" t="s">
        <v>693</v>
      </c>
      <c r="D41" s="48"/>
      <c r="E41" s="49">
        <v>24</v>
      </c>
      <c r="F41" s="49">
        <v>2</v>
      </c>
      <c r="G41" s="49"/>
      <c r="H41" s="49"/>
      <c r="I41" s="50" t="str">
        <f>IF($B41="","",IF($K41="X",B41,CONCATENATE(VLOOKUP(B41,Competitors!$A$2:$I$650,3,FALSE)," ",VLOOKUP(B41,Competitors!$A$2:$I$650,2,FALSE))))</f>
        <v>Ed Tarelli</v>
      </c>
      <c r="J41" s="51">
        <f>IF(LEFT($G41,1)="D",UPPER($G41),(D41*3600+E41*60+F41)/86400)</f>
        <v>1.6689814814814814E-2</v>
      </c>
      <c r="K41" t="str">
        <f>IF(OR(B41="",ISNUMBER(B41)),"","X")</f>
        <v/>
      </c>
    </row>
    <row r="42" spans="1:11" ht="15">
      <c r="A42" s="46" t="s">
        <v>436</v>
      </c>
      <c r="B42" s="47">
        <f>IF(A42="","",_xlfn.XLOOKUP(A42,ClubNames,ClubNumbers,_xlfn.XLOOKUP(A42,RoundRobinRiderNames,RoundRobinRiderDecoratedNames,A42)))</f>
        <v>846</v>
      </c>
      <c r="C42" s="47" t="s">
        <v>694</v>
      </c>
      <c r="D42" s="48"/>
      <c r="E42" s="49">
        <v>25</v>
      </c>
      <c r="F42" s="49">
        <v>41</v>
      </c>
      <c r="G42" s="49"/>
      <c r="H42" s="49"/>
      <c r="I42" s="50" t="str">
        <f>IF($B42="","",IF($K42="X",B42,CONCATENATE(VLOOKUP(B42,Competitors!$A$2:$I$650,3,FALSE)," ",VLOOKUP(B42,Competitors!$A$2:$I$650,2,FALSE))))</f>
        <v>Roger Kockelbergh</v>
      </c>
      <c r="J42" s="51">
        <f>IF(LEFT($G42,1)="D",UPPER($G42),(D42*3600+E42*60+F42)/86400)</f>
        <v>1.7835648148148149E-2</v>
      </c>
      <c r="K42" t="str">
        <f>IF(OR(B42="",ISNUMBER(B42)),"","X")</f>
        <v/>
      </c>
    </row>
    <row r="43" spans="1:11" ht="15">
      <c r="A43" s="46" t="s">
        <v>429</v>
      </c>
      <c r="B43" s="47">
        <f>IF(A43="","",_xlfn.XLOOKUP(A43,ClubNames,ClubNumbers,_xlfn.XLOOKUP(A43,RoundRobinRiderNames,RoundRobinRiderDecoratedNames,A43)))</f>
        <v>1237</v>
      </c>
      <c r="C43" s="47" t="s">
        <v>728</v>
      </c>
      <c r="D43" s="48"/>
      <c r="E43" s="49">
        <v>25</v>
      </c>
      <c r="F43" s="49">
        <v>13</v>
      </c>
      <c r="G43" s="49" t="s">
        <v>546</v>
      </c>
      <c r="H43" s="49"/>
      <c r="I43" s="50" t="str">
        <f>IF($B43="","",IF($K43="X",B43,CONCATENATE(VLOOKUP(B43,Competitors!$A$2:$I$650,3,FALSE)," ",VLOOKUP(B43,Competitors!$A$2:$I$650,2,FALSE))))</f>
        <v>John Abbott</v>
      </c>
      <c r="J43" s="51">
        <f>IF(LEFT($G43,1)="D",UPPER($G43),(D43*3600+E43*60+F43)/86400)</f>
        <v>1.7511574074074075E-2</v>
      </c>
      <c r="K43" t="str">
        <f>IF(OR(B43="",ISNUMBER(B43)),"","X")</f>
        <v/>
      </c>
    </row>
    <row r="44" spans="1:11" ht="15">
      <c r="A44" s="46" t="s">
        <v>723</v>
      </c>
      <c r="B44" s="47" t="str">
        <f>IF(A44="","",_xlfn.XLOOKUP(A44,ClubNames,ClubNumbers,_xlfn.XLOOKUP(A44,RoundRobinRiderNames,RoundRobinRiderDecoratedNames,A44)))</f>
        <v>Mark Wise (M.I. Racing)</v>
      </c>
      <c r="C44" s="47" t="s">
        <v>729</v>
      </c>
      <c r="D44" s="48"/>
      <c r="E44" s="49">
        <v>24</v>
      </c>
      <c r="F44" s="49">
        <v>2</v>
      </c>
      <c r="G44" s="49"/>
      <c r="H44" s="49"/>
      <c r="I44" s="50" t="str">
        <f>IF($B44="","",IF($K44="X",B44,CONCATENATE(VLOOKUP(B44,Competitors!$A$2:$I$650,3,FALSE)," ",VLOOKUP(B44,Competitors!$A$2:$I$650,2,FALSE))))</f>
        <v>Mark Wise (M.I. Racing)</v>
      </c>
      <c r="J44" s="51">
        <f>IF(LEFT($G44,1)="D",UPPER($G44),(D44*3600+E44*60+F44)/86400)</f>
        <v>1.6689814814814814E-2</v>
      </c>
      <c r="K44" t="str">
        <f>IF(OR(B44="",ISNUMBER(B44)),"","X")</f>
        <v>X</v>
      </c>
    </row>
    <row r="45" spans="1:11" ht="15">
      <c r="A45" s="46" t="s">
        <v>501</v>
      </c>
      <c r="B45" s="47" t="str">
        <f>IF(A45="","",_xlfn.XLOOKUP(A45,ClubNames,ClubNumbers,_xlfn.XLOOKUP(A45,RoundRobinRiderNames,RoundRobinRiderDecoratedNames,A45)))</f>
        <v>Alex Whitmore (Ratae)</v>
      </c>
      <c r="C45" s="47" t="s">
        <v>730</v>
      </c>
      <c r="D45" s="48"/>
      <c r="E45" s="49">
        <v>21</v>
      </c>
      <c r="F45" s="49">
        <v>37</v>
      </c>
      <c r="G45" s="49" t="s">
        <v>546</v>
      </c>
      <c r="H45" s="49"/>
      <c r="I45" s="50" t="str">
        <f>IF($B45="","",IF($K45="X",B45,CONCATENATE(VLOOKUP(B45,Competitors!$A$2:$I$650,3,FALSE)," ",VLOOKUP(B45,Competitors!$A$2:$I$650,2,FALSE))))</f>
        <v>Alex Whitmore (Ratae)</v>
      </c>
      <c r="J45" s="51">
        <f>IF(LEFT($G45,1)="D",UPPER($G45),(D45*3600+E45*60+F45)/86400)</f>
        <v>1.5011574074074075E-2</v>
      </c>
      <c r="K45" t="str">
        <f>IF(OR(B45="",ISNUMBER(B45)),"","X")</f>
        <v>X</v>
      </c>
    </row>
    <row r="46" spans="1:11" ht="15">
      <c r="A46" s="46" t="s">
        <v>731</v>
      </c>
      <c r="B46" s="47" t="str">
        <f>IF(A46="","",_xlfn.XLOOKUP(A46,ClubNames,ClubNumbers,_xlfn.XLOOKUP(A46,RoundRobinRiderNames,RoundRobinRiderDecoratedNames,A46)))</f>
        <v>D Alexander (Coalville Wheelers)</v>
      </c>
      <c r="C46" s="47" t="s">
        <v>732</v>
      </c>
      <c r="D46" s="48"/>
      <c r="E46" s="49">
        <v>23</v>
      </c>
      <c r="F46" s="49">
        <v>51</v>
      </c>
      <c r="G46" s="49"/>
      <c r="H46" s="49"/>
      <c r="I46" s="50" t="str">
        <f>IF($B46="","",IF($K46="X",B46,CONCATENATE(VLOOKUP(B46,Competitors!$A$2:$I$650,3,FALSE)," ",VLOOKUP(B46,Competitors!$A$2:$I$650,2,FALSE))))</f>
        <v>D Alexander (Coalville Wheelers)</v>
      </c>
      <c r="J46" s="51">
        <f>IF(LEFT($G46,1)="D",UPPER($G46),(D46*3600+E46*60+F46)/86400)</f>
        <v>1.6562500000000001E-2</v>
      </c>
      <c r="K46" t="str">
        <f>IF(OR(B46="",ISNUMBER(B46)),"","X")</f>
        <v>X</v>
      </c>
    </row>
    <row r="47" spans="1:11" ht="15">
      <c r="A47" s="46" t="s">
        <v>411</v>
      </c>
      <c r="B47" s="47">
        <f>IF(A47="","",_xlfn.XLOOKUP(A47,ClubNames,ClubNumbers,_xlfn.XLOOKUP(A47,RoundRobinRiderNames,RoundRobinRiderDecoratedNames,A47)))</f>
        <v>747</v>
      </c>
      <c r="C47" s="47" t="s">
        <v>733</v>
      </c>
      <c r="D47" s="48"/>
      <c r="E47" s="49">
        <v>22</v>
      </c>
      <c r="F47" s="49">
        <v>11</v>
      </c>
      <c r="G47" s="49"/>
      <c r="H47" s="49"/>
      <c r="I47" s="50" t="str">
        <f>IF($B47="","",IF($K47="X",B47,CONCATENATE(VLOOKUP(B47,Competitors!$A$2:$I$650,3,FALSE)," ",VLOOKUP(B47,Competitors!$A$2:$I$650,2,FALSE))))</f>
        <v>James Moore</v>
      </c>
      <c r="J47" s="51">
        <f>IF(LEFT($G47,1)="D",UPPER($G47),(D47*3600+E47*60+F47)/86400)</f>
        <v>1.5405092592592592E-2</v>
      </c>
      <c r="K47" t="str">
        <f>IF(OR(B47="",ISNUMBER(B47)),"","X")</f>
        <v/>
      </c>
    </row>
    <row r="48" spans="1:11" ht="15">
      <c r="A48" s="46" t="s">
        <v>490</v>
      </c>
      <c r="B48" s="47" t="str">
        <f>IF(A48="","",_xlfn.XLOOKUP(A48,ClubNames,ClubNumbers,_xlfn.XLOOKUP(A48,RoundRobinRiderNames,RoundRobinRiderDecoratedNames,A48)))</f>
        <v>Sam Nettel (LFCC)</v>
      </c>
      <c r="C48" s="47" t="s">
        <v>734</v>
      </c>
      <c r="D48" s="48"/>
      <c r="E48" s="49">
        <v>23</v>
      </c>
      <c r="F48" s="49">
        <v>40</v>
      </c>
      <c r="G48" s="49"/>
      <c r="H48" s="49"/>
      <c r="I48" s="50" t="str">
        <f>IF($B48="","",IF($K48="X",B48,CONCATENATE(VLOOKUP(B48,Competitors!$A$2:$I$650,3,FALSE)," ",VLOOKUP(B48,Competitors!$A$2:$I$650,2,FALSE))))</f>
        <v>Sam Nettel (LFCC)</v>
      </c>
      <c r="J48" s="51">
        <f>IF(LEFT($G48,1)="D",UPPER($G48),(D48*3600+E48*60+F48)/86400)</f>
        <v>1.6435185185185185E-2</v>
      </c>
      <c r="K48" t="str">
        <f>IF(OR(B48="",ISNUMBER(B48)),"","X")</f>
        <v>X</v>
      </c>
    </row>
    <row r="49" spans="1:11" ht="15">
      <c r="A49" s="46" t="s">
        <v>725</v>
      </c>
      <c r="B49" s="47" t="str">
        <f>IF(A49="","",_xlfn.XLOOKUP(A49,ClubNames,ClubNumbers,_xlfn.XLOOKUP(A49,RoundRobinRiderNames,RoundRobinRiderDecoratedNames,A49)))</f>
        <v>David Melhuish (Cov Tri)</v>
      </c>
      <c r="C49" s="47" t="s">
        <v>735</v>
      </c>
      <c r="D49" s="48"/>
      <c r="E49" s="49">
        <v>23</v>
      </c>
      <c r="F49" s="49">
        <v>30</v>
      </c>
      <c r="G49" s="49"/>
      <c r="H49" s="49"/>
      <c r="I49" s="50" t="str">
        <f>IF($B49="","",IF($K49="X",B49,CONCATENATE(VLOOKUP(B49,Competitors!$A$2:$I$650,3,FALSE)," ",VLOOKUP(B49,Competitors!$A$2:$I$650,2,FALSE))))</f>
        <v>David Melhuish (Cov Tri)</v>
      </c>
      <c r="J49" s="51">
        <f>IF(LEFT($G49,1)="D",UPPER($G49),(D49*3600+E49*60+F49)/86400)</f>
        <v>1.6319444444444445E-2</v>
      </c>
      <c r="K49" t="str">
        <f>IF(OR(B49="",ISNUMBER(B49)),"","X")</f>
        <v>X</v>
      </c>
    </row>
    <row r="50" spans="1:11" ht="15">
      <c r="A50" s="46" t="s">
        <v>724</v>
      </c>
      <c r="B50" s="47" t="str">
        <f>IF(A50="","",_xlfn.XLOOKUP(A50,ClubNames,ClubNumbers,_xlfn.XLOOKUP(A50,RoundRobinRiderNames,RoundRobinRiderDecoratedNames,A50)))</f>
        <v>Alex Williamson (Cov Tri)</v>
      </c>
      <c r="C50" s="47" t="s">
        <v>736</v>
      </c>
      <c r="D50" s="48"/>
      <c r="E50" s="49">
        <v>22</v>
      </c>
      <c r="F50" s="49">
        <v>52</v>
      </c>
      <c r="G50" s="49"/>
      <c r="H50" s="49"/>
      <c r="I50" s="50" t="str">
        <f>IF($B50="","",IF($K50="X",B50,CONCATENATE(VLOOKUP(B50,Competitors!$A$2:$I$650,3,FALSE)," ",VLOOKUP(B50,Competitors!$A$2:$I$650,2,FALSE))))</f>
        <v>Alex Williamson (Cov Tri)</v>
      </c>
      <c r="J50" s="51">
        <f>IF(LEFT($G50,1)="D",UPPER($G50),(D50*3600+E50*60+F50)/86400)</f>
        <v>1.5879629629629629E-2</v>
      </c>
      <c r="K50" t="str">
        <f>IF(OR(B50="",ISNUMBER(B50)),"","X")</f>
        <v>X</v>
      </c>
    </row>
    <row r="51" spans="1:11" ht="15">
      <c r="A51" s="46" t="s">
        <v>737</v>
      </c>
      <c r="B51" s="47" t="str">
        <f>IF(A51="","",_xlfn.XLOOKUP(A51,ClubNames,ClubNumbers,_xlfn.XLOOKUP(A51,RoundRobinRiderNames,RoundRobinRiderDecoratedNames,A51)))</f>
        <v>Simon Law (M.I. Racing)</v>
      </c>
      <c r="C51" s="47" t="s">
        <v>738</v>
      </c>
      <c r="D51" s="48"/>
      <c r="E51" s="49">
        <v>22</v>
      </c>
      <c r="F51" s="49">
        <v>13</v>
      </c>
      <c r="G51" s="49"/>
      <c r="H51" s="49"/>
      <c r="I51" s="50" t="str">
        <f>IF($B51="","",IF($K51="X",B51,CONCATENATE(VLOOKUP(B51,Competitors!$A$2:$I$650,3,FALSE)," ",VLOOKUP(B51,Competitors!$A$2:$I$650,2,FALSE))))</f>
        <v>Simon Law (M.I. Racing)</v>
      </c>
      <c r="J51" s="51">
        <f>IF(LEFT($G51,1)="D",UPPER($G51),(D51*3600+E51*60+F51)/86400)</f>
        <v>1.5428240740740741E-2</v>
      </c>
      <c r="K51" t="str">
        <f>IF(OR(B51="",ISNUMBER(B51)),"","X")</f>
        <v>X</v>
      </c>
    </row>
    <row r="52" spans="1:11" ht="15">
      <c r="A52" s="46" t="s">
        <v>483</v>
      </c>
      <c r="B52" s="47" t="str">
        <f>IF(A52="","",_xlfn.XLOOKUP(A52,ClubNames,ClubNumbers,_xlfn.XLOOKUP(A52,RoundRobinRiderNames,RoundRobinRiderDecoratedNames,A52)))</f>
        <v>Colin Parkinson (SWRC) (HCRC)</v>
      </c>
      <c r="C52" s="47" t="s">
        <v>739</v>
      </c>
      <c r="D52" s="48"/>
      <c r="E52" s="49">
        <v>24</v>
      </c>
      <c r="F52" s="49">
        <v>18</v>
      </c>
      <c r="G52" s="49"/>
      <c r="H52" s="49"/>
      <c r="I52" s="50" t="str">
        <f>IF($B52="","",IF($K52="X",B52,CONCATENATE(VLOOKUP(B52,Competitors!$A$2:$I$650,3,FALSE)," ",VLOOKUP(B52,Competitors!$A$2:$I$650,2,FALSE))))</f>
        <v>Colin Parkinson (SWRC) (HCRC)</v>
      </c>
      <c r="J52" s="51">
        <f>IF(LEFT($G52,1)="D",UPPER($G52),(D52*3600+E52*60+F52)/86400)</f>
        <v>1.6875000000000001E-2</v>
      </c>
      <c r="K52" t="str">
        <f>IF(OR(B52="",ISNUMBER(B52)),"","X")</f>
        <v>X</v>
      </c>
    </row>
    <row r="53" spans="1:11" ht="15">
      <c r="A53" s="46" t="s">
        <v>445</v>
      </c>
      <c r="B53" s="47">
        <f>IF(A53="","",_xlfn.XLOOKUP(A53,ClubNames,ClubNumbers,_xlfn.XLOOKUP(A53,RoundRobinRiderNames,RoundRobinRiderDecoratedNames,A53)))</f>
        <v>1386</v>
      </c>
      <c r="C53" s="47" t="s">
        <v>740</v>
      </c>
      <c r="D53" s="48"/>
      <c r="E53" s="49">
        <v>28</v>
      </c>
      <c r="F53" s="49">
        <v>8</v>
      </c>
      <c r="G53" s="49" t="s">
        <v>546</v>
      </c>
      <c r="H53" s="49"/>
      <c r="I53" s="50" t="str">
        <f>IF($B53="","",IF($K53="X",B53,CONCATENATE(VLOOKUP(B53,Competitors!$A$2:$I$650,3,FALSE)," ",VLOOKUP(B53,Competitors!$A$2:$I$650,2,FALSE))))</f>
        <v>Mea Moore</v>
      </c>
      <c r="J53" s="51">
        <f>IF(LEFT($G53,1)="D",UPPER($G53),(D53*3600+E53*60+F53)/86400)</f>
        <v>1.9537037037037037E-2</v>
      </c>
      <c r="K53" t="str">
        <f>IF(OR(B53="",ISNUMBER(B53)),"","X")</f>
        <v/>
      </c>
    </row>
    <row r="54" spans="1:11" ht="15">
      <c r="A54" s="46"/>
      <c r="B54" s="47" t="str">
        <f t="shared" ref="B34:B97" si="0">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31:J65" si="1">IF(LEFT($G54,1)="D",UPPER($G54),(D54*3600+E54*60+F54)/86400)</f>
        <v>0</v>
      </c>
      <c r="K54" t="str">
        <f t="shared" ref="K31:K65" si="2">IF(OR(B54="",ISNUMBER(B54)),"","X")</f>
        <v/>
      </c>
    </row>
    <row r="55" spans="1:11" ht="15">
      <c r="A55" s="46"/>
      <c r="B55" s="47" t="str">
        <f t="shared" si="0"/>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0"/>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0"/>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0"/>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0"/>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0"/>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0"/>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0"/>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0"/>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0"/>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0"/>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0"/>
        <v/>
      </c>
      <c r="C66" s="47"/>
      <c r="D66" s="48"/>
      <c r="E66" s="49"/>
      <c r="F66" s="49"/>
      <c r="G66" s="49"/>
      <c r="H66" s="49"/>
      <c r="I66" s="50" t="str">
        <f>IF($B66="","",IF($K66="X",B66,CONCATENATE(VLOOKUP(B66,Competitors!$A$2:$I$650,3,FALSE)," ",VLOOKUP(B66,Competitors!$A$2:$I$650,2,FALSE))))</f>
        <v/>
      </c>
      <c r="J66" s="51">
        <f t="shared" ref="J66:J101" si="3">IF(LEFT($G66,1)="D",UPPER($G66),(D66*3600+E66*60+F66)/86400)</f>
        <v>0</v>
      </c>
      <c r="K66" t="str">
        <f t="shared" ref="K66:K101" si="4">IF(OR(B66="",ISNUMBER(B66)),"","X")</f>
        <v/>
      </c>
    </row>
    <row r="67" spans="1:11" ht="15">
      <c r="A67" s="46"/>
      <c r="B67" s="47" t="str">
        <f t="shared" si="0"/>
        <v/>
      </c>
      <c r="C67" s="47"/>
      <c r="D67" s="48"/>
      <c r="E67" s="49"/>
      <c r="F67" s="49"/>
      <c r="G67" s="49"/>
      <c r="H67" s="49"/>
      <c r="I67" s="50" t="str">
        <f>IF($B67="","",IF($K67="X",B67,CONCATENATE(VLOOKUP(B67,Competitors!$A$2:$I$650,3,FALSE)," ",VLOOKUP(B67,Competitors!$A$2:$I$650,2,FALSE))))</f>
        <v/>
      </c>
      <c r="J67" s="51">
        <f t="shared" si="3"/>
        <v>0</v>
      </c>
      <c r="K67" t="str">
        <f t="shared" si="4"/>
        <v/>
      </c>
    </row>
    <row r="68" spans="1:11" ht="15">
      <c r="A68" s="46"/>
      <c r="B68" s="47" t="str">
        <f t="shared" si="0"/>
        <v/>
      </c>
      <c r="C68" s="47"/>
      <c r="D68" s="48"/>
      <c r="E68" s="49"/>
      <c r="F68" s="49"/>
      <c r="G68" s="49"/>
      <c r="H68" s="49"/>
      <c r="I68" s="50" t="str">
        <f>IF($B68="","",IF($K68="X",B68,CONCATENATE(VLOOKUP(B68,Competitors!$A$2:$I$650,3,FALSE)," ",VLOOKUP(B68,Competitors!$A$2:$I$650,2,FALSE))))</f>
        <v/>
      </c>
      <c r="J68" s="51">
        <f t="shared" si="3"/>
        <v>0</v>
      </c>
      <c r="K68" t="str">
        <f t="shared" si="4"/>
        <v/>
      </c>
    </row>
    <row r="69" spans="1:11" ht="15">
      <c r="A69" s="46"/>
      <c r="B69" s="47" t="str">
        <f t="shared" si="0"/>
        <v/>
      </c>
      <c r="C69" s="47"/>
      <c r="D69" s="48"/>
      <c r="E69" s="49"/>
      <c r="F69" s="49"/>
      <c r="G69" s="49"/>
      <c r="H69" s="49"/>
      <c r="I69" s="50" t="str">
        <f>IF($B69="","",IF($K69="X",B69,CONCATENATE(VLOOKUP(B69,Competitors!$A$2:$I$650,3,FALSE)," ",VLOOKUP(B69,Competitors!$A$2:$I$650,2,FALSE))))</f>
        <v/>
      </c>
      <c r="J69" s="51">
        <f t="shared" si="3"/>
        <v>0</v>
      </c>
      <c r="K69" t="str">
        <f t="shared" si="4"/>
        <v/>
      </c>
    </row>
    <row r="70" spans="1:11" ht="15">
      <c r="A70" s="46"/>
      <c r="B70" s="47" t="str">
        <f t="shared" si="0"/>
        <v/>
      </c>
      <c r="C70" s="47"/>
      <c r="D70" s="48"/>
      <c r="E70" s="49"/>
      <c r="F70" s="49"/>
      <c r="G70" s="49"/>
      <c r="H70" s="49"/>
      <c r="I70" s="50" t="str">
        <f>IF($B70="","",IF($K70="X",B70,CONCATENATE(VLOOKUP(B70,Competitors!$A$2:$I$650,3,FALSE)," ",VLOOKUP(B70,Competitors!$A$2:$I$650,2,FALSE))))</f>
        <v/>
      </c>
      <c r="J70" s="51">
        <f t="shared" si="3"/>
        <v>0</v>
      </c>
      <c r="K70" t="str">
        <f t="shared" si="4"/>
        <v/>
      </c>
    </row>
    <row r="71" spans="1:11" ht="15">
      <c r="A71" s="46"/>
      <c r="B71" s="47" t="str">
        <f t="shared" si="0"/>
        <v/>
      </c>
      <c r="C71" s="47"/>
      <c r="D71" s="48"/>
      <c r="E71" s="49"/>
      <c r="F71" s="49"/>
      <c r="G71" s="49"/>
      <c r="H71" s="49"/>
      <c r="I71" s="50" t="str">
        <f>IF($B71="","",IF($K71="X",B71,CONCATENATE(VLOOKUP(B71,Competitors!$A$2:$I$650,3,FALSE)," ",VLOOKUP(B71,Competitors!$A$2:$I$650,2,FALSE))))</f>
        <v/>
      </c>
      <c r="J71" s="51">
        <f t="shared" si="3"/>
        <v>0</v>
      </c>
      <c r="K71" t="str">
        <f t="shared" si="4"/>
        <v/>
      </c>
    </row>
    <row r="72" spans="1:11" ht="15">
      <c r="A72" s="46"/>
      <c r="B72" s="47" t="str">
        <f t="shared" si="0"/>
        <v/>
      </c>
      <c r="C72" s="47"/>
      <c r="D72" s="48"/>
      <c r="E72" s="49"/>
      <c r="F72" s="49"/>
      <c r="G72" s="49"/>
      <c r="H72" s="49"/>
      <c r="I72" s="50" t="str">
        <f>IF($B72="","",IF($K72="X",B72,CONCATENATE(VLOOKUP(B72,Competitors!$A$2:$I$650,3,FALSE)," ",VLOOKUP(B72,Competitors!$A$2:$I$650,2,FALSE))))</f>
        <v/>
      </c>
      <c r="J72" s="51">
        <f t="shared" si="3"/>
        <v>0</v>
      </c>
      <c r="K72" t="str">
        <f t="shared" si="4"/>
        <v/>
      </c>
    </row>
    <row r="73" spans="1:11" ht="15">
      <c r="A73" s="46"/>
      <c r="B73" s="47" t="str">
        <f t="shared" si="0"/>
        <v/>
      </c>
      <c r="C73" s="47"/>
      <c r="D73" s="48"/>
      <c r="E73" s="49"/>
      <c r="F73" s="49"/>
      <c r="G73" s="49"/>
      <c r="H73" s="49"/>
      <c r="I73" s="50" t="str">
        <f>IF($B73="","",IF($K73="X",B73,CONCATENATE(VLOOKUP(B73,Competitors!$A$2:$I$650,3,FALSE)," ",VLOOKUP(B73,Competitors!$A$2:$I$650,2,FALSE))))</f>
        <v/>
      </c>
      <c r="J73" s="51">
        <f t="shared" si="3"/>
        <v>0</v>
      </c>
      <c r="K73" t="str">
        <f t="shared" si="4"/>
        <v/>
      </c>
    </row>
    <row r="74" spans="1:11" ht="15">
      <c r="A74" s="46"/>
      <c r="B74" s="47" t="str">
        <f t="shared" si="0"/>
        <v/>
      </c>
      <c r="C74" s="47"/>
      <c r="D74" s="48"/>
      <c r="E74" s="49"/>
      <c r="F74" s="49"/>
      <c r="G74" s="49"/>
      <c r="H74" s="49"/>
      <c r="I74" s="50" t="str">
        <f>IF($B74="","",IF($K74="X",B74,CONCATENATE(VLOOKUP(B74,Competitors!$A$2:$I$650,3,FALSE)," ",VLOOKUP(B74,Competitors!$A$2:$I$650,2,FALSE))))</f>
        <v/>
      </c>
      <c r="J74" s="51">
        <f t="shared" si="3"/>
        <v>0</v>
      </c>
      <c r="K74" t="str">
        <f t="shared" si="4"/>
        <v/>
      </c>
    </row>
    <row r="75" spans="1:11" ht="15">
      <c r="A75" s="46"/>
      <c r="B75" s="47" t="str">
        <f t="shared" si="0"/>
        <v/>
      </c>
      <c r="C75" s="47"/>
      <c r="D75" s="48"/>
      <c r="E75" s="49"/>
      <c r="F75" s="49"/>
      <c r="G75" s="49"/>
      <c r="H75" s="49"/>
      <c r="I75" s="50" t="str">
        <f>IF($B75="","",IF($K75="X",B75,CONCATENATE(VLOOKUP(B75,Competitors!$A$2:$I$650,3,FALSE)," ",VLOOKUP(B75,Competitors!$A$2:$I$650,2,FALSE))))</f>
        <v/>
      </c>
      <c r="J75" s="51">
        <f t="shared" si="3"/>
        <v>0</v>
      </c>
      <c r="K75" t="str">
        <f t="shared" si="4"/>
        <v/>
      </c>
    </row>
    <row r="76" spans="1:11" ht="15">
      <c r="A76" s="46"/>
      <c r="B76" s="47" t="str">
        <f t="shared" si="0"/>
        <v/>
      </c>
      <c r="C76" s="47"/>
      <c r="D76" s="48"/>
      <c r="E76" s="49"/>
      <c r="F76" s="49"/>
      <c r="G76" s="49"/>
      <c r="H76" s="49"/>
      <c r="I76" s="50" t="str">
        <f>IF($B76="","",IF($K76="X",B76,CONCATENATE(VLOOKUP(B76,Competitors!$A$2:$I$650,3,FALSE)," ",VLOOKUP(B76,Competitors!$A$2:$I$650,2,FALSE))))</f>
        <v/>
      </c>
      <c r="J76" s="51">
        <f t="shared" si="3"/>
        <v>0</v>
      </c>
      <c r="K76" t="str">
        <f t="shared" si="4"/>
        <v/>
      </c>
    </row>
    <row r="77" spans="1:11" ht="15">
      <c r="A77" s="46"/>
      <c r="B77" s="47" t="str">
        <f t="shared" si="0"/>
        <v/>
      </c>
      <c r="C77" s="47"/>
      <c r="D77" s="48"/>
      <c r="E77" s="49"/>
      <c r="F77" s="49"/>
      <c r="G77" s="49"/>
      <c r="H77" s="49"/>
      <c r="I77" s="50" t="str">
        <f>IF($B77="","",IF($K77="X",B77,CONCATENATE(VLOOKUP(B77,Competitors!$A$2:$I$650,3,FALSE)," ",VLOOKUP(B77,Competitors!$A$2:$I$650,2,FALSE))))</f>
        <v/>
      </c>
      <c r="J77" s="51">
        <f t="shared" si="3"/>
        <v>0</v>
      </c>
      <c r="K77" t="str">
        <f t="shared" si="4"/>
        <v/>
      </c>
    </row>
    <row r="78" spans="1:11" ht="15">
      <c r="A78" s="46"/>
      <c r="B78" s="47" t="str">
        <f t="shared" si="0"/>
        <v/>
      </c>
      <c r="C78" s="47"/>
      <c r="D78" s="48"/>
      <c r="E78" s="49"/>
      <c r="F78" s="49"/>
      <c r="G78" s="49"/>
      <c r="H78" s="49"/>
      <c r="I78" s="50" t="str">
        <f>IF($B78="","",IF($K78="X",B78,CONCATENATE(VLOOKUP(B78,Competitors!$A$2:$I$650,3,FALSE)," ",VLOOKUP(B78,Competitors!$A$2:$I$650,2,FALSE))))</f>
        <v/>
      </c>
      <c r="J78" s="51">
        <f t="shared" si="3"/>
        <v>0</v>
      </c>
      <c r="K78" t="str">
        <f t="shared" si="4"/>
        <v/>
      </c>
    </row>
    <row r="79" spans="1:11" ht="15">
      <c r="A79" s="46"/>
      <c r="B79" s="47" t="str">
        <f t="shared" si="0"/>
        <v/>
      </c>
      <c r="C79" s="47"/>
      <c r="D79" s="48"/>
      <c r="E79" s="49"/>
      <c r="F79" s="49"/>
      <c r="G79" s="49"/>
      <c r="H79" s="49"/>
      <c r="I79" s="50" t="str">
        <f>IF($B79="","",IF($K79="X",B79,CONCATENATE(VLOOKUP(B79,Competitors!$A$2:$I$650,3,FALSE)," ",VLOOKUP(B79,Competitors!$A$2:$I$650,2,FALSE))))</f>
        <v/>
      </c>
      <c r="J79" s="51">
        <f t="shared" si="3"/>
        <v>0</v>
      </c>
      <c r="K79" t="str">
        <f t="shared" si="4"/>
        <v/>
      </c>
    </row>
    <row r="80" spans="1:11" ht="15">
      <c r="A80" s="46"/>
      <c r="B80" s="47" t="str">
        <f t="shared" si="0"/>
        <v/>
      </c>
      <c r="C80" s="47"/>
      <c r="D80" s="48"/>
      <c r="E80" s="49"/>
      <c r="F80" s="49"/>
      <c r="G80" s="49"/>
      <c r="H80" s="49"/>
      <c r="I80" s="50" t="str">
        <f>IF($B80="","",IF($K80="X",B80,CONCATENATE(VLOOKUP(B80,Competitors!$A$2:$I$650,3,FALSE)," ",VLOOKUP(B80,Competitors!$A$2:$I$650,2,FALSE))))</f>
        <v/>
      </c>
      <c r="J80" s="51">
        <f t="shared" si="3"/>
        <v>0</v>
      </c>
      <c r="K80" t="str">
        <f t="shared" si="4"/>
        <v/>
      </c>
    </row>
    <row r="81" spans="1:11" ht="15">
      <c r="A81" s="46"/>
      <c r="B81" s="47" t="str">
        <f t="shared" si="0"/>
        <v/>
      </c>
      <c r="C81" s="47"/>
      <c r="D81" s="48"/>
      <c r="E81" s="49"/>
      <c r="F81" s="49"/>
      <c r="G81" s="49"/>
      <c r="H81" s="49"/>
      <c r="I81" s="50" t="str">
        <f>IF($B81="","",IF($K81="X",B81,CONCATENATE(VLOOKUP(B81,Competitors!$A$2:$I$650,3,FALSE)," ",VLOOKUP(B81,Competitors!$A$2:$I$650,2,FALSE))))</f>
        <v/>
      </c>
      <c r="J81" s="51">
        <f t="shared" si="3"/>
        <v>0</v>
      </c>
      <c r="K81" t="str">
        <f t="shared" si="4"/>
        <v/>
      </c>
    </row>
    <row r="82" spans="1:11" ht="15">
      <c r="A82" s="46"/>
      <c r="B82" s="47" t="str">
        <f t="shared" si="0"/>
        <v/>
      </c>
      <c r="C82" s="47"/>
      <c r="D82" s="48"/>
      <c r="E82" s="49"/>
      <c r="F82" s="49"/>
      <c r="G82" s="49"/>
      <c r="H82" s="49"/>
      <c r="I82" s="50" t="str">
        <f>IF($B82="","",IF($K82="X",B82,CONCATENATE(VLOOKUP(B82,Competitors!$A$2:$I$650,3,FALSE)," ",VLOOKUP(B82,Competitors!$A$2:$I$650,2,FALSE))))</f>
        <v/>
      </c>
      <c r="J82" s="51">
        <f t="shared" si="3"/>
        <v>0</v>
      </c>
      <c r="K82" t="str">
        <f t="shared" si="4"/>
        <v/>
      </c>
    </row>
    <row r="83" spans="1:11" ht="15">
      <c r="A83" s="46"/>
      <c r="B83" s="47" t="str">
        <f t="shared" si="0"/>
        <v/>
      </c>
      <c r="C83" s="47"/>
      <c r="D83" s="48"/>
      <c r="E83" s="49"/>
      <c r="F83" s="49"/>
      <c r="G83" s="49"/>
      <c r="H83" s="49"/>
      <c r="I83" s="50" t="str">
        <f>IF($B83="","",IF($K83="X",B83,CONCATENATE(VLOOKUP(B83,Competitors!$A$2:$I$650,3,FALSE)," ",VLOOKUP(B83,Competitors!$A$2:$I$650,2,FALSE))))</f>
        <v/>
      </c>
      <c r="J83" s="51">
        <f t="shared" si="3"/>
        <v>0</v>
      </c>
      <c r="K83" t="str">
        <f t="shared" si="4"/>
        <v/>
      </c>
    </row>
    <row r="84" spans="1:11" ht="15">
      <c r="A84" s="46"/>
      <c r="B84" s="47" t="str">
        <f t="shared" si="0"/>
        <v/>
      </c>
      <c r="C84" s="47"/>
      <c r="D84" s="48"/>
      <c r="E84" s="49"/>
      <c r="F84" s="49"/>
      <c r="G84" s="49"/>
      <c r="H84" s="49"/>
      <c r="I84" s="50" t="str">
        <f>IF($B84="","",IF($K84="X",B84,CONCATENATE(VLOOKUP(B84,Competitors!$A$2:$I$650,3,FALSE)," ",VLOOKUP(B84,Competitors!$A$2:$I$650,2,FALSE))))</f>
        <v/>
      </c>
      <c r="J84" s="51">
        <f t="shared" si="3"/>
        <v>0</v>
      </c>
      <c r="K84" t="str">
        <f t="shared" si="4"/>
        <v/>
      </c>
    </row>
    <row r="85" spans="1:11" ht="15">
      <c r="A85" s="46"/>
      <c r="B85" s="47" t="str">
        <f t="shared" si="0"/>
        <v/>
      </c>
      <c r="C85" s="47"/>
      <c r="D85" s="48"/>
      <c r="E85" s="49"/>
      <c r="F85" s="49"/>
      <c r="G85" s="49"/>
      <c r="H85" s="49"/>
      <c r="I85" s="50" t="str">
        <f>IF($B85="","",IF($K85="X",B85,CONCATENATE(VLOOKUP(B85,Competitors!$A$2:$I$650,3,FALSE)," ",VLOOKUP(B85,Competitors!$A$2:$I$650,2,FALSE))))</f>
        <v/>
      </c>
      <c r="J85" s="51">
        <f t="shared" si="3"/>
        <v>0</v>
      </c>
      <c r="K85" t="str">
        <f t="shared" si="4"/>
        <v/>
      </c>
    </row>
    <row r="86" spans="1:11" ht="15">
      <c r="A86" s="46"/>
      <c r="B86" s="47" t="str">
        <f t="shared" si="0"/>
        <v/>
      </c>
      <c r="C86" s="47"/>
      <c r="D86" s="48"/>
      <c r="E86" s="49"/>
      <c r="F86" s="49"/>
      <c r="G86" s="49"/>
      <c r="H86" s="49"/>
      <c r="I86" s="50" t="str">
        <f>IF($B86="","",IF($K86="X",B86,CONCATENATE(VLOOKUP(B86,Competitors!$A$2:$I$650,3,FALSE)," ",VLOOKUP(B86,Competitors!$A$2:$I$650,2,FALSE))))</f>
        <v/>
      </c>
      <c r="J86" s="51">
        <f t="shared" si="3"/>
        <v>0</v>
      </c>
      <c r="K86" t="str">
        <f t="shared" si="4"/>
        <v/>
      </c>
    </row>
    <row r="87" spans="1:11" ht="15">
      <c r="A87" s="46"/>
      <c r="B87" s="47" t="str">
        <f t="shared" si="0"/>
        <v/>
      </c>
      <c r="C87" s="47"/>
      <c r="D87" s="48"/>
      <c r="E87" s="49"/>
      <c r="F87" s="49"/>
      <c r="G87" s="49"/>
      <c r="H87" s="49"/>
      <c r="I87" s="50" t="str">
        <f>IF($B87="","",IF($K87="X",B87,CONCATENATE(VLOOKUP(B87,Competitors!$A$2:$I$650,3,FALSE)," ",VLOOKUP(B87,Competitors!$A$2:$I$650,2,FALSE))))</f>
        <v/>
      </c>
      <c r="J87" s="51">
        <f t="shared" si="3"/>
        <v>0</v>
      </c>
      <c r="K87" t="str">
        <f t="shared" si="4"/>
        <v/>
      </c>
    </row>
    <row r="88" spans="1:11" ht="15">
      <c r="A88" s="46"/>
      <c r="B88" s="47" t="str">
        <f t="shared" si="0"/>
        <v/>
      </c>
      <c r="C88" s="47"/>
      <c r="D88" s="48"/>
      <c r="E88" s="49"/>
      <c r="F88" s="49"/>
      <c r="G88" s="49"/>
      <c r="H88" s="49"/>
      <c r="I88" s="50" t="str">
        <f>IF($B88="","",IF($K88="X",B88,CONCATENATE(VLOOKUP(B88,Competitors!$A$2:$I$650,3,FALSE)," ",VLOOKUP(B88,Competitors!$A$2:$I$650,2,FALSE))))</f>
        <v/>
      </c>
      <c r="J88" s="51">
        <f t="shared" si="3"/>
        <v>0</v>
      </c>
      <c r="K88" t="str">
        <f t="shared" si="4"/>
        <v/>
      </c>
    </row>
    <row r="89" spans="1:11" ht="15">
      <c r="A89" s="46"/>
      <c r="B89" s="47" t="str">
        <f t="shared" si="0"/>
        <v/>
      </c>
      <c r="C89" s="47"/>
      <c r="D89" s="48"/>
      <c r="E89" s="49"/>
      <c r="F89" s="49"/>
      <c r="G89" s="49"/>
      <c r="H89" s="49"/>
      <c r="I89" s="50" t="str">
        <f>IF($B89="","",IF($K89="X",B89,CONCATENATE(VLOOKUP(B89,Competitors!$A$2:$I$650,3,FALSE)," ",VLOOKUP(B89,Competitors!$A$2:$I$650,2,FALSE))))</f>
        <v/>
      </c>
      <c r="J89" s="51">
        <f t="shared" si="3"/>
        <v>0</v>
      </c>
      <c r="K89" t="str">
        <f t="shared" si="4"/>
        <v/>
      </c>
    </row>
    <row r="90" spans="1:11" ht="15">
      <c r="A90" s="46"/>
      <c r="B90" s="47" t="str">
        <f t="shared" si="0"/>
        <v/>
      </c>
      <c r="C90" s="47"/>
      <c r="D90" s="48"/>
      <c r="E90" s="49"/>
      <c r="F90" s="49"/>
      <c r="G90" s="49"/>
      <c r="H90" s="49"/>
      <c r="I90" s="50" t="str">
        <f>IF($B90="","",IF($K90="X",B90,CONCATENATE(VLOOKUP(B90,Competitors!$A$2:$I$650,3,FALSE)," ",VLOOKUP(B90,Competitors!$A$2:$I$650,2,FALSE))))</f>
        <v/>
      </c>
      <c r="J90" s="51">
        <f t="shared" si="3"/>
        <v>0</v>
      </c>
      <c r="K90" t="str">
        <f t="shared" si="4"/>
        <v/>
      </c>
    </row>
    <row r="91" spans="1:11" ht="15">
      <c r="A91" s="46"/>
      <c r="B91" s="47" t="str">
        <f t="shared" si="0"/>
        <v/>
      </c>
      <c r="C91" s="47"/>
      <c r="D91" s="48"/>
      <c r="E91" s="49"/>
      <c r="F91" s="49"/>
      <c r="G91" s="49"/>
      <c r="H91" s="49"/>
      <c r="I91" s="50" t="str">
        <f>IF($B91="","",IF($K91="X",B91,CONCATENATE(VLOOKUP(B91,Competitors!$A$2:$I$650,3,FALSE)," ",VLOOKUP(B91,Competitors!$A$2:$I$650,2,FALSE))))</f>
        <v/>
      </c>
      <c r="J91" s="51">
        <f t="shared" si="3"/>
        <v>0</v>
      </c>
      <c r="K91" t="str">
        <f t="shared" si="4"/>
        <v/>
      </c>
    </row>
    <row r="92" spans="1:11" ht="15">
      <c r="A92" s="46"/>
      <c r="B92" s="47" t="str">
        <f t="shared" si="0"/>
        <v/>
      </c>
      <c r="C92" s="47"/>
      <c r="D92" s="48"/>
      <c r="E92" s="49"/>
      <c r="F92" s="49"/>
      <c r="G92" s="49"/>
      <c r="H92" s="49"/>
      <c r="I92" s="50" t="str">
        <f>IF($B92="","",IF($K92="X",B92,CONCATENATE(VLOOKUP(B92,Competitors!$A$2:$I$650,3,FALSE)," ",VLOOKUP(B92,Competitors!$A$2:$I$650,2,FALSE))))</f>
        <v/>
      </c>
      <c r="J92" s="51">
        <f t="shared" si="3"/>
        <v>0</v>
      </c>
      <c r="K92" t="str">
        <f t="shared" si="4"/>
        <v/>
      </c>
    </row>
    <row r="93" spans="1:11" ht="15">
      <c r="A93" s="46"/>
      <c r="B93" s="47" t="str">
        <f t="shared" si="0"/>
        <v/>
      </c>
      <c r="C93" s="47"/>
      <c r="D93" s="48"/>
      <c r="E93" s="49"/>
      <c r="F93" s="49"/>
      <c r="G93" s="49"/>
      <c r="H93" s="49"/>
      <c r="I93" s="50" t="str">
        <f>IF($B93="","",IF($K93="X",B93,CONCATENATE(VLOOKUP(B93,Competitors!$A$2:$I$650,3,FALSE)," ",VLOOKUP(B93,Competitors!$A$2:$I$650,2,FALSE))))</f>
        <v/>
      </c>
      <c r="J93" s="51">
        <f t="shared" si="3"/>
        <v>0</v>
      </c>
      <c r="K93" t="str">
        <f t="shared" si="4"/>
        <v/>
      </c>
    </row>
    <row r="94" spans="1:11" ht="15">
      <c r="A94" s="46"/>
      <c r="B94" s="47" t="str">
        <f t="shared" si="0"/>
        <v/>
      </c>
      <c r="C94" s="47"/>
      <c r="D94" s="48"/>
      <c r="E94" s="49"/>
      <c r="F94" s="49"/>
      <c r="G94" s="49"/>
      <c r="H94" s="49"/>
      <c r="I94" s="50" t="str">
        <f>IF($B94="","",IF($K94="X",B94,CONCATENATE(VLOOKUP(B94,Competitors!$A$2:$I$650,3,FALSE)," ",VLOOKUP(B94,Competitors!$A$2:$I$650,2,FALSE))))</f>
        <v/>
      </c>
      <c r="J94" s="51">
        <f t="shared" si="3"/>
        <v>0</v>
      </c>
      <c r="K94" t="str">
        <f t="shared" si="4"/>
        <v/>
      </c>
    </row>
    <row r="95" spans="1:11" ht="15">
      <c r="A95" s="46"/>
      <c r="B95" s="47" t="str">
        <f t="shared" si="0"/>
        <v/>
      </c>
      <c r="C95" s="47"/>
      <c r="D95" s="48"/>
      <c r="E95" s="49"/>
      <c r="F95" s="49"/>
      <c r="G95" s="49"/>
      <c r="H95" s="49"/>
      <c r="I95" s="50" t="str">
        <f>IF($B95="","",IF($K95="X",B95,CONCATENATE(VLOOKUP(B95,Competitors!$A$2:$I$650,3,FALSE)," ",VLOOKUP(B95,Competitors!$A$2:$I$650,2,FALSE))))</f>
        <v/>
      </c>
      <c r="J95" s="51">
        <f t="shared" si="3"/>
        <v>0</v>
      </c>
      <c r="K95" t="str">
        <f t="shared" si="4"/>
        <v/>
      </c>
    </row>
    <row r="96" spans="1:11" ht="15">
      <c r="A96" s="46"/>
      <c r="B96" s="47" t="str">
        <f t="shared" si="0"/>
        <v/>
      </c>
      <c r="C96" s="47"/>
      <c r="D96" s="48"/>
      <c r="E96" s="49"/>
      <c r="F96" s="49"/>
      <c r="G96" s="49"/>
      <c r="H96" s="49"/>
      <c r="I96" s="50" t="str">
        <f>IF($B96="","",IF($K96="X",B96,CONCATENATE(VLOOKUP(B96,Competitors!$A$2:$I$650,3,FALSE)," ",VLOOKUP(B96,Competitors!$A$2:$I$650,2,FALSE))))</f>
        <v/>
      </c>
      <c r="J96" s="51">
        <f t="shared" si="3"/>
        <v>0</v>
      </c>
      <c r="K96" t="str">
        <f t="shared" si="4"/>
        <v/>
      </c>
    </row>
    <row r="97" spans="1:11" ht="15">
      <c r="A97" s="46"/>
      <c r="B97" s="47" t="str">
        <f t="shared" si="0"/>
        <v/>
      </c>
      <c r="C97" s="47"/>
      <c r="D97" s="48"/>
      <c r="E97" s="49"/>
      <c r="F97" s="49"/>
      <c r="G97" s="49"/>
      <c r="H97" s="49"/>
      <c r="I97" s="50" t="str">
        <f>IF($B97="","",IF($K97="X",B97,CONCATENATE(VLOOKUP(B97,Competitors!$A$2:$I$650,3,FALSE)," ",VLOOKUP(B97,Competitors!$A$2:$I$650,2,FALSE))))</f>
        <v/>
      </c>
      <c r="J97" s="51">
        <f t="shared" si="3"/>
        <v>0</v>
      </c>
      <c r="K97" t="str">
        <f t="shared" si="4"/>
        <v/>
      </c>
    </row>
    <row r="98" spans="1:11" ht="15">
      <c r="A98" s="46"/>
      <c r="B98" s="47" t="str">
        <f t="shared" ref="B98:B101" si="5">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3"/>
        <v>0</v>
      </c>
      <c r="K98" t="str">
        <f t="shared" si="4"/>
        <v/>
      </c>
    </row>
    <row r="99" spans="1:11" ht="15">
      <c r="A99" s="46"/>
      <c r="B99" s="47" t="str">
        <f t="shared" si="5"/>
        <v/>
      </c>
      <c r="C99" s="47"/>
      <c r="D99" s="48"/>
      <c r="E99" s="49"/>
      <c r="F99" s="49"/>
      <c r="G99" s="49"/>
      <c r="H99" s="49"/>
      <c r="I99" s="50" t="str">
        <f>IF($B99="","",IF($K99="X",B99,CONCATENATE(VLOOKUP(B99,Competitors!$A$2:$I$650,3,FALSE)," ",VLOOKUP(B99,Competitors!$A$2:$I$650,2,FALSE))))</f>
        <v/>
      </c>
      <c r="J99" s="51">
        <f t="shared" si="3"/>
        <v>0</v>
      </c>
      <c r="K99" t="str">
        <f t="shared" si="4"/>
        <v/>
      </c>
    </row>
    <row r="100" spans="1:11" ht="15">
      <c r="A100" s="46"/>
      <c r="B100" s="47" t="str">
        <f t="shared" si="5"/>
        <v/>
      </c>
      <c r="C100" s="47"/>
      <c r="D100" s="48"/>
      <c r="E100" s="49"/>
      <c r="F100" s="49"/>
      <c r="G100" s="49"/>
      <c r="H100" s="49"/>
      <c r="I100" s="50" t="str">
        <f>IF($B100="","",IF($K100="X",B100,CONCATENATE(VLOOKUP(B100,Competitors!$A$2:$I$650,3, FALSE)," ",VLOOKUP(B100,Competitors!$A$2:$I$650,2,FALSE))))</f>
        <v/>
      </c>
      <c r="J100" s="51">
        <f t="shared" si="3"/>
        <v>0</v>
      </c>
      <c r="K100" t="str">
        <f t="shared" si="4"/>
        <v/>
      </c>
    </row>
    <row r="101" spans="1:11" ht="15">
      <c r="A101" s="46"/>
      <c r="B101" s="47" t="str">
        <f t="shared" si="5"/>
        <v/>
      </c>
      <c r="C101" s="47"/>
      <c r="D101" s="48"/>
      <c r="E101" s="49"/>
      <c r="F101" s="49"/>
      <c r="G101" s="49"/>
      <c r="H101" s="49"/>
      <c r="I101" s="50" t="str">
        <f>IF($B101="","",IF($K101="X",B101,CONCATENATE(VLOOKUP(B101,Competitors!$A$2:$I$650,3,FALSE)," ",VLOOKUP(B101,Competitors!$A$2:$I$650,2,FALSE))))</f>
        <v/>
      </c>
      <c r="J101" s="51">
        <f t="shared" si="3"/>
        <v>0</v>
      </c>
      <c r="K101" t="str">
        <f t="shared" si="4"/>
        <v/>
      </c>
    </row>
    <row r="102" spans="1:11" s="52" customFormat="1">
      <c r="J102" s="53"/>
    </row>
    <row r="103" spans="1:11">
      <c r="B103" t="s">
        <v>553</v>
      </c>
      <c r="D103" t="str" cm="1">
        <f t="array" aca="1" ref="D103" ca="1">MID(CELL("filename",B1),FIND("]",CELL("filename",B1))+1,255)</f>
        <v>Event_18</v>
      </c>
    </row>
    <row r="104" spans="1:11">
      <c r="B104" t="s">
        <v>554</v>
      </c>
      <c r="D104" t="str">
        <f ca="1">_xlfn.XLOOKUP(D103,Calendar!N:N,Calendar!H:H,"Event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 workbookViewId="1"/>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 workbookViewId="1"/>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2026-07-14T19:59:03Z</dcterms:modified>
</cp:coreProperties>
</file>