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comments30.xml" ContentType="application/vnd.openxmlformats-officedocument.spreadsheetml.comments+xml"/>
  <Override PartName="/xl/threadedComments/threadedComment30.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DC9053AC-05A3-4FE4-8A25-78C86C33C06B}" xr6:coauthVersionLast="47" xr6:coauthVersionMax="47" xr10:uidLastSave="{00000000-0000-0000-0000-000000000000}"/>
  <bookViews>
    <workbookView xWindow="-83" yWindow="0" windowWidth="14566" windowHeight="17363" firstSheet="36" activeTab="38" xr2:uid="{5D51595C-9FFA-4C74-8AF4-AA5B43DF47AB}"/>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1" r:id="rId33"/>
    <sheet name="Event_14" sheetId="32" r:id="rId34"/>
    <sheet name="Event_15" sheetId="33" r:id="rId35"/>
    <sheet name="Event_16" sheetId="34" r:id="rId36"/>
    <sheet name="Event_17" sheetId="35" r:id="rId37"/>
    <sheet name="Event_18" sheetId="36" r:id="rId38"/>
    <sheet name="Event_19" sheetId="37"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 name="Event_28" sheetId="46" r:id="rId48"/>
  </sheets>
  <definedNames>
    <definedName name="_xlnm._FilterDatabase" localSheetId="33" hidden="1">Event_14!$A$1:$J$101</definedName>
    <definedName name="_xlnm._FilterDatabase" localSheetId="19" hidden="1">RoundRobinRiders!$A$1:$D$67</definedName>
    <definedName name="Calendar">Calendar!$A$2:$G$28</definedName>
    <definedName name="CalendarEventNumbers">Calendar!$A$2:$A$28</definedName>
    <definedName name="ClubNames">NameLookup!$B$2:$B$402</definedName>
    <definedName name="ClubNumbers">NameLookup!$A$2:$A$402</definedName>
    <definedName name="MemberData">Event_01!$H$2</definedName>
    <definedName name="NonTenEvents">Calendar!$J$2:$J$28</definedName>
    <definedName name="Number2Name">NameLookup!$A$2:$B$402</definedName>
    <definedName name="RoundRobinNameToClub">RoundRobinRiders!$A$4:$C$33</definedName>
    <definedName name="RoundRobinNameToClubRange">RoundRobinRiders!$A$4:$C$202</definedName>
    <definedName name="RoundRobinRiderClubs">RoundRobinRiders!$B:$B</definedName>
    <definedName name="RoundRobinRiderDecoratedNames">RoundRobinRiders!$C:$C</definedName>
    <definedName name="RoundRobinRiderNames">RoundRobinRiders!$A:$A</definedName>
    <definedName name="TenMileEvents">Calendar!$K$2:$K$28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37" l="1"/>
  <c r="C31" i="18"/>
  <c r="C32" i="18"/>
  <c r="C40" i="18"/>
  <c r="C4" i="18"/>
  <c r="C110" i="18"/>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4" i="18"/>
  <c r="C57" i="18"/>
  <c r="C72" i="18"/>
  <c r="C43" i="18"/>
  <c r="C101" i="18"/>
  <c r="C8" i="18"/>
  <c r="C7" i="18"/>
  <c r="C103" i="18"/>
  <c r="C104" i="18"/>
  <c r="C49" i="18"/>
  <c r="C47" i="18"/>
  <c r="C14" i="18"/>
  <c r="C15" i="18"/>
  <c r="C35" i="18"/>
  <c r="C46" i="18"/>
  <c r="C10" i="18"/>
  <c r="C48" i="18"/>
  <c r="C36" i="18"/>
  <c r="J26" i="16"/>
  <c r="K26" i="16"/>
  <c r="M26" i="16"/>
  <c r="J24" i="16"/>
  <c r="K24" i="16"/>
  <c r="M24" i="16"/>
  <c r="H26"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B52" i="36"/>
  <c r="J47" i="36"/>
  <c r="B47" i="36"/>
  <c r="J41" i="36"/>
  <c r="B41" i="36"/>
  <c r="J38" i="36"/>
  <c r="B38" i="36"/>
  <c r="J37" i="36"/>
  <c r="B37" i="36"/>
  <c r="J36" i="36"/>
  <c r="B36" i="36"/>
  <c r="J35" i="36"/>
  <c r="B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I24" i="31"/>
  <c r="I23" i="31"/>
  <c r="I22" i="31"/>
  <c r="I21" i="31"/>
  <c r="I20" i="31"/>
  <c r="I19" i="31"/>
  <c r="I18" i="31"/>
  <c r="I17" i="31"/>
  <c r="I16" i="31"/>
  <c r="I15" i="31"/>
  <c r="I14" i="31"/>
  <c r="I13" i="31"/>
  <c r="I12" i="31"/>
  <c r="I11" i="31"/>
  <c r="I10" i="31"/>
  <c r="I9" i="31"/>
  <c r="I8" i="31"/>
  <c r="I7" i="31"/>
  <c r="I6" i="31"/>
  <c r="I5" i="31"/>
  <c r="I4" i="31"/>
  <c r="I3" i="31"/>
  <c r="C26" i="18"/>
  <c r="I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1" i="18"/>
  <c r="I48" i="29"/>
  <c r="C86" i="18"/>
  <c r="I47" i="29"/>
  <c r="I46" i="29"/>
  <c r="C91" i="18"/>
  <c r="I45" i="29"/>
  <c r="I44" i="29"/>
  <c r="I43" i="29"/>
  <c r="I42" i="29"/>
  <c r="I41" i="29"/>
  <c r="I40" i="29"/>
  <c r="I39" i="29"/>
  <c r="I38" i="29"/>
  <c r="I37" i="29"/>
  <c r="I36" i="29"/>
  <c r="I35" i="29"/>
  <c r="I34" i="29"/>
  <c r="I33" i="29"/>
  <c r="I32" i="29"/>
  <c r="I31" i="29"/>
  <c r="I30" i="29"/>
  <c r="I29" i="29"/>
  <c r="I28" i="29"/>
  <c r="I27" i="29"/>
  <c r="I26" i="29"/>
  <c r="I25" i="29"/>
  <c r="I24" i="29"/>
  <c r="C68" i="18"/>
  <c r="I23" i="29"/>
  <c r="I22" i="29"/>
  <c r="C56" i="18"/>
  <c r="I21" i="29"/>
  <c r="I20" i="29"/>
  <c r="I19" i="29"/>
  <c r="C62" i="18"/>
  <c r="I18" i="29"/>
  <c r="I17" i="29"/>
  <c r="I16" i="29"/>
  <c r="I15" i="29"/>
  <c r="I14" i="29"/>
  <c r="I13" i="29"/>
  <c r="I12" i="29"/>
  <c r="I11" i="29"/>
  <c r="I10" i="29"/>
  <c r="C58" i="18"/>
  <c r="I9" i="29"/>
  <c r="I8" i="29"/>
  <c r="I7" i="29"/>
  <c r="I6" i="29"/>
  <c r="I5" i="29"/>
  <c r="I4" i="29"/>
  <c r="I3" i="29"/>
  <c r="C65"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75" i="18"/>
  <c r="C42" i="18"/>
  <c r="C34" i="18"/>
  <c r="C95" i="18"/>
  <c r="C107" i="18"/>
  <c r="C106" i="18"/>
  <c r="C109" i="18"/>
  <c r="C108" i="18"/>
  <c r="C27" i="18"/>
  <c r="C30" i="18"/>
  <c r="C87" i="18"/>
  <c r="C98" i="18"/>
  <c r="C97" i="18"/>
  <c r="C29" i="18"/>
  <c r="C84" i="18"/>
  <c r="C102" i="18"/>
  <c r="C100" i="18"/>
  <c r="C99" i="18"/>
  <c r="C96" i="18"/>
  <c r="C94" i="18"/>
  <c r="C93" i="18"/>
  <c r="C92" i="18"/>
  <c r="C90" i="18"/>
  <c r="C89" i="18"/>
  <c r="C88" i="18"/>
  <c r="C85" i="18"/>
  <c r="C83" i="18"/>
  <c r="C82" i="18"/>
  <c r="C81" i="18"/>
  <c r="C80" i="18"/>
  <c r="C79" i="18"/>
  <c r="C78" i="18"/>
  <c r="C77" i="18"/>
  <c r="C76" i="18"/>
  <c r="C74" i="18"/>
  <c r="C73" i="18"/>
  <c r="C70" i="18"/>
  <c r="C69" i="18"/>
  <c r="C67" i="18"/>
  <c r="C66" i="18"/>
  <c r="C63" i="18"/>
  <c r="C61" i="18"/>
  <c r="C60" i="18"/>
  <c r="C59" i="18"/>
  <c r="C55" i="18"/>
  <c r="C54" i="18"/>
  <c r="C105" i="18"/>
  <c r="C53" i="18"/>
  <c r="C52" i="18"/>
  <c r="C51" i="18"/>
  <c r="C50" i="18"/>
  <c r="C45" i="18"/>
  <c r="C44" i="18"/>
  <c r="C41" i="18"/>
  <c r="C39" i="18"/>
  <c r="C38" i="18"/>
  <c r="C37" i="18"/>
  <c r="C33" i="18"/>
  <c r="C28" i="18"/>
  <c r="C25" i="18"/>
  <c r="C24" i="18"/>
  <c r="C23" i="18"/>
  <c r="C22" i="18"/>
  <c r="B53" i="36" s="1"/>
  <c r="C21" i="18"/>
  <c r="C18" i="18"/>
  <c r="C17" i="18"/>
  <c r="C16" i="18"/>
  <c r="C13" i="18"/>
  <c r="C12"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N29" i="16"/>
  <c r="M29" i="16"/>
  <c r="K29" i="16"/>
  <c r="J29" i="16"/>
  <c r="H29" i="16"/>
  <c r="N28" i="16"/>
  <c r="M28" i="16"/>
  <c r="K28" i="16"/>
  <c r="J28" i="16"/>
  <c r="H28" i="16"/>
  <c r="M27" i="16"/>
  <c r="K27" i="16"/>
  <c r="J27" i="16"/>
  <c r="H27" i="16"/>
  <c r="M25" i="16"/>
  <c r="K25" i="16"/>
  <c r="J25" i="16"/>
  <c r="H25" i="16"/>
  <c r="H24" i="16"/>
  <c r="M23" i="16"/>
  <c r="K23" i="16"/>
  <c r="J23" i="16"/>
  <c r="H23" i="16"/>
  <c r="M22" i="16"/>
  <c r="K22" i="16"/>
  <c r="J22" i="16"/>
  <c r="H22" i="16"/>
  <c r="M21" i="16"/>
  <c r="K21" i="16"/>
  <c r="J21" i="16"/>
  <c r="H21" i="16"/>
  <c r="M20" i="16"/>
  <c r="K20" i="16"/>
  <c r="J20" i="16"/>
  <c r="H20" i="16"/>
  <c r="M19" i="16"/>
  <c r="K19" i="16"/>
  <c r="J19" i="16"/>
  <c r="H19" i="16"/>
  <c r="M18" i="16"/>
  <c r="H18" i="16"/>
  <c r="M17" i="16"/>
  <c r="K17" i="16"/>
  <c r="J17" i="16"/>
  <c r="H17" i="16"/>
  <c r="M16" i="16"/>
  <c r="K16" i="16"/>
  <c r="J16" i="16"/>
  <c r="H16" i="16"/>
  <c r="M15" i="16"/>
  <c r="K15" i="16"/>
  <c r="J15" i="16"/>
  <c r="H15" i="16"/>
  <c r="M14" i="16"/>
  <c r="K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O7" i="16"/>
  <c r="A8"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25" i="31"/>
  <c r="J24" i="31"/>
  <c r="H24" i="31"/>
  <c r="J23" i="31"/>
  <c r="J22" i="31"/>
  <c r="J21" i="31"/>
  <c r="J20" i="31"/>
  <c r="H20" i="31"/>
  <c r="J19" i="31"/>
  <c r="J18" i="31"/>
  <c r="J17" i="31"/>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H23" i="31"/>
  <c r="H25" i="31"/>
  <c r="H22" i="31"/>
  <c r="H21" i="31"/>
  <c r="H17" i="31"/>
  <c r="H19" i="31"/>
  <c r="H18" i="31"/>
  <c r="J23" i="30"/>
  <c r="J10" i="31"/>
  <c r="J25" i="30"/>
  <c r="J26" i="30"/>
  <c r="J14" i="31"/>
  <c r="J14" i="30"/>
  <c r="J7" i="31"/>
  <c r="J8" i="30"/>
  <c r="J9" i="30"/>
  <c r="J6" i="31"/>
  <c r="J8" i="31"/>
  <c r="J7" i="30"/>
  <c r="J15" i="31"/>
  <c r="J16" i="30"/>
  <c r="J17" i="30"/>
  <c r="J18" i="30"/>
  <c r="J9" i="31"/>
  <c r="J5" i="30"/>
  <c r="J29" i="30"/>
  <c r="J30" i="30"/>
  <c r="J31" i="30"/>
  <c r="J13" i="31"/>
  <c r="J16" i="31"/>
  <c r="J4" i="30"/>
  <c r="J27" i="30"/>
  <c r="J28" i="30"/>
  <c r="J11" i="31"/>
  <c r="J32" i="30"/>
  <c r="J15" i="30"/>
  <c r="J19" i="30"/>
  <c r="J20" i="30"/>
  <c r="J10" i="29"/>
  <c r="J12" i="30"/>
  <c r="J2" i="30"/>
  <c r="J3" i="31"/>
  <c r="J4" i="31"/>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5" i="31"/>
  <c r="J17" i="24"/>
  <c r="H17" i="24"/>
  <c r="J4" i="28"/>
  <c r="H4" i="28"/>
  <c r="J4" i="29"/>
  <c r="J20" i="29"/>
  <c r="J34" i="29"/>
  <c r="J2" i="31"/>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2" i="31"/>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10" i="31"/>
  <c r="H3" i="31"/>
  <c r="H31" i="30"/>
  <c r="H8" i="31"/>
  <c r="H26" i="30"/>
  <c r="H16" i="30"/>
  <c r="H7" i="30"/>
  <c r="H4" i="30"/>
  <c r="H32" i="30"/>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5" i="31"/>
  <c r="H4" i="29"/>
  <c r="H20" i="29"/>
  <c r="H34" i="29"/>
  <c r="H2" i="31"/>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2" i="31"/>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C104" i="24" l="1"/>
  <c r="C104" i="23"/>
  <c r="C104" i="22"/>
  <c r="C104" i="21"/>
  <c r="C104" i="20"/>
  <c r="C104" i="19"/>
  <c r="O8" i="16"/>
  <c r="A9" i="16"/>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H58" i="46"/>
  <c r="J58" i="46"/>
  <c r="J57" i="46"/>
  <c r="H57" i="46"/>
  <c r="H56" i="46"/>
  <c r="J56" i="46"/>
  <c r="H55" i="46"/>
  <c r="J55" i="46"/>
  <c r="H54" i="46"/>
  <c r="J54" i="46"/>
  <c r="J53" i="46"/>
  <c r="H53" i="46"/>
  <c r="H52" i="46"/>
  <c r="J52" i="46"/>
  <c r="H51" i="46"/>
  <c r="J51" i="46"/>
  <c r="J50" i="46"/>
  <c r="H50" i="46"/>
  <c r="H49" i="46"/>
  <c r="J49" i="46"/>
  <c r="J48" i="46"/>
  <c r="H48" i="46"/>
  <c r="H47" i="46"/>
  <c r="J47" i="46"/>
  <c r="H46" i="46"/>
  <c r="J46" i="46"/>
  <c r="H45" i="46"/>
  <c r="J45" i="46"/>
  <c r="J44" i="46"/>
  <c r="H44" i="46"/>
  <c r="J43" i="46"/>
  <c r="H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J28" i="46"/>
  <c r="H28" i="46"/>
  <c r="J27" i="46"/>
  <c r="H27" i="46"/>
  <c r="J26" i="46"/>
  <c r="H26" i="46"/>
  <c r="J25" i="46"/>
  <c r="H25" i="46"/>
  <c r="H24" i="46"/>
  <c r="J24" i="46"/>
  <c r="J23" i="46"/>
  <c r="H23" i="46"/>
  <c r="J22" i="46"/>
  <c r="H22" i="46"/>
  <c r="H21" i="46"/>
  <c r="J21" i="46"/>
  <c r="H20" i="46"/>
  <c r="J20" i="46"/>
  <c r="H19" i="46"/>
  <c r="J19" i="46"/>
  <c r="J18" i="46"/>
  <c r="H18" i="46"/>
  <c r="J17" i="46"/>
  <c r="H17" i="46"/>
  <c r="H16" i="46"/>
  <c r="J16" i="46"/>
  <c r="J6" i="45"/>
  <c r="H6" i="45"/>
  <c r="J5" i="45"/>
  <c r="H5" i="45"/>
  <c r="H4" i="45"/>
  <c r="J4" i="45"/>
  <c r="J3" i="45"/>
  <c r="H3" i="45"/>
  <c r="H2" i="45"/>
  <c r="J2" i="45"/>
  <c r="J14" i="41"/>
  <c r="H14" i="41"/>
  <c r="J13" i="41"/>
  <c r="H13" i="41"/>
  <c r="H12" i="41"/>
  <c r="J12" i="41"/>
  <c r="J11" i="41"/>
  <c r="H11" i="41"/>
  <c r="H10" i="41"/>
  <c r="J10" i="41"/>
  <c r="J9" i="41"/>
  <c r="H9" i="41"/>
  <c r="H8" i="41"/>
  <c r="J8" i="41"/>
  <c r="J7" i="41"/>
  <c r="H7" i="41"/>
  <c r="J6" i="41"/>
  <c r="H6" i="41"/>
  <c r="J5" i="41"/>
  <c r="H5" i="41"/>
  <c r="H4" i="41"/>
  <c r="J4" i="41"/>
  <c r="J3" i="41"/>
  <c r="H3" i="41"/>
  <c r="J2" i="41"/>
  <c r="H2" i="41"/>
  <c r="J101" i="40"/>
  <c r="H101" i="40"/>
  <c r="H100" i="40"/>
  <c r="J100" i="40"/>
  <c r="J99" i="40"/>
  <c r="H99" i="40"/>
  <c r="H98" i="40"/>
  <c r="J98" i="40"/>
  <c r="H97" i="40"/>
  <c r="J97" i="40"/>
  <c r="J96" i="40"/>
  <c r="H96" i="40"/>
  <c r="H95" i="40"/>
  <c r="J95" i="40"/>
  <c r="H94" i="40"/>
  <c r="J94" i="40"/>
  <c r="H93" i="40"/>
  <c r="J93" i="40"/>
  <c r="J92" i="40"/>
  <c r="H92" i="40"/>
  <c r="J91" i="40"/>
  <c r="H91" i="40"/>
  <c r="H90" i="40"/>
  <c r="J90" i="40"/>
  <c r="J89" i="40"/>
  <c r="H89" i="40"/>
  <c r="H87" i="40"/>
  <c r="J87" i="40"/>
  <c r="J63" i="40"/>
  <c r="H63" i="40"/>
  <c r="H62" i="40"/>
  <c r="J62" i="40"/>
  <c r="J9" i="39"/>
  <c r="H9" i="39"/>
  <c r="J8" i="39"/>
  <c r="H8" i="39"/>
  <c r="J7" i="39"/>
  <c r="H7" i="39"/>
  <c r="H6" i="39"/>
  <c r="J6" i="39"/>
  <c r="H5" i="39"/>
  <c r="J5" i="39"/>
  <c r="J4" i="39"/>
  <c r="H4" i="39"/>
  <c r="H3" i="39"/>
  <c r="J3" i="39"/>
  <c r="H2" i="39"/>
  <c r="J2" i="39"/>
  <c r="H101" i="38"/>
  <c r="J101" i="38"/>
  <c r="H100" i="38"/>
  <c r="J100" i="38"/>
  <c r="J99" i="38"/>
  <c r="H99" i="38"/>
  <c r="J98" i="38"/>
  <c r="H98" i="38"/>
  <c r="J97" i="38"/>
  <c r="H97" i="38"/>
  <c r="H96" i="38"/>
  <c r="J96" i="38"/>
  <c r="J95" i="38"/>
  <c r="H95" i="38"/>
  <c r="J94" i="38"/>
  <c r="H94" i="38"/>
  <c r="H93" i="38"/>
  <c r="J93" i="38"/>
  <c r="J92" i="38"/>
  <c r="H92" i="38"/>
  <c r="J91" i="38"/>
  <c r="H91" i="38"/>
  <c r="J90" i="38"/>
  <c r="H90" i="38"/>
  <c r="H89" i="38"/>
  <c r="J89" i="38"/>
  <c r="J88" i="38"/>
  <c r="H88" i="38"/>
  <c r="J87" i="38"/>
  <c r="H87" i="38"/>
  <c r="H86" i="38"/>
  <c r="J86" i="38"/>
  <c r="H85" i="38"/>
  <c r="J85" i="38"/>
  <c r="H84" i="38"/>
  <c r="J84" i="38"/>
  <c r="H83" i="38"/>
  <c r="J83" i="38"/>
  <c r="H82" i="38"/>
  <c r="J82" i="38"/>
  <c r="J81" i="38"/>
  <c r="H81" i="38"/>
  <c r="K44" i="36"/>
  <c r="I44" i="36"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8" i="36"/>
  <c r="I28" i="36" s="1"/>
  <c r="K19" i="36"/>
  <c r="I19" i="36" s="1"/>
  <c r="B15" i="35"/>
  <c r="K15" i="35" s="1"/>
  <c r="I15" i="35" s="1"/>
  <c r="B17" i="36"/>
  <c r="B14" i="36"/>
  <c r="B13" i="36"/>
  <c r="B6" i="36"/>
  <c r="K6" i="36" s="1"/>
  <c r="B31" i="36"/>
  <c r="B30" i="36"/>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27" i="36"/>
  <c r="B29" i="36"/>
  <c r="B20" i="34"/>
  <c r="J20" i="34" s="1"/>
  <c r="H20" i="34" s="1"/>
  <c r="B3" i="35"/>
  <c r="K3" i="35" s="1"/>
  <c r="I3" i="35" s="1"/>
  <c r="B29" i="35"/>
  <c r="K29" i="35" s="1"/>
  <c r="I29" i="35" s="1"/>
  <c r="B20" i="36"/>
  <c r="B9" i="34"/>
  <c r="J9" i="34" s="1"/>
  <c r="H9" i="34" s="1"/>
  <c r="B14" i="34"/>
  <c r="J14" i="34" s="1"/>
  <c r="H14" i="34" s="1"/>
  <c r="B30" i="35"/>
  <c r="K30" i="35" s="1"/>
  <c r="I30" i="35" s="1"/>
  <c r="B5" i="36"/>
  <c r="K5"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7" i="36"/>
  <c r="B8" i="36"/>
  <c r="B11" i="36"/>
  <c r="B4" i="36"/>
  <c r="K4" i="36" s="1"/>
  <c r="B22" i="36"/>
  <c r="B23" i="36"/>
  <c r="B26" i="36"/>
  <c r="B5" i="35"/>
  <c r="K5" i="35" s="1"/>
  <c r="I5" i="35" s="1"/>
  <c r="B6" i="35"/>
  <c r="K6" i="35" s="1"/>
  <c r="I6" i="35" s="1"/>
  <c r="B7" i="35"/>
  <c r="K7" i="35" s="1"/>
  <c r="I7" i="35" s="1"/>
  <c r="B31" i="35"/>
  <c r="K31" i="35" s="1"/>
  <c r="I31" i="35" s="1"/>
  <c r="B9" i="36"/>
  <c r="B26" i="35"/>
  <c r="K26" i="35" s="1"/>
  <c r="I26" i="35" s="1"/>
  <c r="B2" i="36"/>
  <c r="B21" i="36"/>
  <c r="B10" i="36"/>
  <c r="B24" i="35"/>
  <c r="K24" i="35" s="1"/>
  <c r="I24" i="35" s="1"/>
  <c r="B25" i="35"/>
  <c r="K25" i="35" s="1"/>
  <c r="I25" i="35" s="1"/>
  <c r="B18" i="36"/>
  <c r="B15" i="36"/>
  <c r="B25" i="36"/>
  <c r="B24" i="36"/>
  <c r="B3" i="36"/>
  <c r="K3" i="36" s="1"/>
  <c r="B16" i="36"/>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J50" i="32"/>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H30" i="37"/>
  <c r="J30" i="37"/>
  <c r="H29" i="37"/>
  <c r="J29" i="37"/>
  <c r="J28" i="37"/>
  <c r="H28" i="37"/>
  <c r="J27" i="37"/>
  <c r="H27" i="37"/>
  <c r="J26" i="37"/>
  <c r="H26" i="37"/>
  <c r="J25" i="37"/>
  <c r="H25" i="37"/>
  <c r="H24" i="37"/>
  <c r="J24" i="37"/>
  <c r="J23" i="37"/>
  <c r="H23" i="37" s="1"/>
  <c r="J22" i="37"/>
  <c r="H22" i="37" s="1"/>
  <c r="J21" i="37"/>
  <c r="H21" i="37" s="1"/>
  <c r="J20" i="37"/>
  <c r="H20" i="37" s="1"/>
  <c r="J19" i="37"/>
  <c r="H19" i="37" s="1"/>
  <c r="J18" i="37"/>
  <c r="H18" i="37" s="1"/>
  <c r="J17" i="37"/>
  <c r="H17" i="37" s="1"/>
  <c r="J16" i="37"/>
  <c r="H16" i="37" s="1"/>
  <c r="J15" i="37"/>
  <c r="H15" i="37" s="1"/>
  <c r="J14" i="37"/>
  <c r="H14" i="37" s="1"/>
  <c r="J13" i="37"/>
  <c r="H13" i="37" s="1"/>
  <c r="J12" i="37"/>
  <c r="H12" i="37" s="1"/>
  <c r="J11" i="37"/>
  <c r="H11" i="37" s="1"/>
  <c r="J10" i="37"/>
  <c r="H10" i="37" s="1"/>
  <c r="J9" i="37"/>
  <c r="H9" i="37" s="1"/>
  <c r="J8" i="37"/>
  <c r="H8" i="37"/>
  <c r="J7" i="37"/>
  <c r="H7" i="37" s="1"/>
  <c r="J6" i="37"/>
  <c r="H6" i="37" s="1"/>
  <c r="J5" i="37"/>
  <c r="H5" i="37" s="1"/>
  <c r="J4" i="37"/>
  <c r="H4" i="37" s="1"/>
  <c r="J3" i="37"/>
  <c r="H3" i="37" s="1"/>
  <c r="J2" i="37"/>
  <c r="H2" i="37" s="1"/>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s="1"/>
  <c r="K52" i="36"/>
  <c r="I52" i="36" s="1"/>
  <c r="K47" i="36"/>
  <c r="I47" i="36" s="1"/>
  <c r="K41" i="36"/>
  <c r="I41" i="36" s="1"/>
  <c r="K38" i="36"/>
  <c r="I38" i="36" s="1"/>
  <c r="K37" i="36"/>
  <c r="I37" i="36" s="1"/>
  <c r="K36" i="36"/>
  <c r="I36" i="36" s="1"/>
  <c r="K35" i="36"/>
  <c r="I35" i="36" s="1"/>
  <c r="K34" i="36"/>
  <c r="I34" i="36" s="1"/>
  <c r="K33" i="36"/>
  <c r="I33" i="36" s="1"/>
  <c r="K32" i="36"/>
  <c r="I32" i="36" s="1"/>
  <c r="K40" i="36"/>
  <c r="I40" i="36" s="1"/>
  <c r="K50" i="36"/>
  <c r="I50" i="36" s="1"/>
  <c r="K51" i="36"/>
  <c r="I51" i="36" s="1"/>
  <c r="K46" i="36"/>
  <c r="I46" i="36" s="1"/>
  <c r="K39" i="36"/>
  <c r="I39" i="36" s="1"/>
  <c r="K49" i="36"/>
  <c r="I49" i="36" s="1"/>
  <c r="K48" i="36"/>
  <c r="I48" i="36" s="1"/>
  <c r="K43" i="36"/>
  <c r="I43" i="36" s="1"/>
  <c r="K45" i="36"/>
  <c r="I45" i="36" s="1"/>
  <c r="K12" i="36"/>
  <c r="I12" i="36" s="1"/>
  <c r="K42" i="36"/>
  <c r="I42"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H83" i="31"/>
  <c r="J83" i="31"/>
  <c r="J82" i="31"/>
  <c r="H82" i="31"/>
  <c r="H81" i="31"/>
  <c r="J81" i="31"/>
  <c r="J80" i="31"/>
  <c r="H80" i="31"/>
  <c r="J79" i="31"/>
  <c r="H79" i="31"/>
  <c r="H78" i="31"/>
  <c r="J78" i="31"/>
  <c r="J77" i="31"/>
  <c r="H77" i="31"/>
  <c r="J76" i="31"/>
  <c r="H76" i="31"/>
  <c r="H75" i="31"/>
  <c r="J75" i="31"/>
  <c r="J74" i="31"/>
  <c r="H74" i="31"/>
  <c r="H73" i="31"/>
  <c r="J73" i="31"/>
  <c r="H72" i="31"/>
  <c r="J72" i="31"/>
  <c r="J71" i="31"/>
  <c r="H71" i="31"/>
  <c r="J70" i="31"/>
  <c r="H70" i="31"/>
  <c r="J69" i="31"/>
  <c r="H69" i="31"/>
  <c r="H68" i="31"/>
  <c r="J68" i="31"/>
  <c r="H67" i="31"/>
  <c r="J67" i="31"/>
  <c r="H66" i="31"/>
  <c r="J66" i="31"/>
  <c r="J65" i="31"/>
  <c r="H65" i="31"/>
  <c r="H64" i="31"/>
  <c r="J64" i="31"/>
  <c r="J63" i="31"/>
  <c r="H63" i="31"/>
  <c r="J62" i="31"/>
  <c r="H62" i="31"/>
  <c r="J61" i="31"/>
  <c r="H61" i="31"/>
  <c r="J60" i="31"/>
  <c r="H60" i="31"/>
  <c r="J59" i="31"/>
  <c r="H59" i="31"/>
  <c r="J58" i="31"/>
  <c r="H58" i="31"/>
  <c r="H57" i="31"/>
  <c r="J57" i="31"/>
  <c r="J56" i="31"/>
  <c r="H56" i="31"/>
  <c r="J55" i="31"/>
  <c r="H55" i="31"/>
  <c r="H54" i="31"/>
  <c r="J54" i="31"/>
  <c r="J53" i="31"/>
  <c r="H53" i="31"/>
  <c r="H52" i="31"/>
  <c r="J52" i="31"/>
  <c r="J51" i="31"/>
  <c r="H51" i="31"/>
  <c r="J50" i="31"/>
  <c r="H50" i="31"/>
  <c r="J49" i="31"/>
  <c r="H49" i="31"/>
  <c r="H48" i="31"/>
  <c r="J48" i="31"/>
  <c r="H47" i="31"/>
  <c r="J47" i="31"/>
  <c r="H46" i="31"/>
  <c r="J46" i="31"/>
  <c r="H45" i="31"/>
  <c r="J45" i="31"/>
  <c r="J44" i="31"/>
  <c r="H44" i="31"/>
  <c r="J43" i="31"/>
  <c r="H43" i="31"/>
  <c r="J42" i="31"/>
  <c r="H42" i="31"/>
  <c r="J41" i="31"/>
  <c r="H41" i="31"/>
  <c r="J40" i="31"/>
  <c r="H40" i="31"/>
  <c r="J39" i="31"/>
  <c r="H39" i="31"/>
  <c r="H38" i="31"/>
  <c r="J38" i="31"/>
  <c r="H37" i="31"/>
  <c r="J37" i="31"/>
  <c r="H36" i="31"/>
  <c r="J36" i="31"/>
  <c r="H35" i="31"/>
  <c r="J35" i="31"/>
  <c r="J34" i="31"/>
  <c r="H34" i="31"/>
  <c r="J33" i="31"/>
  <c r="H33" i="31"/>
  <c r="H32" i="31"/>
  <c r="J32" i="31"/>
  <c r="J31" i="31"/>
  <c r="H31" i="31"/>
  <c r="H30" i="31"/>
  <c r="J30" i="31"/>
  <c r="H29" i="31"/>
  <c r="J29" i="31"/>
  <c r="H28" i="31"/>
  <c r="J28" i="31"/>
  <c r="H27" i="31"/>
  <c r="J27" i="31"/>
  <c r="H26" i="31"/>
  <c r="J26" i="31"/>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J101" i="31"/>
  <c r="H101" i="31"/>
  <c r="H100" i="31"/>
  <c r="J100" i="31"/>
  <c r="H99" i="31"/>
  <c r="J99" i="31"/>
  <c r="J98" i="31"/>
  <c r="H98" i="31"/>
  <c r="H97" i="31"/>
  <c r="J97" i="31"/>
  <c r="J96" i="31"/>
  <c r="H96" i="31"/>
  <c r="J95" i="31"/>
  <c r="H95" i="31"/>
  <c r="H94" i="31"/>
  <c r="J94" i="31"/>
  <c r="H93" i="31"/>
  <c r="J93" i="31"/>
  <c r="H92" i="31"/>
  <c r="J92" i="31"/>
  <c r="H91" i="31"/>
  <c r="J91" i="31"/>
  <c r="H90" i="31"/>
  <c r="J90" i="31"/>
  <c r="J89" i="31"/>
  <c r="H89" i="31"/>
  <c r="J88" i="31"/>
  <c r="H88" i="31"/>
  <c r="H87" i="31"/>
  <c r="J87" i="31"/>
  <c r="H86" i="31"/>
  <c r="J86" i="31"/>
  <c r="H85" i="31"/>
  <c r="J85" i="31"/>
  <c r="H84" i="31"/>
  <c r="J84" i="31"/>
  <c r="O9" i="16" l="1"/>
  <c r="A10" i="16"/>
  <c r="C104" i="26"/>
  <c r="C104" i="25"/>
  <c r="K17" i="36"/>
  <c r="I17" i="36" s="1"/>
  <c r="K14" i="36"/>
  <c r="I14" i="36" s="1"/>
  <c r="K13" i="36"/>
  <c r="I13" i="36" s="1"/>
  <c r="K31" i="36"/>
  <c r="I31" i="36" s="1"/>
  <c r="K30" i="36"/>
  <c r="I30" i="36" s="1"/>
  <c r="K27" i="36"/>
  <c r="I27" i="36" s="1"/>
  <c r="K29" i="36"/>
  <c r="I29" i="36" s="1"/>
  <c r="K20" i="36"/>
  <c r="I20" i="36" s="1"/>
  <c r="K7" i="36"/>
  <c r="I7" i="36" s="1"/>
  <c r="K8" i="36"/>
  <c r="I8" i="36" s="1"/>
  <c r="K11" i="36"/>
  <c r="I11" i="36" s="1"/>
  <c r="K22" i="36"/>
  <c r="I22" i="36" s="1"/>
  <c r="K23" i="36"/>
  <c r="I23" i="36" s="1"/>
  <c r="K26" i="36"/>
  <c r="I26" i="36" s="1"/>
  <c r="K9" i="36"/>
  <c r="I9" i="36" s="1"/>
  <c r="K21" i="36"/>
  <c r="I21" i="36" s="1"/>
  <c r="K10" i="36"/>
  <c r="I10" i="36" s="1"/>
  <c r="K18" i="36"/>
  <c r="I18" i="36" s="1"/>
  <c r="K15" i="36"/>
  <c r="I15" i="36" s="1"/>
  <c r="K25" i="36"/>
  <c r="I25" i="36" s="1"/>
  <c r="K24" i="36"/>
  <c r="I24" i="36" s="1"/>
  <c r="K16" i="36"/>
  <c r="I16" i="36" s="1"/>
  <c r="K2" i="36"/>
  <c r="I4" i="36"/>
  <c r="J19" i="32"/>
  <c r="H19" i="32" s="1"/>
  <c r="J4" i="33"/>
  <c r="H4" i="33" s="1"/>
  <c r="J23" i="32"/>
  <c r="H23" i="32" s="1"/>
  <c r="J31" i="33"/>
  <c r="H31" i="33" s="1"/>
  <c r="A11" i="16" l="1"/>
  <c r="O10" i="16"/>
  <c r="I3" i="36"/>
  <c r="I2" i="36"/>
  <c r="I5" i="36"/>
  <c r="I6" i="36"/>
  <c r="A12" i="16" l="1"/>
  <c r="O11" i="16"/>
  <c r="C104" i="28"/>
  <c r="C104" i="27"/>
  <c r="O12" i="16" l="1"/>
  <c r="A13" i="16"/>
  <c r="C104" i="29" l="1"/>
  <c r="A14" i="16"/>
  <c r="O13" i="16"/>
  <c r="A15" i="16" l="1"/>
  <c r="O14" i="16"/>
  <c r="A16" i="16" l="1"/>
  <c r="O15" i="16"/>
  <c r="A17" i="16" l="1"/>
  <c r="O16" i="16"/>
  <c r="A18" i="16" l="1"/>
  <c r="O17" i="16"/>
  <c r="A19" i="16" l="1"/>
  <c r="O18" i="16"/>
  <c r="A20" i="16" l="1"/>
  <c r="O19" i="16"/>
  <c r="A21" i="16" l="1"/>
  <c r="O20" i="16"/>
  <c r="A22" i="16" l="1"/>
  <c r="O21" i="16"/>
  <c r="A23" i="16" l="1"/>
  <c r="O22" i="16"/>
  <c r="O23" i="16" l="1"/>
  <c r="A24" i="16"/>
  <c r="O24" i="16" l="1"/>
  <c r="A25" i="16"/>
  <c r="A26" i="16" l="1"/>
  <c r="O25" i="16"/>
  <c r="A27" i="16" l="1"/>
  <c r="O26" i="16"/>
  <c r="O27" i="16" l="1"/>
  <c r="A28" i="16"/>
  <c r="O28" i="16" l="1"/>
  <c r="A29" i="16"/>
  <c r="O29" i="16" s="1"/>
  <c r="C104" i="34" l="1"/>
  <c r="C104" i="38"/>
  <c r="D104" i="35"/>
  <c r="D104" i="36"/>
  <c r="C104" i="44"/>
  <c r="C104" i="33"/>
  <c r="C104" i="32"/>
  <c r="C104" i="31"/>
  <c r="C104" i="39"/>
  <c r="C104" i="40"/>
  <c r="C104" i="41"/>
  <c r="C104" i="46"/>
  <c r="C104" i="37"/>
  <c r="C104" i="43"/>
  <c r="C104" i="45"/>
  <c r="C104" i="42"/>
  <c r="C1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<sst xmlns="http://schemas.openxmlformats.org/spreadsheetml/2006/main" count="16695" uniqueCount="746">
  <si>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</si>
  <si>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</si>
  <si>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</si>
  <si>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</si>
  <si>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</si>
  <si>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</si>
  <si>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</si>
  <si>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</si>
  <si>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</si>
  <si>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</si>
  <si>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</si>
  <si>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</si>
  <si>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</si>
  <si>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</si>
  <si>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</si>
  <si>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</si>
  <si>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</si>
  <si>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</si>
  <si>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</si>
  <si>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</si>
  <si>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</si>
  <si>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</si>
  <si>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</si>
  <si>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</si>
  <si>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</si>
  <si>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</si>
  <si>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</si>
  <si>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</si>
  <si>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</si>
  <si>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</si>
  <si>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</si>
  <si>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</si>
  <si>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</si>
  <si>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</si>
  <si>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</si>
  <si>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</si>
  <si>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</si>
  <si>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</si>
  <si>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</si>
  <si>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</si>
  <si>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</si>
  <si>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</si>
  <si>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</si>
  <si>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</si>
  <si>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</si>
  <si>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</si>
  <si>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</si>
  <si>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</si>
  <si>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</si>
  <si>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</si>
  <si>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</si>
  <si>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</si>
  <si>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</si>
  <si>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</si>
  <si>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</si>
  <si>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</si>
  <si>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</si>
  <si>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</si>
  <si>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</si>
  <si>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</si>
  <si>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</si>
  <si>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</si>
  <si>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</si>
  <si>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</si>
  <si>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</si>
  <si>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</si>
  <si>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</si>
  <si>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</si>
  <si>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</si>
  <si>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</si>
  <si>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</si>
  <si>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</si>
  <si>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</si>
  <si>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</si>
  <si>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</si>
  <si>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</si>
  <si>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</si>
  <si>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</si>
  <si>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</si>
  <si>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</si>
  <si>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</si>
  <si>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</si>
  <si>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</si>
  <si>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</si>
  <si>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</si>
  <si>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</si>
  <si>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</si>
  <si>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</si>
  <si>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</si>
  <si>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</si>
  <si>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</si>
  <si>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</si>
  <si>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</si>
  <si>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</si>
  <si>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</si>
  <si>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</si>
  <si>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</si>
  <si>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</si>
  <si>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</si>
  <si>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</si>
  <si>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</si>
  <si>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</si>
  <si>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</si>
  <si>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</si>
  <si>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</si>
  <si>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</si>
  <si>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</si>
  <si>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</si>
  <si>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</si>
  <si>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</si>
  <si>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</si>
  <si>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</si>
  <si>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</si>
  <si>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</si>
  <si>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</si>
  <si>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</si>
  <si>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</si>
  <si>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</si>
  <si>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</si>
  <si>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</si>
  <si>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</si>
  <si>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</si>
  <si>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</si>
  <si>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</si>
  <si>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</si>
  <si>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</si>
  <si>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</si>
  <si>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</si>
  <si>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</si>
  <si>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</si>
  <si>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</si>
  <si>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</si>
  <si>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</si>
  <si>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</si>
  <si>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</si>
  <si>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</si>
  <si>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</si>
  <si>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</si>
  <si>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</si>
  <si>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</si>
  <si>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</si>
  <si>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</si>
  <si>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</si>
  <si>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</si>
  <si>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</si>
  <si>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</si>
  <si>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</si>
  <si>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</si>
  <si>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</si>
  <si>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</si>
  <si>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</si>
  <si>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</si>
  <si>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</si>
  <si>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</si>
  <si>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</si>
  <si>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</si>
  <si>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</si>
  <si>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</si>
  <si>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</si>
  <si>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</si>
  <si>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</si>
  <si>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</si>
  <si>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</si>
  <si>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</si>
  <si>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</si>
  <si>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</si>
  <si>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</si>
  <si>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</si>
  <si>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</si>
  <si>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</si>
  <si>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</si>
  <si>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</si>
  <si>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</si>
  <si>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</si>
  <si>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</si>
  <si>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</si>
  <si>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</si>
  <si>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</si>
  <si>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</si>
  <si>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</si>
  <si>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</si>
  <si>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</si>
  <si>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</si>
  <si>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</si>
  <si>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</si>
  <si>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</si>
  <si>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</si>
  <si>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</si>
  <si>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</si>
  <si>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</si>
  <si>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</si>
  <si>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</si>
  <si>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</si>
  <si>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</si>
  <si>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</si>
  <si>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</si>
  <si>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</si>
  <si>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</si>
  <si>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</si>
  <si>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</si>
  <si>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</si>
  <si>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</si>
  <si>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</si>
  <si>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</si>
  <si>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</si>
  <si>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</si>
  <si>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</si>
  <si>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</si>
  <si>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</si>
  <si>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</si>
  <si>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</si>
  <si>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</si>
  <si>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</si>
  <si>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</si>
  <si>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</si>
  <si>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</si>
  <si>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</si>
  <si>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</si>
  <si>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</si>
  <si>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</si>
  <si>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</si>
  <si>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</si>
  <si>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</si>
  <si>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</si>
  <si>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</si>
  <si>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</si>
  <si>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</si>
  <si>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</si>
  <si>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</si>
  <si>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</si>
  <si>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</si>
  <si>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</si>
  <si>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</si>
  <si>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</si>
  <si>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</si>
  <si>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</si>
  <si>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</si>
  <si>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</si>
  <si>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</si>
  <si>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</si>
  <si>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</si>
  <si>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</si>
  <si>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</si>
  <si>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</si>
  <si>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</si>
  <si>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</si>
  <si>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</si>
  <si>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</si>
  <si>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</si>
  <si>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</si>
  <si>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</si>
  <si>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</si>
  <si>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</si>
  <si>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</si>
  <si>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</si>
  <si>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</si>
  <si>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</si>
  <si>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</si>
  <si>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</si>
  <si>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</si>
  <si>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</si>
  <si>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</si>
  <si>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</si>
  <si>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</si>
  <si>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</si>
  <si>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</si>
  <si>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</si>
  <si>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</si>
  <si>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</si>
  <si>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</si>
  <si>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</si>
  <si>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</si>
  <si>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</si>
  <si>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</si>
  <si>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</si>
  <si>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</si>
  <si>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</si>
  <si>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</si>
  <si>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</si>
  <si>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</si>
  <si>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</si>
  <si>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</si>
  <si>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</si>
  <si>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</si>
  <si>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</si>
  <si>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</si>
  <si>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</si>
  <si>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</si>
  <si>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</si>
  <si>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</si>
  <si>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</si>
  <si>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</si>
  <si>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</si>
  <si>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</si>
  <si>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</si>
  <si>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</si>
  <si>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</si>
  <si>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</si>
  <si>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</si>
  <si>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</si>
  <si>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</si>
  <si>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</si>
  <si>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</si>
  <si>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</si>
  <si>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</si>
  <si>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</si>
  <si>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</si>
  <si>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</si>
  <si>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</si>
  <si>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</si>
  <si>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</si>
  <si>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</si>
  <si>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</si>
  <si>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</si>
  <si>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</si>
  <si>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</si>
  <si>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</si>
  <si>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</si>
  <si>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</si>
  <si>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</si>
  <si>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</si>
  <si>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</si>
  <si>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</si>
  <si>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</si>
  <si>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</si>
  <si>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</si>
  <si>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</si>
  <si>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</si>
  <si>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</si>
  <si>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</si>
  <si>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</si>
  <si>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</si>
  <si>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</si>
  <si>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</si>
  <si>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</si>
  <si>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</si>
  <si>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</si>
  <si>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</si>
  <si>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</si>
  <si>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</si>
  <si>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</si>
  <si>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</si>
  <si>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</si>
  <si>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</si>
  <si>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</si>
  <si>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</si>
  <si>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</si>
  <si>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</si>
  <si>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</si>
  <si>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</si>
  <si>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</si>
  <si>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</si>
  <si>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</si>
  <si>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</si>
  <si>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</si>
  <si>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</si>
  <si>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</si>
  <si>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</si>
  <si>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</si>
  <si>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</si>
  <si>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</si>
  <si>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</si>
  <si>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</si>
  <si>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</si>
  <si>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</si>
  <si>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</si>
  <si>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</si>
  <si>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</si>
  <si>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</si>
  <si>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</si>
  <si>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</si>
  <si>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</si>
  <si>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</si>
  <si>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</si>
  <si>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</si>
  <si>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</si>
  <si>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</si>
  <si>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</si>
  <si>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</si>
  <si>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</si>
  <si>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</si>
  <si>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</si>
  <si>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</si>
  <si>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</si>
  <si>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</si>
  <si>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</si>
  <si>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</si>
  <si>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</si>
  <si>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</si>
  <si>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</si>
  <si>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</si>
  <si>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</si>
  <si>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</si>
  <si>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</si>
  <si>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</si>
  <si>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</si>
  <si>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</si>
  <si>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</si>
  <si>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</si>
  <si>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</si>
  <si>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</si>
  <si>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</si>
  <si>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</si>
  <si>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</si>
  <si>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</si>
  <si>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</si>
  <si>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</si>
  <si>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</si>
  <si>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</si>
  <si>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</si>
  <si>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</si>
  <si>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</si>
  <si>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</si>
  <si>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</si>
  <si>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</si>
  <si>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</si>
  <si>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</si>
  <si>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</si>
  <si>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</si>
  <si>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</si>
  <si>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</si>
  <si>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</si>
  <si>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</si>
  <si>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</si>
  <si>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</si>
  <si>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</si>
  <si>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</si>
  <si>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</si>
  <si>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</si>
  <si>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</si>
  <si>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</si>
  <si>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</si>
  <si>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</si>
  <si>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</si>
  <si>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</si>
  <si>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</si>
  <si>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</si>
  <si>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</si>
  <si>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</si>
  <si>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</si>
  <si>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</si>
  <si>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</si>
  <si>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</si>
  <si>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</si>
  <si>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</si>
  <si>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</si>
  <si>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</si>
  <si>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</si>
  <si>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</si>
  <si>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</si>
  <si>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</si>
  <si>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</si>
  <si>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</si>
  <si>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</si>
  <si>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</si>
  <si>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</si>
  <si>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</si>
  <si>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</si>
  <si>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</si>
  <si>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</si>
  <si>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</si>
  <si>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</si>
  <si>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</si>
  <si>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</si>
  <si>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</si>
  <si>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</si>
  <si>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</si>
  <si>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</si>
  <si>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</si>
  <si>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</si>
  <si>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</si>
  <si>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</si>
  <si>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</si>
  <si>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</si>
  <si>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</si>
  <si>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</si>
  <si>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</si>
  <si>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</si>
  <si>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</si>
  <si>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</si>
  <si>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</si>
  <si>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</si>
  <si>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</si>
  <si>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</si>
  <si>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</si>
  <si>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</si>
  <si>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</si>
  <si>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</si>
  <si>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</si>
  <si>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</si>
  <si>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</si>
  <si>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</si>
  <si>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</si>
  <si>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</si>
  <si>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</si>
  <si>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</si>
  <si>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</si>
  <si>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</si>
  <si>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</si>
  <si>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</si>
  <si>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</si>
  <si>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</si>
  <si>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</si>
  <si>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</si>
  <si>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</si>
  <si>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</si>
  <si>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</si>
  <si>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</si>
  <si>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</si>
  <si>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</si>
  <si>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</si>
  <si>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</si>
  <si>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</si>
  <si>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</si>
  <si>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</si>
  <si>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</si>
  <si>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</si>
  <si>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</si>
  <si>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</si>
  <si>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</si>
  <si>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</si>
  <si>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</si>
  <si>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</si>
  <si>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</si>
  <si>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</si>
  <si>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</si>
  <si>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</si>
  <si>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</si>
  <si>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</si>
  <si>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</si>
  <si>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</si>
  <si>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</si>
  <si>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</si>
  <si>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</si>
  <si>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</si>
  <si>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</si>
  <si>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</si>
  <si>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</si>
  <si>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</si>
  <si>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</si>
  <si>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</si>
  <si>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</si>
  <si>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</si>
  <si>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</si>
  <si>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</si>
  <si>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</si>
  <si>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</si>
  <si>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</si>
  <si>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</si>
  <si>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</si>
  <si>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</si>
  <si>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</si>
  <si>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</si>
  <si>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</si>
  <si>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</si>
  <si>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</si>
  <si>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</si>
  <si>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</si>
  <si>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</si>
  <si>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</si>
  <si>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</si>
  <si>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</si>
  <si>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</si>
  <si>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</si>
  <si>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</si>
  <si>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</si>
  <si>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</si>
  <si>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</si>
  <si>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</si>
  <si>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</si>
  <si>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</si>
  <si>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</si>
  <si>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</si>
  <si>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</si>
  <si>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</si>
  <si>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</si>
  <si>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</si>
  <si>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</si>
  <si>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</si>
  <si>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</si>
  <si>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</si>
  <si>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</si>
  <si>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</si>
  <si>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</si>
  <si>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</si>
  <si>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</si>
  <si>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</si>
  <si>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</si>
  <si>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</si>
  <si>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</si>
  <si>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</si>
  <si>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</si>
  <si>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</si>
  <si>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</si>
  <si>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</si>
  <si>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</si>
  <si>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</si>
  <si>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</si>
  <si>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</si>
  <si>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</si>
  <si>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</si>
  <si>
    <t>Angela</t>
  </si>
  <si>
    <t>Bewick</t>
  </si>
  <si>
    <t>Evan Collett (G Fox) (KCC)</t>
  </si>
  <si>
    <t>Chris Booth (MOCC)</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</si>
  <si>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</si>
  <si>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</si>
  <si>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</si>
  <si>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</si>
  <si>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</si>
  <si>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</si>
  <si>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</si>
  <si>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</si>
  <si>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</si>
  <si>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</si>
  <si>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</si>
  <si>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</si>
  <si>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</si>
  <si>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</si>
  <si>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</si>
  <si>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</si>
  <si>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</si>
  <si>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</si>
  <si>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</si>
  <si>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</si>
  <si>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</si>
  <si>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</si>
  <si>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</si>
  <si>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</si>
  <si>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</si>
  <si>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</si>
  <si>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</si>
  <si>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</si>
  <si>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</si>
  <si>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</si>
  <si>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</si>
  <si>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</si>
  <si>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</si>
  <si>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</si>
  <si>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</si>
  <si>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</si>
  <si>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</si>
  <si>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</si>
  <si>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</si>
  <si>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</si>
  <si>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</si>
  <si>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</si>
  <si>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</si>
  <si>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</si>
  <si>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</si>
  <si>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</si>
  <si>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</si>
  <si>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</si>
  <si>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</si>
  <si>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</si>
  <si>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</si>
  <si>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</si>
  <si>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</si>
  <si>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</si>
  <si>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</si>
  <si>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</si>
  <si>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</si>
  <si>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</si>
  <si>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</si>
  <si>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</si>
  <si>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</si>
  <si>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</si>
  <si>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</si>
  <si>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</si>
  <si>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</si>
  <si>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</si>
  <si>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</si>
  <si>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</si>
  <si>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</si>
  <si>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</si>
  <si>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</si>
  <si>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</si>
  <si>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</si>
  <si>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</si>
  <si>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</si>
  <si>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</si>
  <si>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</si>
  <si>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</si>
  <si>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</si>
  <si>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</si>
  <si>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</si>
  <si>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</si>
  <si>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</si>
  <si>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</si>
  <si>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</si>
  <si>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</si>
  <si>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</si>
  <si>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</si>
  <si>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</si>
  <si>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</si>
  <si>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</si>
  <si>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</si>
  <si>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</si>
  <si>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</si>
  <si>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</si>
  <si>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</si>
  <si>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</si>
  <si>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</si>
  <si>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</si>
  <si>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</si>
  <si>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</si>
  <si>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</si>
  <si>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</si>
  <si>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</si>
  <si>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</si>
  <si>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</si>
  <si>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</si>
  <si>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</si>
  <si>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</si>
  <si>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</si>
  <si>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</si>
  <si>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</si>
  <si>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</si>
  <si>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</si>
  <si>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</si>
  <si>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</si>
  <si>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</si>
  <si>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</si>
  <si>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</si>
  <si>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</si>
  <si>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</si>
  <si>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</si>
  <si>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</si>
  <si>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</si>
  <si>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</si>
  <si>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</si>
  <si>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D Alexander</t>
  </si>
  <si>
    <t>#45</t>
  </si>
  <si>
    <t>#46</t>
  </si>
  <si>
    <t>#47</t>
  </si>
  <si>
    <t>#48</t>
  </si>
  <si>
    <t>#49</t>
  </si>
  <si>
    <t>Simon Law</t>
  </si>
  <si>
    <t>#50</t>
  </si>
  <si>
    <t>#51</t>
  </si>
  <si>
    <t>#100</t>
  </si>
  <si>
    <t>Shortened Ten</t>
  </si>
  <si>
    <t>Eric Fullerton</t>
  </si>
  <si>
    <t>Dave Tomlinson</t>
  </si>
  <si>
    <t>Edward Dring</t>
  </si>
  <si>
    <t>Pietro Saman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</si>
</sst>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8">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0.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bin"/><Relationship Id="rId4" Type="http://schemas.microsoft.com/office/2017/10/relationships/threadedComment" Target="../threadedComments/threadedComment16.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30.xml"/><Relationship Id="rId2" Type="http://schemas.openxmlformats.org/officeDocument/2006/relationships/comments" Target="../comments30.xml"/><Relationship Id="rId1" Type="http://schemas.openxmlformats.org/officeDocument/2006/relationships/vmlDrawing" Target="../drawings/vmlDrawing3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602</v>
      </c>
      <c r="C25" s="68" t="s">
        <v>601</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711</v>
      </c>
      <c r="C37" s="68" t="s">
        <v>713</v>
      </c>
      <c r="D37" s="68" t="s">
        <v>23</v>
      </c>
      <c r="E37" s="68" t="b">
        <v>0</v>
      </c>
      <c r="F37" s="68" t="s">
        <v>35</v>
      </c>
      <c r="G37" s="68"/>
      <c r="H37" s="69">
        <v>46216</v>
      </c>
      <c r="J37" s="1"/>
    </row>
    <row r="38" spans="1:10" ht="14.25">
      <c r="A38" s="68">
        <v>1189</v>
      </c>
      <c r="B38" s="68" t="s">
        <v>711</v>
      </c>
      <c r="C38" s="68" t="s">
        <v>712</v>
      </c>
      <c r="D38" s="68" t="s">
        <v>23</v>
      </c>
      <c r="E38" s="68" t="b">
        <v>0</v>
      </c>
      <c r="F38" s="68" t="s">
        <v>35</v>
      </c>
      <c r="G38" s="68"/>
      <c r="H38" s="69">
        <v>46216</v>
      </c>
      <c r="J38" s="1"/>
    </row>
    <row r="39" spans="1:10" ht="14.25">
      <c r="A39" s="68">
        <v>735</v>
      </c>
      <c r="B39" s="68" t="s">
        <v>711</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625</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710</v>
      </c>
      <c r="C108" s="68" t="s">
        <v>709</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708</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602</v>
      </c>
      <c r="C25" s="64" t="s">
        <v>601</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602</v>
      </c>
      <c r="C25" s="68" t="s">
        <v>601</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711</v>
      </c>
      <c r="C37" s="68" t="s">
        <v>713</v>
      </c>
      <c r="D37" s="68" t="s">
        <v>23</v>
      </c>
      <c r="E37" s="68" t="b">
        <v>0</v>
      </c>
      <c r="F37" s="68" t="s">
        <v>35</v>
      </c>
      <c r="H37" s="69">
        <v>46216</v>
      </c>
    </row>
    <row r="38" spans="1:8">
      <c r="A38" s="68">
        <v>1189</v>
      </c>
      <c r="B38" s="68" t="s">
        <v>711</v>
      </c>
      <c r="C38" s="68" t="s">
        <v>712</v>
      </c>
      <c r="D38" s="68" t="s">
        <v>23</v>
      </c>
      <c r="E38" s="68" t="b">
        <v>0</v>
      </c>
      <c r="F38" s="68" t="s">
        <v>35</v>
      </c>
      <c r="H38" s="69">
        <v>46216</v>
      </c>
    </row>
    <row r="39" spans="1:8">
      <c r="A39" s="68">
        <v>735</v>
      </c>
      <c r="B39" s="68" t="s">
        <v>711</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625</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710</v>
      </c>
      <c r="C108" s="68" t="s">
        <v>709</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708</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9"/>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741</v>
      </c>
      <c r="M1" s="25" t="s">
        <v>366</v>
      </c>
      <c r="N1" s="25" t="s">
        <v>367</v>
      </c>
      <c r="O1" s="21" t="s">
        <v>368</v>
      </c>
      <c r="P1" s="26" t="s">
        <v>369</v>
      </c>
      <c r="Q1" s="21" t="s">
        <v>600</v>
      </c>
    </row>
    <row r="2" spans="1:17">
      <c r="A2" s="27">
        <v>1</v>
      </c>
      <c r="B2" s="28">
        <v>46103</v>
      </c>
      <c r="C2" s="29">
        <v>0.41666666666666669</v>
      </c>
      <c r="D2" t="s">
        <v>370</v>
      </c>
      <c r="E2"/>
      <c r="F2">
        <v>9.5</v>
      </c>
      <c r="G2" t="s">
        <v>371</v>
      </c>
      <c r="H2" t="str">
        <f t="shared" ref="H2:H29" si="0">IF($B2="","",IF(ISNUMBER(SEARCH("Hillclimb",$D2)),"Y",""))</f>
        <v/>
      </c>
      <c r="I2" s="30" t="s">
        <v>372</v>
      </c>
      <c r="J2" s="30" t="str">
        <f t="shared" ref="J2:J28" si="1">IF($B2="","",IF(AND(NOT(_xlfn.ISFORMULA($F2)),$F2=10),"","Y"))</f>
        <v>Y</v>
      </c>
      <c r="K2" s="30" t="str">
        <f t="shared" ref="K2:K29" si="2">IF($B2="","",IF(AND(NOT(_xlfn.ISFORMULA($F2)),$F2=10),"Y",""))</f>
        <v/>
      </c>
      <c r="L2" s="30" t="s">
        <v>599</v>
      </c>
      <c r="M2" s="30" t="str">
        <f t="shared" ref="M2:N29" si="3">IF($B2="","",IF(ISNUMBER(SEARCH("Hardride",$D2)),"Y",""))</f>
        <v>Y</v>
      </c>
      <c r="N2" s="30"/>
      <c r="O2" t="str">
        <f t="shared" ref="O2:O29" si="4">"Event_" &amp; TEXT(A2,"00")</f>
        <v>Event_01</v>
      </c>
      <c r="P2"/>
    </row>
    <row r="3" spans="1:17">
      <c r="A3" s="27">
        <f t="shared" ref="A3:A29" si="5">A2+1</f>
        <v>2</v>
      </c>
      <c r="B3" s="28">
        <v>46110</v>
      </c>
      <c r="C3" s="29">
        <v>0.41666666666666669</v>
      </c>
      <c r="D3" t="s">
        <v>373</v>
      </c>
      <c r="E3"/>
      <c r="F3">
        <v>19.5</v>
      </c>
      <c r="G3" t="s">
        <v>371</v>
      </c>
      <c r="H3" t="str">
        <f t="shared" si="0"/>
        <v/>
      </c>
      <c r="I3" s="30" t="s">
        <v>372</v>
      </c>
      <c r="J3" s="30" t="str">
        <f t="shared" si="1"/>
        <v>Y</v>
      </c>
      <c r="K3" s="30" t="str">
        <f t="shared" si="2"/>
        <v/>
      </c>
      <c r="L3" s="30" t="s">
        <v>599</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599</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599</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599</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599</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599</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599</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599</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599</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599</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599</v>
      </c>
      <c r="M13" s="30" t="str">
        <f t="shared" si="3"/>
        <v/>
      </c>
      <c r="N13" s="30" t="str">
        <f t="shared" si="3"/>
        <v/>
      </c>
      <c r="O13" t="str">
        <f t="shared" si="4"/>
        <v>Event_12</v>
      </c>
      <c r="P13"/>
    </row>
    <row r="14" spans="1:17">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
        <v>599</v>
      </c>
      <c r="M14" s="30" t="str">
        <f t="shared" si="3"/>
        <v/>
      </c>
      <c r="N14" s="30" t="s">
        <v>372</v>
      </c>
      <c r="O14" t="str">
        <f t="shared" si="4"/>
        <v>Event_13</v>
      </c>
      <c r="P14" t="s">
        <v>372</v>
      </c>
    </row>
    <row r="15" spans="1:17">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
        <v>599</v>
      </c>
      <c r="M15" s="30" t="str">
        <f t="shared" si="3"/>
        <v/>
      </c>
      <c r="N15" s="30" t="s">
        <v>372</v>
      </c>
      <c r="O15" t="str">
        <f t="shared" si="4"/>
        <v>Event_14</v>
      </c>
      <c r="P15"/>
    </row>
    <row r="16" spans="1:17">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
        <v>599</v>
      </c>
      <c r="M16" s="30" t="str">
        <f t="shared" si="3"/>
        <v/>
      </c>
      <c r="N16" s="30" t="s">
        <v>372</v>
      </c>
      <c r="O16" t="str">
        <f t="shared" si="4"/>
        <v>Event_15</v>
      </c>
      <c r="P16"/>
    </row>
    <row r="17" spans="1:16">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
        <v>599</v>
      </c>
      <c r="M17" s="30" t="str">
        <f t="shared" si="3"/>
        <v/>
      </c>
      <c r="N17" s="30" t="s">
        <v>372</v>
      </c>
      <c r="O17" t="str">
        <f t="shared" si="4"/>
        <v>Event_16</v>
      </c>
      <c r="P17"/>
    </row>
    <row r="18" spans="1:16">
      <c r="A18" s="27">
        <f t="shared" si="5"/>
        <v>17</v>
      </c>
      <c r="B18" s="28">
        <v>46214</v>
      </c>
      <c r="C18" s="29">
        <v>0.45833333333333331</v>
      </c>
      <c r="D18" t="s">
        <v>393</v>
      </c>
      <c r="E18" t="s">
        <v>394</v>
      </c>
      <c r="F18" s="70">
        <v>6.35</v>
      </c>
      <c r="G18" t="s">
        <v>395</v>
      </c>
      <c r="H18" t="str">
        <f t="shared" si="0"/>
        <v/>
      </c>
      <c r="I18" s="30" t="s">
        <v>372</v>
      </c>
      <c r="J18" s="30" t="s">
        <v>599</v>
      </c>
      <c r="K18" s="30" t="s">
        <v>372</v>
      </c>
      <c r="L18" s="30" t="s">
        <v>372</v>
      </c>
      <c r="M18" s="30" t="str">
        <f t="shared" si="3"/>
        <v/>
      </c>
      <c r="N18" s="30" t="s">
        <v>372</v>
      </c>
      <c r="O18" t="str">
        <f t="shared" si="4"/>
        <v>Event_17</v>
      </c>
      <c r="P18"/>
    </row>
    <row r="19" spans="1:16">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
        <v>599</v>
      </c>
      <c r="M19" s="30" t="str">
        <f t="shared" si="3"/>
        <v/>
      </c>
      <c r="N19" s="30" t="s">
        <v>372</v>
      </c>
      <c r="O19" t="str">
        <f t="shared" si="4"/>
        <v>Event_18</v>
      </c>
      <c r="P19"/>
    </row>
    <row r="20" spans="1:16">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
        <v>599</v>
      </c>
      <c r="M20" s="30" t="str">
        <f t="shared" si="3"/>
        <v/>
      </c>
      <c r="N20" s="30" t="s">
        <v>372</v>
      </c>
      <c r="O20" t="str">
        <f t="shared" si="4"/>
        <v>Event_19</v>
      </c>
      <c r="P20"/>
    </row>
    <row r="21" spans="1:16">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
        <v>599</v>
      </c>
      <c r="M21" s="30" t="str">
        <f t="shared" si="3"/>
        <v/>
      </c>
      <c r="N21" s="30" t="s">
        <v>372</v>
      </c>
      <c r="O21" t="str">
        <f t="shared" si="4"/>
        <v>Event_20</v>
      </c>
      <c r="P21"/>
    </row>
    <row r="22" spans="1:16">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
        <v>599</v>
      </c>
      <c r="M22" s="30" t="str">
        <f t="shared" si="3"/>
        <v/>
      </c>
      <c r="N22" s="30" t="s">
        <v>372</v>
      </c>
      <c r="O22" t="str">
        <f t="shared" si="4"/>
        <v>Event_21</v>
      </c>
      <c r="P22"/>
    </row>
    <row r="23" spans="1:16">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
        <v>599</v>
      </c>
      <c r="M23" s="30" t="str">
        <f t="shared" si="3"/>
        <v/>
      </c>
      <c r="N23" s="30" t="s">
        <v>372</v>
      </c>
      <c r="O23" t="str">
        <f t="shared" si="4"/>
        <v>Event_22</v>
      </c>
      <c r="P23"/>
    </row>
    <row r="24" spans="1:16">
      <c r="A24" s="27">
        <f t="shared" si="5"/>
        <v>23</v>
      </c>
      <c r="B24" s="28">
        <v>46247</v>
      </c>
      <c r="C24" s="29">
        <v>0.79166666666666663</v>
      </c>
      <c r="D24" t="s">
        <v>390</v>
      </c>
      <c r="E24" t="s">
        <v>391</v>
      </c>
      <c r="F24">
        <v>10</v>
      </c>
      <c r="G24" t="s">
        <v>392</v>
      </c>
      <c r="H24" t="str">
        <f t="shared" si="0"/>
        <v/>
      </c>
      <c r="I24" s="30" t="s">
        <v>372</v>
      </c>
      <c r="J24" s="30" t="str">
        <f t="shared" si="1"/>
        <v/>
      </c>
      <c r="K24" s="30" t="str">
        <f t="shared" si="2"/>
        <v>Y</v>
      </c>
      <c r="L24" s="30" t="s">
        <v>599</v>
      </c>
      <c r="M24" s="30" t="str">
        <f t="shared" si="3"/>
        <v/>
      </c>
      <c r="N24" s="30" t="s">
        <v>372</v>
      </c>
      <c r="O24" t="str">
        <f>"Event_" &amp; TEXT(A24,"00")</f>
        <v>Event_23</v>
      </c>
      <c r="P24"/>
    </row>
    <row r="25" spans="1:16">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
        <v>599</v>
      </c>
      <c r="M25" s="30" t="str">
        <f t="shared" si="3"/>
        <v/>
      </c>
      <c r="N25" s="30" t="s">
        <v>372</v>
      </c>
      <c r="O25" t="str">
        <f t="shared" si="4"/>
        <v>Event_24</v>
      </c>
      <c r="P25"/>
    </row>
    <row r="26" spans="1:16">
      <c r="A26" s="27">
        <f t="shared" si="5"/>
        <v>25</v>
      </c>
      <c r="B26" s="28">
        <v>46260</v>
      </c>
      <c r="C26" s="29">
        <v>0.80208333333333337</v>
      </c>
      <c r="D26" t="s">
        <v>384</v>
      </c>
      <c r="E26" t="s">
        <v>385</v>
      </c>
      <c r="F26">
        <v>10</v>
      </c>
      <c r="G26" t="s">
        <v>386</v>
      </c>
      <c r="H26" t="str">
        <f t="shared" si="0"/>
        <v/>
      </c>
      <c r="I26" s="30" t="s">
        <v>372</v>
      </c>
      <c r="J26" s="30" t="str">
        <f t="shared" si="1"/>
        <v/>
      </c>
      <c r="K26" s="30" t="str">
        <f t="shared" si="2"/>
        <v>Y</v>
      </c>
      <c r="L26" s="30" t="s">
        <v>599</v>
      </c>
      <c r="M26" s="30" t="str">
        <f t="shared" si="3"/>
        <v/>
      </c>
      <c r="N26" s="30" t="s">
        <v>372</v>
      </c>
      <c r="O26" t="str">
        <f>"Event_" &amp; TEXT(A26,"00")</f>
        <v>Event_25</v>
      </c>
      <c r="P26"/>
    </row>
    <row r="27" spans="1:16">
      <c r="A27" s="27">
        <f t="shared" si="5"/>
        <v>26</v>
      </c>
      <c r="B27" s="28">
        <v>46264</v>
      </c>
      <c r="C27" s="29">
        <v>0.79166666666666663</v>
      </c>
      <c r="D27" t="s">
        <v>402</v>
      </c>
      <c r="E27"/>
      <c r="F27">
        <v>25</v>
      </c>
      <c r="G27" t="s">
        <v>403</v>
      </c>
      <c r="H27" t="str">
        <f t="shared" si="0"/>
        <v/>
      </c>
      <c r="I27" s="30" t="s">
        <v>372</v>
      </c>
      <c r="J27" s="30" t="str">
        <f t="shared" si="1"/>
        <v>Y</v>
      </c>
      <c r="K27" s="30" t="str">
        <f t="shared" si="2"/>
        <v/>
      </c>
      <c r="L27" s="30" t="s">
        <v>599</v>
      </c>
      <c r="M27" s="30" t="str">
        <f t="shared" si="3"/>
        <v>Y</v>
      </c>
      <c r="N27" s="30"/>
      <c r="O27" t="str">
        <f t="shared" si="4"/>
        <v>Event_26</v>
      </c>
      <c r="P27"/>
    </row>
    <row r="28" spans="1:16">
      <c r="A28" s="27">
        <f t="shared" si="5"/>
        <v>27</v>
      </c>
      <c r="B28" s="28">
        <v>46292</v>
      </c>
      <c r="C28" s="20">
        <v>0.375</v>
      </c>
      <c r="D28" s="18" t="s">
        <v>404</v>
      </c>
      <c r="F28" s="19">
        <v>0.88</v>
      </c>
      <c r="G28" s="18" t="s">
        <v>405</v>
      </c>
      <c r="H28" t="str">
        <f t="shared" si="0"/>
        <v>Y</v>
      </c>
      <c r="I28" s="30" t="s">
        <v>372</v>
      </c>
      <c r="J28" s="30" t="str">
        <f t="shared" si="1"/>
        <v>Y</v>
      </c>
      <c r="K28" s="30" t="str">
        <f t="shared" si="2"/>
        <v/>
      </c>
      <c r="L28" s="30" t="s">
        <v>599</v>
      </c>
      <c r="M28" s="30" t="str">
        <f t="shared" si="3"/>
        <v/>
      </c>
      <c r="N28" s="30" t="str">
        <f t="shared" si="3"/>
        <v/>
      </c>
      <c r="O28" t="str">
        <f t="shared" si="4"/>
        <v>Event_27</v>
      </c>
      <c r="P28"/>
    </row>
    <row r="29" spans="1:16">
      <c r="A29" s="27">
        <f t="shared" si="5"/>
        <v>28</v>
      </c>
      <c r="B29" s="28">
        <v>46382</v>
      </c>
      <c r="C29" s="20">
        <v>0.41666666666666669</v>
      </c>
      <c r="D29" s="18" t="s">
        <v>406</v>
      </c>
      <c r="F29">
        <v>10</v>
      </c>
      <c r="G29" s="18" t="s">
        <v>375</v>
      </c>
      <c r="H29" t="str">
        <f t="shared" si="0"/>
        <v/>
      </c>
      <c r="I29" s="30"/>
      <c r="J29" s="30" t="str">
        <f>IF($B29="","",IF($F29=10,"","Y"))</f>
        <v/>
      </c>
      <c r="K29" s="30" t="str">
        <f t="shared" si="2"/>
        <v>Y</v>
      </c>
      <c r="L29" s="30" t="s">
        <v>599</v>
      </c>
      <c r="M29" s="30" t="str">
        <f t="shared" si="3"/>
        <v/>
      </c>
      <c r="N29" s="30" t="str">
        <f t="shared" si="3"/>
        <v/>
      </c>
      <c r="O29" t="str">
        <f t="shared" si="4"/>
        <v>Event_28</v>
      </c>
    </row>
  </sheetData>
  <sheetProtection formatCells="0" formatColumns="0" formatRows="0" insertColumns="0" insertRows="0" insertHyperlinks="0" deleteColumns="0" deleteRows="0" pivotTables="0"/>
  <conditionalFormatting sqref="B2:B29">
    <cfRule type="expression" dxfId="87" priority="2">
      <formula>NOT(YEAR(B2)=CompetitionYear)</formula>
    </cfRule>
  </conditionalFormatting>
  <conditionalFormatting sqref="K2:L31">
    <cfRule type="expression" dxfId="86"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626</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38"/>
  <sheetViews>
    <sheetView topLeftCell="A78" workbookViewId="0">
      <selection activeCell="A109" sqref="A109"/>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486</v>
      </c>
      <c r="B4" t="s">
        <v>646</v>
      </c>
      <c r="C4" s="36" t="str">
        <f>IF(ISBLANK(B4),IF(ISBLANK(A4),"",A4),_xlfn.CONCAT(A4," (",B4,")"))</f>
        <v>Harriet Hughes (Beeston RC)</v>
      </c>
      <c r="D4" t="s">
        <v>372</v>
      </c>
      <c r="H4" t="s">
        <v>473</v>
      </c>
    </row>
    <row r="5" spans="1:8" ht="14.25">
      <c r="A5" t="s">
        <v>645</v>
      </c>
      <c r="B5" t="s">
        <v>646</v>
      </c>
      <c r="C5" s="36" t="str">
        <f>IF(ISBLANK(B5),IF(ISBLANK(A5),"",A5),_xlfn.CONCAT(A5," (",B5,")"))</f>
        <v>Marc Fairclough (Beeston RC)</v>
      </c>
    </row>
    <row r="6" spans="1:8" ht="14.25">
      <c r="A6" t="s">
        <v>471</v>
      </c>
      <c r="B6" t="s">
        <v>472</v>
      </c>
      <c r="C6" s="36" t="str">
        <f>IF(ISBLANK(B6),IF(ISBLANK(A6),"",A6),_xlfn.CONCAT(A6," (",B6,")"))</f>
        <v>David Marshall (Bluelight CC)</v>
      </c>
    </row>
    <row r="7" spans="1:8" ht="14.25">
      <c r="A7" t="s">
        <v>700</v>
      </c>
      <c r="B7" t="s">
        <v>695</v>
      </c>
      <c r="C7" s="36" t="str">
        <f>IF(ISBLANK(B7),IF(ISBLANK(A7),"",A7),_xlfn.CONCAT(A7," (",B7,")"))</f>
        <v>Ali Nurgat (BOB CC)</v>
      </c>
    </row>
    <row r="8" spans="1:8" ht="14.25">
      <c r="A8" t="s">
        <v>595</v>
      </c>
      <c r="B8" t="s">
        <v>695</v>
      </c>
      <c r="C8" s="36" t="str">
        <f>IF(ISBLANK(B8),IF(ISBLANK(A8),"",A8),_xlfn.CONCAT(A8," (",B8,")"))</f>
        <v>Mohammed Nurgat (BOB CC)</v>
      </c>
    </row>
    <row r="9" spans="1:8" ht="14.25">
      <c r="A9" t="s">
        <v>644</v>
      </c>
      <c r="B9" t="s">
        <v>695</v>
      </c>
      <c r="C9" s="36" t="str">
        <f>IF(ISBLANK(B9),IF(ISBLANK(A9),"",A9),_xlfn.CONCAT(A9," (",B9,")"))</f>
        <v>Shareeq S. Shaikh (BOB CC)</v>
      </c>
    </row>
    <row r="10" spans="1:8" ht="14.25">
      <c r="A10" t="s">
        <v>731</v>
      </c>
      <c r="B10" t="s">
        <v>475</v>
      </c>
      <c r="C10" s="36" t="str">
        <f>IF(ISBLANK(B10),IF(ISBLANK(A10),"",A10),_xlfn.CONCAT(A10," (",B10,")"))</f>
        <v>D Alexander (Coalville Wheelers)</v>
      </c>
    </row>
    <row r="11" spans="1:8" ht="14.25">
      <c r="A11" t="s">
        <v>649</v>
      </c>
      <c r="B11" t="s">
        <v>475</v>
      </c>
      <c r="C11" s="36" t="str">
        <f>IF(ISBLANK(B11),IF(ISBLANK(A11),"",A11),_xlfn.CONCAT(A11," (",B11,")"))</f>
        <v>James Dexter (Coalville Wheelers)</v>
      </c>
    </row>
    <row r="12" spans="1:8" ht="14.25">
      <c r="A12" t="s">
        <v>474</v>
      </c>
      <c r="B12" t="s">
        <v>475</v>
      </c>
      <c r="C12" s="36" t="str">
        <f>IF(ISBLANK(B12),IF(ISBLANK(A12),"",A12),_xlfn.CONCAT(A12," (",B12,")"))</f>
        <v>John Capel (Coalville Wheelers)</v>
      </c>
    </row>
    <row r="13" spans="1:8" ht="14.25">
      <c r="A13" t="s">
        <v>476</v>
      </c>
      <c r="B13" t="s">
        <v>475</v>
      </c>
      <c r="C13" s="36" t="str">
        <f>IF(ISBLANK(B13),IF(ISBLANK(A13),"",A13),_xlfn.CONCAT(A13," (",B13,")"))</f>
        <v>Pamela Moore (Coalville Wheelers)</v>
      </c>
      <c r="D13" t="s">
        <v>372</v>
      </c>
    </row>
    <row r="14" spans="1:8" ht="14.25">
      <c r="A14" t="s">
        <v>724</v>
      </c>
      <c r="B14" t="s">
        <v>478</v>
      </c>
      <c r="C14" s="36" t="str">
        <f>IF(ISBLANK(B14),IF(ISBLANK(A14),"",A14),_xlfn.CONCAT(A14," (",B14,")"))</f>
        <v>Alex Williamson (Cov Tri)</v>
      </c>
    </row>
    <row r="15" spans="1:8" ht="14.25">
      <c r="A15" t="s">
        <v>725</v>
      </c>
      <c r="B15" t="s">
        <v>478</v>
      </c>
      <c r="C15" s="36" t="str">
        <f>IF(ISBLANK(B15),IF(ISBLANK(A15),"",A15),_xlfn.CONCAT(A15," (",B15,")"))</f>
        <v>David Melhuish (Cov Tri)</v>
      </c>
    </row>
    <row r="16" spans="1:8" ht="14.25">
      <c r="A16" t="s">
        <v>477</v>
      </c>
      <c r="B16" t="s">
        <v>478</v>
      </c>
      <c r="C16" s="36" t="str">
        <f>IF(ISBLANK(B16),IF(ISBLANK(A16),"",A16),_xlfn.CONCAT(A16," (",B16,")"))</f>
        <v>Jayne Mumford (W) (Cov Tri)</v>
      </c>
      <c r="D16" t="s">
        <v>372</v>
      </c>
    </row>
    <row r="17" spans="1:4" ht="14.25">
      <c r="A17" t="s">
        <v>479</v>
      </c>
      <c r="B17" t="s">
        <v>478</v>
      </c>
      <c r="C17" s="36" t="str">
        <f>IF(ISBLANK(B17),IF(ISBLANK(A17),"",A17),_xlfn.CONCAT(A17," (",B17,")"))</f>
        <v>Simon Clarke (Cov Tri)</v>
      </c>
    </row>
    <row r="18" spans="1:4" ht="14.25">
      <c r="A18" t="s">
        <v>480</v>
      </c>
      <c r="B18" t="s">
        <v>481</v>
      </c>
      <c r="C18" s="36" t="str">
        <f>IF(ISBLANK(B18),IF(ISBLANK(A18),"",A18),_xlfn.CONCAT(A18," (",B18,")"))</f>
        <v>Lydia Baxter (FTP Fusion)</v>
      </c>
      <c r="D18" t="s">
        <v>372</v>
      </c>
    </row>
    <row r="19" spans="1:4" ht="14.25">
      <c r="A19" t="s">
        <v>650</v>
      </c>
      <c r="B19" t="s">
        <v>648</v>
      </c>
      <c r="C19" s="36" t="str">
        <f>IF(ISBLANK(B19),IF(ISBLANK(A19),"",A19),_xlfn.CONCAT(A19," (",B19,")"))</f>
        <v>Muhammad Sheikh (Gapped RT)</v>
      </c>
    </row>
    <row r="20" spans="1:4" ht="14.25">
      <c r="A20" t="s">
        <v>647</v>
      </c>
      <c r="B20" t="s">
        <v>648</v>
      </c>
      <c r="C20" s="36" t="str">
        <f>IF(ISBLANK(B20),IF(ISBLANK(A20),"",A20),_xlfn.CONCAT(A20," (",B20,")"))</f>
        <v>Umair Nurgat (Gapped RT)</v>
      </c>
    </row>
    <row r="21" spans="1:4" ht="14.25">
      <c r="A21" t="s">
        <v>482</v>
      </c>
      <c r="B21" t="s">
        <v>397</v>
      </c>
      <c r="C21" s="36" t="str">
        <f>IF(ISBLANK(B21),IF(ISBLANK(A21),"",A21),_xlfn.CONCAT(A21," (",B21,")"))</f>
        <v>Andy Thomas (HCRC)</v>
      </c>
    </row>
    <row r="22" spans="1:4" ht="14.25">
      <c r="A22" t="s">
        <v>483</v>
      </c>
      <c r="B22" t="s">
        <v>397</v>
      </c>
      <c r="C22" s="36" t="str">
        <f>IF(ISBLANK(B22),IF(ISBLANK(A22),"",A22),_xlfn.CONCAT(A22," (",B22,")"))</f>
        <v>Colin Parkinson (SWRC) (HCRC)</v>
      </c>
    </row>
    <row r="23" spans="1:4" ht="14.25">
      <c r="A23" t="s">
        <v>705</v>
      </c>
      <c r="B23" t="s">
        <v>397</v>
      </c>
      <c r="C23" s="36" t="str">
        <f>IF(ISBLANK(B23),IF(ISBLANK(A23),"",A23),_xlfn.CONCAT(A23," (",B23,")"))</f>
        <v>Joe Murray (M.I. Racing) (HCRC)</v>
      </c>
    </row>
    <row r="24" spans="1:4" ht="14.25">
      <c r="A24" t="s">
        <v>706</v>
      </c>
      <c r="B24" t="s">
        <v>397</v>
      </c>
      <c r="C24" s="36" t="str">
        <f>IF(ISBLANK(B24),IF(ISBLANK(A24),"",A24),_xlfn.CONCAT(A24," (",B24,")"))</f>
        <v>Mick Wills (M.I. Racing) (HCRC)</v>
      </c>
    </row>
    <row r="25" spans="1:4" ht="14.25">
      <c r="A25" t="s">
        <v>484</v>
      </c>
      <c r="B25" t="s">
        <v>391</v>
      </c>
      <c r="C25" s="36" t="str">
        <f>IF(ISBLANK(B25),IF(ISBLANK(A25),"",A25),_xlfn.CONCAT(A25," (",B25,")"))</f>
        <v>Andy King (KCC)</v>
      </c>
    </row>
    <row r="26" spans="1:4" ht="14.25">
      <c r="A26" t="s">
        <v>596</v>
      </c>
      <c r="B26" t="s">
        <v>391</v>
      </c>
      <c r="C26" s="36" t="str">
        <f>IF(ISBLANK(B26),IF(ISBLANK(A26),"",A26),_xlfn.CONCAT(A26," (",B26,")"))</f>
        <v>Evan Collett (G Fox) (KCC)</v>
      </c>
    </row>
    <row r="27" spans="1:4" ht="14.25">
      <c r="A27" t="s">
        <v>628</v>
      </c>
      <c r="B27" t="s">
        <v>391</v>
      </c>
      <c r="C27" s="36" t="str">
        <f>IF(ISBLANK(B27),IF(ISBLANK(A27),"",A27),_xlfn.CONCAT(A27," (",B27,")"))</f>
        <v>Ian Bird (KCC)</v>
      </c>
    </row>
    <row r="28" spans="1:4" ht="14.25">
      <c r="A28" t="s">
        <v>485</v>
      </c>
      <c r="B28" t="s">
        <v>391</v>
      </c>
      <c r="C28" s="36" t="str">
        <f>IF(ISBLANK(B28),IF(ISBLANK(A28),"",A28),_xlfn.CONCAT(A28," (",B28,")"))</f>
        <v>Josh Brown (KCC)</v>
      </c>
    </row>
    <row r="29" spans="1:4" ht="14.25">
      <c r="A29" t="s">
        <v>589</v>
      </c>
      <c r="B29" t="s">
        <v>391</v>
      </c>
      <c r="C29" s="36" t="str">
        <f>IF(ISBLANK(B29),IF(ISBLANK(A29),"",A29),_xlfn.CONCAT(A29," (",B29,")"))</f>
        <v>Maria Cayford (KCC)</v>
      </c>
      <c r="D29" t="s">
        <v>372</v>
      </c>
    </row>
    <row r="30" spans="1:4" ht="14.25">
      <c r="A30" t="s">
        <v>627</v>
      </c>
      <c r="B30" t="s">
        <v>391</v>
      </c>
      <c r="C30" s="36" t="str">
        <f>IF(ISBLANK(B30),IF(ISBLANK(A30),"",A30),_xlfn.CONCAT(A30," (",B30,")"))</f>
        <v>Michael Wheeler (KCC)</v>
      </c>
    </row>
    <row r="31" spans="1:4" ht="14.25">
      <c r="A31" t="s">
        <v>743</v>
      </c>
      <c r="B31" t="s">
        <v>400</v>
      </c>
      <c r="C31" s="36" t="str">
        <f>IF(ISBLANK(B31),IF(ISBLANK(A31),"",A31),_xlfn.CONCAT(A31," (",B31,")"))</f>
        <v>Dave Tomlinson (LFCC)</v>
      </c>
    </row>
    <row r="32" spans="1:4" ht="14.25">
      <c r="A32" t="s">
        <v>742</v>
      </c>
      <c r="B32" t="s">
        <v>400</v>
      </c>
      <c r="C32" s="36" t="str">
        <f>IF(ISBLANK(B32),IF(ISBLANK(A32),"",A32),_xlfn.CONCAT(A32," (",B32,")"))</f>
        <v>Eric Fullerton (LFCC)</v>
      </c>
    </row>
    <row r="33" spans="1:4" ht="14.25">
      <c r="A33" t="s">
        <v>486</v>
      </c>
      <c r="B33" t="s">
        <v>400</v>
      </c>
      <c r="C33" s="36" t="str">
        <f>IF(ISBLANK(B33),IF(ISBLANK(A33),"",A33),_xlfn.CONCAT(A33," (",B33,")"))</f>
        <v>Harriet Hughes (LFCC)</v>
      </c>
      <c r="D33" t="s">
        <v>372</v>
      </c>
    </row>
    <row r="34" spans="1:4" ht="14.25">
      <c r="A34" t="s">
        <v>640</v>
      </c>
      <c r="B34" t="s">
        <v>400</v>
      </c>
      <c r="C34" s="36" t="str">
        <f>IF(ISBLANK(B34),IF(ISBLANK(A34),"",A34),_xlfn.CONCAT(A34," (",B34,")"))</f>
        <v>Jeff Jones (LFCC)</v>
      </c>
    </row>
    <row r="35" spans="1:4" ht="14.25">
      <c r="A35" t="s">
        <v>726</v>
      </c>
      <c r="B35" t="s">
        <v>400</v>
      </c>
      <c r="C35" s="36" t="str">
        <f>IF(ISBLANK(B35),IF(ISBLANK(A35),"",A35),_xlfn.CONCAT(A35," (",B35,")"))</f>
        <v>Josh Jones (LFCC)</v>
      </c>
    </row>
    <row r="36" spans="1:4" ht="14.25">
      <c r="A36" t="s">
        <v>641</v>
      </c>
      <c r="B36" t="s">
        <v>400</v>
      </c>
      <c r="C36" s="36" t="str">
        <f>IF(ISBLANK(B36),IF(ISBLANK(A36),"",A36),_xlfn.CONCAT(A36," (",B36,")"))</f>
        <v>Joshua Jones (LFCC)</v>
      </c>
    </row>
    <row r="37" spans="1:4" ht="14.25">
      <c r="A37" t="s">
        <v>487</v>
      </c>
      <c r="B37" t="s">
        <v>400</v>
      </c>
      <c r="C37" s="36" t="str">
        <f>IF(ISBLANK(B37),IF(ISBLANK(A37),"",A37),_xlfn.CONCAT(A37," (",B37,")"))</f>
        <v>Mat Mabe (LFCC)</v>
      </c>
    </row>
    <row r="38" spans="1:4" ht="14.25">
      <c r="A38" t="s">
        <v>488</v>
      </c>
      <c r="B38" t="s">
        <v>400</v>
      </c>
      <c r="C38" s="36" t="str">
        <f>IF(ISBLANK(B38),IF(ISBLANK(A38),"",A38),_xlfn.CONCAT(A38," (",B38,")"))</f>
        <v>Matt Finch (LFCC)</v>
      </c>
    </row>
    <row r="39" spans="1:4" ht="14.25">
      <c r="A39" t="s">
        <v>489</v>
      </c>
      <c r="B39" t="s">
        <v>400</v>
      </c>
      <c r="C39" s="36" t="str">
        <f>IF(ISBLANK(B39),IF(ISBLANK(A39),"",A39),_xlfn.CONCAT(A39," (",B39,")"))</f>
        <v>Morris Mabe (LFCC)</v>
      </c>
    </row>
    <row r="40" spans="1:4" ht="14.25">
      <c r="A40" t="s">
        <v>745</v>
      </c>
      <c r="B40" t="s">
        <v>400</v>
      </c>
      <c r="C40" s="36" t="str">
        <f>IF(ISBLANK(B40),IF(ISBLANK(A40),"",A40),_xlfn.CONCAT(A40," (",B40,")"))</f>
        <v>Pietro Saman (LFCC)</v>
      </c>
    </row>
    <row r="41" spans="1:4" ht="14.25">
      <c r="A41" t="s">
        <v>490</v>
      </c>
      <c r="B41" t="s">
        <v>400</v>
      </c>
      <c r="C41" s="36" t="str">
        <f>IF(ISBLANK(B41),IF(ISBLANK(A41),"",A41),_xlfn.CONCAT(A41," (",B41,")"))</f>
        <v>Sam Nettel (LFCC)</v>
      </c>
    </row>
    <row r="42" spans="1:4" ht="14.25">
      <c r="A42" t="s">
        <v>642</v>
      </c>
      <c r="B42" t="s">
        <v>400</v>
      </c>
      <c r="C42" s="36" t="str">
        <f>IF(ISBLANK(B42),IF(ISBLANK(A42),"",A42),_xlfn.CONCAT(A42," (",B42,")"))</f>
        <v>Simon Jones (LFCC)</v>
      </c>
    </row>
    <row r="43" spans="1:4" ht="14.25">
      <c r="A43" t="s">
        <v>696</v>
      </c>
      <c r="B43" t="s">
        <v>400</v>
      </c>
      <c r="C43" s="36" t="str">
        <f>IF(ISBLANK(B43),IF(ISBLANK(A43),"",A43),_xlfn.CONCAT(A43," (",B43,")"))</f>
        <v>Steve Walsh (LFCC)</v>
      </c>
    </row>
    <row r="44" spans="1:4" ht="14.25">
      <c r="A44" t="s">
        <v>491</v>
      </c>
      <c r="B44" t="s">
        <v>400</v>
      </c>
      <c r="C44" s="36" t="str">
        <f>IF(ISBLANK(B44),IF(ISBLANK(A44),"",A44),_xlfn.CONCAT(A44," (",B44,")"))</f>
        <v>Talles Medevives (LFCC)</v>
      </c>
    </row>
    <row r="45" spans="1:4" ht="14.25">
      <c r="A45" t="s">
        <v>492</v>
      </c>
      <c r="B45" t="s">
        <v>493</v>
      </c>
      <c r="C45" s="36" t="str">
        <f>IF(ISBLANK(B45),IF(ISBLANK(A45),"",A45),_xlfn.CONCAT(A45," (",B45,")"))</f>
        <v>Dean Tacey (LRC)</v>
      </c>
    </row>
    <row r="46" spans="1:4" ht="14.25">
      <c r="A46" t="s">
        <v>727</v>
      </c>
      <c r="B46" t="s">
        <v>707</v>
      </c>
      <c r="C46" s="36" t="str">
        <f>IF(ISBLANK(B46),IF(ISBLANK(A46),"",A46),_xlfn.CONCAT(A46," (",B46,")"))</f>
        <v>David Mead (M.I. Racing)</v>
      </c>
    </row>
    <row r="47" spans="1:4" ht="14.25">
      <c r="A47" t="s">
        <v>723</v>
      </c>
      <c r="B47" t="s">
        <v>707</v>
      </c>
      <c r="C47" s="36" t="str">
        <f>IF(ISBLANK(B47),IF(ISBLANK(A47),"",A47),_xlfn.CONCAT(A47," (",B47,")"))</f>
        <v>Mark Wise (M.I. Racing)</v>
      </c>
    </row>
    <row r="48" spans="1:4" ht="14.25">
      <c r="A48" t="s">
        <v>737</v>
      </c>
      <c r="B48" t="s">
        <v>707</v>
      </c>
      <c r="C48" s="36" t="str">
        <f>IF(ISBLANK(B48),IF(ISBLANK(A48),"",A48),_xlfn.CONCAT(A48," (",B48,")"))</f>
        <v>Simon Law (M.I. Racing)</v>
      </c>
    </row>
    <row r="49" spans="1:4" ht="14.25">
      <c r="A49" t="s">
        <v>704</v>
      </c>
      <c r="B49" t="s">
        <v>707</v>
      </c>
      <c r="C49" s="36" t="str">
        <f>IF(ISBLANK(B49),IF(ISBLANK(A49),"",A49),_xlfn.CONCAT(A49," (",B49,")"))</f>
        <v>Zoe Shepherd (M.I. Racing)</v>
      </c>
    </row>
    <row r="50" spans="1:4" ht="14.25">
      <c r="A50" t="s">
        <v>494</v>
      </c>
      <c r="B50" t="s">
        <v>495</v>
      </c>
      <c r="C50" s="36" t="str">
        <f>IF(ISBLANK(B50),IF(ISBLANK(A50),"",A50),_xlfn.CONCAT(A50," (",B50,")"))</f>
        <v>Chris Booth (MOCC)</v>
      </c>
    </row>
    <row r="51" spans="1:4" ht="14.25">
      <c r="A51" t="s">
        <v>496</v>
      </c>
      <c r="B51" t="s">
        <v>495</v>
      </c>
      <c r="C51" s="36" t="str">
        <f>IF(ISBLANK(B51),IF(ISBLANK(A51),"",A51),_xlfn.CONCAT(A51," (",B51,")"))</f>
        <v>David Cooper (MOCC)</v>
      </c>
    </row>
    <row r="52" spans="1:4" ht="14.25">
      <c r="A52" t="s">
        <v>497</v>
      </c>
      <c r="B52" t="s">
        <v>495</v>
      </c>
      <c r="C52" s="36" t="str">
        <f>IF(ISBLANK(B52),IF(ISBLANK(A52),"",A52),_xlfn.CONCAT(A52," (",B52,")"))</f>
        <v>Jamie Haines (MOCC)</v>
      </c>
    </row>
    <row r="53" spans="1:4" ht="14.25">
      <c r="A53" t="s">
        <v>701</v>
      </c>
      <c r="B53" t="s">
        <v>495</v>
      </c>
      <c r="C53" s="36" t="str">
        <f>IF(ISBLANK(B53),IF(ISBLANK(A53),"",A53),_xlfn.CONCAT(A53," (",B53,")"))</f>
        <v>Laura Ayres (MOCC)</v>
      </c>
      <c r="D53" t="s">
        <v>372</v>
      </c>
    </row>
    <row r="54" spans="1:4" ht="14.25">
      <c r="A54" t="s">
        <v>499</v>
      </c>
      <c r="B54" t="s">
        <v>500</v>
      </c>
      <c r="C54" s="36" t="str">
        <f>IF(ISBLANK(B54),IF(ISBLANK(A54),"",A54),_xlfn.CONCAT(A54," (",B54,")"))</f>
        <v>Lewis Cooper (RAF Tri)</v>
      </c>
    </row>
    <row r="55" spans="1:4" ht="14.25">
      <c r="A55" t="s">
        <v>501</v>
      </c>
      <c r="B55" t="s">
        <v>394</v>
      </c>
      <c r="C55" s="36" t="str">
        <f>IF(ISBLANK(B55),IF(ISBLANK(A55),"",A55),_xlfn.CONCAT(A55," (",B55,")"))</f>
        <v>Alex Whitmore (Ratae)</v>
      </c>
    </row>
    <row r="56" spans="1:4" ht="14.25">
      <c r="A56" t="s">
        <v>502</v>
      </c>
      <c r="B56" t="s">
        <v>394</v>
      </c>
      <c r="C56" s="36" t="str">
        <f>IF(ISBLANK(B56),IF(ISBLANK(A56),"",A56),_xlfn.CONCAT(A56," (",B56,")"))</f>
        <v>Brian Lincoln (Ratae)</v>
      </c>
    </row>
    <row r="57" spans="1:4" ht="14.25">
      <c r="A57" t="s">
        <v>664</v>
      </c>
      <c r="B57" t="s">
        <v>394</v>
      </c>
      <c r="C57" s="36" t="str">
        <f>IF(ISBLANK(B57),IF(ISBLANK(A57),"",A57),_xlfn.CONCAT(A57," (",B57,")"))</f>
        <v>Brigitte Gaillard (Ratae)</v>
      </c>
      <c r="D57" t="s">
        <v>372</v>
      </c>
    </row>
    <row r="58" spans="1:4" ht="14.25">
      <c r="A58" t="s">
        <v>503</v>
      </c>
      <c r="B58" t="s">
        <v>394</v>
      </c>
      <c r="C58" s="36" t="str">
        <f>IF(ISBLANK(B58),IF(ISBLANK(A58),"",A58),_xlfn.CONCAT(A58," (",B58,")"))</f>
        <v>Chris Bonsor (Ratae)</v>
      </c>
    </row>
    <row r="59" spans="1:4" ht="14.25">
      <c r="A59" t="s">
        <v>504</v>
      </c>
      <c r="B59" t="s">
        <v>394</v>
      </c>
      <c r="C59" s="36" t="str">
        <f>IF(ISBLANK(B59),IF(ISBLANK(A59),"",A59),_xlfn.CONCAT(A59," (",B59,")"))</f>
        <v>Chris Spray (Ratae)</v>
      </c>
    </row>
    <row r="60" spans="1:4" ht="14.25">
      <c r="A60" t="s">
        <v>505</v>
      </c>
      <c r="B60" t="s">
        <v>394</v>
      </c>
      <c r="C60" s="36" t="str">
        <f>IF(ISBLANK(B60),IF(ISBLANK(A60),"",A60),_xlfn.CONCAT(A60," (",B60,")"))</f>
        <v>Debbie Cooper (Ratae)</v>
      </c>
      <c r="D60" t="s">
        <v>372</v>
      </c>
    </row>
    <row r="61" spans="1:4" ht="14.25">
      <c r="A61" t="s">
        <v>506</v>
      </c>
      <c r="B61" t="s">
        <v>394</v>
      </c>
      <c r="C61" s="36" t="str">
        <f>IF(ISBLANK(B61),IF(ISBLANK(A61),"",A61),_xlfn.CONCAT(A61," (",B61,")"))</f>
        <v>Ed Watson (Ratae)</v>
      </c>
    </row>
    <row r="62" spans="1:4" ht="14.25">
      <c r="A62" t="s">
        <v>581</v>
      </c>
      <c r="B62" s="63" t="s">
        <v>394</v>
      </c>
      <c r="C62" s="36" t="str">
        <f>IF(ISBLANK(B62),IF(ISBLANK(A62),"",A62),_xlfn.CONCAT(A62," (",B62,")"))</f>
        <v>Geoff Stanbridge (Ratae)</v>
      </c>
    </row>
    <row r="63" spans="1:4" ht="14.25">
      <c r="A63" t="s">
        <v>507</v>
      </c>
      <c r="B63" t="s">
        <v>394</v>
      </c>
      <c r="C63" s="36" t="str">
        <f>IF(ISBLANK(B63),IF(ISBLANK(A63),"",A63),_xlfn.CONCAT(A63," (",B63,")"))</f>
        <v>Jonathon Clarke (Ratae)</v>
      </c>
      <c r="D63" s="36"/>
    </row>
    <row r="64" spans="1:4" ht="14.25">
      <c r="A64" t="s">
        <v>651</v>
      </c>
      <c r="B64" t="s">
        <v>394</v>
      </c>
      <c r="C64" s="36" t="str">
        <f>IF(ISBLANK(B64),IF(ISBLANK(A64),"",A64),_xlfn.CONCAT(A64," (",B64,")"))</f>
        <v>Karl Williams (Ratae)</v>
      </c>
    </row>
    <row r="65" spans="1:4" ht="14.25">
      <c r="A65" t="s">
        <v>508</v>
      </c>
      <c r="B65" t="s">
        <v>394</v>
      </c>
      <c r="C65" s="36" t="str">
        <f>IF(ISBLANK(B65),IF(ISBLANK(A65),"",A65),_xlfn.CONCAT(A65," (",B65,")"))</f>
        <v>Lesley Allden (Ratae)</v>
      </c>
      <c r="D65" t="s">
        <v>372</v>
      </c>
    </row>
    <row r="66" spans="1:4" ht="14.25">
      <c r="A66" t="s">
        <v>509</v>
      </c>
      <c r="B66" t="s">
        <v>394</v>
      </c>
      <c r="C66" s="36" t="str">
        <f>IF(ISBLANK(B66),IF(ISBLANK(A66),"",A66),_xlfn.CONCAT(A66," (",B66,")"))</f>
        <v>Lucy Sturgess (Ratae)</v>
      </c>
      <c r="D66" t="s">
        <v>372</v>
      </c>
    </row>
    <row r="67" spans="1:4" ht="14.25">
      <c r="A67" t="s">
        <v>510</v>
      </c>
      <c r="B67" t="s">
        <v>394</v>
      </c>
      <c r="C67" s="36" t="str">
        <f>IF(ISBLANK(B67),IF(ISBLANK(A67),"",A67),_xlfn.CONCAT(A67," (",B67,")"))</f>
        <v>Mark Marmoy (Ratae)</v>
      </c>
    </row>
    <row r="68" spans="1:4" ht="14.25">
      <c r="A68" t="s">
        <v>511</v>
      </c>
      <c r="B68" t="s">
        <v>394</v>
      </c>
      <c r="C68" s="36" t="str">
        <f>IF(ISBLANK(B68),IF(ISBLANK(A68),"",A68),_xlfn.CONCAT(A68," (",B68,")"))</f>
        <v>Mark Newton (Ratae)</v>
      </c>
    </row>
    <row r="69" spans="1:4" ht="14.25">
      <c r="A69" t="s">
        <v>512</v>
      </c>
      <c r="B69" t="s">
        <v>394</v>
      </c>
      <c r="C69" s="36" t="str">
        <f>IF(ISBLANK(B69),IF(ISBLANK(A69),"",A69),_xlfn.CONCAT(A69," (",B69,")"))</f>
        <v>Marshall Briggs (Ratae)</v>
      </c>
    </row>
    <row r="70" spans="1:4" ht="14.25">
      <c r="A70" t="s">
        <v>513</v>
      </c>
      <c r="B70" t="s">
        <v>394</v>
      </c>
      <c r="C70" s="36" t="str">
        <f>IF(ISBLANK(B70),IF(ISBLANK(A70),"",A70),_xlfn.CONCAT(A70," (",B70,")"))</f>
        <v>Natalie Harris (Ratae)</v>
      </c>
      <c r="D70" t="s">
        <v>372</v>
      </c>
    </row>
    <row r="71" spans="1:4" ht="14.25">
      <c r="A71" t="s">
        <v>514</v>
      </c>
      <c r="B71" t="s">
        <v>394</v>
      </c>
      <c r="C71" s="36" t="str">
        <f>IF(ISBLANK(B71),IF(ISBLANK(A71),"",A71),_xlfn.CONCAT(A71," (",B71,")"))</f>
        <v>Paul Eden (Ratae)</v>
      </c>
    </row>
    <row r="72" spans="1:4" ht="14.25">
      <c r="A72" t="s">
        <v>665</v>
      </c>
      <c r="B72" t="s">
        <v>394</v>
      </c>
      <c r="C72" s="36" t="str">
        <f>IF(ISBLANK(B72),IF(ISBLANK(A72),"",A72),_xlfn.CONCAT(A72," (",B72,")"))</f>
        <v>Peter Kott (Ratae)</v>
      </c>
    </row>
    <row r="73" spans="1:4" ht="14.25">
      <c r="A73" t="s">
        <v>515</v>
      </c>
      <c r="B73" t="s">
        <v>394</v>
      </c>
      <c r="C73" s="36" t="str">
        <f>IF(ISBLANK(B73),IF(ISBLANK(A73),"",A73),_xlfn.CONCAT(A73," (",B73,")"))</f>
        <v>Sadie Murphy (Ratae)</v>
      </c>
      <c r="D73" t="s">
        <v>372</v>
      </c>
    </row>
    <row r="74" spans="1:4" ht="14.25">
      <c r="A74" t="s">
        <v>516</v>
      </c>
      <c r="B74" t="s">
        <v>394</v>
      </c>
      <c r="C74" s="36" t="str">
        <f>IF(ISBLANK(B74),IF(ISBLANK(A74),"",A74),_xlfn.CONCAT(A74," (",B74,")"))</f>
        <v>Steve Pearce (Ratae)</v>
      </c>
    </row>
    <row r="75" spans="1:4" ht="14.25">
      <c r="A75" t="s">
        <v>643</v>
      </c>
      <c r="B75" t="s">
        <v>394</v>
      </c>
      <c r="C75" s="36" t="str">
        <f>IF(ISBLANK(B75),IF(ISBLANK(A75),"",A75),_xlfn.CONCAT(A75," (",B75,")"))</f>
        <v>Sue Bonsor (Ratae)</v>
      </c>
      <c r="D75" t="s">
        <v>372</v>
      </c>
    </row>
    <row r="76" spans="1:4" ht="14.25">
      <c r="A76" t="s">
        <v>517</v>
      </c>
      <c r="B76" t="s">
        <v>385</v>
      </c>
      <c r="C76" s="36" t="str">
        <f>IF(ISBLANK(B76),IF(ISBLANK(A76),"",A76),_xlfn.CONCAT(A76," (",B76,")"))</f>
        <v>Adam Wells (RFW)</v>
      </c>
    </row>
    <row r="77" spans="1:4" ht="14.25">
      <c r="A77" t="s">
        <v>593</v>
      </c>
      <c r="B77" t="s">
        <v>385</v>
      </c>
      <c r="C77" s="36" t="str">
        <f>IF(ISBLANK(B77),IF(ISBLANK(A77),"",A77),_xlfn.CONCAT(A77," (",B77,")"))</f>
        <v>Alex Barrowman (RFW)</v>
      </c>
    </row>
    <row r="78" spans="1:4" ht="14.25">
      <c r="A78" t="s">
        <v>518</v>
      </c>
      <c r="B78" t="s">
        <v>385</v>
      </c>
      <c r="C78" s="36" t="str">
        <f>IF(ISBLANK(B78),IF(ISBLANK(A78),"",A78),_xlfn.CONCAT(A78," (",B78,")"))</f>
        <v>Anne Gilhespy (RFW)</v>
      </c>
      <c r="D78" t="s">
        <v>372</v>
      </c>
    </row>
    <row r="79" spans="1:4" ht="14.25">
      <c r="A79" t="s">
        <v>519</v>
      </c>
      <c r="B79" t="s">
        <v>385</v>
      </c>
      <c r="C79" s="36" t="str">
        <f>IF(ISBLANK(B79),IF(ISBLANK(A79),"",A79),_xlfn.CONCAT(A79," (",B79,")"))</f>
        <v>Chris Fowler (RFW)</v>
      </c>
    </row>
    <row r="80" spans="1:4" ht="14.25">
      <c r="A80" t="s">
        <v>520</v>
      </c>
      <c r="B80" t="s">
        <v>385</v>
      </c>
      <c r="C80" s="36" t="str">
        <f>IF(ISBLANK(B80),IF(ISBLANK(A80),"",A80),_xlfn.CONCAT(A80," (",B80,")"))</f>
        <v>Dan Hempkin (RFW)</v>
      </c>
    </row>
    <row r="81" spans="1:4" ht="14.25">
      <c r="A81" t="s">
        <v>521</v>
      </c>
      <c r="B81" t="s">
        <v>385</v>
      </c>
      <c r="C81" s="36" t="str">
        <f>IF(ISBLANK(B81),IF(ISBLANK(A81),"",A81),_xlfn.CONCAT(A81," (",B81,")"))</f>
        <v>David Hill (RFW)</v>
      </c>
    </row>
    <row r="82" spans="1:4" ht="14.25">
      <c r="A82" t="s">
        <v>636</v>
      </c>
      <c r="B82" t="s">
        <v>385</v>
      </c>
      <c r="C82" s="36" t="str">
        <f>IF(ISBLANK(B82),IF(ISBLANK(A82),"",A82),_xlfn.CONCAT(A82," (",B82,")"))</f>
        <v>Ethan Mitchell-Clarke (Team Bottrill Nopinz) (RFW)</v>
      </c>
    </row>
    <row r="83" spans="1:4" ht="14.25">
      <c r="A83" t="s">
        <v>522</v>
      </c>
      <c r="B83" t="s">
        <v>385</v>
      </c>
      <c r="C83" s="36" t="str">
        <f>IF(ISBLANK(B83),IF(ISBLANK(A83),"",A83),_xlfn.CONCAT(A83," (",B83,")"))</f>
        <v>Giles Cooper (RFW)</v>
      </c>
    </row>
    <row r="84" spans="1:4" ht="14.25">
      <c r="A84" t="s">
        <v>588</v>
      </c>
      <c r="B84" t="s">
        <v>385</v>
      </c>
      <c r="C84" s="36" t="str">
        <f>IF(ISBLANK(B84),IF(ISBLANK(A84),"",A84),_xlfn.CONCAT(A84," (",B84,")"))</f>
        <v>Graeme Hall (RFW)</v>
      </c>
    </row>
    <row r="85" spans="1:4" ht="14.25">
      <c r="A85" t="s">
        <v>523</v>
      </c>
      <c r="B85" t="s">
        <v>385</v>
      </c>
      <c r="C85" s="36" t="str">
        <f>IF(ISBLANK(B85),IF(ISBLANK(A85),"",A85),_xlfn.CONCAT(A85," (",B85,")"))</f>
        <v>Gregg Payne (RFW)</v>
      </c>
    </row>
    <row r="86" spans="1:4" ht="14.25">
      <c r="A86" t="s">
        <v>592</v>
      </c>
      <c r="B86" t="s">
        <v>385</v>
      </c>
      <c r="C86" s="36" t="str">
        <f>IF(ISBLANK(B86),IF(ISBLANK(A86),"",A86),_xlfn.CONCAT(A86," (",B86,")"))</f>
        <v>Hudson Hendry (Ride Revolution) (RFW)</v>
      </c>
    </row>
    <row r="87" spans="1:4" ht="14.25">
      <c r="A87" t="s">
        <v>594</v>
      </c>
      <c r="B87" t="s">
        <v>385</v>
      </c>
      <c r="C87" s="36" t="str">
        <f>IF(ISBLANK(B87),IF(ISBLANK(A87),"",A87),_xlfn.CONCAT(A87," (",B87,")"))</f>
        <v>Laurence Noble (RFW)</v>
      </c>
    </row>
    <row r="88" spans="1:4" ht="14.25">
      <c r="A88" t="s">
        <v>524</v>
      </c>
      <c r="B88" t="s">
        <v>385</v>
      </c>
      <c r="C88" s="36" t="str">
        <f>IF(ISBLANK(B88),IF(ISBLANK(A88),"",A88),_xlfn.CONCAT(A88," (",B88,")"))</f>
        <v>Lynne Scofield (RFW)</v>
      </c>
      <c r="D88" t="s">
        <v>372</v>
      </c>
    </row>
    <row r="89" spans="1:4" ht="14.25">
      <c r="A89" t="s">
        <v>525</v>
      </c>
      <c r="B89" t="s">
        <v>385</v>
      </c>
      <c r="C89" s="36" t="str">
        <f>IF(ISBLANK(B89),IF(ISBLANK(A89),"",A89),_xlfn.CONCAT(A89," (",B89,")"))</f>
        <v>Lynne Wilkinson-Scofield (RFW)</v>
      </c>
      <c r="D89" t="s">
        <v>372</v>
      </c>
    </row>
    <row r="90" spans="1:4" ht="14.25">
      <c r="A90" t="s">
        <v>526</v>
      </c>
      <c r="B90" t="s">
        <v>385</v>
      </c>
      <c r="C90" s="36" t="str">
        <f>IF(ISBLANK(B90),IF(ISBLANK(A90),"",A90),_xlfn.CONCAT(A90," (",B90,")"))</f>
        <v>Michael Carter (RFW)</v>
      </c>
    </row>
    <row r="91" spans="1:4" ht="14.25">
      <c r="A91" s="63" t="s">
        <v>577</v>
      </c>
      <c r="B91" t="s">
        <v>385</v>
      </c>
      <c r="C91" s="36" t="str">
        <f>IF(ISBLANK(B91),IF(ISBLANK(A91),"",A91),_xlfn.CONCAT(A91," (",B91,")"))</f>
        <v>Mike Deely (G Fox) (RFW)</v>
      </c>
    </row>
    <row r="92" spans="1:4" ht="14.25">
      <c r="A92" t="s">
        <v>514</v>
      </c>
      <c r="B92" t="s">
        <v>385</v>
      </c>
      <c r="C92" s="36" t="str">
        <f>IF(ISBLANK(B92),IF(ISBLANK(A92),"",A92),_xlfn.CONCAT(A92," (",B92,")"))</f>
        <v>Paul Eden (RFW)</v>
      </c>
    </row>
    <row r="93" spans="1:4" ht="14.25">
      <c r="A93" t="s">
        <v>527</v>
      </c>
      <c r="B93" t="s">
        <v>385</v>
      </c>
      <c r="C93" s="36" t="str">
        <f>IF(ISBLANK(B93),IF(ISBLANK(A93),"",A93),_xlfn.CONCAT(A93," (",B93,")"))</f>
        <v>Paul Russell (RFW)</v>
      </c>
    </row>
    <row r="94" spans="1:4" ht="14.25">
      <c r="A94" t="s">
        <v>528</v>
      </c>
      <c r="B94" t="s">
        <v>385</v>
      </c>
      <c r="C94" s="36" t="str">
        <f>IF(ISBLANK(B94),IF(ISBLANK(A94),"",A94),_xlfn.CONCAT(A94," (",B94,")"))</f>
        <v>Paul Ryan (RFW)</v>
      </c>
    </row>
    <row r="95" spans="1:4" ht="14.25">
      <c r="A95" t="s">
        <v>637</v>
      </c>
      <c r="B95" t="s">
        <v>385</v>
      </c>
      <c r="C95" s="36" t="str">
        <f>IF(ISBLANK(B95),IF(ISBLANK(A95),"",A95),_xlfn.CONCAT(A95," (",B95,")"))</f>
        <v>Pete Bradshaw (RFW)</v>
      </c>
    </row>
    <row r="96" spans="1:4" ht="14.25">
      <c r="A96" t="s">
        <v>529</v>
      </c>
      <c r="B96" t="s">
        <v>385</v>
      </c>
      <c r="C96" s="36" t="str">
        <f>IF(ISBLANK(B96),IF(ISBLANK(A96),"",A96),_xlfn.CONCAT(A96," (",B96,")"))</f>
        <v>Phil Wilkinson (RFW)</v>
      </c>
    </row>
    <row r="97" spans="1:4" ht="14.25">
      <c r="A97" t="s">
        <v>590</v>
      </c>
      <c r="B97" t="s">
        <v>385</v>
      </c>
      <c r="C97" s="36" t="str">
        <f>IF(ISBLANK(B97),IF(ISBLANK(A97),"",A97),_xlfn.CONCAT(A97," (",B97,")"))</f>
        <v>Steve Coombs (RFW)</v>
      </c>
    </row>
    <row r="98" spans="1:4" ht="14.25">
      <c r="A98" t="s">
        <v>591</v>
      </c>
      <c r="B98" t="s">
        <v>385</v>
      </c>
      <c r="C98" s="36" t="str">
        <f>IF(ISBLANK(B98),IF(ISBLANK(A98),"",A98),_xlfn.CONCAT(A98," (",B98,")"))</f>
        <v>Steve Wickham (RFW)</v>
      </c>
    </row>
    <row r="99" spans="1:4" ht="14.25">
      <c r="A99" t="s">
        <v>531</v>
      </c>
      <c r="B99" t="s">
        <v>532</v>
      </c>
      <c r="C99" s="36" t="str">
        <f>IF(ISBLANK(B99),IF(ISBLANK(A99),"",A99),_xlfn.CONCAT(A99," (",B99,")"))</f>
        <v>Adrian James (Rugby RCC)</v>
      </c>
    </row>
    <row r="100" spans="1:4" ht="14.25">
      <c r="A100" t="s">
        <v>533</v>
      </c>
      <c r="B100" t="s">
        <v>534</v>
      </c>
      <c r="C100" s="36" t="str">
        <f>IF(ISBLANK(B100),IF(ISBLANK(A100),"",A100),_xlfn.CONCAT(A100," (",B100,")"))</f>
        <v>Carl Shaw (Speedhub)</v>
      </c>
    </row>
    <row r="101" spans="1:4" ht="14.25">
      <c r="A101" t="s">
        <v>697</v>
      </c>
      <c r="B101" t="s">
        <v>534</v>
      </c>
      <c r="C101" s="36" t="str">
        <f>IF(ISBLANK(B101),IF(ISBLANK(A101),"",A101),_xlfn.CONCAT(A101," (",B101,")"))</f>
        <v>Tom Swan (Speedhub)</v>
      </c>
    </row>
    <row r="102" spans="1:4" ht="14.25">
      <c r="A102" t="s">
        <v>535</v>
      </c>
      <c r="B102" t="s">
        <v>536</v>
      </c>
      <c r="C102" s="36" t="str">
        <f>IF(ISBLANK(B102),IF(ISBLANK(A102),"",A102),_xlfn.CONCAT(A102," (",B102,")"))</f>
        <v>Oliver Searle (St Ives CC)</v>
      </c>
    </row>
    <row r="103" spans="1:4" ht="14.25">
      <c r="A103" t="s">
        <v>698</v>
      </c>
      <c r="B103" t="s">
        <v>699</v>
      </c>
      <c r="C103" s="36" t="str">
        <f>IF(ISBLANK(B103),IF(ISBLANK(A103),"",A103),_xlfn.CONCAT(A103," (",B103,")"))</f>
        <v>Tom Scott-Collins (Velo Elite)</v>
      </c>
    </row>
    <row r="104" spans="1:4" ht="14.25">
      <c r="A104" t="s">
        <v>702</v>
      </c>
      <c r="B104" t="s">
        <v>703</v>
      </c>
      <c r="C104" s="36" t="str">
        <f>IF(ISBLANK(B104),IF(ISBLANK(A104),"",A104),_xlfn.CONCAT(A104," (",B104,")"))</f>
        <v>Paul Akroyd (VTTA E.Mids)</v>
      </c>
    </row>
    <row r="105" spans="1:4" ht="14.25">
      <c r="A105" t="s">
        <v>634</v>
      </c>
      <c r="B105" t="s">
        <v>388</v>
      </c>
      <c r="C105" s="36" t="str">
        <f>IF(ISBLANK(B105),IF(ISBLANK(A105),"",A105),_xlfn.CONCAT(A105," (",B105,")"))</f>
        <v>Ed Tarelli (Race Hub) (WVCC)</v>
      </c>
      <c r="D105" s="36"/>
    </row>
    <row r="106" spans="1:4" ht="14.25">
      <c r="A106" t="s">
        <v>633</v>
      </c>
      <c r="B106" t="s">
        <v>388</v>
      </c>
      <c r="C106" s="36" t="str">
        <f>IF(ISBLANK(B106),IF(ISBLANK(A106),"",A106),_xlfn.CONCAT(A106," (",B106,")"))</f>
        <v>Jamie Kershaw (Beeston CC) (WVCC)</v>
      </c>
    </row>
    <row r="107" spans="1:4" ht="14.25">
      <c r="A107" t="s">
        <v>635</v>
      </c>
      <c r="B107" t="s">
        <v>388</v>
      </c>
      <c r="C107" s="36" t="str">
        <f>IF(ISBLANK(B107),IF(ISBLANK(A107),"",A107),_xlfn.CONCAT(A107," (",B107,")"))</f>
        <v>Jennifer Clegg (Team Bottrill Nopinz) (WVCC)</v>
      </c>
      <c r="D107" t="s">
        <v>372</v>
      </c>
    </row>
    <row r="108" spans="1:4" ht="14.25">
      <c r="A108" t="s">
        <v>631</v>
      </c>
      <c r="B108" t="s">
        <v>388</v>
      </c>
      <c r="C108" s="36" t="str">
        <f>IF(ISBLANK(B108),IF(ISBLANK(A108),"",A108),_xlfn.CONCAT(A108," (",B108,")"))</f>
        <v>Leah Cuthbertson (G Fox) (WVCC)</v>
      </c>
      <c r="D108" t="s">
        <v>372</v>
      </c>
    </row>
    <row r="109" spans="1:4" ht="14.25">
      <c r="A109" t="s">
        <v>632</v>
      </c>
      <c r="B109" t="s">
        <v>388</v>
      </c>
      <c r="C109" s="36" t="str">
        <f>IF(ISBLANK(B109),IF(ISBLANK(A109),"",A109),_xlfn.CONCAT(A109," (",B109,")"))</f>
        <v>Ruby Isaac (CAMS Majaco) (WVCC)</v>
      </c>
      <c r="D109" t="s">
        <v>372</v>
      </c>
    </row>
    <row r="110" spans="1:4" ht="14.25">
      <c r="C110" s="36" t="str">
        <f t="shared" ref="C102:C133" si="0">IF(ISBLANK(B110),IF(ISBLANK(A110),"",A110),_xlfn.CONCAT(A110," (",B110,")"))</f>
        <v/>
      </c>
    </row>
    <row r="111" spans="1:4" ht="14.25">
      <c r="C111" s="36" t="str">
        <f t="shared" si="0"/>
        <v/>
      </c>
    </row>
    <row r="112" spans="1:4" ht="14.25">
      <c r="C112" s="36" t="str">
        <f t="shared" si="0"/>
        <v/>
      </c>
    </row>
    <row r="113" spans="3:3" ht="14.25">
      <c r="C113" s="36" t="str">
        <f t="shared" si="0"/>
        <v/>
      </c>
    </row>
    <row r="114" spans="3:3" ht="14.25">
      <c r="C114" s="36" t="str">
        <f t="shared" si="0"/>
        <v/>
      </c>
    </row>
    <row r="115" spans="3:3" ht="14.25">
      <c r="C115" s="36" t="str">
        <f t="shared" si="0"/>
        <v/>
      </c>
    </row>
    <row r="116" spans="3:3" ht="14.25">
      <c r="C116" s="36" t="str">
        <f t="shared" si="0"/>
        <v/>
      </c>
    </row>
    <row r="117" spans="3:3" ht="14.25">
      <c r="C117" s="36" t="str">
        <f t="shared" si="0"/>
        <v/>
      </c>
    </row>
    <row r="118" spans="3:3" ht="14.25">
      <c r="C118" s="36" t="str">
        <f t="shared" si="0"/>
        <v/>
      </c>
    </row>
    <row r="119" spans="3:3" ht="14.25">
      <c r="C119" s="36" t="str">
        <f t="shared" si="0"/>
        <v/>
      </c>
    </row>
    <row r="120" spans="3:3" ht="14.25">
      <c r="C120" s="36" t="str">
        <f t="shared" si="0"/>
        <v/>
      </c>
    </row>
    <row r="121" spans="3:3" ht="14.25">
      <c r="C121" s="36" t="str">
        <f t="shared" si="0"/>
        <v/>
      </c>
    </row>
    <row r="122" spans="3:3" ht="14.25">
      <c r="C122" s="36" t="str">
        <f t="shared" si="0"/>
        <v/>
      </c>
    </row>
    <row r="123" spans="3:3" ht="14.25">
      <c r="C123" s="36" t="str">
        <f t="shared" si="0"/>
        <v/>
      </c>
    </row>
    <row r="124" spans="3:3" ht="14.25">
      <c r="C124" s="36" t="str">
        <f t="shared" si="0"/>
        <v/>
      </c>
    </row>
    <row r="125" spans="3:3" ht="14.25">
      <c r="C125" s="36" t="str">
        <f t="shared" si="0"/>
        <v/>
      </c>
    </row>
    <row r="126" spans="3:3" ht="14.25">
      <c r="C126" s="36" t="str">
        <f t="shared" si="0"/>
        <v/>
      </c>
    </row>
    <row r="127" spans="3:3" ht="14.25">
      <c r="C127" s="36" t="str">
        <f t="shared" si="0"/>
        <v/>
      </c>
    </row>
    <row r="128" spans="3:3" ht="14.25">
      <c r="C128" s="36" t="str">
        <f t="shared" si="0"/>
        <v/>
      </c>
    </row>
    <row r="129" spans="3:3" ht="14.25">
      <c r="C129" s="36" t="str">
        <f t="shared" si="0"/>
        <v/>
      </c>
    </row>
    <row r="130" spans="3:3" ht="14.25">
      <c r="C130" s="36" t="str">
        <f t="shared" si="0"/>
        <v/>
      </c>
    </row>
    <row r="131" spans="3:3" ht="14.25">
      <c r="C131" s="36" t="str">
        <f t="shared" si="0"/>
        <v/>
      </c>
    </row>
    <row r="132" spans="3:3" ht="14.25">
      <c r="C132" s="36" t="str">
        <f t="shared" si="0"/>
        <v/>
      </c>
    </row>
    <row r="133" spans="3:3" ht="14.25">
      <c r="C133" s="36" t="str">
        <f t="shared" si="0"/>
        <v/>
      </c>
    </row>
    <row r="134" spans="3:3" s="37" customFormat="1"/>
    <row r="136" spans="3:3" ht="14.25">
      <c r="C136" s="36"/>
    </row>
    <row r="137" spans="3:3" ht="14.25">
      <c r="C137" s="36"/>
    </row>
    <row r="138" spans="3:3" ht="14.25">
      <c r="C138" s="36"/>
    </row>
  </sheetData>
  <autoFilter ref="A1:D67" xr:uid="{00000000-0001-0000-1100-000000000000}"/>
  <sortState xmlns:xlrd2="http://schemas.microsoft.com/office/spreadsheetml/2017/richdata2" ref="A2:D109">
    <sortCondition ref="B2:B109"/>
    <sortCondition ref="A2:A109"/>
  </sortState>
  <conditionalFormatting sqref="A2:D133">
    <cfRule type="expression" dxfId="85" priority="1">
      <formula>$B2="WVCC"</formula>
    </cfRule>
  </conditionalFormatting>
  <conditionalFormatting sqref="G2:G4">
    <cfRule type="uniqueValues" dxfId="84"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9">
        <v>43</v>
      </c>
      <c r="E2" s="49">
        <v>1</v>
      </c>
      <c r="F2" s="49" t="s">
        <v>546</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546</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546</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546</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546</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546</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546</v>
      </c>
      <c r="G10" s="49"/>
      <c r="H10" s="50" t="str">
        <f>IF($B10="","",IF($J10="X",B10,CONCATENATE(VLOOKUP(B10,Competitors!$A$2:$I$650,3, FALSE)," ",VLOOKUP(B10,Competitors!$A$2:$I$650,2,FALSE))))</f>
        <v>Toby Lenehan</v>
      </c>
      <c r="I10" s="51">
        <f t="shared" si="0"/>
        <v>2.1608796296296296E-2</v>
      </c>
      <c r="J10" t="str">
        <f t="shared" si="1"/>
        <v/>
      </c>
    </row>
    <row r="11" spans="1:10" ht="15">
      <c r="A11" s="46" t="s">
        <v>547</v>
      </c>
      <c r="B11" s="47">
        <v>1385</v>
      </c>
      <c r="C11" s="48"/>
      <c r="D11" s="49"/>
      <c r="E11" s="49"/>
      <c r="F11" s="49" t="s">
        <v>546</v>
      </c>
      <c r="G11" s="49" t="s">
        <v>548</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546</v>
      </c>
      <c r="G13" s="49"/>
      <c r="H13" s="50" t="str">
        <f>IF($B13="","",IF($J13="X",B13,CONCATENATE(VLOOKUP(B13,Competitors!$A$2:$I$650,3,FALSE)," ",VLOOKUP(B13,Competitors!$A$2:$I$650,2,FALSE))))</f>
        <v>Chris Dainty</v>
      </c>
      <c r="I13" s="51">
        <f t="shared" si="0"/>
        <v>2.1874999999999999E-2</v>
      </c>
      <c r="J13" t="str">
        <f t="shared" si="1"/>
        <v/>
      </c>
    </row>
    <row r="14" spans="1:10" ht="15">
      <c r="A14" s="46" t="s">
        <v>549</v>
      </c>
      <c r="B14" s="47">
        <v>1162</v>
      </c>
      <c r="C14" s="48"/>
      <c r="D14" s="49"/>
      <c r="E14" s="49"/>
      <c r="F14" s="49" t="s">
        <v>546</v>
      </c>
      <c r="G14" s="49" t="s">
        <v>548</v>
      </c>
      <c r="H14" s="50" t="str">
        <f>IF($B14="","",IF($J14="X",B14,CONCATENATE(VLOOKUP(B14,Competitors!$A$2:$I$650,3,FALSE)," ",VLOOKUP(B14,Competitors!$A$2:$I$650,2,FALSE))))</f>
        <v>Richard Krause</v>
      </c>
      <c r="I14" s="51">
        <f t="shared" si="0"/>
        <v>0</v>
      </c>
      <c r="J14" t="str">
        <f t="shared" si="1"/>
        <v/>
      </c>
    </row>
    <row r="15" spans="1:10" ht="15">
      <c r="A15" s="46" t="s">
        <v>550</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546</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546</v>
      </c>
      <c r="G18" s="49"/>
      <c r="H18" s="50" t="str">
        <f>IF($B18="","",IF($J18="X",B18,CONCATENATE(VLOOKUP(B18,Competitors!$A$2:$I$650,3,FALSE)," ",VLOOKUP(B18,Competitors!$A$2:$I$650,2,FALSE))))</f>
        <v>Phil Rayner</v>
      </c>
      <c r="I18" s="51">
        <f t="shared" si="0"/>
        <v>1.9918981481481482E-2</v>
      </c>
      <c r="J18" t="str">
        <f t="shared" si="1"/>
        <v/>
      </c>
    </row>
    <row r="19" spans="1:10" ht="15">
      <c r="A19" s="46" t="s">
        <v>551</v>
      </c>
      <c r="B19" s="47" t="s">
        <v>551</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546</v>
      </c>
      <c r="G20" s="49"/>
      <c r="H20" s="50" t="str">
        <f>IF($B20="","",IF($J20="X",B20,CONCATENATE(VLOOKUP(B20,Competitors!$A$2:$I$650,3,FALSE)," ",VLOOKUP(B20,Competitors!$A$2:$I$650,2,FALSE))))</f>
        <v>David Reay</v>
      </c>
      <c r="I20" s="51">
        <f t="shared" si="0"/>
        <v>2.224537037037037E-2</v>
      </c>
      <c r="J20" t="str">
        <f t="shared" si="1"/>
        <v/>
      </c>
    </row>
    <row r="21" spans="1:10" ht="15">
      <c r="A21" s="46" t="s">
        <v>552</v>
      </c>
      <c r="B21" s="47" t="s">
        <v>552</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Event_01</v>
      </c>
    </row>
    <row r="104" spans="1:10">
      <c r="B104" t="s">
        <v>554</v>
      </c>
      <c r="C104" t="str">
        <f ca="1">_xlfn.XLOOKUP(C103,Calendar!O:O,Calendar!H:H,"Event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v>1</v>
      </c>
      <c r="D2" s="48">
        <v>35</v>
      </c>
      <c r="E2" s="48">
        <v>37</v>
      </c>
      <c r="F2" s="48" t="s">
        <v>546</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546</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546</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546</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546</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546</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546</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555</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546</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546</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546</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530</v>
      </c>
      <c r="B21" s="47" t="s">
        <v>530</v>
      </c>
      <c r="C21" s="48">
        <v>0</v>
      </c>
      <c r="D21" s="48">
        <v>48</v>
      </c>
      <c r="E21" s="48">
        <v>48</v>
      </c>
      <c r="F21" s="48" t="s">
        <v>546</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552</v>
      </c>
      <c r="B23" s="47" t="s">
        <v>552</v>
      </c>
      <c r="C23" s="48">
        <v>0</v>
      </c>
      <c r="D23" s="48">
        <v>55</v>
      </c>
      <c r="E23" s="48">
        <v>18</v>
      </c>
      <c r="F23" s="48" t="s">
        <v>546</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Event_02</v>
      </c>
    </row>
    <row r="104" spans="1:10">
      <c r="B104" t="s">
        <v>554</v>
      </c>
      <c r="C104" t="str">
        <f ca="1">_xlfn.XLOOKUP(C103,Calendar!O:O,Calendar!H:H,"Event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8">
        <v>39</v>
      </c>
      <c r="E2" s="48">
        <v>2</v>
      </c>
      <c r="F2" s="48" t="s">
        <v>546</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546</v>
      </c>
      <c r="G3" s="48"/>
      <c r="H3" s="50" t="str">
        <f>IF($B3="","",IF($J3="X",B3,CONCATENATE(VLOOKUP(B3,Competitors!$A$2:$I$650,3,FALSE)," ",VLOOKUP(B3,Competitors!$A$2:$I$650,2,FALSE))))</f>
        <v>Ray Taylor</v>
      </c>
      <c r="I3" s="51">
        <f t="shared" si="0"/>
        <v>2.435185185185185E-2</v>
      </c>
      <c r="J3" t="str">
        <f t="shared" si="1"/>
        <v/>
      </c>
    </row>
    <row r="4" spans="1:10" ht="15">
      <c r="A4" s="46" t="s">
        <v>503</v>
      </c>
      <c r="B4" s="47" t="s">
        <v>556</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524</v>
      </c>
      <c r="B5" s="47" t="s">
        <v>557</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555</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558</v>
      </c>
      <c r="B8" s="47" t="s">
        <v>558</v>
      </c>
      <c r="C8" s="48"/>
      <c r="D8" s="48">
        <v>23</v>
      </c>
      <c r="E8" s="48">
        <v>0</v>
      </c>
      <c r="F8" s="48" t="s">
        <v>546</v>
      </c>
      <c r="G8" s="48"/>
      <c r="H8" s="50" t="str">
        <f>IF($B8="","",IF($J8="X",B8,CONCATENATE(VLOOKUP(B8,Competitors!$A$2:$I$650,3,FALSE)," ",VLOOKUP(B8,Competitors!$A$2:$I$650,2,FALSE))))</f>
        <v>Jonathan Robinson</v>
      </c>
      <c r="I8" s="51">
        <f t="shared" si="0"/>
        <v>1.5972222222222221E-2</v>
      </c>
      <c r="J8" t="str">
        <f t="shared" si="1"/>
        <v>X</v>
      </c>
    </row>
    <row r="9" spans="1:10" ht="15">
      <c r="A9" s="46" t="s">
        <v>550</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559</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559</v>
      </c>
      <c r="H12" s="50" t="str">
        <f>IF($B12="","",IF($J12="X",B12,CONCATENATE(VLOOKUP(B12,Competitors!$A$2:$I$650,3,FALSE)," ",VLOOKUP(B12,Competitors!$A$2:$I$650,2,FALSE))))</f>
        <v>Simon Ward</v>
      </c>
      <c r="I12" s="51">
        <f t="shared" si="0"/>
        <v>0</v>
      </c>
      <c r="J12" t="str">
        <f t="shared" si="1"/>
        <v/>
      </c>
    </row>
    <row r="13" spans="1:10" ht="15">
      <c r="A13" s="46" t="s">
        <v>529</v>
      </c>
      <c r="B13" s="47" t="s">
        <v>560</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516</v>
      </c>
      <c r="B14" s="47" t="s">
        <v>561</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546</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546</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547</v>
      </c>
      <c r="B20" s="47">
        <v>1385</v>
      </c>
      <c r="C20" s="48"/>
      <c r="D20" s="48"/>
      <c r="E20" s="48"/>
      <c r="F20" s="48"/>
      <c r="G20" s="48" t="s">
        <v>555</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546</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504</v>
      </c>
      <c r="B26" s="47" t="s">
        <v>562</v>
      </c>
      <c r="C26" s="48"/>
      <c r="D26" s="48"/>
      <c r="E26" s="48"/>
      <c r="F26" s="48"/>
      <c r="G26" s="48" t="s">
        <v>555</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555</v>
      </c>
      <c r="H27" s="50" t="str">
        <f>IF($B27="","",IF($J27="X",B27,CONCATENATE(VLOOKUP(B27,Competitors!$A$2:$I$650,3,FALSE)," ",VLOOKUP(B27,Competitors!$A$2:$I$650,2,FALSE))))</f>
        <v>John Abbott</v>
      </c>
      <c r="I27" s="51">
        <f t="shared" si="0"/>
        <v>0</v>
      </c>
      <c r="J27" t="str">
        <f t="shared" si="1"/>
        <v/>
      </c>
    </row>
    <row r="28" spans="1:10" ht="15">
      <c r="A28" s="46" t="s">
        <v>511</v>
      </c>
      <c r="B28" s="47" t="s">
        <v>563</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564</v>
      </c>
      <c r="C31" s="48"/>
      <c r="D31" s="48">
        <v>22</v>
      </c>
      <c r="E31" s="48">
        <v>49</v>
      </c>
      <c r="F31" s="48" t="s">
        <v>546</v>
      </c>
      <c r="G31" s="48"/>
      <c r="H31" s="50" t="str">
        <f>IF($B31="","",IF($J31="X",B31,CONCATENATE(VLOOKUP(B31,Competitors!$A$2:$I$650,3,FALSE)," ",VLOOKUP(B31,Competitors!$A$2:$I$650,2,FALSE))))</f>
        <v>Carl Dyson (Aerologic)</v>
      </c>
      <c r="I31" s="51">
        <f t="shared" si="0"/>
        <v>1.5844907407407408E-2</v>
      </c>
      <c r="J31" t="str">
        <f t="shared" si="1"/>
        <v>X</v>
      </c>
    </row>
    <row r="32" spans="1:10" ht="15">
      <c r="A32" s="46" t="s">
        <v>498</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502</v>
      </c>
      <c r="B35" s="47" t="s">
        <v>565</v>
      </c>
      <c r="C35" s="48"/>
      <c r="D35" s="48">
        <v>34</v>
      </c>
      <c r="E35" s="48">
        <v>29</v>
      </c>
      <c r="F35" s="48" t="s">
        <v>546</v>
      </c>
      <c r="G35" s="48"/>
      <c r="H35" s="50" t="str">
        <f>IF($B35="","",IF($J35="X",B35,CONCATENATE(VLOOKUP(B35,Competitors!$A$2:$I$650,3,FALSE)," ",VLOOKUP(B35,Competitors!$A$2:$I$650,2,FALSE))))</f>
        <v>Brian Lincoln (Ratae)</v>
      </c>
      <c r="I35" s="51">
        <f t="shared" si="0"/>
        <v>2.3946759259259258E-2</v>
      </c>
      <c r="J35" t="str">
        <f t="shared" si="1"/>
        <v>X</v>
      </c>
    </row>
    <row r="36" spans="1:10" ht="15">
      <c r="A36" s="46" t="s">
        <v>512</v>
      </c>
      <c r="B36" s="47" t="s">
        <v>566</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Event_03</v>
      </c>
    </row>
    <row r="104" spans="1:10">
      <c r="B104" t="s">
        <v>554</v>
      </c>
      <c r="C104" t="str">
        <f ca="1">_xlfn.XLOOKUP(C103,Calendar!O:O,Calendar!H:H,"Event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54">
        <v>558</v>
      </c>
      <c r="C2" s="48"/>
      <c r="D2" s="48">
        <v>39</v>
      </c>
      <c r="E2" s="48">
        <v>9</v>
      </c>
      <c r="F2" s="48" t="s">
        <v>546</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546</v>
      </c>
      <c r="G3" s="48"/>
      <c r="H3" s="50" t="str">
        <f>IF($B3="","",IF($J3="X",B3,CONCATENATE(VLOOKUP(B3,Competitors!$A$2:$I$650,3,FALSE)," ",VLOOKUP(B3,Competitors!$A$2:$I$650,2,FALSE))))</f>
        <v>Ray Taylor</v>
      </c>
      <c r="I3" s="51">
        <f t="shared" si="0"/>
        <v>2.3796296296296298E-2</v>
      </c>
      <c r="J3" t="str">
        <f t="shared" si="1"/>
        <v/>
      </c>
    </row>
    <row r="4" spans="1:10" ht="15">
      <c r="A4" s="46" t="s">
        <v>503</v>
      </c>
      <c r="B4" s="54" t="s">
        <v>556</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626</v>
      </c>
      <c r="B5" s="54">
        <v>990</v>
      </c>
      <c r="C5" s="48"/>
      <c r="D5" s="48">
        <v>35</v>
      </c>
      <c r="E5" s="48">
        <v>3</v>
      </c>
      <c r="F5" s="48" t="s">
        <v>546</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546</v>
      </c>
      <c r="G6" s="48"/>
      <c r="H6" s="50" t="str">
        <f>IF($B6="","",IF($J6="X",B6,CONCATENATE(VLOOKUP(B6,Competitors!$A$2:$I$650,3,FALSE)," ",VLOOKUP(B6,Competitors!$A$2:$I$650,2,FALSE))))</f>
        <v>Jane Moore</v>
      </c>
      <c r="I6" s="51">
        <f t="shared" si="0"/>
        <v>2.2800925925925926E-2</v>
      </c>
      <c r="J6" t="str">
        <f t="shared" si="1"/>
        <v/>
      </c>
    </row>
    <row r="7" spans="1:10" ht="15">
      <c r="A7" s="46" t="s">
        <v>508</v>
      </c>
      <c r="B7" s="54" t="s">
        <v>567</v>
      </c>
      <c r="C7" s="48"/>
      <c r="D7" s="48">
        <v>33</v>
      </c>
      <c r="E7" s="48">
        <v>51</v>
      </c>
      <c r="F7" s="48" t="s">
        <v>546</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516</v>
      </c>
      <c r="B9" s="54" t="s">
        <v>561</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502</v>
      </c>
      <c r="B10" s="54" t="s">
        <v>565</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555</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546</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568</v>
      </c>
      <c r="B14" s="54" t="s">
        <v>568</v>
      </c>
      <c r="C14" s="48"/>
      <c r="D14" s="48">
        <v>38</v>
      </c>
      <c r="E14" s="48">
        <v>6</v>
      </c>
      <c r="F14" s="48" t="s">
        <v>546</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546</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546</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546</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546</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546</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555</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546</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546</v>
      </c>
      <c r="G36" s="48"/>
      <c r="H36" s="50" t="str">
        <f>IF($B36="","",IF($J36="X",B36,CONCATENATE(VLOOKUP(B36,Competitors!$A$2:$I$650,3,FALSE)," ",VLOOKUP(B36,Competitors!$A$2:$I$650,2,FALSE))))</f>
        <v>Jason Williams</v>
      </c>
      <c r="I36" s="51">
        <f t="shared" si="0"/>
        <v>1.8055555555555554E-2</v>
      </c>
      <c r="J36" t="str">
        <f t="shared" si="1"/>
        <v/>
      </c>
    </row>
    <row r="37" spans="1:10" ht="15">
      <c r="A37" s="46" t="s">
        <v>514</v>
      </c>
      <c r="B37" s="54" t="s">
        <v>569</v>
      </c>
      <c r="C37" s="48"/>
      <c r="D37" s="48">
        <v>34</v>
      </c>
      <c r="E37" s="48">
        <v>21</v>
      </c>
      <c r="F37" s="48" t="s">
        <v>546</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555</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Event_04</v>
      </c>
    </row>
    <row r="104" spans="1:10">
      <c r="B104" t="s">
        <v>554</v>
      </c>
      <c r="C104" t="str">
        <f ca="1">_xlfn.XLOOKUP(C103,Calendar!O:O,Calendar!H:H,"Event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45" t="s">
        <v>462</v>
      </c>
      <c r="I1" s="45" t="s">
        <v>544</v>
      </c>
      <c r="J1" t="s">
        <v>545</v>
      </c>
    </row>
    <row r="2" spans="1:10" ht="15">
      <c r="A2" s="46" t="s">
        <v>454</v>
      </c>
      <c r="B2" s="47">
        <v>558</v>
      </c>
      <c r="C2" s="48"/>
      <c r="D2" s="48">
        <v>40</v>
      </c>
      <c r="E2" s="48">
        <v>54</v>
      </c>
      <c r="F2" s="48" t="s">
        <v>546</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546</v>
      </c>
      <c r="G3" s="48"/>
      <c r="H3" s="50" t="str">
        <f>IF($B3="","",IF($J3="X",B3,CONCATENATE(VLOOKUP(B3,Competitors!$A$2:$I$650,3,FALSE)," ",VLOOKUP(B3,Competitors!$A$2:$I$650,2,FALSE))))</f>
        <v>Jane Moore</v>
      </c>
      <c r="I3" s="51">
        <f t="shared" si="0"/>
        <v>2.4143518518518519E-2</v>
      </c>
      <c r="J3" t="str">
        <f t="shared" si="1"/>
        <v/>
      </c>
    </row>
    <row r="4" spans="1:10" ht="15">
      <c r="A4" s="46" t="s">
        <v>511</v>
      </c>
      <c r="B4" s="47" t="s">
        <v>563</v>
      </c>
      <c r="C4" s="48"/>
      <c r="D4" s="48">
        <v>30</v>
      </c>
      <c r="E4" s="48">
        <v>18</v>
      </c>
      <c r="F4" s="48" t="s">
        <v>546</v>
      </c>
      <c r="G4" s="48"/>
      <c r="H4" s="50" t="str">
        <f>IF($B4="","",IF($J4="X",B4,CONCATENATE(VLOOKUP(B4,Competitors!$A$2:$I$650,3,FALSE)," ",VLOOKUP(B4,Competitors!$A$2:$I$650,2,FALSE))))</f>
        <v>Mark Newton (Ratae)</v>
      </c>
      <c r="I4" s="51">
        <f t="shared" si="0"/>
        <v>2.1041666666666667E-2</v>
      </c>
      <c r="J4" t="str">
        <f t="shared" si="1"/>
        <v>X</v>
      </c>
    </row>
    <row r="5" spans="1:10" ht="15">
      <c r="A5" s="46" t="s">
        <v>626</v>
      </c>
      <c r="B5" s="47">
        <v>990</v>
      </c>
      <c r="C5" s="48"/>
      <c r="D5" s="48">
        <v>37</v>
      </c>
      <c r="E5" s="48">
        <v>24</v>
      </c>
      <c r="F5" s="48" t="s">
        <v>546</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502</v>
      </c>
      <c r="B7" s="47" t="s">
        <v>565</v>
      </c>
      <c r="C7" s="48"/>
      <c r="D7" s="48">
        <v>35</v>
      </c>
      <c r="E7" s="48">
        <v>55</v>
      </c>
      <c r="F7" s="48" t="s">
        <v>546</v>
      </c>
      <c r="G7" s="48"/>
      <c r="H7" s="50" t="str">
        <f>IF($B7="","",IF($J7="X",B7,CONCATENATE(VLOOKUP(B7,Competitors!$A$2:$I$650,3,FALSE)," ",VLOOKUP(B7,Competitors!$A$2:$I$650,2,FALSE))))</f>
        <v>Brian Lincoln (Ratae)</v>
      </c>
      <c r="I7" s="51">
        <f t="shared" si="0"/>
        <v>2.494212962962963E-2</v>
      </c>
      <c r="J7" t="str">
        <f t="shared" si="1"/>
        <v>X</v>
      </c>
    </row>
    <row r="8" spans="1:10" ht="15">
      <c r="A8" s="46" t="s">
        <v>503</v>
      </c>
      <c r="B8" s="47" t="s">
        <v>556</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512</v>
      </c>
      <c r="B9" s="47" t="s">
        <v>566</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546</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546</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546</v>
      </c>
      <c r="G15" s="48"/>
      <c r="H15" s="50" t="str">
        <f>IF($B15="","",IF($J15="X",B15,CONCATENATE(VLOOKUP(B15,Competitors!$A$2:$I$650,3,FALSE)," ",VLOOKUP(B15,Competitors!$A$2:$I$650,2,FALSE))))</f>
        <v>Milly Pinnock</v>
      </c>
      <c r="I15" s="51">
        <f t="shared" si="0"/>
        <v>2.0231481481481482E-2</v>
      </c>
      <c r="J15" t="str">
        <f t="shared" si="1"/>
        <v/>
      </c>
    </row>
    <row r="16" spans="1:10" ht="15">
      <c r="A16" s="46" t="s">
        <v>568</v>
      </c>
      <c r="B16" s="47" t="s">
        <v>568</v>
      </c>
      <c r="C16" s="48"/>
      <c r="D16" s="48">
        <v>31</v>
      </c>
      <c r="E16" s="48">
        <v>25</v>
      </c>
      <c r="F16" s="48" t="s">
        <v>546</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546</v>
      </c>
      <c r="G17" s="48"/>
      <c r="H17" s="50" t="str">
        <f>IF($B17="","",IF($J17="X",B17,CONCATENATE(VLOOKUP(B17,Competitors!$A$2:$I$650,3,FALSE)," ",VLOOKUP(B17,Competitors!$A$2:$I$650,2,FALSE))))</f>
        <v>Richard Hardwicke</v>
      </c>
      <c r="I17" s="51">
        <f t="shared" si="0"/>
        <v>2.1388888888888888E-2</v>
      </c>
      <c r="J17" t="str">
        <f t="shared" si="1"/>
        <v/>
      </c>
    </row>
    <row r="18" spans="1:10" ht="15">
      <c r="A18" s="46" t="s">
        <v>514</v>
      </c>
      <c r="B18" s="47" t="s">
        <v>569</v>
      </c>
      <c r="C18" s="48"/>
      <c r="D18" s="48">
        <v>35</v>
      </c>
      <c r="E18" s="48">
        <v>30</v>
      </c>
      <c r="F18" s="48" t="s">
        <v>546</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546</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546</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546</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546</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546</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546</v>
      </c>
      <c r="G30" s="48"/>
      <c r="H30" s="50" t="str">
        <f>IF($B30="","",IF($J30="X",B30,CONCATENATE(VLOOKUP(B30,Competitors!$A$2:$I$650,3,FALSE)," ",VLOOKUP(B30,Competitors!$A$2:$I$650,2,FALSE))))</f>
        <v>John Abbott</v>
      </c>
      <c r="I30" s="51">
        <f t="shared" si="0"/>
        <v>1.9965277777777776E-2</v>
      </c>
      <c r="J30" t="str">
        <f t="shared" si="1"/>
        <v/>
      </c>
    </row>
    <row r="31" spans="1:10" ht="15">
      <c r="A31" s="46" t="s">
        <v>529</v>
      </c>
      <c r="B31" s="47" t="s">
        <v>560</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553</v>
      </c>
      <c r="C103" t="str" cm="1">
        <f t="array" aca="1" ref="C103" ca="1">MID(CELL("filename",B1),FIND("]",CELL("filename",B1))+1,255)</f>
        <v>Event_05</v>
      </c>
    </row>
    <row r="104" spans="1:10">
      <c r="B104" t="s">
        <v>554</v>
      </c>
      <c r="C104" t="str">
        <f ca="1">_xlfn.XLOOKUP(C103,Calendar!O:O,Calendar!H:H,"Event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449</v>
      </c>
      <c r="B2" s="47">
        <v>1298</v>
      </c>
      <c r="C2" s="48"/>
      <c r="D2" s="48"/>
      <c r="E2" s="48"/>
      <c r="F2" s="48" t="s">
        <v>546</v>
      </c>
      <c r="G2" s="48" t="s">
        <v>548</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622</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503</v>
      </c>
      <c r="B7" s="47" t="s">
        <v>556</v>
      </c>
      <c r="C7" s="48"/>
      <c r="D7" s="48"/>
      <c r="E7" s="48"/>
      <c r="F7" s="48"/>
      <c r="G7" s="48" t="s">
        <v>548</v>
      </c>
      <c r="H7" s="50" t="str">
        <f>IF($B7="","",IF($J7="X",B7,CONCATENATE(VLOOKUP(B7,Competitors!$A$2:$I$650,3,FALSE)," ",VLOOKUP(B7,Competitors!$A$2:$I$650,2,FALSE))))</f>
        <v>Chris Bonsor (Ratae)</v>
      </c>
      <c r="I7" s="51">
        <f t="shared" si="0"/>
        <v>0</v>
      </c>
      <c r="J7" t="str">
        <f t="shared" si="1"/>
        <v>X</v>
      </c>
    </row>
    <row r="8" spans="1:10" ht="15">
      <c r="A8" s="46" t="s">
        <v>474</v>
      </c>
      <c r="B8" s="47" t="s">
        <v>623</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548</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546</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546</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546</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546</v>
      </c>
      <c r="G13" s="48" t="s">
        <v>548</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546</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548</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546</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546</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570</v>
      </c>
      <c r="H25" s="50" t="str">
        <f>IF($B25="","",IF($J25="X",B25,CONCATENATE(VLOOKUP(B25,Competitors!$A$2:$I$650,3,FALSE)," ",VLOOKUP(B25,Competitors!$A$2:$I$650,2,FALSE))))</f>
        <v>Andy Poulton</v>
      </c>
      <c r="I25" s="51">
        <f t="shared" si="0"/>
        <v>0</v>
      </c>
      <c r="J25" t="str">
        <f t="shared" si="1"/>
        <v/>
      </c>
    </row>
    <row r="26" spans="1:10" ht="15">
      <c r="A26" s="46" t="s">
        <v>571</v>
      </c>
      <c r="B26" s="47" t="s">
        <v>571</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Event_06</v>
      </c>
    </row>
    <row r="104" spans="1:10">
      <c r="B104" t="s">
        <v>554</v>
      </c>
      <c r="C104" t="str">
        <f ca="1">_xlfn.XLOOKUP(C103,Calendar!O:O,Calendar!H:H,"Event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f>15+15</f>
        <v>30</v>
      </c>
      <c r="E2" s="48">
        <f>23+11</f>
        <v>34</v>
      </c>
      <c r="F2" s="48" t="s">
        <v>546</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546</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546</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546</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546</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546</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546</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546</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546</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546</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546</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546</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546</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570</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546</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546</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546</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546</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570</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546</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546</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Event_07</v>
      </c>
    </row>
    <row r="104" spans="1:10">
      <c r="B104" t="s">
        <v>554</v>
      </c>
      <c r="C104" t="str">
        <f ca="1">_xlfn.XLOOKUP(C103,Calendar!O:O,Calendar!H:H,"Event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452</v>
      </c>
      <c r="B2" s="47">
        <v>1244</v>
      </c>
      <c r="C2" s="48"/>
      <c r="D2" s="48">
        <v>30</v>
      </c>
      <c r="E2" s="48">
        <v>3</v>
      </c>
      <c r="F2" s="48" t="s">
        <v>546</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546</v>
      </c>
      <c r="G3" s="48"/>
      <c r="H3" s="50" t="str">
        <f>IF($B3="","",IF($J3="X",B3,CONCATENATE(VLOOKUP(B3,Competitors!$A$2:$I$650,3,FALSE)," ",VLOOKUP(B3,Competitors!$A$2:$I$650,2,FALSE))))</f>
        <v>Claire Moore</v>
      </c>
      <c r="I3" s="51">
        <f t="shared" si="0"/>
        <v>2.3379629629629629E-2</v>
      </c>
      <c r="J3" t="str">
        <f t="shared" si="1"/>
        <v/>
      </c>
    </row>
    <row r="4" spans="1:10" ht="15">
      <c r="A4" s="46" t="s">
        <v>626</v>
      </c>
      <c r="B4" s="47">
        <v>990</v>
      </c>
      <c r="C4" s="48"/>
      <c r="D4" s="48">
        <v>34</v>
      </c>
      <c r="E4" s="48">
        <v>52</v>
      </c>
      <c r="F4" s="48" t="s">
        <v>546</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546</v>
      </c>
      <c r="G5" s="48" t="s">
        <v>548</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546</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546</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546</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546</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546</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546</v>
      </c>
      <c r="G12" s="48" t="s">
        <v>548</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546</v>
      </c>
      <c r="G13" s="48" t="s">
        <v>548</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546</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548</v>
      </c>
      <c r="H17" s="50" t="str">
        <f>IF($B17="","",IF($J17="X",B17,CONCATENATE(VLOOKUP(B17,Competitors!$A$2:$I$650,3,FALSE)," ",VLOOKUP(B17,Competitors!$A$2:$I$650,2,FALSE))))</f>
        <v>Milly Pinnock</v>
      </c>
      <c r="I17" s="51">
        <f t="shared" si="0"/>
        <v>0</v>
      </c>
      <c r="J17" t="str">
        <f t="shared" si="1"/>
        <v/>
      </c>
    </row>
    <row r="18" spans="1:10" ht="15">
      <c r="A18" s="46" t="s">
        <v>511</v>
      </c>
      <c r="B18" s="47" t="s">
        <v>563</v>
      </c>
      <c r="C18" s="48"/>
      <c r="D18" s="48">
        <v>28</v>
      </c>
      <c r="E18" s="48">
        <v>2</v>
      </c>
      <c r="F18" s="48" t="s">
        <v>546</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546</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546</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546</v>
      </c>
      <c r="G27" s="48" t="s">
        <v>548</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546</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Event_08</v>
      </c>
    </row>
    <row r="104" spans="1:10">
      <c r="B104" t="s">
        <v>554</v>
      </c>
      <c r="C104" t="str">
        <f ca="1">_xlfn.XLOOKUP(C103,Calendar!O:O,Calendar!H:H,"Event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6" t="s">
        <v>452</v>
      </c>
      <c r="B2" s="47">
        <v>1244</v>
      </c>
      <c r="C2" s="48">
        <v>1</v>
      </c>
      <c r="D2" s="48">
        <v>15</v>
      </c>
      <c r="E2" s="48">
        <v>5</v>
      </c>
      <c r="F2" s="48" t="s">
        <v>546</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546</v>
      </c>
      <c r="G4" s="48"/>
      <c r="H4" s="50" t="str">
        <f>IF($B4="","",IF($J4="X",B4,CONCATENATE(VLOOKUP(B4,Competitors!$A$2:$I$650,3,FALSE)," ",VLOOKUP(B4,Competitors!$A$2:$I$650,2,FALSE))))</f>
        <v>Michaela Latham</v>
      </c>
      <c r="I4" s="51">
        <f t="shared" si="0"/>
        <v>5.0752314814814813E-2</v>
      </c>
      <c r="J4" t="str">
        <f t="shared" si="1"/>
        <v/>
      </c>
    </row>
    <row r="5" spans="1:10" ht="15">
      <c r="A5" s="56" t="s">
        <v>525</v>
      </c>
      <c r="B5" s="47" t="s">
        <v>607</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546</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572</v>
      </c>
      <c r="B8" s="47" t="s">
        <v>572</v>
      </c>
      <c r="C8" s="48"/>
      <c r="D8" s="48"/>
      <c r="E8" s="48"/>
      <c r="F8" s="48"/>
      <c r="G8" s="48" t="s">
        <v>555</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546</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546</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559</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546</v>
      </c>
      <c r="G14" s="48" t="s">
        <v>555</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516</v>
      </c>
      <c r="B18" s="47" t="s">
        <v>561</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546</v>
      </c>
      <c r="G22" s="48" t="s">
        <v>555</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546</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546</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573</v>
      </c>
      <c r="B30" s="47" t="s">
        <v>573</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529</v>
      </c>
      <c r="B31" s="47" t="s">
        <v>560</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Event_09</v>
      </c>
    </row>
    <row r="104" spans="1:10">
      <c r="B104" t="s">
        <v>554</v>
      </c>
      <c r="C104" t="str">
        <f ca="1">_xlfn.XLOOKUP(C103,Calendar!O:O,Calendar!H:H,"Event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7" t="s">
        <v>626</v>
      </c>
      <c r="B2" s="47">
        <v>990</v>
      </c>
      <c r="C2" s="48"/>
      <c r="D2" s="48">
        <v>31</v>
      </c>
      <c r="E2" s="48">
        <v>1</v>
      </c>
      <c r="F2" s="48" t="s">
        <v>546</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546</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546</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546</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546</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546</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546</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546</v>
      </c>
      <c r="G9" s="48"/>
      <c r="H9" s="50" t="str">
        <f>IF($B9="","",IF($J9="X",B9,CONCATENATE(VLOOKUP(B9,Competitors!$A$2:$I$650,3,FALSE)," ",VLOOKUP(B9,Competitors!$A$2:$I$650,2,FALSE))))</f>
        <v>Richard Hardwicke</v>
      </c>
      <c r="I9" s="51">
        <f t="shared" si="0"/>
        <v>1.7858796296296296E-2</v>
      </c>
      <c r="J9" t="str">
        <f t="shared" si="1"/>
        <v/>
      </c>
    </row>
    <row r="10" spans="1:10" ht="15">
      <c r="A10" s="57" t="s">
        <v>503</v>
      </c>
      <c r="B10" s="47" t="s">
        <v>556</v>
      </c>
      <c r="C10" s="48"/>
      <c r="D10" s="48">
        <v>25</v>
      </c>
      <c r="E10" s="48">
        <v>39</v>
      </c>
      <c r="F10" s="48" t="s">
        <v>546</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546</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546</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546</v>
      </c>
      <c r="G13" s="48"/>
      <c r="H13" s="50" t="str">
        <f>IF($B13="","",IF($J13="X",B13,CONCATENATE(VLOOKUP(B13,Competitors!$A$2:$I$650,3,FALSE)," ",VLOOKUP(B13,Competitors!$A$2:$I$650,2,FALSE))))</f>
        <v>Michaela Latham</v>
      </c>
      <c r="I13" s="51">
        <f t="shared" si="0"/>
        <v>1.8842592592592591E-2</v>
      </c>
      <c r="J13" t="str">
        <f t="shared" si="1"/>
        <v/>
      </c>
    </row>
    <row r="14" spans="1:10" ht="15">
      <c r="A14" s="57" t="s">
        <v>574</v>
      </c>
      <c r="B14" s="47" t="s">
        <v>574</v>
      </c>
      <c r="C14" s="48"/>
      <c r="D14" s="48">
        <v>26</v>
      </c>
      <c r="E14" s="48">
        <v>56</v>
      </c>
      <c r="F14" s="48" t="s">
        <v>546</v>
      </c>
      <c r="G14" s="48"/>
      <c r="H14" s="50" t="str">
        <f>IF($B14="","",IF($J14="X",B14,CONCATENATE(VLOOKUP(B14,Competitors!$A$2:$I$650,3,FALSE)," ",VLOOKUP(B14,Competitors!$A$2:$I$650,2,FALSE))))</f>
        <v>Tom Keane</v>
      </c>
      <c r="I14" s="51">
        <f t="shared" si="0"/>
        <v>1.8703703703703705E-2</v>
      </c>
      <c r="J14" t="str">
        <f t="shared" si="1"/>
        <v>X</v>
      </c>
    </row>
    <row r="15" spans="1:10" ht="15">
      <c r="A15" s="57" t="s">
        <v>513</v>
      </c>
      <c r="B15" s="47" t="s">
        <v>621</v>
      </c>
      <c r="C15" s="48"/>
      <c r="D15" s="48">
        <v>28</v>
      </c>
      <c r="E15" s="48">
        <v>39</v>
      </c>
      <c r="F15" s="48" t="s">
        <v>546</v>
      </c>
      <c r="G15" s="48"/>
      <c r="H15" s="50" t="str">
        <f>IF($B15="","",IF($J15="X",B15,CONCATENATE(VLOOKUP(B15,Competitors!$A$2:$I$650,3,FALSE)," ",VLOOKUP(B15,Competitors!$A$2:$I$650,2,FALSE))))</f>
        <v>Natalie Harris (Ratae)</v>
      </c>
      <c r="I15" s="51">
        <f t="shared" si="0"/>
        <v>1.9895833333333335E-2</v>
      </c>
      <c r="J15" t="str">
        <f t="shared" si="1"/>
        <v>X</v>
      </c>
    </row>
    <row r="16" spans="1:10" ht="15">
      <c r="A16" s="57" t="s">
        <v>575</v>
      </c>
      <c r="B16" s="47">
        <v>1423</v>
      </c>
      <c r="C16" s="48"/>
      <c r="D16" s="48">
        <v>29</v>
      </c>
      <c r="E16" s="48">
        <v>0</v>
      </c>
      <c r="F16" s="48" t="s">
        <v>546</v>
      </c>
      <c r="G16" s="48"/>
      <c r="H16" s="50" t="str">
        <f>IF($B16="","",IF($J16="X",B16,CONCATENATE(VLOOKUP(B16,Competitors!$A$2:$I$650,3,FALSE)," ",VLOOKUP(B16,Competitors!$A$2:$I$650,2,FALSE))))</f>
        <v>Mark Vowles</v>
      </c>
      <c r="I16" s="51">
        <f t="shared" si="0"/>
        <v>2.013888888888889E-2</v>
      </c>
      <c r="J16" t="str">
        <f t="shared" si="1"/>
        <v/>
      </c>
    </row>
    <row r="17" spans="1:10" ht="15">
      <c r="A17" s="57" t="s">
        <v>576</v>
      </c>
      <c r="B17" s="47">
        <v>1422</v>
      </c>
      <c r="C17" s="48"/>
      <c r="D17" s="48"/>
      <c r="E17" s="48"/>
      <c r="F17" s="48" t="s">
        <v>546</v>
      </c>
      <c r="G17" s="48" t="s">
        <v>548</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546</v>
      </c>
      <c r="G19" s="48" t="s">
        <v>570</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546</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620</v>
      </c>
      <c r="C22" s="48"/>
      <c r="D22" s="48"/>
      <c r="E22" s="48"/>
      <c r="F22" s="48" t="s">
        <v>546</v>
      </c>
      <c r="G22" s="48" t="s">
        <v>548</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546</v>
      </c>
      <c r="G29" s="48"/>
      <c r="H29" s="50" t="str">
        <f>IF($B29="","",IF($J29="X",B29,CONCATENATE(VLOOKUP(B29,Competitors!$A$2:$I$650,3,FALSE)," ",VLOOKUP(B29,Competitors!$A$2:$I$650,2,FALSE))))</f>
        <v>Simon Ward</v>
      </c>
      <c r="I29" s="51">
        <f t="shared" si="0"/>
        <v>1.7673611111111112E-2</v>
      </c>
      <c r="J29" t="str">
        <f t="shared" si="1"/>
        <v/>
      </c>
    </row>
    <row r="30" spans="1:10" ht="15">
      <c r="A30" s="57" t="s">
        <v>502</v>
      </c>
      <c r="B30" s="47" t="s">
        <v>565</v>
      </c>
      <c r="C30" s="48"/>
      <c r="D30" s="48">
        <v>29</v>
      </c>
      <c r="E30" s="48">
        <v>11</v>
      </c>
      <c r="F30" s="48" t="s">
        <v>546</v>
      </c>
      <c r="G30" s="48"/>
      <c r="H30" s="50" t="str">
        <f>IF($B30="","",IF($J30="X",B30,CONCATENATE(VLOOKUP(B30,Competitors!$A$2:$I$650,3,FALSE)," ",VLOOKUP(B30,Competitors!$A$2:$I$650,2,FALSE))))</f>
        <v>Brian Lincoln (Ratae)</v>
      </c>
      <c r="I30" s="51">
        <f t="shared" si="0"/>
        <v>2.0266203703703703E-2</v>
      </c>
      <c r="J30" t="str">
        <f t="shared" si="1"/>
        <v>X</v>
      </c>
    </row>
    <row r="31" spans="1:10" ht="15">
      <c r="A31" s="57" t="s">
        <v>530</v>
      </c>
      <c r="B31" s="47" t="s">
        <v>530</v>
      </c>
      <c r="C31" s="48"/>
      <c r="D31" s="48"/>
      <c r="E31" s="48"/>
      <c r="F31" s="48" t="s">
        <v>546</v>
      </c>
      <c r="G31" s="48" t="s">
        <v>548</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546</v>
      </c>
      <c r="G32" s="48"/>
      <c r="H32" s="50" t="str">
        <f>IF($B32="","",IF($J32="X",B32,CONCATENATE(VLOOKUP(B32,Competitors!$A$2:$I$650,3,FALSE)," ",VLOOKUP(B32,Competitors!$A$2:$I$650,2,FALSE))))</f>
        <v>Jason Williams</v>
      </c>
      <c r="I32" s="51">
        <f t="shared" si="0"/>
        <v>1.636574074074074E-2</v>
      </c>
      <c r="J32" t="str">
        <f t="shared" si="1"/>
        <v/>
      </c>
    </row>
    <row r="33" spans="1:10" ht="15">
      <c r="A33" s="57" t="s">
        <v>516</v>
      </c>
      <c r="B33" s="47" t="s">
        <v>561</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546</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546</v>
      </c>
      <c r="G36" s="48"/>
      <c r="H36" s="50" t="str">
        <f>IF($B36="","",IF($J36="X",B36,CONCATENATE(VLOOKUP(B36,Competitors!$A$2:$I$650,3,FALSE)," ",VLOOKUP(B36,Competitors!$A$2:$I$650,2,FALSE))))</f>
        <v>Jamie Kershaw</v>
      </c>
      <c r="I36" s="51">
        <f t="shared" si="0"/>
        <v>1.6087962962962964E-2</v>
      </c>
      <c r="J36" t="str">
        <f t="shared" si="1"/>
        <v/>
      </c>
    </row>
    <row r="37" spans="1:10" ht="15">
      <c r="A37" s="57" t="s">
        <v>529</v>
      </c>
      <c r="B37" s="47" t="s">
        <v>560</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546</v>
      </c>
      <c r="G38" s="48"/>
      <c r="H38" s="50" t="str">
        <f>IF($B38="","",IF($J38="X",B38,CONCATENATE(VLOOKUP(B38,Competitors!$A$2:$I$650,3,FALSE)," ",VLOOKUP(B38,Competitors!$A$2:$I$650,2,FALSE))))</f>
        <v>Nik Kershaw</v>
      </c>
      <c r="I38" s="51">
        <f t="shared" si="0"/>
        <v>1.7025462962962964E-2</v>
      </c>
      <c r="J38" t="str">
        <f t="shared" si="1"/>
        <v/>
      </c>
    </row>
    <row r="39" spans="1:10" ht="15">
      <c r="A39" s="62" t="s">
        <v>577</v>
      </c>
      <c r="B39" s="47" t="s">
        <v>616</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525</v>
      </c>
      <c r="B43" s="47" t="s">
        <v>607</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511</v>
      </c>
      <c r="B45" s="47" t="s">
        <v>563</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Event_10</v>
      </c>
    </row>
    <row r="104" spans="1:10">
      <c r="B104" t="s">
        <v>554</v>
      </c>
      <c r="C104" t="str">
        <f ca="1">_xlfn.XLOOKUP(C103,Calendar!O:O,Calendar!H:H,"Event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626</v>
      </c>
      <c r="B2" s="47">
        <v>990</v>
      </c>
      <c r="C2" s="48"/>
      <c r="D2" s="48">
        <v>31</v>
      </c>
      <c r="E2" s="48">
        <v>8</v>
      </c>
      <c r="F2" s="48" t="s">
        <v>546</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508</v>
      </c>
      <c r="B3" s="47" t="s">
        <v>567</v>
      </c>
      <c r="C3" s="48"/>
      <c r="D3" s="48">
        <v>32</v>
      </c>
      <c r="E3" s="48">
        <v>9</v>
      </c>
      <c r="F3" s="48" t="s">
        <v>546</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546</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546</v>
      </c>
      <c r="G5" s="48"/>
      <c r="H5" s="50" t="str">
        <f>IF($B5="","",IF($J5="X",B5,CONCATENATE(VLOOKUP(B5,Competitors!$A$2:$I$650,3,FALSE)," ",VLOOKUP(B5,Competitors!$A$2:$I$650,2,FALSE))))</f>
        <v>Alex Hardwicke</v>
      </c>
      <c r="I5" s="51">
        <f t="shared" si="0"/>
        <v>1.9490740740740739E-2</v>
      </c>
      <c r="J5" t="str">
        <f t="shared" si="1"/>
        <v/>
      </c>
    </row>
    <row r="6" spans="1:10" ht="15">
      <c r="A6" s="46" t="s">
        <v>578</v>
      </c>
      <c r="B6" s="47">
        <v>935</v>
      </c>
      <c r="C6" s="48"/>
      <c r="D6" s="48">
        <v>34</v>
      </c>
      <c r="E6" s="48">
        <v>39</v>
      </c>
      <c r="F6" s="48" t="s">
        <v>546</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546</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546</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546</v>
      </c>
      <c r="G9" s="48"/>
      <c r="H9" s="50" t="str">
        <f>IF($B9="","",IF($J9="X",B9,CONCATENATE(VLOOKUP(B9,Competitors!$A$2:$I$650,3,FALSE)," ",VLOOKUP(B9,Competitors!$A$2:$I$650,2,FALSE))))</f>
        <v>Charlie Hardwicke</v>
      </c>
      <c r="I9" s="51">
        <f t="shared" si="0"/>
        <v>1.7523148148148149E-2</v>
      </c>
      <c r="J9" t="str">
        <f t="shared" si="1"/>
        <v/>
      </c>
    </row>
    <row r="10" spans="1:10" ht="15">
      <c r="A10" s="46" t="s">
        <v>503</v>
      </c>
      <c r="B10" s="47" t="s">
        <v>556</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546</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546</v>
      </c>
      <c r="G12" s="48"/>
      <c r="H12" s="50" t="str">
        <f>IF($B12="","",IF($J12="X",B12,CONCATENATE(VLOOKUP(B12,Competitors!$A$2:$I$650,3,FALSE)," ",VLOOKUP(B12,Competitors!$A$2:$I$650,2,FALSE))))</f>
        <v>Daniel McDonnell</v>
      </c>
      <c r="I12" s="51">
        <f t="shared" si="0"/>
        <v>1.6053240740740739E-2</v>
      </c>
      <c r="J12" t="str">
        <f t="shared" si="1"/>
        <v/>
      </c>
    </row>
    <row r="13" spans="1:10" ht="15">
      <c r="A13" s="46" t="s">
        <v>579</v>
      </c>
      <c r="B13" s="47">
        <v>741</v>
      </c>
      <c r="C13" s="48"/>
      <c r="D13" s="48">
        <v>23</v>
      </c>
      <c r="E13" s="48">
        <v>10</v>
      </c>
      <c r="F13" s="48" t="s">
        <v>546</v>
      </c>
      <c r="G13" s="48"/>
      <c r="H13" s="50" t="str">
        <f>IF($B13="","",IF($J13="X",B13,CONCATENATE(VLOOKUP(B13,Competitors!$A$2:$I$650,3,FALSE)," ",VLOOKUP(B13,Competitors!$A$2:$I$650,2,FALSE))))</f>
        <v>Rob Moore</v>
      </c>
      <c r="I13" s="51">
        <f t="shared" si="0"/>
        <v>1.6087962962962964E-2</v>
      </c>
      <c r="J13" t="str">
        <f t="shared" si="1"/>
        <v/>
      </c>
    </row>
    <row r="14" spans="1:10" ht="15">
      <c r="A14" s="46" t="s">
        <v>574</v>
      </c>
      <c r="B14" s="47" t="s">
        <v>574</v>
      </c>
      <c r="C14" s="48"/>
      <c r="D14" s="48">
        <v>27</v>
      </c>
      <c r="E14" s="48">
        <v>32</v>
      </c>
      <c r="F14" s="48" t="s">
        <v>546</v>
      </c>
      <c r="G14" s="48"/>
      <c r="H14" s="50" t="str">
        <f>IF($B14="","",IF($J14="X",B14,CONCATENATE(VLOOKUP(B14,Competitors!$A$2:$I$650,3,FALSE)," ",VLOOKUP(B14,Competitors!$A$2:$I$650,2,FALSE))))</f>
        <v>Tom Keane</v>
      </c>
      <c r="I14" s="51">
        <f t="shared" si="0"/>
        <v>1.9120370370370371E-2</v>
      </c>
      <c r="J14" t="str">
        <f t="shared" si="1"/>
        <v>X</v>
      </c>
    </row>
    <row r="15" spans="1:10" ht="15">
      <c r="A15" s="46" t="s">
        <v>550</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568</v>
      </c>
      <c r="B16" s="47" t="s">
        <v>568</v>
      </c>
      <c r="C16" s="48"/>
      <c r="D16" s="48">
        <v>27</v>
      </c>
      <c r="E16" s="48">
        <v>48</v>
      </c>
      <c r="F16" s="48" t="s">
        <v>546</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580</v>
      </c>
      <c r="B18" s="47">
        <v>1048</v>
      </c>
      <c r="C18" s="48"/>
      <c r="D18" s="48">
        <v>29</v>
      </c>
      <c r="E18" s="48">
        <v>34</v>
      </c>
      <c r="F18" s="48" t="s">
        <v>546</v>
      </c>
      <c r="G18" s="48"/>
      <c r="H18" s="50" t="str">
        <f>IF($B18="","",IF($J18="X",B18,CONCATENATE(VLOOKUP(B18,Competitors!$A$2:$I$650,3,FALSE)," ",VLOOKUP(B18,Competitors!$A$2:$I$650,2,FALSE))))</f>
        <v>Andy Smith</v>
      </c>
      <c r="I18" s="51">
        <f t="shared" si="0"/>
        <v>2.0532407407407409E-2</v>
      </c>
      <c r="J18" t="str">
        <f t="shared" si="1"/>
        <v/>
      </c>
    </row>
    <row r="19" spans="1:10" ht="15">
      <c r="A19" s="61" t="s">
        <v>581</v>
      </c>
      <c r="B19" s="47" t="s">
        <v>619</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502</v>
      </c>
      <c r="B22" s="47" t="s">
        <v>565</v>
      </c>
      <c r="C22" s="48"/>
      <c r="D22" s="48">
        <v>29</v>
      </c>
      <c r="E22" s="48">
        <v>1</v>
      </c>
      <c r="F22" s="48" t="s">
        <v>546</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511</v>
      </c>
      <c r="B24" s="47" t="s">
        <v>563</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582</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546</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546</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546</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546</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583</v>
      </c>
      <c r="B34" s="47">
        <v>1370</v>
      </c>
      <c r="C34" s="48"/>
      <c r="D34" s="48">
        <v>25</v>
      </c>
      <c r="E34" s="48">
        <v>19</v>
      </c>
      <c r="F34" s="48" t="s">
        <v>546</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546</v>
      </c>
      <c r="G35" s="48"/>
      <c r="H35" s="50" t="str">
        <f>IF($B35="","",IF($J35="X",B35,CONCATENATE(VLOOKUP(B35,Competitors!$A$2:$I$650,3,FALSE)," ",VLOOKUP(B35,Competitors!$A$2:$I$650,2,FALSE))))</f>
        <v>John Abbott</v>
      </c>
      <c r="I35" s="51">
        <f t="shared" si="0"/>
        <v>1.7141203703703704E-2</v>
      </c>
      <c r="J35" t="str">
        <f t="shared" si="1"/>
        <v/>
      </c>
    </row>
    <row r="36" spans="1:10" ht="15">
      <c r="A36" s="46" t="s">
        <v>584</v>
      </c>
      <c r="B36" s="47" t="s">
        <v>584</v>
      </c>
      <c r="C36" s="48"/>
      <c r="D36" s="48">
        <v>26</v>
      </c>
      <c r="E36" s="48">
        <v>19</v>
      </c>
      <c r="F36" s="48" t="s">
        <v>546</v>
      </c>
      <c r="G36" s="48"/>
      <c r="H36" s="50" t="str">
        <f>IF($B36="","",IF($J36="X",B36,CONCATENATE(VLOOKUP(B36,Competitors!$A$2:$I$650,3,FALSE)," ",VLOOKUP(B36,Competitors!$A$2:$I$650,2,FALSE))))</f>
        <v>Brian Harman</v>
      </c>
      <c r="I36" s="51">
        <f t="shared" si="0"/>
        <v>1.8275462962962962E-2</v>
      </c>
      <c r="J36" t="str">
        <f t="shared" si="1"/>
        <v>X</v>
      </c>
    </row>
    <row r="37" spans="1:10" ht="15">
      <c r="A37" s="46" t="s">
        <v>585</v>
      </c>
      <c r="B37" s="47" t="s">
        <v>585</v>
      </c>
      <c r="C37" s="48"/>
      <c r="D37" s="48"/>
      <c r="E37" s="48"/>
      <c r="F37" s="48"/>
      <c r="G37" s="48" t="s">
        <v>555</v>
      </c>
      <c r="H37" s="50" t="str">
        <f>IF($B37="","",IF($J37="X",B37,CONCATENATE(VLOOKUP(B37,Competitors!$A$2:$I$650,3,FALSE)," ",VLOOKUP(B37,Competitors!$A$2:$I$650,2,FALSE))))</f>
        <v>Jonathan Clarke</v>
      </c>
      <c r="I37" s="51">
        <f t="shared" si="0"/>
        <v>0</v>
      </c>
      <c r="J37" t="str">
        <f t="shared" si="1"/>
        <v>X</v>
      </c>
    </row>
    <row r="38" spans="1:10" ht="15">
      <c r="A38" s="46" t="s">
        <v>529</v>
      </c>
      <c r="B38" s="47" t="s">
        <v>560</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577</v>
      </c>
      <c r="B46" s="47" t="s">
        <v>616</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530</v>
      </c>
      <c r="B48" s="47" t="s">
        <v>530</v>
      </c>
      <c r="C48" s="48"/>
      <c r="D48" s="48">
        <v>20</v>
      </c>
      <c r="E48" s="48">
        <v>22</v>
      </c>
      <c r="F48" s="48" t="s">
        <v>546</v>
      </c>
      <c r="G48" s="48"/>
      <c r="H48" s="50" t="str">
        <f>IF($B48="","",IF($J48="X",B48,CONCATENATE(VLOOKUP(B48,Competitors!$A$2:$I$650,3,FALSE)," ",VLOOKUP(B48,Competitors!$A$2:$I$650,2,FALSE))))</f>
        <v>Hudson Hendry</v>
      </c>
      <c r="I48" s="51">
        <f t="shared" si="2"/>
        <v>1.4143518518518519E-2</v>
      </c>
      <c r="J48" t="str">
        <f t="shared" si="1"/>
        <v>X</v>
      </c>
    </row>
    <row r="49" spans="1:10" ht="15">
      <c r="A49" s="46" t="s">
        <v>514</v>
      </c>
      <c r="B49" s="47" t="s">
        <v>569</v>
      </c>
      <c r="C49" s="48"/>
      <c r="D49" s="48">
        <v>29</v>
      </c>
      <c r="E49" s="48">
        <v>58</v>
      </c>
      <c r="F49" s="48" t="s">
        <v>546</v>
      </c>
      <c r="G49" s="48"/>
      <c r="H49" s="50" t="str">
        <f>IF($B49="","",IF($J49="X",B49,CONCATENATE(VLOOKUP(B49,Competitors!$A$2:$I$650,3,FALSE)," ",VLOOKUP(B49,Competitors!$A$2:$I$650,2,FALSE))))</f>
        <v>Paul Eden (Ratae)</v>
      </c>
      <c r="I49" s="51">
        <f t="shared" si="2"/>
        <v>2.0810185185185185E-2</v>
      </c>
      <c r="J49" t="str">
        <f t="shared" si="1"/>
        <v>X</v>
      </c>
    </row>
    <row r="50" spans="1:10" ht="15">
      <c r="A50" s="46" t="s">
        <v>587</v>
      </c>
      <c r="B50" s="47" t="s">
        <v>587</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586</v>
      </c>
      <c r="B51" s="47">
        <v>1347</v>
      </c>
      <c r="C51" s="48"/>
      <c r="D51" s="48">
        <v>26</v>
      </c>
      <c r="E51" s="48">
        <v>5</v>
      </c>
      <c r="F51" s="48" t="s">
        <v>546</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Event_11</v>
      </c>
    </row>
    <row r="104" spans="1:10">
      <c r="B104" t="s">
        <v>554</v>
      </c>
      <c r="C104" t="str">
        <f ca="1">_xlfn.XLOOKUP(C103,Calendar!O:O,Calendar!H:H,"Event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447</v>
      </c>
      <c r="B2" s="47">
        <v>1379</v>
      </c>
      <c r="C2" s="48"/>
      <c r="D2" s="49">
        <v>76</v>
      </c>
      <c r="E2" s="49">
        <v>10</v>
      </c>
      <c r="F2" s="49" t="s">
        <v>546</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546</v>
      </c>
      <c r="G3" s="49"/>
      <c r="H3" s="50" t="str">
        <f>IF($B3="","",IF($J3="X",B3,CONCATENATE(VLOOKUP(B3,Competitors!$A$2:$I$650,3,FALSE)," ",VLOOKUP(B3,Competitors!$A$2:$I$650,2,FALSE))))</f>
        <v>Richard Hardwicke</v>
      </c>
      <c r="I3" s="51">
        <f t="shared" si="0"/>
        <v>5.0289351851851849E-2</v>
      </c>
      <c r="J3" t="str">
        <f t="shared" si="1"/>
        <v/>
      </c>
    </row>
    <row r="4" spans="1:10" ht="15">
      <c r="A4" s="46" t="s">
        <v>525</v>
      </c>
      <c r="B4" s="47" t="s">
        <v>607</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546</v>
      </c>
      <c r="G5" s="49"/>
      <c r="H5" s="50" t="str">
        <f>IF($B5="","",IF($J5="X",B5,CONCATENATE(VLOOKUP(B5,Competitors!$A$2:$I$650,3,FALSE)," ",VLOOKUP(B5,Competitors!$A$2:$I$650,2,FALSE))))</f>
        <v>Alex Hardwicke</v>
      </c>
      <c r="I5" s="51">
        <f t="shared" si="0"/>
        <v>5.4988425925925927E-2</v>
      </c>
      <c r="J5" t="str">
        <f t="shared" si="1"/>
        <v/>
      </c>
    </row>
    <row r="6" spans="1:10" ht="15">
      <c r="A6" s="46" t="s">
        <v>517</v>
      </c>
      <c r="B6" s="47" t="s">
        <v>608</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546</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546</v>
      </c>
      <c r="G8" s="49"/>
      <c r="H8" s="50" t="str">
        <f>IF($B8="","",IF($J8="X",B8,CONCATENATE(VLOOKUP(B8,Competitors!$A$2:$I$650,3,FALSE)," ",VLOOKUP(B8,Competitors!$A$2:$I$650,2,FALSE))))</f>
        <v>Charlie Hardwicke</v>
      </c>
      <c r="I8" s="51">
        <f t="shared" si="0"/>
        <v>4.9826388888888892E-2</v>
      </c>
      <c r="J8" t="str">
        <f t="shared" si="1"/>
        <v/>
      </c>
    </row>
    <row r="9" spans="1:10" ht="15">
      <c r="A9" s="46" t="s">
        <v>591</v>
      </c>
      <c r="B9" s="47" t="s">
        <v>609</v>
      </c>
      <c r="C9" s="48"/>
      <c r="D9" s="49">
        <v>73</v>
      </c>
      <c r="E9" s="49">
        <v>45</v>
      </c>
      <c r="F9" s="49" t="s">
        <v>599</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599</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521</v>
      </c>
      <c r="B12" s="47" t="s">
        <v>610</v>
      </c>
      <c r="C12" s="48"/>
      <c r="D12" s="49">
        <v>72</v>
      </c>
      <c r="E12" s="49">
        <v>32</v>
      </c>
      <c r="F12" s="49" t="s">
        <v>546</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590</v>
      </c>
      <c r="B14" s="47" t="s">
        <v>611</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546</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589</v>
      </c>
      <c r="B17" s="47" t="s">
        <v>612</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528</v>
      </c>
      <c r="B18" s="47" t="s">
        <v>613</v>
      </c>
      <c r="C18" s="48"/>
      <c r="D18" s="49">
        <v>70</v>
      </c>
      <c r="E18" s="49">
        <v>45</v>
      </c>
      <c r="F18" s="49" t="s">
        <v>546</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555</v>
      </c>
      <c r="H19" s="50" t="str">
        <f>IF($B19="","",IF($J19="X",B19,CONCATENATE(VLOOKUP(B19,Competitors!$A$2:$I$650,3,FALSE)," ",VLOOKUP(B19,Competitors!$A$2:$I$650,2,FALSE))))</f>
        <v>Roger Kockelbergh</v>
      </c>
      <c r="I19" s="51">
        <f t="shared" si="0"/>
        <v>0</v>
      </c>
      <c r="J19" t="str">
        <f t="shared" si="1"/>
        <v/>
      </c>
    </row>
    <row r="20" spans="1:10" ht="15">
      <c r="A20" s="46" t="s">
        <v>594</v>
      </c>
      <c r="B20" s="47" t="s">
        <v>614</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546</v>
      </c>
      <c r="G21" s="49"/>
      <c r="H21" s="50" t="str">
        <f>IF($B21="","",IF($J21="X",B21,CONCATENATE(VLOOKUP(B21,Competitors!$A$2:$I$650,3,FALSE)," ",VLOOKUP(B21,Competitors!$A$2:$I$650,2,FALSE))))</f>
        <v>Jason Williams</v>
      </c>
      <c r="I21" s="51">
        <f t="shared" si="0"/>
        <v>5.0763888888888886E-2</v>
      </c>
      <c r="J21" t="str">
        <f t="shared" si="1"/>
        <v/>
      </c>
    </row>
    <row r="22" spans="1:10" ht="15">
      <c r="A22" s="46" t="s">
        <v>588</v>
      </c>
      <c r="B22" s="47" t="s">
        <v>615</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555</v>
      </c>
      <c r="H23" s="50" t="str">
        <f>IF($B23="","",IF($J23="X",B23,CONCATENATE(VLOOKUP(B23,Competitors!$A$2:$I$650,3,FALSE)," ",VLOOKUP(B23,Competitors!$A$2:$I$650,2,FALSE))))</f>
        <v>Gary Ashwell</v>
      </c>
      <c r="I23" s="51">
        <f t="shared" si="0"/>
        <v>0</v>
      </c>
      <c r="J23" t="str">
        <f t="shared" si="1"/>
        <v/>
      </c>
    </row>
    <row r="24" spans="1:10" ht="15">
      <c r="A24" s="46" t="s">
        <v>577</v>
      </c>
      <c r="B24" s="47" t="s">
        <v>616</v>
      </c>
      <c r="C24" s="48"/>
      <c r="D24" s="49"/>
      <c r="E24" s="49"/>
      <c r="F24" s="49"/>
      <c r="G24" s="49" t="s">
        <v>555</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548</v>
      </c>
      <c r="H25" s="50" t="str">
        <f>IF($B25="","",IF($J25="X",B25,CONCATENATE(VLOOKUP(B25,Competitors!$A$2:$I$650,3,FALSE)," ",VLOOKUP(B25,Competitors!$A$2:$I$650,2,FALSE))))</f>
        <v>Stuart Haycox</v>
      </c>
      <c r="I25" s="51">
        <f t="shared" si="0"/>
        <v>0</v>
      </c>
      <c r="J25" t="str">
        <f t="shared" si="1"/>
        <v/>
      </c>
    </row>
    <row r="26" spans="1:10" ht="15">
      <c r="A26" s="46" t="s">
        <v>526</v>
      </c>
      <c r="B26" s="47" t="s">
        <v>606</v>
      </c>
      <c r="C26" s="48"/>
      <c r="D26" s="49">
        <v>67</v>
      </c>
      <c r="E26" s="49">
        <v>14</v>
      </c>
      <c r="F26" s="49" t="s">
        <v>546</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593</v>
      </c>
      <c r="B28" s="47" t="s">
        <v>617</v>
      </c>
      <c r="C28" s="48"/>
      <c r="D28" s="49">
        <v>61</v>
      </c>
      <c r="E28" s="49">
        <v>34</v>
      </c>
      <c r="F28" s="49" t="s">
        <v>546</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605</v>
      </c>
      <c r="C30" s="48"/>
      <c r="D30" s="49">
        <v>63</v>
      </c>
      <c r="E30" s="49">
        <v>43</v>
      </c>
      <c r="F30" s="49" t="s">
        <v>546</v>
      </c>
      <c r="G30" s="49"/>
      <c r="H30" s="50" t="str">
        <f>IF($B30="","",IF($J30="X",B30,CONCATENATE(VLOOKUP(B30,Competitors!$A$2:$I$650,3,FALSE)," ",VLOOKUP(B30,Competitors!$A$2:$I$650,2,FALSE))))</f>
        <v>Andy King (KCC)</v>
      </c>
      <c r="I30" s="51">
        <f t="shared" si="0"/>
        <v>4.4247685185185189E-2</v>
      </c>
      <c r="J30" t="str">
        <f t="shared" si="1"/>
        <v>X</v>
      </c>
    </row>
    <row r="31" spans="1:10" ht="15">
      <c r="A31" s="46" t="s">
        <v>529</v>
      </c>
      <c r="B31" s="47" t="s">
        <v>560</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523</v>
      </c>
      <c r="B32" s="47" t="s">
        <v>618</v>
      </c>
      <c r="C32" s="48"/>
      <c r="D32" s="49">
        <v>69</v>
      </c>
      <c r="E32" s="49">
        <v>20</v>
      </c>
      <c r="F32" s="49" t="s">
        <v>546</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553</v>
      </c>
      <c r="C103" t="str" cm="1">
        <f t="array" aca="1" ref="C103" ca="1">MID(CELL("filename",B1),FIND("]",CELL("filename",B1))+1,255)</f>
        <v>Event_12</v>
      </c>
    </row>
    <row r="104" spans="1:10">
      <c r="B104" t="s">
        <v>554</v>
      </c>
      <c r="C104" t="str">
        <f ca="1">_xlfn.XLOOKUP(C103,Calendar!O:O,Calendar!H:H,"Event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workbookViewId="0"/>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439</v>
      </c>
      <c r="B2" s="47">
        <v>704</v>
      </c>
      <c r="C2" s="48"/>
      <c r="D2" s="49"/>
      <c r="E2" s="49"/>
      <c r="F2" s="49"/>
      <c r="G2" s="49"/>
      <c r="H2" s="50" t="str">
        <f>IF($B2="","",IF($J2="X",B2,CONCATENATE(VLOOKUP(B2,Competitors!$A$2:$I$650,3, FALSE)," ",VLOOKUP(B2,Competitors!$A$2:$I$650,2,FALSE))))</f>
        <v>Chris Dainty</v>
      </c>
      <c r="I2" s="51">
        <f t="shared" ref="I2:I65" si="0">IF(LEFT($F2,1)="D",UPPER($F2),(C2*3600+D2*60+E2)/86400)</f>
        <v>0</v>
      </c>
      <c r="J2" t="str">
        <f t="shared" ref="J2:J65" si="1">IF(OR(B2="",ISNUMBER(B2)),"","X")</f>
        <v/>
      </c>
    </row>
    <row r="3" spans="1:10" ht="15">
      <c r="A3" s="46" t="s">
        <v>595</v>
      </c>
      <c r="B3" s="47" t="s">
        <v>595</v>
      </c>
      <c r="C3" s="48"/>
      <c r="D3" s="49"/>
      <c r="E3" s="49"/>
      <c r="F3" s="49" t="s">
        <v>546</v>
      </c>
      <c r="G3" s="49"/>
      <c r="H3" s="50" t="str">
        <f>IF($B3="","",IF($J3="X",B3,CONCATENATE(VLOOKUP(B3,Competitors!$A$2:$I$650,3,FALSE)," ",VLOOKUP(B3,Competitors!$A$2:$I$650,2,FALSE))))</f>
        <v>Mohammed Nurgat</v>
      </c>
      <c r="I3" s="51">
        <f t="shared" si="0"/>
        <v>0</v>
      </c>
      <c r="J3" t="str">
        <f t="shared" si="1"/>
        <v>X</v>
      </c>
    </row>
    <row r="4" spans="1:10" ht="15">
      <c r="A4" s="46" t="s">
        <v>511</v>
      </c>
      <c r="B4" s="47" t="s">
        <v>563</v>
      </c>
      <c r="C4" s="48"/>
      <c r="D4" s="49"/>
      <c r="E4" s="49"/>
      <c r="F4" s="49" t="s">
        <v>546</v>
      </c>
      <c r="G4" s="49"/>
      <c r="H4" s="50" t="str">
        <f>IF($B4="","",IF($J4="X",B4,CONCATENATE(VLOOKUP(B4,Competitors!$A$2:$I$650,3,FALSE)," ",VLOOKUP(B4,Competitors!$A$2:$I$650,2,FALSE))))</f>
        <v>Mark Newton (Ratae)</v>
      </c>
      <c r="I4" s="51">
        <f t="shared" si="0"/>
        <v>0</v>
      </c>
      <c r="J4" t="str">
        <f t="shared" si="1"/>
        <v>X</v>
      </c>
    </row>
    <row r="5" spans="1:10" ht="15">
      <c r="A5" s="46" t="s">
        <v>447</v>
      </c>
      <c r="B5" s="47">
        <v>1379</v>
      </c>
      <c r="C5" s="48"/>
      <c r="D5" s="49"/>
      <c r="E5" s="49"/>
      <c r="F5" s="49" t="s">
        <v>546</v>
      </c>
      <c r="G5" s="49"/>
      <c r="H5" s="50" t="str">
        <f>IF($B5="","",IF($J5="X",B5,CONCATENATE(VLOOKUP(B5,Competitors!$A$2:$I$650,3,FALSE)," ",VLOOKUP(B5,Competitors!$A$2:$I$650,2,FALSE))))</f>
        <v>Michaela Latham</v>
      </c>
      <c r="I5" s="51">
        <f t="shared" si="0"/>
        <v>0</v>
      </c>
      <c r="J5" t="str">
        <f t="shared" si="1"/>
        <v/>
      </c>
    </row>
    <row r="6" spans="1:10" ht="15">
      <c r="A6" s="46" t="s">
        <v>457</v>
      </c>
      <c r="B6" s="47">
        <v>967</v>
      </c>
      <c r="C6" s="48"/>
      <c r="D6" s="49"/>
      <c r="E6" s="49"/>
      <c r="F6" s="49" t="s">
        <v>546</v>
      </c>
      <c r="G6" s="49"/>
      <c r="H6" s="50" t="str">
        <f>IF($B6="","",IF($J6="X",B6,CONCATENATE(VLOOKUP(B6,Competitors!$A$2:$I$650,3,FALSE)," ",VLOOKUP(B6,Competitors!$A$2:$I$650,2,FALSE))))</f>
        <v>Daniel McDonnell</v>
      </c>
      <c r="I6" s="51">
        <f t="shared" si="0"/>
        <v>0</v>
      </c>
      <c r="J6" t="str">
        <f t="shared" si="1"/>
        <v/>
      </c>
    </row>
    <row r="7" spans="1:10" ht="15">
      <c r="A7" s="46" t="s">
        <v>596</v>
      </c>
      <c r="B7" s="47" t="s">
        <v>603</v>
      </c>
      <c r="C7" s="48"/>
      <c r="D7" s="49"/>
      <c r="E7" s="49"/>
      <c r="F7" s="49"/>
      <c r="G7" s="49"/>
      <c r="H7" s="50" t="str">
        <f>IF($B7="","",IF($J7="X",B7,CONCATENATE(VLOOKUP(B7,Competitors!$A$2:$I$650,3,FALSE)," ",VLOOKUP(B7,Competitors!$A$2:$I$650,2,FALSE))))</f>
        <v>Evan Collett (G Fox) (KCC)</v>
      </c>
      <c r="I7" s="51">
        <f t="shared" si="0"/>
        <v>0</v>
      </c>
      <c r="J7" t="str">
        <f t="shared" si="1"/>
        <v>X</v>
      </c>
    </row>
    <row r="8" spans="1:10" ht="15">
      <c r="A8" s="46" t="s">
        <v>461</v>
      </c>
      <c r="B8" s="47">
        <v>7</v>
      </c>
      <c r="C8" s="48"/>
      <c r="D8" s="49"/>
      <c r="E8" s="49"/>
      <c r="F8" s="49" t="s">
        <v>546</v>
      </c>
      <c r="G8" s="49"/>
      <c r="H8" s="50" t="str">
        <f>IF($B8="","",IF($J8="X",B8,CONCATENATE(VLOOKUP(B8,Competitors!$A$2:$I$650,3,FALSE)," ",VLOOKUP(B8,Competitors!$A$2:$I$650,2,FALSE))))</f>
        <v>Vic Barnett</v>
      </c>
      <c r="I8" s="51">
        <f t="shared" si="0"/>
        <v>0</v>
      </c>
      <c r="J8" t="str">
        <f t="shared" si="1"/>
        <v/>
      </c>
    </row>
    <row r="9" spans="1:10" ht="15">
      <c r="A9" s="46" t="s">
        <v>597</v>
      </c>
      <c r="B9" s="47">
        <v>1390</v>
      </c>
      <c r="C9" s="48"/>
      <c r="D9" s="49"/>
      <c r="E9" s="49"/>
      <c r="F9" s="49" t="s">
        <v>546</v>
      </c>
      <c r="G9" s="49"/>
      <c r="H9" s="50" t="str">
        <f>IF($B9="","",IF($J9="X",B9,CONCATENATE(VLOOKUP(B9,Competitors!$A$2:$I$650,3,FALSE)," ",VLOOKUP(B9,Competitors!$A$2:$I$650,2,FALSE))))</f>
        <v>Diego Patteri</v>
      </c>
      <c r="I9" s="51">
        <f t="shared" si="0"/>
        <v>0</v>
      </c>
      <c r="J9" t="str">
        <f t="shared" si="1"/>
        <v/>
      </c>
    </row>
    <row r="10" spans="1:10" ht="15">
      <c r="A10" s="46" t="s">
        <v>494</v>
      </c>
      <c r="B10" s="47" t="s">
        <v>604</v>
      </c>
      <c r="C10" s="48"/>
      <c r="D10" s="49"/>
      <c r="E10" s="49"/>
      <c r="F10" s="49" t="s">
        <v>546</v>
      </c>
      <c r="G10" s="49"/>
      <c r="H10" s="50" t="str">
        <f>IF($B10="","",IF($J10="X",B10,CONCATENATE(VLOOKUP(B10,Competitors!$A$2:$I$650,3, FALSE)," ",VLOOKUP(B10,Competitors!$A$2:$I$650,2,FALSE))))</f>
        <v>Chris Booth (MOCC)</v>
      </c>
      <c r="I10" s="51">
        <f t="shared" si="0"/>
        <v>0</v>
      </c>
      <c r="J10" t="str">
        <f t="shared" si="1"/>
        <v>X</v>
      </c>
    </row>
    <row r="11" spans="1:10" ht="15">
      <c r="A11" s="46" t="s">
        <v>438</v>
      </c>
      <c r="B11" s="47">
        <v>1195</v>
      </c>
      <c r="C11" s="48"/>
      <c r="D11" s="49"/>
      <c r="E11" s="49"/>
      <c r="F11" s="49" t="s">
        <v>546</v>
      </c>
      <c r="G11" s="49"/>
      <c r="H11" s="50" t="str">
        <f>IF($B11="","",IF($J11="X",B11,CONCATENATE(VLOOKUP(B11,Competitors!$A$2:$I$650,3,FALSE)," ",VLOOKUP(B11,Competitors!$A$2:$I$650,2,FALSE))))</f>
        <v>Charlie Hardwicke</v>
      </c>
      <c r="I11" s="51">
        <f t="shared" si="0"/>
        <v>0</v>
      </c>
      <c r="J11" t="str">
        <f t="shared" si="1"/>
        <v/>
      </c>
    </row>
    <row r="12" spans="1:10" ht="15">
      <c r="A12" s="46" t="s">
        <v>419</v>
      </c>
      <c r="B12" s="47">
        <v>1355</v>
      </c>
      <c r="C12" s="48"/>
      <c r="D12" s="49"/>
      <c r="E12" s="49"/>
      <c r="F12" s="49" t="s">
        <v>546</v>
      </c>
      <c r="G12" s="49"/>
      <c r="H12" s="50" t="str">
        <f>IF($B12="","",IF($J12="X",B12,CONCATENATE(VLOOKUP(B12,Competitors!$A$2:$I$650,3,FALSE)," ",VLOOKUP(B12,Competitors!$A$2:$I$650,2,FALSE))))</f>
        <v>Aubrey Elmer</v>
      </c>
      <c r="I12" s="51">
        <f t="shared" si="0"/>
        <v>0</v>
      </c>
      <c r="J12" t="str">
        <f t="shared" si="1"/>
        <v/>
      </c>
    </row>
    <row r="13" spans="1:10" ht="15">
      <c r="A13" s="46" t="s">
        <v>503</v>
      </c>
      <c r="B13" s="47" t="s">
        <v>556</v>
      </c>
      <c r="C13" s="48"/>
      <c r="D13" s="49"/>
      <c r="E13" s="49"/>
      <c r="F13" s="49"/>
      <c r="G13" s="49"/>
      <c r="H13" s="50" t="str">
        <f>IF($B13="","",IF($J13="X",B13,CONCATENATE(VLOOKUP(B13,Competitors!$A$2:$I$650,3,FALSE)," ",VLOOKUP(B13,Competitors!$A$2:$I$650,2,FALSE))))</f>
        <v>Chris Bonsor (Ratae)</v>
      </c>
      <c r="I13" s="51">
        <f t="shared" si="0"/>
        <v>0</v>
      </c>
      <c r="J13" t="str">
        <f t="shared" si="1"/>
        <v>X</v>
      </c>
    </row>
    <row r="14" spans="1:10" ht="15">
      <c r="A14" s="46" t="s">
        <v>484</v>
      </c>
      <c r="B14" s="47" t="s">
        <v>605</v>
      </c>
      <c r="C14" s="48"/>
      <c r="D14" s="49"/>
      <c r="E14" s="49"/>
      <c r="F14" s="49" t="s">
        <v>546</v>
      </c>
      <c r="G14" s="49"/>
      <c r="H14" s="50" t="str">
        <f>IF($B14="","",IF($J14="X",B14,CONCATENATE(VLOOKUP(B14,Competitors!$A$2:$I$650,3,FALSE)," ",VLOOKUP(B14,Competitors!$A$2:$I$650,2,FALSE))))</f>
        <v>Andy King (KCC)</v>
      </c>
      <c r="I14" s="51">
        <f t="shared" si="0"/>
        <v>0</v>
      </c>
      <c r="J14" t="str">
        <f t="shared" si="1"/>
        <v>X</v>
      </c>
    </row>
    <row r="15" spans="1:10" ht="15">
      <c r="A15" s="46" t="s">
        <v>412</v>
      </c>
      <c r="B15" s="47">
        <v>407</v>
      </c>
      <c r="C15" s="48"/>
      <c r="D15" s="49"/>
      <c r="E15" s="49"/>
      <c r="F15" s="49"/>
      <c r="G15" s="49"/>
      <c r="H15" s="50" t="str">
        <f>IF($B15="","",IF($J15="X",B15,CONCATENATE(VLOOKUP(B15,Competitors!$A$2:$I$650,3,FALSE)," ",VLOOKUP(B15,Competitors!$A$2:$I$650,2,FALSE))))</f>
        <v>Hans van Nierop</v>
      </c>
      <c r="I15" s="51">
        <f t="shared" si="0"/>
        <v>0</v>
      </c>
      <c r="J15" t="str">
        <f t="shared" si="1"/>
        <v/>
      </c>
    </row>
    <row r="16" spans="1:10" ht="15">
      <c r="A16" s="46" t="s">
        <v>598</v>
      </c>
      <c r="B16" s="47" t="s">
        <v>598</v>
      </c>
      <c r="C16" s="48"/>
      <c r="D16" s="49"/>
      <c r="E16" s="49"/>
      <c r="F16" s="49" t="s">
        <v>546</v>
      </c>
      <c r="G16" s="49"/>
      <c r="H16" s="50" t="str">
        <f>IF($B16="","",IF($J16="X",B16,CONCATENATE(VLOOKUP(B16,Competitors!$A$2:$I$650,3,FALSE)," ",VLOOKUP(B16,Competitors!$A$2:$I$650,2,FALSE))))</f>
        <v>Jahan Malik</v>
      </c>
      <c r="I16" s="51">
        <f t="shared" si="0"/>
        <v>0</v>
      </c>
      <c r="J16" t="str">
        <f t="shared" si="1"/>
        <v>X</v>
      </c>
    </row>
    <row r="17" spans="1:10" ht="15">
      <c r="A17" s="46" t="s">
        <v>430</v>
      </c>
      <c r="B17" s="47">
        <v>1107</v>
      </c>
      <c r="C17" s="48"/>
      <c r="D17" s="49"/>
      <c r="E17" s="49"/>
      <c r="F17" s="49" t="s">
        <v>546</v>
      </c>
      <c r="G17" s="49"/>
      <c r="H17" s="50" t="str">
        <f>IF($B17="","",IF($J17="X",B17,CONCATENATE(VLOOKUP(B17,Competitors!$A$2:$I$650,3,FALSE)," ",VLOOKUP(B17,Competitors!$A$2:$I$650,2,FALSE))))</f>
        <v>Milly Pinnock</v>
      </c>
      <c r="I17" s="51">
        <f t="shared" si="0"/>
        <v>0</v>
      </c>
      <c r="J17" t="str">
        <f t="shared" si="1"/>
        <v/>
      </c>
    </row>
    <row r="18" spans="1:10" ht="15">
      <c r="A18" s="46" t="s">
        <v>444</v>
      </c>
      <c r="B18" s="47">
        <v>1193</v>
      </c>
      <c r="C18" s="48"/>
      <c r="D18" s="49"/>
      <c r="E18" s="49"/>
      <c r="F18" s="49" t="s">
        <v>546</v>
      </c>
      <c r="G18" s="49"/>
      <c r="H18" s="50" t="str">
        <f>IF($B18="","",IF($J18="X",B18,CONCATENATE(VLOOKUP(B18,Competitors!$A$2:$I$650,3,FALSE)," ",VLOOKUP(B18,Competitors!$A$2:$I$650,2,FALSE))))</f>
        <v>Richard Hardwicke</v>
      </c>
      <c r="I18" s="51">
        <f t="shared" si="0"/>
        <v>0</v>
      </c>
      <c r="J18" t="str">
        <f t="shared" si="1"/>
        <v/>
      </c>
    </row>
    <row r="19" spans="1:10" ht="15">
      <c r="A19" s="46" t="s">
        <v>423</v>
      </c>
      <c r="B19" s="47">
        <v>1407</v>
      </c>
      <c r="C19" s="48"/>
      <c r="D19" s="49"/>
      <c r="E19" s="49"/>
      <c r="F19" s="49" t="s">
        <v>546</v>
      </c>
      <c r="G19" s="49"/>
      <c r="H19" s="50" t="str">
        <f>IF($B19="","",IF($J19="X",B19,CONCATENATE(VLOOKUP(B19,Competitors!$A$2:$I$650,3,FALSE)," ",VLOOKUP(B19,Competitors!$A$2:$I$650,2,FALSE))))</f>
        <v>Colin Dobson</v>
      </c>
      <c r="I19" s="51">
        <f t="shared" si="0"/>
        <v>0</v>
      </c>
      <c r="J19" t="str">
        <f t="shared" si="1"/>
        <v/>
      </c>
    </row>
    <row r="20" spans="1:10" ht="15">
      <c r="A20" s="46" t="s">
        <v>626</v>
      </c>
      <c r="B20" s="47">
        <v>990</v>
      </c>
      <c r="C20" s="48"/>
      <c r="D20" s="49"/>
      <c r="E20" s="49"/>
      <c r="F20" s="49" t="s">
        <v>546</v>
      </c>
      <c r="G20" s="49"/>
      <c r="H20" s="50" t="str">
        <f>IF($B20="","",IF($J20="X",B20,CONCATENATE(VLOOKUP(B20,Competitors!$A$2:$I$650,3,FALSE)," ",VLOOKUP(B20,Competitors!$A$2:$I$650,2,FALSE))))</f>
        <v>Jen Hulme</v>
      </c>
      <c r="I20" s="51">
        <f t="shared" si="0"/>
        <v>0</v>
      </c>
      <c r="J20" t="str">
        <f t="shared" si="1"/>
        <v/>
      </c>
    </row>
    <row r="21" spans="1:10" ht="15">
      <c r="A21" s="46" t="s">
        <v>526</v>
      </c>
      <c r="B21" s="47" t="s">
        <v>606</v>
      </c>
      <c r="C21" s="48"/>
      <c r="D21" s="49"/>
      <c r="E21" s="49"/>
      <c r="F21" s="49" t="s">
        <v>546</v>
      </c>
      <c r="G21" s="49"/>
      <c r="H21" s="50" t="str">
        <f>IF($B21="","",IF($J21="X",B21,CONCATENATE(VLOOKUP(B21,Competitors!$A$2:$I$650,3,FALSE)," ",VLOOKUP(B21,Competitors!$A$2:$I$650,2,FALSE))))</f>
        <v>Michael Carter (RFW)</v>
      </c>
      <c r="I21" s="51">
        <f t="shared" si="0"/>
        <v>0</v>
      </c>
      <c r="J21" t="str">
        <f t="shared" si="1"/>
        <v>X</v>
      </c>
    </row>
    <row r="22" spans="1:10" ht="15">
      <c r="A22" s="46" t="s">
        <v>516</v>
      </c>
      <c r="B22" s="47" t="s">
        <v>561</v>
      </c>
      <c r="C22" s="48"/>
      <c r="D22" s="49"/>
      <c r="E22" s="49"/>
      <c r="F22" s="49"/>
      <c r="G22" s="49"/>
      <c r="H22" s="50" t="str">
        <f>IF($B22="","",IF($J22="X",B22,CONCATENATE(VLOOKUP(B22,Competitors!$A$2:$I$650,3,FALSE)," ",VLOOKUP(B22,Competitors!$A$2:$I$650,2,FALSE))))</f>
        <v>Steve Pearce (Ratae)</v>
      </c>
      <c r="I22" s="51">
        <f t="shared" si="0"/>
        <v>0</v>
      </c>
      <c r="J22" t="str">
        <f t="shared" si="1"/>
        <v>X</v>
      </c>
    </row>
    <row r="23" spans="1:10" ht="15">
      <c r="A23" s="46" t="s">
        <v>436</v>
      </c>
      <c r="B23" s="47">
        <v>846</v>
      </c>
      <c r="C23" s="48"/>
      <c r="D23" s="49"/>
      <c r="E23" s="49"/>
      <c r="F23" s="49"/>
      <c r="G23" s="49"/>
      <c r="H23" s="50" t="str">
        <f>IF($B23="","",IF($J23="X",B23,CONCATENATE(VLOOKUP(B23,Competitors!$A$2:$I$650,3,FALSE)," ",VLOOKUP(B23,Competitors!$A$2:$I$650,2,FALSE))))</f>
        <v>Roger Kockelbergh</v>
      </c>
      <c r="I23" s="51">
        <f t="shared" si="0"/>
        <v>0</v>
      </c>
      <c r="J23" t="str">
        <f t="shared" si="1"/>
        <v/>
      </c>
    </row>
    <row r="24" spans="1:10" ht="15">
      <c r="A24" s="46" t="s">
        <v>448</v>
      </c>
      <c r="B24" s="47">
        <v>1194</v>
      </c>
      <c r="C24" s="48"/>
      <c r="D24" s="49"/>
      <c r="E24" s="49"/>
      <c r="F24" s="49" t="s">
        <v>546</v>
      </c>
      <c r="G24" s="49"/>
      <c r="H24" s="50" t="str">
        <f>IF($B24="","",IF($J24="X",B24,CONCATENATE(VLOOKUP(B24,Competitors!$A$2:$I$650,3,FALSE)," ",VLOOKUP(B24,Competitors!$A$2:$I$650,2,FALSE))))</f>
        <v>Alex Hardwicke</v>
      </c>
      <c r="I24" s="51">
        <f t="shared" si="0"/>
        <v>0</v>
      </c>
      <c r="J24" t="str">
        <f t="shared" si="1"/>
        <v/>
      </c>
    </row>
    <row r="25" spans="1:10" ht="15">
      <c r="A25" s="46" t="s">
        <v>525</v>
      </c>
      <c r="B25" s="47" t="s">
        <v>607</v>
      </c>
      <c r="C25" s="48"/>
      <c r="D25" s="49"/>
      <c r="E25" s="49"/>
      <c r="F25" s="49"/>
      <c r="G25" s="49"/>
      <c r="H25" s="50" t="str">
        <f>IF($B25="","",IF($J25="X",B25,CONCATENATE(VLOOKUP(B25,Competitors!$A$2:$I$650,3,FALSE)," ",VLOOKUP(B25,Competitors!$A$2:$I$650,2,FALSE))))</f>
        <v>Lynne Wilkinson-Scofield (RFW)</v>
      </c>
      <c r="I25" s="51">
        <f t="shared" si="0"/>
        <v>0</v>
      </c>
      <c r="J25" t="str">
        <f t="shared" si="1"/>
        <v>X</v>
      </c>
    </row>
    <row r="26" spans="1:10" ht="15">
      <c r="A26" s="46"/>
      <c r="B26" s="47" t="str">
        <f t="shared" ref="B26:B33" si="2">IF(A26="","",_xlfn.XLOOKUP(A26,ClubNames,ClubNumbers,_xlfn.XLOOKUP(A26,RoundRobinRiderNames,RoundRobinRiderDecoratedNames,A26)))</f>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3"/>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3"/>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3"/>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3"/>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3"/>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3"/>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3"/>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3"/>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3"/>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3"/>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3"/>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3"/>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3"/>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3"/>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3"/>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3"/>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3"/>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3"/>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3"/>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3"/>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3"/>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3"/>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3"/>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3"/>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3"/>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3"/>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3"/>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3"/>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3"/>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3"/>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3"/>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Event_13</v>
      </c>
    </row>
    <row r="104" spans="1:10">
      <c r="B104" t="s">
        <v>554</v>
      </c>
      <c r="C104" t="str">
        <f ca="1">_xlfn.XLOOKUP(C103,Calendar!O:O,Calendar!H:H,"Event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61" t="s">
        <v>626</v>
      </c>
      <c r="B2" s="47">
        <f t="shared" ref="B2:B33" si="0">IF(A2="","",_xlfn.XLOOKUP(A2,ClubNames,ClubNumbers,_xlfn.XLOOKUP(A2,RoundRobinRiderNames,RoundRobinRiderDecoratedNames,A2)))</f>
        <v>990</v>
      </c>
      <c r="C2" s="48"/>
      <c r="D2" s="49">
        <v>33</v>
      </c>
      <c r="E2" s="49">
        <v>30</v>
      </c>
      <c r="F2" s="49" t="s">
        <v>546</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583</v>
      </c>
      <c r="B3" s="47">
        <f t="shared" si="0"/>
        <v>1370</v>
      </c>
      <c r="C3" s="48"/>
      <c r="D3" s="49">
        <v>26</v>
      </c>
      <c r="E3" s="49">
        <v>0</v>
      </c>
      <c r="F3" s="49" t="s">
        <v>546</v>
      </c>
      <c r="G3" s="66"/>
      <c r="H3" s="50" t="str">
        <f>IF($B3="","",IF($J3="X",B3,CONCATENATE(VLOOKUP(B3,Competitors!$A$2:$I$650,3,FALSE)," ",VLOOKUP(B3,Competitors!$A$2:$I$650,2,FALSE))))</f>
        <v>Ian Aldridge</v>
      </c>
      <c r="I3" s="51">
        <f t="shared" si="1"/>
        <v>1.8055555555555554E-2</v>
      </c>
      <c r="J3" t="str">
        <f t="shared" si="2"/>
        <v/>
      </c>
    </row>
    <row r="4" spans="1:10" ht="15">
      <c r="A4" s="46" t="s">
        <v>502</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546</v>
      </c>
      <c r="G5" s="66"/>
      <c r="H5" s="50" t="str">
        <f>IF($B5="","",IF($J5="X",B5,CONCATENATE(VLOOKUP(B5,Competitors!$A$2:$I$650,3,FALSE)," ",VLOOKUP(B5,Competitors!$A$2:$I$650,2,FALSE))))</f>
        <v>Claire Moore</v>
      </c>
      <c r="I5" s="51">
        <f t="shared" si="1"/>
        <v>2.3055555555555555E-2</v>
      </c>
      <c r="J5" t="str">
        <f t="shared" si="2"/>
        <v/>
      </c>
    </row>
    <row r="6" spans="1:10" ht="15">
      <c r="A6" s="46" t="s">
        <v>525</v>
      </c>
      <c r="B6" s="47" t="str">
        <f>IF(A6="","",_xlfn.XLOOKUP(A6,ClubNames,ClubNumbers,_xlfn.XLOOKUP(A6,RoundRobinRiderNames,RoundRobinRiderDecoratedNames,A6)))</f>
        <v>Lynne Wilkinson-Scofield (RFW)</v>
      </c>
      <c r="C6" s="48"/>
      <c r="D6" s="49"/>
      <c r="E6" s="49"/>
      <c r="F6" s="49"/>
      <c r="G6" s="49" t="s">
        <v>555</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546</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546</v>
      </c>
      <c r="G8" s="66"/>
      <c r="H8" s="50" t="str">
        <f>IF($B8="","",IF($J8="X",B8,CONCATENATE(VLOOKUP(B8,Competitors!$A$2:$I$650,3,FALSE)," ",VLOOKUP(B8,Competitors!$A$2:$I$650,2,FALSE))))</f>
        <v>Vic Barnett</v>
      </c>
      <c r="I8" s="51">
        <f t="shared" si="1"/>
        <v>2.2002314814814815E-2</v>
      </c>
      <c r="J8" t="str">
        <f t="shared" si="2"/>
        <v/>
      </c>
    </row>
    <row r="9" spans="1:10" ht="15">
      <c r="A9" s="46" t="s">
        <v>586</v>
      </c>
      <c r="B9" s="47">
        <f t="shared" si="0"/>
        <v>1347</v>
      </c>
      <c r="C9" s="48"/>
      <c r="D9" s="49">
        <v>26</v>
      </c>
      <c r="E9" s="49">
        <v>38</v>
      </c>
      <c r="F9" s="49" t="s">
        <v>546</v>
      </c>
      <c r="G9" s="66"/>
      <c r="H9" s="50" t="str">
        <f>IF($B9="","",IF($J9="X",B9,CONCATENATE(VLOOKUP(B9,Competitors!$A$2:$I$650,3,FALSE)," ",VLOOKUP(B9,Competitors!$A$2:$I$650,2,FALSE))))</f>
        <v>Stuart Simpson-Smith</v>
      </c>
      <c r="I9" s="51">
        <f t="shared" si="1"/>
        <v>1.849537037037037E-2</v>
      </c>
      <c r="J9" t="str">
        <f t="shared" si="2"/>
        <v/>
      </c>
    </row>
    <row r="10" spans="1:10" ht="15">
      <c r="A10" s="46" t="s">
        <v>512</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503</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624</v>
      </c>
      <c r="B13" s="47">
        <f t="shared" si="0"/>
        <v>1391</v>
      </c>
      <c r="C13" s="48"/>
      <c r="D13" s="49">
        <v>24</v>
      </c>
      <c r="E13" s="49">
        <v>59</v>
      </c>
      <c r="F13" s="49" t="s">
        <v>546</v>
      </c>
      <c r="G13" s="66"/>
      <c r="H13" s="50" t="str">
        <f>IF($B13="","",IF($J13="X",B13,CONCATENATE(VLOOKUP(B13,Competitors!$A$2:$I$650,3,FALSE)," ",VLOOKUP(B13,Competitors!$A$2:$I$650,2,FALSE))))</f>
        <v>Leah Cuthbertson</v>
      </c>
      <c r="I13" s="51">
        <f t="shared" si="1"/>
        <v>1.7349537037037038E-2</v>
      </c>
      <c r="J13" t="str">
        <f t="shared" si="2"/>
        <v/>
      </c>
    </row>
    <row r="14" spans="1:10" ht="15">
      <c r="A14" s="46" t="s">
        <v>516</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546</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579</v>
      </c>
      <c r="B17" s="47">
        <f t="shared" si="0"/>
        <v>741</v>
      </c>
      <c r="C17" s="48"/>
      <c r="D17" s="49">
        <v>24</v>
      </c>
      <c r="E17" s="49">
        <v>8</v>
      </c>
      <c r="F17" s="49" t="s">
        <v>546</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546</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546</v>
      </c>
      <c r="G21" s="66"/>
      <c r="H21" s="50" t="str">
        <f>IF($B21="","",IF($J21="X",B21,CONCATENATE(VLOOKUP(B21,Competitors!$A$2:$I$650,3,FALSE)," ",VLOOKUP(B21,Competitors!$A$2:$I$650,2,FALSE))))</f>
        <v>Jamie Kershaw</v>
      </c>
      <c r="I21" s="51">
        <f t="shared" si="1"/>
        <v>1.6261574074074074E-2</v>
      </c>
      <c r="J21" t="str">
        <f t="shared" si="2"/>
        <v/>
      </c>
    </row>
    <row r="22" spans="1:10" ht="15">
      <c r="A22" s="61" t="s">
        <v>577</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580</v>
      </c>
      <c r="B23" s="47">
        <f t="shared" si="0"/>
        <v>1048</v>
      </c>
      <c r="C23" s="48"/>
      <c r="D23" s="49"/>
      <c r="E23" s="49"/>
      <c r="F23" s="49" t="s">
        <v>546</v>
      </c>
      <c r="G23" s="66" t="s">
        <v>555</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597</v>
      </c>
      <c r="B25" s="47">
        <f t="shared" si="0"/>
        <v>1390</v>
      </c>
      <c r="C25" s="48"/>
      <c r="D25" s="49">
        <v>24</v>
      </c>
      <c r="E25" s="49">
        <v>51</v>
      </c>
      <c r="F25" s="49" t="s">
        <v>546</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546</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546</v>
      </c>
      <c r="G28" s="66"/>
      <c r="H28" s="50" t="str">
        <f>IF($B28="","",IF($J28="X",B28,CONCATENATE(VLOOKUP(B28,Competitors!$A$2:$I$650,3,FALSE)," ",VLOOKUP(B28,Competitors!$A$2:$I$650,2,FALSE))))</f>
        <v>Nik Kershaw</v>
      </c>
      <c r="I28" s="51">
        <f t="shared" si="1"/>
        <v>1.804398148148148E-2</v>
      </c>
      <c r="J28" t="str">
        <f t="shared" si="2"/>
        <v/>
      </c>
    </row>
    <row r="29" spans="1:10" ht="15">
      <c r="A29" s="46" t="s">
        <v>511</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546</v>
      </c>
      <c r="G30" s="66" t="s">
        <v>559</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702</v>
      </c>
      <c r="B34" s="47" t="str">
        <f>IF(A34="","",_xlfn.XLOOKUP(A34,ClubNames,ClubNumbers,_xlfn.XLOOKUP(A34,RoundRobinRiderNames,RoundRobinRiderDecoratedNames,A34)))</f>
        <v>Paul Akroyd (VTTA E.Mids)</v>
      </c>
      <c r="C34" s="48"/>
      <c r="D34" s="49">
        <v>27</v>
      </c>
      <c r="E34" s="49">
        <v>2</v>
      </c>
      <c r="F34" s="49" t="s">
        <v>546</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555</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555</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546</v>
      </c>
      <c r="G37" s="66" t="s">
        <v>555</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546</v>
      </c>
      <c r="G38" s="66" t="s">
        <v>555</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546</v>
      </c>
      <c r="G39" s="66" t="s">
        <v>555</v>
      </c>
      <c r="H39" s="50" t="str">
        <f>IF($B39="","",IF($J39="X",B39,CONCATENATE(VLOOKUP(B39,Competitors!$A$2:$I$650,3,FALSE)," ",VLOOKUP(B39,Competitors!$A$2:$I$650,2,FALSE))))</f>
        <v>Charlie Hardwicke</v>
      </c>
      <c r="I39" s="51">
        <f t="shared" si="1"/>
        <v>0</v>
      </c>
      <c r="J39" t="str">
        <f t="shared" si="2"/>
        <v/>
      </c>
    </row>
    <row r="40" spans="1:10" ht="15">
      <c r="A40" s="46" t="s">
        <v>572</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529</v>
      </c>
      <c r="B45" s="47" t="str">
        <f t="shared" si="3"/>
        <v>Phil Wilkinson (RFW)</v>
      </c>
      <c r="C45" s="48"/>
      <c r="D45" s="49"/>
      <c r="E45" s="49"/>
      <c r="F45" s="49"/>
      <c r="G45" s="49" t="s">
        <v>555</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629</v>
      </c>
      <c r="B48" s="47">
        <f t="shared" si="3"/>
        <v>1416</v>
      </c>
      <c r="C48" s="48"/>
      <c r="D48" s="49">
        <v>24</v>
      </c>
      <c r="E48" s="49">
        <v>18</v>
      </c>
      <c r="F48" s="49" t="s">
        <v>546</v>
      </c>
      <c r="G48" s="49"/>
      <c r="H48" s="50" t="str">
        <f>IF($B48="","",IF($J48="X",B48,CONCATENATE(VLOOKUP(B48,Competitors!$A$2:$I$650,3,FALSE)," ",VLOOKUP(B48,Competitors!$A$2:$I$650,2,FALSE))))</f>
        <v>Henry Bellamy</v>
      </c>
      <c r="I48" s="51">
        <f t="shared" si="1"/>
        <v>1.6875000000000001E-2</v>
      </c>
      <c r="J48" t="str">
        <f t="shared" si="2"/>
        <v/>
      </c>
    </row>
    <row r="49" spans="1:10" ht="15">
      <c r="A49" s="46" t="s">
        <v>501</v>
      </c>
      <c r="B49" s="47" t="str">
        <f t="shared" si="3"/>
        <v>Alex Whitmore (Ratae)</v>
      </c>
      <c r="C49" s="48"/>
      <c r="D49" s="49">
        <v>22</v>
      </c>
      <c r="E49" s="49">
        <v>44</v>
      </c>
      <c r="F49" s="49" t="s">
        <v>546</v>
      </c>
      <c r="G49" s="49"/>
      <c r="H49" s="50" t="str">
        <f>IF($B49="","",IF($J49="X",B49,CONCATENATE(VLOOKUP(B49,Competitors!$A$2:$I$650,3,FALSE)," ",VLOOKUP(B49,Competitors!$A$2:$I$650,2,FALSE))))</f>
        <v>Alex Whitmore (Ratae)</v>
      </c>
      <c r="I49" s="51">
        <f t="shared" si="1"/>
        <v>1.5787037037037037E-2</v>
      </c>
      <c r="J49" t="str">
        <f t="shared" si="2"/>
        <v>X</v>
      </c>
    </row>
    <row r="50" spans="1:10" ht="15">
      <c r="A50" s="46" t="s">
        <v>630</v>
      </c>
      <c r="B50" s="47" t="s">
        <v>630</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546</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Event_14</v>
      </c>
    </row>
    <row r="104" spans="1:10">
      <c r="B104" t="s">
        <v>554</v>
      </c>
      <c r="C104" t="str">
        <f ca="1">_xlfn.XLOOKUP(C103,Calendar!O:O,Calendar!H:H,"Event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581</v>
      </c>
      <c r="B2" s="47" t="str">
        <f t="shared" ref="B2:B32" si="0">IF(A2="","",_xlfn.XLOOKUP(A2,ClubNames,ClubNumbers,_xlfn.XLOOKUP(A2,RoundRobinRiderNames,RoundRobinRiderDecoratedNames,A2)))</f>
        <v>Geoff Stanbridge (Ratae)</v>
      </c>
      <c r="C2" s="48"/>
      <c r="D2" s="49">
        <v>40</v>
      </c>
      <c r="E2" s="49">
        <v>37</v>
      </c>
      <c r="F2" s="49" t="s">
        <v>546</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546</v>
      </c>
      <c r="G3" s="49"/>
      <c r="H3" s="50" t="str">
        <f>IF($B3="","",IF($J3="X",B3,CONCATENATE(VLOOKUP(B3,Competitors!$A$2:$I$650,3,FALSE)," ",VLOOKUP(B3,Competitors!$A$2:$I$650,2,FALSE))))</f>
        <v>Mea Moore</v>
      </c>
      <c r="I3" s="51">
        <f t="shared" si="1"/>
        <v>2.0208333333333332E-2</v>
      </c>
      <c r="J3" t="str">
        <f t="shared" si="2"/>
        <v/>
      </c>
    </row>
    <row r="4" spans="1:10" ht="15">
      <c r="A4" s="46" t="s">
        <v>626</v>
      </c>
      <c r="B4" s="47">
        <f t="shared" si="0"/>
        <v>990</v>
      </c>
      <c r="C4" s="48"/>
      <c r="D4" s="49">
        <v>32</v>
      </c>
      <c r="E4" s="49">
        <v>57</v>
      </c>
      <c r="F4" s="49" t="s">
        <v>546</v>
      </c>
      <c r="G4" s="49"/>
      <c r="H4" s="50" t="str">
        <f>IF($B4="","",IF($J4="X",B4,CONCATENATE(VLOOKUP(B4,Competitors!$A$2:$I$650,3,FALSE)," ",VLOOKUP(B4,Competitors!$A$2:$I$650,2,FALSE))))</f>
        <v>Jen Hulme</v>
      </c>
      <c r="I4" s="51">
        <f t="shared" si="1"/>
        <v>2.2881944444444444E-2</v>
      </c>
      <c r="J4" t="str">
        <f t="shared" si="2"/>
        <v/>
      </c>
    </row>
    <row r="5" spans="1:10" ht="15">
      <c r="A5" s="46" t="s">
        <v>627</v>
      </c>
      <c r="B5" s="47" t="str">
        <f t="shared" si="0"/>
        <v>Michael Wheeler (KCC)</v>
      </c>
      <c r="C5" s="48"/>
      <c r="D5" s="49"/>
      <c r="E5" s="49"/>
      <c r="F5" s="49" t="s">
        <v>546</v>
      </c>
      <c r="G5" s="49" t="s">
        <v>555</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546</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546</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546</v>
      </c>
      <c r="G9" s="49"/>
      <c r="H9" s="50" t="str">
        <f>IF($B9="","",IF($J9="X",B9,CONCATENATE(VLOOKUP(B9,Competitors!$A$2:$I$650,3,FALSE)," ",VLOOKUP(B9,Competitors!$A$2:$I$650,2,FALSE))))</f>
        <v>Michaela Latham</v>
      </c>
      <c r="I9" s="51">
        <f t="shared" si="1"/>
        <v>2.0486111111111111E-2</v>
      </c>
      <c r="J9" t="str">
        <f t="shared" si="2"/>
        <v/>
      </c>
    </row>
    <row r="10" spans="1:10" ht="15">
      <c r="A10" s="46" t="s">
        <v>589</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525</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546</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546</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702</v>
      </c>
      <c r="B17" s="47" t="str">
        <f t="shared" si="0"/>
        <v>Paul Akroyd (VTTA E.Mids)</v>
      </c>
      <c r="C17" s="48"/>
      <c r="D17" s="49">
        <v>27</v>
      </c>
      <c r="E17" s="49">
        <v>25</v>
      </c>
      <c r="F17" s="49" t="s">
        <v>546</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546</v>
      </c>
      <c r="G18" s="49"/>
      <c r="H18" s="50" t="str">
        <f>IF($B18="","",IF($J18="X",B18,CONCATENATE(VLOOKUP(B18,Competitors!$A$2:$I$650,3,FALSE)," ",VLOOKUP(B18,Competitors!$A$2:$I$650,2,FALSE))))</f>
        <v>Richard Hardwicke</v>
      </c>
      <c r="I18" s="51">
        <f t="shared" si="1"/>
        <v>1.9953703703703703E-2</v>
      </c>
      <c r="J18" t="str">
        <f t="shared" si="2"/>
        <v/>
      </c>
    </row>
    <row r="19" spans="1:10" ht="15">
      <c r="A19" s="46" t="s">
        <v>628</v>
      </c>
      <c r="B19" s="47" t="str">
        <f t="shared" si="0"/>
        <v>Ian Bird (KCC)</v>
      </c>
      <c r="C19" s="48"/>
      <c r="D19" s="49">
        <v>28</v>
      </c>
      <c r="E19" s="49">
        <v>59</v>
      </c>
      <c r="F19" s="49" t="s">
        <v>546</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503</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511</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514</v>
      </c>
      <c r="B23" s="47" t="str">
        <f t="shared" si="0"/>
        <v>Paul Eden (Ratae)</v>
      </c>
      <c r="C23" s="48"/>
      <c r="D23" s="49">
        <v>32</v>
      </c>
      <c r="E23" s="49">
        <v>7</v>
      </c>
      <c r="F23" s="49" t="s">
        <v>546</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546</v>
      </c>
      <c r="G25" s="49"/>
      <c r="H25" s="50" t="str">
        <f>IF($B25="","",IF($J25="X",B25,CONCATENATE(VLOOKUP(B25,Competitors!$A$2:$I$650,3,FALSE)," ",VLOOKUP(B25,Competitors!$A$2:$I$650,2,FALSE))))</f>
        <v>John Abbott</v>
      </c>
      <c r="I25" s="51">
        <f t="shared" si="1"/>
        <v>1.8240740740740741E-2</v>
      </c>
      <c r="J25" t="str">
        <f t="shared" si="2"/>
        <v/>
      </c>
    </row>
    <row r="26" spans="1:10" ht="15">
      <c r="A26" s="46" t="s">
        <v>596</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579</v>
      </c>
      <c r="B28" s="47">
        <f t="shared" si="0"/>
        <v>741</v>
      </c>
      <c r="C28" s="48"/>
      <c r="D28" s="49">
        <v>24</v>
      </c>
      <c r="E28" s="49">
        <v>24</v>
      </c>
      <c r="F28" s="49" t="s">
        <v>546</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519</v>
      </c>
      <c r="B30" s="47" t="str">
        <f t="shared" si="0"/>
        <v>Chris Fowler (RFW)</v>
      </c>
      <c r="C30" s="48"/>
      <c r="D30" s="49">
        <v>23</v>
      </c>
      <c r="E30" s="49">
        <v>20</v>
      </c>
      <c r="F30" s="49" t="s">
        <v>546</v>
      </c>
      <c r="G30" s="49"/>
      <c r="H30" s="50" t="str">
        <f>IF($B30="","",IF($J30="X",B30,CONCATENATE(VLOOKUP(B30,Competitors!$A$2:$I$650,3,FALSE)," ",VLOOKUP(B30,Competitors!$A$2:$I$650,2,FALSE))))</f>
        <v>Chris Fowler (RFW)</v>
      </c>
      <c r="I30" s="51">
        <f t="shared" si="1"/>
        <v>1.6203703703703703E-2</v>
      </c>
      <c r="J30" t="str">
        <f t="shared" si="2"/>
        <v>X</v>
      </c>
    </row>
    <row r="31" spans="1:10" ht="15">
      <c r="A31" s="46" t="s">
        <v>529</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Event_15</v>
      </c>
    </row>
    <row r="104" spans="1:10">
      <c r="B104" t="s">
        <v>554</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537</v>
      </c>
      <c r="B1" s="40" t="s">
        <v>538</v>
      </c>
      <c r="C1" s="41" t="s">
        <v>539</v>
      </c>
      <c r="D1" s="42" t="s">
        <v>540</v>
      </c>
      <c r="E1" s="43" t="s">
        <v>541</v>
      </c>
      <c r="F1" s="44" t="s">
        <v>542</v>
      </c>
      <c r="G1" s="44" t="s">
        <v>543</v>
      </c>
      <c r="H1" s="39" t="s">
        <v>462</v>
      </c>
      <c r="I1" s="45" t="s">
        <v>544</v>
      </c>
      <c r="J1" t="s">
        <v>545</v>
      </c>
    </row>
    <row r="2" spans="1:11" ht="15">
      <c r="A2" s="46" t="s">
        <v>460</v>
      </c>
      <c r="B2" s="47">
        <f t="shared" ref="B2:B45" si="0">IF(A2="","",_xlfn.XLOOKUP(A2,ClubNames,ClubNumbers,_xlfn.XLOOKUP(A2,RoundRobinRiderNames,RoundRobinRiderDecoratedNames,A2)))</f>
        <v>742</v>
      </c>
      <c r="C2" s="48"/>
      <c r="D2" s="49">
        <v>33</v>
      </c>
      <c r="E2" s="49">
        <v>53</v>
      </c>
      <c r="F2" s="49" t="s">
        <v>546</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546</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546</v>
      </c>
      <c r="G4" s="49"/>
      <c r="H4" s="50" t="str">
        <f>IF($B4="","",IF($J4="X",B4,CONCATENATE(VLOOKUP(B4,Competitors!$A$2:$I$650,3,FALSE)," ",VLOOKUP(B4,Competitors!$A$2:$I$650,2,FALSE))))</f>
        <v>Andy King (KCC)</v>
      </c>
      <c r="I4" s="51">
        <f t="shared" si="1"/>
        <v>1.7962962962962962E-2</v>
      </c>
      <c r="J4" t="str">
        <f t="shared" si="2"/>
        <v>X</v>
      </c>
      <c r="K4">
        <v>3</v>
      </c>
    </row>
    <row r="5" spans="1:11" ht="15">
      <c r="A5" s="46" t="s">
        <v>636</v>
      </c>
      <c r="B5" s="47" t="str">
        <f t="shared" si="0"/>
        <v>Ethan Mitchell-Clarke (Team Bottrill Nopinz) (RFW)</v>
      </c>
      <c r="C5" s="48"/>
      <c r="D5" s="49">
        <v>27</v>
      </c>
      <c r="E5" s="49">
        <v>59</v>
      </c>
      <c r="F5" s="49" t="s">
        <v>546</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517</v>
      </c>
      <c r="B6" s="47" t="str">
        <f t="shared" si="0"/>
        <v>Adam Wells (RFW)</v>
      </c>
      <c r="C6" s="48"/>
      <c r="D6" s="49">
        <v>26</v>
      </c>
      <c r="E6" s="49">
        <v>8</v>
      </c>
      <c r="F6" s="49" t="s">
        <v>546</v>
      </c>
      <c r="G6" s="49"/>
      <c r="H6" s="50" t="str">
        <f>IF($B6="","",IF($J6="X",B6,CONCATENATE(VLOOKUP(B6,Competitors!$A$2:$I$650,3,FALSE)," ",VLOOKUP(B6,Competitors!$A$2:$I$650,2,FALSE))))</f>
        <v>Adam Wells (RFW)</v>
      </c>
      <c r="I6" s="51">
        <f t="shared" si="1"/>
        <v>1.8148148148148149E-2</v>
      </c>
      <c r="J6" t="str">
        <f t="shared" si="2"/>
        <v>X</v>
      </c>
      <c r="K6">
        <v>5</v>
      </c>
    </row>
    <row r="7" spans="1:11" ht="15">
      <c r="A7" s="46" t="s">
        <v>583</v>
      </c>
      <c r="B7" s="47">
        <f t="shared" si="0"/>
        <v>1370</v>
      </c>
      <c r="C7" s="48"/>
      <c r="D7" s="49">
        <v>26</v>
      </c>
      <c r="E7" s="49">
        <v>19</v>
      </c>
      <c r="F7" s="49" t="s">
        <v>546</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639</v>
      </c>
      <c r="B9" s="47">
        <f t="shared" si="0"/>
        <v>1415</v>
      </c>
      <c r="C9" s="48"/>
      <c r="D9" s="49">
        <v>31</v>
      </c>
      <c r="E9" s="49">
        <v>22</v>
      </c>
      <c r="F9" s="49" t="s">
        <v>546</v>
      </c>
      <c r="G9" s="49"/>
      <c r="H9" s="50" t="str">
        <f>IF($B9="","",IF($J9="X",B9,CONCATENATE(VLOOKUP(B9,Competitors!$A$2:$I$650,3,FALSE)," ",VLOOKUP(B9,Competitors!$A$2:$I$650,2,FALSE))))</f>
        <v>James Aldridge</v>
      </c>
      <c r="I9" s="51">
        <f t="shared" si="1"/>
        <v>2.1782407407407407E-2</v>
      </c>
      <c r="J9" t="str">
        <f t="shared" si="2"/>
        <v/>
      </c>
      <c r="K9">
        <v>8</v>
      </c>
    </row>
    <row r="10" spans="1:11" ht="15">
      <c r="A10" s="46" t="s">
        <v>579</v>
      </c>
      <c r="B10" s="47">
        <f t="shared" si="0"/>
        <v>741</v>
      </c>
      <c r="C10" s="48"/>
      <c r="D10" s="49">
        <v>24</v>
      </c>
      <c r="E10" s="49">
        <v>54</v>
      </c>
      <c r="F10" s="49" t="s">
        <v>546</v>
      </c>
      <c r="G10" s="49"/>
      <c r="H10" s="50" t="str">
        <f>IF($B10="","",IF($J10="X",B10,CONCATENATE(VLOOKUP(B10,Competitors!$A$2:$I$650,3,FALSE)," ",VLOOKUP(B10,Competitors!$A$2:$I$650,2,FALSE))))</f>
        <v>Rob Moore</v>
      </c>
      <c r="I10" s="51">
        <f t="shared" si="1"/>
        <v>1.7291666666666667E-2</v>
      </c>
      <c r="J10" t="str">
        <f t="shared" si="2"/>
        <v/>
      </c>
      <c r="K10">
        <v>9</v>
      </c>
    </row>
    <row r="11" spans="1:11" ht="15">
      <c r="A11" s="46" t="s">
        <v>525</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546</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521</v>
      </c>
      <c r="B14" s="47" t="str">
        <f t="shared" si="0"/>
        <v>David Hill (RFW)</v>
      </c>
      <c r="C14" s="48"/>
      <c r="D14" s="49">
        <v>28</v>
      </c>
      <c r="E14" s="49">
        <v>46</v>
      </c>
      <c r="F14" s="49" t="s">
        <v>546</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514</v>
      </c>
      <c r="B15" s="47" t="str">
        <f t="shared" si="0"/>
        <v>Paul Eden (Ratae)</v>
      </c>
      <c r="C15" s="48"/>
      <c r="D15" s="49">
        <v>32</v>
      </c>
      <c r="E15" s="49">
        <v>30</v>
      </c>
      <c r="F15" s="49" t="s">
        <v>546</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590</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546</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503</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546</v>
      </c>
      <c r="G20" s="49"/>
      <c r="H20" s="50" t="str">
        <f>IF($B20="","",IF($J20="X",B20,CONCATENATE(VLOOKUP(B20,Competitors!$A$2:$I$650,3,FALSE)," ",VLOOKUP(B20,Competitors!$A$2:$I$650,2,FALSE))))</f>
        <v>Nik Kershaw</v>
      </c>
      <c r="I20" s="51">
        <f t="shared" si="1"/>
        <v>1.8553240740740742E-2</v>
      </c>
      <c r="J20" t="str">
        <f t="shared" si="2"/>
        <v/>
      </c>
      <c r="K20">
        <v>19</v>
      </c>
    </row>
    <row r="21" spans="1:11" ht="15">
      <c r="A21" s="46" t="s">
        <v>594</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546</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546</v>
      </c>
      <c r="G23" s="49"/>
      <c r="H23" s="50" t="str">
        <f>IF($B23="","",IF($J23="X",B23,CONCATENATE(VLOOKUP(B23,Competitors!$A$2:$I$650,3,FALSE)," ",VLOOKUP(B23,Competitors!$A$2:$I$650,2,FALSE))))</f>
        <v>Milly Pinnock</v>
      </c>
      <c r="I23" s="51">
        <f t="shared" si="1"/>
        <v>1.954861111111111E-2</v>
      </c>
      <c r="J23" t="str">
        <f t="shared" si="2"/>
        <v/>
      </c>
      <c r="K23">
        <v>22</v>
      </c>
    </row>
    <row r="24" spans="1:11" ht="15">
      <c r="A24" s="46" t="s">
        <v>638</v>
      </c>
      <c r="B24" s="47">
        <f t="shared" si="0"/>
        <v>567</v>
      </c>
      <c r="C24" s="48"/>
      <c r="D24" s="49">
        <v>28</v>
      </c>
      <c r="E24" s="49">
        <v>41</v>
      </c>
      <c r="F24" s="49" t="s">
        <v>546</v>
      </c>
      <c r="G24" s="49"/>
      <c r="H24" s="50" t="str">
        <f>IF($B24="","",IF($J24="X",B24,CONCATENATE(VLOOKUP(B24,Competitors!$A$2:$I$650,3,FALSE)," ",VLOOKUP(B24,Competitors!$A$2:$I$650,2,FALSE))))</f>
        <v>Lawrence Cox</v>
      </c>
      <c r="I24" s="51">
        <f t="shared" si="1"/>
        <v>1.9918981481481482E-2</v>
      </c>
      <c r="J24" t="str">
        <f t="shared" si="2"/>
        <v/>
      </c>
      <c r="K24">
        <v>23</v>
      </c>
    </row>
    <row r="25" spans="1:11" ht="15">
      <c r="A25" s="46" t="s">
        <v>624</v>
      </c>
      <c r="B25" s="47">
        <f t="shared" si="0"/>
        <v>1391</v>
      </c>
      <c r="C25" s="48"/>
      <c r="D25" s="49">
        <v>25</v>
      </c>
      <c r="E25" s="49">
        <v>59</v>
      </c>
      <c r="F25" s="49" t="s">
        <v>546</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516</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546</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546</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546</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596</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637</v>
      </c>
      <c r="B32" s="47" t="str">
        <f t="shared" si="0"/>
        <v>Pete Bradshaw (RFW)</v>
      </c>
      <c r="C32" s="48"/>
      <c r="D32" s="49">
        <v>25</v>
      </c>
      <c r="E32" s="49">
        <v>7</v>
      </c>
      <c r="F32" s="49" t="s">
        <v>546</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546</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511</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526</v>
      </c>
      <c r="B35" s="47" t="str">
        <f t="shared" si="0"/>
        <v>Michael Carter (RFW)</v>
      </c>
      <c r="C35" s="48"/>
      <c r="D35" s="49">
        <v>26</v>
      </c>
      <c r="E35" s="49">
        <v>33</v>
      </c>
      <c r="F35" s="49" t="s">
        <v>546</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593</v>
      </c>
      <c r="B37" s="47" t="str">
        <f t="shared" si="0"/>
        <v>Alex Barrowman (RFW)</v>
      </c>
      <c r="C37" s="48"/>
      <c r="D37" s="49">
        <v>24</v>
      </c>
      <c r="E37" s="49">
        <v>25</v>
      </c>
      <c r="F37" s="49" t="s">
        <v>546</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519</v>
      </c>
      <c r="B40" s="47" t="str">
        <f t="shared" si="0"/>
        <v>Chris Fowler (RFW)</v>
      </c>
      <c r="C40" s="48"/>
      <c r="D40" s="49">
        <v>24</v>
      </c>
      <c r="E40" s="49">
        <v>32</v>
      </c>
      <c r="F40" s="49" t="s">
        <v>546</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597</v>
      </c>
      <c r="B42" s="47">
        <f t="shared" si="0"/>
        <v>1390</v>
      </c>
      <c r="C42" s="48"/>
      <c r="D42" s="49">
        <v>26</v>
      </c>
      <c r="E42" s="49">
        <v>8</v>
      </c>
      <c r="F42" s="49" t="s">
        <v>546</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501</v>
      </c>
      <c r="B43" s="47" t="str">
        <f t="shared" si="0"/>
        <v>Alex Whitmore (Ratae)</v>
      </c>
      <c r="C43" s="48"/>
      <c r="D43" s="49">
        <v>23</v>
      </c>
      <c r="E43" s="49">
        <v>45</v>
      </c>
      <c r="F43" s="49" t="s">
        <v>546</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577</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Event_16</v>
      </c>
    </row>
    <row r="104" spans="1:10">
      <c r="B104" t="s">
        <v>554</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640</v>
      </c>
      <c r="B2" s="47" t="str">
        <f t="shared" ref="B2:B33" si="0">IF(A2="","",_xlfn.XLOOKUP(A2,ClubNames,ClubNumbers,_xlfn.XLOOKUP(A2,RoundRobinRiderNames,RoundRobinRiderDecoratedNames,A2)))</f>
        <v>Jeff Jones (LFCC)</v>
      </c>
      <c r="C2" s="47" t="s">
        <v>666</v>
      </c>
      <c r="D2" s="48"/>
      <c r="E2" s="49"/>
      <c r="F2" s="49"/>
      <c r="G2" s="49"/>
      <c r="H2" s="49" t="s">
        <v>559</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641</v>
      </c>
      <c r="B3" s="47" t="str">
        <f t="shared" si="0"/>
        <v>Joshua Jones (LFCC)</v>
      </c>
      <c r="C3" s="47" t="s">
        <v>667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642</v>
      </c>
      <c r="B4" s="47" t="str">
        <f t="shared" si="0"/>
        <v>Simon Jones (LFCC)</v>
      </c>
      <c r="C4" s="47" t="s">
        <v>668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626</v>
      </c>
      <c r="B5" s="47">
        <f t="shared" si="0"/>
        <v>990</v>
      </c>
      <c r="C5" s="47" t="s">
        <v>669</v>
      </c>
      <c r="D5" s="48"/>
      <c r="E5" s="49">
        <v>20</v>
      </c>
      <c r="F5" s="49">
        <v>15</v>
      </c>
      <c r="G5" s="49" t="s">
        <v>546</v>
      </c>
      <c r="H5" s="49"/>
      <c r="I5" s="50" t="str">
        <f>IF($B5="","",IF($K5="X",B5,CONCATENATE(VLOOKUP(B5,Competitors!$A$2:$I$650,3,FALSE)," ",VLOOKUP(B5,Competitors!$A$2:$I$650,2,FALSE))))</f>
        <v>Jen Hulme</v>
      </c>
      <c r="J5" s="51">
        <f t="shared" si="1"/>
        <v>1.40625E-2</v>
      </c>
      <c r="K5" t="str">
        <f t="shared" si="2"/>
        <v/>
      </c>
    </row>
    <row r="6" spans="1:11" ht="15">
      <c r="A6" s="46" t="s">
        <v>488</v>
      </c>
      <c r="B6" s="47" t="str">
        <f t="shared" si="0"/>
        <v>Matt Finch (LFCC)</v>
      </c>
      <c r="C6" s="47" t="s">
        <v>670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701</v>
      </c>
      <c r="B7" s="47" t="str">
        <f t="shared" si="0"/>
        <v>Laura Ayres (MOCC)</v>
      </c>
      <c r="C7" s="47" t="s">
        <v>671</v>
      </c>
      <c r="D7" s="48"/>
      <c r="E7" s="49">
        <v>17</v>
      </c>
      <c r="F7" s="49">
        <v>46</v>
      </c>
      <c r="G7" s="49" t="s">
        <v>546</v>
      </c>
      <c r="H7" s="49"/>
      <c r="I7" s="50" t="str">
        <f>IF($B7="","",IF($K7="X",B7,CONCATENATE(VLOOKUP(B7,Competitors!$A$2:$I$650,3,FALSE)," ",VLOOKUP(B7,Competitors!$A$2:$I$650,2,FALSE))))</f>
        <v>Laura Ayres (MOCC)</v>
      </c>
      <c r="J7" s="51">
        <f t="shared" si="1"/>
        <v>1.2337962962962964E-2</v>
      </c>
      <c r="K7" t="str">
        <f t="shared" si="2"/>
        <v>X</v>
      </c>
    </row>
    <row r="8" spans="1:11" ht="15">
      <c r="A8" s="46" t="s">
        <v>643</v>
      </c>
      <c r="B8" s="47" t="str">
        <f t="shared" si="0"/>
        <v>Sue Bonsor (Ratae)</v>
      </c>
      <c r="C8" s="47" t="s">
        <v>672</v>
      </c>
      <c r="D8" s="48"/>
      <c r="E8" s="49">
        <v>21</v>
      </c>
      <c r="F8" s="49">
        <v>6</v>
      </c>
      <c r="G8" s="49" t="s">
        <v>546</v>
      </c>
      <c r="H8" s="49"/>
      <c r="I8" s="50" t="str">
        <f>IF($B8="","",IF($K8="X",B8,CONCATENATE(VLOOKUP(B8,Competitors!$A$2:$I$650,3,FALSE)," ",VLOOKUP(B8,Competitors!$A$2:$I$650,2,FALSE))))</f>
        <v>Sue Bonsor (Ratae)</v>
      </c>
      <c r="J8" s="51">
        <f t="shared" si="1"/>
        <v>1.4652777777777778E-2</v>
      </c>
      <c r="K8" t="str">
        <f t="shared" si="2"/>
        <v>X</v>
      </c>
    </row>
    <row r="9" spans="1:11" ht="15">
      <c r="A9" s="46" t="s">
        <v>503</v>
      </c>
      <c r="B9" s="47" t="str">
        <f t="shared" si="0"/>
        <v>Chris Bonsor (Ratae)</v>
      </c>
      <c r="C9" s="47" t="s">
        <v>673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580</v>
      </c>
      <c r="B10" s="47">
        <f t="shared" si="0"/>
        <v>1048</v>
      </c>
      <c r="C10" s="47" t="s">
        <v>674</v>
      </c>
      <c r="D10" s="48"/>
      <c r="E10" s="49">
        <v>18</v>
      </c>
      <c r="F10" s="49">
        <v>40</v>
      </c>
      <c r="G10" s="49" t="s">
        <v>546</v>
      </c>
      <c r="H10" s="49"/>
      <c r="I10" s="50" t="str">
        <f>IF($B10="","",IF($K10="X",B10,CONCATENATE(VLOOKUP(B10,Competitors!$A$2:$I$650,3,FALSE)," ",VLOOKUP(B10,Competitors!$A$2:$I$650,2,FALSE))))</f>
        <v>Andy Smith</v>
      </c>
      <c r="J10" s="51">
        <f t="shared" si="1"/>
        <v>1.2962962962962963E-2</v>
      </c>
      <c r="K10" t="str">
        <f t="shared" si="2"/>
        <v/>
      </c>
    </row>
    <row r="11" spans="1:11" ht="15">
      <c r="A11" s="46" t="s">
        <v>502</v>
      </c>
      <c r="B11" s="47" t="str">
        <f t="shared" si="0"/>
        <v>Brian Lincoln (Ratae)</v>
      </c>
      <c r="C11" s="47" t="s">
        <v>675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516</v>
      </c>
      <c r="B12" s="47" t="str">
        <f t="shared" si="0"/>
        <v>Steve Pearce (Ratae)</v>
      </c>
      <c r="C12" s="47" t="s">
        <v>676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512</v>
      </c>
      <c r="B13" s="47" t="str">
        <f t="shared" si="0"/>
        <v>Marshall Briggs (Ratae)</v>
      </c>
      <c r="C13" s="47" t="s">
        <v>677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509</v>
      </c>
      <c r="B14" s="47" t="str">
        <f t="shared" si="0"/>
        <v>Lucy Sturgess (Ratae)</v>
      </c>
      <c r="C14" s="47" t="s">
        <v>678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644</v>
      </c>
      <c r="B15" s="47" t="str">
        <f t="shared" si="0"/>
        <v>Shareeq S. Shaikh (BOB CC)</v>
      </c>
      <c r="C15" s="47" t="s">
        <v>679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645</v>
      </c>
      <c r="B16" s="47" t="str">
        <f t="shared" si="0"/>
        <v>Marc Fairclough (Beeston RC)</v>
      </c>
      <c r="C16" s="47" t="s">
        <v>680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647</v>
      </c>
      <c r="B17" s="47" t="str">
        <f t="shared" si="0"/>
        <v>Umair Nurgat (Gapped RT)</v>
      </c>
      <c r="C17" s="47" t="s">
        <v>681</v>
      </c>
      <c r="D17" s="48"/>
      <c r="E17" s="49">
        <v>16</v>
      </c>
      <c r="F17" s="49">
        <v>34</v>
      </c>
      <c r="G17" s="49" t="s">
        <v>546</v>
      </c>
      <c r="H17" s="49"/>
      <c r="I17" s="50" t="str">
        <f>IF($B17="","",IF($K17="X",B17,CONCATENATE(VLOOKUP(B17,Competitors!$A$2:$I$650,3,FALSE)," ",VLOOKUP(B17,Competitors!$A$2:$I$650,2,FALSE))))</f>
        <v>Umair Nurgat (Gapped RT)</v>
      </c>
      <c r="J17" s="51">
        <f t="shared" si="1"/>
        <v>1.150462962962963E-2</v>
      </c>
      <c r="K17" t="str">
        <f t="shared" si="2"/>
        <v>X</v>
      </c>
    </row>
    <row r="18" spans="1:11" ht="15">
      <c r="A18" s="46" t="s">
        <v>649</v>
      </c>
      <c r="B18" s="47" t="str">
        <f t="shared" si="0"/>
        <v>James Dexter (Coalville Wheelers)</v>
      </c>
      <c r="C18" s="47" t="s">
        <v>682</v>
      </c>
      <c r="D18" s="48"/>
      <c r="E18" s="49">
        <v>15</v>
      </c>
      <c r="F18" s="49">
        <v>26</v>
      </c>
      <c r="G18" s="49" t="s">
        <v>546</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650</v>
      </c>
      <c r="B19" s="47" t="str">
        <f t="shared" si="0"/>
        <v>Muhammad Sheikh (Gapped RT)</v>
      </c>
      <c r="C19" s="47" t="s">
        <v>683</v>
      </c>
      <c r="D19" s="48"/>
      <c r="E19" s="49">
        <v>17</v>
      </c>
      <c r="F19" s="49">
        <v>45</v>
      </c>
      <c r="G19" s="49" t="s">
        <v>546</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508</v>
      </c>
      <c r="B20" s="47" t="str">
        <f t="shared" si="0"/>
        <v>Lesley Allden (Ratae)</v>
      </c>
      <c r="C20" s="47" t="s">
        <v>684</v>
      </c>
      <c r="D20" s="48"/>
      <c r="E20" s="49">
        <v>21</v>
      </c>
      <c r="F20" s="49">
        <v>2</v>
      </c>
      <c r="G20" s="49" t="s">
        <v>546</v>
      </c>
      <c r="H20" s="49"/>
      <c r="I20" s="50" t="str">
        <f>IF($B20="","",IF($K20="X",B20,CONCATENATE(VLOOKUP(B20,Competitors!$A$2:$I$650,3,FALSE)," ",VLOOKUP(B20,Competitors!$A$2:$I$650,2,FALSE))))</f>
        <v>Lesley Allden (Ratae)</v>
      </c>
      <c r="J20" s="51">
        <f t="shared" si="1"/>
        <v>1.4606481481481481E-2</v>
      </c>
      <c r="K20" t="str">
        <f t="shared" si="2"/>
        <v>X</v>
      </c>
    </row>
    <row r="21" spans="1:11" ht="15">
      <c r="A21" s="46" t="s">
        <v>651</v>
      </c>
      <c r="B21" s="47" t="str">
        <f t="shared" si="0"/>
        <v>Karl Williams (Ratae)</v>
      </c>
      <c r="C21" s="47" t="s">
        <v>685</v>
      </c>
      <c r="D21" s="48"/>
      <c r="E21" s="49">
        <v>17</v>
      </c>
      <c r="F21" s="49">
        <v>25</v>
      </c>
      <c r="G21" s="49" t="s">
        <v>546</v>
      </c>
      <c r="H21" s="49"/>
      <c r="I21" s="50" t="str">
        <f>IF($B21="","",IF($K21="X",B21,CONCATENATE(VLOOKUP(B21,Competitors!$A$2:$I$650,3,FALSE)," ",VLOOKUP(B21,Competitors!$A$2:$I$650,2,FALSE))))</f>
        <v>Karl Williams (Ratae)</v>
      </c>
      <c r="J21" s="51">
        <f t="shared" si="1"/>
        <v>1.2094907407407407E-2</v>
      </c>
      <c r="K21" t="str">
        <f t="shared" si="2"/>
        <v>X</v>
      </c>
    </row>
    <row r="22" spans="1:11" ht="15">
      <c r="A22" s="46" t="s">
        <v>494</v>
      </c>
      <c r="B22" s="47" t="str">
        <f t="shared" si="0"/>
        <v>Chris Booth (MOCC)</v>
      </c>
      <c r="C22" s="47" t="s">
        <v>686</v>
      </c>
      <c r="D22" s="48"/>
      <c r="E22" s="49">
        <v>15</v>
      </c>
      <c r="F22" s="49">
        <v>40</v>
      </c>
      <c r="G22" s="49" t="s">
        <v>546</v>
      </c>
      <c r="H22" s="49"/>
      <c r="I22" s="50" t="str">
        <f>IF($B22="","",IF($K22="X",B22,CONCATENATE(VLOOKUP(B22,Competitors!$A$2:$I$650,3,FALSE)," ",VLOOKUP(B22,Competitors!$A$2:$I$650,2,FALSE))))</f>
        <v>Chris Booth (MOCC)</v>
      </c>
      <c r="J22" s="51">
        <f t="shared" si="1"/>
        <v>1.087962962962963E-2</v>
      </c>
      <c r="K22" t="str">
        <f t="shared" si="2"/>
        <v>X</v>
      </c>
    </row>
    <row r="23" spans="1:11" ht="15">
      <c r="A23" s="46" t="s">
        <v>497</v>
      </c>
      <c r="B23" s="47" t="str">
        <f t="shared" si="0"/>
        <v>Jamie Haines (MOCC)</v>
      </c>
      <c r="C23" s="47" t="s">
        <v>687</v>
      </c>
      <c r="D23" s="48"/>
      <c r="E23" s="49">
        <v>14</v>
      </c>
      <c r="F23" s="49">
        <v>19</v>
      </c>
      <c r="G23" s="49" t="s">
        <v>546</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581</v>
      </c>
      <c r="B25" s="47" t="str">
        <f t="shared" si="0"/>
        <v>Geoff Stanbridge (Ratae)</v>
      </c>
      <c r="C25" s="47" t="s">
        <v>689</v>
      </c>
      <c r="D25" s="48"/>
      <c r="E25" s="49">
        <v>24</v>
      </c>
      <c r="F25" s="49">
        <v>33</v>
      </c>
      <c r="G25" s="49" t="s">
        <v>546</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652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653</v>
      </c>
      <c r="D27" s="48"/>
      <c r="E27" s="49">
        <v>15</v>
      </c>
      <c r="F27" s="49">
        <v>27</v>
      </c>
      <c r="G27" s="49" t="s">
        <v>546</v>
      </c>
      <c r="H27" s="49"/>
      <c r="I27" s="50" t="str">
        <f>IF($B27="","",IF($K27="X",B27,CONCATENATE(VLOOKUP(B27,Competitors!$A$2:$I$650,3,FALSE)," ",VLOOKUP(B27,Competitors!$A$2:$I$650,2,FALSE))))</f>
        <v>Aubrey Elmer</v>
      </c>
      <c r="J27" s="51">
        <f t="shared" si="1"/>
        <v>1.0729166666666666E-2</v>
      </c>
      <c r="K27" t="str">
        <f t="shared" si="2"/>
        <v/>
      </c>
    </row>
    <row r="28" spans="1:11" ht="15">
      <c r="A28" s="46" t="s">
        <v>696</v>
      </c>
      <c r="B28" s="47" t="str">
        <f t="shared" si="0"/>
        <v>Steve Walsh (LFCC)</v>
      </c>
      <c r="C28" s="47" t="s">
        <v>654</v>
      </c>
      <c r="D28" s="48"/>
      <c r="E28" s="49">
        <v>18</v>
      </c>
      <c r="F28" s="49">
        <v>22</v>
      </c>
      <c r="G28" s="49" t="s">
        <v>546</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656</v>
      </c>
      <c r="D30" s="48"/>
      <c r="E30" s="49">
        <v>18</v>
      </c>
      <c r="F30" s="49">
        <v>50</v>
      </c>
      <c r="G30" s="49" t="s">
        <v>546</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657</v>
      </c>
      <c r="D31" s="48"/>
      <c r="E31" s="49">
        <v>17</v>
      </c>
      <c r="F31" s="49">
        <v>27</v>
      </c>
      <c r="G31" s="49" t="s">
        <v>546</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658</v>
      </c>
      <c r="D32" s="48"/>
      <c r="E32" s="49">
        <v>16</v>
      </c>
      <c r="F32" s="49">
        <v>28</v>
      </c>
      <c r="G32" s="49" t="s">
        <v>546</v>
      </c>
      <c r="H32" s="49"/>
      <c r="I32" s="50" t="str">
        <f>IF($B32="","",IF($K32="X",B32,CONCATENATE(VLOOKUP(B32,Competitors!$A$2:$I$650,3,FALSE)," ",VLOOKUP(B32,Competitors!$A$2:$I$650,2,FALSE))))</f>
        <v>Charlie Hardwicke</v>
      </c>
      <c r="J32" s="51">
        <f t="shared" si="1"/>
        <v>1.1435185185185185E-2</v>
      </c>
      <c r="K32" t="str">
        <f t="shared" si="2"/>
        <v/>
      </c>
    </row>
    <row r="33" spans="1:11" ht="15">
      <c r="A33" s="46" t="s">
        <v>507</v>
      </c>
      <c r="B33" s="47" t="str">
        <f t="shared" si="0"/>
        <v>Jonathon Clarke (Ratae)</v>
      </c>
      <c r="C33" s="47" t="s">
        <v>659</v>
      </c>
      <c r="D33" s="48"/>
      <c r="E33" s="49">
        <v>17</v>
      </c>
      <c r="F33" s="49">
        <v>10</v>
      </c>
      <c r="G33" s="49" t="s">
        <v>546</v>
      </c>
      <c r="H33" s="49"/>
      <c r="I33" s="50" t="str">
        <f>IF($B33="","",IF($K33="X",B33,CONCATENATE(VLOOKUP(B33,Competitors!$A$2:$I$650,3,FALSE)," ",VLOOKUP(B33,Competitors!$A$2:$I$650,2,FALSE))))</f>
        <v>Jonathon Clarke (Ratae)</v>
      </c>
      <c r="J33" s="51">
        <f t="shared" si="1"/>
        <v>1.1921296296296296E-2</v>
      </c>
      <c r="K33" t="str">
        <f t="shared" si="2"/>
        <v>X</v>
      </c>
    </row>
    <row r="34" spans="1:11" ht="15">
      <c r="A34" s="46" t="s">
        <v>697</v>
      </c>
      <c r="B34" s="47" t="str">
        <f t="shared" ref="B34:B97" si="3">IF(A34="","",_xlfn.XLOOKUP(A34,ClubNames,ClubNumbers,_xlfn.XLOOKUP(A34,RoundRobinRiderNames,RoundRobinRiderDecoratedNames,A34)))</f>
        <v>Tom Swan (Speedhub)</v>
      </c>
      <c r="C34" s="47" t="s">
        <v>660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698</v>
      </c>
      <c r="B35" s="47" t="str">
        <f t="shared" si="3"/>
        <v>Tom Scott-Collins (Velo Elite)</v>
      </c>
      <c r="C35" s="47" t="s">
        <v>661</v>
      </c>
      <c r="D35" s="48"/>
      <c r="E35" s="49">
        <v>14</v>
      </c>
      <c r="F35" s="49">
        <v>43</v>
      </c>
      <c r="G35" s="49" t="s">
        <v>546</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595</v>
      </c>
      <c r="B36" s="47" t="str">
        <f t="shared" si="3"/>
        <v>Mohammed Nurgat (BOB CC)</v>
      </c>
      <c r="C36" s="47" t="s">
        <v>662</v>
      </c>
      <c r="D36" s="48"/>
      <c r="E36" s="49">
        <v>17</v>
      </c>
      <c r="F36" s="49">
        <v>22</v>
      </c>
      <c r="G36" s="49" t="s">
        <v>546</v>
      </c>
      <c r="H36" s="49"/>
      <c r="I36" s="50" t="str">
        <f>IF($B36="","",IF($K36="X",B36,CONCATENATE(VLOOKUP(B36,Competitors!$A$2:$I$650,3,FALSE)," ",VLOOKUP(B36,Competitors!$A$2:$I$650,2,FALSE))))</f>
        <v>Mohammed Nurgat (BOB CC)</v>
      </c>
      <c r="J36" s="51">
        <f t="shared" si="1"/>
        <v>1.2060185185185186E-2</v>
      </c>
      <c r="K36" t="str">
        <f t="shared" si="2"/>
        <v>X</v>
      </c>
    </row>
    <row r="37" spans="1:11" ht="15">
      <c r="A37" s="46" t="s">
        <v>700</v>
      </c>
      <c r="B37" s="47" t="str">
        <f t="shared" si="3"/>
        <v>Ali Nurgat (BOB CC)</v>
      </c>
      <c r="C37" s="47" t="s">
        <v>663</v>
      </c>
      <c r="D37" s="48"/>
      <c r="E37" s="49">
        <v>17</v>
      </c>
      <c r="F37" s="49">
        <v>26</v>
      </c>
      <c r="G37" s="49" t="s">
        <v>546</v>
      </c>
      <c r="H37" s="49"/>
      <c r="I37" s="50" t="str">
        <f>IF($B37="","",IF($K37="X",B37,CONCATENATE(VLOOKUP(B37,Competitors!$A$2:$I$650,3,FALSE)," ",VLOOKUP(B37,Competitors!$A$2:$I$650,2,FALSE))))</f>
        <v>Ali Nurgat (BOB CC)</v>
      </c>
      <c r="J37" s="51">
        <f t="shared" si="1"/>
        <v>1.2106481481481482E-2</v>
      </c>
      <c r="K37" t="str">
        <f t="shared" si="2"/>
        <v>X</v>
      </c>
    </row>
    <row r="38" spans="1:11" ht="15">
      <c r="A38" s="46" t="s">
        <v>501</v>
      </c>
      <c r="B38" s="47" t="str">
        <f t="shared" si="3"/>
        <v>Alex Whitmore (Ratae)</v>
      </c>
      <c r="C38" s="47" t="s">
        <v>690</v>
      </c>
      <c r="D38" s="48"/>
      <c r="E38" s="49">
        <v>14</v>
      </c>
      <c r="F38" s="49">
        <v>12</v>
      </c>
      <c r="G38" s="49" t="s">
        <v>546</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691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692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664</v>
      </c>
      <c r="B41" s="47" t="str">
        <f t="shared" si="3"/>
        <v>Brigitte Gaillard (Ratae)</v>
      </c>
      <c r="C41" s="47" t="s">
        <v>693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665</v>
      </c>
      <c r="B42" s="47" t="str">
        <f t="shared" si="3"/>
        <v>Peter Kott (Ratae)</v>
      </c>
      <c r="C42" s="47" t="s">
        <v>694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Event_17</v>
      </c>
    </row>
    <row r="104" spans="1:11">
      <c r="B104" t="s">
        <v>554</v>
      </c>
      <c r="D104" t="str">
        <f ca="1">_xlfn.XLOOKUP(D103,Calendar!O:O,Calendar!H:H,"Event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32.730468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461</v>
      </c>
      <c r="B2" s="47">
        <f t="shared" ref="B2:B33" si="0">IF(A2="","",_xlfn.XLOOKUP(A2,ClubNames,ClubNumbers,_xlfn.XLOOKUP(A2,RoundRobinRiderNames,RoundRobinRiderDecoratedNames,A2)))</f>
        <v>7</v>
      </c>
      <c r="C2" s="47" t="s">
        <v>715</v>
      </c>
      <c r="D2" s="48"/>
      <c r="E2" s="49">
        <v>31</v>
      </c>
      <c r="F2" s="49">
        <v>23</v>
      </c>
      <c r="G2" s="49" t="s">
        <v>546</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516</v>
      </c>
      <c r="B3" s="47" t="str">
        <f t="shared" si="0"/>
        <v>Steve Pearce (Ratae)</v>
      </c>
      <c r="C3" s="47" t="s">
        <v>722</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512</v>
      </c>
      <c r="B4" s="47" t="str">
        <f t="shared" si="0"/>
        <v>Marshall Briggs (Ratae)</v>
      </c>
      <c r="C4" s="47" t="s">
        <v>716</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626</v>
      </c>
      <c r="B5" s="47">
        <f t="shared" si="0"/>
        <v>990</v>
      </c>
      <c r="C5" s="47" t="s">
        <v>717</v>
      </c>
      <c r="D5" s="48"/>
      <c r="E5" s="49">
        <v>31</v>
      </c>
      <c r="F5" s="49">
        <v>35</v>
      </c>
      <c r="G5" s="49" t="s">
        <v>546</v>
      </c>
      <c r="H5" s="49"/>
      <c r="I5" s="50" t="str">
        <f>IF($B5="","",IF($K5="X",B5,CONCATENATE(VLOOKUP(B5,Competitors!$A$2:$I$650,3,FALSE)," ",VLOOKUP(B5,Competitors!$A$2:$I$650,2,FALSE))))</f>
        <v>Jen Hulme</v>
      </c>
      <c r="J5" s="51">
        <f t="shared" si="1"/>
        <v>2.193287037037037E-2</v>
      </c>
      <c r="K5" t="str">
        <f t="shared" si="2"/>
        <v/>
      </c>
    </row>
    <row r="6" spans="1:11" ht="15">
      <c r="A6" s="46" t="s">
        <v>581</v>
      </c>
      <c r="B6" s="47" t="str">
        <f t="shared" si="0"/>
        <v>Geoff Stanbridge (Ratae)</v>
      </c>
      <c r="C6" s="47" t="s">
        <v>718</v>
      </c>
      <c r="D6" s="48"/>
      <c r="E6" s="49">
        <v>37</v>
      </c>
      <c r="F6" s="49">
        <v>13</v>
      </c>
      <c r="G6" s="49" t="s">
        <v>546</v>
      </c>
      <c r="H6" s="49"/>
      <c r="I6" s="50" t="str">
        <f>IF($B6="","",IF($K6="X",B6,CONCATENATE(VLOOKUP(B6,Competitors!$A$2:$I$650,3,FALSE)," ",VLOOKUP(B6,Competitors!$A$2:$I$650,2,FALSE))))</f>
        <v>Geoff Stanbridge (Ratae)</v>
      </c>
      <c r="J6" s="51">
        <f t="shared" si="1"/>
        <v>2.5844907407407407E-2</v>
      </c>
      <c r="K6" t="str">
        <f t="shared" si="2"/>
        <v>X</v>
      </c>
    </row>
    <row r="7" spans="1:11" ht="15">
      <c r="A7" s="46" t="s">
        <v>664</v>
      </c>
      <c r="B7" s="47" t="str">
        <f t="shared" si="0"/>
        <v>Brigitte Gaillard (Ratae)</v>
      </c>
      <c r="C7" s="47" t="s">
        <v>714</v>
      </c>
      <c r="D7" s="48"/>
      <c r="E7" s="49">
        <v>29</v>
      </c>
      <c r="F7" s="49">
        <v>53</v>
      </c>
      <c r="G7" s="49" t="s">
        <v>546</v>
      </c>
      <c r="H7" s="49"/>
      <c r="I7" s="50" t="str">
        <f>IF($B7="","",IF($K7="X",B7,CONCATENATE(VLOOKUP(B7,Competitors!$A$2:$I$650,3,FALSE)," ",VLOOKUP(B7,Competitors!$A$2:$I$650,2,FALSE))))</f>
        <v>Brigitte Gaillard (Ratae)</v>
      </c>
      <c r="J7" s="51">
        <f t="shared" si="1"/>
        <v>2.0752314814814814E-2</v>
      </c>
      <c r="K7" t="str">
        <f t="shared" si="2"/>
        <v>X</v>
      </c>
    </row>
    <row r="8" spans="1:11" ht="15">
      <c r="A8" s="46" t="s">
        <v>696</v>
      </c>
      <c r="B8" s="47" t="str">
        <f t="shared" si="0"/>
        <v>Steve Walsh (LFCC)</v>
      </c>
      <c r="C8" s="47" t="s">
        <v>719</v>
      </c>
      <c r="D8" s="48"/>
      <c r="E8" s="49">
        <v>28</v>
      </c>
      <c r="F8" s="49">
        <v>20</v>
      </c>
      <c r="G8" s="49" t="s">
        <v>546</v>
      </c>
      <c r="H8" s="49"/>
      <c r="I8" s="50" t="str">
        <f>IF($B8="","",IF($K8="X",B8,CONCATENATE(VLOOKUP(B8,Competitors!$A$2:$I$650,3,FALSE)," ",VLOOKUP(B8,Competitors!$A$2:$I$650,2,FALSE))))</f>
        <v>Steve Walsh (LFCC)</v>
      </c>
      <c r="J8" s="51">
        <f t="shared" si="1"/>
        <v>1.9675925925925927E-2</v>
      </c>
      <c r="K8" t="str">
        <f t="shared" si="2"/>
        <v>X</v>
      </c>
    </row>
    <row r="9" spans="1:11" ht="15">
      <c r="A9" s="46" t="s">
        <v>580</v>
      </c>
      <c r="B9" s="47">
        <f t="shared" si="0"/>
        <v>1048</v>
      </c>
      <c r="C9" s="47" t="s">
        <v>720</v>
      </c>
      <c r="D9" s="48"/>
      <c r="E9" s="49">
        <v>28</v>
      </c>
      <c r="F9" s="49">
        <v>46</v>
      </c>
      <c r="G9" s="49" t="s">
        <v>546</v>
      </c>
      <c r="H9" s="49"/>
      <c r="I9" s="50" t="str">
        <f>IF($B9="","",IF($K9="X",B9,CONCATENATE(VLOOKUP(B9,Competitors!$A$2:$I$650,3,FALSE)," ",VLOOKUP(B9,Competitors!$A$2:$I$650,2,FALSE))))</f>
        <v>Andy Smith</v>
      </c>
      <c r="J9" s="51">
        <f t="shared" si="1"/>
        <v>1.9976851851851853E-2</v>
      </c>
      <c r="K9" t="str">
        <f t="shared" si="2"/>
        <v/>
      </c>
    </row>
    <row r="10" spans="1:11" ht="15">
      <c r="A10" s="46" t="s">
        <v>705</v>
      </c>
      <c r="B10" s="47" t="str">
        <f t="shared" si="0"/>
        <v>Joe Murray (M.I. Racing) (HCRC)</v>
      </c>
      <c r="C10" s="47" t="s">
        <v>721</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675</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740</v>
      </c>
      <c r="D12" s="48"/>
      <c r="E12" s="49">
        <v>28</v>
      </c>
      <c r="F12" s="49">
        <v>8</v>
      </c>
      <c r="G12" s="49" t="s">
        <v>546</v>
      </c>
      <c r="H12" s="49"/>
      <c r="I12" s="50" t="str">
        <f>IF($B12="","",IF($K12="X",B12,CONCATENATE(VLOOKUP(B12,Competitors!$A$2:$I$650,3,FALSE)," ",VLOOKUP(B12,Competitors!$A$2:$I$650,2,FALSE))))</f>
        <v>Mea Moore</v>
      </c>
      <c r="J12" s="51">
        <f t="shared" si="1"/>
        <v>1.9537037037037037E-2</v>
      </c>
      <c r="K12" t="str">
        <f t="shared" si="2"/>
        <v/>
      </c>
    </row>
    <row r="13" spans="1:11" ht="15">
      <c r="A13" s="46" t="s">
        <v>502</v>
      </c>
      <c r="B13" s="47" t="str">
        <f t="shared" si="0"/>
        <v>Brian Lincoln (Ratae)</v>
      </c>
      <c r="C13" s="47" t="s">
        <v>676</v>
      </c>
      <c r="D13" s="48"/>
      <c r="E13" s="49">
        <v>29</v>
      </c>
      <c r="F13" s="49">
        <v>33</v>
      </c>
      <c r="G13" s="49" t="s">
        <v>546</v>
      </c>
      <c r="H13" s="49"/>
      <c r="I13" s="50" t="str">
        <f>IF($B13="","",IF($K13="X",B13,CONCATENATE(VLOOKUP(B13,Competitors!$A$2:$I$650,3,FALSE)," ",VLOOKUP(B13,Competitors!$A$2:$I$650,2,FALSE))))</f>
        <v>Brian Lincoln (Ratae)</v>
      </c>
      <c r="J13" s="51">
        <f t="shared" si="1"/>
        <v>2.0520833333333332E-2</v>
      </c>
      <c r="K13" t="str">
        <f t="shared" si="2"/>
        <v>X</v>
      </c>
    </row>
    <row r="14" spans="1:11" ht="15">
      <c r="A14" s="46" t="s">
        <v>494</v>
      </c>
      <c r="B14" s="47" t="str">
        <f t="shared" si="0"/>
        <v>Chris Booth (MOCC)</v>
      </c>
      <c r="C14" s="47" t="s">
        <v>677</v>
      </c>
      <c r="D14" s="48"/>
      <c r="E14" s="49">
        <v>24</v>
      </c>
      <c r="F14" s="49">
        <v>20</v>
      </c>
      <c r="G14" s="49" t="s">
        <v>546</v>
      </c>
      <c r="H14" s="49"/>
      <c r="I14" s="50" t="str">
        <f>IF($B14="","",IF($K14="X",B14,CONCATENATE(VLOOKUP(B14,Competitors!$A$2:$I$650,3,FALSE)," ",VLOOKUP(B14,Competitors!$A$2:$I$650,2,FALSE))))</f>
        <v>Chris Booth (MOCC)</v>
      </c>
      <c r="J14" s="51">
        <f t="shared" si="1"/>
        <v>1.6898148148148148E-2</v>
      </c>
      <c r="K14" t="str">
        <f t="shared" si="2"/>
        <v>X</v>
      </c>
    </row>
    <row r="15" spans="1:11" ht="15">
      <c r="A15" s="46" t="s">
        <v>511</v>
      </c>
      <c r="B15" s="47" t="str">
        <f t="shared" si="0"/>
        <v>Mark Newton (Ratae)</v>
      </c>
      <c r="C15" s="47" t="s">
        <v>678</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679</v>
      </c>
      <c r="D16" s="48"/>
      <c r="E16" s="49"/>
      <c r="F16" s="49"/>
      <c r="G16" s="49"/>
      <c r="H16" s="49" t="s">
        <v>555</v>
      </c>
      <c r="I16" s="50" t="str">
        <f>IF($B16="","",IF($K16="X",B16,CONCATENATE(VLOOKUP(B16,Competitors!$A$2:$I$650,3,FALSE)," ",VLOOKUP(B16,Competitors!$A$2:$I$650,2,FALSE))))</f>
        <v>Gary Ashwell</v>
      </c>
      <c r="J16" s="51">
        <f t="shared" si="1"/>
        <v>0</v>
      </c>
      <c r="K16" t="str">
        <f t="shared" si="2"/>
        <v/>
      </c>
    </row>
    <row r="17" spans="1:11" ht="15">
      <c r="A17" s="46" t="s">
        <v>531</v>
      </c>
      <c r="B17" s="47" t="str">
        <f t="shared" si="0"/>
        <v>Adrian James (Rugby RCC)</v>
      </c>
      <c r="C17" s="47" t="s">
        <v>680</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681</v>
      </c>
      <c r="D18" s="48"/>
      <c r="E18" s="49">
        <v>23</v>
      </c>
      <c r="F18" s="49">
        <v>44</v>
      </c>
      <c r="G18" s="49" t="s">
        <v>546</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682</v>
      </c>
      <c r="D19" s="48"/>
      <c r="E19" s="49">
        <v>25</v>
      </c>
      <c r="F19" s="49">
        <v>51</v>
      </c>
      <c r="G19" s="49" t="s">
        <v>546</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683</v>
      </c>
      <c r="D20" s="48"/>
      <c r="E20" s="49">
        <v>24</v>
      </c>
      <c r="F20" s="49">
        <v>5</v>
      </c>
      <c r="G20" s="49" t="s">
        <v>546</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684</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597</v>
      </c>
      <c r="B22" s="47">
        <f t="shared" si="0"/>
        <v>1390</v>
      </c>
      <c r="C22" s="47" t="s">
        <v>685</v>
      </c>
      <c r="D22" s="48"/>
      <c r="E22" s="49">
        <v>23</v>
      </c>
      <c r="F22" s="49">
        <v>42</v>
      </c>
      <c r="G22" s="49" t="s">
        <v>546</v>
      </c>
      <c r="H22" s="49"/>
      <c r="I22" s="50" t="str">
        <f>IF($B22="","",IF($K22="X",B22,CONCATENATE(VLOOKUP(B22,Competitors!$A$2:$I$650,3,FALSE)," ",VLOOKUP(B22,Competitors!$A$2:$I$650,2,FALSE))))</f>
        <v>Diego Patteri</v>
      </c>
      <c r="J22" s="51">
        <f t="shared" si="1"/>
        <v>1.6458333333333332E-2</v>
      </c>
      <c r="K22" t="str">
        <f t="shared" si="2"/>
        <v/>
      </c>
    </row>
    <row r="23" spans="1:11" ht="15">
      <c r="A23" s="46" t="s">
        <v>704</v>
      </c>
      <c r="B23" s="47" t="str">
        <f t="shared" si="0"/>
        <v>Zoe Shepherd (M.I. Racing)</v>
      </c>
      <c r="C23" s="47" t="s">
        <v>686</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488</v>
      </c>
      <c r="B24" s="47" t="str">
        <f t="shared" si="0"/>
        <v>Matt Finch (LFCC)</v>
      </c>
      <c r="C24" s="47" t="s">
        <v>687</v>
      </c>
      <c r="D24" s="48"/>
      <c r="E24" s="49">
        <v>28</v>
      </c>
      <c r="F24" s="49">
        <v>48</v>
      </c>
      <c r="G24" s="49" t="s">
        <v>546</v>
      </c>
      <c r="H24" s="49"/>
      <c r="I24" s="50" t="str">
        <f>IF($B24="","",IF($K24="X",B24,CONCATENATE(VLOOKUP(B24,Competitors!$A$2:$I$650,3,FALSE)," ",VLOOKUP(B24,Competitors!$A$2:$I$650,2,FALSE))))</f>
        <v>Matt Finch (LFCC)</v>
      </c>
      <c r="J24" s="51">
        <f t="shared" si="1"/>
        <v>0.02</v>
      </c>
      <c r="K24" t="str">
        <f t="shared" si="2"/>
        <v>X</v>
      </c>
    </row>
    <row r="25" spans="1:11" ht="15">
      <c r="A25" s="46" t="s">
        <v>702</v>
      </c>
      <c r="B25" s="47" t="str">
        <f t="shared" si="0"/>
        <v>Paul Akroyd (VTTA E.Mids)</v>
      </c>
      <c r="C25" s="47" t="s">
        <v>688</v>
      </c>
      <c r="D25" s="48"/>
      <c r="E25" s="49">
        <v>25</v>
      </c>
      <c r="F25" s="49">
        <v>45</v>
      </c>
      <c r="G25" s="49" t="s">
        <v>546</v>
      </c>
      <c r="H25" s="49"/>
      <c r="I25" s="50" t="str">
        <f>IF($B25="","",IF($K25="X",B25,CONCATENATE(VLOOKUP(B25,Competitors!$A$2:$I$650,3,FALSE)," ",VLOOKUP(B25,Competitors!$A$2:$I$650,2,FALSE))))</f>
        <v>Paul Akroyd (VTTA E.Mids)</v>
      </c>
      <c r="J25" s="51">
        <f t="shared" si="1"/>
        <v>1.7881944444444443E-2</v>
      </c>
      <c r="K25" t="str">
        <f t="shared" si="2"/>
        <v>X</v>
      </c>
    </row>
    <row r="26" spans="1:11" ht="15">
      <c r="A26" s="46" t="s">
        <v>514</v>
      </c>
      <c r="B26" s="47" t="str">
        <f t="shared" si="0"/>
        <v>Paul Eden (Ratae)</v>
      </c>
      <c r="C26" s="47" t="s">
        <v>689</v>
      </c>
      <c r="D26" s="48"/>
      <c r="E26" s="49">
        <v>30</v>
      </c>
      <c r="F26" s="49">
        <v>11</v>
      </c>
      <c r="G26" s="49" t="s">
        <v>546</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652</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653</v>
      </c>
      <c r="D28" s="48"/>
      <c r="E28" s="49">
        <v>26</v>
      </c>
      <c r="F28" s="49">
        <v>10</v>
      </c>
      <c r="G28" s="49" t="s">
        <v>546</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654</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513</v>
      </c>
      <c r="B30" s="47" t="str">
        <f t="shared" si="0"/>
        <v>Natalie Harris (Ratae)</v>
      </c>
      <c r="C30" s="47" t="s">
        <v>655</v>
      </c>
      <c r="D30" s="48"/>
      <c r="E30" s="49">
        <v>29</v>
      </c>
      <c r="F30" s="49">
        <v>35</v>
      </c>
      <c r="G30" s="49" t="s">
        <v>546</v>
      </c>
      <c r="H30" s="49"/>
      <c r="I30" s="50" t="str">
        <f>IF($B30="","",IF($K30="X",B30,CONCATENATE(VLOOKUP(B30,Competitors!$A$2:$I$650,3,FALSE)," ",VLOOKUP(B30,Competitors!$A$2:$I$650,2,FALSE))))</f>
        <v>Natalie Harris (Ratae)</v>
      </c>
      <c r="J30" s="51">
        <f t="shared" si="1"/>
        <v>2.0543981481481483E-2</v>
      </c>
      <c r="K30" t="str">
        <f t="shared" si="2"/>
        <v>X</v>
      </c>
    </row>
    <row r="31" spans="1:11" ht="15">
      <c r="A31" s="46" t="s">
        <v>624</v>
      </c>
      <c r="B31" s="47">
        <f t="shared" si="0"/>
        <v>1391</v>
      </c>
      <c r="C31" s="47" t="s">
        <v>656</v>
      </c>
      <c r="D31" s="48"/>
      <c r="E31" s="49">
        <v>23</v>
      </c>
      <c r="F31" s="49">
        <v>50</v>
      </c>
      <c r="G31" s="49" t="s">
        <v>546</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657</v>
      </c>
      <c r="D32" s="48"/>
      <c r="E32" s="49">
        <v>25</v>
      </c>
      <c r="F32" s="49">
        <v>34</v>
      </c>
      <c r="G32" s="49" t="s">
        <v>546</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658</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659</v>
      </c>
      <c r="D34" s="48"/>
      <c r="E34" s="49">
        <v>25</v>
      </c>
      <c r="F34" s="49">
        <v>9</v>
      </c>
      <c r="G34" s="49" t="s">
        <v>546</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640</v>
      </c>
      <c r="B35" s="47" t="str">
        <f t="shared" si="3"/>
        <v>Jeff Jones (LFCC)</v>
      </c>
      <c r="C35" s="47" t="s">
        <v>660</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726</v>
      </c>
      <c r="B36" s="47" t="str">
        <f t="shared" si="3"/>
        <v>Josh Jones (LFCC)</v>
      </c>
      <c r="C36" s="47" t="s">
        <v>661</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642</v>
      </c>
      <c r="B37" s="47" t="str">
        <f t="shared" si="3"/>
        <v>Simon Jones (LFCC)</v>
      </c>
      <c r="C37" s="47" t="s">
        <v>662</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663</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690</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691</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727</v>
      </c>
      <c r="B41" s="47" t="str">
        <f t="shared" si="3"/>
        <v>David Mead (M.I. Racing)</v>
      </c>
      <c r="C41" s="47" t="s">
        <v>692</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498</v>
      </c>
      <c r="B42" s="47">
        <f t="shared" si="3"/>
        <v>1166</v>
      </c>
      <c r="C42" s="47" t="s">
        <v>693</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694</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728</v>
      </c>
      <c r="D44" s="48"/>
      <c r="E44" s="49">
        <v>25</v>
      </c>
      <c r="F44" s="49">
        <v>13</v>
      </c>
      <c r="G44" s="49" t="s">
        <v>546</v>
      </c>
      <c r="H44" s="49"/>
      <c r="I44" s="50" t="str">
        <f>IF($B44="","",IF($K44="X",B44,CONCATENATE(VLOOKUP(B44,Competitors!$A$2:$I$650,3,FALSE)," ",VLOOKUP(B44,Competitors!$A$2:$I$650,2,FALSE))))</f>
        <v>John Abbott</v>
      </c>
      <c r="J44" s="51">
        <f t="shared" si="4"/>
        <v>1.7511574074074075E-2</v>
      </c>
      <c r="K44" t="str">
        <f t="shared" si="5"/>
        <v/>
      </c>
    </row>
    <row r="45" spans="1:11" ht="15">
      <c r="A45" s="46" t="s">
        <v>723</v>
      </c>
      <c r="B45" s="47" t="str">
        <f t="shared" si="3"/>
        <v>Mark Wise (M.I. Racing)</v>
      </c>
      <c r="C45" s="47" t="s">
        <v>729</v>
      </c>
      <c r="D45" s="48"/>
      <c r="E45" s="49">
        <v>24</v>
      </c>
      <c r="F45" s="49">
        <v>2</v>
      </c>
      <c r="G45" s="49" t="s">
        <v>546</v>
      </c>
      <c r="H45" s="49"/>
      <c r="I45" s="50" t="str">
        <f>IF($B45="","",IF($K45="X",B45,CONCATENATE(VLOOKUP(B45,Competitors!$A$2:$I$650,3,FALSE)," ",VLOOKUP(B45,Competitors!$A$2:$I$650,2,FALSE))))</f>
        <v>Mark Wise (M.I. Racing)</v>
      </c>
      <c r="J45" s="51">
        <f t="shared" si="4"/>
        <v>1.6689814814814814E-2</v>
      </c>
      <c r="K45" t="str">
        <f t="shared" si="5"/>
        <v>X</v>
      </c>
    </row>
    <row r="46" spans="1:11" ht="15">
      <c r="A46" s="46" t="s">
        <v>501</v>
      </c>
      <c r="B46" s="47" t="str">
        <f t="shared" si="3"/>
        <v>Alex Whitmore (Ratae)</v>
      </c>
      <c r="C46" s="47" t="s">
        <v>730</v>
      </c>
      <c r="D46" s="48"/>
      <c r="E46" s="49">
        <v>21</v>
      </c>
      <c r="F46" s="49">
        <v>37</v>
      </c>
      <c r="G46" s="49" t="s">
        <v>546</v>
      </c>
      <c r="H46" s="49"/>
      <c r="I46" s="50" t="str">
        <f>IF($B46="","",IF($K46="X",B46,CONCATENATE(VLOOKUP(B46,Competitors!$A$2:$I$650,3,FALSE)," ",VLOOKUP(B46,Competitors!$A$2:$I$650,2,FALSE))))</f>
        <v>Alex Whitmore (Ratae)</v>
      </c>
      <c r="J46" s="51">
        <f t="shared" si="4"/>
        <v>1.5011574074074075E-2</v>
      </c>
      <c r="K46" t="str">
        <f t="shared" si="5"/>
        <v>X</v>
      </c>
    </row>
    <row r="47" spans="1:11" ht="15">
      <c r="A47" s="46" t="s">
        <v>731</v>
      </c>
      <c r="B47" s="47" t="str">
        <f t="shared" si="3"/>
        <v>D Alexander (Coalville Wheelers)</v>
      </c>
      <c r="C47" s="47" t="s">
        <v>732</v>
      </c>
      <c r="D47" s="48"/>
      <c r="E47" s="49">
        <v>23</v>
      </c>
      <c r="F47" s="49">
        <v>51</v>
      </c>
      <c r="G47" s="49"/>
      <c r="H47" s="49"/>
      <c r="I47" s="50" t="str">
        <f>IF($B47="","",IF($K47="X",B47,CONCATENATE(VLOOKUP(B47,Competitors!$A$2:$I$650,3,FALSE)," ",VLOOKUP(B47,Competitors!$A$2:$I$650,2,FALSE))))</f>
        <v>D Alexander (Coalville Wheelers)</v>
      </c>
      <c r="J47" s="51">
        <f t="shared" si="4"/>
        <v>1.6562500000000001E-2</v>
      </c>
      <c r="K47" t="str">
        <f t="shared" si="5"/>
        <v>X</v>
      </c>
    </row>
    <row r="48" spans="1:11" ht="15">
      <c r="A48" s="46" t="s">
        <v>411</v>
      </c>
      <c r="B48" s="47">
        <f t="shared" si="3"/>
        <v>747</v>
      </c>
      <c r="C48" s="47" t="s">
        <v>733</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490</v>
      </c>
      <c r="B49" s="47" t="str">
        <f t="shared" si="3"/>
        <v>Sam Nettel (LFCC)</v>
      </c>
      <c r="C49" s="47" t="s">
        <v>734</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725</v>
      </c>
      <c r="B50" s="47" t="str">
        <f t="shared" si="3"/>
        <v>David Melhuish (Cov Tri)</v>
      </c>
      <c r="C50" s="47" t="s">
        <v>735</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724</v>
      </c>
      <c r="B51" s="47" t="str">
        <f t="shared" si="3"/>
        <v>Alex Williamson (Cov Tri)</v>
      </c>
      <c r="C51" s="47" t="s">
        <v>736</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737</v>
      </c>
      <c r="B52" s="47" t="str">
        <f t="shared" si="3"/>
        <v>Simon Law (M.I. Racing)</v>
      </c>
      <c r="C52" s="47" t="s">
        <v>738</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739</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553</v>
      </c>
      <c r="D103" t="str" cm="1">
        <f t="array" aca="1" ref="D103" ca="1">MID(CELL("filename",B1),FIND("]",CELL("filename",B1))+1,255)</f>
        <v>Event_18</v>
      </c>
    </row>
    <row r="104" spans="1:11">
      <c r="B104" t="s">
        <v>554</v>
      </c>
      <c r="D104" t="str">
        <f ca="1">_xlfn.XLOOKUP(D103,Calendar!O:O,Calendar!H:H,"Event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tabSelected="1" workbookViewId="0">
      <selection activeCell="B24" sqref="B24"/>
    </sheetView>
  </sheetViews>
  <sheetFormatPr defaultColWidth="9.1328125" defaultRowHeight="12.75"/>
  <cols>
    <col min="1" max="1" width="20.33203125" bestFit="1" customWidth="1"/>
    <col min="2" max="2" width="28.7304687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742</v>
      </c>
      <c r="B2" s="47" t="str">
        <f t="shared" ref="B2:B33" si="0">IF(A2="","",_xlfn.XLOOKUP(A2,ClubNames,ClubNumbers,_xlfn.XLOOKUP(A2,RoundRobinRiderNames,RoundRobinRiderDecoratedNames,A2)))</f>
        <v>Eric Fullerton (LFCC)</v>
      </c>
      <c r="C2" s="48"/>
      <c r="D2" s="49"/>
      <c r="E2" s="49"/>
      <c r="F2" s="49"/>
      <c r="G2" s="49"/>
      <c r="H2" s="50" t="str">
        <f>IF($B2="","",IF($J2="X",B2,CONCATENATE(VLOOKUP(B2,Competitors!$A$2:$I$650,3, FALSE)," ",VLOOKUP(B2,Competitors!$A$2:$I$650,2,FALSE))))</f>
        <v>Eric Fullerton (LFCC)</v>
      </c>
      <c r="I2" s="51">
        <f t="shared" ref="I2:I65" si="1">IF(LEFT($F2,1)="D",UPPER($F2),(C2*3600+D2*60+E2)/86400)</f>
        <v>0</v>
      </c>
      <c r="J2" t="str">
        <f t="shared" ref="J2:J65" si="2">IF(OR(B2="",ISNUMBER(B2)),"","X")</f>
        <v>X</v>
      </c>
    </row>
    <row r="3" spans="1:10" ht="15">
      <c r="A3" s="46" t="s">
        <v>509</v>
      </c>
      <c r="B3" s="47" t="str">
        <f t="shared" si="0"/>
        <v>Lucy Sturgess (Ratae)</v>
      </c>
      <c r="C3" s="48"/>
      <c r="D3" s="49"/>
      <c r="E3" s="49"/>
      <c r="F3" s="49"/>
      <c r="G3" s="49"/>
      <c r="H3" s="50" t="str">
        <f>IF($B3="","",IF($J3="X",B3,CONCATENATE(VLOOKUP(B3,Competitors!$A$2:$I$650,3,FALSE)," ",VLOOKUP(B3,Competitors!$A$2:$I$650,2,FALSE))))</f>
        <v>Lucy Sturgess (Ratae)</v>
      </c>
      <c r="I3" s="51">
        <f t="shared" si="1"/>
        <v>0</v>
      </c>
      <c r="J3" t="str">
        <f t="shared" si="2"/>
        <v>X</v>
      </c>
    </row>
    <row r="4" spans="1:10" ht="15">
      <c r="A4" s="46" t="s">
        <v>514</v>
      </c>
      <c r="B4" s="47" t="str">
        <f t="shared" si="0"/>
        <v>Paul Eden (Ratae)</v>
      </c>
      <c r="C4" s="48"/>
      <c r="D4" s="49"/>
      <c r="E4" s="49"/>
      <c r="F4" s="49"/>
      <c r="G4" s="49"/>
      <c r="H4" s="50" t="str">
        <f>IF($B4="","",IF($J4="X",B4,CONCATENATE(VLOOKUP(B4,Competitors!$A$2:$I$650,3,FALSE)," ",VLOOKUP(B4,Competitors!$A$2:$I$650,2,FALSE))))</f>
        <v>Paul Eden (Ratae)</v>
      </c>
      <c r="I4" s="51">
        <f t="shared" si="1"/>
        <v>0</v>
      </c>
      <c r="J4" t="str">
        <f t="shared" si="2"/>
        <v>X</v>
      </c>
    </row>
    <row r="5" spans="1:10" ht="15">
      <c r="A5" s="46" t="s">
        <v>415</v>
      </c>
      <c r="B5" s="47">
        <f t="shared" si="0"/>
        <v>699</v>
      </c>
      <c r="C5" s="48"/>
      <c r="D5" s="49"/>
      <c r="E5" s="49"/>
      <c r="F5" s="49"/>
      <c r="G5" s="49"/>
      <c r="H5" s="50" t="str">
        <f>IF($B5="","",IF($J5="X",B5,CONCATENATE(VLOOKUP(B5,Competitors!$A$2:$I$650,3,FALSE)," ",VLOOKUP(B5,Competitors!$A$2:$I$650,2,FALSE))))</f>
        <v>Jonathan Durnin</v>
      </c>
      <c r="I5" s="51">
        <f t="shared" si="1"/>
        <v>0</v>
      </c>
      <c r="J5" t="str">
        <f t="shared" si="2"/>
        <v/>
      </c>
    </row>
    <row r="6" spans="1:10" ht="15">
      <c r="A6" s="46" t="s">
        <v>583</v>
      </c>
      <c r="B6" s="47">
        <f t="shared" si="0"/>
        <v>1370</v>
      </c>
      <c r="C6" s="48"/>
      <c r="D6" s="49"/>
      <c r="E6" s="49"/>
      <c r="F6" s="49"/>
      <c r="G6" s="49"/>
      <c r="H6" s="50" t="str">
        <f>IF($B6="","",IF($J6="X",B6,CONCATENATE(VLOOKUP(B6,Competitors!$A$2:$I$650,3,FALSE)," ",VLOOKUP(B6,Competitors!$A$2:$I$650,2,FALSE))))</f>
        <v>Ian Aldridge</v>
      </c>
      <c r="I6" s="51">
        <f t="shared" si="1"/>
        <v>0</v>
      </c>
      <c r="J6" t="str">
        <f t="shared" si="2"/>
        <v/>
      </c>
    </row>
    <row r="7" spans="1:10" ht="15">
      <c r="A7" s="46" t="s">
        <v>423</v>
      </c>
      <c r="B7" s="47">
        <f t="shared" si="0"/>
        <v>1407</v>
      </c>
      <c r="C7" s="48"/>
      <c r="D7" s="49"/>
      <c r="E7" s="49"/>
      <c r="F7" s="49"/>
      <c r="G7" s="49"/>
      <c r="H7" s="50" t="str">
        <f>IF($B7="","",IF($J7="X",B7,CONCATENATE(VLOOKUP(B7,Competitors!$A$2:$I$650,3,FALSE)," ",VLOOKUP(B7,Competitors!$A$2:$I$650,2,FALSE))))</f>
        <v>Colin Dobson</v>
      </c>
      <c r="I7" s="51">
        <f t="shared" si="1"/>
        <v>0</v>
      </c>
      <c r="J7" t="str">
        <f t="shared" si="2"/>
        <v/>
      </c>
    </row>
    <row r="8" spans="1:10" ht="15">
      <c r="A8" s="46" t="s">
        <v>436</v>
      </c>
      <c r="B8" s="47">
        <f t="shared" si="0"/>
        <v>846</v>
      </c>
      <c r="C8" s="48"/>
      <c r="D8" s="49"/>
      <c r="E8" s="49"/>
      <c r="F8" s="49"/>
      <c r="G8" s="49"/>
      <c r="H8" s="50" t="str">
        <f>IF($B8="","",IF($J8="X",B8,CONCATENATE(VLOOKUP(B8,Competitors!$A$2:$I$650,3,FALSE)," ",VLOOKUP(B8,Competitors!$A$2:$I$650,2,FALSE))))</f>
        <v>Roger Kockelbergh</v>
      </c>
      <c r="I8" s="51">
        <f t="shared" si="1"/>
        <v>0</v>
      </c>
      <c r="J8" t="str">
        <f t="shared" si="2"/>
        <v/>
      </c>
    </row>
    <row r="9" spans="1:10" ht="15">
      <c r="A9" s="46" t="s">
        <v>421</v>
      </c>
      <c r="B9" s="47">
        <f t="shared" si="0"/>
        <v>1192</v>
      </c>
      <c r="C9" s="48"/>
      <c r="D9" s="49"/>
      <c r="E9" s="49"/>
      <c r="F9" s="49"/>
      <c r="G9" s="49"/>
      <c r="H9" s="50" t="str">
        <f>IF($B9="","",IF($J9="X",B9,CONCATENATE(VLOOKUP(B9,Competitors!$A$2:$I$650,3,FALSE)," ",VLOOKUP(B9,Competitors!$A$2:$I$650,2,FALSE))))</f>
        <v>Dale Norris</v>
      </c>
      <c r="I9" s="51">
        <f t="shared" si="1"/>
        <v>0</v>
      </c>
      <c r="J9" t="str">
        <f t="shared" si="2"/>
        <v/>
      </c>
    </row>
    <row r="10" spans="1:10" ht="15">
      <c r="A10" s="46" t="s">
        <v>414</v>
      </c>
      <c r="B10" s="47">
        <f t="shared" si="0"/>
        <v>989</v>
      </c>
      <c r="C10" s="48"/>
      <c r="D10" s="49"/>
      <c r="E10" s="49"/>
      <c r="F10" s="49"/>
      <c r="G10" s="49"/>
      <c r="H10" s="50" t="str">
        <f>IF($B10="","",IF($J10="X",B10,CONCATENATE(VLOOKUP(B10,Competitors!$A$2:$I$650,3, FALSE)," ",VLOOKUP(B10,Competitors!$A$2:$I$650,2,FALSE))))</f>
        <v>Jason Williams</v>
      </c>
      <c r="I10" s="51">
        <f t="shared" si="1"/>
        <v>0</v>
      </c>
      <c r="J10" t="str">
        <f t="shared" si="2"/>
        <v/>
      </c>
    </row>
    <row r="11" spans="1:10" ht="15">
      <c r="A11" s="46" t="s">
        <v>447</v>
      </c>
      <c r="B11" s="47">
        <f t="shared" si="0"/>
        <v>1379</v>
      </c>
      <c r="C11" s="48"/>
      <c r="D11" s="49"/>
      <c r="E11" s="49"/>
      <c r="F11" s="49"/>
      <c r="G11" s="49"/>
      <c r="H11" s="50" t="str">
        <f>IF($B11="","",IF($J11="X",B11,CONCATENATE(VLOOKUP(B11,Competitors!$A$2:$I$650,3,FALSE)," ",VLOOKUP(B11,Competitors!$A$2:$I$650,2,FALSE))))</f>
        <v>Michaela Latham</v>
      </c>
      <c r="I11" s="51">
        <f t="shared" si="1"/>
        <v>0</v>
      </c>
      <c r="J11" t="str">
        <f t="shared" si="2"/>
        <v/>
      </c>
    </row>
    <row r="12" spans="1:10" ht="15">
      <c r="A12" s="46" t="s">
        <v>745</v>
      </c>
      <c r="B12" s="47" t="str">
        <f t="shared" si="0"/>
        <v>Pietro Saman (LFCC)</v>
      </c>
      <c r="C12" s="48"/>
      <c r="D12" s="49"/>
      <c r="E12" s="49"/>
      <c r="F12" s="49"/>
      <c r="G12" s="49"/>
      <c r="H12" s="50" t="str">
        <f>IF($B12="","",IF($J12="X",B12,CONCATENATE(VLOOKUP(B12,Competitors!$A$2:$I$650,3,FALSE)," ",VLOOKUP(B12,Competitors!$A$2:$I$650,2,FALSE))))</f>
        <v>Pietro Saman (LFCC)</v>
      </c>
      <c r="I12" s="51">
        <f t="shared" si="1"/>
        <v>0</v>
      </c>
      <c r="J12" t="str">
        <f t="shared" si="2"/>
        <v>X</v>
      </c>
    </row>
    <row r="13" spans="1:10" ht="15">
      <c r="A13" s="46" t="s">
        <v>438</v>
      </c>
      <c r="B13" s="47">
        <f t="shared" si="0"/>
        <v>1195</v>
      </c>
      <c r="C13" s="48"/>
      <c r="D13" s="49"/>
      <c r="E13" s="49"/>
      <c r="F13" s="49"/>
      <c r="G13" s="49"/>
      <c r="H13" s="50" t="str">
        <f>IF($B13="","",IF($J13="X",B13,CONCATENATE(VLOOKUP(B13,Competitors!$A$2:$I$650,3,FALSE)," ",VLOOKUP(B13,Competitors!$A$2:$I$650,2,FALSE))))</f>
        <v>Charlie Hardwicke</v>
      </c>
      <c r="I13" s="51">
        <f t="shared" si="1"/>
        <v>0</v>
      </c>
      <c r="J13" t="str">
        <f t="shared" si="2"/>
        <v/>
      </c>
    </row>
    <row r="14" spans="1:10" ht="15">
      <c r="A14" s="46" t="s">
        <v>444</v>
      </c>
      <c r="B14" s="47">
        <f t="shared" si="0"/>
        <v>1193</v>
      </c>
      <c r="C14" s="48"/>
      <c r="D14" s="49"/>
      <c r="E14" s="49"/>
      <c r="F14" s="49"/>
      <c r="G14" s="49"/>
      <c r="H14" s="50" t="str">
        <f>IF($B14="","",IF($J14="X",B14,CONCATENATE(VLOOKUP(B14,Competitors!$A$2:$I$650,3,FALSE)," ",VLOOKUP(B14,Competitors!$A$2:$I$650,2,FALSE))))</f>
        <v>Richard Hardwicke</v>
      </c>
      <c r="I14" s="51">
        <f t="shared" si="1"/>
        <v>0</v>
      </c>
      <c r="J14" t="str">
        <f t="shared" si="2"/>
        <v/>
      </c>
    </row>
    <row r="15" spans="1:10" ht="15">
      <c r="A15" s="46" t="s">
        <v>448</v>
      </c>
      <c r="B15" s="47">
        <f t="shared" si="0"/>
        <v>1194</v>
      </c>
      <c r="C15" s="48"/>
      <c r="D15" s="49"/>
      <c r="E15" s="49"/>
      <c r="F15" s="49"/>
      <c r="G15" s="49"/>
      <c r="H15" s="50" t="str">
        <f>IF($B15="","",IF($J15="X",B15,CONCATENATE(VLOOKUP(B15,Competitors!$A$2:$I$650,3,FALSE)," ",VLOOKUP(B15,Competitors!$A$2:$I$650,2,FALSE))))</f>
        <v>Alex Hardwicke</v>
      </c>
      <c r="I15" s="51">
        <f t="shared" si="1"/>
        <v>0</v>
      </c>
      <c r="J15" t="str">
        <f t="shared" si="2"/>
        <v/>
      </c>
    </row>
    <row r="16" spans="1:10" ht="15">
      <c r="A16" s="46" t="s">
        <v>490</v>
      </c>
      <c r="B16" s="47" t="str">
        <f t="shared" si="0"/>
        <v>Sam Nettel (LFCC)</v>
      </c>
      <c r="C16" s="48"/>
      <c r="D16" s="49"/>
      <c r="E16" s="49"/>
      <c r="F16" s="49"/>
      <c r="G16" s="49"/>
      <c r="H16" s="50" t="str">
        <f>IF($B16="","",IF($J16="X",B16,CONCATENATE(VLOOKUP(B16,Competitors!$A$2:$I$650,3,FALSE)," ",VLOOKUP(B16,Competitors!$A$2:$I$650,2,FALSE))))</f>
        <v>Sam Nettel (LFCC)</v>
      </c>
      <c r="I16" s="51">
        <f t="shared" si="1"/>
        <v>0</v>
      </c>
      <c r="J16" t="str">
        <f t="shared" si="2"/>
        <v>X</v>
      </c>
    </row>
    <row r="17" spans="1:10" ht="15">
      <c r="A17" s="46" t="s">
        <v>511</v>
      </c>
      <c r="B17" s="47" t="str">
        <f t="shared" si="0"/>
        <v>Mark Newton (Ratae)</v>
      </c>
      <c r="C17" s="48"/>
      <c r="D17" s="49"/>
      <c r="E17" s="49"/>
      <c r="F17" s="49"/>
      <c r="G17" s="49"/>
      <c r="H17" s="50" t="str">
        <f>IF($B17="","",IF($J17="X",B17,CONCATENATE(VLOOKUP(B17,Competitors!$A$2:$I$650,3,FALSE)," ",VLOOKUP(B17,Competitors!$A$2:$I$650,2,FALSE))))</f>
        <v>Mark Newton (Ratae)</v>
      </c>
      <c r="I17" s="51">
        <f t="shared" si="1"/>
        <v>0</v>
      </c>
      <c r="J17" t="str">
        <f t="shared" si="2"/>
        <v>X</v>
      </c>
    </row>
    <row r="18" spans="1:10" ht="15">
      <c r="A18" s="46" t="s">
        <v>433</v>
      </c>
      <c r="B18" s="47">
        <f t="shared" si="0"/>
        <v>1112</v>
      </c>
      <c r="C18" s="48"/>
      <c r="D18" s="49"/>
      <c r="E18" s="49"/>
      <c r="F18" s="49"/>
      <c r="G18" s="49"/>
      <c r="H18" s="50" t="str">
        <f>IF($B18="","",IF($J18="X",B18,CONCATENATE(VLOOKUP(B18,Competitors!$A$2:$I$650,3,FALSE)," ",VLOOKUP(B18,Competitors!$A$2:$I$650,2,FALSE))))</f>
        <v>Gary Ashwell</v>
      </c>
      <c r="I18" s="51">
        <f t="shared" si="1"/>
        <v>0</v>
      </c>
      <c r="J18" t="str">
        <f t="shared" si="2"/>
        <v/>
      </c>
    </row>
    <row r="19" spans="1:10" ht="15">
      <c r="A19" s="46" t="s">
        <v>743</v>
      </c>
      <c r="B19" s="47" t="str">
        <f t="shared" si="0"/>
        <v>Dave Tomlinson (LFCC)</v>
      </c>
      <c r="C19" s="48"/>
      <c r="D19" s="49"/>
      <c r="E19" s="49"/>
      <c r="F19" s="49"/>
      <c r="G19" s="49"/>
      <c r="H19" s="50" t="str">
        <f>IF($B19="","",IF($J19="X",B19,CONCATENATE(VLOOKUP(B19,Competitors!$A$2:$I$650,3,FALSE)," ",VLOOKUP(B19,Competitors!$A$2:$I$650,2,FALSE))))</f>
        <v>Dave Tomlinson (LFCC)</v>
      </c>
      <c r="I19" s="51">
        <f t="shared" si="1"/>
        <v>0</v>
      </c>
      <c r="J19" t="str">
        <f t="shared" si="2"/>
        <v>X</v>
      </c>
    </row>
    <row r="20" spans="1:10" ht="15">
      <c r="A20" s="46" t="s">
        <v>744</v>
      </c>
      <c r="B20" s="47" t="str">
        <f t="shared" si="0"/>
        <v>Edward Dring</v>
      </c>
      <c r="C20" s="48"/>
      <c r="D20" s="49"/>
      <c r="E20" s="49"/>
      <c r="F20" s="49"/>
      <c r="G20" s="49"/>
      <c r="H20" s="50" t="str">
        <f>IF($B20="","",IF($J20="X",B20,CONCATENATE(VLOOKUP(B20,Competitors!$A$2:$I$650,3,FALSE)," ",VLOOKUP(B20,Competitors!$A$2:$I$650,2,FALSE))))</f>
        <v>Edward Dring</v>
      </c>
      <c r="I20" s="51">
        <f t="shared" si="1"/>
        <v>0</v>
      </c>
      <c r="J20" t="str">
        <f t="shared" si="2"/>
        <v>X</v>
      </c>
    </row>
    <row r="21" spans="1:10" ht="15">
      <c r="A21" s="46" t="s">
        <v>702</v>
      </c>
      <c r="B21" s="47" t="str">
        <f t="shared" si="0"/>
        <v>Paul Akroyd (VTTA E.Mids)</v>
      </c>
      <c r="C21" s="48"/>
      <c r="D21" s="49"/>
      <c r="E21" s="49"/>
      <c r="F21" s="49"/>
      <c r="G21" s="49"/>
      <c r="H21" s="50" t="str">
        <f>IF($B21="","",IF($J21="X",B21,CONCATENATE(VLOOKUP(B21,Competitors!$A$2:$I$650,3,FALSE)," ",VLOOKUP(B21,Competitors!$A$2:$I$650,2,FALSE))))</f>
        <v>Paul Akroyd (VTTA E.Mids)</v>
      </c>
      <c r="I21" s="51">
        <f t="shared" si="1"/>
        <v>0</v>
      </c>
      <c r="J21" t="str">
        <f t="shared" si="2"/>
        <v>X</v>
      </c>
    </row>
    <row r="22" spans="1:10" ht="15">
      <c r="A22" s="46" t="s">
        <v>624</v>
      </c>
      <c r="B22" s="47">
        <f t="shared" si="0"/>
        <v>1391</v>
      </c>
      <c r="C22" s="48"/>
      <c r="D22" s="49"/>
      <c r="E22" s="49"/>
      <c r="F22" s="49"/>
      <c r="G22" s="49"/>
      <c r="H22" s="50" t="str">
        <f>IF($B22="","",IF($J22="X",B22,CONCATENATE(VLOOKUP(B22,Competitors!$A$2:$I$650,3,FALSE)," ",VLOOKUP(B22,Competitors!$A$2:$I$650,2,FALSE))))</f>
        <v>Leah Cuthbertson</v>
      </c>
      <c r="I22" s="51">
        <f t="shared" si="1"/>
        <v>0</v>
      </c>
      <c r="J22" t="str">
        <f t="shared" si="2"/>
        <v/>
      </c>
    </row>
    <row r="23" spans="1:10" ht="15">
      <c r="A23" s="46" t="s">
        <v>486</v>
      </c>
      <c r="B23" s="47" t="str">
        <f t="shared" si="0"/>
        <v>Harriet Hughes (Beeston RC)</v>
      </c>
      <c r="C23" s="48"/>
      <c r="D23" s="49"/>
      <c r="E23" s="49"/>
      <c r="F23" s="49"/>
      <c r="G23" s="49"/>
      <c r="H23" s="50" t="str">
        <f>IF($B23="","",IF($J23="X",B23,CONCATENATE(VLOOKUP(B23,Competitors!$A$2:$I$650,3,FALSE)," ",VLOOKUP(B23,Competitors!$A$2:$I$650,2,FALSE))))</f>
        <v>Harriet Hughes (Beeston RC)</v>
      </c>
      <c r="I23" s="51">
        <f t="shared" si="1"/>
        <v>0</v>
      </c>
      <c r="J23" t="str">
        <f t="shared" si="2"/>
        <v>X</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Event_19</v>
      </c>
    </row>
    <row r="104" spans="1:10">
      <c r="B104" t="s">
        <v>554</v>
      </c>
      <c r="C104" t="str">
        <f ca="1">_xlfn.XLOOKUP(C103,Calendar!O:O,Calendar!H:H,"Event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Event_20</v>
      </c>
    </row>
    <row r="104" spans="1:10">
      <c r="B104" t="s">
        <v>554</v>
      </c>
      <c r="C104" t="str">
        <f ca="1">_xlfn.XLOOKUP(C103,Calendar!O:O,Calendar!H:H,"Event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Event_21</v>
      </c>
    </row>
    <row r="104" spans="1:10">
      <c r="B104" t="s">
        <v>554</v>
      </c>
      <c r="C104" t="str">
        <f ca="1">_xlfn.XLOOKUP(C103,Calendar!O:O,Calendar!H:H,"Event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Event_22</v>
      </c>
    </row>
    <row r="104" spans="1:10">
      <c r="B104" t="s">
        <v>554</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Event_23</v>
      </c>
    </row>
    <row r="104" spans="1:10">
      <c r="B104" t="s">
        <v>554</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Event_24</v>
      </c>
    </row>
    <row r="104" spans="1:10">
      <c r="B104" t="s">
        <v>554</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Event_25</v>
      </c>
    </row>
    <row r="104" spans="1:10">
      <c r="B104" t="s">
        <v>554</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Event_26</v>
      </c>
    </row>
    <row r="104" spans="1:10">
      <c r="B104" t="s">
        <v>554</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Event_27</v>
      </c>
    </row>
    <row r="104" spans="1:10">
      <c r="B104" t="s">
        <v>554</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Event_28</v>
      </c>
    </row>
    <row r="104" spans="1:10">
      <c r="B104" t="s">
        <v>554</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2026-07-20T16:13:22Z</dcterms:modified>
</cp:coreProperties>
</file>