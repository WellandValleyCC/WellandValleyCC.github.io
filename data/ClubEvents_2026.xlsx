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76B96AED-2201-4AAB-B266-A0269CD028BB}" xr6:coauthVersionLast="47" xr6:coauthVersionMax="47" xr10:uidLastSave="{00000000-0000-0000-0000-000000000000}"/>
  <bookViews>
    <workbookView xWindow="0" yWindow="4163" windowWidth="28800" windowHeight="13117" firstSheet="26" activeTab="16"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B51" i="32"/>
  <c r="B50" i="32"/>
  <c r="B6" i="32"/>
  <c r="B34" i="32"/>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C104" i="37" s="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s="1"/>
  <c r="I101" i="33"/>
  <c r="B101" i="33"/>
  <c r="J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B20" i="33"/>
  <c r="I6" i="33"/>
  <c r="B6" i="33"/>
  <c r="I3" i="33"/>
  <c r="B3" i="33"/>
  <c r="I12" i="33"/>
  <c r="B12" i="33"/>
  <c r="I33" i="33"/>
  <c r="B33" i="33"/>
  <c r="I21" i="33"/>
  <c r="B21" i="33"/>
  <c r="I19" i="33"/>
  <c r="B19" i="33"/>
  <c r="I24" i="33"/>
  <c r="B24" i="33"/>
  <c r="I18" i="33"/>
  <c r="B18" i="33"/>
  <c r="I2" i="33"/>
  <c r="B2" i="33"/>
  <c r="I28" i="33"/>
  <c r="B28" i="33"/>
  <c r="I25" i="33"/>
  <c r="B25" i="33"/>
  <c r="I32" i="33"/>
  <c r="B32" i="33"/>
  <c r="I17" i="33"/>
  <c r="B17" i="33"/>
  <c r="I5" i="33"/>
  <c r="B5" i="33"/>
  <c r="I9" i="33"/>
  <c r="B9" i="33"/>
  <c r="I30" i="33"/>
  <c r="B30" i="33"/>
  <c r="I29" i="33"/>
  <c r="I16" i="33"/>
  <c r="B16" i="33"/>
  <c r="I22" i="33"/>
  <c r="B22" i="33"/>
  <c r="I13" i="33"/>
  <c r="B13" i="33"/>
  <c r="I8" i="33"/>
  <c r="B8" i="33"/>
  <c r="I11" i="33"/>
  <c r="B11" i="33"/>
  <c r="I15" i="33"/>
  <c r="B15" i="33"/>
  <c r="I26" i="33"/>
  <c r="B26" i="33"/>
  <c r="I27" i="33"/>
  <c r="B27" i="33"/>
  <c r="I7" i="33"/>
  <c r="B7" i="33"/>
  <c r="I10" i="33"/>
  <c r="B10" i="33"/>
  <c r="I31" i="33"/>
  <c r="B31" i="33"/>
  <c r="I23" i="33"/>
  <c r="B23" i="33"/>
  <c r="I14" i="33"/>
  <c r="B14" i="33"/>
  <c r="I4" i="33"/>
  <c r="B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29"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A10" i="16"/>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92" i="31"/>
  <c r="H90" i="31"/>
  <c r="J88" i="31"/>
  <c r="J87" i="31"/>
  <c r="J85" i="31"/>
  <c r="H85" i="31"/>
  <c r="J83" i="31"/>
  <c r="H83" i="31"/>
  <c r="J81" i="31"/>
  <c r="H81" i="31"/>
  <c r="J79" i="31"/>
  <c r="H79" i="31"/>
  <c r="J78" i="31"/>
  <c r="H78" i="31"/>
  <c r="J77" i="31"/>
  <c r="H77" i="31"/>
  <c r="J75" i="31"/>
  <c r="H75" i="31"/>
  <c r="J73" i="31"/>
  <c r="H73" i="31"/>
  <c r="H72" i="31"/>
  <c r="H69" i="3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11" i="33"/>
  <c r="H11" i="33"/>
  <c r="J15" i="33"/>
  <c r="H15" i="33"/>
  <c r="J26" i="33"/>
  <c r="H26" i="33"/>
  <c r="J27" i="33"/>
  <c r="H27" i="33"/>
  <c r="J7" i="33"/>
  <c r="H7" i="33"/>
  <c r="J10" i="33"/>
  <c r="H10" i="33"/>
  <c r="J31" i="33"/>
  <c r="H31" i="33"/>
  <c r="J23" i="33"/>
  <c r="H23" i="33"/>
  <c r="J14" i="33"/>
  <c r="H14" i="33"/>
  <c r="J4" i="33"/>
  <c r="H4" i="33"/>
  <c r="J20" i="33"/>
  <c r="H20" i="33"/>
  <c r="J6" i="33"/>
  <c r="H6" i="33"/>
  <c r="J3" i="33"/>
  <c r="H3" i="33"/>
  <c r="J12" i="33"/>
  <c r="H12" i="33"/>
  <c r="J33" i="33"/>
  <c r="H33" i="33"/>
  <c r="J8" i="33"/>
  <c r="H8" i="33"/>
  <c r="J21" i="33"/>
  <c r="H21" i="33"/>
  <c r="J19" i="33"/>
  <c r="H19" i="33"/>
  <c r="J24" i="33"/>
  <c r="H24" i="33"/>
  <c r="J18" i="33"/>
  <c r="H18" i="33"/>
  <c r="J2" i="33"/>
  <c r="H2" i="33"/>
  <c r="J28" i="33"/>
  <c r="H28" i="33"/>
  <c r="J25" i="33"/>
  <c r="H25" i="33"/>
  <c r="J32" i="33"/>
  <c r="H32" i="33"/>
  <c r="J17" i="33"/>
  <c r="H17" i="33"/>
  <c r="J5" i="33"/>
  <c r="H5" i="33"/>
  <c r="J9" i="33"/>
  <c r="H9" i="33"/>
  <c r="J30" i="33"/>
  <c r="H30" i="33"/>
  <c r="J16" i="33"/>
  <c r="H16" i="33"/>
  <c r="J22" i="33"/>
  <c r="H22" i="33"/>
  <c r="J13" i="33"/>
  <c r="H13" i="33"/>
  <c r="J29" i="33"/>
  <c r="H29" i="33"/>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<sst xmlns="http://schemas.openxmlformats.org/spreadsheetml/2006/main" count="15265" uniqueCount="637">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</sst>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abSelected="1"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 t="shared" ref="B2:B32" si="0">IF(A2="","",_xlfn.XLOOKUP(A2,ClubNames,ClubNumbers,_xlfn.XLOOKUP(A2,RoundRobinRiderNames,RoundRobinRiderDecoratedNames,A2)))</f>
        <v>Geoff Stanbridge (Ratae)</v>
      </c>
      <c r="C2" s="48"/>
      <c r="D2" s="49">
        <v>40</v>
      </c>
      <c r="E2" s="49">
        <v>37</v>
      </c>
      <c r="F2" s="49" t="s">
        <v>551</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551</v>
      </c>
      <c r="G3" s="49"/>
      <c r="H3" s="50" t="str">
        <f>IF($B3="","",IF($J3="X",B3,CONCATENATE(VLOOKUP(B3,Competitors!$A$2:$I$650,3,FALSE)," ",VLOOKUP(B3,Competitors!$A$2:$I$650,2,FALSE))))</f>
        <v>Mea Moore</v>
      </c>
      <c r="I3" s="51">
        <f t="shared" si="1"/>
        <v>2.0208333333333332E-2</v>
      </c>
      <c r="J3" t="str">
        <f t="shared" si="2"/>
        <v/>
      </c>
    </row>
    <row r="4" spans="1:10" ht="15">
      <c r="A4" s="46" t="s">
        <v>631</v>
      </c>
      <c r="B4" s="47">
        <f t="shared" si="0"/>
        <v>990</v>
      </c>
      <c r="C4" s="48"/>
      <c r="D4" s="49">
        <v>32</v>
      </c>
      <c r="E4" s="49">
        <v>57</v>
      </c>
      <c r="F4" s="49" t="s">
        <v>551</v>
      </c>
      <c r="G4" s="49"/>
      <c r="H4" s="50" t="str">
        <f>IF($B4="","",IF($J4="X",B4,CONCATENATE(VLOOKUP(B4,Competitors!$A$2:$I$650,3,FALSE)," ",VLOOKUP(B4,Competitors!$A$2:$I$650,2,FALSE))))</f>
        <v>Jen Hulme</v>
      </c>
      <c r="I4" s="51">
        <f t="shared" si="1"/>
        <v>2.2881944444444444E-2</v>
      </c>
      <c r="J4" t="str">
        <f t="shared" si="2"/>
        <v/>
      </c>
    </row>
    <row r="5" spans="1:10" ht="15">
      <c r="A5" s="46" t="s">
        <v>632</v>
      </c>
      <c r="B5" s="47" t="str">
        <f t="shared" si="0"/>
        <v>Michael Wheeler (KCC)</v>
      </c>
      <c r="C5" s="48"/>
      <c r="D5" s="49"/>
      <c r="E5" s="49"/>
      <c r="F5" s="49" t="s">
        <v>551</v>
      </c>
      <c r="G5" s="49" t="s">
        <v>560</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551</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551</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551</v>
      </c>
      <c r="G9" s="49"/>
      <c r="H9" s="50" t="str">
        <f>IF($B9="","",IF($J9="X",B9,CONCATENATE(VLOOKUP(B9,Competitors!$A$2:$I$650,3,FALSE)," ",VLOOKUP(B9,Competitors!$A$2:$I$650,2,FALSE))))</f>
        <v>Michaela Latham</v>
      </c>
      <c r="I9" s="51">
        <f t="shared" si="1"/>
        <v>2.0486111111111111E-2</v>
      </c>
      <c r="J9" t="str">
        <f t="shared" si="2"/>
        <v/>
      </c>
    </row>
    <row r="10" spans="1:10" ht="15">
      <c r="A10" s="46" t="s">
        <v>594</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530</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551</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551</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634</v>
      </c>
      <c r="B17" s="47" t="str">
        <f t="shared" si="0"/>
        <v>Paul Akroyd (VTTA E.Mids)</v>
      </c>
      <c r="C17" s="48"/>
      <c r="D17" s="49">
        <v>27</v>
      </c>
      <c r="E17" s="49">
        <v>25</v>
      </c>
      <c r="F17" s="49" t="s">
        <v>551</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551</v>
      </c>
      <c r="G18" s="49"/>
      <c r="H18" s="50" t="str">
        <f>IF($B18="","",IF($J18="X",B18,CONCATENATE(VLOOKUP(B18,Competitors!$A$2:$I$650,3,FALSE)," ",VLOOKUP(B18,Competitors!$A$2:$I$650,2,FALSE))))</f>
        <v>Richard Hardwicke</v>
      </c>
      <c r="I18" s="51">
        <f t="shared" si="1"/>
        <v>1.9953703703703703E-2</v>
      </c>
      <c r="J18" t="str">
        <f t="shared" si="2"/>
        <v/>
      </c>
    </row>
    <row r="19" spans="1:10" ht="15">
      <c r="A19" s="46" t="s">
        <v>633</v>
      </c>
      <c r="B19" s="47" t="str">
        <f t="shared" si="0"/>
        <v>Ian Bird (KCC)</v>
      </c>
      <c r="C19" s="48"/>
      <c r="D19" s="49">
        <v>28</v>
      </c>
      <c r="E19" s="49">
        <v>59</v>
      </c>
      <c r="F19" s="49" t="s">
        <v>551</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507</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515</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518</v>
      </c>
      <c r="B23" s="47" t="str">
        <f t="shared" si="0"/>
        <v>Paul Eden (Ratae)</v>
      </c>
      <c r="C23" s="48"/>
      <c r="D23" s="49">
        <v>32</v>
      </c>
      <c r="E23" s="49">
        <v>7</v>
      </c>
      <c r="F23" s="49" t="s">
        <v>551</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551</v>
      </c>
      <c r="G25" s="49"/>
      <c r="H25" s="50" t="str">
        <f>IF($B25="","",IF($J25="X",B25,CONCATENATE(VLOOKUP(B25,Competitors!$A$2:$I$650,3,FALSE)," ",VLOOKUP(B25,Competitors!$A$2:$I$650,2,FALSE))))</f>
        <v>John Abbott</v>
      </c>
      <c r="I25" s="51">
        <f t="shared" si="1"/>
        <v>1.8240740740740741E-2</v>
      </c>
      <c r="J25" t="str">
        <f t="shared" si="2"/>
        <v/>
      </c>
    </row>
    <row r="26" spans="1:10" ht="15">
      <c r="A26" s="46" t="s">
        <v>601</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584</v>
      </c>
      <c r="B28" s="47">
        <f t="shared" si="0"/>
        <v>741</v>
      </c>
      <c r="C28" s="48"/>
      <c r="D28" s="49">
        <v>24</v>
      </c>
      <c r="E28" s="49">
        <v>24</v>
      </c>
      <c r="F28" s="49" t="s">
        <v>551</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523</v>
      </c>
      <c r="B30" s="47" t="str">
        <f t="shared" si="0"/>
        <v>Chris Fowler (RFW)</v>
      </c>
      <c r="C30" s="48"/>
      <c r="D30" s="49">
        <v>23</v>
      </c>
      <c r="E30" s="49">
        <v>20</v>
      </c>
      <c r="F30" s="49" t="s">
        <v>551</v>
      </c>
      <c r="G30" s="49"/>
      <c r="H30" s="50" t="str">
        <f>IF($B30="","",IF($J30="X",B30,CONCATENATE(VLOOKUP(B30,Competitors!$A$2:$I$650,3,FALSE)," ",VLOOKUP(B30,Competitors!$A$2:$I$650,2,FALSE))))</f>
        <v>Chris Fowler (RFW)</v>
      </c>
      <c r="I30" s="51">
        <f t="shared" si="1"/>
        <v>1.6203703703703703E-2</v>
      </c>
      <c r="J30" t="str">
        <f t="shared" si="2"/>
        <v>X</v>
      </c>
    </row>
    <row r="31" spans="1:10" ht="15">
      <c r="A31" s="46" t="s">
        <v>534</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2026-07-03T17:03:26Z</dcterms:modified>
</cp:coreProperties>
</file>