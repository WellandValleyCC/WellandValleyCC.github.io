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D6100177-281E-4967-8D13-61FEB934785F}" xr6:coauthVersionLast="47" xr6:coauthVersionMax="47" xr10:uidLastSave="{00000000-0000-0000-0000-000000000000}"/>
  <bookViews>
    <workbookView xWindow="0" yWindow="3885" windowWidth="28800" windowHeight="13118" firstSheet="21" activeTab="29"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29" l="1"/>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5" i="18"/>
  <c r="B49" i="29"/>
  <c r="I48" i="29"/>
  <c r="C68" i="18"/>
  <c r="B48" i="29"/>
  <c r="I47" i="29"/>
  <c r="B47" i="29"/>
  <c r="I46" i="29"/>
  <c r="C61"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2" i="18"/>
  <c r="B24" i="29"/>
  <c r="I23" i="29"/>
  <c r="B23" i="29"/>
  <c r="I22" i="29"/>
  <c r="C32" i="18"/>
  <c r="B22" i="29"/>
  <c r="I21" i="29"/>
  <c r="B21" i="29"/>
  <c r="I20" i="29"/>
  <c r="B20" i="29"/>
  <c r="I19" i="29"/>
  <c r="C37" i="18"/>
  <c r="B19" i="29"/>
  <c r="I18" i="29"/>
  <c r="B18" i="29"/>
  <c r="I17" i="29"/>
  <c r="B17" i="29"/>
  <c r="I16" i="29"/>
  <c r="B16" i="29"/>
  <c r="I15" i="29"/>
  <c r="B15" i="29"/>
  <c r="I14" i="29"/>
  <c r="B14" i="29"/>
  <c r="I13" i="29"/>
  <c r="B13" i="29"/>
  <c r="I12" i="29"/>
  <c r="B12" i="29"/>
  <c r="I11" i="29"/>
  <c r="B11" i="29"/>
  <c r="I10" i="29"/>
  <c r="C33" i="18"/>
  <c r="B10" i="29"/>
  <c r="I9" i="29"/>
  <c r="B9" i="29"/>
  <c r="I8" i="29"/>
  <c r="B8" i="29"/>
  <c r="I7" i="29"/>
  <c r="B7" i="29"/>
  <c r="I6" i="29"/>
  <c r="B6" i="29"/>
  <c r="I5" i="29"/>
  <c r="B5" i="29"/>
  <c r="I4" i="29"/>
  <c r="B4" i="29"/>
  <c r="I3" i="29"/>
  <c r="C39"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67" i="18"/>
  <c r="C66" i="18"/>
  <c r="C17" i="18"/>
  <c r="C56" i="18"/>
  <c r="C71" i="18"/>
  <c r="C70" i="18"/>
  <c r="C69" i="18"/>
  <c r="C65" i="18"/>
  <c r="C64" i="18"/>
  <c r="C63" i="18"/>
  <c r="C62" i="18"/>
  <c r="C60" i="18"/>
  <c r="C59" i="18"/>
  <c r="C58"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10" i="45"/>
  <c r="H8" i="45"/>
  <c r="H2" i="45"/>
  <c r="J99" i="44"/>
  <c r="J98" i="43"/>
  <c r="H6" i="45"/>
  <c r="J4" i="45"/>
  <c r="J3" i="45"/>
  <c r="J100" i="44"/>
  <c r="J9" i="45"/>
  <c r="J6" i="45"/>
  <c r="J5" i="45"/>
  <c r="H3" i="45"/>
  <c r="J101" i="44"/>
  <c r="J10" i="45"/>
  <c r="J8" i="45"/>
  <c r="H7" i="45"/>
  <c r="H5" i="45"/>
  <c r="H4" i="45"/>
  <c r="J2" i="45"/>
  <c r="H100" i="44"/>
  <c r="H94" i="31"/>
  <c r="J40" i="42"/>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B7" i="24"/>
  <c r="B18" i="26"/>
  <c r="B38" i="29" l="1"/>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25" i="36"/>
  <c r="J10" i="30"/>
  <c r="H10" i="30"/>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J18" i="26"/>
  <c r="H18" i="2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 i="30"/>
  <c r="H9" i="30"/>
  <c r="J8" i="30"/>
  <c r="H8" i="30"/>
  <c r="J7" i="30"/>
  <c r="H7" i="30"/>
  <c r="J6" i="30"/>
  <c r="H6" i="30"/>
  <c r="J5" i="30"/>
  <c r="H5" i="30"/>
  <c r="J4" i="30"/>
  <c r="H4" i="30"/>
  <c r="J3" i="30"/>
  <c r="H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B2" i="30"/>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71" i="31"/>
  <c r="H70" i="31"/>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H89" i="40"/>
  <c r="H87" i="40"/>
  <c r="H33" i="39"/>
  <c r="J79" i="37"/>
  <c r="J64" i="31"/>
  <c r="J87" i="40"/>
  <c r="J33" i="39"/>
  <c r="H75" i="34"/>
  <c r="J85" i="20"/>
  <c r="H64" i="31"/>
  <c r="J56" i="28"/>
  <c r="J96" i="43"/>
  <c r="H96" i="43"/>
  <c r="J95" i="43"/>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H98" i="43"/>
  <c r="H97" i="43"/>
  <c r="J63" i="22"/>
  <c r="H63" i="22"/>
  <c r="J62" i="22"/>
  <c r="H62" i="22"/>
  <c r="J61" i="22"/>
  <c r="H61" i="22"/>
  <c r="J60" i="22"/>
  <c r="H60" i="22"/>
  <c r="J59" i="22"/>
  <c r="H59" i="22"/>
  <c r="J58" i="22"/>
  <c r="H58" i="22"/>
  <c r="J57" i="22"/>
  <c r="H57" i="22"/>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1" i="31"/>
  <c r="J70"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22" i="27"/>
  <c r="H4" i="25"/>
  <c r="H26" i="26"/>
  <c r="H23" i="23"/>
  <c r="H26" i="25"/>
  <c r="H32" i="27"/>
  <c r="H19" i="28"/>
  <c r="H27" i="28"/>
  <c r="H8" i="25"/>
  <c r="H31" i="27"/>
  <c r="H21" i="28"/>
  <c r="H22" i="28"/>
  <c r="H38" i="28"/>
  <c r="H24" i="23"/>
  <c r="H23" i="25"/>
  <c r="H13" i="26"/>
  <c r="H25" i="28"/>
  <c r="H18" i="28"/>
  <c r="H26" i="23"/>
  <c r="H18" i="24"/>
  <c r="H6" i="28"/>
  <c r="J46" i="29"/>
  <c r="J45" i="29"/>
  <c r="J44" i="29"/>
  <c r="J43" i="29"/>
  <c r="J42" i="29"/>
  <c r="J40" i="29"/>
  <c r="J39" i="29"/>
  <c r="J37" i="29"/>
  <c r="J36" i="29"/>
  <c r="J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32" i="29"/>
  <c r="H28" i="29"/>
  <c r="H23" i="29"/>
  <c r="H15" i="29"/>
  <c r="H14" i="29"/>
  <c r="H31" i="29"/>
  <c r="H17" i="29"/>
  <c r="H9" i="29"/>
  <c r="H7" i="29"/>
  <c r="H3" i="29"/>
  <c r="H13" i="29"/>
  <c r="H6" i="29"/>
  <c r="H8" i="29"/>
  <c r="H11" i="29"/>
  <c r="H5" i="29"/>
  <c r="J52" i="29"/>
  <c r="J51" i="29"/>
  <c r="J50" i="29"/>
  <c r="J49" i="29"/>
  <c r="J48" i="29"/>
  <c r="J47" i="29"/>
  <c r="J41" i="29"/>
  <c r="J21" i="29"/>
  <c r="H45" i="29"/>
  <c r="H26" i="29"/>
  <c r="H33" i="29"/>
  <c r="H25" i="29"/>
  <c r="H4" i="29"/>
  <c r="H12" i="29"/>
  <c r="H22" i="29"/>
  <c r="H24" i="29"/>
  <c r="H18" i="29"/>
  <c r="H16" i="29"/>
  <c r="H29" i="29"/>
  <c r="H20" i="29"/>
  <c r="H19" i="29"/>
  <c r="H46" i="29"/>
  <c r="H34" i="29"/>
  <c r="H30" i="29"/>
  <c r="H27" i="29"/>
  <c r="H48" i="29"/>
  <c r="H51" i="29"/>
  <c r="H41" i="29"/>
  <c r="J7" i="24"/>
  <c r="H49" i="29"/>
  <c r="H21"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 r="C104" i="34"/>
  <c r="C104" i="28"/>
  <c r="C104" i="38"/>
  <c r="C104" i="37"/>
  <c r="C104" i="44"/>
  <c r="C104" i="21"/>
  <c r="C104" i="41"/>
  <c r="C104" i="27"/>
  <c r="C104" i="23"/>
  <c r="C104" i="39"/>
  <c r="C104" i="29"/>
  <c r="C104" i="31"/>
  <c r="C104" i="45"/>
  <c r="C104" i="36"/>
  <c r="C104" i="24"/>
  <c r="C104" i="26"/>
  <c r="C104" i="19"/>
  <c r="C104" i="30"/>
  <c r="C104" i="43"/>
  <c r="C104" i="33"/>
  <c r="C104" i="20"/>
  <c r="C104" i="46"/>
  <c r="C104" i="40"/>
  <c r="C104" i="25"/>
  <c r="C104" i="35"/>
  <c r="C104" i="32"/>
  <c r="C104" i="22"/>
  <c r="C104" i="42"/>
  <c r="J38" i="29" l="1"/>
  <c r="H38" i="29" s="1"/>
  <c r="H10" i="29"/>
  <c r="H3" i="27"/>
  <c r="H42" i="28"/>
  <c r="H8" i="26"/>
  <c r="H28" i="26"/>
  <c r="H19" i="27"/>
  <c r="H12" i="25"/>
  <c r="H17" i="27"/>
  <c r="H17" i="24"/>
  <c r="H17" i="25"/>
  <c r="H6" i="26"/>
  <c r="H4" i="27"/>
  <c r="H5" i="27"/>
  <c r="H21" i="27"/>
  <c r="H9" i="28"/>
  <c r="H10" i="28"/>
  <c r="H24" i="24"/>
  <c r="H10" i="26"/>
  <c r="H6" i="27"/>
  <c r="H24" i="27"/>
  <c r="H12" i="28"/>
  <c r="H25" i="24"/>
  <c r="H12" i="26"/>
  <c r="H5" i="28"/>
  <c r="H28" i="27"/>
  <c r="H14" i="28"/>
  <c r="H15" i="28"/>
  <c r="H30" i="27"/>
  <c r="H25" i="23"/>
  <c r="J2" i="30"/>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21" i="24"/>
  <c r="H10" i="25"/>
  <c r="H28" i="25"/>
  <c r="H15" i="26"/>
  <c r="H27" i="27"/>
  <c r="H37" i="28"/>
  <c r="H8" i="27"/>
  <c r="H26" i="27"/>
  <c r="H23" i="28"/>
  <c r="H40" i="28"/>
  <c r="H22" i="23"/>
  <c r="H23" i="24"/>
  <c r="H11" i="25"/>
  <c r="H29" i="25"/>
  <c r="H16" i="26"/>
  <c r="H9" i="27"/>
  <c r="H20" i="28"/>
  <c r="H32" i="28"/>
  <c r="H33" i="28"/>
  <c r="H6" i="23"/>
  <c r="H7" i="23"/>
  <c r="H8" i="23"/>
  <c r="H11"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24" i="28"/>
  <c r="H36" i="29"/>
  <c r="H52" i="29"/>
  <c r="H37" i="29"/>
  <c r="H35" i="29"/>
  <c r="H2" i="29"/>
  <c r="H11" i="23"/>
  <c r="H13" i="24"/>
  <c r="H9" i="25"/>
  <c r="H31" i="25"/>
  <c r="H32" i="25"/>
  <c r="H33" i="25"/>
  <c r="H34" i="25"/>
  <c r="H35" i="25"/>
  <c r="H7" i="26"/>
  <c r="H29" i="26"/>
  <c r="H30" i="26"/>
  <c r="H31" i="26"/>
  <c r="H2" i="27"/>
  <c r="H16" i="23"/>
  <c r="H19" i="24"/>
  <c r="H21" i="25"/>
  <c r="H9" i="26"/>
  <c r="H27" i="26"/>
  <c r="H9" i="23"/>
  <c r="H3" i="25"/>
  <c r="H44" i="29"/>
  <c r="H42" i="29"/>
  <c r="H43" i="29"/>
  <c r="H7" i="24"/>
  <c r="H40" i="29"/>
  <c r="H30" i="25"/>
  <c r="H29" i="23"/>
  <c r="H39" i="29"/>
  <c r="H2" i="3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<sst xmlns="http://schemas.openxmlformats.org/spreadsheetml/2006/main" count="14235" uniqueCount="601">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</sst>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4" Type="http://schemas.microsoft.com/office/2017/10/relationships/threadedComment" Target="../threadedComments/threadedComment9.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6384" width="9.1328125" style="18"/>
  </cols>
  <sheetData>
    <row r="1" spans="1:15"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5" workbookViewId="0">
      <selection activeCell="A61" sqref="A61"/>
    </sheetView>
  </sheetViews>
  <sheetFormatPr defaultRowHeight="12.75"/>
  <cols>
    <col min="1" max="1" width="28.46484375" customWidth="1"/>
    <col min="2" max="2" width="19.1328125" customWidth="1"/>
    <col min="3" max="3" width="25.0664062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488</v>
      </c>
      <c r="B15" t="s">
        <v>391</v>
      </c>
      <c r="C15" s="36" t="str">
        <f t="shared" si="0"/>
        <v>Evan Collett Jnr (KCC)</v>
      </c>
    </row>
    <row r="16" spans="1:8" ht="14.25">
      <c r="A16" t="s">
        <v>489</v>
      </c>
      <c r="B16" t="s">
        <v>391</v>
      </c>
      <c r="C16" s="36" t="str">
        <f t="shared" si="0"/>
        <v>Josh Brown (KCC)</v>
      </c>
    </row>
    <row r="17" spans="1:4" ht="14.25">
      <c r="A17" t="s">
        <v>598</v>
      </c>
      <c r="B17" t="s">
        <v>391</v>
      </c>
      <c r="C17" s="36" t="str">
        <f t="shared" si="0"/>
        <v>Maria Cayford (KCC)</v>
      </c>
      <c r="D17" t="s">
        <v>372</v>
      </c>
    </row>
    <row r="18" spans="1:4" ht="14.25">
      <c r="A18" t="s">
        <v>490</v>
      </c>
      <c r="B18" t="s">
        <v>400</v>
      </c>
      <c r="C18" s="36" t="str">
        <f t="shared" si="0"/>
        <v>Harriet Hughes (LFCC)</v>
      </c>
      <c r="D18" t="s">
        <v>372</v>
      </c>
    </row>
    <row r="19" spans="1:4" ht="14.25">
      <c r="A19" t="s">
        <v>491</v>
      </c>
      <c r="B19" t="s">
        <v>400</v>
      </c>
      <c r="C19" s="36" t="str">
        <f t="shared" si="0"/>
        <v>Mat Mabe (LFCC)</v>
      </c>
    </row>
    <row r="20" spans="1:4" ht="14.25">
      <c r="A20" t="s">
        <v>492</v>
      </c>
      <c r="B20" t="s">
        <v>400</v>
      </c>
      <c r="C20" s="36" t="str">
        <f t="shared" si="0"/>
        <v>Matt Finch (LFCC)</v>
      </c>
    </row>
    <row r="21" spans="1:4" ht="14.25">
      <c r="A21" t="s">
        <v>493</v>
      </c>
      <c r="B21" t="s">
        <v>400</v>
      </c>
      <c r="C21" s="36" t="str">
        <f t="shared" si="0"/>
        <v>Morris Mabe (LFCC)</v>
      </c>
    </row>
    <row r="22" spans="1:4" ht="14.25">
      <c r="A22" t="s">
        <v>494</v>
      </c>
      <c r="B22" t="s">
        <v>400</v>
      </c>
      <c r="C22" s="36" t="str">
        <f t="shared" si="0"/>
        <v>Sam Nettel (LFCC)</v>
      </c>
    </row>
    <row r="23" spans="1:4" ht="14.25">
      <c r="A23" t="s">
        <v>495</v>
      </c>
      <c r="B23" t="s">
        <v>400</v>
      </c>
      <c r="C23" s="36" t="str">
        <f t="shared" si="0"/>
        <v>Talles Medevives (LFCC)</v>
      </c>
    </row>
    <row r="24" spans="1:4" ht="14.25">
      <c r="A24" t="s">
        <v>496</v>
      </c>
      <c r="B24" t="s">
        <v>497</v>
      </c>
      <c r="C24" s="36" t="str">
        <f t="shared" si="0"/>
        <v>Dean Tacey (LRC)</v>
      </c>
    </row>
    <row r="25" spans="1:4" ht="14.25">
      <c r="A25" t="s">
        <v>498</v>
      </c>
      <c r="B25" t="s">
        <v>499</v>
      </c>
      <c r="C25" s="36" t="str">
        <f t="shared" si="0"/>
        <v>Chris Booth (MOCC)</v>
      </c>
    </row>
    <row r="26" spans="1:4" ht="14.25">
      <c r="A26" t="s">
        <v>500</v>
      </c>
      <c r="B26" t="s">
        <v>499</v>
      </c>
      <c r="C26" s="36" t="str">
        <f t="shared" si="0"/>
        <v>David Cooper (MOCC)</v>
      </c>
    </row>
    <row r="27" spans="1:4" ht="14.25">
      <c r="A27" t="s">
        <v>501</v>
      </c>
      <c r="B27" t="s">
        <v>499</v>
      </c>
      <c r="C27" s="36" t="str">
        <f t="shared" si="0"/>
        <v>Jamie Haines (MOCC)</v>
      </c>
    </row>
    <row r="28" spans="1:4" ht="14.25">
      <c r="A28" t="s">
        <v>502</v>
      </c>
      <c r="B28" t="s">
        <v>499</v>
      </c>
      <c r="C28" s="36" t="str">
        <f t="shared" si="0"/>
        <v>Laura Ayers (W) (MOCC)</v>
      </c>
      <c r="D28" t="s">
        <v>372</v>
      </c>
    </row>
    <row r="29" spans="1:4" ht="14.25">
      <c r="A29" t="s">
        <v>503</v>
      </c>
      <c r="B29" t="s">
        <v>504</v>
      </c>
      <c r="C29" s="36" t="str">
        <f t="shared" si="0"/>
        <v>Ed Tarelli (Race Hub)</v>
      </c>
      <c r="D29" s="36"/>
    </row>
    <row r="30" spans="1:4" ht="14.25">
      <c r="A30" t="s">
        <v>505</v>
      </c>
      <c r="B30" t="s">
        <v>506</v>
      </c>
      <c r="C30" s="36" t="str">
        <f t="shared" si="0"/>
        <v>Lewis Cooper (RAF Tri)</v>
      </c>
    </row>
    <row r="31" spans="1:4" ht="14.25">
      <c r="A31" t="s">
        <v>507</v>
      </c>
      <c r="B31" t="s">
        <v>394</v>
      </c>
      <c r="C31" s="36" t="str">
        <f t="shared" si="0"/>
        <v>Alex Whitmore (Ratae)</v>
      </c>
    </row>
    <row r="32" spans="1:4" ht="14.25">
      <c r="A32" t="s">
        <v>508</v>
      </c>
      <c r="B32" t="s">
        <v>394</v>
      </c>
      <c r="C32" s="36" t="str">
        <f t="shared" si="0"/>
        <v>Brian Lincoln (Ratae)</v>
      </c>
    </row>
    <row r="33" spans="1:4" ht="14.25">
      <c r="A33" t="s">
        <v>509</v>
      </c>
      <c r="B33" t="s">
        <v>394</v>
      </c>
      <c r="C33" s="36" t="str">
        <f t="shared" si="0"/>
        <v>Chris Bonsor (Ratae)</v>
      </c>
    </row>
    <row r="34" spans="1:4" ht="14.25">
      <c r="A34" t="s">
        <v>510</v>
      </c>
      <c r="B34" t="s">
        <v>394</v>
      </c>
      <c r="C34" s="36" t="str">
        <f t="shared" si="0"/>
        <v>Chris Spray (Ratae)</v>
      </c>
    </row>
    <row r="35" spans="1:4" ht="14.25">
      <c r="A35" t="s">
        <v>511</v>
      </c>
      <c r="B35" t="s">
        <v>394</v>
      </c>
      <c r="C35" s="36" t="str">
        <f t="shared" si="0"/>
        <v>Debbie Cooper (Ratae)</v>
      </c>
      <c r="D35" t="s">
        <v>372</v>
      </c>
    </row>
    <row r="36" spans="1:4" ht="14.25">
      <c r="A36" t="s">
        <v>512</v>
      </c>
      <c r="B36" t="s">
        <v>394</v>
      </c>
      <c r="C36" s="36" t="str">
        <f t="shared" ref="C36:C67" si="1">IF(ISBLANK(B36),IF(ISBLANK(A36),"",A36),_xlfn.CONCAT(A36," (",B36,")"))</f>
        <v>Ed Watson (Ratae)</v>
      </c>
    </row>
    <row r="37" spans="1:4" ht="14.25">
      <c r="A37" t="s">
        <v>590</v>
      </c>
      <c r="B37" s="63" t="s">
        <v>394</v>
      </c>
      <c r="C37" s="36" t="str">
        <f t="shared" si="1"/>
        <v>Geoff Stanbridge (Ratae)</v>
      </c>
    </row>
    <row r="38" spans="1:4" ht="14.25">
      <c r="A38" t="s">
        <v>513</v>
      </c>
      <c r="B38" t="s">
        <v>394</v>
      </c>
      <c r="C38" s="36" t="str">
        <f t="shared" si="1"/>
        <v>Jonathon Clarke (Ratae)</v>
      </c>
      <c r="D38" s="36"/>
    </row>
    <row r="39" spans="1:4" ht="14.25">
      <c r="A39" t="s">
        <v>514</v>
      </c>
      <c r="B39" t="s">
        <v>394</v>
      </c>
      <c r="C39" s="36" t="str">
        <f t="shared" si="1"/>
        <v>Lesley Allden (Ratae)</v>
      </c>
      <c r="D39" t="s">
        <v>372</v>
      </c>
    </row>
    <row r="40" spans="1:4" ht="14.25">
      <c r="A40" t="s">
        <v>515</v>
      </c>
      <c r="B40" t="s">
        <v>394</v>
      </c>
      <c r="C40" s="36" t="str">
        <f t="shared" si="1"/>
        <v>Lucy Sturgess (Ratae)</v>
      </c>
      <c r="D40" t="s">
        <v>372</v>
      </c>
    </row>
    <row r="41" spans="1:4" ht="14.25">
      <c r="A41" t="s">
        <v>516</v>
      </c>
      <c r="B41" t="s">
        <v>394</v>
      </c>
      <c r="C41" s="36" t="str">
        <f t="shared" si="1"/>
        <v>Mark Marmoy (Ratae)</v>
      </c>
    </row>
    <row r="42" spans="1:4" ht="14.25">
      <c r="A42" t="s">
        <v>517</v>
      </c>
      <c r="B42" t="s">
        <v>394</v>
      </c>
      <c r="C42" s="36" t="str">
        <f t="shared" si="1"/>
        <v>Mark Newton (Ratae)</v>
      </c>
    </row>
    <row r="43" spans="1:4" ht="14.25">
      <c r="A43" t="s">
        <v>518</v>
      </c>
      <c r="B43" t="s">
        <v>394</v>
      </c>
      <c r="C43" s="36" t="str">
        <f t="shared" si="1"/>
        <v>Marshall Briggs (Ratae)</v>
      </c>
    </row>
    <row r="44" spans="1:4" ht="14.25">
      <c r="A44" t="s">
        <v>519</v>
      </c>
      <c r="B44" t="s">
        <v>394</v>
      </c>
      <c r="C44" s="36" t="str">
        <f t="shared" si="1"/>
        <v>Natalie Harris (Ratae)</v>
      </c>
      <c r="D44" t="s">
        <v>372</v>
      </c>
    </row>
    <row r="45" spans="1:4" ht="14.25">
      <c r="A45" t="s">
        <v>520</v>
      </c>
      <c r="B45" t="s">
        <v>394</v>
      </c>
      <c r="C45" s="36" t="str">
        <f t="shared" si="1"/>
        <v>Paul Eden (Ratae)</v>
      </c>
    </row>
    <row r="46" spans="1:4" ht="14.25">
      <c r="A46" t="s">
        <v>521</v>
      </c>
      <c r="B46" t="s">
        <v>394</v>
      </c>
      <c r="C46" s="36" t="str">
        <f t="shared" si="1"/>
        <v>Sadie Murphy (Ratae)</v>
      </c>
      <c r="D46" t="s">
        <v>372</v>
      </c>
    </row>
    <row r="47" spans="1:4" ht="14.25">
      <c r="A47" t="s">
        <v>522</v>
      </c>
      <c r="B47" t="s">
        <v>394</v>
      </c>
      <c r="C47" s="36" t="str">
        <f t="shared" si="1"/>
        <v>Steve Pearce (Ratae)</v>
      </c>
    </row>
    <row r="48" spans="1:4" ht="14.25">
      <c r="A48" t="s">
        <v>523</v>
      </c>
      <c r="B48" t="s">
        <v>385</v>
      </c>
      <c r="C48" s="36" t="str">
        <f t="shared" si="1"/>
        <v>Adam Wells (RFW)</v>
      </c>
    </row>
    <row r="49" spans="1:4" ht="14.25">
      <c r="A49" t="s">
        <v>524</v>
      </c>
      <c r="B49" t="s">
        <v>385</v>
      </c>
      <c r="C49" s="36" t="str">
        <f t="shared" si="1"/>
        <v>Alex Borrowman (RFW)</v>
      </c>
    </row>
    <row r="50" spans="1:4" ht="14.25">
      <c r="A50" t="s">
        <v>525</v>
      </c>
      <c r="B50" t="s">
        <v>385</v>
      </c>
      <c r="C50" s="36" t="str">
        <f t="shared" si="1"/>
        <v>Anne Gilhespy (RFW)</v>
      </c>
      <c r="D50" t="s">
        <v>372</v>
      </c>
    </row>
    <row r="51" spans="1:4" ht="14.25">
      <c r="A51" t="s">
        <v>526</v>
      </c>
      <c r="B51" t="s">
        <v>385</v>
      </c>
      <c r="C51" s="36" t="str">
        <f t="shared" si="1"/>
        <v>Chris Fowler (RFW)</v>
      </c>
    </row>
    <row r="52" spans="1:4" ht="14.25">
      <c r="A52" t="s">
        <v>527</v>
      </c>
      <c r="B52" t="s">
        <v>385</v>
      </c>
      <c r="C52" s="36" t="str">
        <f t="shared" si="1"/>
        <v>Dan Hempkin (RFW)</v>
      </c>
    </row>
    <row r="53" spans="1:4" ht="14.25">
      <c r="A53" t="s">
        <v>528</v>
      </c>
      <c r="B53" t="s">
        <v>385</v>
      </c>
      <c r="C53" s="36" t="str">
        <f t="shared" si="1"/>
        <v>David Hill (RFW)</v>
      </c>
    </row>
    <row r="54" spans="1:4" ht="14.25">
      <c r="A54" t="s">
        <v>529</v>
      </c>
      <c r="B54" t="s">
        <v>385</v>
      </c>
      <c r="C54" s="36" t="str">
        <f t="shared" si="1"/>
        <v>Ethan Mitchell-Clarke (RFW)</v>
      </c>
    </row>
    <row r="55" spans="1:4" ht="14.25">
      <c r="A55" t="s">
        <v>530</v>
      </c>
      <c r="B55" t="s">
        <v>385</v>
      </c>
      <c r="C55" s="36" t="str">
        <f t="shared" si="1"/>
        <v>Giles Cooper (RFW)</v>
      </c>
    </row>
    <row r="56" spans="1:4" ht="14.25">
      <c r="A56" t="s">
        <v>597</v>
      </c>
      <c r="B56" t="s">
        <v>385</v>
      </c>
      <c r="C56" s="36" t="str">
        <f t="shared" si="1"/>
        <v>Graeme Hall (RFW)</v>
      </c>
    </row>
    <row r="57" spans="1:4" ht="14.25">
      <c r="A57" t="s">
        <v>531</v>
      </c>
      <c r="B57" t="s">
        <v>385</v>
      </c>
      <c r="C57" s="36" t="str">
        <f t="shared" si="1"/>
        <v>Gregg Payne (RFW)</v>
      </c>
    </row>
    <row r="58" spans="1:4" ht="14.25">
      <c r="A58" t="s">
        <v>532</v>
      </c>
      <c r="B58" t="s">
        <v>385</v>
      </c>
      <c r="C58" s="36" t="str">
        <f t="shared" si="1"/>
        <v>Lynne Scofield (RFW)</v>
      </c>
      <c r="D58" t="s">
        <v>372</v>
      </c>
    </row>
    <row r="59" spans="1:4" ht="14.25">
      <c r="A59" t="s">
        <v>533</v>
      </c>
      <c r="B59" t="s">
        <v>385</v>
      </c>
      <c r="C59" s="36" t="str">
        <f t="shared" si="1"/>
        <v>Lynne Wilkinson-Scofield (RFW)</v>
      </c>
      <c r="D59" t="s">
        <v>372</v>
      </c>
    </row>
    <row r="60" spans="1:4" ht="14.25">
      <c r="A60" t="s">
        <v>534</v>
      </c>
      <c r="B60" t="s">
        <v>385</v>
      </c>
      <c r="C60" s="36" t="str">
        <f t="shared" si="1"/>
        <v>Michael Carter (RFW)</v>
      </c>
    </row>
    <row r="61" spans="1:4" ht="14.25">
      <c r="A61" t="s">
        <v>586</v>
      </c>
      <c r="B61" t="s">
        <v>385</v>
      </c>
      <c r="C61" s="36" t="str">
        <f t="shared" si="1"/>
        <v>Mike Deely (G Fox) (RFW)</v>
      </c>
    </row>
    <row r="62" spans="1:4" ht="14.25">
      <c r="A62" t="s">
        <v>520</v>
      </c>
      <c r="B62" t="s">
        <v>385</v>
      </c>
      <c r="C62" s="36" t="str">
        <f t="shared" si="1"/>
        <v>Paul Eden (RFW)</v>
      </c>
    </row>
    <row r="63" spans="1:4" ht="14.25">
      <c r="A63" t="s">
        <v>535</v>
      </c>
      <c r="B63" t="s">
        <v>385</v>
      </c>
      <c r="C63" s="36" t="str">
        <f t="shared" si="1"/>
        <v>Paul Russell (RFW)</v>
      </c>
    </row>
    <row r="64" spans="1:4" ht="14.25">
      <c r="A64" t="s">
        <v>536</v>
      </c>
      <c r="B64" t="s">
        <v>385</v>
      </c>
      <c r="C64" s="36" t="str">
        <f t="shared" si="1"/>
        <v>Paul Ryan (RFW)</v>
      </c>
    </row>
    <row r="65" spans="1:3" ht="14.25">
      <c r="A65" t="s">
        <v>537</v>
      </c>
      <c r="B65" t="s">
        <v>385</v>
      </c>
      <c r="C65" s="36" t="str">
        <f t="shared" si="1"/>
        <v>Phil Wilkinson (RFW)</v>
      </c>
    </row>
    <row r="66" spans="1:3" ht="14.25">
      <c r="A66" t="s">
        <v>599</v>
      </c>
      <c r="B66" t="s">
        <v>385</v>
      </c>
      <c r="C66" s="36" t="str">
        <f t="shared" si="1"/>
        <v>Steve Coombs (RFW)</v>
      </c>
    </row>
    <row r="67" spans="1:3" ht="14.25">
      <c r="A67" t="s">
        <v>600</v>
      </c>
      <c r="B67" t="s">
        <v>385</v>
      </c>
      <c r="C67" s="36" t="str">
        <f t="shared" si="1"/>
        <v>Steve Wickham (RFW)</v>
      </c>
    </row>
    <row r="68" spans="1:3" ht="14.25">
      <c r="A68" t="s">
        <v>538</v>
      </c>
      <c r="B68" t="s">
        <v>539</v>
      </c>
      <c r="C68" s="36" t="str">
        <f t="shared" ref="C68:C99" si="2">IF(ISBLANK(B68),IF(ISBLANK(A68),"",A68),_xlfn.CONCAT(A68," (",B68,")"))</f>
        <v>Hudson Hendry (Ride Revolution)</v>
      </c>
    </row>
    <row r="69" spans="1:3" ht="14.25">
      <c r="A69" t="s">
        <v>540</v>
      </c>
      <c r="B69" t="s">
        <v>541</v>
      </c>
      <c r="C69" s="36" t="str">
        <f t="shared" si="2"/>
        <v>Adrian James (Rugby RCC)</v>
      </c>
    </row>
    <row r="70" spans="1:3" ht="14.25">
      <c r="A70" t="s">
        <v>542</v>
      </c>
      <c r="B70" t="s">
        <v>543</v>
      </c>
      <c r="C70" s="36" t="str">
        <f t="shared" si="2"/>
        <v>Carl Shaw (Speedhub)</v>
      </c>
    </row>
    <row r="71" spans="1:3" ht="14.25">
      <c r="A71" t="s">
        <v>544</v>
      </c>
      <c r="B71" t="s">
        <v>545</v>
      </c>
      <c r="C71" s="36" t="str">
        <f t="shared" si="2"/>
        <v>Oliver Searle (St Ives CC)</v>
      </c>
    </row>
    <row r="72" spans="1:3" ht="14.25">
      <c r="C72" s="36" t="str">
        <f t="shared" si="2"/>
        <v/>
      </c>
    </row>
    <row r="73" spans="1:3" ht="14.25">
      <c r="C73" s="36" t="str">
        <f t="shared" si="2"/>
        <v/>
      </c>
    </row>
    <row r="74" spans="1:3" ht="14.25">
      <c r="C74" s="36" t="str">
        <f t="shared" si="2"/>
        <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Event_01</v>
      </c>
    </row>
    <row r="104" spans="1:10">
      <c r="B104" t="s">
        <v>563</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Event_02</v>
      </c>
    </row>
    <row r="104" spans="1:10">
      <c r="B104" t="s">
        <v>563</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Event_03</v>
      </c>
    </row>
    <row r="104" spans="1:10">
      <c r="B104" t="s">
        <v>563</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Event_04</v>
      </c>
    </row>
    <row r="104" spans="1:10">
      <c r="B104" t="s">
        <v>563</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45" t="s">
        <v>463</v>
      </c>
      <c r="I1" s="45" t="s">
        <v>553</v>
      </c>
      <c r="J1" t="s">
        <v>554</v>
      </c>
    </row>
    <row r="2" spans="1:10" ht="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562</v>
      </c>
      <c r="C103" t="str" cm="1">
        <f t="array" aca="1" ref="C103" ca="1">MID(CELL("filename",B1),FIND("]",CELL("filename",B1))+1,255)</f>
        <v>Event_05</v>
      </c>
    </row>
    <row r="104" spans="1:10">
      <c r="B104" t="s">
        <v>563</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Event_06</v>
      </c>
    </row>
    <row r="104" spans="1:10">
      <c r="B104" t="s">
        <v>563</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A14"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562</v>
      </c>
      <c r="C103" t="str" cm="1">
        <f t="array" aca="1" ref="C103" ca="1">MID(CELL("filename",B1),FIND("]",CELL("filename",B1))+1,255)</f>
        <v>Event_07</v>
      </c>
    </row>
    <row r="104" spans="1:10">
      <c r="B104" t="s">
        <v>563</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F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Event_08</v>
      </c>
    </row>
    <row r="104" spans="1:10">
      <c r="B104" t="s">
        <v>563</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Event_09</v>
      </c>
    </row>
    <row r="104" spans="1:10">
      <c r="B104" t="s">
        <v>563</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7"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c r="A39" s="62" t="s">
        <v>586</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Event_10</v>
      </c>
    </row>
    <row r="104" spans="1:10">
      <c r="B104" t="s">
        <v>563</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1" workbookViewId="0">
      <selection activeCell="A40" sqref="A40"/>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454</v>
      </c>
      <c r="B2" s="47">
        <f t="shared" ref="B2:B33" si="0">IF(A2="","",_xlfn.XLOOKUP(A2,ClubNames,ClubNumbers,_xlfn.XLOOKUP(A2,RoundRobinRiderNames,RoundRobinRiderDecoratedNames,A2)))</f>
        <v>990</v>
      </c>
      <c r="C2" s="48"/>
      <c r="D2" s="48">
        <v>31</v>
      </c>
      <c r="E2" s="48">
        <v>8</v>
      </c>
      <c r="F2" s="48" t="s">
        <v>555</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514</v>
      </c>
      <c r="B3" s="47" t="str">
        <f t="shared" si="0"/>
        <v>Lesley Allden (Ratae)</v>
      </c>
      <c r="C3" s="48"/>
      <c r="D3" s="48">
        <v>32</v>
      </c>
      <c r="E3" s="48">
        <v>9</v>
      </c>
      <c r="F3" s="48" t="s">
        <v>555</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555</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555</v>
      </c>
      <c r="G5" s="48"/>
      <c r="H5" s="50" t="str">
        <f>IF($B5="","",IF($J5="X",B5,CONCATENATE(VLOOKUP(B5,Competitors!$A$2:$I$650,3,FALSE)," ",VLOOKUP(B5,Competitors!$A$2:$I$650,2,FALSE))))</f>
        <v>Alex Hardwicke</v>
      </c>
      <c r="I5" s="51">
        <f t="shared" si="1"/>
        <v>1.9490740740740739E-2</v>
      </c>
      <c r="J5" t="str">
        <f t="shared" si="2"/>
        <v/>
      </c>
    </row>
    <row r="6" spans="1:10" ht="15">
      <c r="A6" s="46" t="s">
        <v>587</v>
      </c>
      <c r="B6" s="47">
        <f t="shared" si="0"/>
        <v>935</v>
      </c>
      <c r="C6" s="48"/>
      <c r="D6" s="48">
        <v>34</v>
      </c>
      <c r="E6" s="48">
        <v>39</v>
      </c>
      <c r="F6" s="48" t="s">
        <v>555</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555</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555</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555</v>
      </c>
      <c r="G9" s="48"/>
      <c r="H9" s="50" t="str">
        <f>IF($B9="","",IF($J9="X",B9,CONCATENATE(VLOOKUP(B9,Competitors!$A$2:$I$650,3,FALSE)," ",VLOOKUP(B9,Competitors!$A$2:$I$650,2,FALSE))))</f>
        <v>Charlie Hardwicke</v>
      </c>
      <c r="I9" s="51">
        <f t="shared" si="1"/>
        <v>1.7523148148148149E-2</v>
      </c>
      <c r="J9" t="str">
        <f t="shared" si="2"/>
        <v/>
      </c>
    </row>
    <row r="10" spans="1:10" ht="15">
      <c r="A10" s="46" t="s">
        <v>509</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555</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555</v>
      </c>
      <c r="G12" s="48"/>
      <c r="H12" s="50" t="str">
        <f>IF($B12="","",IF($J12="X",B12,CONCATENATE(VLOOKUP(B12,Competitors!$A$2:$I$650,3,FALSE)," ",VLOOKUP(B12,Competitors!$A$2:$I$650,2,FALSE))))</f>
        <v>Daniel McDonnell</v>
      </c>
      <c r="I12" s="51">
        <f t="shared" si="1"/>
        <v>1.6053240740740739E-2</v>
      </c>
      <c r="J12" t="str">
        <f t="shared" si="2"/>
        <v/>
      </c>
    </row>
    <row r="13" spans="1:10" ht="15">
      <c r="A13" s="46" t="s">
        <v>588</v>
      </c>
      <c r="B13" s="47">
        <f t="shared" si="0"/>
        <v>741</v>
      </c>
      <c r="C13" s="48"/>
      <c r="D13" s="48">
        <v>23</v>
      </c>
      <c r="E13" s="48">
        <v>10</v>
      </c>
      <c r="F13" s="48" t="s">
        <v>555</v>
      </c>
      <c r="G13" s="48"/>
      <c r="H13" s="50" t="str">
        <f>IF($B13="","",IF($J13="X",B13,CONCATENATE(VLOOKUP(B13,Competitors!$A$2:$I$650,3,FALSE)," ",VLOOKUP(B13,Competitors!$A$2:$I$650,2,FALSE))))</f>
        <v>Rob Moore</v>
      </c>
      <c r="I13" s="51">
        <f t="shared" si="1"/>
        <v>1.6087962962962964E-2</v>
      </c>
      <c r="J13" t="str">
        <f t="shared" si="2"/>
        <v/>
      </c>
    </row>
    <row r="14" spans="1:10" ht="15">
      <c r="A14" s="46" t="s">
        <v>583</v>
      </c>
      <c r="B14" s="47" t="str">
        <f t="shared" si="0"/>
        <v>Tom Keane</v>
      </c>
      <c r="C14" s="48"/>
      <c r="D14" s="48">
        <v>27</v>
      </c>
      <c r="E14" s="48">
        <v>32</v>
      </c>
      <c r="F14" s="48" t="s">
        <v>555</v>
      </c>
      <c r="G14" s="48"/>
      <c r="H14" s="50" t="str">
        <f>IF($B14="","",IF($J14="X",B14,CONCATENATE(VLOOKUP(B14,Competitors!$A$2:$I$650,3,FALSE)," ",VLOOKUP(B14,Competitors!$A$2:$I$650,2,FALSE))))</f>
        <v>Tom Keane</v>
      </c>
      <c r="I14" s="51">
        <f t="shared" si="1"/>
        <v>1.9120370370370371E-2</v>
      </c>
      <c r="J14" t="str">
        <f t="shared" si="2"/>
        <v>X</v>
      </c>
    </row>
    <row r="15" spans="1:10" ht="15">
      <c r="A15" s="46" t="s">
        <v>559</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577</v>
      </c>
      <c r="B16" s="47" t="str">
        <f t="shared" si="0"/>
        <v>Laura Davison</v>
      </c>
      <c r="C16" s="48"/>
      <c r="D16" s="48">
        <v>27</v>
      </c>
      <c r="E16" s="48">
        <v>48</v>
      </c>
      <c r="F16" s="48" t="s">
        <v>555</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589</v>
      </c>
      <c r="B18" s="47">
        <f t="shared" si="0"/>
        <v>1048</v>
      </c>
      <c r="C18" s="48"/>
      <c r="D18" s="48">
        <v>29</v>
      </c>
      <c r="E18" s="48">
        <v>34</v>
      </c>
      <c r="F18" s="48" t="s">
        <v>555</v>
      </c>
      <c r="G18" s="48"/>
      <c r="H18" s="50" t="str">
        <f>IF($B18="","",IF($J18="X",B18,CONCATENATE(VLOOKUP(B18,Competitors!$A$2:$I$650,3,FALSE)," ",VLOOKUP(B18,Competitors!$A$2:$I$650,2,FALSE))))</f>
        <v>Andy Smith</v>
      </c>
      <c r="I18" s="51">
        <f t="shared" si="1"/>
        <v>2.0532407407407409E-2</v>
      </c>
      <c r="J18" t="str">
        <f t="shared" si="2"/>
        <v/>
      </c>
    </row>
    <row r="19" spans="1:10" ht="15">
      <c r="A19" s="61" t="s">
        <v>590</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508</v>
      </c>
      <c r="B22" s="47" t="str">
        <f t="shared" si="0"/>
        <v>Brian Lincoln (Ratae)</v>
      </c>
      <c r="C22" s="48"/>
      <c r="D22" s="48">
        <v>29</v>
      </c>
      <c r="E22" s="48">
        <v>1</v>
      </c>
      <c r="F22" s="48" t="s">
        <v>555</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517</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591</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555</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555</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555</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555</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592</v>
      </c>
      <c r="B34" s="47">
        <f t="shared" ref="B34:B97" si="3">IF(A34="","",_xlfn.XLOOKUP(A34,ClubNames,ClubNumbers,_xlfn.XLOOKUP(A34,RoundRobinRiderNames,RoundRobinRiderDecoratedNames,A34)))</f>
        <v>1370</v>
      </c>
      <c r="C34" s="48"/>
      <c r="D34" s="48">
        <v>25</v>
      </c>
      <c r="E34" s="48">
        <v>19</v>
      </c>
      <c r="F34" s="48" t="s">
        <v>555</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555</v>
      </c>
      <c r="G35" s="48"/>
      <c r="H35" s="50" t="str">
        <f>IF($B35="","",IF($J35="X",B35,CONCATENATE(VLOOKUP(B35,Competitors!$A$2:$I$650,3,FALSE)," ",VLOOKUP(B35,Competitors!$A$2:$I$650,2,FALSE))))</f>
        <v>John Abbott</v>
      </c>
      <c r="I35" s="51">
        <f t="shared" si="1"/>
        <v>1.7141203703703704E-2</v>
      </c>
      <c r="J35" t="str">
        <f t="shared" si="2"/>
        <v/>
      </c>
    </row>
    <row r="36" spans="1:10" ht="15">
      <c r="A36" s="46" t="s">
        <v>593</v>
      </c>
      <c r="B36" s="47" t="str">
        <f t="shared" si="3"/>
        <v>Brian Harman</v>
      </c>
      <c r="C36" s="48"/>
      <c r="D36" s="48">
        <v>26</v>
      </c>
      <c r="E36" s="48">
        <v>19</v>
      </c>
      <c r="F36" s="48" t="s">
        <v>555</v>
      </c>
      <c r="G36" s="48"/>
      <c r="H36" s="50" t="str">
        <f>IF($B36="","",IF($J36="X",B36,CONCATENATE(VLOOKUP(B36,Competitors!$A$2:$I$650,3,FALSE)," ",VLOOKUP(B36,Competitors!$A$2:$I$650,2,FALSE))))</f>
        <v>Brian Harman</v>
      </c>
      <c r="I36" s="51">
        <f t="shared" si="1"/>
        <v>1.8275462962962962E-2</v>
      </c>
      <c r="J36" t="str">
        <f t="shared" si="2"/>
        <v>X</v>
      </c>
    </row>
    <row r="37" spans="1:10" ht="15">
      <c r="A37" s="46" t="s">
        <v>594</v>
      </c>
      <c r="B37" s="47" t="str">
        <f t="shared" si="3"/>
        <v>Jonathan Clarke</v>
      </c>
      <c r="C37" s="48"/>
      <c r="D37" s="48"/>
      <c r="E37" s="48"/>
      <c r="F37" s="48"/>
      <c r="G37" s="48" t="s">
        <v>564</v>
      </c>
      <c r="H37" s="50" t="str">
        <f>IF($B37="","",IF($J37="X",B37,CONCATENATE(VLOOKUP(B37,Competitors!$A$2:$I$650,3,FALSE)," ",VLOOKUP(B37,Competitors!$A$2:$I$650,2,FALSE))))</f>
        <v>Jonathan Clarke</v>
      </c>
      <c r="I37" s="51">
        <f t="shared" si="1"/>
        <v>0</v>
      </c>
      <c r="J37" t="str">
        <f t="shared" si="2"/>
        <v>X</v>
      </c>
    </row>
    <row r="38" spans="1:10" ht="15">
      <c r="A38" s="46" t="s">
        <v>537</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586</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5">
      <c r="A48" s="46" t="s">
        <v>538</v>
      </c>
      <c r="B48" s="47" t="str">
        <f t="shared" si="3"/>
        <v>Hudson Hendry (Ride Revolution)</v>
      </c>
      <c r="C48" s="48"/>
      <c r="D48" s="48">
        <v>20</v>
      </c>
      <c r="E48" s="48">
        <v>22</v>
      </c>
      <c r="F48" s="48" t="s">
        <v>555</v>
      </c>
      <c r="G48" s="48"/>
      <c r="H48" s="50" t="str">
        <f>IF($B48="","",IF($J48="X",B48,CONCATENATE(VLOOKUP(B48,Competitors!$A$2:$I$650,3,FALSE)," ",VLOOKUP(B48,Competitors!$A$2:$I$650,2,FALSE))))</f>
        <v>Hudson Hendry (Ride Revolution)</v>
      </c>
      <c r="I48" s="51">
        <f t="shared" si="4"/>
        <v>1.4143518518518519E-2</v>
      </c>
      <c r="J48" t="str">
        <f t="shared" si="2"/>
        <v>X</v>
      </c>
    </row>
    <row r="49" spans="1:10" ht="15">
      <c r="A49" s="46" t="s">
        <v>520</v>
      </c>
      <c r="B49" s="47" t="str">
        <f t="shared" si="3"/>
        <v>Paul Eden (Ratae)</v>
      </c>
      <c r="C49" s="48"/>
      <c r="D49" s="48">
        <v>29</v>
      </c>
      <c r="E49" s="48">
        <v>58</v>
      </c>
      <c r="F49" s="48" t="s">
        <v>555</v>
      </c>
      <c r="G49" s="48"/>
      <c r="H49" s="50" t="str">
        <f>IF($B49="","",IF($J49="X",B49,CONCATENATE(VLOOKUP(B49,Competitors!$A$2:$I$650,3,FALSE)," ",VLOOKUP(B49,Competitors!$A$2:$I$650,2,FALSE))))</f>
        <v>Paul Eden (Ratae)</v>
      </c>
      <c r="I49" s="51">
        <f t="shared" si="4"/>
        <v>2.0810185185185185E-2</v>
      </c>
      <c r="J49" t="str">
        <f t="shared" si="2"/>
        <v>X</v>
      </c>
    </row>
    <row r="50" spans="1:10" ht="15">
      <c r="A50" s="46" t="s">
        <v>596</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5">
      <c r="A51" s="46" t="s">
        <v>595</v>
      </c>
      <c r="B51" s="47">
        <f t="shared" si="3"/>
        <v>1347</v>
      </c>
      <c r="C51" s="48"/>
      <c r="D51" s="48">
        <v>26</v>
      </c>
      <c r="E51" s="48">
        <v>5</v>
      </c>
      <c r="F51" s="48" t="s">
        <v>555</v>
      </c>
      <c r="G51" s="48"/>
      <c r="H51" s="50" t="str">
        <f>IF($B51="","",IF($J51="X",B51,CONCATENATE(VLOOKUP(B51,Competitors!$A$2:$I$650,3,FALSE)," ",VLOOKUP(B51,Competitors!$A$2:$I$650,2,FALSE))))</f>
        <v>Stuart Simpson-Smith</v>
      </c>
      <c r="I51" s="51">
        <f t="shared" si="4"/>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c r="I102" s="53"/>
    </row>
    <row r="103" spans="1:10">
      <c r="B103" t="s">
        <v>562</v>
      </c>
      <c r="C103" t="str" cm="1">
        <f t="array" aca="1" ref="C103" ca="1">MID(CELL("filename",B1),FIND("]",CELL("filename",B1))+1,255)</f>
        <v>Event_11</v>
      </c>
    </row>
    <row r="104" spans="1:10">
      <c r="B104" t="s">
        <v>563</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abSelected="1" zoomScale="75" workbookViewId="0">
      <selection activeCell="A2" sqref="A2:A3"/>
    </sheetView>
  </sheetViews>
  <sheetFormatPr defaultColWidth="9.1328125" defaultRowHeight="12.75"/>
  <cols>
    <col min="1" max="1" width="20.33203125" bestFit="1" customWidth="1"/>
    <col min="2" max="2" width="26.46484375" bestFit="1" customWidth="1"/>
    <col min="3" max="5" width="4.73046875" customWidth="1"/>
    <col min="6" max="7" width="11.06640625" customWidth="1"/>
    <col min="8" max="8" width="26.464843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Event_12</v>
      </c>
    </row>
    <row r="104" spans="1:10">
      <c r="B104" t="s">
        <v>563</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328125" defaultRowHeight="12.75"/>
  <cols>
    <col min="1" max="1" width="20.9296875" bestFit="1" customWidth="1"/>
    <col min="2" max="2" width="24"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Event_13</v>
      </c>
    </row>
    <row r="104" spans="1:10">
      <c r="B104" t="s">
        <v>563</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Event_14</v>
      </c>
    </row>
    <row r="104" spans="1:10">
      <c r="B104" t="s">
        <v>563</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Event_15</v>
      </c>
    </row>
    <row r="104" spans="1:10">
      <c r="B104" t="s">
        <v>563</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Event_16</v>
      </c>
    </row>
    <row r="104" spans="1:10">
      <c r="B104" t="s">
        <v>563</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Event_17</v>
      </c>
    </row>
    <row r="104" spans="1:10">
      <c r="B104" t="s">
        <v>563</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Event_18</v>
      </c>
    </row>
    <row r="104" spans="1:10">
      <c r="B104" t="s">
        <v>563</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Event_19</v>
      </c>
    </row>
    <row r="104" spans="1:10">
      <c r="B104" t="s">
        <v>563</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Event_20</v>
      </c>
    </row>
    <row r="104" spans="1:10">
      <c r="B104" t="s">
        <v>563</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Event_21</v>
      </c>
    </row>
    <row r="104" spans="1:10">
      <c r="B104" t="s">
        <v>563</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Event_22</v>
      </c>
    </row>
    <row r="104" spans="1:10">
      <c r="B104" t="s">
        <v>563</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Event_23</v>
      </c>
    </row>
    <row r="104" spans="1:10">
      <c r="B104" t="s">
        <v>563</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Event_24</v>
      </c>
    </row>
    <row r="104" spans="1:10">
      <c r="B104" t="s">
        <v>563</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Event_25</v>
      </c>
    </row>
    <row r="104" spans="1:10">
      <c r="B104" t="s">
        <v>563</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Event_26</v>
      </c>
    </row>
    <row r="104" spans="1:10">
      <c r="B104" t="s">
        <v>563</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Event_27</v>
      </c>
    </row>
    <row r="104" spans="1:10">
      <c r="B104" t="s">
        <v>563</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Event_28</v>
      </c>
    </row>
    <row r="104" spans="1:10">
      <c r="B104" t="s">
        <v>563</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2026-06-17T13:24:26Z</dcterms:modified>
</cp:coreProperties>
</file>