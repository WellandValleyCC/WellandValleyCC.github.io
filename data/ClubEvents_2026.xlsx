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02A5FC74-A0D9-4FDC-BC76-537C4B31356A}" xr6:coauthVersionLast="47" xr6:coauthVersionMax="47" xr10:uidLastSave="{00000000-0000-0000-0000-000000000000}"/>
  <bookViews>
    <workbookView xWindow="0" yWindow="0" windowWidth="14400" windowHeight="17280" firstSheet="15" activeTab="18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0413_competitors_2026" sheetId="42" r:id="rId9"/>
    <sheet name="NameLookup" sheetId="33" r:id="rId10"/>
    <sheet name="Calendar" sheetId="2" r:id="rId11"/>
    <sheet name="Leagues" sheetId="32" r:id="rId12"/>
    <sheet name="RoundRobinRiders" sheetId="4" r:id="rId13"/>
    <sheet name="Event_01" sheetId="5" r:id="rId14"/>
    <sheet name="Event_02" sheetId="6" r:id="rId15"/>
    <sheet name="Event_03" sheetId="7" r:id="rId16"/>
    <sheet name="Event_04" sheetId="8" r:id="rId17"/>
    <sheet name="Event_05" sheetId="9" r:id="rId18"/>
    <sheet name="Event_06" sheetId="10" r:id="rId19"/>
    <sheet name="Event_07" sheetId="11" r:id="rId20"/>
    <sheet name="Event_08" sheetId="12" r:id="rId21"/>
    <sheet name="Event_09" sheetId="13" r:id="rId22"/>
    <sheet name="Event_10" sheetId="14" r:id="rId23"/>
    <sheet name="Event_11" sheetId="15" r:id="rId24"/>
    <sheet name="Event_12" sheetId="16" r:id="rId25"/>
    <sheet name="Event_13" sheetId="17" r:id="rId26"/>
    <sheet name="Event_14" sheetId="18" r:id="rId27"/>
    <sheet name="Event_15" sheetId="19" r:id="rId28"/>
    <sheet name="Event_16" sheetId="20" r:id="rId29"/>
    <sheet name="Event_17" sheetId="21" r:id="rId30"/>
    <sheet name="Event_18" sheetId="22" r:id="rId31"/>
    <sheet name="Event_19" sheetId="23" r:id="rId32"/>
    <sheet name="Event_20" sheetId="24" r:id="rId33"/>
    <sheet name="Event_21" sheetId="25" r:id="rId34"/>
    <sheet name="Event_22" sheetId="26" r:id="rId35"/>
    <sheet name="Event_23" sheetId="27" r:id="rId36"/>
    <sheet name="Event_24" sheetId="28" r:id="rId37"/>
    <sheet name="Event_25" sheetId="29" r:id="rId38"/>
    <sheet name="Event_26" sheetId="30" r:id="rId39"/>
    <sheet name="Event_27" sheetId="34" r:id="rId40"/>
    <sheet name="Event_28" sheetId="35" r:id="rId41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0" i="4" l="1"/>
  <c r="C61" i="4"/>
  <c r="C59" i="4"/>
  <c r="B12" i="9"/>
  <c r="C58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9"/>
  <c r="B2" i="10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 s="1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 s="1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 s="1"/>
  <c r="A34" i="33"/>
  <c r="B34" i="33" s="1"/>
  <c r="A35" i="33"/>
  <c r="B35" i="33" s="1"/>
  <c r="A36" i="33"/>
  <c r="B36" i="33" s="1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 s="1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 s="1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 s="1"/>
  <c r="A213" i="33"/>
  <c r="B213" i="33" s="1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18" i="8" l="1"/>
  <c r="H18" i="8" s="1"/>
  <c r="J22" i="8"/>
  <c r="H22" i="8" s="1"/>
  <c r="J21" i="8"/>
  <c r="H21" i="8" s="1"/>
  <c r="J12" i="8"/>
  <c r="H12" i="8" s="1"/>
  <c r="J23" i="8"/>
  <c r="H23" i="8" s="1"/>
  <c r="J26" i="8"/>
  <c r="H26" i="8" s="1"/>
  <c r="J34" i="8"/>
  <c r="H34" i="8" s="1"/>
  <c r="J15" i="8"/>
  <c r="H15" i="8" s="1"/>
  <c r="J5" i="8"/>
  <c r="H5" i="8" s="1"/>
  <c r="J14" i="8"/>
  <c r="H14" i="8" s="1"/>
  <c r="J24" i="8"/>
  <c r="H24" i="8" s="1"/>
  <c r="J11" i="8"/>
  <c r="H11" i="8" s="1"/>
  <c r="J20" i="8"/>
  <c r="H20" i="8" s="1"/>
  <c r="J30" i="8"/>
  <c r="H30" i="8" s="1"/>
  <c r="J19" i="8"/>
  <c r="H19" i="8" s="1"/>
  <c r="J35" i="8"/>
  <c r="H35" i="8" s="1"/>
  <c r="J17" i="8"/>
  <c r="H17" i="8" s="1"/>
  <c r="J6" i="8"/>
  <c r="H6" i="8" s="1"/>
  <c r="B32" i="7"/>
  <c r="J32" i="7" s="1"/>
  <c r="H32" i="7" s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25" i="8"/>
  <c r="H25" i="8" s="1"/>
  <c r="J27" i="8"/>
  <c r="H27" i="8" s="1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 s="1"/>
  <c r="J4" i="9"/>
  <c r="H4" i="9" s="1"/>
  <c r="J5" i="9"/>
  <c r="H5" i="9" s="1"/>
  <c r="J6" i="9"/>
  <c r="H6" i="9" s="1"/>
  <c r="J7" i="9"/>
  <c r="H7" i="9" s="1"/>
  <c r="J8" i="9"/>
  <c r="H8" i="9" s="1"/>
  <c r="J9" i="9"/>
  <c r="H9" i="9" s="1"/>
  <c r="J10" i="9"/>
  <c r="H10" i="9" s="1"/>
  <c r="J11" i="9"/>
  <c r="H11" i="9" s="1"/>
  <c r="J12" i="9"/>
  <c r="H12" i="9" s="1"/>
  <c r="J13" i="9"/>
  <c r="H13" i="9" s="1"/>
  <c r="J14" i="9"/>
  <c r="H14" i="9" s="1"/>
  <c r="J15" i="9"/>
  <c r="H15" i="9" s="1"/>
  <c r="J16" i="9"/>
  <c r="H16" i="9" s="1"/>
  <c r="J17" i="9"/>
  <c r="H17" i="9" s="1"/>
  <c r="J18" i="9"/>
  <c r="H18" i="9" s="1"/>
  <c r="J19" i="9"/>
  <c r="H19" i="9" s="1"/>
  <c r="J20" i="9"/>
  <c r="H20" i="9" s="1"/>
  <c r="J21" i="9"/>
  <c r="H21" i="9" s="1"/>
  <c r="J22" i="9"/>
  <c r="H22" i="9" s="1"/>
  <c r="J23" i="9"/>
  <c r="H23" i="9" s="1"/>
  <c r="J24" i="9"/>
  <c r="H24" i="9" s="1"/>
  <c r="J25" i="9"/>
  <c r="H25" i="9" s="1"/>
  <c r="J26" i="9"/>
  <c r="H26" i="9" s="1"/>
  <c r="J27" i="9"/>
  <c r="H27" i="9" s="1"/>
  <c r="J28" i="9"/>
  <c r="H28" i="9" s="1"/>
  <c r="J29" i="9"/>
  <c r="H29" i="9" s="1"/>
  <c r="J30" i="9"/>
  <c r="H30" i="9" s="1"/>
  <c r="J31" i="9"/>
  <c r="H31" i="9" s="1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 s="1"/>
  <c r="J4" i="10"/>
  <c r="H4" i="10" s="1"/>
  <c r="J5" i="10"/>
  <c r="H5" i="10" s="1"/>
  <c r="J6" i="10"/>
  <c r="H6" i="10" s="1"/>
  <c r="J7" i="10"/>
  <c r="H7" i="10" s="1"/>
  <c r="J8" i="10"/>
  <c r="H8" i="10" s="1"/>
  <c r="J9" i="10"/>
  <c r="H9" i="10" s="1"/>
  <c r="J10" i="10"/>
  <c r="H10" i="10" s="1"/>
  <c r="J11" i="10"/>
  <c r="H11" i="10"/>
  <c r="J12" i="10"/>
  <c r="H12" i="10" s="1"/>
  <c r="J13" i="10"/>
  <c r="H13" i="10"/>
  <c r="J14" i="10"/>
  <c r="H14" i="10" s="1"/>
  <c r="J15" i="10"/>
  <c r="H15" i="10" s="1"/>
  <c r="J16" i="10"/>
  <c r="H16" i="10" s="1"/>
  <c r="J17" i="10"/>
  <c r="H17" i="10" s="1"/>
  <c r="J18" i="10"/>
  <c r="H18" i="10" s="1"/>
  <c r="J19" i="10"/>
  <c r="H19" i="10" s="1"/>
  <c r="J20" i="10"/>
  <c r="H20" i="10" s="1"/>
  <c r="J21" i="10"/>
  <c r="H21" i="10" s="1"/>
  <c r="J22" i="10"/>
  <c r="H22" i="10" s="1"/>
  <c r="J23" i="10"/>
  <c r="H23" i="10" s="1"/>
  <c r="J24" i="10"/>
  <c r="H24" i="10" s="1"/>
  <c r="J25" i="10"/>
  <c r="H25" i="10" s="1"/>
  <c r="J26" i="10"/>
  <c r="H26" i="10" s="1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H2" i="9" s="1"/>
  <c r="J2" i="10"/>
  <c r="H2" i="10" s="1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7" i="8"/>
  <c r="H7" i="8" s="1"/>
  <c r="J8" i="8"/>
  <c r="H8" i="8" s="1"/>
  <c r="J9" i="8"/>
  <c r="H9" i="8" s="1"/>
  <c r="J10" i="8"/>
  <c r="H10" i="8" s="1"/>
  <c r="J13" i="8"/>
  <c r="H13" i="8" s="1"/>
  <c r="J16" i="8"/>
  <c r="H16" i="8" s="1"/>
  <c r="J28" i="8"/>
  <c r="H28" i="8" s="1"/>
  <c r="J29" i="8"/>
  <c r="H29" i="8" s="1"/>
  <c r="J31" i="8"/>
  <c r="H31" i="8" s="1"/>
  <c r="J36" i="8"/>
  <c r="H36" i="8" s="1"/>
  <c r="J37" i="8"/>
  <c r="H37" i="8" s="1"/>
  <c r="J38" i="8"/>
  <c r="H38" i="8" s="1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<sst xmlns="http://schemas.openxmlformats.org/spreadsheetml/2006/main" count="7680" uniqueCount="540">
  <si>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</si>
  <si>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</si>
  <si>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</si>
  <si>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</si>
  <si>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</si>
  <si>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</si>
  <si>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</si>
  <si>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</si>
  <si>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</si>
  <si>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</si>
  <si>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</si>
  <si>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</si>
  <si>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</si>
  <si>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</si>
  <si>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</si>
  <si>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</si>
  <si>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</si>
  <si>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</si>
  <si>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</si>
  <si>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</si>
  <si>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</si>
  <si>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</si>
  <si>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</si>
  <si>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</si>
  <si>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</si>
  <si>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</si>
  <si>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</si>
  <si>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</si>
  <si>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</si>
  <si>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</si>
  <si>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</si>
  <si>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</si>
  <si>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</si>
  <si>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</si>
  <si>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</si>
  <si>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</si>
  <si>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</si>
  <si>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</si>
  <si>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</si>
  <si>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</si>
  <si>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</si>
  <si>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</si>
  <si>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</si>
  <si>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</si>
  <si>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</si>
  <si>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</si>
  <si>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</si>
  <si>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</si>
  <si>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</si>
  <si>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</si>
  <si>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</si>
  <si>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</si>
  <si>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</si>
  <si>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</si>
  <si>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</si>
  <si>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</si>
  <si>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</si>
  <si>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</si>
  <si>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</si>
  <si>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</si>
  <si>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</si>
  <si>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</si>
  <si>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</si>
  <si>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</si>
  <si>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</si>
  <si>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</si>
  <si>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</si>
  <si>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</si>
  <si>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</si>
  <si>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</si>
  <si>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</si>
  <si>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</si>
  <si>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</si>
  <si>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</si>
  <si>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</si>
  <si>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</si>
  <si>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</si>
  <si>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</si>
  <si>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</si>
  <si>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</si>
  <si>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</si>
  <si>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</si>
  <si>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</si>
  <si>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</si>
  <si>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</si>
  <si>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</si>
  <si>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</si>
  <si>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</si>
  <si>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</si>
  <si>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</si>
  <si>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</si>
  <si>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</si>
  <si>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</si>
  <si>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</si>
  <si>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</si>
  <si>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</si>
  <si>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</si>
  <si>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</si>
  <si>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</si>
  <si>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</si>
  <si>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</si>
  <si>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</si>
  <si>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</si>
  <si>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</si>
  <si>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</si>
  <si>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</si>
  <si>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</si>
  <si>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</si>
  <si>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</si>
  <si>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</si>
  <si>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</si>
  <si>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</si>
  <si>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</si>
  <si>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</si>
  <si>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</si>
  <si>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</si>
  <si>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</si>
  <si>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</si>
  <si>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</si>
  <si>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</si>
  <si>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</si>
  <si>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</si>
  <si>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</si>
  <si>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</si>
  <si>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</si>
  <si>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</si>
  <si>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</si>
  <si>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</si>
  <si>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</si>
  <si>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</si>
  <si>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</si>
  <si>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</si>
  <si>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</si>
  <si>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</si>
  <si>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</si>
  <si>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</si>
  <si>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</si>
  <si>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</si>
  <si>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</si>
  <si>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</si>
  <si>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</si>
  <si>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</si>
  <si>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</si>
  <si>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</si>
  <si>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</si>
  <si>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</si>
  <si>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</si>
  <si>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</si>
  <si>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</si>
  <si>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</si>
  <si>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</si>
  <si>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</si>
  <si>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</si>
  <si>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</si>
  <si>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</si>
  <si>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</si>
  <si>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</si>
  <si>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</si>
  <si>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</si>
  <si>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</si>
  <si>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</si>
  <si>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</si>
  <si>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</si>
  <si>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</si>
  <si>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</si>
  <si>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</si>
  <si>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</si>
  <si>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</si>
  <si>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</si>
  <si>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</si>
  <si>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</si>
  <si>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</si>
  <si>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</si>
  <si>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</si>
  <si>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</si>
  <si>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</si>
  <si>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</si>
  <si>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</si>
  <si>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</si>
  <si>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</si>
  <si>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</si>
  <si>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</si>
  <si>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</si>
  <si>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</si>
  <si>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</si>
  <si>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</si>
  <si>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</si>
  <si>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</si>
  <si>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</si>
  <si>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</si>
  <si>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</si>
  <si>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</si>
  <si>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</si>
  <si>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</si>
  <si>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</si>
  <si>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</si>
  <si>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</si>
  <si>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</si>
  <si>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</si>
  <si>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</si>
  <si>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</si>
  <si>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</si>
  <si>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</si>
  <si>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</si>
  <si>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</si>
  <si>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</si>
  <si>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</si>
  <si>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</si>
  <si>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</si>
  <si>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</si>
  <si>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</si>
  <si>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</si>
  <si>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</si>
  <si>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</si>
  <si>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</si>
  <si>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</si>
  <si>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</si>
  <si>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</si>
  <si>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</si>
  <si>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</si>
  <si>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</si>
  <si>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</si>
  <si>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</si>
  <si>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</si>
  <si>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</si>
  <si>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</si>
  <si>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</si>
  <si>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</si>
  <si>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</si>
  <si>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</si>
  <si>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</si>
  <si>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</si>
  <si>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</si>
  <si>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</si>
  <si>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</si>
  <si>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</si>
  <si>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</si>
  <si>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</si>
  <si>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</si>
  <si>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</si>
  <si>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</si>
  <si>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</si>
  <si>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</si>
  <si>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</si>
  <si>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</si>
  <si>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</si>
  <si>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</si>
  <si>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</si>
  <si>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</si>
  <si>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</si>
  <si>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</si>
  <si>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</si>
  <si>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</si>
  <si>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</si>
  <si>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</si>
  <si>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</si>
  <si>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</si>
  <si>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</si>
  <si>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</si>
  <si>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</si>
  <si>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</si>
  <si>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</si>
  <si>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</si>
  <si>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</si>
  <si>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</si>
  <si>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</si>
  <si>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</si>
  <si>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</si>
  <si>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</si>
  <si>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</si>
  <si>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</si>
  <si>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</si>
  <si>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</si>
  <si>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</si>
  <si>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</si>
  <si>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</si>
  <si>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</si>
  <si>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</si>
  <si>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</si>
  <si>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</si>
  <si>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</si>
  <si>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</si>
  <si>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</si>
  <si>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</si>
  <si>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</si>
  <si>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</si>
  <si>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</si>
  <si>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</si>
  <si>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</si>
  <si>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</si>
  <si>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</si>
  <si>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</si>
  <si>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</si>
  <si>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</si>
  <si>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</si>
  <si>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</si>
  <si>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</si>
  <si>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</si>
  <si>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</si>
  <si>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</si>
  <si>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</si>
  <si>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</si>
  <si>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</si>
  <si>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</si>
  <si>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</si>
  <si>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</si>
  <si>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</si>
  <si>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</si>
  <si>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</si>
  <si>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</si>
  <si>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</si>
  <si>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</si>
  <si>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</si>
  <si>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</si>
  <si>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</si>
  <si>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</si>
  <si>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</si>
  <si>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</si>
  <si>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</si>
  <si>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</si>
  <si>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</si>
  <si>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</si>
  <si>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</si>
  <si>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</si>
  <si>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</si>
  <si>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</si>
  <si>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</si>
  <si>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</si>
  <si>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</si>
  <si>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</si>
  <si>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</si>
  <si>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</si>
  <si>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</si>
  <si>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</si>
  <si>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</si>
  <si>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</si>
  <si>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</si>
  <si>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</si>
  <si>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</si>
  <si>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</si>
  <si>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</si>
  <si>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</si>
  <si>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</si>
  <si>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</si>
  <si>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</si>
  <si>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</si>
  <si>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</si>
  <si>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</si>
  <si>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</si>
  <si>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</si>
  <si>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</si>
  <si>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</si>
  <si>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</si>
  <si>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</si>
  <si>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</si>
  <si>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</si>
  <si>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</si>
  <si>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</si>
  <si>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</si>
  <si>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</si>
  <si>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</si>
  <si>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</si>
  <si>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</si>
  <si>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</si>
  <si>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</si>
  <si>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</si>
  <si>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</si>
  <si>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</si>
  <si>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</si>
  <si>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</si>
  <si>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</si>
  <si>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</si>
  <si>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</si>
  <si>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</si>
  <si>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</si>
  <si>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</si>
  <si>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</si>
  <si>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</si>
  <si>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</si>
  <si>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</si>
  <si>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</si>
  <si>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</si>
  <si>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</si>
  <si>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</si>
  <si>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</si>
  <si>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</si>
  <si>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</si>
  <si>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</si>
  <si>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</si>
  <si>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</si>
  <si>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</si>
  <si>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</si>
  <si>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</si>
  <si>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</si>
  <si>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</si>
  <si>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</si>
  <si>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</si>
  <si>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</si>
  <si>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</si>
  <si>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</si>
  <si>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</si>
  <si>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</si>
  <si>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</si>
  <si>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</si>
  <si>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</si>
  <si>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</si>
  <si>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</si>
  <si>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</si>
  <si>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</si>
  <si>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</si>
  <si>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</si>
  <si>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</si>
  <si>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</si>
  <si>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</si>
  <si>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</si>
  <si>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</si>
  <si>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</si>
  <si>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</si>
  <si>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</si>
  <si>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</si>
  <si>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</si>
  <si>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</si>
  <si>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</si>
  <si>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</si>
  <si>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</si>
  <si>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</si>
  <si>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</si>
  <si>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</si>
  <si>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</si>
  <si>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</si>
  <si>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</si>
  <si>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</si>
  <si>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</si>
  <si>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</si>
  <si>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</si>
  <si>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</si>
  <si>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</si>
  <si>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</si>
  <si>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</si>
  <si>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</si>
  <si>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</si>
  <si>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</si>
  <si>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</si>
  <si>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</si>
  <si>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</si>
  <si>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</si>
  <si>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</si>
  <si>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</si>
  <si>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</si>
  <si>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</si>
  <si>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</si>
  <si>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</si>
  <si>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</si>
  <si>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</si>
  <si>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</si>
  <si>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</si>
  <si>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</si>
  <si>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</si>
  <si>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</si>
  <si>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</si>
  <si>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</si>
  <si>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</si>
  <si>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</si>
  <si>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</si>
  <si>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</si>
  <si>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</si>
  <si>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</si>
  <si>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</si>
  <si>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</si>
  <si>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</si>
  <si>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</si>
  <si>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</si>
  <si>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</si>
  <si>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</si>
  <si>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</si>
  <si>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</si>
  <si>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</si>
  <si>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</si>
  <si>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</si>
  <si>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</si>
  <si>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</si>
  <si>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</si>
  <si>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</si>
  <si>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</si>
  <si>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</si>
  <si>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</si>
  <si>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</si>
  <si>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</si>
  <si>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</si>
  <si>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</si>
  <si>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</si>
  <si>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</si>
  <si>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</si>
  <si>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</si>
  <si>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</si>
  <si>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</si>
  <si>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</si>
  <si>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</si>
  <si>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</si>
  <si>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</si>
  <si>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</si>
  <si>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</si>
  <si>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</si>
  <si>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</si>
  <si>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</si>
  <si>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</si>
  <si>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</si>
  <si>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</si>
  <si>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</si>
  <si>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</si>
  <si>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</si>
  <si>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</si>
  <si>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</si>
  <si>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</si>
  <si>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</si>
  <si>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</si>
  <si>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</si>
  <si>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</si>
  <si>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</si>
  <si>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</si>
  <si>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</si>
  <si>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</si>
  <si>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</si>
  <si>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</si>
  <si>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</si>
  <si>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</si>
  <si>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</si>
  <si>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</si>
  <si>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</si>
  <si>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</si>
  <si>
    <t>Jax Roberts</t>
  </si>
  <si>
    <t>Jax</t>
  </si>
  <si>
    <t>Roberts</t>
  </si>
  <si>
    <t>Lesley Allden (Ratae)</t>
  </si>
  <si>
    <t>Paul Eden (Ratae)</t>
  </si>
  <si>
    <t>Pamela Moore</t>
  </si>
  <si>
    <t>John Capel</t>
  </si>
  <si>
    <t>Linda Thames</t>
  </si>
  <si>
    <t>Coalville Wheelers</t>
  </si>
  <si>
    <t>DNF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</si>
</sst>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12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2" fillId="0" borderId="0"/>
  </cellStyleXfs>
  <cellXfs count="63">
    <xf numFmtId="0" fontId="0" fillId="0" borderId="0" xfId="0"/>
    <xf numFmtId="14" fontId="0" fillId="0" borderId="0" xfId="0" applyNumberFormat="1"/>
    <xf numFmtId="16" fontId="15" fillId="2" borderId="0" xfId="2" applyNumberFormat="1" applyFont="1" applyFill="1" applyAlignment="1">
      <alignment horizontal="center"/>
    </xf>
    <xf numFmtId="0" fontId="15" fillId="2" borderId="0" xfId="2" applyFont="1" applyFill="1" applyAlignment="1">
      <alignment horizontal="center"/>
    </xf>
    <xf numFmtId="16" fontId="15" fillId="2" borderId="0" xfId="2" applyNumberFormat="1" applyFont="1" applyFill="1"/>
    <xf numFmtId="0" fontId="15" fillId="2" borderId="0" xfId="2" applyFont="1" applyFill="1"/>
    <xf numFmtId="0" fontId="15" fillId="2" borderId="0" xfId="3" applyFont="1" applyFill="1" applyAlignment="1">
      <alignment horizontal="center" vertical="center" wrapText="1"/>
    </xf>
    <xf numFmtId="0" fontId="14" fillId="0" borderId="0" xfId="2" applyAlignment="1">
      <alignment horizontal="center"/>
    </xf>
    <xf numFmtId="0" fontId="14" fillId="0" borderId="0" xfId="2"/>
    <xf numFmtId="0" fontId="0" fillId="3" borderId="0" xfId="0" applyFill="1"/>
    <xf numFmtId="0" fontId="16" fillId="2" borderId="1" xfId="0" applyFont="1" applyFill="1" applyBorder="1" applyAlignment="1">
      <alignment wrapText="1"/>
    </xf>
    <xf numFmtId="0" fontId="16" fillId="2" borderId="2" xfId="0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6" fillId="2" borderId="4" xfId="0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/>
    <xf numFmtId="0" fontId="16" fillId="2" borderId="6" xfId="0" applyFont="1" applyFill="1" applyBorder="1" applyAlignment="1">
      <alignment horizontal="left"/>
    </xf>
    <xf numFmtId="0" fontId="18" fillId="4" borderId="6" xfId="0" applyFont="1" applyFill="1" applyBorder="1" applyAlignment="1">
      <alignment horizontal="center"/>
    </xf>
    <xf numFmtId="164" fontId="18" fillId="4" borderId="6" xfId="0" applyNumberFormat="1" applyFont="1" applyFill="1" applyBorder="1" applyAlignment="1">
      <alignment horizontal="center"/>
    </xf>
    <xf numFmtId="0" fontId="18" fillId="0" borderId="6" xfId="0" applyFont="1" applyBorder="1"/>
    <xf numFmtId="165" fontId="1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8" fillId="0" borderId="6" xfId="0" applyFont="1" applyBorder="1" applyAlignment="1">
      <alignment horizontal="left"/>
    </xf>
    <xf numFmtId="166" fontId="18" fillId="4" borderId="6" xfId="0" applyNumberFormat="1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14" fillId="0" borderId="0" xfId="3" applyAlignment="1">
      <alignment horizontal="center"/>
    </xf>
    <xf numFmtId="14" fontId="14" fillId="0" borderId="0" xfId="0" applyNumberFormat="1" applyFont="1"/>
    <xf numFmtId="0" fontId="0" fillId="0" borderId="0" xfId="0" applyAlignment="1">
      <alignment horizontal="center"/>
    </xf>
    <xf numFmtId="0" fontId="18" fillId="7" borderId="6" xfId="0" applyFont="1" applyFill="1" applyBorder="1" applyAlignment="1">
      <alignment horizontal="center"/>
    </xf>
    <xf numFmtId="164" fontId="18" fillId="7" borderId="6" xfId="0" applyNumberFormat="1" applyFont="1" applyFill="1" applyBorder="1" applyAlignment="1">
      <alignment horizontal="center"/>
    </xf>
    <xf numFmtId="166" fontId="18" fillId="7" borderId="6" xfId="0" applyNumberFormat="1" applyFont="1" applyFill="1" applyBorder="1" applyAlignment="1">
      <alignment horizontal="center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5" fillId="2" borderId="0" xfId="2" applyNumberFormat="1" applyFont="1" applyFill="1"/>
    <xf numFmtId="167" fontId="14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8" fillId="0" borderId="6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8" fillId="0" borderId="7" xfId="0" applyFont="1" applyBorder="1" applyAlignment="1">
      <alignment horizontal="center"/>
    </xf>
    <xf numFmtId="0" fontId="0" fillId="0" borderId="0" xfId="0" quotePrefix="1"/>
    <xf numFmtId="0" fontId="11" fillId="0" borderId="0" xfId="0" applyFont="1"/>
    <xf numFmtId="0" fontId="10" fillId="0" borderId="0" xfId="0" applyFont="1"/>
    <xf numFmtId="0" fontId="9" fillId="0" borderId="0" xfId="8"/>
    <xf numFmtId="14" fontId="9" fillId="0" borderId="0" xfId="8" applyNumberFormat="1"/>
    <xf numFmtId="0" fontId="8" fillId="0" borderId="0" xfId="9"/>
    <xf numFmtId="14" fontId="8" fillId="0" borderId="0" xfId="9" applyNumberFormat="1"/>
    <xf numFmtId="0" fontId="7" fillId="0" borderId="0" xfId="10"/>
    <xf numFmtId="14" fontId="7" fillId="0" borderId="0" xfId="10" applyNumberFormat="1"/>
    <xf numFmtId="0" fontId="6" fillId="0" borderId="0" xfId="11"/>
    <xf numFmtId="14" fontId="6" fillId="0" borderId="0" xfId="11" applyNumberFormat="1"/>
    <xf numFmtId="0" fontId="5" fillId="0" borderId="0" xfId="12"/>
    <xf numFmtId="14" fontId="5" fillId="0" borderId="0" xfId="12" applyNumberFormat="1"/>
    <xf numFmtId="0" fontId="4" fillId="0" borderId="0" xfId="13"/>
    <xf numFmtId="14" fontId="4" fillId="0" borderId="0" xfId="13" applyNumberFormat="1"/>
    <xf numFmtId="0" fontId="3" fillId="0" borderId="0" xfId="0" applyFont="1"/>
    <xf numFmtId="0" fontId="2" fillId="0" borderId="0" xfId="14"/>
    <xf numFmtId="14" fontId="2" fillId="0" borderId="0" xfId="14" applyNumberFormat="1"/>
    <xf numFmtId="0" fontId="1" fillId="0" borderId="0" xfId="0" applyFont="1"/>
  </cellXfs>
  <cellStyles count="15">
    <cellStyle name="Normal" xfId="0" builtinId="0"/>
    <cellStyle name="Normal 10" xfId="5" xr:uid="{53160EDD-86B8-4CB4-9708-F662E5A12BC2}"/>
    <cellStyle name="Normal 11" xfId="14" xr:uid="{23D49939-8DAF-4390-A43A-4F1BD9346163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A2" sqref="A2:H2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G2" s="60"/>
      <c r="H2" s="61">
        <v>46125</v>
      </c>
      <c r="J2" s="1"/>
    </row>
    <row r="3" spans="1:10" ht="14.25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  <c r="J3" s="1"/>
    </row>
    <row r="4" spans="1:10" ht="14.25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  <c r="J4" s="1"/>
    </row>
    <row r="5" spans="1:10" ht="14.25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  <c r="J5" s="1"/>
    </row>
    <row r="6" spans="1:10" ht="14.25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  <c r="J6" s="1"/>
    </row>
    <row r="7" spans="1:10" ht="14.25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G7" s="60"/>
      <c r="H7" s="61">
        <v>46125</v>
      </c>
      <c r="J7" s="1"/>
    </row>
    <row r="8" spans="1:10" ht="14.25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  <c r="J8" s="1"/>
    </row>
    <row r="9" spans="1:10" ht="14.25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G9" s="60"/>
      <c r="H9" s="61">
        <v>46125</v>
      </c>
      <c r="J9" s="1"/>
    </row>
    <row r="10" spans="1:10" ht="14.25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  <c r="J10" s="1"/>
    </row>
    <row r="11" spans="1:10" ht="14.25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  <c r="J11" s="1"/>
    </row>
    <row r="12" spans="1:10" ht="14.25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  <c r="J12" s="1"/>
    </row>
    <row r="13" spans="1:10" ht="14.25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  <c r="J13" s="1"/>
    </row>
    <row r="14" spans="1:10" ht="14.25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  <c r="J14" s="1"/>
    </row>
    <row r="15" spans="1:10" ht="14.25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  <c r="J15" s="1"/>
    </row>
    <row r="16" spans="1:10" ht="14.25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  <c r="J16" s="1"/>
    </row>
    <row r="17" spans="1:10" ht="14.25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  <c r="J17" s="1"/>
    </row>
    <row r="18" spans="1:10" ht="14.25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G18" s="60"/>
      <c r="H18" s="61">
        <v>46125</v>
      </c>
      <c r="J18" s="1"/>
    </row>
    <row r="19" spans="1:10" ht="14.25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G19" s="60"/>
      <c r="H19" s="61">
        <v>46125</v>
      </c>
      <c r="J19" s="1"/>
    </row>
    <row r="20" spans="1:10" ht="14.25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  <c r="J20" s="1"/>
    </row>
    <row r="21" spans="1:10" ht="14.25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  <c r="J21" s="1"/>
    </row>
    <row r="22" spans="1:10" ht="14.25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G22" s="60"/>
      <c r="H22" s="61">
        <v>46125</v>
      </c>
      <c r="J22" s="1"/>
    </row>
    <row r="23" spans="1:10" ht="14.25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G23" s="60"/>
      <c r="H23" s="61">
        <v>46125</v>
      </c>
      <c r="J23" s="1"/>
    </row>
    <row r="24" spans="1:10" ht="14.25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  <c r="J24" s="1"/>
    </row>
    <row r="25" spans="1:10" ht="14.25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  <c r="J25" s="1"/>
    </row>
    <row r="26" spans="1:10" ht="14.25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  <c r="J26" s="1"/>
    </row>
    <row r="27" spans="1:10" ht="14.25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  <c r="J27" s="1"/>
    </row>
    <row r="28" spans="1:10" ht="14.25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  <c r="J28" s="1"/>
    </row>
    <row r="29" spans="1:10" ht="14.25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  <c r="J29" s="1"/>
    </row>
    <row r="30" spans="1:10" ht="14.25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G30" s="60"/>
      <c r="H30" s="61">
        <v>46125</v>
      </c>
      <c r="J30" s="1"/>
    </row>
    <row r="31" spans="1:10" ht="14.25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  <c r="J31" s="1"/>
    </row>
    <row r="32" spans="1:10" ht="14.25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G32" s="60"/>
      <c r="H32" s="61">
        <v>46125</v>
      </c>
      <c r="J32" s="1"/>
    </row>
    <row r="33" spans="1:10" ht="14.25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  <c r="J33" s="1"/>
    </row>
    <row r="34" spans="1:10" ht="14.25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  <c r="J34" s="1"/>
    </row>
    <row r="35" spans="1:10" ht="14.25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G35" s="60"/>
      <c r="H35" s="61">
        <v>46125</v>
      </c>
      <c r="J35" s="1"/>
    </row>
    <row r="36" spans="1:10" ht="14.25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  <c r="J36" s="1"/>
    </row>
    <row r="37" spans="1:10" ht="14.25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  <c r="J37" s="1"/>
    </row>
    <row r="38" spans="1:10" ht="14.25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  <c r="J38" s="1"/>
    </row>
    <row r="39" spans="1:10" ht="14.25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  <c r="J39" s="1"/>
    </row>
    <row r="40" spans="1:10" ht="14.25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  <c r="J40" s="1"/>
    </row>
    <row r="41" spans="1:10" ht="14.25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  <c r="J41" s="1"/>
    </row>
    <row r="42" spans="1:10" ht="14.25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  <c r="J42" s="1"/>
    </row>
    <row r="43" spans="1:10" ht="14.25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  <c r="J43" s="1"/>
    </row>
    <row r="44" spans="1:10" ht="14.25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  <c r="J44" s="1"/>
    </row>
    <row r="45" spans="1:10" ht="14.25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G45" s="60"/>
      <c r="H45" s="61">
        <v>46125</v>
      </c>
      <c r="J45" s="1"/>
    </row>
    <row r="46" spans="1:10" ht="14.25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  <c r="J46" s="1"/>
    </row>
    <row r="47" spans="1:10" ht="14.25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  <c r="J47" s="1"/>
    </row>
    <row r="48" spans="1:10" ht="14.25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  <c r="J48" s="1"/>
    </row>
    <row r="49" spans="1:10" ht="14.25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G49" s="60"/>
      <c r="H49" s="61">
        <v>46125</v>
      </c>
      <c r="J49" s="1"/>
    </row>
    <row r="50" spans="1:10" ht="14.25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  <c r="J50" s="1"/>
    </row>
    <row r="51" spans="1:10" ht="14.25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G51" s="60"/>
      <c r="H51" s="61">
        <v>46125</v>
      </c>
      <c r="J51" s="1"/>
    </row>
    <row r="52" spans="1:10" ht="14.25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  <c r="J52" s="1"/>
    </row>
    <row r="53" spans="1:10" ht="14.25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G53" s="60"/>
      <c r="H53" s="61">
        <v>46125</v>
      </c>
      <c r="J53" s="1"/>
    </row>
    <row r="54" spans="1:10" ht="14.25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G54" s="60"/>
      <c r="H54" s="61">
        <v>46125</v>
      </c>
      <c r="J54" s="1"/>
    </row>
    <row r="55" spans="1:10" ht="14.25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  <c r="J55" s="1"/>
    </row>
    <row r="56" spans="1:10" ht="14.25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  <c r="J56" s="1"/>
    </row>
    <row r="57" spans="1:10" ht="14.25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G57" s="60"/>
      <c r="H57" s="61">
        <v>46125</v>
      </c>
      <c r="J57" s="1"/>
    </row>
    <row r="58" spans="1:10" ht="14.25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G58" s="60"/>
      <c r="H58" s="61">
        <v>46125</v>
      </c>
      <c r="J58" s="1"/>
    </row>
    <row r="59" spans="1:10" ht="14.25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  <c r="J59" s="1"/>
    </row>
    <row r="60" spans="1:10" ht="14.25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  <c r="J60" s="1"/>
    </row>
    <row r="61" spans="1:10" ht="14.25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G61" s="60"/>
      <c r="H61" s="61">
        <v>46125</v>
      </c>
      <c r="J61" s="1"/>
    </row>
    <row r="62" spans="1:10" ht="14.25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G62" s="60"/>
      <c r="H62" s="61">
        <v>46125</v>
      </c>
      <c r="J62" s="1"/>
    </row>
    <row r="63" spans="1:10" ht="14.25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  <c r="J63" s="1"/>
    </row>
    <row r="64" spans="1:10" ht="14.25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  <c r="J64" s="1"/>
    </row>
    <row r="65" spans="1:10" ht="14.25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G65" s="60"/>
      <c r="H65" s="61">
        <v>46125</v>
      </c>
      <c r="J65" s="1"/>
    </row>
    <row r="66" spans="1:10" ht="14.25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  <c r="J66" s="1"/>
    </row>
    <row r="67" spans="1:10" ht="14.25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  <c r="J67" s="1"/>
    </row>
    <row r="68" spans="1:10" ht="14.25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  <c r="J68" s="1"/>
    </row>
    <row r="69" spans="1:10" ht="14.25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  <c r="J69" s="1"/>
    </row>
    <row r="70" spans="1:10" ht="14.25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G70" s="60"/>
      <c r="H70" s="61">
        <v>46125</v>
      </c>
      <c r="J70" s="1"/>
    </row>
    <row r="71" spans="1:10" ht="14.25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G71" s="60"/>
      <c r="H71" s="61">
        <v>46125</v>
      </c>
      <c r="J71" s="1"/>
    </row>
    <row r="72" spans="1:10" ht="14.25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  <c r="J72" s="1"/>
    </row>
    <row r="73" spans="1:10" ht="14.25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  <c r="J73" s="1"/>
    </row>
    <row r="74" spans="1:10" ht="14.25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G74" s="60"/>
      <c r="H74" s="61">
        <v>46125</v>
      </c>
      <c r="J74" s="1"/>
    </row>
    <row r="75" spans="1:10" ht="14.25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G75" s="60"/>
      <c r="H75" s="61">
        <v>46125</v>
      </c>
      <c r="J75" s="1"/>
    </row>
    <row r="76" spans="1:10" ht="14.25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G76" s="60"/>
      <c r="H76" s="61">
        <v>46125</v>
      </c>
      <c r="J76" s="1"/>
    </row>
    <row r="77" spans="1:10" ht="14.25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G77" s="60"/>
      <c r="H77" s="61">
        <v>46125</v>
      </c>
      <c r="J77" s="1"/>
    </row>
    <row r="78" spans="1:10" ht="14.25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G78" s="60"/>
      <c r="H78" s="61">
        <v>46125</v>
      </c>
      <c r="J78" s="1"/>
    </row>
    <row r="79" spans="1:10" ht="14.25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  <c r="J79" s="1"/>
    </row>
    <row r="80" spans="1:10" ht="14.25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  <c r="J80" s="1"/>
    </row>
    <row r="81" spans="1:10" ht="14.25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G81" s="60"/>
      <c r="H81" s="61">
        <v>46125</v>
      </c>
      <c r="J81" s="1"/>
    </row>
    <row r="82" spans="1:10" ht="14.25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  <c r="J82" s="1"/>
    </row>
    <row r="83" spans="1:10" ht="14.25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G83" s="60"/>
      <c r="H83" s="61">
        <v>46125</v>
      </c>
      <c r="J83" s="1"/>
    </row>
    <row r="84" spans="1:10" ht="14.25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G84" s="60"/>
      <c r="H84" s="61">
        <v>46125</v>
      </c>
      <c r="J84" s="1"/>
    </row>
    <row r="85" spans="1:10" ht="14.25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G85" s="60"/>
      <c r="H85" s="61">
        <v>46125</v>
      </c>
      <c r="J85" s="1"/>
    </row>
    <row r="86" spans="1:10" ht="14.25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  <c r="J86" s="1"/>
    </row>
    <row r="87" spans="1:10" ht="14.25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  <c r="J87" s="1"/>
    </row>
    <row r="88" spans="1:10" ht="14.25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  <c r="J88" s="1"/>
    </row>
    <row r="89" spans="1:10" ht="14.25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  <c r="J89" s="1"/>
    </row>
    <row r="90" spans="1:10" ht="14.25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  <c r="J90" s="1"/>
    </row>
    <row r="91" spans="1:10" ht="14.25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  <c r="J91" s="1"/>
    </row>
    <row r="92" spans="1:10" ht="14.25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  <c r="J92" s="1"/>
    </row>
    <row r="93" spans="1:10" ht="14.25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  <c r="J93" s="1"/>
    </row>
    <row r="94" spans="1:10" ht="14.25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G94" s="60"/>
      <c r="H94" s="61">
        <v>46125</v>
      </c>
      <c r="J94" s="1"/>
    </row>
    <row r="95" spans="1:10" ht="14.25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  <c r="J95" s="1"/>
    </row>
    <row r="96" spans="1:10" ht="14.25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  <c r="J96" s="1"/>
    </row>
    <row r="97" spans="1:10" ht="14.25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  <c r="J97" s="1"/>
    </row>
    <row r="98" spans="1:10" ht="14.25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G98" s="60"/>
      <c r="H98" s="61">
        <v>46125</v>
      </c>
      <c r="J98" s="1"/>
    </row>
    <row r="99" spans="1:10" ht="14.25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G99" s="60"/>
      <c r="H99" s="61">
        <v>46125</v>
      </c>
      <c r="J99" s="1"/>
    </row>
    <row r="100" spans="1:10" ht="14.25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  <c r="J100" s="1"/>
    </row>
    <row r="101" spans="1:10" ht="14.25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G101" s="60"/>
      <c r="H101" s="61">
        <v>46125</v>
      </c>
      <c r="J101" s="1"/>
    </row>
    <row r="102" spans="1:10" ht="14.25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  <c r="J102" s="1"/>
    </row>
    <row r="103" spans="1:10" ht="14.25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G103" s="60"/>
      <c r="H103" s="61">
        <v>46125</v>
      </c>
      <c r="J103" s="1"/>
    </row>
    <row r="104" spans="1:10" ht="14.25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  <c r="J104" s="1"/>
    </row>
    <row r="105" spans="1:10" ht="14.25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  <c r="J105" s="1"/>
    </row>
    <row r="106" spans="1:10" ht="14.25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G106" s="60"/>
      <c r="H106" s="61">
        <v>46125</v>
      </c>
      <c r="J106" s="1"/>
    </row>
    <row r="107" spans="1:10" ht="14.25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  <c r="J107" s="1"/>
    </row>
    <row r="108" spans="1:10" ht="14.25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  <c r="J108" s="1"/>
    </row>
    <row r="109" spans="1:10" ht="14.25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  <c r="J109" s="1"/>
    </row>
    <row r="110" spans="1:10" ht="14.25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  <c r="J110" s="1"/>
    </row>
    <row r="111" spans="1:10" ht="14.25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  <c r="J111" s="1"/>
    </row>
    <row r="112" spans="1:10" ht="14.25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G112" s="60"/>
      <c r="H112" s="61">
        <v>46125</v>
      </c>
      <c r="J112" s="1"/>
    </row>
    <row r="113" spans="1:10" ht="14.25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  <c r="J113" s="1"/>
    </row>
    <row r="114" spans="1:10" ht="14.25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G114" s="60"/>
      <c r="H114" s="61">
        <v>46125</v>
      </c>
      <c r="J114" s="1"/>
    </row>
    <row r="115" spans="1:10" ht="14.25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  <c r="J115" s="1"/>
    </row>
    <row r="116" spans="1:10" ht="14.25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  <c r="J116" s="1"/>
    </row>
    <row r="117" spans="1:10" ht="14.25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G117" s="60"/>
      <c r="H117" s="61">
        <v>46125</v>
      </c>
      <c r="J117" s="1"/>
    </row>
    <row r="118" spans="1:10" ht="14.25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G118" s="60"/>
      <c r="H118" s="61">
        <v>46125</v>
      </c>
      <c r="J118" s="1"/>
    </row>
    <row r="119" spans="1:10" ht="14.25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  <c r="J119" s="1"/>
    </row>
    <row r="120" spans="1:10" ht="14.25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  <c r="J120" s="1"/>
    </row>
    <row r="121" spans="1:10" ht="14.25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  <c r="J121" s="1"/>
    </row>
    <row r="122" spans="1:10" ht="14.25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  <c r="J122" s="1"/>
    </row>
    <row r="123" spans="1:10" ht="14.25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  <c r="J123" s="1"/>
    </row>
    <row r="124" spans="1:10" ht="14.25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  <c r="J124" s="1"/>
    </row>
    <row r="125" spans="1:10" ht="14.25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G125" s="60"/>
      <c r="H125" s="61">
        <v>46125</v>
      </c>
      <c r="J125" s="1"/>
    </row>
    <row r="126" spans="1:10" ht="14.25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G126" s="60"/>
      <c r="H126" s="61">
        <v>46125</v>
      </c>
      <c r="J126" s="1"/>
    </row>
    <row r="127" spans="1:10" ht="14.25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G127" s="60"/>
      <c r="H127" s="61">
        <v>46125</v>
      </c>
      <c r="J127" s="1"/>
    </row>
    <row r="128" spans="1:10" ht="14.25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  <c r="J128" s="1"/>
    </row>
    <row r="129" spans="1:10" ht="14.25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  <c r="J129" s="1"/>
    </row>
    <row r="130" spans="1:10" ht="14.25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  <c r="J130" s="1"/>
    </row>
    <row r="131" spans="1:10" ht="14.25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  <c r="J131" s="1"/>
    </row>
    <row r="132" spans="1:10" ht="14.25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G132" s="60"/>
      <c r="H132" s="61">
        <v>46125</v>
      </c>
      <c r="J132" s="1"/>
    </row>
    <row r="133" spans="1:10" ht="14.25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G133" s="60"/>
      <c r="H133" s="61">
        <v>46125</v>
      </c>
      <c r="J133" s="1"/>
    </row>
    <row r="134" spans="1:10" ht="14.25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G134" s="60"/>
      <c r="H134" s="61">
        <v>46125</v>
      </c>
      <c r="J134" s="1"/>
    </row>
    <row r="135" spans="1:10" ht="14.25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G135" s="60"/>
      <c r="H135" s="61">
        <v>46125</v>
      </c>
      <c r="J135" s="1"/>
    </row>
    <row r="136" spans="1:10" ht="14.25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  <c r="J136" s="1"/>
    </row>
    <row r="137" spans="1:10" ht="14.25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  <c r="J137" s="1"/>
    </row>
    <row r="138" spans="1:10" ht="14.25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  <c r="J138" s="1"/>
    </row>
    <row r="139" spans="1:10" ht="14.25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  <c r="J139" s="1"/>
    </row>
    <row r="140" spans="1:10" ht="14.25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  <c r="J140" s="1"/>
    </row>
    <row r="141" spans="1:10" ht="14.25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  <c r="J141" s="1"/>
    </row>
    <row r="142" spans="1:10" ht="14.25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  <c r="J142" s="1"/>
    </row>
    <row r="143" spans="1:10" ht="14.25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G143" s="60"/>
      <c r="H143" s="61">
        <v>46125</v>
      </c>
      <c r="J143" s="1"/>
    </row>
    <row r="144" spans="1:10" ht="14.25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  <c r="J144" s="1"/>
    </row>
    <row r="145" spans="1:10" ht="14.25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  <c r="J145" s="1"/>
    </row>
    <row r="146" spans="1:10" ht="14.25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  <c r="J146" s="1"/>
    </row>
    <row r="147" spans="1:10" ht="14.25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  <c r="J147" s="1"/>
    </row>
    <row r="148" spans="1:10" ht="14.25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  <c r="J148" s="1"/>
    </row>
    <row r="149" spans="1:10" ht="14.25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G149" s="60"/>
      <c r="H149" s="61">
        <v>46125</v>
      </c>
      <c r="J149" s="1"/>
    </row>
    <row r="150" spans="1:10" ht="14.25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G150" s="60"/>
      <c r="H150" s="61">
        <v>46125</v>
      </c>
      <c r="J150" s="1"/>
    </row>
    <row r="151" spans="1:10" ht="14.25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G151" s="60"/>
      <c r="H151" s="61">
        <v>46125</v>
      </c>
      <c r="J151" s="1"/>
    </row>
    <row r="152" spans="1:10" ht="14.25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  <c r="J152" s="1"/>
    </row>
    <row r="153" spans="1:10" ht="14.25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  <c r="J153" s="1"/>
    </row>
    <row r="154" spans="1:10" ht="14.25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G154" s="60"/>
      <c r="H154" s="61">
        <v>46125</v>
      </c>
      <c r="J154" s="1"/>
    </row>
    <row r="155" spans="1:10" ht="14.25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G155" s="60"/>
      <c r="H155" s="61">
        <v>46125</v>
      </c>
      <c r="J155" s="1"/>
    </row>
    <row r="156" spans="1:10" ht="14.25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  <c r="J156" s="1"/>
    </row>
    <row r="157" spans="1:10" ht="14.25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  <c r="J157" s="1"/>
    </row>
    <row r="158" spans="1:10" ht="14.25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  <c r="J158" s="1"/>
    </row>
    <row r="159" spans="1:10" ht="14.25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  <c r="J159" s="1"/>
    </row>
    <row r="160" spans="1:10" ht="14.25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G160" s="60"/>
      <c r="H160" s="61">
        <v>46125</v>
      </c>
      <c r="J160" s="1"/>
    </row>
    <row r="161" spans="1:10" ht="14.25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G161" s="60"/>
      <c r="H161" s="61">
        <v>46125</v>
      </c>
      <c r="J161" s="1"/>
    </row>
    <row r="162" spans="1:10" ht="14.25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  <c r="J162" s="1"/>
    </row>
    <row r="163" spans="1:10" ht="14.25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  <c r="J163" s="1"/>
    </row>
    <row r="164" spans="1:10" ht="14.25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  <c r="J164" s="1"/>
    </row>
    <row r="165" spans="1:10" ht="14.25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  <c r="J165" s="1"/>
    </row>
    <row r="166" spans="1:10" ht="14.25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G166" s="60"/>
      <c r="H166" s="61">
        <v>46125</v>
      </c>
      <c r="J166" s="1"/>
    </row>
    <row r="167" spans="1:10" ht="14.25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  <c r="J167" s="1"/>
    </row>
    <row r="168" spans="1:10" ht="14.25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G168" s="60"/>
      <c r="H168" s="61">
        <v>46125</v>
      </c>
      <c r="J168" s="1"/>
    </row>
    <row r="169" spans="1:10" ht="14.25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  <c r="J169" s="1"/>
    </row>
    <row r="170" spans="1:10" ht="14.25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G170" s="60"/>
      <c r="H170" s="61">
        <v>46125</v>
      </c>
      <c r="J170" s="1"/>
    </row>
    <row r="171" spans="1:10" ht="14.25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  <c r="J171" s="1"/>
    </row>
    <row r="172" spans="1:10" ht="14.25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  <c r="J172" s="1"/>
    </row>
    <row r="173" spans="1:10" ht="14.25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  <c r="J173" s="1"/>
    </row>
    <row r="174" spans="1:10" ht="14.25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  <c r="J174" s="1"/>
    </row>
    <row r="175" spans="1:10" ht="14.25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  <c r="J175" s="1"/>
    </row>
    <row r="176" spans="1:10" ht="14.25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  <c r="J176" s="1"/>
    </row>
    <row r="177" spans="1:10" ht="14.25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  <c r="J177" s="1"/>
    </row>
    <row r="178" spans="1:10" ht="14.25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  <c r="J178" s="1"/>
    </row>
    <row r="179" spans="1:10" ht="14.25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  <c r="J179" s="1"/>
    </row>
    <row r="180" spans="1:10" ht="14.25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  <c r="J180" s="1"/>
    </row>
    <row r="181" spans="1:10" ht="14.25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G181" s="60"/>
      <c r="H181" s="61">
        <v>46125</v>
      </c>
      <c r="J181" s="1"/>
    </row>
    <row r="182" spans="1:10" ht="14.25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G182" s="60"/>
      <c r="H182" s="61">
        <v>46125</v>
      </c>
      <c r="J182" s="1"/>
    </row>
    <row r="183" spans="1:10" ht="14.25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  <c r="J183" s="1"/>
    </row>
    <row r="184" spans="1:10" ht="14.25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  <c r="J184" s="1"/>
    </row>
    <row r="185" spans="1:10" ht="14.25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  <c r="J185" s="1"/>
    </row>
    <row r="186" spans="1:10" ht="14.25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G186" s="60"/>
      <c r="H186" s="61">
        <v>46125</v>
      </c>
      <c r="J186" s="1"/>
    </row>
    <row r="187" spans="1:10" ht="14.25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G187" s="60"/>
      <c r="H187" s="61">
        <v>46125</v>
      </c>
      <c r="J187" s="1"/>
    </row>
    <row r="188" spans="1:10" ht="14.25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  <c r="J188" s="1"/>
    </row>
    <row r="189" spans="1:10" ht="14.25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  <c r="J189" s="1"/>
    </row>
    <row r="190" spans="1:10" ht="14.25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  <c r="J190" s="1"/>
    </row>
    <row r="191" spans="1:10" ht="14.25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  <c r="J191" s="1"/>
    </row>
    <row r="192" spans="1:10" ht="14.25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G192" s="60"/>
      <c r="H192" s="61">
        <v>46125</v>
      </c>
      <c r="J192" s="1"/>
    </row>
    <row r="193" spans="1:10" ht="14.25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G193" s="60"/>
      <c r="H193" s="61">
        <v>46125</v>
      </c>
      <c r="J193" s="1"/>
    </row>
    <row r="194" spans="1:10" ht="14.25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  <c r="J194" s="1"/>
    </row>
    <row r="195" spans="1:10" ht="14.25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  <c r="J195" s="1"/>
    </row>
    <row r="196" spans="1:10" ht="14.25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G196" s="60"/>
      <c r="H196" s="61">
        <v>46125</v>
      </c>
      <c r="J196" s="1"/>
    </row>
    <row r="197" spans="1:10" ht="14.25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G197" s="60"/>
      <c r="H197" s="61">
        <v>46125</v>
      </c>
      <c r="J197" s="1"/>
    </row>
    <row r="198" spans="1:10" ht="14.25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  <c r="J198" s="1"/>
    </row>
    <row r="199" spans="1:10" ht="14.25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  <c r="J199" s="1"/>
    </row>
    <row r="200" spans="1:10" ht="14.25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  <c r="J200" s="1"/>
    </row>
    <row r="201" spans="1:10" ht="14.25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G201" s="60"/>
      <c r="H201" s="61">
        <v>46125</v>
      </c>
      <c r="J201" s="1"/>
    </row>
    <row r="202" spans="1:10" ht="14.25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  <c r="J202" s="1"/>
    </row>
    <row r="203" spans="1:10" ht="14.25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G203" s="60"/>
      <c r="H203" s="61">
        <v>46125</v>
      </c>
      <c r="J203" s="1"/>
    </row>
    <row r="204" spans="1:10" ht="14.25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  <c r="J204" s="1"/>
    </row>
    <row r="205" spans="1:10" ht="14.25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  <c r="J205" s="1"/>
    </row>
    <row r="206" spans="1:10" ht="14.25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G206" s="60"/>
      <c r="H206" s="61">
        <v>46125</v>
      </c>
      <c r="J206" s="1"/>
    </row>
    <row r="207" spans="1:10" ht="14.25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G207" s="60"/>
      <c r="H207" s="61">
        <v>46125</v>
      </c>
      <c r="J207" s="1"/>
    </row>
    <row r="208" spans="1:10" ht="14.25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G208" s="60"/>
      <c r="H208" s="61">
        <v>46125</v>
      </c>
      <c r="J208" s="1"/>
    </row>
    <row r="209" spans="1:10" ht="14.25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G209" s="60"/>
      <c r="H209" s="61">
        <v>46125</v>
      </c>
      <c r="J209" s="1"/>
    </row>
    <row r="210" spans="1:10" ht="14.25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  <c r="J210" s="1"/>
    </row>
    <row r="211" spans="1:10" ht="14.25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  <c r="J211" s="1"/>
    </row>
    <row r="212" spans="1:10" ht="14.25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G212" s="60"/>
      <c r="H212" s="61">
        <v>46125</v>
      </c>
      <c r="J212" s="1"/>
    </row>
    <row r="213" spans="1:10" ht="14.25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  <c r="J213" s="1"/>
    </row>
    <row r="214" spans="1:10" ht="14.25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  <c r="J214" s="1"/>
    </row>
    <row r="215" spans="1:10" ht="14.25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  <c r="J215" s="1"/>
    </row>
    <row r="216" spans="1:10" ht="14.25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  <c r="J216" s="1"/>
    </row>
    <row r="217" spans="1:10" ht="14.25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  <c r="J217" s="1"/>
    </row>
    <row r="218" spans="1:10" ht="14.25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G218" s="60"/>
      <c r="H218" s="61">
        <v>46125</v>
      </c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H234" sqref="H234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F02A-F167-462C-806B-A0209411AD16}">
  <dimension ref="A1:H218"/>
  <sheetViews>
    <sheetView topLeftCell="A181" workbookViewId="0">
      <selection activeCell="A2" sqref="A2:H218"/>
    </sheetView>
  </sheetViews>
  <sheetFormatPr defaultRowHeight="14.25" x14ac:dyDescent="0.45"/>
  <cols>
    <col min="1" max="7" width="9.06640625" style="60"/>
    <col min="8" max="8" width="10.19921875" style="60" bestFit="1" customWidth="1"/>
    <col min="9" max="16384" width="9.06640625" style="60"/>
  </cols>
  <sheetData>
    <row r="1" spans="1:8" x14ac:dyDescent="0.45">
      <c r="A1" s="60" t="s">
        <v>143</v>
      </c>
      <c r="B1" s="60" t="s">
        <v>26</v>
      </c>
      <c r="C1" s="60" t="s">
        <v>144</v>
      </c>
      <c r="D1" s="60" t="s">
        <v>142</v>
      </c>
      <c r="E1" s="60" t="s">
        <v>141</v>
      </c>
      <c r="F1" s="60" t="s">
        <v>361</v>
      </c>
      <c r="G1" s="60" t="s">
        <v>362</v>
      </c>
      <c r="H1" s="60" t="s">
        <v>318</v>
      </c>
    </row>
    <row r="2" spans="1:8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H2" s="61">
        <v>46125</v>
      </c>
    </row>
    <row r="3" spans="1:8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</row>
    <row r="4" spans="1:8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</row>
    <row r="5" spans="1:8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</row>
    <row r="6" spans="1:8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</row>
    <row r="7" spans="1:8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H7" s="61">
        <v>46125</v>
      </c>
    </row>
    <row r="8" spans="1:8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</row>
    <row r="9" spans="1:8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H9" s="61">
        <v>46125</v>
      </c>
    </row>
    <row r="10" spans="1:8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</row>
    <row r="11" spans="1:8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</row>
    <row r="12" spans="1:8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</row>
    <row r="13" spans="1:8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</row>
    <row r="14" spans="1:8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</row>
    <row r="15" spans="1:8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</row>
    <row r="16" spans="1:8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</row>
    <row r="17" spans="1:8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</row>
    <row r="18" spans="1:8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H18" s="61">
        <v>46125</v>
      </c>
    </row>
    <row r="19" spans="1:8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H19" s="61">
        <v>46125</v>
      </c>
    </row>
    <row r="20" spans="1:8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</row>
    <row r="21" spans="1:8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</row>
    <row r="22" spans="1:8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H22" s="61">
        <v>46125</v>
      </c>
    </row>
    <row r="23" spans="1:8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H23" s="61">
        <v>46125</v>
      </c>
    </row>
    <row r="24" spans="1:8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</row>
    <row r="25" spans="1:8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</row>
    <row r="26" spans="1:8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</row>
    <row r="27" spans="1:8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</row>
    <row r="28" spans="1:8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</row>
    <row r="29" spans="1:8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</row>
    <row r="30" spans="1:8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H30" s="61">
        <v>46125</v>
      </c>
    </row>
    <row r="31" spans="1:8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</row>
    <row r="32" spans="1:8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H32" s="61">
        <v>46125</v>
      </c>
    </row>
    <row r="33" spans="1:8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</row>
    <row r="34" spans="1:8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</row>
    <row r="35" spans="1:8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H35" s="61">
        <v>46125</v>
      </c>
    </row>
    <row r="36" spans="1:8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</row>
    <row r="37" spans="1:8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</row>
    <row r="38" spans="1:8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</row>
    <row r="39" spans="1:8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</row>
    <row r="40" spans="1:8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</row>
    <row r="41" spans="1:8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</row>
    <row r="42" spans="1:8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</row>
    <row r="43" spans="1:8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</row>
    <row r="44" spans="1:8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</row>
    <row r="45" spans="1:8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H45" s="61">
        <v>46125</v>
      </c>
    </row>
    <row r="46" spans="1:8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</row>
    <row r="47" spans="1:8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</row>
    <row r="48" spans="1:8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</row>
    <row r="49" spans="1:8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H49" s="61">
        <v>46125</v>
      </c>
    </row>
    <row r="50" spans="1:8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</row>
    <row r="51" spans="1:8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H51" s="61">
        <v>46125</v>
      </c>
    </row>
    <row r="52" spans="1:8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</row>
    <row r="53" spans="1:8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H53" s="61">
        <v>46125</v>
      </c>
    </row>
    <row r="54" spans="1:8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H54" s="61">
        <v>46125</v>
      </c>
    </row>
    <row r="55" spans="1:8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</row>
    <row r="56" spans="1:8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</row>
    <row r="57" spans="1:8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H57" s="61">
        <v>46125</v>
      </c>
    </row>
    <row r="58" spans="1:8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H58" s="61">
        <v>46125</v>
      </c>
    </row>
    <row r="59" spans="1:8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</row>
    <row r="60" spans="1:8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</row>
    <row r="61" spans="1:8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H61" s="61">
        <v>46125</v>
      </c>
    </row>
    <row r="62" spans="1:8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H62" s="61">
        <v>46125</v>
      </c>
    </row>
    <row r="63" spans="1:8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</row>
    <row r="64" spans="1:8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</row>
    <row r="65" spans="1:8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H65" s="61">
        <v>46125</v>
      </c>
    </row>
    <row r="66" spans="1:8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</row>
    <row r="67" spans="1:8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</row>
    <row r="68" spans="1:8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</row>
    <row r="69" spans="1:8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</row>
    <row r="70" spans="1:8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H70" s="61">
        <v>46125</v>
      </c>
    </row>
    <row r="71" spans="1:8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H71" s="61">
        <v>46125</v>
      </c>
    </row>
    <row r="72" spans="1:8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</row>
    <row r="73" spans="1:8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</row>
    <row r="74" spans="1:8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H74" s="61">
        <v>46125</v>
      </c>
    </row>
    <row r="75" spans="1:8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H75" s="61">
        <v>46125</v>
      </c>
    </row>
    <row r="76" spans="1:8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H76" s="61">
        <v>46125</v>
      </c>
    </row>
    <row r="77" spans="1:8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H77" s="61">
        <v>46125</v>
      </c>
    </row>
    <row r="78" spans="1:8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H78" s="61">
        <v>46125</v>
      </c>
    </row>
    <row r="79" spans="1:8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</row>
    <row r="80" spans="1:8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</row>
    <row r="81" spans="1:8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H81" s="61">
        <v>46125</v>
      </c>
    </row>
    <row r="82" spans="1:8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</row>
    <row r="83" spans="1:8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H83" s="61">
        <v>46125</v>
      </c>
    </row>
    <row r="84" spans="1:8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H84" s="61">
        <v>46125</v>
      </c>
    </row>
    <row r="85" spans="1:8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H85" s="61">
        <v>46125</v>
      </c>
    </row>
    <row r="86" spans="1:8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</row>
    <row r="87" spans="1:8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</row>
    <row r="88" spans="1:8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</row>
    <row r="89" spans="1:8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</row>
    <row r="90" spans="1:8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</row>
    <row r="91" spans="1:8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</row>
    <row r="92" spans="1:8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</row>
    <row r="93" spans="1:8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</row>
    <row r="94" spans="1:8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H94" s="61">
        <v>46125</v>
      </c>
    </row>
    <row r="95" spans="1:8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</row>
    <row r="96" spans="1:8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</row>
    <row r="97" spans="1:8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</row>
    <row r="98" spans="1:8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H98" s="61">
        <v>46125</v>
      </c>
    </row>
    <row r="99" spans="1:8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H99" s="61">
        <v>46125</v>
      </c>
    </row>
    <row r="100" spans="1:8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</row>
    <row r="101" spans="1:8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H101" s="61">
        <v>46125</v>
      </c>
    </row>
    <row r="102" spans="1:8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</row>
    <row r="103" spans="1:8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H103" s="61">
        <v>46125</v>
      </c>
    </row>
    <row r="104" spans="1:8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</row>
    <row r="105" spans="1:8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</row>
    <row r="106" spans="1:8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H106" s="61">
        <v>46125</v>
      </c>
    </row>
    <row r="107" spans="1:8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</row>
    <row r="108" spans="1:8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</row>
    <row r="109" spans="1:8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</row>
    <row r="110" spans="1:8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</row>
    <row r="111" spans="1:8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</row>
    <row r="112" spans="1:8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H112" s="61">
        <v>46125</v>
      </c>
    </row>
    <row r="113" spans="1:8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</row>
    <row r="114" spans="1:8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H114" s="61">
        <v>46125</v>
      </c>
    </row>
    <row r="115" spans="1:8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</row>
    <row r="116" spans="1:8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</row>
    <row r="117" spans="1:8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H117" s="61">
        <v>46125</v>
      </c>
    </row>
    <row r="118" spans="1:8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H118" s="61">
        <v>46125</v>
      </c>
    </row>
    <row r="119" spans="1:8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</row>
    <row r="120" spans="1:8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</row>
    <row r="121" spans="1:8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</row>
    <row r="122" spans="1:8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</row>
    <row r="123" spans="1:8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</row>
    <row r="124" spans="1:8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</row>
    <row r="125" spans="1:8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H125" s="61">
        <v>46125</v>
      </c>
    </row>
    <row r="126" spans="1:8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H126" s="61">
        <v>46125</v>
      </c>
    </row>
    <row r="127" spans="1:8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H127" s="61">
        <v>46125</v>
      </c>
    </row>
    <row r="128" spans="1:8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</row>
    <row r="129" spans="1:8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</row>
    <row r="130" spans="1:8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</row>
    <row r="131" spans="1:8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</row>
    <row r="132" spans="1:8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H132" s="61">
        <v>46125</v>
      </c>
    </row>
    <row r="133" spans="1:8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H133" s="61">
        <v>46125</v>
      </c>
    </row>
    <row r="134" spans="1:8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H134" s="61">
        <v>46125</v>
      </c>
    </row>
    <row r="135" spans="1:8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H135" s="61">
        <v>46125</v>
      </c>
    </row>
    <row r="136" spans="1:8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</row>
    <row r="137" spans="1:8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</row>
    <row r="138" spans="1:8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</row>
    <row r="139" spans="1:8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</row>
    <row r="140" spans="1:8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</row>
    <row r="141" spans="1:8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</row>
    <row r="142" spans="1:8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</row>
    <row r="143" spans="1:8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H143" s="61">
        <v>46125</v>
      </c>
    </row>
    <row r="144" spans="1:8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</row>
    <row r="145" spans="1:8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</row>
    <row r="146" spans="1:8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</row>
    <row r="147" spans="1:8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</row>
    <row r="148" spans="1:8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</row>
    <row r="149" spans="1:8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H149" s="61">
        <v>46125</v>
      </c>
    </row>
    <row r="150" spans="1:8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H150" s="61">
        <v>46125</v>
      </c>
    </row>
    <row r="151" spans="1:8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H151" s="61">
        <v>46125</v>
      </c>
    </row>
    <row r="152" spans="1:8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</row>
    <row r="153" spans="1:8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</row>
    <row r="154" spans="1:8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H154" s="61">
        <v>46125</v>
      </c>
    </row>
    <row r="155" spans="1:8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H155" s="61">
        <v>46125</v>
      </c>
    </row>
    <row r="156" spans="1:8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</row>
    <row r="157" spans="1:8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</row>
    <row r="158" spans="1:8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</row>
    <row r="159" spans="1:8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</row>
    <row r="160" spans="1:8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H160" s="61">
        <v>46125</v>
      </c>
    </row>
    <row r="161" spans="1:8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H161" s="61">
        <v>46125</v>
      </c>
    </row>
    <row r="162" spans="1:8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</row>
    <row r="163" spans="1:8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</row>
    <row r="164" spans="1:8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</row>
    <row r="165" spans="1:8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</row>
    <row r="166" spans="1:8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H166" s="61">
        <v>46125</v>
      </c>
    </row>
    <row r="167" spans="1:8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</row>
    <row r="168" spans="1:8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H168" s="61">
        <v>46125</v>
      </c>
    </row>
    <row r="169" spans="1:8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</row>
    <row r="170" spans="1:8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H170" s="61">
        <v>46125</v>
      </c>
    </row>
    <row r="171" spans="1:8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</row>
    <row r="172" spans="1:8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</row>
    <row r="173" spans="1:8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</row>
    <row r="174" spans="1:8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</row>
    <row r="175" spans="1:8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</row>
    <row r="176" spans="1:8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</row>
    <row r="177" spans="1:8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</row>
    <row r="178" spans="1:8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</row>
    <row r="179" spans="1:8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</row>
    <row r="180" spans="1:8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</row>
    <row r="181" spans="1:8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H181" s="61">
        <v>46125</v>
      </c>
    </row>
    <row r="182" spans="1:8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H182" s="61">
        <v>46125</v>
      </c>
    </row>
    <row r="183" spans="1:8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</row>
    <row r="184" spans="1:8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</row>
    <row r="185" spans="1:8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</row>
    <row r="186" spans="1:8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H186" s="61">
        <v>46125</v>
      </c>
    </row>
    <row r="187" spans="1:8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H187" s="61">
        <v>46125</v>
      </c>
    </row>
    <row r="188" spans="1:8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</row>
    <row r="189" spans="1:8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</row>
    <row r="190" spans="1:8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</row>
    <row r="191" spans="1:8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</row>
    <row r="192" spans="1:8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H192" s="61">
        <v>46125</v>
      </c>
    </row>
    <row r="193" spans="1:8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H193" s="61">
        <v>46125</v>
      </c>
    </row>
    <row r="194" spans="1:8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</row>
    <row r="195" spans="1:8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</row>
    <row r="196" spans="1:8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H196" s="61">
        <v>46125</v>
      </c>
    </row>
    <row r="197" spans="1:8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H197" s="61">
        <v>46125</v>
      </c>
    </row>
    <row r="198" spans="1:8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</row>
    <row r="199" spans="1:8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</row>
    <row r="200" spans="1:8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</row>
    <row r="201" spans="1:8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H201" s="61">
        <v>46125</v>
      </c>
    </row>
    <row r="202" spans="1:8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</row>
    <row r="203" spans="1:8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H203" s="61">
        <v>46125</v>
      </c>
    </row>
    <row r="204" spans="1:8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</row>
    <row r="205" spans="1:8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</row>
    <row r="206" spans="1:8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H206" s="61">
        <v>46125</v>
      </c>
    </row>
    <row r="207" spans="1:8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H207" s="61">
        <v>46125</v>
      </c>
    </row>
    <row r="208" spans="1:8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H208" s="61">
        <v>46125</v>
      </c>
    </row>
    <row r="209" spans="1:8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H209" s="61">
        <v>46125</v>
      </c>
    </row>
    <row r="210" spans="1:8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</row>
    <row r="211" spans="1:8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</row>
    <row r="212" spans="1:8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H212" s="61">
        <v>46125</v>
      </c>
    </row>
    <row r="213" spans="1:8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</row>
    <row r="214" spans="1:8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</row>
    <row r="215" spans="1:8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</row>
    <row r="216" spans="1:8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</row>
    <row r="217" spans="1:8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</row>
    <row r="218" spans="1:8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H218" s="61">
        <v>46125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7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>
        <f>IF(ISNUMBER(Competitors!A218),Competitors!A218,"")</f>
        <v>1024</v>
      </c>
      <c r="B218" t="str">
        <f>IF(A218="","",CONCATENATE(VLOOKUP(A218,Competitors!$A$2:$I$650,3,FALSE)," ",VLOOKUP(A218,Competitors!$A$2:$I$650,2,FALSE)))</f>
        <v>Jax Roberts</v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20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opLeftCell="A18" workbookViewId="0">
      <selection activeCell="B61" sqref="B61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61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58" spans="1:4" ht="14.25" x14ac:dyDescent="0.45">
      <c r="A58" t="s">
        <v>525</v>
      </c>
      <c r="B58" t="s">
        <v>387</v>
      </c>
      <c r="C58" s="59" t="str">
        <f t="shared" si="0"/>
        <v>Lesley Allden (Ratae)</v>
      </c>
      <c r="D58" t="s">
        <v>14</v>
      </c>
    </row>
    <row r="59" spans="1:4" ht="14.25" x14ac:dyDescent="0.45">
      <c r="A59" t="s">
        <v>535</v>
      </c>
      <c r="B59" t="s">
        <v>538</v>
      </c>
      <c r="C59" s="62" t="str">
        <f t="shared" si="0"/>
        <v>Pamela Moore (Coalville Wheelers)</v>
      </c>
    </row>
    <row r="60" spans="1:4" ht="14.25" x14ac:dyDescent="0.45">
      <c r="A60" t="s">
        <v>536</v>
      </c>
      <c r="B60" t="s">
        <v>538</v>
      </c>
      <c r="C60" s="62" t="str">
        <f t="shared" si="0"/>
        <v>John Capel (Coalville Wheelers)</v>
      </c>
    </row>
    <row r="61" spans="1:4" ht="14.25" x14ac:dyDescent="0.45">
      <c r="C61" s="62" t="str">
        <f t="shared" si="0"/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B35" sqref="B35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v>558</v>
      </c>
      <c r="C2" s="17"/>
      <c r="D2" s="17">
        <v>39</v>
      </c>
      <c r="E2" s="17">
        <v>9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2.71875E-2</v>
      </c>
      <c r="J2" t="str">
        <f>IF(OR(B2="",ISNUMBER(B2)),"","X")</f>
        <v/>
      </c>
    </row>
    <row r="3" spans="1:10" ht="15" x14ac:dyDescent="0.4">
      <c r="A3" s="40" t="s">
        <v>491</v>
      </c>
      <c r="B3" s="43">
        <v>45</v>
      </c>
      <c r="C3" s="17"/>
      <c r="D3" s="17">
        <v>34</v>
      </c>
      <c r="E3" s="17">
        <v>16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2.3796296296296298E-2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3" t="s">
        <v>511</v>
      </c>
      <c r="C4" s="17"/>
      <c r="D4" s="17">
        <v>26</v>
      </c>
      <c r="E4" s="17">
        <v>28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1.8379629629629631E-2</v>
      </c>
      <c r="J4" t="str">
        <f t="shared" si="1"/>
        <v>X</v>
      </c>
    </row>
    <row r="5" spans="1:10" ht="15" x14ac:dyDescent="0.4">
      <c r="A5" s="40" t="s">
        <v>526</v>
      </c>
      <c r="B5" s="43">
        <v>990</v>
      </c>
      <c r="C5" s="17"/>
      <c r="D5" s="17">
        <v>35</v>
      </c>
      <c r="E5" s="17">
        <v>3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0"/>
        <v>2.4340277777777777E-2</v>
      </c>
      <c r="J5" t="str">
        <f t="shared" si="1"/>
        <v/>
      </c>
    </row>
    <row r="6" spans="1:10" ht="15" x14ac:dyDescent="0.4">
      <c r="A6" s="40" t="s">
        <v>458</v>
      </c>
      <c r="B6" s="43">
        <v>1298</v>
      </c>
      <c r="C6" s="17"/>
      <c r="D6" s="17">
        <v>32</v>
      </c>
      <c r="E6" s="17">
        <v>50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0"/>
        <v>2.2800925925925926E-2</v>
      </c>
      <c r="J6" t="str">
        <f t="shared" si="1"/>
        <v/>
      </c>
    </row>
    <row r="7" spans="1:10" ht="15" x14ac:dyDescent="0.4">
      <c r="A7" s="40" t="s">
        <v>525</v>
      </c>
      <c r="B7" s="43" t="s">
        <v>533</v>
      </c>
      <c r="C7" s="17"/>
      <c r="D7" s="17">
        <v>33</v>
      </c>
      <c r="E7" s="17">
        <v>51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Lesley Allden (Ratae)</v>
      </c>
      <c r="I7" s="20">
        <f t="shared" si="0"/>
        <v>2.3506944444444445E-2</v>
      </c>
      <c r="J7" t="str">
        <f t="shared" si="1"/>
        <v>X</v>
      </c>
    </row>
    <row r="8" spans="1:10" ht="15" x14ac:dyDescent="0.4">
      <c r="A8" s="40" t="s">
        <v>527</v>
      </c>
      <c r="B8" s="43">
        <v>203</v>
      </c>
      <c r="C8" s="17"/>
      <c r="D8" s="17">
        <v>29</v>
      </c>
      <c r="E8" s="17">
        <v>34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0"/>
        <v>2.0532407407407409E-2</v>
      </c>
      <c r="J8" t="str">
        <f t="shared" si="1"/>
        <v/>
      </c>
    </row>
    <row r="9" spans="1:10" ht="15" x14ac:dyDescent="0.4">
      <c r="A9" s="40" t="s">
        <v>110</v>
      </c>
      <c r="B9" s="43" t="s">
        <v>514</v>
      </c>
      <c r="C9" s="17"/>
      <c r="D9" s="17">
        <v>27</v>
      </c>
      <c r="E9" s="17">
        <v>20</v>
      </c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0"/>
        <v>1.8981481481481481E-2</v>
      </c>
      <c r="J9" t="str">
        <f t="shared" si="1"/>
        <v>X</v>
      </c>
    </row>
    <row r="10" spans="1:10" ht="15" x14ac:dyDescent="0.4">
      <c r="A10" s="40" t="s">
        <v>101</v>
      </c>
      <c r="B10" s="43" t="s">
        <v>518</v>
      </c>
      <c r="C10" s="17"/>
      <c r="D10" s="17">
        <v>34</v>
      </c>
      <c r="E10" s="17">
        <v>0</v>
      </c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0"/>
        <v>2.361111111111111E-2</v>
      </c>
      <c r="J10" t="str">
        <f t="shared" si="1"/>
        <v>X</v>
      </c>
    </row>
    <row r="11" spans="1:10" ht="15" x14ac:dyDescent="0.4">
      <c r="A11" s="40" t="s">
        <v>493</v>
      </c>
      <c r="B11" s="43">
        <v>1254</v>
      </c>
      <c r="C11" s="17"/>
      <c r="D11" s="17"/>
      <c r="E11" s="17"/>
      <c r="F11" s="17"/>
      <c r="G11" s="17" t="s">
        <v>489</v>
      </c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484</v>
      </c>
      <c r="B12" s="43">
        <v>1419</v>
      </c>
      <c r="C12" s="17"/>
      <c r="D12" s="17">
        <v>27</v>
      </c>
      <c r="E12" s="17">
        <v>11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0"/>
        <v>1.8877314814814816E-2</v>
      </c>
      <c r="J12" t="str">
        <f t="shared" si="1"/>
        <v/>
      </c>
    </row>
    <row r="13" spans="1:10" ht="15" x14ac:dyDescent="0.4">
      <c r="A13" s="40" t="s">
        <v>464</v>
      </c>
      <c r="B13" s="43">
        <v>1403</v>
      </c>
      <c r="C13" s="17"/>
      <c r="D13" s="17">
        <v>27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0"/>
        <v>1.9143518518518518E-2</v>
      </c>
      <c r="J13" t="str">
        <f t="shared" si="1"/>
        <v/>
      </c>
    </row>
    <row r="14" spans="1:10" ht="15" x14ac:dyDescent="0.4">
      <c r="A14" s="40" t="s">
        <v>528</v>
      </c>
      <c r="B14" s="43" t="s">
        <v>528</v>
      </c>
      <c r="C14" s="17"/>
      <c r="D14" s="17">
        <v>38</v>
      </c>
      <c r="E14" s="17">
        <v>6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0"/>
        <v>2.6458333333333334E-2</v>
      </c>
      <c r="J14" t="str">
        <f t="shared" si="1"/>
        <v>X</v>
      </c>
    </row>
    <row r="15" spans="1:10" ht="15" x14ac:dyDescent="0.4">
      <c r="A15" s="40" t="s">
        <v>461</v>
      </c>
      <c r="B15" s="43">
        <v>1407</v>
      </c>
      <c r="C15" s="17"/>
      <c r="D15" s="17">
        <v>26</v>
      </c>
      <c r="E15" s="17">
        <v>38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0"/>
        <v>1.849537037037037E-2</v>
      </c>
      <c r="J15" t="str">
        <f t="shared" si="1"/>
        <v/>
      </c>
    </row>
    <row r="16" spans="1:10" ht="15" x14ac:dyDescent="0.4">
      <c r="A16" s="40" t="s">
        <v>475</v>
      </c>
      <c r="B16" s="43">
        <v>245</v>
      </c>
      <c r="C16" s="17"/>
      <c r="D16" s="17">
        <v>28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0"/>
        <v>1.9490740740740739E-2</v>
      </c>
      <c r="J16" t="str">
        <f t="shared" si="1"/>
        <v/>
      </c>
    </row>
    <row r="17" spans="1:10" ht="15" x14ac:dyDescent="0.4">
      <c r="A17" s="40" t="s">
        <v>457</v>
      </c>
      <c r="B17" s="43">
        <v>1194</v>
      </c>
      <c r="C17" s="17"/>
      <c r="D17" s="17">
        <v>31</v>
      </c>
      <c r="E17" s="17">
        <v>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0"/>
        <v>2.1597222222222223E-2</v>
      </c>
      <c r="J17" t="str">
        <f t="shared" si="1"/>
        <v/>
      </c>
    </row>
    <row r="18" spans="1:10" ht="15" x14ac:dyDescent="0.4">
      <c r="A18" s="40" t="s">
        <v>529</v>
      </c>
      <c r="B18" s="43">
        <v>1195</v>
      </c>
      <c r="C18" s="17"/>
      <c r="D18" s="17">
        <v>28</v>
      </c>
      <c r="E18" s="17">
        <v>26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0"/>
        <v>1.9745370370370371E-2</v>
      </c>
      <c r="J18" t="str">
        <f t="shared" si="1"/>
        <v/>
      </c>
    </row>
    <row r="19" spans="1:10" ht="15" x14ac:dyDescent="0.4">
      <c r="A19" s="40" t="s">
        <v>496</v>
      </c>
      <c r="B19" s="43">
        <v>23</v>
      </c>
      <c r="C19" s="17"/>
      <c r="D19" s="17">
        <v>28</v>
      </c>
      <c r="E19" s="17">
        <v>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1.9525462962962963E-2</v>
      </c>
      <c r="J19" t="str">
        <f t="shared" si="1"/>
        <v/>
      </c>
    </row>
    <row r="20" spans="1:10" ht="15" x14ac:dyDescent="0.4">
      <c r="A20" s="40" t="s">
        <v>467</v>
      </c>
      <c r="B20" s="43">
        <v>704</v>
      </c>
      <c r="C20" s="17"/>
      <c r="D20" s="17">
        <v>28</v>
      </c>
      <c r="E20" s="17">
        <v>6</v>
      </c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0"/>
        <v>1.951388888888889E-2</v>
      </c>
      <c r="J20" t="str">
        <f t="shared" si="1"/>
        <v/>
      </c>
    </row>
    <row r="21" spans="1:10" ht="15" x14ac:dyDescent="0.4">
      <c r="A21" s="40" t="s">
        <v>463</v>
      </c>
      <c r="B21" s="43">
        <v>1107</v>
      </c>
      <c r="C21" s="17"/>
      <c r="D21" s="17">
        <v>26</v>
      </c>
      <c r="E21" s="17">
        <v>45</v>
      </c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0"/>
        <v>1.8576388888888889E-2</v>
      </c>
      <c r="J21" t="str">
        <f t="shared" si="1"/>
        <v/>
      </c>
    </row>
    <row r="22" spans="1:10" ht="15" x14ac:dyDescent="0.4">
      <c r="A22" s="40" t="s">
        <v>481</v>
      </c>
      <c r="B22" s="43">
        <v>1112</v>
      </c>
      <c r="C22" s="17"/>
      <c r="D22" s="17">
        <v>27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1.9189814814814816E-2</v>
      </c>
      <c r="J22" t="str">
        <f t="shared" si="1"/>
        <v/>
      </c>
    </row>
    <row r="23" spans="1:10" ht="15" x14ac:dyDescent="0.4">
      <c r="A23" s="40" t="s">
        <v>498</v>
      </c>
      <c r="B23" s="43">
        <v>1192</v>
      </c>
      <c r="C23" s="17"/>
      <c r="D23" s="17">
        <v>25</v>
      </c>
      <c r="E23" s="17">
        <v>38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1.7800925925925925E-2</v>
      </c>
      <c r="J23" t="str">
        <f t="shared" si="1"/>
        <v/>
      </c>
    </row>
    <row r="24" spans="1:10" ht="15" x14ac:dyDescent="0.4">
      <c r="A24" s="40" t="s">
        <v>472</v>
      </c>
      <c r="B24" s="43">
        <v>38</v>
      </c>
      <c r="C24" s="17"/>
      <c r="D24" s="17">
        <v>24</v>
      </c>
      <c r="E24" s="17">
        <v>55</v>
      </c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0"/>
        <v>1.7303240740740741E-2</v>
      </c>
      <c r="J24" t="str">
        <f t="shared" si="1"/>
        <v/>
      </c>
    </row>
    <row r="25" spans="1:10" ht="15" x14ac:dyDescent="0.4">
      <c r="A25" s="40" t="s">
        <v>500</v>
      </c>
      <c r="B25" s="43">
        <v>915</v>
      </c>
      <c r="C25" s="17"/>
      <c r="D25" s="17">
        <v>26</v>
      </c>
      <c r="E25" s="17">
        <v>21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1.8298611111111113E-2</v>
      </c>
      <c r="J25" t="str">
        <f t="shared" si="1"/>
        <v/>
      </c>
    </row>
    <row r="26" spans="1:10" ht="15" x14ac:dyDescent="0.4">
      <c r="A26" s="40" t="s">
        <v>494</v>
      </c>
      <c r="B26" s="43">
        <v>1144</v>
      </c>
      <c r="C26" s="17"/>
      <c r="D26" s="17">
        <v>23</v>
      </c>
      <c r="E26" s="17">
        <v>54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0"/>
        <v>1.6597222222222222E-2</v>
      </c>
      <c r="J26" t="str">
        <f t="shared" si="1"/>
        <v/>
      </c>
    </row>
    <row r="27" spans="1:10" ht="15" x14ac:dyDescent="0.4">
      <c r="A27" s="40" t="s">
        <v>470</v>
      </c>
      <c r="B27" s="43">
        <v>295</v>
      </c>
      <c r="C27" s="17"/>
      <c r="D27" s="17">
        <v>29</v>
      </c>
      <c r="E27" s="17">
        <v>29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0"/>
        <v>2.0474537037037038E-2</v>
      </c>
      <c r="J27" t="str">
        <f t="shared" si="1"/>
        <v/>
      </c>
    </row>
    <row r="28" spans="1:10" ht="15" x14ac:dyDescent="0.4">
      <c r="A28" s="40" t="s">
        <v>462</v>
      </c>
      <c r="B28" s="43">
        <v>1418</v>
      </c>
      <c r="C28" s="17"/>
      <c r="D28" s="17">
        <v>26</v>
      </c>
      <c r="E28" s="17">
        <v>12</v>
      </c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0"/>
        <v>1.8194444444444444E-2</v>
      </c>
      <c r="J28" t="str">
        <f t="shared" si="1"/>
        <v/>
      </c>
    </row>
    <row r="29" spans="1:10" ht="15" x14ac:dyDescent="0.4">
      <c r="A29" s="40" t="s">
        <v>510</v>
      </c>
      <c r="B29" s="43">
        <v>1109</v>
      </c>
      <c r="C29" s="17"/>
      <c r="D29" s="17">
        <v>27</v>
      </c>
      <c r="E29" s="17">
        <v>6</v>
      </c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0"/>
        <v>1.8819444444444444E-2</v>
      </c>
      <c r="J29" t="str">
        <f t="shared" si="1"/>
        <v/>
      </c>
    </row>
    <row r="30" spans="1:10" ht="15" x14ac:dyDescent="0.4">
      <c r="A30" s="40" t="s">
        <v>502</v>
      </c>
      <c r="B30" s="43">
        <v>846</v>
      </c>
      <c r="C30" s="17"/>
      <c r="D30" s="17">
        <v>26</v>
      </c>
      <c r="E30" s="17">
        <v>48</v>
      </c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0"/>
        <v>1.861111111111111E-2</v>
      </c>
      <c r="J30" t="str">
        <f t="shared" si="1"/>
        <v/>
      </c>
    </row>
    <row r="31" spans="1:10" ht="15" x14ac:dyDescent="0.4">
      <c r="A31" s="40" t="s">
        <v>503</v>
      </c>
      <c r="B31" s="43">
        <v>1094</v>
      </c>
      <c r="C31" s="17"/>
      <c r="D31" s="17">
        <v>25</v>
      </c>
      <c r="E31" s="17">
        <v>18</v>
      </c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0"/>
        <v>1.7569444444444443E-2</v>
      </c>
      <c r="J31" t="str">
        <f t="shared" si="1"/>
        <v/>
      </c>
    </row>
    <row r="32" spans="1:10" ht="15" x14ac:dyDescent="0.4">
      <c r="A32" s="40" t="s">
        <v>479</v>
      </c>
      <c r="B32" s="43">
        <v>1055</v>
      </c>
      <c r="C32" s="17"/>
      <c r="D32" s="17">
        <v>26</v>
      </c>
      <c r="E32" s="17">
        <v>28</v>
      </c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0"/>
        <v>1.8379629629629631E-2</v>
      </c>
      <c r="J32" t="str">
        <f t="shared" si="1"/>
        <v/>
      </c>
    </row>
    <row r="33" spans="1:10" ht="15" x14ac:dyDescent="0.4">
      <c r="A33" s="40" t="s">
        <v>490</v>
      </c>
      <c r="B33" s="43">
        <v>699</v>
      </c>
      <c r="C33" s="17"/>
      <c r="D33" s="17"/>
      <c r="E33" s="17"/>
      <c r="F33" s="17"/>
      <c r="G33" s="17" t="s">
        <v>489</v>
      </c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0"/>
        <v>0</v>
      </c>
      <c r="J33" t="str">
        <f t="shared" si="1"/>
        <v/>
      </c>
    </row>
    <row r="34" spans="1:10" ht="15" x14ac:dyDescent="0.4">
      <c r="A34" s="40" t="s">
        <v>482</v>
      </c>
      <c r="B34" s="43">
        <v>1193</v>
      </c>
      <c r="C34" s="17"/>
      <c r="D34" s="17">
        <v>28</v>
      </c>
      <c r="E34" s="17">
        <v>25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Richard Hardwicke</v>
      </c>
      <c r="I34" s="20">
        <f t="shared" si="0"/>
        <v>1.9733796296296298E-2</v>
      </c>
      <c r="J34" t="str">
        <f t="shared" si="1"/>
        <v/>
      </c>
    </row>
    <row r="35" spans="1:10" ht="15" x14ac:dyDescent="0.4">
      <c r="A35" s="40" t="s">
        <v>530</v>
      </c>
      <c r="B35" s="43">
        <v>1024</v>
      </c>
      <c r="C35" s="17"/>
      <c r="D35" s="17">
        <v>25</v>
      </c>
      <c r="E35" s="17">
        <v>47</v>
      </c>
      <c r="F35" s="17"/>
      <c r="G35" s="17"/>
      <c r="H35" s="19" t="str">
        <f>IF($B35="","",IF($J35="X",B35,CONCATENATE(VLOOKUP(B35,Competitors!$A$2:$I$650,3, FALSE)," ",VLOOKUP(B35,Competitors!$A$2:$I$650,2,FALSE))))</f>
        <v>Jax Roberts</v>
      </c>
      <c r="I35" s="20">
        <f t="shared" si="0"/>
        <v>1.7905092592592594E-2</v>
      </c>
      <c r="J35" t="str">
        <f t="shared" si="1"/>
        <v/>
      </c>
    </row>
    <row r="36" spans="1:10" ht="15" x14ac:dyDescent="0.4">
      <c r="A36" s="40" t="s">
        <v>483</v>
      </c>
      <c r="B36" s="43">
        <v>989</v>
      </c>
      <c r="C36" s="17"/>
      <c r="D36" s="17">
        <v>26</v>
      </c>
      <c r="E36" s="17">
        <v>0</v>
      </c>
      <c r="F36" s="17" t="s">
        <v>473</v>
      </c>
      <c r="G36" s="17"/>
      <c r="H36" s="19" t="str">
        <f>IF($B36="","",IF($J36="X",B36,CONCATENATE(VLOOKUP(B36,Competitors!$A$2:$I$650,3, FALSE)," ",VLOOKUP(B36,Competitors!$A$2:$I$650,2,FALSE))))</f>
        <v>Jason Williams</v>
      </c>
      <c r="I36" s="20">
        <f t="shared" si="0"/>
        <v>1.8055555555555554E-2</v>
      </c>
      <c r="J36" t="str">
        <f t="shared" si="1"/>
        <v/>
      </c>
    </row>
    <row r="37" spans="1:10" ht="15" x14ac:dyDescent="0.4">
      <c r="A37" s="40" t="s">
        <v>108</v>
      </c>
      <c r="B37" s="43" t="s">
        <v>534</v>
      </c>
      <c r="C37" s="17"/>
      <c r="D37" s="17">
        <v>34</v>
      </c>
      <c r="E37" s="17">
        <v>21</v>
      </c>
      <c r="F37" s="17" t="s">
        <v>473</v>
      </c>
      <c r="G37" s="17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0"/>
        <v>2.3854166666666666E-2</v>
      </c>
      <c r="J37" t="str">
        <f t="shared" si="1"/>
        <v>X</v>
      </c>
    </row>
    <row r="38" spans="1:10" ht="15" x14ac:dyDescent="0.4">
      <c r="A38" s="40" t="s">
        <v>460</v>
      </c>
      <c r="B38" s="43">
        <v>1355</v>
      </c>
      <c r="C38" s="17"/>
      <c r="D38" s="17"/>
      <c r="E38" s="17"/>
      <c r="F38" s="17"/>
      <c r="G38" s="17" t="s">
        <v>489</v>
      </c>
      <c r="H38" s="19" t="str">
        <f>IF($B38="","",IF($J38="X",B38,CONCATENATE(VLOOKUP(B38,Competitors!$A$2:$I$650,3, FALSE)," ",VLOOKUP(B38,Competitors!$A$2:$I$650,2,FALSE))))</f>
        <v>Aubrey Elmer</v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3" t="str">
        <f t="shared" ref="B39:B65" si="2"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3" t="str">
        <f t="shared" si="2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3" t="str">
        <f t="shared" si="2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3" t="str">
        <f t="shared" si="2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3" t="str">
        <f t="shared" si="2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3" t="str">
        <f t="shared" si="2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3" t="str">
        <f t="shared" si="2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3" t="str">
        <f t="shared" si="2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3" t="str">
        <f t="shared" si="2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3" t="str">
        <f t="shared" si="2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3" t="str">
        <f t="shared" si="2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3" t="str">
        <f t="shared" si="2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3" t="str">
        <f t="shared" si="2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3" t="str">
        <f t="shared" si="2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3" t="str">
        <f t="shared" si="2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3" t="str">
        <f t="shared" si="2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3" t="str">
        <f t="shared" si="2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3" t="str">
        <f t="shared" si="2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3" t="str">
        <f t="shared" si="2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3" t="str">
        <f t="shared" si="2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3" t="str">
        <f t="shared" si="2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3" t="str">
        <f t="shared" si="2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3" t="str">
        <f t="shared" si="2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3" t="str">
        <f t="shared" si="2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3" t="str">
        <f t="shared" si="2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3" t="str">
        <f t="shared" si="2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3" t="str">
        <f t="shared" si="2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3" t="str">
        <f t="shared" ref="B66:B97" si="3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3" t="str">
        <f t="shared" si="3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4">IF(LEFT($F67,1)="D",UPPER($F67),(C67*3600+D67*60+E67)/86400)</f>
        <v>0</v>
      </c>
      <c r="J67" t="str">
        <f t="shared" ref="J67:J101" si="5">IF(OR(B67="",ISNUMBER(B67)),"","X")</f>
        <v/>
      </c>
    </row>
    <row r="68" spans="1:10" ht="15" x14ac:dyDescent="0.4">
      <c r="A68" s="40"/>
      <c r="B68" s="43" t="str">
        <f t="shared" si="3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4"/>
        <v>0</v>
      </c>
      <c r="J68" t="str">
        <f t="shared" si="5"/>
        <v/>
      </c>
    </row>
    <row r="69" spans="1:10" ht="15" x14ac:dyDescent="0.4">
      <c r="A69" s="40"/>
      <c r="B69" s="43" t="str">
        <f t="shared" si="3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4"/>
        <v>0</v>
      </c>
      <c r="J69" t="str">
        <f t="shared" si="5"/>
        <v/>
      </c>
    </row>
    <row r="70" spans="1:10" ht="15" x14ac:dyDescent="0.4">
      <c r="A70" s="40"/>
      <c r="B70" s="43" t="str">
        <f t="shared" si="3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4"/>
        <v>0</v>
      </c>
      <c r="J70" t="str">
        <f t="shared" si="5"/>
        <v/>
      </c>
    </row>
    <row r="71" spans="1:10" ht="15" x14ac:dyDescent="0.4">
      <c r="A71" s="40"/>
      <c r="B71" s="43" t="str">
        <f t="shared" si="3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4"/>
        <v>0</v>
      </c>
      <c r="J71" t="str">
        <f t="shared" si="5"/>
        <v/>
      </c>
    </row>
    <row r="72" spans="1:10" ht="15" x14ac:dyDescent="0.4">
      <c r="A72" s="40"/>
      <c r="B72" s="43" t="str">
        <f t="shared" si="3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4"/>
        <v>0</v>
      </c>
      <c r="J72" t="str">
        <f t="shared" si="5"/>
        <v/>
      </c>
    </row>
    <row r="73" spans="1:10" ht="15" x14ac:dyDescent="0.4">
      <c r="A73" s="40"/>
      <c r="B73" s="43" t="str">
        <f t="shared" si="3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4"/>
        <v>0</v>
      </c>
      <c r="J73" t="str">
        <f t="shared" si="5"/>
        <v/>
      </c>
    </row>
    <row r="74" spans="1:10" ht="15" x14ac:dyDescent="0.4">
      <c r="A74" s="40"/>
      <c r="B74" s="43" t="str">
        <f t="shared" si="3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4"/>
        <v>0</v>
      </c>
      <c r="J74" t="str">
        <f t="shared" si="5"/>
        <v/>
      </c>
    </row>
    <row r="75" spans="1:10" ht="15" x14ac:dyDescent="0.4">
      <c r="A75" s="40"/>
      <c r="B75" s="43" t="str">
        <f t="shared" si="3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4"/>
        <v>0</v>
      </c>
      <c r="J75" t="str">
        <f t="shared" si="5"/>
        <v/>
      </c>
    </row>
    <row r="76" spans="1:10" ht="15" x14ac:dyDescent="0.4">
      <c r="A76" s="40"/>
      <c r="B76" s="43" t="str">
        <f t="shared" si="3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4"/>
        <v>0</v>
      </c>
      <c r="J76" t="str">
        <f t="shared" si="5"/>
        <v/>
      </c>
    </row>
    <row r="77" spans="1:10" ht="15" x14ac:dyDescent="0.4">
      <c r="A77" s="40"/>
      <c r="B77" s="43" t="str">
        <f t="shared" si="3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4"/>
        <v>0</v>
      </c>
      <c r="J77" t="str">
        <f t="shared" si="5"/>
        <v/>
      </c>
    </row>
    <row r="78" spans="1:10" ht="15" x14ac:dyDescent="0.4">
      <c r="A78" s="40"/>
      <c r="B78" s="43" t="str">
        <f t="shared" si="3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4"/>
        <v>0</v>
      </c>
      <c r="J78" t="str">
        <f t="shared" si="5"/>
        <v/>
      </c>
    </row>
    <row r="79" spans="1:10" ht="15" x14ac:dyDescent="0.4">
      <c r="A79" s="40"/>
      <c r="B79" s="43" t="str">
        <f t="shared" si="3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4"/>
        <v>0</v>
      </c>
      <c r="J79" t="str">
        <f t="shared" si="5"/>
        <v/>
      </c>
    </row>
    <row r="80" spans="1:10" ht="15" x14ac:dyDescent="0.4">
      <c r="A80" s="40"/>
      <c r="B80" s="43" t="str">
        <f t="shared" si="3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4"/>
        <v>0</v>
      </c>
      <c r="J80" t="str">
        <f t="shared" si="5"/>
        <v/>
      </c>
    </row>
    <row r="81" spans="1:10" ht="15" x14ac:dyDescent="0.4">
      <c r="A81" s="40"/>
      <c r="B81" s="43" t="str">
        <f t="shared" si="3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4"/>
        <v>0</v>
      </c>
      <c r="J81" t="str">
        <f t="shared" si="5"/>
        <v/>
      </c>
    </row>
    <row r="82" spans="1:10" ht="15" x14ac:dyDescent="0.4">
      <c r="A82" s="40"/>
      <c r="B82" s="43" t="str">
        <f t="shared" si="3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4"/>
        <v>0</v>
      </c>
      <c r="J82" t="str">
        <f t="shared" si="5"/>
        <v/>
      </c>
    </row>
    <row r="83" spans="1:10" ht="15" x14ac:dyDescent="0.4">
      <c r="A83" s="40"/>
      <c r="B83" s="43" t="str">
        <f t="shared" si="3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4"/>
        <v>0</v>
      </c>
      <c r="J83" t="str">
        <f t="shared" si="5"/>
        <v/>
      </c>
    </row>
    <row r="84" spans="1:10" ht="15" x14ac:dyDescent="0.4">
      <c r="A84" s="40"/>
      <c r="B84" s="43" t="str">
        <f t="shared" si="3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4"/>
        <v>0</v>
      </c>
      <c r="J84" t="str">
        <f t="shared" si="5"/>
        <v/>
      </c>
    </row>
    <row r="85" spans="1:10" ht="15" x14ac:dyDescent="0.4">
      <c r="A85" s="40"/>
      <c r="B85" s="43" t="str">
        <f t="shared" si="3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4"/>
        <v>0</v>
      </c>
      <c r="J85" t="str">
        <f t="shared" si="5"/>
        <v/>
      </c>
    </row>
    <row r="86" spans="1:10" ht="15" x14ac:dyDescent="0.4">
      <c r="A86" s="40"/>
      <c r="B86" s="43" t="str">
        <f t="shared" si="3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4"/>
        <v>0</v>
      </c>
      <c r="J86" t="str">
        <f t="shared" si="5"/>
        <v/>
      </c>
    </row>
    <row r="87" spans="1:10" ht="15" x14ac:dyDescent="0.4">
      <c r="A87" s="40"/>
      <c r="B87" s="43" t="str">
        <f t="shared" si="3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4"/>
        <v>0</v>
      </c>
      <c r="J87" t="str">
        <f t="shared" si="5"/>
        <v/>
      </c>
    </row>
    <row r="88" spans="1:10" ht="15" x14ac:dyDescent="0.4">
      <c r="A88" s="40"/>
      <c r="B88" s="43" t="str">
        <f t="shared" si="3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4"/>
        <v>0</v>
      </c>
      <c r="J88" t="str">
        <f t="shared" si="5"/>
        <v/>
      </c>
    </row>
    <row r="89" spans="1:10" ht="15" x14ac:dyDescent="0.4">
      <c r="A89" s="40"/>
      <c r="B89" s="43" t="str">
        <f t="shared" si="3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4"/>
        <v>0</v>
      </c>
      <c r="J89" t="str">
        <f t="shared" si="5"/>
        <v/>
      </c>
    </row>
    <row r="90" spans="1:10" ht="15" x14ac:dyDescent="0.4">
      <c r="A90" s="40"/>
      <c r="B90" s="43" t="str">
        <f t="shared" si="3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4"/>
        <v>0</v>
      </c>
      <c r="J90" t="str">
        <f t="shared" si="5"/>
        <v/>
      </c>
    </row>
    <row r="91" spans="1:10" ht="15" x14ac:dyDescent="0.4">
      <c r="A91" s="40"/>
      <c r="B91" s="43" t="str">
        <f t="shared" si="3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4"/>
        <v>0</v>
      </c>
      <c r="J91" t="str">
        <f t="shared" si="5"/>
        <v/>
      </c>
    </row>
    <row r="92" spans="1:10" ht="15" x14ac:dyDescent="0.4">
      <c r="A92" s="40"/>
      <c r="B92" s="43" t="str">
        <f t="shared" si="3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4"/>
        <v>0</v>
      </c>
      <c r="J92" t="str">
        <f t="shared" si="5"/>
        <v/>
      </c>
    </row>
    <row r="93" spans="1:10" ht="15" x14ac:dyDescent="0.4">
      <c r="A93" s="40"/>
      <c r="B93" s="43" t="str">
        <f t="shared" si="3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4"/>
        <v>0</v>
      </c>
      <c r="J93" t="str">
        <f t="shared" si="5"/>
        <v/>
      </c>
    </row>
    <row r="94" spans="1:10" ht="15" x14ac:dyDescent="0.4">
      <c r="A94" s="40"/>
      <c r="B94" s="43" t="str">
        <f t="shared" si="3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4"/>
        <v>0</v>
      </c>
      <c r="J94" t="str">
        <f t="shared" si="5"/>
        <v/>
      </c>
    </row>
    <row r="95" spans="1:10" ht="15" x14ac:dyDescent="0.4">
      <c r="A95" s="40"/>
      <c r="B95" s="43" t="str">
        <f t="shared" si="3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4"/>
        <v>0</v>
      </c>
      <c r="J95" t="str">
        <f t="shared" si="5"/>
        <v/>
      </c>
    </row>
    <row r="96" spans="1:10" ht="15" x14ac:dyDescent="0.4">
      <c r="A96" s="40"/>
      <c r="B96" s="43" t="str">
        <f t="shared" si="3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4"/>
        <v>0</v>
      </c>
      <c r="J96" t="str">
        <f t="shared" si="5"/>
        <v/>
      </c>
    </row>
    <row r="97" spans="1:10" ht="15" x14ac:dyDescent="0.4">
      <c r="A97" s="40"/>
      <c r="B97" s="43" t="str">
        <f t="shared" si="3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4"/>
        <v>0</v>
      </c>
      <c r="J97" t="str">
        <f t="shared" si="5"/>
        <v/>
      </c>
    </row>
    <row r="98" spans="1:10" ht="15" x14ac:dyDescent="0.4">
      <c r="A98" s="40"/>
      <c r="B98" s="43" t="str">
        <f t="shared" ref="B98:B101" si="6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4"/>
        <v>0</v>
      </c>
      <c r="J98" t="str">
        <f t="shared" si="5"/>
        <v/>
      </c>
    </row>
    <row r="99" spans="1:10" ht="15" x14ac:dyDescent="0.4">
      <c r="A99" s="40"/>
      <c r="B99" s="43" t="str">
        <f t="shared" si="6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4"/>
        <v>0</v>
      </c>
      <c r="J99" t="str">
        <f t="shared" si="5"/>
        <v/>
      </c>
    </row>
    <row r="100" spans="1:10" ht="15" x14ac:dyDescent="0.4">
      <c r="A100" s="40"/>
      <c r="B100" s="43" t="str">
        <f t="shared" si="6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4"/>
        <v>0</v>
      </c>
      <c r="J100" t="str">
        <f t="shared" si="5"/>
        <v/>
      </c>
    </row>
    <row r="101" spans="1:10" ht="15" x14ac:dyDescent="0.4">
      <c r="A101" s="40"/>
      <c r="B101" s="43" t="str">
        <f t="shared" si="6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4"/>
        <v>0</v>
      </c>
      <c r="J101" t="str">
        <f t="shared" si="5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S11" sqref="S11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7">
        <v>40</v>
      </c>
      <c r="E2" s="17">
        <v>54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2.8402777777777777E-2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f t="shared" si="0"/>
        <v>1298</v>
      </c>
      <c r="C3" s="17"/>
      <c r="D3" s="17">
        <v>34</v>
      </c>
      <c r="E3" s="17">
        <v>46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Jane Moore</v>
      </c>
      <c r="I3" s="20">
        <f t="shared" ref="I3:I66" si="1">IF(LEFT($F3,1)="D",UPPER($F3),(C3*3600+D3*60+E3)/86400)</f>
        <v>2.4143518518518519E-2</v>
      </c>
      <c r="J3" t="str">
        <f t="shared" ref="J3:J66" si="2">IF(OR(B3="",ISNUMBER(B3)),"","X")</f>
        <v/>
      </c>
    </row>
    <row r="4" spans="1:10" ht="15" x14ac:dyDescent="0.4">
      <c r="A4" s="40" t="s">
        <v>106</v>
      </c>
      <c r="B4" s="41" t="str">
        <f t="shared" si="0"/>
        <v>Mark Newton (Ratae)</v>
      </c>
      <c r="C4" s="17"/>
      <c r="D4" s="17">
        <v>30</v>
      </c>
      <c r="E4" s="17">
        <v>18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Mark Newton (Ratae)</v>
      </c>
      <c r="I4" s="20">
        <f t="shared" si="1"/>
        <v>2.1041666666666667E-2</v>
      </c>
      <c r="J4" t="str">
        <f t="shared" si="2"/>
        <v>X</v>
      </c>
    </row>
    <row r="5" spans="1:10" ht="15" x14ac:dyDescent="0.4">
      <c r="A5" s="40" t="s">
        <v>526</v>
      </c>
      <c r="B5" s="41">
        <f t="shared" si="0"/>
        <v>990</v>
      </c>
      <c r="C5" s="17"/>
      <c r="D5" s="17">
        <v>37</v>
      </c>
      <c r="E5" s="17">
        <v>24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1"/>
        <v>2.5972222222222223E-2</v>
      </c>
      <c r="J5" t="str">
        <f t="shared" si="2"/>
        <v/>
      </c>
    </row>
    <row r="6" spans="1:10" ht="15" x14ac:dyDescent="0.4">
      <c r="A6" s="40" t="s">
        <v>497</v>
      </c>
      <c r="B6" s="41">
        <f t="shared" si="0"/>
        <v>407</v>
      </c>
      <c r="C6" s="17"/>
      <c r="D6" s="17">
        <v>24</v>
      </c>
      <c r="E6" s="17">
        <v>55</v>
      </c>
      <c r="F6" s="17"/>
      <c r="G6" s="17"/>
      <c r="H6" s="19" t="str">
        <f>IF($B6="","",IF($J6="X",B6,CONCATENATE(VLOOKUP(B6,Competitors!$A$2:$I$650,3, FALSE)," ",VLOOKUP(B6,Competitors!$A$2:$I$650,2,FALSE))))</f>
        <v>Hans van Nierop</v>
      </c>
      <c r="I6" s="20">
        <f t="shared" si="1"/>
        <v>1.7303240740740741E-2</v>
      </c>
      <c r="J6" t="str">
        <f t="shared" si="2"/>
        <v/>
      </c>
    </row>
    <row r="7" spans="1:10" ht="15" x14ac:dyDescent="0.4">
      <c r="A7" s="40" t="s">
        <v>101</v>
      </c>
      <c r="B7" s="41" t="str">
        <f t="shared" si="0"/>
        <v>Brian Lincoln (Ratae)</v>
      </c>
      <c r="C7" s="17"/>
      <c r="D7" s="17">
        <v>35</v>
      </c>
      <c r="E7" s="17">
        <v>55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Brian Lincoln (Ratae)</v>
      </c>
      <c r="I7" s="20">
        <f t="shared" si="1"/>
        <v>2.494212962962963E-2</v>
      </c>
      <c r="J7" t="str">
        <f t="shared" si="2"/>
        <v>X</v>
      </c>
    </row>
    <row r="8" spans="1:10" ht="15" x14ac:dyDescent="0.4">
      <c r="A8" s="40" t="s">
        <v>102</v>
      </c>
      <c r="B8" s="41" t="str">
        <f t="shared" si="0"/>
        <v>Chris Bonsor (Ratae)</v>
      </c>
      <c r="C8" s="17"/>
      <c r="D8" s="17">
        <v>28</v>
      </c>
      <c r="E8" s="17">
        <v>31</v>
      </c>
      <c r="F8" s="17"/>
      <c r="G8" s="17"/>
      <c r="H8" s="19" t="str">
        <f>IF($B8="","",IF($J8="X",B8,CONCATENATE(VLOOKUP(B8,Competitors!$A$2:$I$650,3, FALSE)," ",VLOOKUP(B8,Competitors!$A$2:$I$650,2,FALSE))))</f>
        <v>Chris Bonsor (Ratae)</v>
      </c>
      <c r="I8" s="20">
        <f t="shared" si="1"/>
        <v>1.9803240740740739E-2</v>
      </c>
      <c r="J8" t="str">
        <f t="shared" si="2"/>
        <v>X</v>
      </c>
    </row>
    <row r="9" spans="1:10" ht="15" x14ac:dyDescent="0.4">
      <c r="A9" s="40" t="s">
        <v>107</v>
      </c>
      <c r="B9" s="41" t="str">
        <f t="shared" si="0"/>
        <v>Marshall Briggs (Ratae)</v>
      </c>
      <c r="C9" s="17"/>
      <c r="D9" s="17">
        <v>29</v>
      </c>
      <c r="E9" s="17">
        <v>58</v>
      </c>
      <c r="F9" s="17"/>
      <c r="G9" s="17"/>
      <c r="H9" s="19" t="str">
        <f>IF($B9="","",IF($J9="X",B9,CONCATENATE(VLOOKUP(B9,Competitors!$A$2:$I$650,3, FALSE)," ",VLOOKUP(B9,Competitors!$A$2:$I$650,2,FALSE))))</f>
        <v>Marshall Briggs (Ratae)</v>
      </c>
      <c r="I9" s="20">
        <f t="shared" si="1"/>
        <v>2.0810185185185185E-2</v>
      </c>
      <c r="J9" t="str">
        <f t="shared" si="2"/>
        <v>X</v>
      </c>
    </row>
    <row r="10" spans="1:10" ht="15" x14ac:dyDescent="0.4">
      <c r="A10" s="40" t="s">
        <v>460</v>
      </c>
      <c r="B10" s="41">
        <f t="shared" si="0"/>
        <v>1355</v>
      </c>
      <c r="C10" s="17"/>
      <c r="D10" s="17">
        <v>27</v>
      </c>
      <c r="E10" s="17">
        <v>16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1.8935185185185187E-2</v>
      </c>
      <c r="J10" t="str">
        <f t="shared" si="2"/>
        <v/>
      </c>
    </row>
    <row r="11" spans="1:10" ht="15" x14ac:dyDescent="0.4">
      <c r="A11" s="40" t="s">
        <v>459</v>
      </c>
      <c r="B11" s="41">
        <f t="shared" si="0"/>
        <v>35</v>
      </c>
      <c r="C11" s="17"/>
      <c r="D11" s="17">
        <v>27</v>
      </c>
      <c r="E11" s="17">
        <v>53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1"/>
        <v>1.9363425925925926E-2</v>
      </c>
      <c r="J11" t="str">
        <f t="shared" si="2"/>
        <v/>
      </c>
    </row>
    <row r="12" spans="1:10" ht="15" x14ac:dyDescent="0.4">
      <c r="A12" s="40" t="s">
        <v>457</v>
      </c>
      <c r="B12" s="41">
        <f>IF(A12="","",_xlfn.XLOOKUP(A12,ClubNames,ClubNumbers,_xlfn.XLOOKUP(A12,RoundRobinRiderNames,RoundRobinRiderDecoratedNames,A12)))</f>
        <v>1194</v>
      </c>
      <c r="C12" s="17"/>
      <c r="D12" s="17">
        <v>32</v>
      </c>
      <c r="E12" s="17">
        <v>56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Alex Hardwicke</v>
      </c>
      <c r="I12" s="20">
        <f t="shared" si="1"/>
        <v>2.2870370370370371E-2</v>
      </c>
      <c r="J12" t="str">
        <f t="shared" si="2"/>
        <v/>
      </c>
    </row>
    <row r="13" spans="1:10" ht="15" x14ac:dyDescent="0.4">
      <c r="A13" s="40" t="s">
        <v>480</v>
      </c>
      <c r="B13" s="41">
        <f t="shared" si="0"/>
        <v>1152</v>
      </c>
      <c r="C13" s="17"/>
      <c r="D13" s="17">
        <v>26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Ruby Isaac</v>
      </c>
      <c r="I13" s="20">
        <f t="shared" si="1"/>
        <v>1.8449074074074073E-2</v>
      </c>
      <c r="J13" t="str">
        <f t="shared" si="2"/>
        <v/>
      </c>
    </row>
    <row r="14" spans="1:10" ht="15" x14ac:dyDescent="0.4">
      <c r="A14" s="40" t="s">
        <v>500</v>
      </c>
      <c r="B14" s="41">
        <f t="shared" si="0"/>
        <v>915</v>
      </c>
      <c r="C14" s="17"/>
      <c r="D14" s="17">
        <v>28</v>
      </c>
      <c r="E14" s="17">
        <v>18</v>
      </c>
      <c r="F14" s="17"/>
      <c r="G14" s="17"/>
      <c r="H14" s="19" t="str">
        <f>IF($B14="","",IF($J14="X",B14,CONCATENATE(VLOOKUP(B14,Competitors!$A$2:$I$650,3, FALSE)," ",VLOOKUP(B14,Competitors!$A$2:$I$650,2,FALSE))))</f>
        <v>Julian Twynham</v>
      </c>
      <c r="I14" s="20">
        <f t="shared" si="1"/>
        <v>1.9652777777777779E-2</v>
      </c>
      <c r="J14" t="str">
        <f t="shared" si="2"/>
        <v/>
      </c>
    </row>
    <row r="15" spans="1:10" ht="15" x14ac:dyDescent="0.4">
      <c r="A15" s="40" t="s">
        <v>463</v>
      </c>
      <c r="B15" s="41">
        <f t="shared" si="0"/>
        <v>1107</v>
      </c>
      <c r="C15" s="17"/>
      <c r="D15" s="17">
        <v>29</v>
      </c>
      <c r="E15" s="17">
        <v>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Milly Pinnock</v>
      </c>
      <c r="I15" s="20">
        <f t="shared" si="1"/>
        <v>2.0231481481481482E-2</v>
      </c>
      <c r="J15" t="str">
        <f t="shared" si="2"/>
        <v/>
      </c>
    </row>
    <row r="16" spans="1:10" ht="15" x14ac:dyDescent="0.4">
      <c r="A16" s="40" t="s">
        <v>528</v>
      </c>
      <c r="B16" s="41" t="str">
        <f t="shared" si="0"/>
        <v>Laura Davison</v>
      </c>
      <c r="C16" s="17"/>
      <c r="D16" s="17">
        <v>31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Laura Davison</v>
      </c>
      <c r="I16" s="20">
        <f t="shared" si="1"/>
        <v>2.1817129629629631E-2</v>
      </c>
      <c r="J16" t="str">
        <f t="shared" si="2"/>
        <v>X</v>
      </c>
    </row>
    <row r="17" spans="1:10" ht="15" x14ac:dyDescent="0.4">
      <c r="A17" s="40" t="s">
        <v>482</v>
      </c>
      <c r="B17" s="41">
        <f t="shared" si="0"/>
        <v>1193</v>
      </c>
      <c r="C17" s="17"/>
      <c r="D17" s="17">
        <v>30</v>
      </c>
      <c r="E17" s="17">
        <v>48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Richard Hardwicke</v>
      </c>
      <c r="I17" s="20">
        <f t="shared" si="1"/>
        <v>2.1388888888888888E-2</v>
      </c>
      <c r="J17" t="str">
        <f t="shared" si="2"/>
        <v/>
      </c>
    </row>
    <row r="18" spans="1:10" ht="15" x14ac:dyDescent="0.4">
      <c r="A18" s="40" t="s">
        <v>108</v>
      </c>
      <c r="B18" s="41" t="str">
        <f t="shared" si="0"/>
        <v>Paul Eden (Ratae)</v>
      </c>
      <c r="C18" s="17"/>
      <c r="D18" s="17">
        <v>35</v>
      </c>
      <c r="E18" s="17">
        <v>30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Paul Eden (Ratae)</v>
      </c>
      <c r="I18" s="20">
        <f t="shared" si="1"/>
        <v>2.4652777777777777E-2</v>
      </c>
      <c r="J18" t="str">
        <f t="shared" si="2"/>
        <v>X</v>
      </c>
    </row>
    <row r="19" spans="1:10" ht="15" x14ac:dyDescent="0.4">
      <c r="A19" s="40" t="s">
        <v>475</v>
      </c>
      <c r="B19" s="41">
        <f t="shared" si="0"/>
        <v>245</v>
      </c>
      <c r="C19" s="17"/>
      <c r="D19" s="17">
        <v>30</v>
      </c>
      <c r="E19" s="17">
        <v>41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David Reay</v>
      </c>
      <c r="I19" s="20">
        <f t="shared" si="1"/>
        <v>2.1307870370370369E-2</v>
      </c>
      <c r="J19" t="str">
        <f t="shared" si="2"/>
        <v/>
      </c>
    </row>
    <row r="20" spans="1:10" ht="15" x14ac:dyDescent="0.4">
      <c r="A20" s="40" t="s">
        <v>481</v>
      </c>
      <c r="B20" s="41">
        <f t="shared" si="0"/>
        <v>1112</v>
      </c>
      <c r="C20" s="17"/>
      <c r="D20" s="17">
        <v>29</v>
      </c>
      <c r="E20" s="17">
        <v>29</v>
      </c>
      <c r="F20" s="17"/>
      <c r="G20" s="17"/>
      <c r="H20" s="19" t="str">
        <f>IF($B20="","",IF($J20="X",B20,CONCATENATE(VLOOKUP(B20,Competitors!$A$2:$I$650,3, FALSE)," ",VLOOKUP(B20,Competitors!$A$2:$I$650,2,FALSE))))</f>
        <v>Gary Ashwell</v>
      </c>
      <c r="I20" s="20">
        <f t="shared" si="1"/>
        <v>2.0474537037037038E-2</v>
      </c>
      <c r="J20" t="str">
        <f t="shared" si="2"/>
        <v/>
      </c>
    </row>
    <row r="21" spans="1:10" ht="15" x14ac:dyDescent="0.4">
      <c r="A21" s="40" t="s">
        <v>499</v>
      </c>
      <c r="B21" s="41">
        <f t="shared" si="0"/>
        <v>415</v>
      </c>
      <c r="C21" s="17"/>
      <c r="D21" s="17">
        <v>27</v>
      </c>
      <c r="E21" s="17">
        <v>26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Nik Kershaw</v>
      </c>
      <c r="I21" s="20">
        <f t="shared" si="1"/>
        <v>1.9050925925925926E-2</v>
      </c>
      <c r="J21" t="str">
        <f t="shared" si="2"/>
        <v/>
      </c>
    </row>
    <row r="22" spans="1:10" ht="15" x14ac:dyDescent="0.4">
      <c r="A22" s="40" t="s">
        <v>498</v>
      </c>
      <c r="B22" s="41">
        <f t="shared" si="0"/>
        <v>1192</v>
      </c>
      <c r="C22" s="17"/>
      <c r="D22" s="17">
        <v>28</v>
      </c>
      <c r="E22" s="17">
        <v>43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Dale Norris</v>
      </c>
      <c r="I22" s="20">
        <f t="shared" si="1"/>
        <v>1.9942129629629629E-2</v>
      </c>
      <c r="J22" t="str">
        <f t="shared" si="2"/>
        <v/>
      </c>
    </row>
    <row r="23" spans="1:10" ht="15" x14ac:dyDescent="0.4">
      <c r="A23" s="40" t="s">
        <v>467</v>
      </c>
      <c r="B23" s="41">
        <f t="shared" si="0"/>
        <v>704</v>
      </c>
      <c r="C23" s="17"/>
      <c r="D23" s="17">
        <v>31</v>
      </c>
      <c r="E23" s="17">
        <v>58</v>
      </c>
      <c r="F23" s="17"/>
      <c r="G23" s="17"/>
      <c r="H23" s="19" t="str">
        <f>IF($B23="","",IF($J23="X",B23,CONCATENATE(VLOOKUP(B23,Competitors!$A$2:$I$650,3, FALSE)," ",VLOOKUP(B23,Competitors!$A$2:$I$650,2,FALSE))))</f>
        <v>Chris Dainty</v>
      </c>
      <c r="I23" s="20">
        <f t="shared" si="1"/>
        <v>2.2199074074074072E-2</v>
      </c>
      <c r="J23" t="str">
        <f t="shared" si="2"/>
        <v/>
      </c>
    </row>
    <row r="24" spans="1:10" ht="15" x14ac:dyDescent="0.4">
      <c r="A24" s="40" t="s">
        <v>461</v>
      </c>
      <c r="B24" s="41">
        <f t="shared" si="0"/>
        <v>1407</v>
      </c>
      <c r="C24" s="17"/>
      <c r="D24" s="17">
        <v>28</v>
      </c>
      <c r="E24" s="17">
        <v>15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Colin Dobson</v>
      </c>
      <c r="I24" s="20">
        <f t="shared" si="1"/>
        <v>1.9618055555555555E-2</v>
      </c>
      <c r="J24" t="str">
        <f t="shared" si="2"/>
        <v/>
      </c>
    </row>
    <row r="25" spans="1:10" ht="15" x14ac:dyDescent="0.4">
      <c r="A25" s="40" t="s">
        <v>527</v>
      </c>
      <c r="B25" s="41">
        <f t="shared" si="0"/>
        <v>203</v>
      </c>
      <c r="C25" s="17"/>
      <c r="D25" s="17">
        <v>32</v>
      </c>
      <c r="E25" s="17">
        <v>33</v>
      </c>
      <c r="F25" s="17"/>
      <c r="G25" s="17"/>
      <c r="H25" s="19" t="str">
        <f>IF($B25="","",IF($J25="X",B25,CONCATENATE(VLOOKUP(B25,Competitors!$A$2:$I$650,3, FALSE)," ",VLOOKUP(B25,Competitors!$A$2:$I$650,2,FALSE))))</f>
        <v>Adrian Killworth</v>
      </c>
      <c r="I25" s="20">
        <f t="shared" si="1"/>
        <v>2.2604166666666668E-2</v>
      </c>
      <c r="J25" t="str">
        <f t="shared" si="2"/>
        <v/>
      </c>
    </row>
    <row r="26" spans="1:10" ht="15" x14ac:dyDescent="0.4">
      <c r="A26" s="40" t="s">
        <v>471</v>
      </c>
      <c r="B26" s="41">
        <f t="shared" si="0"/>
        <v>1161</v>
      </c>
      <c r="C26" s="17"/>
      <c r="D26" s="17">
        <v>26</v>
      </c>
      <c r="E26" s="17">
        <v>29</v>
      </c>
      <c r="F26" s="17"/>
      <c r="G26" s="17"/>
      <c r="H26" s="19" t="str">
        <f>IF($B26="","",IF($J26="X",B26,CONCATENATE(VLOOKUP(B26,Competitors!$A$2:$I$650,3, FALSE)," ",VLOOKUP(B26,Competitors!$A$2:$I$650,2,FALSE))))</f>
        <v>Maciej Suchocki</v>
      </c>
      <c r="I26" s="20">
        <f t="shared" si="1"/>
        <v>1.8391203703703705E-2</v>
      </c>
      <c r="J26" t="str">
        <f t="shared" si="2"/>
        <v/>
      </c>
    </row>
    <row r="27" spans="1:10" ht="15" x14ac:dyDescent="0.4">
      <c r="A27" s="40" t="s">
        <v>510</v>
      </c>
      <c r="B27" s="41">
        <f t="shared" si="0"/>
        <v>1109</v>
      </c>
      <c r="C27" s="17"/>
      <c r="D27" s="17">
        <v>29</v>
      </c>
      <c r="E27" s="17">
        <v>43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Haycox</v>
      </c>
      <c r="I27" s="20">
        <f t="shared" si="1"/>
        <v>2.0636574074074075E-2</v>
      </c>
      <c r="J27" t="str">
        <f t="shared" si="2"/>
        <v/>
      </c>
    </row>
    <row r="28" spans="1:10" ht="15" x14ac:dyDescent="0.4">
      <c r="A28" s="40" t="s">
        <v>490</v>
      </c>
      <c r="B28" s="41">
        <f t="shared" si="0"/>
        <v>699</v>
      </c>
      <c r="C28" s="17"/>
      <c r="D28" s="17">
        <v>27</v>
      </c>
      <c r="E28" s="17">
        <v>22</v>
      </c>
      <c r="F28" s="17"/>
      <c r="G28" s="17"/>
      <c r="H28" s="19" t="str">
        <f>IF($B28="","",IF($J28="X",B28,CONCATENATE(VLOOKUP(B28,Competitors!$A$2:$I$650,3, FALSE)," ",VLOOKUP(B28,Competitors!$A$2:$I$650,2,FALSE))))</f>
        <v>Jonathan Durnin</v>
      </c>
      <c r="I28" s="20">
        <f t="shared" si="1"/>
        <v>1.9004629629629628E-2</v>
      </c>
      <c r="J28" t="str">
        <f t="shared" si="2"/>
        <v/>
      </c>
    </row>
    <row r="29" spans="1:10" ht="15" x14ac:dyDescent="0.4">
      <c r="A29" s="40" t="s">
        <v>502</v>
      </c>
      <c r="B29" s="41">
        <f t="shared" si="0"/>
        <v>846</v>
      </c>
      <c r="C29" s="17"/>
      <c r="D29" s="17">
        <v>28</v>
      </c>
      <c r="E29" s="17">
        <v>17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1"/>
        <v>1.9641203703703702E-2</v>
      </c>
      <c r="J29" t="str">
        <f t="shared" si="2"/>
        <v/>
      </c>
    </row>
    <row r="30" spans="1:10" ht="15" x14ac:dyDescent="0.4">
      <c r="A30" s="40" t="s">
        <v>501</v>
      </c>
      <c r="B30" s="41">
        <f t="shared" si="0"/>
        <v>1237</v>
      </c>
      <c r="C30" s="17"/>
      <c r="D30" s="17">
        <v>28</v>
      </c>
      <c r="E30" s="17">
        <v>45</v>
      </c>
      <c r="F30" s="17" t="s">
        <v>473</v>
      </c>
      <c r="G30" s="17"/>
      <c r="H30" s="19" t="str">
        <f>IF($B30="","",IF($J30="X",B30,CONCATENATE(VLOOKUP(B30,Competitors!$A$2:$I$650,3, FALSE)," ",VLOOKUP(B30,Competitors!$A$2:$I$650,2,FALSE))))</f>
        <v>John Abbott</v>
      </c>
      <c r="I30" s="20">
        <f t="shared" si="1"/>
        <v>1.9965277777777776E-2</v>
      </c>
      <c r="J30" t="str">
        <f t="shared" si="2"/>
        <v/>
      </c>
    </row>
    <row r="31" spans="1:10" ht="15" x14ac:dyDescent="0.4">
      <c r="A31" s="40" t="s">
        <v>118</v>
      </c>
      <c r="B31" s="41" t="str">
        <f t="shared" si="0"/>
        <v>Phil Wilkinson (RFW)</v>
      </c>
      <c r="C31" s="17"/>
      <c r="D31" s="17">
        <v>27</v>
      </c>
      <c r="E31" s="17">
        <v>2</v>
      </c>
      <c r="F31" s="17"/>
      <c r="G31" s="17"/>
      <c r="H31" s="19" t="str">
        <f>IF($B31="","",IF($J31="X",B31,CONCATENATE(VLOOKUP(B31,Competitors!$A$2:$I$650,3, FALSE)," ",VLOOKUP(B31,Competitors!$A$2:$I$650,2,FALSE))))</f>
        <v>Phil Wilkinson (RFW)</v>
      </c>
      <c r="I31" s="20">
        <f t="shared" si="1"/>
        <v>1.8773148148148146E-2</v>
      </c>
      <c r="J31" t="str">
        <f t="shared" si="2"/>
        <v>X</v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tabSelected="1" zoomScaleNormal="100" workbookViewId="0">
      <selection activeCell="F26" sqref="F26"/>
    </sheetView>
  </sheetViews>
  <sheetFormatPr defaultColWidth="9.1328125" defaultRowHeight="12.75" x14ac:dyDescent="0.35"/>
  <cols>
    <col min="1" max="1" width="20.3984375" bestFit="1" customWidth="1"/>
    <col min="2" max="2" width="36.6640625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458</v>
      </c>
      <c r="B2" s="41">
        <f t="shared" ref="B2:B33" si="0">IF(A2="","",_xlfn.XLOOKUP(A2,ClubNames,ClubNumbers,_xlfn.XLOOKUP(A2,RoundRobinRiderNames,RoundRobinRiderDecoratedNames,A2)))</f>
        <v>1298</v>
      </c>
      <c r="C2" s="17"/>
      <c r="D2" s="17"/>
      <c r="E2" s="17"/>
      <c r="F2" s="17" t="s">
        <v>473</v>
      </c>
      <c r="G2" s="17" t="s">
        <v>474</v>
      </c>
      <c r="H2" s="19" t="str">
        <f>IF($B2="","",IF($J2="X",B2,CONCATENATE(VLOOKUP(B2,Competitors!$A$2:$I$650,3, FALSE)," ",VLOOKUP(B2,Competitors!$A$2:$I$650,2,FALSE))))</f>
        <v>Jane Moore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496</v>
      </c>
      <c r="B3" s="41">
        <f t="shared" si="0"/>
        <v>23</v>
      </c>
      <c r="C3" s="17">
        <v>1</v>
      </c>
      <c r="D3" s="17">
        <v>12</v>
      </c>
      <c r="E3" s="17">
        <v>2</v>
      </c>
      <c r="F3" s="17"/>
      <c r="G3" s="17"/>
      <c r="H3" s="19" t="str">
        <f>IF($B3="","",IF($J3="X",B3,CONCATENATE(VLOOKUP(B3,Competitors!$A$2:$I$650,3, FALSE)," ",VLOOKUP(B3,Competitors!$A$2:$I$650,2,FALSE))))</f>
        <v>Chris Hyde</v>
      </c>
      <c r="I3" s="20">
        <f t="shared" ref="I3:I66" si="1">IF(LEFT($F3,1)="D",UPPER($F3),(C3*3600+D3*60+E3)/86400)</f>
        <v>5.002314814814815E-2</v>
      </c>
      <c r="J3" t="str">
        <f t="shared" ref="J3:J66" si="2">IF(OR(B3="",ISNUMBER(B3)),"","X")</f>
        <v/>
      </c>
    </row>
    <row r="4" spans="1:10" ht="15" x14ac:dyDescent="0.4">
      <c r="A4" s="40" t="s">
        <v>478</v>
      </c>
      <c r="B4" s="41">
        <f t="shared" si="0"/>
        <v>1404</v>
      </c>
      <c r="C4" s="17">
        <v>1</v>
      </c>
      <c r="D4" s="17">
        <v>23</v>
      </c>
      <c r="E4" s="17">
        <v>47</v>
      </c>
      <c r="F4" s="17"/>
      <c r="G4" s="17"/>
      <c r="H4" s="19" t="str">
        <f>IF($B4="","",IF($J4="X",B4,CONCATENATE(VLOOKUP(B4,Competitors!$A$2:$I$650,3, FALSE)," ",VLOOKUP(B4,Competitors!$A$2:$I$650,2,FALSE))))</f>
        <v>Millie Lenehan</v>
      </c>
      <c r="I4" s="20">
        <f t="shared" si="1"/>
        <v>5.8182870370370371E-2</v>
      </c>
      <c r="J4" t="str">
        <f t="shared" si="2"/>
        <v/>
      </c>
    </row>
    <row r="5" spans="1:10" ht="15" x14ac:dyDescent="0.4">
      <c r="A5" s="40" t="s">
        <v>535</v>
      </c>
      <c r="B5" s="41" t="str">
        <f t="shared" si="0"/>
        <v>Pamela Moore (Coalville Wheelers)</v>
      </c>
      <c r="C5" s="17">
        <v>1</v>
      </c>
      <c r="D5" s="17">
        <v>24</v>
      </c>
      <c r="E5" s="17">
        <v>38</v>
      </c>
      <c r="F5" s="17"/>
      <c r="G5" s="17"/>
      <c r="H5" s="19" t="str">
        <f>IF($B5="","",IF($J5="X",B5,CONCATENATE(VLOOKUP(B5,Competitors!$A$2:$I$650,3, FALSE)," ",VLOOKUP(B5,Competitors!$A$2:$I$650,2,FALSE))))</f>
        <v>Pamela Moore (Coalville Wheelers)</v>
      </c>
      <c r="I5" s="20">
        <f t="shared" si="1"/>
        <v>5.8773148148148151E-2</v>
      </c>
      <c r="J5" t="str">
        <f t="shared" si="2"/>
        <v>X</v>
      </c>
    </row>
    <row r="6" spans="1:10" ht="15" x14ac:dyDescent="0.4">
      <c r="A6" s="40" t="s">
        <v>481</v>
      </c>
      <c r="B6" s="41">
        <f t="shared" si="0"/>
        <v>1112</v>
      </c>
      <c r="C6" s="17">
        <v>1</v>
      </c>
      <c r="D6" s="17">
        <v>9</v>
      </c>
      <c r="E6" s="17">
        <v>24</v>
      </c>
      <c r="F6" s="17"/>
      <c r="G6" s="17"/>
      <c r="H6" s="19" t="str">
        <f>IF($B6="","",IF($J6="X",B6,CONCATENATE(VLOOKUP(B6,Competitors!$A$2:$I$650,3, FALSE)," ",VLOOKUP(B6,Competitors!$A$2:$I$650,2,FALSE))))</f>
        <v>Gary Ashwell</v>
      </c>
      <c r="I6" s="20">
        <f t="shared" si="1"/>
        <v>4.8194444444444443E-2</v>
      </c>
      <c r="J6" t="str">
        <f t="shared" si="2"/>
        <v/>
      </c>
    </row>
    <row r="7" spans="1:10" ht="15" x14ac:dyDescent="0.4">
      <c r="A7" s="40" t="s">
        <v>102</v>
      </c>
      <c r="B7" s="41" t="str">
        <f t="shared" si="0"/>
        <v>Chris Bonsor (Ratae)</v>
      </c>
      <c r="C7" s="17"/>
      <c r="D7" s="17"/>
      <c r="E7" s="17"/>
      <c r="F7" s="17"/>
      <c r="G7" s="17" t="s">
        <v>474</v>
      </c>
      <c r="H7" s="19" t="str">
        <f>IF($B7="","",IF($J7="X",B7,CONCATENATE(VLOOKUP(B7,Competitors!$A$2:$I$650,3, FALSE)," ",VLOOKUP(B7,Competitors!$A$2:$I$650,2,FALSE))))</f>
        <v>Chris Bonsor (Ratae)</v>
      </c>
      <c r="I7" s="20">
        <f t="shared" si="1"/>
        <v>0</v>
      </c>
      <c r="J7" t="str">
        <f t="shared" si="2"/>
        <v>X</v>
      </c>
    </row>
    <row r="8" spans="1:10" ht="15" x14ac:dyDescent="0.4">
      <c r="A8" s="40" t="s">
        <v>536</v>
      </c>
      <c r="B8" s="41" t="str">
        <f t="shared" si="0"/>
        <v>John Capel (Coalville Wheelers)</v>
      </c>
      <c r="C8" s="17">
        <v>1</v>
      </c>
      <c r="D8" s="17">
        <v>9</v>
      </c>
      <c r="E8" s="17">
        <v>52</v>
      </c>
      <c r="F8" s="17"/>
      <c r="G8" s="17"/>
      <c r="H8" s="19" t="str">
        <f>IF($B8="","",IF($J8="X",B8,CONCATENATE(VLOOKUP(B8,Competitors!$A$2:$I$650,3, FALSE)," ",VLOOKUP(B8,Competitors!$A$2:$I$650,2,FALSE))))</f>
        <v>John Capel (Coalville Wheelers)</v>
      </c>
      <c r="I8" s="20">
        <f t="shared" si="1"/>
        <v>4.8518518518518516E-2</v>
      </c>
      <c r="J8" t="str">
        <f t="shared" si="2"/>
        <v>X</v>
      </c>
    </row>
    <row r="9" spans="1:10" ht="15" x14ac:dyDescent="0.4">
      <c r="A9" s="40" t="s">
        <v>493</v>
      </c>
      <c r="B9" s="41">
        <f t="shared" si="0"/>
        <v>1254</v>
      </c>
      <c r="C9" s="17"/>
      <c r="D9" s="17"/>
      <c r="E9" s="17"/>
      <c r="F9" s="17"/>
      <c r="G9" s="17" t="s">
        <v>474</v>
      </c>
      <c r="H9" s="19" t="str">
        <f>IF($B9="","",IF($J9="X",B9,CONCATENATE(VLOOKUP(B9,Competitors!$A$2:$I$650,3, FALSE)," ",VLOOKUP(B9,Competitors!$A$2:$I$650,2,FALSE))))</f>
        <v>Paul White</v>
      </c>
      <c r="I9" s="20">
        <f t="shared" si="1"/>
        <v>0</v>
      </c>
      <c r="J9" t="str">
        <f t="shared" si="2"/>
        <v/>
      </c>
    </row>
    <row r="10" spans="1:10" ht="15" x14ac:dyDescent="0.4">
      <c r="A10" s="40" t="s">
        <v>460</v>
      </c>
      <c r="B10" s="41">
        <f t="shared" si="0"/>
        <v>1355</v>
      </c>
      <c r="C10" s="17">
        <v>1</v>
      </c>
      <c r="D10" s="17">
        <v>5</v>
      </c>
      <c r="E10" s="17">
        <v>44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4.5648148148148146E-2</v>
      </c>
      <c r="J10" t="str">
        <f t="shared" si="2"/>
        <v/>
      </c>
    </row>
    <row r="11" spans="1:10" ht="15" x14ac:dyDescent="0.4">
      <c r="A11" s="40" t="s">
        <v>529</v>
      </c>
      <c r="B11" s="41">
        <f t="shared" si="0"/>
        <v>1195</v>
      </c>
      <c r="C11" s="17">
        <v>1</v>
      </c>
      <c r="D11" s="17">
        <v>11</v>
      </c>
      <c r="E11" s="17">
        <v>52</v>
      </c>
      <c r="F11" s="17" t="s">
        <v>473</v>
      </c>
      <c r="G11" s="17"/>
      <c r="H11" s="19" t="str">
        <f>IF($B11="","",IF($J11="X",B11,CONCATENATE(VLOOKUP(B11,Competitors!$A$2:$I$650,3, FALSE)," ",VLOOKUP(B11,Competitors!$A$2:$I$650,2,FALSE))))</f>
        <v>Charlie Hardwicke</v>
      </c>
      <c r="I11" s="20">
        <f t="shared" si="1"/>
        <v>4.9907407407407407E-2</v>
      </c>
      <c r="J11" t="str">
        <f t="shared" si="2"/>
        <v/>
      </c>
    </row>
    <row r="12" spans="1:10" ht="15" x14ac:dyDescent="0.4">
      <c r="A12" s="40" t="s">
        <v>482</v>
      </c>
      <c r="B12" s="41">
        <f t="shared" si="0"/>
        <v>1193</v>
      </c>
      <c r="C12" s="17">
        <v>1</v>
      </c>
      <c r="D12" s="17">
        <v>12</v>
      </c>
      <c r="E12" s="17">
        <v>17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Richard Hardwicke</v>
      </c>
      <c r="I12" s="20">
        <f t="shared" si="1"/>
        <v>5.019675925925926E-2</v>
      </c>
      <c r="J12" t="str">
        <f t="shared" si="2"/>
        <v/>
      </c>
    </row>
    <row r="13" spans="1:10" ht="15" x14ac:dyDescent="0.4">
      <c r="A13" s="40" t="s">
        <v>484</v>
      </c>
      <c r="B13" s="41">
        <f t="shared" si="0"/>
        <v>1419</v>
      </c>
      <c r="C13" s="17"/>
      <c r="D13" s="17"/>
      <c r="E13" s="17"/>
      <c r="F13" s="17" t="s">
        <v>473</v>
      </c>
      <c r="G13" s="17" t="s">
        <v>474</v>
      </c>
      <c r="H13" s="19" t="str">
        <f>IF($B13="","",IF($J13="X",B13,CONCATENATE(VLOOKUP(B13,Competitors!$A$2:$I$650,3, FALSE)," ",VLOOKUP(B13,Competitors!$A$2:$I$650,2,FALSE))))</f>
        <v>Ethan Marsh</v>
      </c>
      <c r="I13" s="20">
        <f t="shared" si="1"/>
        <v>0</v>
      </c>
      <c r="J13" t="str">
        <f t="shared" si="2"/>
        <v/>
      </c>
    </row>
    <row r="14" spans="1:10" ht="15" x14ac:dyDescent="0.4">
      <c r="A14" s="40" t="s">
        <v>461</v>
      </c>
      <c r="B14" s="41">
        <f t="shared" si="0"/>
        <v>1407</v>
      </c>
      <c r="C14" s="17">
        <v>1</v>
      </c>
      <c r="D14" s="17">
        <v>6</v>
      </c>
      <c r="E14" s="17">
        <v>32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Colin Dobson</v>
      </c>
      <c r="I14" s="20">
        <f t="shared" si="1"/>
        <v>4.6203703703703705E-2</v>
      </c>
      <c r="J14" t="str">
        <f t="shared" si="2"/>
        <v/>
      </c>
    </row>
    <row r="15" spans="1:10" ht="15" x14ac:dyDescent="0.4">
      <c r="A15" s="40" t="s">
        <v>497</v>
      </c>
      <c r="B15" s="41">
        <f t="shared" si="0"/>
        <v>407</v>
      </c>
      <c r="C15" s="17"/>
      <c r="D15" s="17">
        <v>57</v>
      </c>
      <c r="E15" s="17">
        <v>53</v>
      </c>
      <c r="F15" s="17"/>
      <c r="G15" s="17"/>
      <c r="H15" s="19" t="str">
        <f>IF($B15="","",IF($J15="X",B15,CONCATENATE(VLOOKUP(B15,Competitors!$A$2:$I$650,3, FALSE)," ",VLOOKUP(B15,Competitors!$A$2:$I$650,2,FALSE))))</f>
        <v>Hans van Nierop</v>
      </c>
      <c r="I15" s="20">
        <f t="shared" si="1"/>
        <v>4.0196759259259258E-2</v>
      </c>
      <c r="J15" t="str">
        <f t="shared" si="2"/>
        <v/>
      </c>
    </row>
    <row r="16" spans="1:10" ht="15" x14ac:dyDescent="0.4">
      <c r="A16" s="40" t="s">
        <v>467</v>
      </c>
      <c r="B16" s="41">
        <f t="shared" si="0"/>
        <v>704</v>
      </c>
      <c r="C16" s="17">
        <v>1</v>
      </c>
      <c r="D16" s="17">
        <v>11</v>
      </c>
      <c r="E16" s="17">
        <v>53</v>
      </c>
      <c r="F16" s="17"/>
      <c r="G16" s="17"/>
      <c r="H16" s="19" t="str">
        <f>IF($B16="","",IF($J16="X",B16,CONCATENATE(VLOOKUP(B16,Competitors!$A$2:$I$650,3, FALSE)," ",VLOOKUP(B16,Competitors!$A$2:$I$650,2,FALSE))))</f>
        <v>Chris Dainty</v>
      </c>
      <c r="I16" s="20">
        <f t="shared" si="1"/>
        <v>4.9918981481481481E-2</v>
      </c>
      <c r="J16" t="str">
        <f t="shared" si="2"/>
        <v/>
      </c>
    </row>
    <row r="17" spans="1:10" ht="15" x14ac:dyDescent="0.4">
      <c r="A17" s="40" t="s">
        <v>486</v>
      </c>
      <c r="B17" s="41">
        <f t="shared" si="0"/>
        <v>564</v>
      </c>
      <c r="C17" s="17">
        <v>1</v>
      </c>
      <c r="D17" s="17">
        <v>11</v>
      </c>
      <c r="E17" s="17">
        <v>54</v>
      </c>
      <c r="F17" s="17"/>
      <c r="G17" s="17"/>
      <c r="H17" s="19" t="str">
        <f>IF($B17="","",IF($J17="X",B17,CONCATENATE(VLOOKUP(B17,Competitors!$A$2:$I$650,3, FALSE)," ",VLOOKUP(B17,Competitors!$A$2:$I$650,2,FALSE))))</f>
        <v>Ian Murdey</v>
      </c>
      <c r="I17" s="20">
        <f t="shared" si="1"/>
        <v>4.9930555555555554E-2</v>
      </c>
      <c r="J17" t="str">
        <f t="shared" si="2"/>
        <v/>
      </c>
    </row>
    <row r="18" spans="1:10" ht="15" x14ac:dyDescent="0.4">
      <c r="A18" s="40" t="s">
        <v>500</v>
      </c>
      <c r="B18" s="41">
        <f t="shared" si="0"/>
        <v>915</v>
      </c>
      <c r="C18" s="17"/>
      <c r="D18" s="17"/>
      <c r="E18" s="17"/>
      <c r="F18" s="17"/>
      <c r="G18" s="17" t="s">
        <v>474</v>
      </c>
      <c r="H18" s="19" t="str">
        <f>IF($B18="","",IF($J18="X",B18,CONCATENATE(VLOOKUP(B18,Competitors!$A$2:$I$650,3, FALSE)," ",VLOOKUP(B18,Competitors!$A$2:$I$650,2,FALSE))))</f>
        <v>Julian Twynham</v>
      </c>
      <c r="I18" s="20">
        <f t="shared" si="1"/>
        <v>0</v>
      </c>
      <c r="J18" t="str">
        <f t="shared" si="2"/>
        <v/>
      </c>
    </row>
    <row r="19" spans="1:10" ht="15" x14ac:dyDescent="0.4">
      <c r="A19" s="40" t="s">
        <v>499</v>
      </c>
      <c r="B19" s="41">
        <f t="shared" si="0"/>
        <v>415</v>
      </c>
      <c r="C19" s="17">
        <v>1</v>
      </c>
      <c r="D19" s="17">
        <v>5</v>
      </c>
      <c r="E19" s="17">
        <v>56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Nik Kershaw</v>
      </c>
      <c r="I19" s="20">
        <f t="shared" si="1"/>
        <v>4.5787037037037036E-2</v>
      </c>
      <c r="J19" t="str">
        <f t="shared" si="2"/>
        <v/>
      </c>
    </row>
    <row r="20" spans="1:10" ht="15" x14ac:dyDescent="0.4">
      <c r="A20" s="40" t="s">
        <v>464</v>
      </c>
      <c r="B20" s="41">
        <f t="shared" si="0"/>
        <v>1403</v>
      </c>
      <c r="C20" s="17">
        <v>1</v>
      </c>
      <c r="D20" s="17">
        <v>10</v>
      </c>
      <c r="E20" s="17">
        <v>48</v>
      </c>
      <c r="F20" s="17"/>
      <c r="G20" s="17"/>
      <c r="H20" s="19" t="str">
        <f>IF($B20="","",IF($J20="X",B20,CONCATENATE(VLOOKUP(B20,Competitors!$A$2:$I$650,3, FALSE)," ",VLOOKUP(B20,Competitors!$A$2:$I$650,2,FALSE))))</f>
        <v>Toby Lenehan</v>
      </c>
      <c r="I20" s="20">
        <f t="shared" si="1"/>
        <v>4.9166666666666664E-2</v>
      </c>
      <c r="J20" t="str">
        <f t="shared" si="2"/>
        <v/>
      </c>
    </row>
    <row r="21" spans="1:10" ht="15" x14ac:dyDescent="0.4">
      <c r="A21" s="40" t="s">
        <v>498</v>
      </c>
      <c r="B21" s="41">
        <f t="shared" si="0"/>
        <v>1192</v>
      </c>
      <c r="C21" s="17">
        <v>1</v>
      </c>
      <c r="D21" s="17">
        <v>4</v>
      </c>
      <c r="E21" s="17">
        <v>27</v>
      </c>
      <c r="F21" s="17"/>
      <c r="G21" s="17"/>
      <c r="H21" s="19" t="str">
        <f>IF($B21="","",IF($J21="X",B21,CONCATENATE(VLOOKUP(B21,Competitors!$A$2:$I$650,3, FALSE)," ",VLOOKUP(B21,Competitors!$A$2:$I$650,2,FALSE))))</f>
        <v>Dale Norris</v>
      </c>
      <c r="I21" s="20">
        <f t="shared" si="1"/>
        <v>4.4756944444444446E-2</v>
      </c>
      <c r="J21" t="str">
        <f t="shared" si="2"/>
        <v/>
      </c>
    </row>
    <row r="22" spans="1:10" ht="15" x14ac:dyDescent="0.4">
      <c r="A22" s="40" t="s">
        <v>479</v>
      </c>
      <c r="B22" s="41">
        <f t="shared" si="0"/>
        <v>1055</v>
      </c>
      <c r="C22" s="17">
        <v>1</v>
      </c>
      <c r="D22" s="17">
        <v>6</v>
      </c>
      <c r="E22" s="17">
        <v>35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Austin Smith</v>
      </c>
      <c r="I22" s="20">
        <f t="shared" si="1"/>
        <v>4.6238425925925926E-2</v>
      </c>
      <c r="J22" t="str">
        <f t="shared" si="2"/>
        <v/>
      </c>
    </row>
    <row r="23" spans="1:10" ht="15" x14ac:dyDescent="0.4">
      <c r="A23" s="40" t="s">
        <v>490</v>
      </c>
      <c r="B23" s="41">
        <f t="shared" si="0"/>
        <v>699</v>
      </c>
      <c r="C23" s="17">
        <v>1</v>
      </c>
      <c r="D23" s="17">
        <v>1</v>
      </c>
      <c r="E23" s="17">
        <v>46</v>
      </c>
      <c r="F23" s="17"/>
      <c r="G23" s="17"/>
      <c r="H23" s="19" t="str">
        <f>IF($B23="","",IF($J23="X",B23,CONCATENATE(VLOOKUP(B23,Competitors!$A$2:$I$650,3, FALSE)," ",VLOOKUP(B23,Competitors!$A$2:$I$650,2,FALSE))))</f>
        <v>Jonathan Durnin</v>
      </c>
      <c r="I23" s="20">
        <f t="shared" si="1"/>
        <v>4.2893518518518518E-2</v>
      </c>
      <c r="J23" t="str">
        <f t="shared" si="2"/>
        <v/>
      </c>
    </row>
    <row r="24" spans="1:10" ht="15" x14ac:dyDescent="0.4">
      <c r="A24" s="40" t="s">
        <v>502</v>
      </c>
      <c r="B24" s="41">
        <f t="shared" si="0"/>
        <v>846</v>
      </c>
      <c r="C24" s="17">
        <v>1</v>
      </c>
      <c r="D24" s="17">
        <v>8</v>
      </c>
      <c r="E24" s="17">
        <v>33</v>
      </c>
      <c r="F24" s="17"/>
      <c r="G24" s="17"/>
      <c r="H24" s="19" t="str">
        <f>IF($B24="","",IF($J24="X",B24,CONCATENATE(VLOOKUP(B24,Competitors!$A$2:$I$650,3, FALSE)," ",VLOOKUP(B24,Competitors!$A$2:$I$650,2,FALSE))))</f>
        <v>Roger Kockelbergh</v>
      </c>
      <c r="I24" s="20">
        <f t="shared" si="1"/>
        <v>4.760416666666667E-2</v>
      </c>
      <c r="J24" t="str">
        <f t="shared" si="2"/>
        <v/>
      </c>
    </row>
    <row r="25" spans="1:10" ht="15" x14ac:dyDescent="0.4">
      <c r="A25" s="40" t="s">
        <v>503</v>
      </c>
      <c r="B25" s="41">
        <f t="shared" si="0"/>
        <v>1094</v>
      </c>
      <c r="C25" s="17"/>
      <c r="D25" s="17"/>
      <c r="E25" s="17"/>
      <c r="F25" s="17"/>
      <c r="G25" s="17" t="s">
        <v>539</v>
      </c>
      <c r="H25" s="19" t="str">
        <f>IF($B25="","",IF($J25="X",B25,CONCATENATE(VLOOKUP(B25,Competitors!$A$2:$I$650,3, FALSE)," ",VLOOKUP(B25,Competitors!$A$2:$I$650,2,FALSE))))</f>
        <v>Andy Poulton</v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537</v>
      </c>
      <c r="B26" s="41" t="str">
        <f t="shared" si="0"/>
        <v>Linda Thames</v>
      </c>
      <c r="C26" s="17">
        <v>1</v>
      </c>
      <c r="D26" s="17">
        <v>14</v>
      </c>
      <c r="E26" s="17">
        <v>38</v>
      </c>
      <c r="F26" s="17"/>
      <c r="G26" s="17"/>
      <c r="H26" s="19" t="str">
        <f>IF($B26="","",IF($J26="X",B26,CONCATENATE(VLOOKUP(B26,Competitors!$A$2:$I$650,3, FALSE)," ",VLOOKUP(B26,Competitors!$A$2:$I$650,2,FALSE))))</f>
        <v>Linda Thames</v>
      </c>
      <c r="I26" s="20">
        <f t="shared" si="1"/>
        <v>5.1828703703703703E-2</v>
      </c>
      <c r="J26" t="str">
        <f t="shared" si="2"/>
        <v>X</v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13</vt:i4>
      </vt:variant>
    </vt:vector>
  </HeadingPairs>
  <TitlesOfParts>
    <vt:vector size="54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0413_competitors_2026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2026-05-03T13:04:55Z</dcterms:modified>
</cp:coreProperties>
</file>