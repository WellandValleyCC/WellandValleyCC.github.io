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9C4A8261-6648-4351-98E9-8D8A7324B141}" xr6:coauthVersionLast="47" xr6:coauthVersionMax="47" xr10:uidLastSave="{00000000-0000-0000-0000-000000000000}"/>
  <bookViews>
    <workbookView xWindow="0" yWindow="3885" windowWidth="28800" windowHeight="13118" firstSheet="21"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68" i="18"/>
  <c r="B48" i="29"/>
  <c r="I47" i="29"/>
  <c r="B47" i="29"/>
  <c r="I46" i="29"/>
  <c r="C61"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67" i="18"/>
  <c r="C66" i="18"/>
  <c r="C17" i="18"/>
  <c r="C56" i="18"/>
  <c r="C71" i="18"/>
  <c r="C70" i="18"/>
  <c r="C69" i="18"/>
  <c r="C65" i="18"/>
  <c r="C64" i="18"/>
  <c r="C63" i="18"/>
  <c r="C62" i="18"/>
  <c r="C60" i="18"/>
  <c r="C59" i="18"/>
  <c r="C58"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8" i="29" l="1"/>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J18" i="26"/>
  <c r="H18" i="2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 i="30"/>
  <c r="H9" i="30"/>
  <c r="J8" i="30"/>
  <c r="H8" i="30"/>
  <c r="J7" i="30"/>
  <c r="H7" i="30"/>
  <c r="J6" i="30"/>
  <c r="H6" i="30"/>
  <c r="J5" i="30"/>
  <c r="H5" i="30"/>
  <c r="J4" i="30"/>
  <c r="H4" i="30"/>
  <c r="J3" i="30"/>
  <c r="H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H89" i="40"/>
  <c r="H87" i="40"/>
  <c r="H33" i="39"/>
  <c r="J79" i="37"/>
  <c r="J64" i="31"/>
  <c r="J87" i="40"/>
  <c r="J33" i="39"/>
  <c r="H75" i="34"/>
  <c r="J85" i="20"/>
  <c r="H64" i="31"/>
  <c r="J56" i="28"/>
  <c r="J96" i="43"/>
  <c r="H96" i="43"/>
  <c r="J95" i="43"/>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H98" i="43"/>
  <c r="H97" i="43"/>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C104" i="34"/>
  <c r="C104" i="28"/>
  <c r="C104" i="38"/>
  <c r="C104" i="37"/>
  <c r="C104" i="44"/>
  <c r="C104" i="21"/>
  <c r="C104" i="41"/>
  <c r="C104" i="27"/>
  <c r="C104" i="23"/>
  <c r="C104" i="39"/>
  <c r="C104" i="29"/>
  <c r="C104" i="31"/>
  <c r="C104" i="45"/>
  <c r="C104" i="36"/>
  <c r="C104" i="24"/>
  <c r="C104" i="26"/>
  <c r="C104" i="19"/>
  <c r="C104" i="30"/>
  <c r="C104" i="43"/>
  <c r="C104" i="33"/>
  <c r="C104" i="20"/>
  <c r="C104" i="46"/>
  <c r="C104" i="40"/>
  <c r="C104" i="25"/>
  <c r="C104" i="35"/>
  <c r="C104" i="32"/>
  <c r="C104" i="22"/>
  <c r="C104" i="42"/>
  <c r="J38" i="29" l="1"/>
  <c r="H38" i="29" s="1"/>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J2" i="30"/>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H2" i="3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<sst xmlns="http://schemas.openxmlformats.org/spreadsheetml/2006/main" count="14237" uniqueCount="601">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</sst>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5" workbookViewId="0">
      <selection activeCell="A61" sqref="A61"/>
    </sheetView>
  </sheetViews>
  <sheetFormatPr defaultRowHeight="12.75"/>
  <cols>
    <col min="1" max="1" width="28.46484375" customWidth="1"/>
    <col min="2" max="2" width="19.1328125" customWidth="1"/>
    <col min="3" max="3" width="25.0664062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IF(ISBLANK(B4),IF(ISBLANK(A4),"",A4),_xlfn.CONCAT(A4," (",B4,")"))</f>
        <v>David Marshall (Bluelight CC)</v>
      </c>
      <c r="H4" t="s">
        <v>474</v>
      </c>
    </row>
    <row r="5" spans="1:8" ht="14.25">
      <c r="A5" t="s">
        <v>475</v>
      </c>
      <c r="B5" t="s">
        <v>476</v>
      </c>
      <c r="C5" s="36" t="str">
        <f>IF(ISBLANK(B5),IF(ISBLANK(A5),"",A5),_xlfn.CONCAT(A5," (",B5,")"))</f>
        <v>John Capel (Coalville Wheelers)</v>
      </c>
    </row>
    <row r="6" spans="1:8" ht="14.25">
      <c r="A6" t="s">
        <v>477</v>
      </c>
      <c r="B6" t="s">
        <v>476</v>
      </c>
      <c r="C6" s="36" t="str">
        <f>IF(ISBLANK(B6),IF(ISBLANK(A6),"",A6),_xlfn.CONCAT(A6," (",B6,")"))</f>
        <v>Pamela Moore (Coalville Wheelers)</v>
      </c>
      <c r="D6" t="s">
        <v>372</v>
      </c>
    </row>
    <row r="7" spans="1:8" ht="14.25">
      <c r="A7" t="s">
        <v>478</v>
      </c>
      <c r="B7" t="s">
        <v>479</v>
      </c>
      <c r="C7" s="36" t="str">
        <f>IF(ISBLANK(B7),IF(ISBLANK(A7),"",A7),_xlfn.CONCAT(A7," (",B7,")"))</f>
        <v>Jayne Mumford (W) (Cov Tri)</v>
      </c>
      <c r="D7" t="s">
        <v>372</v>
      </c>
    </row>
    <row r="8" spans="1:8" ht="14.25">
      <c r="A8" t="s">
        <v>480</v>
      </c>
      <c r="B8" t="s">
        <v>479</v>
      </c>
      <c r="C8" s="36" t="str">
        <f>IF(ISBLANK(B8),IF(ISBLANK(A8),"",A8),_xlfn.CONCAT(A8," (",B8,")"))</f>
        <v>Simon Clarke (Cov Tri)</v>
      </c>
    </row>
    <row r="9" spans="1:8" ht="14.25">
      <c r="A9" t="s">
        <v>481</v>
      </c>
      <c r="B9" t="s">
        <v>482</v>
      </c>
      <c r="C9" s="36" t="str">
        <f>IF(ISBLANK(B9),IF(ISBLANK(A9),"",A9),_xlfn.CONCAT(A9," (",B9,")"))</f>
        <v>Lydia Baxter (FTP Fusion)</v>
      </c>
      <c r="D9" t="s">
        <v>372</v>
      </c>
    </row>
    <row r="10" spans="1:8" ht="14.25">
      <c r="A10" t="s">
        <v>483</v>
      </c>
      <c r="B10" t="s">
        <v>397</v>
      </c>
      <c r="C10" s="36" t="str">
        <f>IF(ISBLANK(B10),IF(ISBLANK(A10),"",A10),_xlfn.CONCAT(A10," (",B10,")"))</f>
        <v>Andy Thomas (HCRC)</v>
      </c>
    </row>
    <row r="11" spans="1:8" ht="14.25">
      <c r="A11" t="s">
        <v>484</v>
      </c>
      <c r="B11" t="s">
        <v>397</v>
      </c>
      <c r="C11" s="36" t="str">
        <f>IF(ISBLANK(B11),IF(ISBLANK(A11),"",A11),_xlfn.CONCAT(A11," (",B11,")"))</f>
        <v>Colin Parkinson (SWRC) (HCRC)</v>
      </c>
    </row>
    <row r="12" spans="1:8" ht="14.25">
      <c r="A12" t="s">
        <v>485</v>
      </c>
      <c r="B12" t="s">
        <v>397</v>
      </c>
      <c r="C12" s="36" t="str">
        <f>IF(ISBLANK(B12),IF(ISBLANK(A12),"",A12),_xlfn.CONCAT(A12," (",B12,")"))</f>
        <v>Joe Murray (M I Racing) (HCRC)</v>
      </c>
    </row>
    <row r="13" spans="1:8" ht="14.25">
      <c r="A13" t="s">
        <v>486</v>
      </c>
      <c r="B13" t="s">
        <v>397</v>
      </c>
      <c r="C13" s="36" t="str">
        <f>IF(ISBLANK(B13),IF(ISBLANK(A13),"",A13),_xlfn.CONCAT(A13," (",B13,")"))</f>
        <v>Mick Wills (M I Racing) (HCRC)</v>
      </c>
    </row>
    <row r="14" spans="1:8" ht="14.25">
      <c r="A14" t="s">
        <v>487</v>
      </c>
      <c r="B14" t="s">
        <v>391</v>
      </c>
      <c r="C14" s="36" t="str">
        <f>IF(ISBLANK(B14),IF(ISBLANK(A14),"",A14),_xlfn.CONCAT(A14," (",B14,")"))</f>
        <v>Andy King (KCC)</v>
      </c>
    </row>
    <row r="15" spans="1:8" ht="14.25">
      <c r="A15" t="s">
        <v>488</v>
      </c>
      <c r="B15" t="s">
        <v>391</v>
      </c>
      <c r="C15" s="36" t="str">
        <f>IF(ISBLANK(B15),IF(ISBLANK(A15),"",A15),_xlfn.CONCAT(A15," (",B15,")"))</f>
        <v>Evan Collett Jnr (KCC)</v>
      </c>
    </row>
    <row r="16" spans="1:8" ht="14.25">
      <c r="A16" t="s">
        <v>489</v>
      </c>
      <c r="B16" t="s">
        <v>391</v>
      </c>
      <c r="C16" s="36" t="str">
        <f>IF(ISBLANK(B16),IF(ISBLANK(A16),"",A16),_xlfn.CONCAT(A16," (",B16,")"))</f>
        <v>Josh Brown (KCC)</v>
      </c>
    </row>
    <row r="17" spans="1:4" ht="14.25">
      <c r="A17" t="s">
        <v>598</v>
      </c>
      <c r="B17" t="s">
        <v>391</v>
      </c>
      <c r="C17" s="36" t="str">
        <f>IF(ISBLANK(B17),IF(ISBLANK(A17),"",A17),_xlfn.CONCAT(A17," (",B17,")"))</f>
        <v>Maria Cayford (KCC)</v>
      </c>
      <c r="D17" t="s">
        <v>372</v>
      </c>
    </row>
    <row r="18" spans="1:4" ht="14.25">
      <c r="A18" t="s">
        <v>490</v>
      </c>
      <c r="B18" t="s">
        <v>400</v>
      </c>
      <c r="C18" s="36" t="str">
        <f>IF(ISBLANK(B18),IF(ISBLANK(A18),"",A18),_xlfn.CONCAT(A18," (",B18,")"))</f>
        <v>Harriet Hughes (LFCC)</v>
      </c>
      <c r="D18" t="s">
        <v>372</v>
      </c>
    </row>
    <row r="19" spans="1:4" ht="14.25">
      <c r="A19" t="s">
        <v>491</v>
      </c>
      <c r="B19" t="s">
        <v>400</v>
      </c>
      <c r="C19" s="36" t="str">
        <f>IF(ISBLANK(B19),IF(ISBLANK(A19),"",A19),_xlfn.CONCAT(A19," (",B19,")"))</f>
        <v>Mat Mabe (LFCC)</v>
      </c>
    </row>
    <row r="20" spans="1:4" ht="14.25">
      <c r="A20" t="s">
        <v>492</v>
      </c>
      <c r="B20" t="s">
        <v>400</v>
      </c>
      <c r="C20" s="36" t="str">
        <f>IF(ISBLANK(B20),IF(ISBLANK(A20),"",A20),_xlfn.CONCAT(A20," (",B20,")"))</f>
        <v>Matt Finch (LFCC)</v>
      </c>
    </row>
    <row r="21" spans="1:4" ht="14.25">
      <c r="A21" t="s">
        <v>493</v>
      </c>
      <c r="B21" t="s">
        <v>400</v>
      </c>
      <c r="C21" s="36" t="str">
        <f>IF(ISBLANK(B21),IF(ISBLANK(A21),"",A21),_xlfn.CONCAT(A21," (",B21,")"))</f>
        <v>Morris Mabe (LFCC)</v>
      </c>
    </row>
    <row r="22" spans="1:4" ht="14.25">
      <c r="A22" t="s">
        <v>494</v>
      </c>
      <c r="B22" t="s">
        <v>400</v>
      </c>
      <c r="C22" s="36" t="str">
        <f>IF(ISBLANK(B22),IF(ISBLANK(A22),"",A22),_xlfn.CONCAT(A22," (",B22,")"))</f>
        <v>Sam Nettel (LFCC)</v>
      </c>
    </row>
    <row r="23" spans="1:4" ht="14.25">
      <c r="A23" t="s">
        <v>495</v>
      </c>
      <c r="B23" t="s">
        <v>400</v>
      </c>
      <c r="C23" s="36" t="str">
        <f>IF(ISBLANK(B23),IF(ISBLANK(A23),"",A23),_xlfn.CONCAT(A23," (",B23,")"))</f>
        <v>Talles Medevives (LFCC)</v>
      </c>
    </row>
    <row r="24" spans="1:4" ht="14.25">
      <c r="A24" t="s">
        <v>496</v>
      </c>
      <c r="B24" t="s">
        <v>497</v>
      </c>
      <c r="C24" s="36" t="str">
        <f>IF(ISBLANK(B24),IF(ISBLANK(A24),"",A24),_xlfn.CONCAT(A24," (",B24,")"))</f>
        <v>Dean Tacey (LRC)</v>
      </c>
    </row>
    <row r="25" spans="1:4" ht="14.25">
      <c r="A25" t="s">
        <v>498</v>
      </c>
      <c r="B25" t="s">
        <v>499</v>
      </c>
      <c r="C25" s="36" t="str">
        <f>IF(ISBLANK(B25),IF(ISBLANK(A25),"",A25),_xlfn.CONCAT(A25," (",B25,")"))</f>
        <v>Chris Booth (MOCC)</v>
      </c>
    </row>
    <row r="26" spans="1:4" ht="14.25">
      <c r="A26" t="s">
        <v>500</v>
      </c>
      <c r="B26" t="s">
        <v>499</v>
      </c>
      <c r="C26" s="36" t="str">
        <f>IF(ISBLANK(B26),IF(ISBLANK(A26),"",A26),_xlfn.CONCAT(A26," (",B26,")"))</f>
        <v>David Cooper (MOCC)</v>
      </c>
    </row>
    <row r="27" spans="1:4" ht="14.25">
      <c r="A27" t="s">
        <v>501</v>
      </c>
      <c r="B27" t="s">
        <v>499</v>
      </c>
      <c r="C27" s="36" t="str">
        <f>IF(ISBLANK(B27),IF(ISBLANK(A27),"",A27),_xlfn.CONCAT(A27," (",B27,")"))</f>
        <v>Jamie Haines (MOCC)</v>
      </c>
    </row>
    <row r="28" spans="1:4" ht="14.25">
      <c r="A28" t="s">
        <v>502</v>
      </c>
      <c r="B28" t="s">
        <v>499</v>
      </c>
      <c r="C28" s="36" t="str">
        <f>IF(ISBLANK(B28),IF(ISBLANK(A28),"",A28),_xlfn.CONCAT(A28," (",B28,")"))</f>
        <v>Laura Ayers (W) (MOCC)</v>
      </c>
      <c r="D28" t="s">
        <v>372</v>
      </c>
    </row>
    <row r="29" spans="1:4" ht="14.25">
      <c r="A29" t="s">
        <v>503</v>
      </c>
      <c r="B29" t="s">
        <v>504</v>
      </c>
      <c r="C29" s="36" t="str">
        <f>IF(ISBLANK(B29),IF(ISBLANK(A29),"",A29),_xlfn.CONCAT(A29," (",B29,")"))</f>
        <v>Ed Tarelli (Race Hub)</v>
      </c>
      <c r="D29" s="36"/>
    </row>
    <row r="30" spans="1:4" ht="14.25">
      <c r="A30" t="s">
        <v>505</v>
      </c>
      <c r="B30" t="s">
        <v>506</v>
      </c>
      <c r="C30" s="36" t="str">
        <f>IF(ISBLANK(B30),IF(ISBLANK(A30),"",A30),_xlfn.CONCAT(A30," (",B30,")"))</f>
        <v>Lewis Cooper (RAF Tri)</v>
      </c>
    </row>
    <row r="31" spans="1:4" ht="14.25">
      <c r="A31" t="s">
        <v>507</v>
      </c>
      <c r="B31" t="s">
        <v>394</v>
      </c>
      <c r="C31" s="36" t="str">
        <f>IF(ISBLANK(B31),IF(ISBLANK(A31),"",A31),_xlfn.CONCAT(A31," (",B31,")"))</f>
        <v>Alex Whitmore (Ratae)</v>
      </c>
    </row>
    <row r="32" spans="1:4" ht="14.25">
      <c r="A32" t="s">
        <v>508</v>
      </c>
      <c r="B32" t="s">
        <v>394</v>
      </c>
      <c r="C32" s="36" t="str">
        <f>IF(ISBLANK(B32),IF(ISBLANK(A32),"",A32),_xlfn.CONCAT(A32," (",B32,")"))</f>
        <v>Brian Lincoln (Ratae)</v>
      </c>
    </row>
    <row r="33" spans="1:4" ht="14.25">
      <c r="A33" t="s">
        <v>509</v>
      </c>
      <c r="B33" t="s">
        <v>394</v>
      </c>
      <c r="C33" s="36" t="str">
        <f>IF(ISBLANK(B33),IF(ISBLANK(A33),"",A33),_xlfn.CONCAT(A33," (",B33,")"))</f>
        <v>Chris Bonsor (Ratae)</v>
      </c>
    </row>
    <row r="34" spans="1:4" ht="14.25">
      <c r="A34" t="s">
        <v>510</v>
      </c>
      <c r="B34" t="s">
        <v>394</v>
      </c>
      <c r="C34" s="36" t="str">
        <f>IF(ISBLANK(B34),IF(ISBLANK(A34),"",A34),_xlfn.CONCAT(A34," (",B34,")"))</f>
        <v>Chris Spray (Ratae)</v>
      </c>
    </row>
    <row r="35" spans="1:4" ht="14.25">
      <c r="A35" t="s">
        <v>511</v>
      </c>
      <c r="B35" t="s">
        <v>394</v>
      </c>
      <c r="C35" s="36" t="str">
        <f>IF(ISBLANK(B35),IF(ISBLANK(A35),"",A35),_xlfn.CONCAT(A35," (",B35,")"))</f>
        <v>Debbie Cooper (Ratae)</v>
      </c>
      <c r="D35" t="s">
        <v>372</v>
      </c>
    </row>
    <row r="36" spans="1:4" ht="14.25">
      <c r="A36" t="s">
        <v>512</v>
      </c>
      <c r="B36" t="s">
        <v>394</v>
      </c>
      <c r="C36" s="36" t="str">
        <f>IF(ISBLANK(B36),IF(ISBLANK(A36),"",A36),_xlfn.CONCAT(A36," (",B36,")"))</f>
        <v>Ed Watson (Ratae)</v>
      </c>
    </row>
    <row r="37" spans="1:4" ht="14.25">
      <c r="A37" t="s">
        <v>590</v>
      </c>
      <c r="B37" s="63" t="s">
        <v>394</v>
      </c>
      <c r="C37" s="36" t="str">
        <f>IF(ISBLANK(B37),IF(ISBLANK(A37),"",A37),_xlfn.CONCAT(A37," (",B37,")"))</f>
        <v>Geoff Stanbridge (Ratae)</v>
      </c>
    </row>
    <row r="38" spans="1:4" ht="14.25">
      <c r="A38" t="s">
        <v>513</v>
      </c>
      <c r="B38" t="s">
        <v>394</v>
      </c>
      <c r="C38" s="36" t="str">
        <f>IF(ISBLANK(B38),IF(ISBLANK(A38),"",A38),_xlfn.CONCAT(A38," (",B38,")"))</f>
        <v>Jonathon Clarke (Ratae)</v>
      </c>
      <c r="D38" s="36"/>
    </row>
    <row r="39" spans="1:4" ht="14.25">
      <c r="A39" t="s">
        <v>514</v>
      </c>
      <c r="B39" t="s">
        <v>394</v>
      </c>
      <c r="C39" s="36" t="str">
        <f>IF(ISBLANK(B39),IF(ISBLANK(A39),"",A39),_xlfn.CONCAT(A39," (",B39,")"))</f>
        <v>Lesley Allden (Ratae)</v>
      </c>
      <c r="D39" t="s">
        <v>372</v>
      </c>
    </row>
    <row r="40" spans="1:4" ht="14.25">
      <c r="A40" t="s">
        <v>515</v>
      </c>
      <c r="B40" t="s">
        <v>394</v>
      </c>
      <c r="C40" s="36" t="str">
        <f>IF(ISBLANK(B40),IF(ISBLANK(A40),"",A40),_xlfn.CONCAT(A40," (",B40,")"))</f>
        <v>Lucy Sturgess (Ratae)</v>
      </c>
      <c r="D40" t="s">
        <v>372</v>
      </c>
    </row>
    <row r="41" spans="1:4" ht="14.25">
      <c r="A41" t="s">
        <v>516</v>
      </c>
      <c r="B41" t="s">
        <v>394</v>
      </c>
      <c r="C41" s="36" t="str">
        <f>IF(ISBLANK(B41),IF(ISBLANK(A41),"",A41),_xlfn.CONCAT(A41," (",B41,")"))</f>
        <v>Mark Marmoy (Ratae)</v>
      </c>
    </row>
    <row r="42" spans="1:4" ht="14.25">
      <c r="A42" t="s">
        <v>517</v>
      </c>
      <c r="B42" t="s">
        <v>394</v>
      </c>
      <c r="C42" s="36" t="str">
        <f>IF(ISBLANK(B42),IF(ISBLANK(A42),"",A42),_xlfn.CONCAT(A42," (",B42,")"))</f>
        <v>Mark Newton (Ratae)</v>
      </c>
    </row>
    <row r="43" spans="1:4" ht="14.25">
      <c r="A43" t="s">
        <v>518</v>
      </c>
      <c r="B43" t="s">
        <v>394</v>
      </c>
      <c r="C43" s="36" t="str">
        <f>IF(ISBLANK(B43),IF(ISBLANK(A43),"",A43),_xlfn.CONCAT(A43," (",B43,")"))</f>
        <v>Marshall Briggs (Ratae)</v>
      </c>
    </row>
    <row r="44" spans="1:4" ht="14.25">
      <c r="A44" t="s">
        <v>519</v>
      </c>
      <c r="B44" t="s">
        <v>394</v>
      </c>
      <c r="C44" s="36" t="str">
        <f>IF(ISBLANK(B44),IF(ISBLANK(A44),"",A44),_xlfn.CONCAT(A44," (",B44,")"))</f>
        <v>Natalie Harris (Ratae)</v>
      </c>
      <c r="D44" t="s">
        <v>372</v>
      </c>
    </row>
    <row r="45" spans="1:4" ht="14.25">
      <c r="A45" t="s">
        <v>520</v>
      </c>
      <c r="B45" t="s">
        <v>394</v>
      </c>
      <c r="C45" s="36" t="str">
        <f>IF(ISBLANK(B45),IF(ISBLANK(A45),"",A45),_xlfn.CONCAT(A45," (",B45,")"))</f>
        <v>Paul Eden (Ratae)</v>
      </c>
    </row>
    <row r="46" spans="1:4" ht="14.25">
      <c r="A46" t="s">
        <v>521</v>
      </c>
      <c r="B46" t="s">
        <v>394</v>
      </c>
      <c r="C46" s="36" t="str">
        <f>IF(ISBLANK(B46),IF(ISBLANK(A46),"",A46),_xlfn.CONCAT(A46," (",B46,")"))</f>
        <v>Sadie Murphy (Ratae)</v>
      </c>
      <c r="D46" t="s">
        <v>372</v>
      </c>
    </row>
    <row r="47" spans="1:4" ht="14.25">
      <c r="A47" t="s">
        <v>522</v>
      </c>
      <c r="B47" t="s">
        <v>394</v>
      </c>
      <c r="C47" s="36" t="str">
        <f>IF(ISBLANK(B47),IF(ISBLANK(A47),"",A47),_xlfn.CONCAT(A47," (",B47,")"))</f>
        <v>Steve Pearce (Ratae)</v>
      </c>
    </row>
    <row r="48" spans="1:4" ht="14.25">
      <c r="A48" t="s">
        <v>523</v>
      </c>
      <c r="B48" t="s">
        <v>385</v>
      </c>
      <c r="C48" s="36" t="str">
        <f>IF(ISBLANK(B48),IF(ISBLANK(A48),"",A48),_xlfn.CONCAT(A48," (",B48,")"))</f>
        <v>Adam Wells (RFW)</v>
      </c>
    </row>
    <row r="49" spans="1:4" ht="14.25">
      <c r="A49" t="s">
        <v>524</v>
      </c>
      <c r="B49" t="s">
        <v>385</v>
      </c>
      <c r="C49" s="36" t="str">
        <f>IF(ISBLANK(B49),IF(ISBLANK(A49),"",A49),_xlfn.CONCAT(A49," (",B49,")"))</f>
        <v>Alex Borrowman (RFW)</v>
      </c>
    </row>
    <row r="50" spans="1:4" ht="14.25">
      <c r="A50" t="s">
        <v>525</v>
      </c>
      <c r="B50" t="s">
        <v>385</v>
      </c>
      <c r="C50" s="36" t="str">
        <f>IF(ISBLANK(B50),IF(ISBLANK(A50),"",A50),_xlfn.CONCAT(A50," (",B50,")"))</f>
        <v>Anne Gilhespy (RFW)</v>
      </c>
      <c r="D50" t="s">
        <v>372</v>
      </c>
    </row>
    <row r="51" spans="1:4" ht="14.25">
      <c r="A51" t="s">
        <v>526</v>
      </c>
      <c r="B51" t="s">
        <v>385</v>
      </c>
      <c r="C51" s="36" t="str">
        <f>IF(ISBLANK(B51),IF(ISBLANK(A51),"",A51),_xlfn.CONCAT(A51," (",B51,")"))</f>
        <v>Chris Fowler (RFW)</v>
      </c>
    </row>
    <row r="52" spans="1:4" ht="14.25">
      <c r="A52" t="s">
        <v>527</v>
      </c>
      <c r="B52" t="s">
        <v>385</v>
      </c>
      <c r="C52" s="36" t="str">
        <f>IF(ISBLANK(B52),IF(ISBLANK(A52),"",A52),_xlfn.CONCAT(A52," (",B52,")"))</f>
        <v>Dan Hempkin (RFW)</v>
      </c>
    </row>
    <row r="53" spans="1:4" ht="14.25">
      <c r="A53" t="s">
        <v>528</v>
      </c>
      <c r="B53" t="s">
        <v>385</v>
      </c>
      <c r="C53" s="36" t="str">
        <f>IF(ISBLANK(B53),IF(ISBLANK(A53),"",A53),_xlfn.CONCAT(A53," (",B53,")"))</f>
        <v>David Hill (RFW)</v>
      </c>
    </row>
    <row r="54" spans="1:4" ht="14.25">
      <c r="A54" t="s">
        <v>529</v>
      </c>
      <c r="B54" t="s">
        <v>385</v>
      </c>
      <c r="C54" s="36" t="str">
        <f>IF(ISBLANK(B54),IF(ISBLANK(A54),"",A54),_xlfn.CONCAT(A54," (",B54,")"))</f>
        <v>Ethan Mitchell-Clarke (RFW)</v>
      </c>
    </row>
    <row r="55" spans="1:4" ht="14.25">
      <c r="A55" t="s">
        <v>530</v>
      </c>
      <c r="B55" t="s">
        <v>385</v>
      </c>
      <c r="C55" s="36" t="str">
        <f>IF(ISBLANK(B55),IF(ISBLANK(A55),"",A55),_xlfn.CONCAT(A55," (",B55,")"))</f>
        <v>Giles Cooper (RFW)</v>
      </c>
    </row>
    <row r="56" spans="1:4" ht="14.25">
      <c r="A56" t="s">
        <v>597</v>
      </c>
      <c r="B56" t="s">
        <v>385</v>
      </c>
      <c r="C56" s="36" t="str">
        <f>IF(ISBLANK(B56),IF(ISBLANK(A56),"",A56),_xlfn.CONCAT(A56," (",B56,")"))</f>
        <v>Graeme Hall (RFW)</v>
      </c>
    </row>
    <row r="57" spans="1:4" ht="14.25">
      <c r="A57" t="s">
        <v>531</v>
      </c>
      <c r="B57" t="s">
        <v>385</v>
      </c>
      <c r="C57" s="36" t="str">
        <f>IF(ISBLANK(B57),IF(ISBLANK(A57),"",A57),_xlfn.CONCAT(A57," (",B57,")"))</f>
        <v>Gregg Payne (RFW)</v>
      </c>
    </row>
    <row r="58" spans="1:4" ht="14.25">
      <c r="A58" t="s">
        <v>532</v>
      </c>
      <c r="B58" t="s">
        <v>385</v>
      </c>
      <c r="C58" s="36" t="str">
        <f>IF(ISBLANK(B58),IF(ISBLANK(A58),"",A58),_xlfn.CONCAT(A58," (",B58,")"))</f>
        <v>Lynne Scofield (RFW)</v>
      </c>
      <c r="D58" t="s">
        <v>372</v>
      </c>
    </row>
    <row r="59" spans="1:4" ht="14.25">
      <c r="A59" t="s">
        <v>533</v>
      </c>
      <c r="B59" t="s">
        <v>385</v>
      </c>
      <c r="C59" s="36" t="str">
        <f>IF(ISBLANK(B59),IF(ISBLANK(A59),"",A59),_xlfn.CONCAT(A59," (",B59,")"))</f>
        <v>Lynne Wilkinson-Scofield (RFW)</v>
      </c>
      <c r="D59" t="s">
        <v>372</v>
      </c>
    </row>
    <row r="60" spans="1:4" ht="14.25">
      <c r="A60" t="s">
        <v>534</v>
      </c>
      <c r="B60" t="s">
        <v>385</v>
      </c>
      <c r="C60" s="36" t="str">
        <f>IF(ISBLANK(B60),IF(ISBLANK(A60),"",A60),_xlfn.CONCAT(A60," (",B60,")"))</f>
        <v>Michael Carter (RFW)</v>
      </c>
    </row>
    <row r="61" spans="1:4" ht="14.25">
      <c r="A61" t="s">
        <v>586</v>
      </c>
      <c r="B61" t="s">
        <v>385</v>
      </c>
      <c r="C61" s="36" t="str">
        <f>IF(ISBLANK(B61),IF(ISBLANK(A61),"",A61),_xlfn.CONCAT(A61," (",B61,")"))</f>
        <v>Mike Deely (G Fox) (RFW)</v>
      </c>
    </row>
    <row r="62" spans="1:4" ht="14.25">
      <c r="A62" t="s">
        <v>520</v>
      </c>
      <c r="B62" t="s">
        <v>385</v>
      </c>
      <c r="C62" s="36" t="str">
        <f>IF(ISBLANK(B62),IF(ISBLANK(A62),"",A62),_xlfn.CONCAT(A62," (",B62,")"))</f>
        <v>Paul Eden (RFW)</v>
      </c>
    </row>
    <row r="63" spans="1:4" ht="14.25">
      <c r="A63" t="s">
        <v>535</v>
      </c>
      <c r="B63" t="s">
        <v>385</v>
      </c>
      <c r="C63" s="36" t="str">
        <f>IF(ISBLANK(B63),IF(ISBLANK(A63),"",A63),_xlfn.CONCAT(A63," (",B63,")"))</f>
        <v>Paul Russell (RFW)</v>
      </c>
    </row>
    <row r="64" spans="1:4" ht="14.25">
      <c r="A64" t="s">
        <v>536</v>
      </c>
      <c r="B64" t="s">
        <v>385</v>
      </c>
      <c r="C64" s="36" t="str">
        <f>IF(ISBLANK(B64),IF(ISBLANK(A64),"",A64),_xlfn.CONCAT(A64," (",B64,")"))</f>
        <v>Paul Ryan (RFW)</v>
      </c>
    </row>
    <row r="65" spans="1:3" ht="14.25">
      <c r="A65" t="s">
        <v>537</v>
      </c>
      <c r="B65" t="s">
        <v>385</v>
      </c>
      <c r="C65" s="36" t="str">
        <f>IF(ISBLANK(B65),IF(ISBLANK(A65),"",A65),_xlfn.CONCAT(A65," (",B65,")"))</f>
        <v>Phil Wilkinson (RFW)</v>
      </c>
    </row>
    <row r="66" spans="1:3" ht="14.25">
      <c r="A66" t="s">
        <v>599</v>
      </c>
      <c r="B66" t="s">
        <v>385</v>
      </c>
      <c r="C66" s="36" t="str">
        <f>IF(ISBLANK(B66),IF(ISBLANK(A66),"",A66),_xlfn.CONCAT(A66," (",B66,")"))</f>
        <v>Steve Coombs (RFW)</v>
      </c>
    </row>
    <row r="67" spans="1:3" ht="14.25">
      <c r="A67" t="s">
        <v>600</v>
      </c>
      <c r="B67" t="s">
        <v>385</v>
      </c>
      <c r="C67" s="36" t="str">
        <f>IF(ISBLANK(B67),IF(ISBLANK(A67),"",A67),_xlfn.CONCAT(A67," (",B67,")"))</f>
        <v>Steve Wickham (RFW)</v>
      </c>
    </row>
    <row r="68" spans="1:3" ht="14.25">
      <c r="A68" t="s">
        <v>538</v>
      </c>
      <c r="B68" t="s">
        <v>539</v>
      </c>
      <c r="C68" s="36" t="str">
        <f>IF(ISBLANK(B68),IF(ISBLANK(A68),"",A68),_xlfn.CONCAT(A68," (",B68,")"))</f>
        <v>Hudson Hendry (Ride Revolution)</v>
      </c>
    </row>
    <row r="69" spans="1:3" ht="14.25">
      <c r="A69" t="s">
        <v>540</v>
      </c>
      <c r="B69" t="s">
        <v>541</v>
      </c>
      <c r="C69" s="36" t="str">
        <f>IF(ISBLANK(B69),IF(ISBLANK(A69),"",A69),_xlfn.CONCAT(A69," (",B69,")"))</f>
        <v>Adrian James (Rugby RCC)</v>
      </c>
    </row>
    <row r="70" spans="1:3" ht="14.25">
      <c r="A70" t="s">
        <v>542</v>
      </c>
      <c r="B70" t="s">
        <v>543</v>
      </c>
      <c r="C70" s="36" t="str">
        <f>IF(ISBLANK(B70),IF(ISBLANK(A70),"",A70),_xlfn.CONCAT(A70," (",B70,")"))</f>
        <v>Carl Shaw (Speedhub)</v>
      </c>
    </row>
    <row r="71" spans="1:3" ht="14.25">
      <c r="A71" t="s">
        <v>544</v>
      </c>
      <c r="B71" t="s">
        <v>545</v>
      </c>
      <c r="C71" s="36" t="str">
        <f>IF(ISBLANK(B71),IF(ISBLANK(A71),"",A71),_xlfn.CONCAT(A71," (",B71,")"))</f>
        <v>Oliver Searle (St Ives CC)</v>
      </c>
    </row>
    <row r="72" spans="1:3" ht="14.25">
      <c r="C72" s="36" t="str">
        <f>IF(ISBLANK(B72),IF(ISBLANK(A72),"",A72),_xlfn.CONCAT(A72," (",B72,")"))</f>
        <v/>
      </c>
    </row>
    <row r="73" spans="1:3" ht="14.25">
      <c r="C73" s="36" t="str">
        <f>IF(ISBLANK(B73),IF(ISBLANK(A73),"",A73),_xlfn.CONCAT(A73," (",B73,")"))</f>
        <v/>
      </c>
    </row>
    <row r="74" spans="1:3" ht="14.25">
      <c r="C74" s="36" t="str">
        <f>IF(ISBLANK(B74),IF(ISBLANK(A74),"",A74),_xlfn.CONCAT(A74," (",B74,")"))</f>
        <v/>
      </c>
    </row>
    <row r="75" spans="1:3" ht="14.25">
      <c r="C75" s="36" t="str">
        <f>IF(ISBLANK(B75),IF(ISBLANK(A75),"",A75),_xlfn.CONCAT(A75," (",B75,")"))</f>
        <v/>
      </c>
    </row>
    <row r="76" spans="1:3" ht="14.25">
      <c r="C76" s="36" t="str">
        <f>IF(ISBLANK(B76),IF(ISBLANK(A76),"",A76),_xlfn.CONCAT(A76," (",B76,")"))</f>
        <v/>
      </c>
    </row>
    <row r="77" spans="1:3" ht="14.25">
      <c r="C77" s="36" t="str">
        <f>IF(ISBLANK(B77),IF(ISBLANK(A77),"",A77),_xlfn.CONCAT(A77," (",B77,")"))</f>
        <v/>
      </c>
    </row>
    <row r="78" spans="1:3" ht="14.25">
      <c r="C78" s="36" t="str">
        <f>IF(ISBLANK(B78),IF(ISBLANK(A78),"",A78),_xlfn.CONCAT(A78," (",B78,")"))</f>
        <v/>
      </c>
    </row>
    <row r="79" spans="1:3" ht="14.25">
      <c r="C79" s="36" t="str">
        <f>IF(ISBLANK(B79),IF(ISBLANK(A79),"",A79),_xlfn.CONCAT(A79," (",B79,")"))</f>
        <v/>
      </c>
    </row>
    <row r="80" spans="1:3" ht="14.25">
      <c r="C80" s="36" t="str">
        <f>IF(ISBLANK(B80),IF(ISBLANK(A80),"",A80),_xlfn.CONCAT(A80," (",B80,")"))</f>
        <v/>
      </c>
    </row>
    <row r="81" spans="3:3" ht="14.25">
      <c r="C81" s="36" t="str">
        <f>IF(ISBLANK(B81),IF(ISBLANK(A81),"",A81),_xlfn.CONCAT(A81," (",B81,")"))</f>
        <v/>
      </c>
    </row>
    <row r="82" spans="3:3" ht="14.25">
      <c r="C82" s="36" t="str">
        <f>IF(ISBLANK(B82),IF(ISBLANK(A82),"",A82),_xlfn.CONCAT(A82," (",B82,")"))</f>
        <v/>
      </c>
    </row>
    <row r="83" spans="3:3" ht="14.25">
      <c r="C83" s="36" t="str">
        <f>IF(ISBLANK(B83),IF(ISBLANK(A83),"",A83),_xlfn.CONCAT(A83," (",B83,")"))</f>
        <v/>
      </c>
    </row>
    <row r="84" spans="3:3" ht="14.25">
      <c r="C84" s="36" t="str">
        <f>IF(ISBLANK(B84),IF(ISBLANK(A84),"",A84),_xlfn.CONCAT(A84," (",B84,")"))</f>
        <v/>
      </c>
    </row>
    <row r="85" spans="3:3" ht="14.25">
      <c r="C85" s="36" t="str">
        <f>IF(ISBLANK(B85),IF(ISBLANK(A85),"",A85),_xlfn.CONCAT(A85," (",B85,")"))</f>
        <v/>
      </c>
    </row>
    <row r="86" spans="3:3" ht="14.25">
      <c r="C86" s="36" t="str">
        <f>IF(ISBLANK(B86),IF(ISBLANK(A86),"",A86),_xlfn.CONCAT(A86," (",B86,")"))</f>
        <v/>
      </c>
    </row>
    <row r="87" spans="3:3" ht="14.25">
      <c r="C87" s="36" t="str">
        <f>IF(ISBLANK(B87),IF(ISBLANK(A87),"",A87),_xlfn.CONCAT(A87," (",B87,")"))</f>
        <v/>
      </c>
    </row>
    <row r="88" spans="3:3" ht="14.25">
      <c r="C88" s="36" t="str">
        <f>IF(ISBLANK(B88),IF(ISBLANK(A88),"",A88),_xlfn.CONCAT(A88," (",B88,")"))</f>
        <v/>
      </c>
    </row>
    <row r="89" spans="3:3" ht="14.25">
      <c r="C89" s="36" t="str">
        <f>IF(ISBLANK(B89),IF(ISBLANK(A89),"",A89),_xlfn.CONCAT(A89," (",B89,")"))</f>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Event_01</v>
      </c>
    </row>
    <row r="104" spans="1:10">
      <c r="B104" t="s">
        <v>563</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Event_02</v>
      </c>
    </row>
    <row r="104" spans="1:10">
      <c r="B104" t="s">
        <v>563</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Event_03</v>
      </c>
    </row>
    <row r="104" spans="1:10">
      <c r="B104" t="s">
        <v>563</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Event_04</v>
      </c>
    </row>
    <row r="104" spans="1:10">
      <c r="B104" t="s">
        <v>563</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45" t="s">
        <v>463</v>
      </c>
      <c r="I1" s="45" t="s">
        <v>553</v>
      </c>
      <c r="J1" t="s">
        <v>554</v>
      </c>
    </row>
    <row r="2" spans="1:10" ht="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562</v>
      </c>
      <c r="C103" t="str" cm="1">
        <f t="array" aca="1" ref="C103" ca="1">MID(CELL("filename",B1),FIND("]",CELL("filename",B1))+1,255)</f>
        <v>Event_05</v>
      </c>
    </row>
    <row r="104" spans="1:10">
      <c r="B104" t="s">
        <v>563</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Event_06</v>
      </c>
    </row>
    <row r="104" spans="1:10">
      <c r="B104" t="s">
        <v>563</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562</v>
      </c>
      <c r="C103" t="str" cm="1">
        <f t="array" aca="1" ref="C103" ca="1">MID(CELL("filename",B1),FIND("]",CELL("filename",B1))+1,255)</f>
        <v>Event_07</v>
      </c>
    </row>
    <row r="104" spans="1:10">
      <c r="B104" t="s">
        <v>563</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Event_08</v>
      </c>
    </row>
    <row r="104" spans="1:10">
      <c r="B104" t="s">
        <v>563</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Event_09</v>
      </c>
    </row>
    <row r="104" spans="1:10">
      <c r="B104" t="s">
        <v>563</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c r="A39" s="62" t="s">
        <v>586</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Event_10</v>
      </c>
    </row>
    <row r="104" spans="1:10">
      <c r="B104" t="s">
        <v>563</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1" workbookViewId="0">
      <selection activeCell="A40" sqref="A40"/>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586</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538</v>
      </c>
      <c r="B48" s="47" t="str">
        <f t="shared" si="3"/>
        <v>Hudson Hendry (Ride Revolution)</v>
      </c>
      <c r="C48" s="48"/>
      <c r="D48" s="48">
        <v>20</v>
      </c>
      <c r="E48" s="48">
        <v>22</v>
      </c>
      <c r="F48" s="48" t="s">
        <v>555</v>
      </c>
      <c r="G48" s="48"/>
      <c r="H48" s="50" t="str">
        <f>IF($B48="","",IF($J48="X",B48,CONCATENATE(VLOOKUP(B48,Competitors!$A$2:$I$650,3,FALSE)," ",VLOOKUP(B48,Competitors!$A$2:$I$650,2,FALSE))))</f>
        <v>Hudson Hendry (Ride Revolution)</v>
      </c>
      <c r="I48" s="51">
        <f t="shared" si="4"/>
        <v>1.4143518518518519E-2</v>
      </c>
      <c r="J48" t="str">
        <f t="shared" si="2"/>
        <v>X</v>
      </c>
    </row>
    <row r="49" spans="1:10" ht="15">
      <c r="A49" s="46" t="s">
        <v>520</v>
      </c>
      <c r="B49" s="47" t="str">
        <f t="shared" si="3"/>
        <v>Paul Eden (Ratae)</v>
      </c>
      <c r="C49" s="48"/>
      <c r="D49" s="48">
        <v>29</v>
      </c>
      <c r="E49" s="48">
        <v>58</v>
      </c>
      <c r="F49" s="48" t="s">
        <v>555</v>
      </c>
      <c r="G49" s="48"/>
      <c r="H49" s="50" t="str">
        <f>IF($B49="","",IF($J49="X",B49,CONCATENATE(VLOOKUP(B49,Competitors!$A$2:$I$650,3,FALSE)," ",VLOOKUP(B49,Competitors!$A$2:$I$650,2,FALSE))))</f>
        <v>Paul Eden (Ratae)</v>
      </c>
      <c r="I49" s="51">
        <f t="shared" si="4"/>
        <v>2.0810185185185185E-2</v>
      </c>
      <c r="J49" t="str">
        <f t="shared" si="2"/>
        <v>X</v>
      </c>
    </row>
    <row r="50" spans="1:10" ht="15">
      <c r="A50" s="46" t="s">
        <v>596</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595</v>
      </c>
      <c r="B51" s="47">
        <f t="shared" si="3"/>
        <v>1347</v>
      </c>
      <c r="C51" s="48"/>
      <c r="D51" s="48">
        <v>26</v>
      </c>
      <c r="E51" s="48">
        <v>5</v>
      </c>
      <c r="F51" s="48" t="s">
        <v>555</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562</v>
      </c>
      <c r="C103" t="str" cm="1">
        <f t="array" aca="1" ref="C103" ca="1">MID(CELL("filename",B1),FIND("]",CELL("filename",B1))+1,255)</f>
        <v>Event_11</v>
      </c>
    </row>
    <row r="104" spans="1:10">
      <c r="B104" t="s">
        <v>563</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zoomScale="75" workbookViewId="0">
      <selection activeCell="A4" sqref="A4"/>
    </sheetView>
  </sheetViews>
  <sheetFormatPr defaultColWidth="9.1328125" defaultRowHeight="12.75"/>
  <cols>
    <col min="1" max="1" width="20.33203125" bestFit="1" customWidth="1"/>
    <col min="2" max="2" width="26.46484375" bestFit="1" customWidth="1"/>
    <col min="3" max="5" width="4.73046875" customWidth="1"/>
    <col min="6" max="7" width="11.06640625" customWidth="1"/>
    <col min="8" max="8" width="26.464843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597</v>
      </c>
      <c r="B2" s="47" t="str">
        <f t="shared" ref="B2:B33" si="0">IF(A2="","",_xlfn.XLOOKUP(A2,ClubNames,ClubNumbers,_xlfn.XLOOKUP(A2,RoundRobinRiderNames,RoundRobinRiderDecoratedNames,A2)))</f>
        <v>Graeme Hall (RFW)</v>
      </c>
      <c r="C2" s="48"/>
      <c r="D2" s="49"/>
      <c r="E2" s="49"/>
      <c r="F2" s="49"/>
      <c r="G2" s="49"/>
      <c r="H2" s="50" t="str">
        <f>IF($B2="","",IF($J2="X",B2,CONCATENATE(VLOOKUP(B2,Competitors!$A$2:$I$650,3, FALSE)," ",VLOOKUP(B2,Competitors!$A$2:$I$650,2,FALSE))))</f>
        <v>Graeme Hall (RFW)</v>
      </c>
      <c r="I2" s="51">
        <f t="shared" ref="I2:I65" si="1">IF(LEFT($F2,1)="D",UPPER($F2),(C2*3600+D2*60+E2)/86400)</f>
        <v>0</v>
      </c>
      <c r="J2" t="str">
        <f t="shared" ref="J2:J65" si="2">IF(OR(B2="",ISNUMBER(B2)),"","X")</f>
        <v>X</v>
      </c>
    </row>
    <row r="3" spans="1:10" ht="15">
      <c r="A3" s="46" t="s">
        <v>586</v>
      </c>
      <c r="B3" s="47" t="str">
        <f t="shared" si="0"/>
        <v>Mike Deely (G Fox) (RFW)</v>
      </c>
      <c r="C3" s="48"/>
      <c r="D3" s="49"/>
      <c r="E3" s="49"/>
      <c r="F3" s="49"/>
      <c r="G3" s="49"/>
      <c r="H3" s="50" t="str">
        <f>IF($B3="","",IF($J3="X",B3,CONCATENATE(VLOOKUP(B3,Competitors!$A$2:$I$650,3,FALSE)," ",VLOOKUP(B3,Competitors!$A$2:$I$650,2,FALSE))))</f>
        <v>Mike Deely (G Fox) (RFW)</v>
      </c>
      <c r="I3" s="51">
        <f t="shared" si="1"/>
        <v>0</v>
      </c>
      <c r="J3" t="str">
        <f t="shared" si="2"/>
        <v>X</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Event_12</v>
      </c>
    </row>
    <row r="104" spans="1:10">
      <c r="B104" t="s">
        <v>563</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328125" defaultRowHeight="12.75"/>
  <cols>
    <col min="1" max="1" width="20.9296875" bestFit="1" customWidth="1"/>
    <col min="2" max="2" width="24"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Event_13</v>
      </c>
    </row>
    <row r="104" spans="1:10">
      <c r="B104" t="s">
        <v>563</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Event_14</v>
      </c>
    </row>
    <row r="104" spans="1:10">
      <c r="B104" t="s">
        <v>563</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Event_15</v>
      </c>
    </row>
    <row r="104" spans="1:10">
      <c r="B104" t="s">
        <v>563</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Event_16</v>
      </c>
    </row>
    <row r="104" spans="1:10">
      <c r="B104" t="s">
        <v>563</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Event_17</v>
      </c>
    </row>
    <row r="104" spans="1:10">
      <c r="B104" t="s">
        <v>563</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Event_18</v>
      </c>
    </row>
    <row r="104" spans="1:10">
      <c r="B104" t="s">
        <v>563</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Event_19</v>
      </c>
    </row>
    <row r="104" spans="1:10">
      <c r="B104" t="s">
        <v>563</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Event_20</v>
      </c>
    </row>
    <row r="104" spans="1:10">
      <c r="B104" t="s">
        <v>563</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Event_21</v>
      </c>
    </row>
    <row r="104" spans="1:10">
      <c r="B104" t="s">
        <v>563</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Event_22</v>
      </c>
    </row>
    <row r="104" spans="1:10">
      <c r="B104" t="s">
        <v>563</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Event_23</v>
      </c>
    </row>
    <row r="104" spans="1:10">
      <c r="B104" t="s">
        <v>563</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Event_24</v>
      </c>
    </row>
    <row r="104" spans="1:10">
      <c r="B104" t="s">
        <v>563</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Event_25</v>
      </c>
    </row>
    <row r="104" spans="1:10">
      <c r="B104" t="s">
        <v>563</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Event_26</v>
      </c>
    </row>
    <row r="104" spans="1:10">
      <c r="B104" t="s">
        <v>563</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Event_27</v>
      </c>
    </row>
    <row r="104" spans="1:10">
      <c r="B104" t="s">
        <v>563</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Event_28</v>
      </c>
    </row>
    <row r="104" spans="1:10">
      <c r="B104" t="s">
        <v>563</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2026-06-17T13:11:26Z</dcterms:modified>
</cp:coreProperties>
</file>