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2C8FE4E7-97DF-4FD0-AE63-F51E5564E36A}" xr6:coauthVersionLast="47" xr6:coauthVersionMax="47" xr10:uidLastSave="{00000000-0000-0000-0000-000000000000}"/>
  <bookViews>
    <workbookView xWindow="0" yWindow="0" windowWidth="28800" windowHeight="17280" firstSheet="13" activeTab="17" xr2:uid="{C6BA513C-3247-45D3-9BF5-750EB976B6F9}"/>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36" l="1"/>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8" i="18"/>
  <c r="C9" i="18"/>
  <c r="C17" i="18"/>
  <c r="C56" i="18"/>
  <c r="C49" i="18"/>
  <c r="C64" i="18"/>
  <c r="C37" i="18"/>
  <c r="C93" i="18"/>
  <c r="C7" i="18"/>
  <c r="C6" i="18"/>
  <c r="C95" i="18"/>
  <c r="C96" i="18"/>
  <c r="C41" i="18"/>
  <c r="C40" i="18"/>
  <c r="C12" i="18"/>
  <c r="C13" i="18"/>
  <c r="C102" i="18"/>
  <c r="C103" i="18"/>
  <c r="C104" i="18"/>
  <c r="C105" i="18"/>
  <c r="C106" i="18"/>
  <c r="C107" i="18"/>
  <c r="C31" i="18"/>
  <c r="J26" i="16"/>
  <c r="K26" i="16"/>
  <c r="M26" i="16"/>
  <c r="J24" i="16"/>
  <c r="K24" i="16"/>
  <c r="M24" i="16"/>
  <c r="H26"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4"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3" i="18"/>
  <c r="I48" i="29"/>
  <c r="C78" i="18"/>
  <c r="I47" i="29"/>
  <c r="I46" i="29"/>
  <c r="C83" i="18"/>
  <c r="I45" i="29"/>
  <c r="I44" i="29"/>
  <c r="I43" i="29"/>
  <c r="I42" i="29"/>
  <c r="I41" i="29"/>
  <c r="I40" i="29"/>
  <c r="I39" i="29"/>
  <c r="I38" i="29"/>
  <c r="I37" i="29"/>
  <c r="I36" i="29"/>
  <c r="I35" i="29"/>
  <c r="I34" i="29"/>
  <c r="I33" i="29"/>
  <c r="I32" i="29"/>
  <c r="I31" i="29"/>
  <c r="I30" i="29"/>
  <c r="I29" i="29"/>
  <c r="I28" i="29"/>
  <c r="I27" i="29"/>
  <c r="I26" i="29"/>
  <c r="I25" i="29"/>
  <c r="I24" i="29"/>
  <c r="C60" i="18"/>
  <c r="I23" i="29"/>
  <c r="I22" i="29"/>
  <c r="C48" i="18"/>
  <c r="I21" i="29"/>
  <c r="I20" i="29"/>
  <c r="I19" i="29"/>
  <c r="C54" i="18"/>
  <c r="I18" i="29"/>
  <c r="I17" i="29"/>
  <c r="I16" i="29"/>
  <c r="I15" i="29"/>
  <c r="I14" i="29"/>
  <c r="I13" i="29"/>
  <c r="I12" i="29"/>
  <c r="I11" i="29"/>
  <c r="I10" i="29"/>
  <c r="C50" i="18"/>
  <c r="I9" i="29"/>
  <c r="I8" i="29"/>
  <c r="I7" i="29"/>
  <c r="I6" i="29"/>
  <c r="I5" i="29"/>
  <c r="I4" i="29"/>
  <c r="I3" i="29"/>
  <c r="C57"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67" i="18"/>
  <c r="C36" i="18"/>
  <c r="C30" i="18"/>
  <c r="C87" i="18"/>
  <c r="C99" i="18"/>
  <c r="C98" i="18"/>
  <c r="C101" i="18"/>
  <c r="C100" i="18"/>
  <c r="C25" i="18"/>
  <c r="C28" i="18"/>
  <c r="C79" i="18"/>
  <c r="C90" i="18"/>
  <c r="C89" i="18"/>
  <c r="C27" i="18"/>
  <c r="C76" i="18"/>
  <c r="C94" i="18"/>
  <c r="C92" i="18"/>
  <c r="C91" i="18"/>
  <c r="C88" i="18"/>
  <c r="C86" i="18"/>
  <c r="C85" i="18"/>
  <c r="C84" i="18"/>
  <c r="C82" i="18"/>
  <c r="C81" i="18"/>
  <c r="C80" i="18"/>
  <c r="C77" i="18"/>
  <c r="C75" i="18"/>
  <c r="C74" i="18"/>
  <c r="C73" i="18"/>
  <c r="C72" i="18"/>
  <c r="C71" i="18"/>
  <c r="C70" i="18"/>
  <c r="C69" i="18"/>
  <c r="C68" i="18"/>
  <c r="C66" i="18"/>
  <c r="C65" i="18"/>
  <c r="C62" i="18"/>
  <c r="C61" i="18"/>
  <c r="C59" i="18"/>
  <c r="C58" i="18"/>
  <c r="C55" i="18"/>
  <c r="C53" i="18"/>
  <c r="C52" i="18"/>
  <c r="C51" i="18"/>
  <c r="C47" i="18"/>
  <c r="C46" i="18"/>
  <c r="C97" i="18"/>
  <c r="C45" i="18"/>
  <c r="C44" i="18"/>
  <c r="C43" i="18"/>
  <c r="C42" i="18"/>
  <c r="C39" i="18"/>
  <c r="C38" i="18"/>
  <c r="C35" i="18"/>
  <c r="C34" i="18"/>
  <c r="C33" i="18"/>
  <c r="C32" i="18"/>
  <c r="C29" i="18"/>
  <c r="C26" i="18"/>
  <c r="C23" i="18"/>
  <c r="C22" i="18"/>
  <c r="C21" i="18"/>
  <c r="C20" i="18"/>
  <c r="C19" i="18"/>
  <c r="C16" i="18"/>
  <c r="C15" i="18"/>
  <c r="C14"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9" i="16"/>
  <c r="M29" i="16"/>
  <c r="K29" i="16"/>
  <c r="J29" i="16"/>
  <c r="H29" i="16"/>
  <c r="N28" i="16"/>
  <c r="M28" i="16"/>
  <c r="K28" i="16"/>
  <c r="J28" i="16"/>
  <c r="H28" i="16"/>
  <c r="M27" i="16"/>
  <c r="K27" i="16"/>
  <c r="J27" i="16"/>
  <c r="H27" i="16"/>
  <c r="M25" i="16"/>
  <c r="K25" i="16"/>
  <c r="J25" i="16"/>
  <c r="H25" i="16"/>
  <c r="H24" i="16"/>
  <c r="M23" i="16"/>
  <c r="K23" i="16"/>
  <c r="J23" i="16"/>
  <c r="H23" i="16"/>
  <c r="M22" i="16"/>
  <c r="K22" i="16"/>
  <c r="J22" i="16"/>
  <c r="H22" i="16"/>
  <c r="M21" i="16"/>
  <c r="K21" i="16"/>
  <c r="J21" i="16"/>
  <c r="H21" i="16"/>
  <c r="M20" i="16"/>
  <c r="K20" i="16"/>
  <c r="J20" i="16"/>
  <c r="H20" i="16"/>
  <c r="M19" i="16"/>
  <c r="K19" i="16"/>
  <c r="J19" i="16"/>
  <c r="H19" i="16"/>
  <c r="M18" i="16"/>
  <c r="H18" i="16"/>
  <c r="M17" i="16"/>
  <c r="K17" i="16"/>
  <c r="J17" i="16"/>
  <c r="H17" i="16"/>
  <c r="M16" i="16"/>
  <c r="K16" i="16"/>
  <c r="J16" i="16"/>
  <c r="H16" i="16"/>
  <c r="M15" i="16"/>
  <c r="K15" i="16"/>
  <c r="J15" i="16"/>
  <c r="H15" i="16"/>
  <c r="M14" i="16"/>
  <c r="K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O7" i="16"/>
  <c r="A8"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C104" i="24" l="1"/>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O9" i="16" l="1"/>
  <c r="A10" i="16"/>
  <c r="C104" i="2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1" i="16" l="1"/>
  <c r="O10" i="16"/>
  <c r="I3" i="36"/>
  <c r="I2" i="36"/>
  <c r="I5" i="36"/>
  <c r="I6" i="36"/>
  <c r="A12" i="16" l="1"/>
  <c r="O11" i="16"/>
  <c r="C104" i="28"/>
  <c r="C104" i="27"/>
  <c r="O12" i="16" l="1"/>
  <c r="A13" i="16"/>
  <c r="C104" i="29" l="1"/>
  <c r="A14" i="16"/>
  <c r="O13" i="16"/>
  <c r="A15" i="16" l="1"/>
  <c r="O14" i="16"/>
  <c r="A16" i="16" l="1"/>
  <c r="O15" i="16"/>
  <c r="A17" i="16" l="1"/>
  <c r="O16" i="16"/>
  <c r="A18" i="16" l="1"/>
  <c r="O17" i="16"/>
  <c r="A19" i="16" l="1"/>
  <c r="O18" i="16"/>
  <c r="A20" i="16" l="1"/>
  <c r="O19" i="16"/>
  <c r="A21" i="16" l="1"/>
  <c r="O20" i="16"/>
  <c r="A22" i="16" l="1"/>
  <c r="O21" i="16"/>
  <c r="A23" i="16" l="1"/>
  <c r="O22" i="16"/>
  <c r="O23" i="16" l="1"/>
  <c r="A24" i="16"/>
  <c r="O24" i="16" l="1"/>
  <c r="A25" i="16"/>
  <c r="A26" i="16" l="1"/>
  <c r="O25" i="16"/>
  <c r="A27" i="16" l="1"/>
  <c r="O26" i="16"/>
  <c r="O27" i="16" l="1"/>
  <c r="A28" i="16"/>
  <c r="O28" i="16" l="1"/>
  <c r="A29" i="16"/>
  <c r="O29" i="16" s="1"/>
  <c r="C104" i="34" l="1"/>
  <c r="C104" i="38"/>
  <c r="D104" i="35"/>
  <c r="D104" i="36"/>
  <c r="C104" i="44"/>
  <c r="C104" i="33"/>
  <c r="C104" i="32"/>
  <c r="C104" i="31"/>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<sst xmlns="http://schemas.openxmlformats.org/spreadsheetml/2006/main" count="16664" uniqueCount="742">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</sst>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8">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20" workbookViewId="0">
      <selection activeCell="B58" sqref="B5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9"/>
  <sheetViews>
    <sheetView tabSelected="1" workbookViewId="0">
      <selection activeCell="A28" sqref="A28"/>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741</v>
      </c>
      <c r="M1" s="25" t="s">
        <v>366</v>
      </c>
      <c r="N1" s="25" t="s">
        <v>367</v>
      </c>
      <c r="O1" s="21" t="s">
        <v>368</v>
      </c>
      <c r="P1" s="26" t="s">
        <v>369</v>
      </c>
      <c r="Q1" s="21" t="s">
        <v>600</v>
      </c>
    </row>
    <row r="2" spans="1:17">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
        <v>599</v>
      </c>
      <c r="M2" s="30" t="str">
        <f t="shared" ref="M2:N29" si="3">IF($B2="","",IF(ISNUMBER(SEARCH("Hardride",$D2)),"Y",""))</f>
        <v>Y</v>
      </c>
      <c r="N2" s="30"/>
      <c r="O2" t="str">
        <f t="shared" ref="O2:O29" si="4">"Event_" &amp; TEXT(A2,"00")</f>
        <v>Event_01</v>
      </c>
      <c r="P2"/>
    </row>
    <row r="3" spans="1:17">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
        <v>599</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599</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599</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599</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599</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599</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599</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599</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599</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599</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599</v>
      </c>
      <c r="M13" s="30" t="str">
        <f t="shared" si="3"/>
        <v/>
      </c>
      <c r="N13" s="30" t="str">
        <f t="shared" si="3"/>
        <v/>
      </c>
      <c r="O13" t="str">
        <f t="shared" si="4"/>
        <v>Event_12</v>
      </c>
      <c r="P13"/>
    </row>
    <row r="14" spans="1:17">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
        <v>599</v>
      </c>
      <c r="M14" s="30" t="str">
        <f t="shared" si="3"/>
        <v/>
      </c>
      <c r="N14" s="30" t="s">
        <v>372</v>
      </c>
      <c r="O14" t="str">
        <f t="shared" si="4"/>
        <v>Event_13</v>
      </c>
      <c r="P14" t="s">
        <v>372</v>
      </c>
    </row>
    <row r="15" spans="1:17">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
        <v>599</v>
      </c>
      <c r="M15" s="30" t="str">
        <f t="shared" si="3"/>
        <v/>
      </c>
      <c r="N15" s="30" t="s">
        <v>372</v>
      </c>
      <c r="O15" t="str">
        <f t="shared" si="4"/>
        <v>Event_14</v>
      </c>
      <c r="P15"/>
    </row>
    <row r="16" spans="1:17">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
        <v>599</v>
      </c>
      <c r="M16" s="30" t="str">
        <f t="shared" si="3"/>
        <v/>
      </c>
      <c r="N16" s="30" t="s">
        <v>372</v>
      </c>
      <c r="O16" t="str">
        <f t="shared" si="4"/>
        <v>Event_15</v>
      </c>
      <c r="P16"/>
    </row>
    <row r="17" spans="1:16">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
        <v>599</v>
      </c>
      <c r="M17" s="30" t="str">
        <f t="shared" si="3"/>
        <v/>
      </c>
      <c r="N17" s="30" t="s">
        <v>372</v>
      </c>
      <c r="O17" t="str">
        <f t="shared" si="4"/>
        <v>Event_16</v>
      </c>
      <c r="P17"/>
    </row>
    <row r="18" spans="1:16">
      <c r="A18" s="27">
        <f t="shared" si="5"/>
        <v>17</v>
      </c>
      <c r="B18" s="28">
        <v>46214</v>
      </c>
      <c r="C18" s="29">
        <v>0.45833333333333331</v>
      </c>
      <c r="D18" t="s">
        <v>393</v>
      </c>
      <c r="E18" t="s">
        <v>394</v>
      </c>
      <c r="F18" s="70">
        <v>6.35</v>
      </c>
      <c r="G18" t="s">
        <v>395</v>
      </c>
      <c r="H18" t="str">
        <f t="shared" si="0"/>
        <v/>
      </c>
      <c r="I18" s="30" t="s">
        <v>372</v>
      </c>
      <c r="J18" s="30" t="s">
        <v>599</v>
      </c>
      <c r="K18" s="30" t="s">
        <v>372</v>
      </c>
      <c r="L18" s="30" t="s">
        <v>372</v>
      </c>
      <c r="M18" s="30" t="str">
        <f t="shared" si="3"/>
        <v/>
      </c>
      <c r="N18" s="30" t="s">
        <v>372</v>
      </c>
      <c r="O18" t="str">
        <f t="shared" si="4"/>
        <v>Event_17</v>
      </c>
      <c r="P18"/>
    </row>
    <row r="19" spans="1:16">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
        <v>599</v>
      </c>
      <c r="M19" s="30" t="str">
        <f t="shared" si="3"/>
        <v/>
      </c>
      <c r="N19" s="30" t="s">
        <v>372</v>
      </c>
      <c r="O19" t="str">
        <f t="shared" si="4"/>
        <v>Event_18</v>
      </c>
      <c r="P19"/>
    </row>
    <row r="20" spans="1:16">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
        <v>599</v>
      </c>
      <c r="M20" s="30" t="str">
        <f t="shared" si="3"/>
        <v/>
      </c>
      <c r="N20" s="30" t="s">
        <v>372</v>
      </c>
      <c r="O20" t="str">
        <f t="shared" si="4"/>
        <v>Event_19</v>
      </c>
      <c r="P20"/>
    </row>
    <row r="21" spans="1:16">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
        <v>599</v>
      </c>
      <c r="M21" s="30" t="str">
        <f t="shared" si="3"/>
        <v/>
      </c>
      <c r="N21" s="30" t="s">
        <v>372</v>
      </c>
      <c r="O21" t="str">
        <f t="shared" si="4"/>
        <v>Event_20</v>
      </c>
      <c r="P21"/>
    </row>
    <row r="22" spans="1:16">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
        <v>599</v>
      </c>
      <c r="M22" s="30" t="str">
        <f t="shared" si="3"/>
        <v/>
      </c>
      <c r="N22" s="30" t="s">
        <v>372</v>
      </c>
      <c r="O22" t="str">
        <f t="shared" si="4"/>
        <v>Event_21</v>
      </c>
      <c r="P22"/>
    </row>
    <row r="23" spans="1:16">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
        <v>599</v>
      </c>
      <c r="M23" s="30" t="str">
        <f t="shared" si="3"/>
        <v/>
      </c>
      <c r="N23" s="30" t="s">
        <v>372</v>
      </c>
      <c r="O23" t="str">
        <f t="shared" si="4"/>
        <v>Event_22</v>
      </c>
      <c r="P23"/>
    </row>
    <row r="24" spans="1:16">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
        <v>599</v>
      </c>
      <c r="M24" s="30" t="str">
        <f t="shared" si="3"/>
        <v/>
      </c>
      <c r="N24" s="30" t="s">
        <v>372</v>
      </c>
      <c r="O24" t="str">
        <f>"Event_" &amp; TEXT(A24,"00")</f>
        <v>Event_23</v>
      </c>
      <c r="P24"/>
    </row>
    <row r="25" spans="1:16">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
        <v>599</v>
      </c>
      <c r="M25" s="30" t="str">
        <f t="shared" si="3"/>
        <v/>
      </c>
      <c r="N25" s="30" t="s">
        <v>372</v>
      </c>
      <c r="O25" t="str">
        <f t="shared" si="4"/>
        <v>Event_24</v>
      </c>
      <c r="P25"/>
    </row>
    <row r="26" spans="1:16">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
        <v>599</v>
      </c>
      <c r="M26" s="30" t="str">
        <f t="shared" si="3"/>
        <v/>
      </c>
      <c r="N26" s="30" t="s">
        <v>372</v>
      </c>
      <c r="O26" t="str">
        <f>"Event_" &amp; TEXT(A26,"00")</f>
        <v>Event_25</v>
      </c>
      <c r="P26"/>
    </row>
    <row r="27" spans="1:16">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
        <v>599</v>
      </c>
      <c r="M27" s="30" t="str">
        <f t="shared" si="3"/>
        <v>Y</v>
      </c>
      <c r="N27" s="30"/>
      <c r="O27" t="str">
        <f t="shared" si="4"/>
        <v>Event_26</v>
      </c>
      <c r="P27"/>
    </row>
    <row r="28" spans="1:16">
      <c r="A28" s="27">
        <f t="shared" si="5"/>
        <v>27</v>
      </c>
      <c r="B28" s="28">
        <v>46292</v>
      </c>
      <c r="C28" s="20">
        <v>0.375</v>
      </c>
      <c r="D28" s="18" t="s">
        <v>404</v>
      </c>
      <c r="F28" s="19">
        <v>0.88</v>
      </c>
      <c r="G28" s="18" t="s">
        <v>405</v>
      </c>
      <c r="H28" t="str">
        <f t="shared" si="0"/>
        <v>Y</v>
      </c>
      <c r="I28" s="30" t="s">
        <v>372</v>
      </c>
      <c r="J28" s="30" t="str">
        <f t="shared" si="1"/>
        <v>Y</v>
      </c>
      <c r="K28" s="30" t="str">
        <f t="shared" si="2"/>
        <v/>
      </c>
      <c r="L28" s="30" t="s">
        <v>599</v>
      </c>
      <c r="M28" s="30" t="str">
        <f t="shared" si="3"/>
        <v/>
      </c>
      <c r="N28" s="30" t="str">
        <f t="shared" si="3"/>
        <v/>
      </c>
      <c r="O28" t="str">
        <f t="shared" si="4"/>
        <v>Event_27</v>
      </c>
      <c r="P28"/>
    </row>
    <row r="29" spans="1:16">
      <c r="A29" s="27">
        <f t="shared" si="5"/>
        <v>28</v>
      </c>
      <c r="B29" s="28">
        <v>46382</v>
      </c>
      <c r="C29" s="20">
        <v>0.41666666666666669</v>
      </c>
      <c r="D29" s="18" t="s">
        <v>406</v>
      </c>
      <c r="F29">
        <v>10</v>
      </c>
      <c r="G29" s="18" t="s">
        <v>375</v>
      </c>
      <c r="H29" t="str">
        <f t="shared" si="0"/>
        <v/>
      </c>
      <c r="I29" s="30"/>
      <c r="J29" s="30" t="str">
        <f>IF($B29="","",IF($F29=10,"","Y"))</f>
        <v/>
      </c>
      <c r="K29" s="30" t="str">
        <f t="shared" si="2"/>
        <v>Y</v>
      </c>
      <c r="L29" s="30" t="s">
        <v>599</v>
      </c>
      <c r="M29" s="30" t="str">
        <f t="shared" si="3"/>
        <v/>
      </c>
      <c r="N29" s="30" t="str">
        <f t="shared" si="3"/>
        <v/>
      </c>
      <c r="O29" t="str">
        <f t="shared" si="4"/>
        <v>Event_28</v>
      </c>
    </row>
  </sheetData>
  <sheetProtection formatCells="0" formatColumns="0" formatRows="0" insertColumns="0" insertRows="0" insertHyperlinks="0" deleteColumns="0" deleteRows="0" pivotTables="0"/>
  <conditionalFormatting sqref="B2:B29">
    <cfRule type="expression" dxfId="87" priority="2">
      <formula>NOT(YEAR(B2)=CompetitionYear)</formula>
    </cfRule>
  </conditionalFormatting>
  <conditionalFormatting sqref="K2:L31">
    <cfRule type="expression" dxfId="86"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6" workbookViewId="0">
      <selection activeCell="C106" sqref="C10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700</v>
      </c>
      <c r="B6" t="s">
        <v>695</v>
      </c>
      <c r="C6" s="36" t="str">
        <f t="shared" si="0"/>
        <v>Ali Nurgat (BOB CC)</v>
      </c>
    </row>
    <row r="7" spans="1:8" ht="14.25">
      <c r="A7" t="s">
        <v>595</v>
      </c>
      <c r="B7" t="s">
        <v>695</v>
      </c>
      <c r="C7" s="36" t="str">
        <f t="shared" si="0"/>
        <v>Mohammed Nurgat (BOB CC)</v>
      </c>
    </row>
    <row r="8" spans="1:8" ht="14.25">
      <c r="A8" t="s">
        <v>644</v>
      </c>
      <c r="B8" t="s">
        <v>695</v>
      </c>
      <c r="C8" s="36" t="str">
        <f t="shared" si="0"/>
        <v>Shareeq S. Shaikh (BOB CC)</v>
      </c>
    </row>
    <row r="9" spans="1:8" ht="14.25">
      <c r="A9" t="s">
        <v>649</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724</v>
      </c>
      <c r="B12" t="s">
        <v>478</v>
      </c>
      <c r="C12" s="36" t="str">
        <f t="shared" si="0"/>
        <v>Alex Williamson (Cov Tri)</v>
      </c>
    </row>
    <row r="13" spans="1:8" ht="14.25">
      <c r="A13" t="s">
        <v>725</v>
      </c>
      <c r="B13" t="s">
        <v>478</v>
      </c>
      <c r="C13" s="36" t="str">
        <f t="shared" si="0"/>
        <v>David Melhuish (Cov Tri)</v>
      </c>
    </row>
    <row r="14" spans="1:8" ht="14.25">
      <c r="A14" t="s">
        <v>477</v>
      </c>
      <c r="B14" t="s">
        <v>478</v>
      </c>
      <c r="C14" s="36" t="str">
        <f t="shared" si="0"/>
        <v>Jayne Mumford (W) (Cov Tri)</v>
      </c>
      <c r="D14" t="s">
        <v>372</v>
      </c>
    </row>
    <row r="15" spans="1:8" ht="14.25">
      <c r="A15" t="s">
        <v>479</v>
      </c>
      <c r="B15" t="s">
        <v>478</v>
      </c>
      <c r="C15" s="36" t="str">
        <f t="shared" si="0"/>
        <v>Simon Clarke (Cov Tri)</v>
      </c>
    </row>
    <row r="16" spans="1:8" ht="14.25">
      <c r="A16" t="s">
        <v>480</v>
      </c>
      <c r="B16" t="s">
        <v>481</v>
      </c>
      <c r="C16" s="36" t="str">
        <f t="shared" si="0"/>
        <v>Lydia Baxter (FTP Fusion)</v>
      </c>
      <c r="D16" t="s">
        <v>372</v>
      </c>
    </row>
    <row r="17" spans="1:4" ht="14.25">
      <c r="A17" t="s">
        <v>650</v>
      </c>
      <c r="B17" t="s">
        <v>648</v>
      </c>
      <c r="C17" s="36" t="str">
        <f t="shared" si="0"/>
        <v>Muhammad Sheikh (Gapped RT)</v>
      </c>
    </row>
    <row r="18" spans="1:4" ht="14.25">
      <c r="A18" t="s">
        <v>647</v>
      </c>
      <c r="B18" t="s">
        <v>648</v>
      </c>
      <c r="C18" s="36" t="str">
        <f t="shared" si="0"/>
        <v>Umair Nurgat (Gapped RT)</v>
      </c>
    </row>
    <row r="19" spans="1:4" ht="14.25">
      <c r="A19" t="s">
        <v>482</v>
      </c>
      <c r="B19" t="s">
        <v>397</v>
      </c>
      <c r="C19" s="36" t="str">
        <f t="shared" si="0"/>
        <v>Andy Thomas (HCRC)</v>
      </c>
    </row>
    <row r="20" spans="1:4" ht="14.25">
      <c r="A20" t="s">
        <v>483</v>
      </c>
      <c r="B20" t="s">
        <v>397</v>
      </c>
      <c r="C20" s="36" t="str">
        <f t="shared" si="0"/>
        <v>Colin Parkinson (SWRC) (HCRC)</v>
      </c>
    </row>
    <row r="21" spans="1:4" ht="14.25">
      <c r="A21" t="s">
        <v>705</v>
      </c>
      <c r="B21" t="s">
        <v>397</v>
      </c>
      <c r="C21" s="36" t="str">
        <f t="shared" si="0"/>
        <v>Joe Murray (M.I. Racing) (HCRC)</v>
      </c>
    </row>
    <row r="22" spans="1:4" ht="14.25">
      <c r="A22" t="s">
        <v>706</v>
      </c>
      <c r="B22" t="s">
        <v>397</v>
      </c>
      <c r="C22" s="36" t="str">
        <f t="shared" si="0"/>
        <v>Mick Wills (M.I. Racing) (HCRC)</v>
      </c>
    </row>
    <row r="23" spans="1:4" ht="14.25">
      <c r="A23" t="s">
        <v>484</v>
      </c>
      <c r="B23" t="s">
        <v>391</v>
      </c>
      <c r="C23" s="36" t="str">
        <f t="shared" si="0"/>
        <v>Andy King (KCC)</v>
      </c>
    </row>
    <row r="24" spans="1:4" ht="14.25">
      <c r="A24" t="s">
        <v>596</v>
      </c>
      <c r="B24" t="s">
        <v>391</v>
      </c>
      <c r="C24" s="36" t="str">
        <f t="shared" si="0"/>
        <v>Evan Collett (G Fox) (KCC)</v>
      </c>
    </row>
    <row r="25" spans="1:4" ht="14.25">
      <c r="A25" t="s">
        <v>628</v>
      </c>
      <c r="B25" t="s">
        <v>391</v>
      </c>
      <c r="C25" s="36" t="str">
        <f t="shared" si="0"/>
        <v>Ian Bird (KCC)</v>
      </c>
    </row>
    <row r="26" spans="1:4" ht="14.25">
      <c r="A26" t="s">
        <v>485</v>
      </c>
      <c r="B26" t="s">
        <v>391</v>
      </c>
      <c r="C26" s="36" t="str">
        <f t="shared" si="0"/>
        <v>Josh Brown (KCC)</v>
      </c>
    </row>
    <row r="27" spans="1:4" ht="14.25">
      <c r="A27" t="s">
        <v>589</v>
      </c>
      <c r="B27" t="s">
        <v>391</v>
      </c>
      <c r="C27" s="36" t="str">
        <f t="shared" si="0"/>
        <v>Maria Cayford (KCC)</v>
      </c>
      <c r="D27" t="s">
        <v>372</v>
      </c>
    </row>
    <row r="28" spans="1:4" ht="14.25">
      <c r="A28" t="s">
        <v>627</v>
      </c>
      <c r="B28" t="s">
        <v>391</v>
      </c>
      <c r="C28" s="36" t="str">
        <f t="shared" si="0"/>
        <v>Michael Wheeler (KCC)</v>
      </c>
    </row>
    <row r="29" spans="1:4" ht="14.25">
      <c r="A29" t="s">
        <v>486</v>
      </c>
      <c r="B29" t="s">
        <v>400</v>
      </c>
      <c r="C29" s="36" t="str">
        <f t="shared" si="0"/>
        <v>Harriet Hughes (LFCC)</v>
      </c>
      <c r="D29" t="s">
        <v>372</v>
      </c>
    </row>
    <row r="30" spans="1:4" ht="14.25">
      <c r="A30" t="s">
        <v>640</v>
      </c>
      <c r="B30" t="s">
        <v>400</v>
      </c>
      <c r="C30" s="36" t="str">
        <f t="shared" si="0"/>
        <v>Jeff Jones (LFCC)</v>
      </c>
    </row>
    <row r="31" spans="1:4" ht="14.25">
      <c r="A31" t="s">
        <v>641</v>
      </c>
      <c r="B31" t="s">
        <v>400</v>
      </c>
      <c r="C31" s="36" t="str">
        <f t="shared" si="0"/>
        <v>Joshua Jones (LFCC)</v>
      </c>
    </row>
    <row r="32" spans="1:4" ht="14.25">
      <c r="A32" t="s">
        <v>487</v>
      </c>
      <c r="B32" t="s">
        <v>400</v>
      </c>
      <c r="C32" s="36" t="str">
        <f t="shared" si="0"/>
        <v>Mat Mabe (LFCC)</v>
      </c>
    </row>
    <row r="33" spans="1:4" ht="14.25">
      <c r="A33" t="s">
        <v>488</v>
      </c>
      <c r="B33" t="s">
        <v>400</v>
      </c>
      <c r="C33" s="36" t="str">
        <f t="shared" si="0"/>
        <v>Matt Finch (LFCC)</v>
      </c>
    </row>
    <row r="34" spans="1:4" ht="14.25">
      <c r="A34" t="s">
        <v>489</v>
      </c>
      <c r="B34" t="s">
        <v>400</v>
      </c>
      <c r="C34" s="36" t="str">
        <f t="shared" si="0"/>
        <v>Morris Mabe (LFCC)</v>
      </c>
    </row>
    <row r="35" spans="1:4" ht="14.25">
      <c r="A35" t="s">
        <v>490</v>
      </c>
      <c r="B35" t="s">
        <v>400</v>
      </c>
      <c r="C35" s="36" t="str">
        <f t="shared" si="0"/>
        <v>Sam Nettel (LFCC)</v>
      </c>
    </row>
    <row r="36" spans="1:4" ht="14.25">
      <c r="A36" t="s">
        <v>642</v>
      </c>
      <c r="B36" t="s">
        <v>400</v>
      </c>
      <c r="C36" s="36" t="str">
        <f t="shared" ref="C36:C67" si="1">IF(ISBLANK(B36),IF(ISBLANK(A36),"",A36),_xlfn.CONCAT(A36," (",B36,")"))</f>
        <v>Simon Jones (LFCC)</v>
      </c>
    </row>
    <row r="37" spans="1:4" ht="14.25">
      <c r="A37" t="s">
        <v>696</v>
      </c>
      <c r="B37" t="s">
        <v>400</v>
      </c>
      <c r="C37" s="36" t="str">
        <f t="shared" si="1"/>
        <v>Steve Walsh (LFCC)</v>
      </c>
    </row>
    <row r="38" spans="1:4" ht="14.25">
      <c r="A38" t="s">
        <v>491</v>
      </c>
      <c r="B38" t="s">
        <v>400</v>
      </c>
      <c r="C38" s="36" t="str">
        <f t="shared" si="1"/>
        <v>Talles Medevives (LFCC)</v>
      </c>
    </row>
    <row r="39" spans="1:4" ht="14.25">
      <c r="A39" t="s">
        <v>492</v>
      </c>
      <c r="B39" t="s">
        <v>493</v>
      </c>
      <c r="C39" s="36" t="str">
        <f t="shared" si="1"/>
        <v>Dean Tacey (LRC)</v>
      </c>
    </row>
    <row r="40" spans="1:4" ht="14.25">
      <c r="A40" t="s">
        <v>723</v>
      </c>
      <c r="B40" t="s">
        <v>707</v>
      </c>
      <c r="C40" s="36" t="str">
        <f t="shared" si="1"/>
        <v>Mark Wise (M.I. Racing)</v>
      </c>
    </row>
    <row r="41" spans="1:4" ht="14.25">
      <c r="A41" t="s">
        <v>704</v>
      </c>
      <c r="B41" t="s">
        <v>707</v>
      </c>
      <c r="C41" s="36" t="str">
        <f t="shared" si="1"/>
        <v>Zoe Shepherd (M.I. Racing)</v>
      </c>
    </row>
    <row r="42" spans="1:4" ht="14.25">
      <c r="A42" t="s">
        <v>494</v>
      </c>
      <c r="B42" t="s">
        <v>495</v>
      </c>
      <c r="C42" s="36" t="str">
        <f t="shared" si="1"/>
        <v>Chris Booth (MOCC)</v>
      </c>
    </row>
    <row r="43" spans="1:4" ht="14.25">
      <c r="A43" t="s">
        <v>496</v>
      </c>
      <c r="B43" t="s">
        <v>495</v>
      </c>
      <c r="C43" s="36" t="str">
        <f t="shared" si="1"/>
        <v>David Cooper (MOCC)</v>
      </c>
    </row>
    <row r="44" spans="1:4" ht="14.25">
      <c r="A44" t="s">
        <v>497</v>
      </c>
      <c r="B44" t="s">
        <v>495</v>
      </c>
      <c r="C44" s="36" t="str">
        <f t="shared" si="1"/>
        <v>Jamie Haines (MOCC)</v>
      </c>
    </row>
    <row r="45" spans="1:4" ht="14.25">
      <c r="A45" t="s">
        <v>701</v>
      </c>
      <c r="B45" t="s">
        <v>495</v>
      </c>
      <c r="C45" s="36" t="str">
        <f t="shared" si="1"/>
        <v>Laura Ayres (MOCC)</v>
      </c>
      <c r="D45" t="s">
        <v>372</v>
      </c>
    </row>
    <row r="46" spans="1:4" ht="14.25">
      <c r="A46" t="s">
        <v>499</v>
      </c>
      <c r="B46" t="s">
        <v>500</v>
      </c>
      <c r="C46" s="36" t="str">
        <f t="shared" si="1"/>
        <v>Lewis Cooper (RAF Tri)</v>
      </c>
    </row>
    <row r="47" spans="1:4" ht="14.25">
      <c r="A47" t="s">
        <v>501</v>
      </c>
      <c r="B47" t="s">
        <v>394</v>
      </c>
      <c r="C47" s="36" t="str">
        <f t="shared" si="1"/>
        <v>Alex Whitmore (Ratae)</v>
      </c>
    </row>
    <row r="48" spans="1:4" ht="14.25">
      <c r="A48" t="s">
        <v>502</v>
      </c>
      <c r="B48" t="s">
        <v>394</v>
      </c>
      <c r="C48" s="36" t="str">
        <f t="shared" si="1"/>
        <v>Brian Lincoln (Ratae)</v>
      </c>
    </row>
    <row r="49" spans="1:4" ht="14.25">
      <c r="A49" t="s">
        <v>664</v>
      </c>
      <c r="B49" t="s">
        <v>394</v>
      </c>
      <c r="C49" s="36" t="str">
        <f t="shared" si="1"/>
        <v>Brigitte Gaillard (Ratae)</v>
      </c>
      <c r="D49" t="s">
        <v>372</v>
      </c>
    </row>
    <row r="50" spans="1:4" ht="14.25">
      <c r="A50" t="s">
        <v>503</v>
      </c>
      <c r="B50" t="s">
        <v>394</v>
      </c>
      <c r="C50" s="36" t="str">
        <f t="shared" si="1"/>
        <v>Chris Bonsor (Ratae)</v>
      </c>
    </row>
    <row r="51" spans="1:4" ht="14.25">
      <c r="A51" t="s">
        <v>504</v>
      </c>
      <c r="B51" t="s">
        <v>394</v>
      </c>
      <c r="C51" s="36" t="str">
        <f t="shared" si="1"/>
        <v>Chris Spray (Ratae)</v>
      </c>
    </row>
    <row r="52" spans="1:4" ht="14.25">
      <c r="A52" t="s">
        <v>505</v>
      </c>
      <c r="B52" t="s">
        <v>394</v>
      </c>
      <c r="C52" s="36" t="str">
        <f t="shared" si="1"/>
        <v>Debbie Cooper (Ratae)</v>
      </c>
      <c r="D52" t="s">
        <v>372</v>
      </c>
    </row>
    <row r="53" spans="1:4" ht="14.25">
      <c r="A53" t="s">
        <v>506</v>
      </c>
      <c r="B53" t="s">
        <v>394</v>
      </c>
      <c r="C53" s="36" t="str">
        <f t="shared" si="1"/>
        <v>Ed Watson (Ratae)</v>
      </c>
    </row>
    <row r="54" spans="1:4" ht="14.25">
      <c r="A54" t="s">
        <v>581</v>
      </c>
      <c r="B54" s="63" t="s">
        <v>394</v>
      </c>
      <c r="C54" s="36" t="str">
        <f t="shared" si="1"/>
        <v>Geoff Stanbridge (Ratae)</v>
      </c>
    </row>
    <row r="55" spans="1:4" ht="14.25">
      <c r="A55" t="s">
        <v>507</v>
      </c>
      <c r="B55" t="s">
        <v>394</v>
      </c>
      <c r="C55" s="36" t="str">
        <f t="shared" si="1"/>
        <v>Jonathon Clarke (Ratae)</v>
      </c>
      <c r="D55" s="36"/>
    </row>
    <row r="56" spans="1:4" ht="14.25">
      <c r="A56" t="s">
        <v>651</v>
      </c>
      <c r="B56" t="s">
        <v>394</v>
      </c>
      <c r="C56" s="36" t="str">
        <f t="shared" si="1"/>
        <v>Karl Williams (Ratae)</v>
      </c>
    </row>
    <row r="57" spans="1:4" ht="14.25">
      <c r="A57" t="s">
        <v>508</v>
      </c>
      <c r="B57" t="s">
        <v>394</v>
      </c>
      <c r="C57" s="36" t="str">
        <f t="shared" si="1"/>
        <v>Lesley Allden (Ratae)</v>
      </c>
      <c r="D57" t="s">
        <v>372</v>
      </c>
    </row>
    <row r="58" spans="1:4" ht="14.25">
      <c r="A58" t="s">
        <v>509</v>
      </c>
      <c r="B58" t="s">
        <v>394</v>
      </c>
      <c r="C58" s="36" t="str">
        <f t="shared" si="1"/>
        <v>Lucy Sturgess (Ratae)</v>
      </c>
      <c r="D58" t="s">
        <v>372</v>
      </c>
    </row>
    <row r="59" spans="1:4" ht="14.25">
      <c r="A59" t="s">
        <v>510</v>
      </c>
      <c r="B59" t="s">
        <v>394</v>
      </c>
      <c r="C59" s="36" t="str">
        <f t="shared" si="1"/>
        <v>Mark Marmoy (Ratae)</v>
      </c>
    </row>
    <row r="60" spans="1:4" ht="14.25">
      <c r="A60" t="s">
        <v>511</v>
      </c>
      <c r="B60" t="s">
        <v>394</v>
      </c>
      <c r="C60" s="36" t="str">
        <f t="shared" si="1"/>
        <v>Mark Newton (Ratae)</v>
      </c>
    </row>
    <row r="61" spans="1:4" ht="14.25">
      <c r="A61" t="s">
        <v>512</v>
      </c>
      <c r="B61" t="s">
        <v>394</v>
      </c>
      <c r="C61" s="36" t="str">
        <f t="shared" si="1"/>
        <v>Marshall Briggs (Ratae)</v>
      </c>
    </row>
    <row r="62" spans="1:4" ht="14.25">
      <c r="A62" t="s">
        <v>513</v>
      </c>
      <c r="B62" t="s">
        <v>394</v>
      </c>
      <c r="C62" s="36" t="str">
        <f t="shared" si="1"/>
        <v>Natalie Harris (Ratae)</v>
      </c>
      <c r="D62" t="s">
        <v>372</v>
      </c>
    </row>
    <row r="63" spans="1:4" ht="14.25">
      <c r="A63" t="s">
        <v>514</v>
      </c>
      <c r="B63" t="s">
        <v>394</v>
      </c>
      <c r="C63" s="36" t="str">
        <f t="shared" si="1"/>
        <v>Paul Eden (Ratae)</v>
      </c>
    </row>
    <row r="64" spans="1:4" ht="14.25">
      <c r="A64" t="s">
        <v>665</v>
      </c>
      <c r="B64" t="s">
        <v>394</v>
      </c>
      <c r="C64" s="36" t="str">
        <f t="shared" si="1"/>
        <v>Peter Kott (Ratae)</v>
      </c>
    </row>
    <row r="65" spans="1:4" ht="14.25">
      <c r="A65" t="s">
        <v>515</v>
      </c>
      <c r="B65" t="s">
        <v>394</v>
      </c>
      <c r="C65" s="36" t="str">
        <f t="shared" si="1"/>
        <v>Sadie Murphy (Ratae)</v>
      </c>
      <c r="D65" t="s">
        <v>372</v>
      </c>
    </row>
    <row r="66" spans="1:4" ht="14.25">
      <c r="A66" t="s">
        <v>516</v>
      </c>
      <c r="B66" t="s">
        <v>394</v>
      </c>
      <c r="C66" s="36" t="str">
        <f t="shared" si="1"/>
        <v>Steve Pearce (Ratae)</v>
      </c>
    </row>
    <row r="67" spans="1:4" ht="14.25">
      <c r="A67" t="s">
        <v>643</v>
      </c>
      <c r="B67" t="s">
        <v>394</v>
      </c>
      <c r="C67" s="36" t="str">
        <f t="shared" si="1"/>
        <v>Sue Bonsor (Ratae)</v>
      </c>
      <c r="D67" t="s">
        <v>372</v>
      </c>
    </row>
    <row r="68" spans="1:4" ht="14.25">
      <c r="A68" t="s">
        <v>517</v>
      </c>
      <c r="B68" t="s">
        <v>385</v>
      </c>
      <c r="C68" s="36" t="str">
        <f t="shared" ref="C68:C99" si="2">IF(ISBLANK(B68),IF(ISBLANK(A68),"",A68),_xlfn.CONCAT(A68," (",B68,")"))</f>
        <v>Adam Wells (RFW)</v>
      </c>
    </row>
    <row r="69" spans="1:4" ht="14.25">
      <c r="A69" t="s">
        <v>593</v>
      </c>
      <c r="B69" t="s">
        <v>385</v>
      </c>
      <c r="C69" s="36" t="str">
        <f t="shared" si="2"/>
        <v>Alex Barrowman (RFW)</v>
      </c>
    </row>
    <row r="70" spans="1:4" ht="14.25">
      <c r="A70" t="s">
        <v>518</v>
      </c>
      <c r="B70" t="s">
        <v>385</v>
      </c>
      <c r="C70" s="36" t="str">
        <f t="shared" si="2"/>
        <v>Anne Gilhespy (RFW)</v>
      </c>
      <c r="D70" t="s">
        <v>372</v>
      </c>
    </row>
    <row r="71" spans="1:4" ht="14.25">
      <c r="A71" t="s">
        <v>519</v>
      </c>
      <c r="B71" t="s">
        <v>385</v>
      </c>
      <c r="C71" s="36" t="str">
        <f t="shared" si="2"/>
        <v>Chris Fowler (RFW)</v>
      </c>
    </row>
    <row r="72" spans="1:4" ht="14.25">
      <c r="A72" t="s">
        <v>520</v>
      </c>
      <c r="B72" t="s">
        <v>385</v>
      </c>
      <c r="C72" s="36" t="str">
        <f t="shared" si="2"/>
        <v>Dan Hempkin (RFW)</v>
      </c>
    </row>
    <row r="73" spans="1:4" ht="14.25">
      <c r="A73" t="s">
        <v>521</v>
      </c>
      <c r="B73" t="s">
        <v>385</v>
      </c>
      <c r="C73" s="36" t="str">
        <f t="shared" si="2"/>
        <v>David Hill (RFW)</v>
      </c>
    </row>
    <row r="74" spans="1:4" ht="14.25">
      <c r="A74" t="s">
        <v>636</v>
      </c>
      <c r="B74" t="s">
        <v>385</v>
      </c>
      <c r="C74" s="36" t="str">
        <f t="shared" si="2"/>
        <v>Ethan Mitchell-Clarke (Team Bottrill Nopinz) (RFW)</v>
      </c>
    </row>
    <row r="75" spans="1:4" ht="14.25">
      <c r="A75" t="s">
        <v>522</v>
      </c>
      <c r="B75" t="s">
        <v>385</v>
      </c>
      <c r="C75" s="36" t="str">
        <f t="shared" si="2"/>
        <v>Giles Cooper (RFW)</v>
      </c>
    </row>
    <row r="76" spans="1:4" ht="14.25">
      <c r="A76" t="s">
        <v>588</v>
      </c>
      <c r="B76" t="s">
        <v>385</v>
      </c>
      <c r="C76" s="36" t="str">
        <f t="shared" si="2"/>
        <v>Graeme Hall (RFW)</v>
      </c>
    </row>
    <row r="77" spans="1:4" ht="14.25">
      <c r="A77" t="s">
        <v>523</v>
      </c>
      <c r="B77" t="s">
        <v>385</v>
      </c>
      <c r="C77" s="36" t="str">
        <f t="shared" si="2"/>
        <v>Gregg Payne (RFW)</v>
      </c>
    </row>
    <row r="78" spans="1:4" ht="14.25">
      <c r="A78" t="s">
        <v>592</v>
      </c>
      <c r="B78" t="s">
        <v>385</v>
      </c>
      <c r="C78" s="36" t="str">
        <f t="shared" si="2"/>
        <v>Hudson Hendry (Ride Revolution) (RFW)</v>
      </c>
    </row>
    <row r="79" spans="1:4" ht="14.25">
      <c r="A79" t="s">
        <v>594</v>
      </c>
      <c r="B79" t="s">
        <v>385</v>
      </c>
      <c r="C79" s="36" t="str">
        <f t="shared" si="2"/>
        <v>Laurence Noble (RFW)</v>
      </c>
    </row>
    <row r="80" spans="1:4" ht="14.25">
      <c r="A80" t="s">
        <v>524</v>
      </c>
      <c r="B80" t="s">
        <v>385</v>
      </c>
      <c r="C80" s="36" t="str">
        <f t="shared" si="2"/>
        <v>Lynne Scofield (RFW)</v>
      </c>
      <c r="D80" t="s">
        <v>372</v>
      </c>
    </row>
    <row r="81" spans="1:4" ht="14.25">
      <c r="A81" t="s">
        <v>525</v>
      </c>
      <c r="B81" t="s">
        <v>385</v>
      </c>
      <c r="C81" s="36" t="str">
        <f t="shared" si="2"/>
        <v>Lynne Wilkinson-Scofield (RFW)</v>
      </c>
      <c r="D81" t="s">
        <v>372</v>
      </c>
    </row>
    <row r="82" spans="1:4" ht="14.25">
      <c r="A82" t="s">
        <v>526</v>
      </c>
      <c r="B82" t="s">
        <v>385</v>
      </c>
      <c r="C82" s="36" t="str">
        <f t="shared" si="2"/>
        <v>Michael Carter (RFW)</v>
      </c>
    </row>
    <row r="83" spans="1:4" ht="14.25">
      <c r="A83" s="63" t="s">
        <v>577</v>
      </c>
      <c r="B83" t="s">
        <v>385</v>
      </c>
      <c r="C83" s="36" t="str">
        <f t="shared" si="2"/>
        <v>Mike Deely (G Fox) (RFW)</v>
      </c>
    </row>
    <row r="84" spans="1:4" ht="14.25">
      <c r="A84" t="s">
        <v>514</v>
      </c>
      <c r="B84" t="s">
        <v>385</v>
      </c>
      <c r="C84" s="36" t="str">
        <f t="shared" si="2"/>
        <v>Paul Eden (RFW)</v>
      </c>
    </row>
    <row r="85" spans="1:4" ht="14.25">
      <c r="A85" t="s">
        <v>527</v>
      </c>
      <c r="B85" t="s">
        <v>385</v>
      </c>
      <c r="C85" s="36" t="str">
        <f t="shared" si="2"/>
        <v>Paul Russell (RFW)</v>
      </c>
    </row>
    <row r="86" spans="1:4" ht="14.25">
      <c r="A86" t="s">
        <v>528</v>
      </c>
      <c r="B86" t="s">
        <v>385</v>
      </c>
      <c r="C86" s="36" t="str">
        <f t="shared" si="2"/>
        <v>Paul Ryan (RFW)</v>
      </c>
    </row>
    <row r="87" spans="1:4" ht="14.25">
      <c r="A87" t="s">
        <v>637</v>
      </c>
      <c r="B87" t="s">
        <v>385</v>
      </c>
      <c r="C87" s="36" t="str">
        <f t="shared" si="2"/>
        <v>Pete Bradshaw (RFW)</v>
      </c>
    </row>
    <row r="88" spans="1:4" ht="14.25">
      <c r="A88" t="s">
        <v>529</v>
      </c>
      <c r="B88" t="s">
        <v>385</v>
      </c>
      <c r="C88" s="36" t="str">
        <f t="shared" si="2"/>
        <v>Phil Wilkinson (RFW)</v>
      </c>
    </row>
    <row r="89" spans="1:4" ht="14.25">
      <c r="A89" t="s">
        <v>590</v>
      </c>
      <c r="B89" t="s">
        <v>385</v>
      </c>
      <c r="C89" s="36" t="str">
        <f t="shared" si="2"/>
        <v>Steve Coombs (RFW)</v>
      </c>
    </row>
    <row r="90" spans="1:4" ht="14.25">
      <c r="A90" t="s">
        <v>591</v>
      </c>
      <c r="B90" t="s">
        <v>385</v>
      </c>
      <c r="C90" s="36" t="str">
        <f t="shared" si="2"/>
        <v>Steve Wickham (RFW)</v>
      </c>
    </row>
    <row r="91" spans="1:4" ht="14.25">
      <c r="A91" t="s">
        <v>531</v>
      </c>
      <c r="B91" t="s">
        <v>532</v>
      </c>
      <c r="C91" s="36" t="str">
        <f t="shared" si="2"/>
        <v>Adrian James (Rugby RCC)</v>
      </c>
    </row>
    <row r="92" spans="1:4" ht="14.25">
      <c r="A92" t="s">
        <v>533</v>
      </c>
      <c r="B92" t="s">
        <v>534</v>
      </c>
      <c r="C92" s="36" t="str">
        <f t="shared" si="2"/>
        <v>Carl Shaw (Speedhub)</v>
      </c>
    </row>
    <row r="93" spans="1:4" ht="14.25">
      <c r="A93" t="s">
        <v>697</v>
      </c>
      <c r="B93" t="s">
        <v>534</v>
      </c>
      <c r="C93" s="36" t="str">
        <f t="shared" si="2"/>
        <v>Tom Swan (Speedhub)</v>
      </c>
    </row>
    <row r="94" spans="1:4" ht="14.25">
      <c r="A94" t="s">
        <v>535</v>
      </c>
      <c r="B94" t="s">
        <v>536</v>
      </c>
      <c r="C94" s="36" t="str">
        <f t="shared" si="2"/>
        <v>Oliver Searle (St Ives CC)</v>
      </c>
    </row>
    <row r="95" spans="1:4" ht="14.25">
      <c r="A95" t="s">
        <v>698</v>
      </c>
      <c r="B95" t="s">
        <v>699</v>
      </c>
      <c r="C95" s="36" t="str">
        <f t="shared" si="2"/>
        <v>Tom Scott-Collins (Velo Elite)</v>
      </c>
    </row>
    <row r="96" spans="1:4" ht="14.25">
      <c r="A96" t="s">
        <v>702</v>
      </c>
      <c r="B96" t="s">
        <v>703</v>
      </c>
      <c r="C96" s="36" t="str">
        <f t="shared" si="2"/>
        <v>Paul Akroyd (VTTA E.Mids)</v>
      </c>
    </row>
    <row r="97" spans="1:4" ht="14.25">
      <c r="A97" t="s">
        <v>634</v>
      </c>
      <c r="B97" t="s">
        <v>388</v>
      </c>
      <c r="C97" s="36" t="str">
        <f t="shared" si="2"/>
        <v>Ed Tarelli (Race Hub) (WVCC)</v>
      </c>
      <c r="D97" s="36"/>
    </row>
    <row r="98" spans="1:4" ht="14.25">
      <c r="A98" t="s">
        <v>633</v>
      </c>
      <c r="B98" t="s">
        <v>388</v>
      </c>
      <c r="C98" s="36" t="str">
        <f t="shared" si="2"/>
        <v>Jamie Kershaw (Beeston CC) (WVCC)</v>
      </c>
    </row>
    <row r="99" spans="1:4" ht="14.25">
      <c r="A99" t="s">
        <v>635</v>
      </c>
      <c r="B99" t="s">
        <v>388</v>
      </c>
      <c r="C99" s="36" t="str">
        <f t="shared" si="2"/>
        <v>Jennifer Clegg (Team Bottrill Nopinz) (WVCC)</v>
      </c>
      <c r="D99" t="s">
        <v>372</v>
      </c>
    </row>
    <row r="100" spans="1:4" ht="14.25">
      <c r="A100" t="s">
        <v>631</v>
      </c>
      <c r="B100" t="s">
        <v>388</v>
      </c>
      <c r="C100" s="36" t="str">
        <f>IF(ISBLANK(B100),IF(ISBLANK(A100),"",A100),_xlfn.CONCAT(A100," (",B100,")"))</f>
        <v>Leah Cuthbertson (G Fox) (WVCC)</v>
      </c>
      <c r="D100" t="s">
        <v>372</v>
      </c>
    </row>
    <row r="101" spans="1:4" ht="14.25">
      <c r="A101" t="s">
        <v>632</v>
      </c>
      <c r="B101" t="s">
        <v>388</v>
      </c>
      <c r="C101" s="36" t="str">
        <f>IF(ISBLANK(B101),IF(ISBLANK(A101),"",A101),_xlfn.CONCAT(A101," (",B101,")"))</f>
        <v>Ruby Isaac (CAMS Majaco) (WVCC)</v>
      </c>
      <c r="D101" t="s">
        <v>372</v>
      </c>
    </row>
    <row r="102" spans="1:4" ht="14.25">
      <c r="A102" t="s">
        <v>726</v>
      </c>
      <c r="B102" t="s">
        <v>400</v>
      </c>
      <c r="C102" s="36" t="str">
        <f t="shared" ref="C102:C107" si="3">IF(ISBLANK(B102),IF(ISBLANK(A102),"",A102),_xlfn.CONCAT(A102," (",B102,")"))</f>
        <v>Josh Jones (LFCC)</v>
      </c>
    </row>
    <row r="103" spans="1:4" ht="14.25">
      <c r="A103" t="s">
        <v>727</v>
      </c>
      <c r="B103" t="s">
        <v>707</v>
      </c>
      <c r="C103" s="36" t="str">
        <f t="shared" si="3"/>
        <v>David Mead (M.I. Racing)</v>
      </c>
    </row>
    <row r="104" spans="1:4" ht="14.25">
      <c r="A104" t="s">
        <v>731</v>
      </c>
      <c r="B104" t="s">
        <v>475</v>
      </c>
      <c r="C104" s="36" t="str">
        <f t="shared" si="3"/>
        <v>D Alexander (Coalville Wheelers)</v>
      </c>
    </row>
    <row r="105" spans="1:4" ht="14.25">
      <c r="A105" t="s">
        <v>737</v>
      </c>
      <c r="B105" t="s">
        <v>707</v>
      </c>
      <c r="C105" s="36" t="str">
        <f t="shared" si="3"/>
        <v>Simon Law (M.I. Racing)</v>
      </c>
    </row>
    <row r="106" spans="1:4" ht="14.25">
      <c r="C106" s="36" t="str">
        <f t="shared" si="3"/>
        <v/>
      </c>
    </row>
    <row r="107" spans="1:4" ht="14.25">
      <c r="C107" s="36" t="str">
        <f t="shared" si="3"/>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101">
    <sortCondition ref="B2:B101"/>
    <sortCondition ref="A2:A101"/>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_xlfn.XLOOKUP(C103,Calendar!O:O,Calendar!H:H,"Event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Event_07</v>
      </c>
    </row>
    <row r="104" spans="1:10">
      <c r="B104" t="s">
        <v>554</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Event_08</v>
      </c>
    </row>
    <row r="104" spans="1:10">
      <c r="B104" t="s">
        <v>554</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Event_09</v>
      </c>
    </row>
    <row r="104" spans="1:10">
      <c r="B104" t="s">
        <v>554</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election activeCell="E13" sqref="E13"/>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
        <v>630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Event_15</v>
      </c>
    </row>
    <row r="104" spans="1:10">
      <c r="B104" t="s">
        <v>554</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O19" sqref="O19"/>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 t="shared" ref="B2:B33" si="0">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516</v>
      </c>
      <c r="B3" s="47" t="str">
        <f t="shared" si="0"/>
        <v>Steve Pearce (Ratae)</v>
      </c>
      <c r="C3" s="47" t="s">
        <v>722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512</v>
      </c>
      <c r="B4" s="47" t="str">
        <f t="shared" si="0"/>
        <v>Marshall Briggs (Ratae)</v>
      </c>
      <c r="C4" s="47" t="s">
        <v>716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626</v>
      </c>
      <c r="B5" s="47">
        <f t="shared" si="0"/>
        <v>990</v>
      </c>
      <c r="C5" s="47" t="s">
        <v>717</v>
      </c>
      <c r="D5" s="48"/>
      <c r="E5" s="49">
        <v>31</v>
      </c>
      <c r="F5" s="49">
        <v>35</v>
      </c>
      <c r="G5" s="49" t="s">
        <v>546</v>
      </c>
      <c r="H5" s="49"/>
      <c r="I5" s="50" t="str">
        <f>IF($B5="","",IF($K5="X",B5,CONCATENATE(VLOOKUP(B5,Competitors!$A$2:$I$650,3,FALSE)," ",VLOOKUP(B5,Competitors!$A$2:$I$650,2,FALSE))))</f>
        <v>Jen Hulme</v>
      </c>
      <c r="J5" s="51">
        <f t="shared" si="1"/>
        <v>2.193287037037037E-2</v>
      </c>
      <c r="K5" t="str">
        <f t="shared" si="2"/>
        <v/>
      </c>
    </row>
    <row r="6" spans="1:11" ht="15">
      <c r="A6" s="46" t="s">
        <v>581</v>
      </c>
      <c r="B6" s="47" t="str">
        <f t="shared" si="0"/>
        <v>Geoff Stanbridge (Ratae)</v>
      </c>
      <c r="C6" s="47" t="s">
        <v>718</v>
      </c>
      <c r="D6" s="48"/>
      <c r="E6" s="49">
        <v>37</v>
      </c>
      <c r="F6" s="49">
        <v>13</v>
      </c>
      <c r="G6" s="49" t="s">
        <v>546</v>
      </c>
      <c r="H6" s="49"/>
      <c r="I6" s="50" t="str">
        <f>IF($B6="","",IF($K6="X",B6,CONCATENATE(VLOOKUP(B6,Competitors!$A$2:$I$650,3,FALSE)," ",VLOOKUP(B6,Competitors!$A$2:$I$650,2,FALSE))))</f>
        <v>Geoff Stanbridge (Ratae)</v>
      </c>
      <c r="J6" s="51">
        <f t="shared" si="1"/>
        <v>2.5844907407407407E-2</v>
      </c>
      <c r="K6" t="str">
        <f t="shared" si="2"/>
        <v>X</v>
      </c>
    </row>
    <row r="7" spans="1:11" ht="15">
      <c r="A7" s="46" t="s">
        <v>664</v>
      </c>
      <c r="B7" s="47" t="str">
        <f t="shared" si="0"/>
        <v>Brigitte Gaillard (Ratae)</v>
      </c>
      <c r="C7" s="47" t="s">
        <v>714</v>
      </c>
      <c r="D7" s="48"/>
      <c r="E7" s="49">
        <v>29</v>
      </c>
      <c r="F7" s="49">
        <v>53</v>
      </c>
      <c r="G7" s="49" t="s">
        <v>546</v>
      </c>
      <c r="H7" s="49"/>
      <c r="I7" s="50" t="str">
        <f>IF($B7="","",IF($K7="X",B7,CONCATENATE(VLOOKUP(B7,Competitors!$A$2:$I$650,3,FALSE)," ",VLOOKUP(B7,Competitors!$A$2:$I$650,2,FALSE))))</f>
        <v>Brigitte Gaillard (Ratae)</v>
      </c>
      <c r="J7" s="51">
        <f t="shared" si="1"/>
        <v>2.0752314814814814E-2</v>
      </c>
      <c r="K7" t="str">
        <f t="shared" si="2"/>
        <v>X</v>
      </c>
    </row>
    <row r="8" spans="1:11" ht="15">
      <c r="A8" s="46" t="s">
        <v>696</v>
      </c>
      <c r="B8" s="47" t="str">
        <f t="shared" si="0"/>
        <v>Steve Walsh (LFCC)</v>
      </c>
      <c r="C8" s="47" t="s">
        <v>719</v>
      </c>
      <c r="D8" s="48"/>
      <c r="E8" s="49">
        <v>28</v>
      </c>
      <c r="F8" s="49">
        <v>20</v>
      </c>
      <c r="G8" s="49" t="s">
        <v>546</v>
      </c>
      <c r="H8" s="49"/>
      <c r="I8" s="50" t="str">
        <f>IF($B8="","",IF($K8="X",B8,CONCATENATE(VLOOKUP(B8,Competitors!$A$2:$I$650,3,FALSE)," ",VLOOKUP(B8,Competitors!$A$2:$I$650,2,FALSE))))</f>
        <v>Steve Walsh (LFCC)</v>
      </c>
      <c r="J8" s="51">
        <f t="shared" si="1"/>
        <v>1.9675925925925927E-2</v>
      </c>
      <c r="K8" t="str">
        <f t="shared" si="2"/>
        <v>X</v>
      </c>
    </row>
    <row r="9" spans="1:11" ht="15">
      <c r="A9" s="46" t="s">
        <v>580</v>
      </c>
      <c r="B9" s="47">
        <f t="shared" si="0"/>
        <v>1048</v>
      </c>
      <c r="C9" s="47" t="s">
        <v>720</v>
      </c>
      <c r="D9" s="48"/>
      <c r="E9" s="49">
        <v>28</v>
      </c>
      <c r="F9" s="49">
        <v>46</v>
      </c>
      <c r="G9" s="49" t="s">
        <v>546</v>
      </c>
      <c r="H9" s="49"/>
      <c r="I9" s="50" t="str">
        <f>IF($B9="","",IF($K9="X",B9,CONCATENATE(VLOOKUP(B9,Competitors!$A$2:$I$650,3,FALSE)," ",VLOOKUP(B9,Competitors!$A$2:$I$650,2,FALSE))))</f>
        <v>Andy Smith</v>
      </c>
      <c r="J9" s="51">
        <f t="shared" si="1"/>
        <v>1.9976851851851853E-2</v>
      </c>
      <c r="K9" t="str">
        <f t="shared" si="2"/>
        <v/>
      </c>
    </row>
    <row r="10" spans="1:11" ht="15">
      <c r="A10" s="46" t="s">
        <v>705</v>
      </c>
      <c r="B10" s="47" t="str">
        <f t="shared" si="0"/>
        <v>Joe Murray (M.I. Racing) (HCRC)</v>
      </c>
      <c r="C10" s="47" t="s">
        <v>721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740</v>
      </c>
      <c r="D12" s="48"/>
      <c r="E12" s="49">
        <v>28</v>
      </c>
      <c r="F12" s="49">
        <v>8</v>
      </c>
      <c r="G12" s="49" t="s">
        <v>546</v>
      </c>
      <c r="H12" s="49"/>
      <c r="I12" s="50" t="str">
        <f>IF($B12="","",IF($K12="X",B12,CONCATENATE(VLOOKUP(B12,Competitors!$A$2:$I$650,3,FALSE)," ",VLOOKUP(B12,Competitors!$A$2:$I$650,2,FALSE))))</f>
        <v>Mea Moore</v>
      </c>
      <c r="J12" s="51">
        <f t="shared" si="1"/>
        <v>1.9537037037037037E-2</v>
      </c>
      <c r="K12" t="str">
        <f t="shared" si="2"/>
        <v/>
      </c>
    </row>
    <row r="13" spans="1:11" ht="15">
      <c r="A13" s="46" t="s">
        <v>502</v>
      </c>
      <c r="B13" s="47" t="str">
        <f t="shared" si="0"/>
        <v>Brian Lincoln (Ratae)</v>
      </c>
      <c r="C13" s="47" t="s">
        <v>676</v>
      </c>
      <c r="D13" s="48"/>
      <c r="E13" s="49">
        <v>29</v>
      </c>
      <c r="F13" s="49">
        <v>33</v>
      </c>
      <c r="G13" s="49" t="s">
        <v>546</v>
      </c>
      <c r="H13" s="49"/>
      <c r="I13" s="50" t="str">
        <f>IF($B13="","",IF($K13="X",B13,CONCATENATE(VLOOKUP(B13,Competitors!$A$2:$I$650,3,FALSE)," ",VLOOKUP(B13,Competitors!$A$2:$I$650,2,FALSE))))</f>
        <v>Brian Lincoln (Ratae)</v>
      </c>
      <c r="J13" s="51">
        <f t="shared" si="1"/>
        <v>2.0520833333333332E-2</v>
      </c>
      <c r="K13" t="str">
        <f t="shared" si="2"/>
        <v>X</v>
      </c>
    </row>
    <row r="14" spans="1:11" ht="15">
      <c r="A14" s="46" t="s">
        <v>494</v>
      </c>
      <c r="B14" s="47" t="str">
        <f t="shared" si="0"/>
        <v>Chris Booth (MOCC)</v>
      </c>
      <c r="C14" s="47" t="s">
        <v>677</v>
      </c>
      <c r="D14" s="48"/>
      <c r="E14" s="49">
        <v>24</v>
      </c>
      <c r="F14" s="49">
        <v>20</v>
      </c>
      <c r="G14" s="49" t="s">
        <v>546</v>
      </c>
      <c r="H14" s="49"/>
      <c r="I14" s="50" t="str">
        <f>IF($B14="","",IF($K14="X",B14,CONCATENATE(VLOOKUP(B14,Competitors!$A$2:$I$650,3,FALSE)," ",VLOOKUP(B14,Competitors!$A$2:$I$650,2,FALSE))))</f>
        <v>Chris Booth (MOCC)</v>
      </c>
      <c r="J14" s="51">
        <f t="shared" si="1"/>
        <v>1.6898148148148148E-2</v>
      </c>
      <c r="K14" t="str">
        <f t="shared" si="2"/>
        <v>X</v>
      </c>
    </row>
    <row r="15" spans="1:11" ht="15">
      <c r="A15" s="46" t="s">
        <v>511</v>
      </c>
      <c r="B15" s="47" t="str">
        <f t="shared" si="0"/>
        <v>Mark Newton (Ratae)</v>
      </c>
      <c r="C15" s="47" t="s">
        <v>678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679</v>
      </c>
      <c r="D16" s="48"/>
      <c r="E16" s="49"/>
      <c r="F16" s="49"/>
      <c r="G16" s="49"/>
      <c r="H16" s="49" t="s">
        <v>555</v>
      </c>
      <c r="I16" s="50" t="str">
        <f>IF($B16="","",IF($K16="X",B16,CONCATENATE(VLOOKUP(B16,Competitors!$A$2:$I$650,3,FALSE)," ",VLOOKUP(B16,Competitors!$A$2:$I$650,2,FALSE))))</f>
        <v>Gary Ashwell</v>
      </c>
      <c r="J16" s="51">
        <f t="shared" si="1"/>
        <v>0</v>
      </c>
      <c r="K16" t="str">
        <f t="shared" si="2"/>
        <v/>
      </c>
    </row>
    <row r="17" spans="1:11" ht="15">
      <c r="A17" s="46" t="s">
        <v>531</v>
      </c>
      <c r="B17" s="47" t="str">
        <f t="shared" si="0"/>
        <v>Adrian James (Rugby RCC)</v>
      </c>
      <c r="C17" s="47" t="s">
        <v>680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681</v>
      </c>
      <c r="D18" s="48"/>
      <c r="E18" s="49">
        <v>23</v>
      </c>
      <c r="F18" s="49">
        <v>44</v>
      </c>
      <c r="G18" s="49" t="s">
        <v>546</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682</v>
      </c>
      <c r="D19" s="48"/>
      <c r="E19" s="49">
        <v>25</v>
      </c>
      <c r="F19" s="49">
        <v>51</v>
      </c>
      <c r="G19" s="49" t="s">
        <v>546</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683</v>
      </c>
      <c r="D20" s="48"/>
      <c r="E20" s="49">
        <v>24</v>
      </c>
      <c r="F20" s="49">
        <v>5</v>
      </c>
      <c r="G20" s="49" t="s">
        <v>546</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597</v>
      </c>
      <c r="B22" s="47">
        <f t="shared" si="0"/>
        <v>1390</v>
      </c>
      <c r="C22" s="47" t="s">
        <v>685</v>
      </c>
      <c r="D22" s="48"/>
      <c r="E22" s="49">
        <v>23</v>
      </c>
      <c r="F22" s="49">
        <v>42</v>
      </c>
      <c r="G22" s="49" t="s">
        <v>546</v>
      </c>
      <c r="H22" s="49"/>
      <c r="I22" s="50" t="str">
        <f>IF($B22="","",IF($K22="X",B22,CONCATENATE(VLOOKUP(B22,Competitors!$A$2:$I$650,3,FALSE)," ",VLOOKUP(B22,Competitors!$A$2:$I$650,2,FALSE))))</f>
        <v>Diego Patteri</v>
      </c>
      <c r="J22" s="51">
        <f t="shared" si="1"/>
        <v>1.6458333333333332E-2</v>
      </c>
      <c r="K22" t="str">
        <f t="shared" si="2"/>
        <v/>
      </c>
    </row>
    <row r="23" spans="1:11" ht="15">
      <c r="A23" s="46" t="s">
        <v>704</v>
      </c>
      <c r="B23" s="47" t="str">
        <f t="shared" si="0"/>
        <v>Zoe Shepherd (M.I. Racing)</v>
      </c>
      <c r="C23" s="47" t="s">
        <v>686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488</v>
      </c>
      <c r="B24" s="47" t="str">
        <f t="shared" si="0"/>
        <v>Matt Finch (LFCC)</v>
      </c>
      <c r="C24" s="47" t="s">
        <v>687</v>
      </c>
      <c r="D24" s="48"/>
      <c r="E24" s="49">
        <v>28</v>
      </c>
      <c r="F24" s="49">
        <v>48</v>
      </c>
      <c r="G24" s="49" t="s">
        <v>546</v>
      </c>
      <c r="H24" s="49"/>
      <c r="I24" s="50" t="str">
        <f>IF($B24="","",IF($K24="X",B24,CONCATENATE(VLOOKUP(B24,Competitors!$A$2:$I$650,3,FALSE)," ",VLOOKUP(B24,Competitors!$A$2:$I$650,2,FALSE))))</f>
        <v>Matt Finch (LFCC)</v>
      </c>
      <c r="J24" s="51">
        <f t="shared" si="1"/>
        <v>0.02</v>
      </c>
      <c r="K24" t="str">
        <f t="shared" si="2"/>
        <v>X</v>
      </c>
    </row>
    <row r="25" spans="1:11" ht="15">
      <c r="A25" s="46" t="s">
        <v>702</v>
      </c>
      <c r="B25" s="47" t="str">
        <f t="shared" si="0"/>
        <v>Paul Akroyd (VTTA E.Mids)</v>
      </c>
      <c r="C25" s="47" t="s">
        <v>688</v>
      </c>
      <c r="D25" s="48"/>
      <c r="E25" s="49">
        <v>25</v>
      </c>
      <c r="F25" s="49">
        <v>45</v>
      </c>
      <c r="G25" s="49" t="s">
        <v>546</v>
      </c>
      <c r="H25" s="49"/>
      <c r="I25" s="50" t="str">
        <f>IF($B25="","",IF($K25="X",B25,CONCATENATE(VLOOKUP(B25,Competitors!$A$2:$I$650,3,FALSE)," ",VLOOKUP(B25,Competitors!$A$2:$I$650,2,FALSE))))</f>
        <v>Paul Akroyd (VTTA E.Mids)</v>
      </c>
      <c r="J25" s="51">
        <f t="shared" si="1"/>
        <v>1.7881944444444443E-2</v>
      </c>
      <c r="K25" t="str">
        <f t="shared" si="2"/>
        <v>X</v>
      </c>
    </row>
    <row r="26" spans="1:11" ht="15">
      <c r="A26" s="46" t="s">
        <v>514</v>
      </c>
      <c r="B26" s="47" t="str">
        <f t="shared" si="0"/>
        <v>Paul Eden (Ratae)</v>
      </c>
      <c r="C26" s="47" t="s">
        <v>689</v>
      </c>
      <c r="D26" s="48"/>
      <c r="E26" s="49">
        <v>30</v>
      </c>
      <c r="F26" s="49">
        <v>11</v>
      </c>
      <c r="G26" s="49" t="s">
        <v>546</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652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653</v>
      </c>
      <c r="D28" s="48"/>
      <c r="E28" s="49">
        <v>26</v>
      </c>
      <c r="F28" s="49">
        <v>10</v>
      </c>
      <c r="G28" s="49" t="s">
        <v>546</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513</v>
      </c>
      <c r="B30" s="47" t="str">
        <f t="shared" si="0"/>
        <v>Natalie Harris (Ratae)</v>
      </c>
      <c r="C30" s="47" t="s">
        <v>655</v>
      </c>
      <c r="D30" s="48"/>
      <c r="E30" s="49">
        <v>29</v>
      </c>
      <c r="F30" s="49">
        <v>35</v>
      </c>
      <c r="G30" s="49" t="s">
        <v>546</v>
      </c>
      <c r="H30" s="49"/>
      <c r="I30" s="50" t="str">
        <f>IF($B30="","",IF($K30="X",B30,CONCATENATE(VLOOKUP(B30,Competitors!$A$2:$I$650,3,FALSE)," ",VLOOKUP(B30,Competitors!$A$2:$I$650,2,FALSE))))</f>
        <v>Natalie Harris (Ratae)</v>
      </c>
      <c r="J30" s="51">
        <f t="shared" si="1"/>
        <v>2.0543981481481483E-2</v>
      </c>
      <c r="K30" t="str">
        <f t="shared" si="2"/>
        <v>X</v>
      </c>
    </row>
    <row r="31" spans="1:11" ht="15">
      <c r="A31" s="46" t="s">
        <v>624</v>
      </c>
      <c r="B31" s="47">
        <f t="shared" si="0"/>
        <v>1391</v>
      </c>
      <c r="C31" s="47" t="s">
        <v>656</v>
      </c>
      <c r="D31" s="48"/>
      <c r="E31" s="49">
        <v>23</v>
      </c>
      <c r="F31" s="49">
        <v>50</v>
      </c>
      <c r="G31" s="49" t="s">
        <v>546</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657</v>
      </c>
      <c r="D32" s="48"/>
      <c r="E32" s="49">
        <v>25</v>
      </c>
      <c r="F32" s="49">
        <v>34</v>
      </c>
      <c r="G32" s="49" t="s">
        <v>546</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659</v>
      </c>
      <c r="D34" s="48"/>
      <c r="E34" s="49">
        <v>25</v>
      </c>
      <c r="F34" s="49">
        <v>9</v>
      </c>
      <c r="G34" s="49" t="s">
        <v>546</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640</v>
      </c>
      <c r="B35" s="47" t="str">
        <f t="shared" si="3"/>
        <v>Jeff Jones (LFCC)</v>
      </c>
      <c r="C35" s="47" t="s">
        <v>660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726</v>
      </c>
      <c r="B36" s="47" t="str">
        <f t="shared" si="3"/>
        <v>Josh Jones (LFCC)</v>
      </c>
      <c r="C36" s="47" t="s">
        <v>661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642</v>
      </c>
      <c r="B37" s="47" t="str">
        <f t="shared" si="3"/>
        <v>Simon Jones (LFCC)</v>
      </c>
      <c r="C37" s="47" t="s">
        <v>662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663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690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691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727</v>
      </c>
      <c r="B41" s="47" t="str">
        <f t="shared" si="3"/>
        <v>David Mead (M.I. Racing)</v>
      </c>
      <c r="C41" s="47" t="s">
        <v>692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498</v>
      </c>
      <c r="B42" s="47">
        <f t="shared" si="3"/>
        <v>1166</v>
      </c>
      <c r="C42" s="47" t="s">
        <v>693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728</v>
      </c>
      <c r="D44" s="48"/>
      <c r="E44" s="49">
        <v>25</v>
      </c>
      <c r="F44" s="49">
        <v>13</v>
      </c>
      <c r="G44" s="49" t="s">
        <v>546</v>
      </c>
      <c r="H44" s="49"/>
      <c r="I44" s="50" t="str">
        <f>IF($B44="","",IF($K44="X",B44,CONCATENATE(VLOOKUP(B44,Competitors!$A$2:$I$650,3,FALSE)," ",VLOOKUP(B44,Competitors!$A$2:$I$650,2,FALSE))))</f>
        <v>John Abbott</v>
      </c>
      <c r="J44" s="51">
        <f t="shared" si="4"/>
        <v>1.7511574074074075E-2</v>
      </c>
      <c r="K44" t="str">
        <f t="shared" si="5"/>
        <v/>
      </c>
    </row>
    <row r="45" spans="1:11" ht="15">
      <c r="A45" s="46" t="s">
        <v>723</v>
      </c>
      <c r="B45" s="47" t="str">
        <f t="shared" si="3"/>
        <v>Mark Wise (M.I. Racing)</v>
      </c>
      <c r="C45" s="47" t="s">
        <v>729</v>
      </c>
      <c r="D45" s="48"/>
      <c r="E45" s="49">
        <v>24</v>
      </c>
      <c r="F45" s="49">
        <v>2</v>
      </c>
      <c r="G45" s="49" t="s">
        <v>546</v>
      </c>
      <c r="H45" s="49"/>
      <c r="I45" s="50" t="str">
        <f>IF($B45="","",IF($K45="X",B45,CONCATENATE(VLOOKUP(B45,Competitors!$A$2:$I$650,3,FALSE)," ",VLOOKUP(B45,Competitors!$A$2:$I$650,2,FALSE))))</f>
        <v>Mark Wise (M.I. Racing)</v>
      </c>
      <c r="J45" s="51">
        <f t="shared" si="4"/>
        <v>1.6689814814814814E-2</v>
      </c>
      <c r="K45" t="str">
        <f t="shared" si="5"/>
        <v>X</v>
      </c>
    </row>
    <row r="46" spans="1:11" ht="15">
      <c r="A46" s="46" t="s">
        <v>501</v>
      </c>
      <c r="B46" s="47" t="str">
        <f t="shared" si="3"/>
        <v>Alex Whitmore (Ratae)</v>
      </c>
      <c r="C46" s="47" t="s">
        <v>730</v>
      </c>
      <c r="D46" s="48"/>
      <c r="E46" s="49">
        <v>21</v>
      </c>
      <c r="F46" s="49">
        <v>37</v>
      </c>
      <c r="G46" s="49" t="s">
        <v>546</v>
      </c>
      <c r="H46" s="49"/>
      <c r="I46" s="50" t="str">
        <f>IF($B46="","",IF($K46="X",B46,CONCATENATE(VLOOKUP(B46,Competitors!$A$2:$I$650,3,FALSE)," ",VLOOKUP(B46,Competitors!$A$2:$I$650,2,FALSE))))</f>
        <v>Alex Whitmore (Ratae)</v>
      </c>
      <c r="J46" s="51">
        <f t="shared" si="4"/>
        <v>1.5011574074074075E-2</v>
      </c>
      <c r="K46" t="str">
        <f t="shared" si="5"/>
        <v>X</v>
      </c>
    </row>
    <row r="47" spans="1:11" ht="15">
      <c r="A47" s="46" t="s">
        <v>731</v>
      </c>
      <c r="B47" s="47" t="str">
        <f t="shared" si="3"/>
        <v>D Alexander (Coalville Wheelers)</v>
      </c>
      <c r="C47" s="47" t="s">
        <v>732</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733</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490</v>
      </c>
      <c r="B49" s="47" t="str">
        <f t="shared" si="3"/>
        <v>Sam Nettel (LFCC)</v>
      </c>
      <c r="C49" s="47" t="s">
        <v>734</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725</v>
      </c>
      <c r="B50" s="47" t="str">
        <f t="shared" si="3"/>
        <v>David Melhuish (Cov Tri)</v>
      </c>
      <c r="C50" s="47" t="s">
        <v>735</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724</v>
      </c>
      <c r="B51" s="47" t="str">
        <f t="shared" si="3"/>
        <v>Alex Williamson (Cov Tri)</v>
      </c>
      <c r="C51" s="47" t="s">
        <v>736</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737</v>
      </c>
      <c r="B52" s="47" t="str">
        <f t="shared" si="3"/>
        <v>Simon Law (M.I. Racing)</v>
      </c>
      <c r="C52" s="47" t="s">
        <v>738</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739</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553</v>
      </c>
      <c r="D103" t="str" cm="1">
        <f t="array" aca="1" ref="D103" ca="1">MID(CELL("filename",B1),FIND("]",CELL("filename",B1))+1,255)</f>
        <v>Event_18</v>
      </c>
    </row>
    <row r="104" spans="1:11">
      <c r="B104" t="s">
        <v>554</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2026-07-18T15:35:27Z</dcterms:modified>
</cp:coreProperties>
</file>