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F6B1A2C2-0792-47B5-A573-B1809F12C0C0}" xr6:coauthVersionLast="47" xr6:coauthVersionMax="47" xr10:uidLastSave="{00000000-0000-0000-0000-000000000000}"/>
  <bookViews>
    <workbookView xWindow="14317" yWindow="0" windowWidth="14565" windowHeight="17363" firstSheet="18" activeTab="20"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B9" i="40" s="1"/>
  <c r="C123" i="18"/>
  <c r="C124" i="18"/>
  <c r="B30" i="40" s="1"/>
  <c r="C125" i="18"/>
  <c r="B8" i="41" s="1"/>
  <c r="C126" i="18"/>
  <c r="B9" i="41" s="1"/>
  <c r="C127" i="18"/>
  <c r="B12" i="41" s="1"/>
  <c r="C128" i="18"/>
  <c r="B26" i="41" s="1"/>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8" i="46"/>
  <c r="B26" i="37"/>
  <c r="B10" i="35"/>
  <c r="B3" i="33"/>
  <c r="B32" i="34"/>
  <c r="B4" i="35"/>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s="1"/>
  <c r="B33" i="46"/>
  <c r="B58" i="38"/>
  <c r="B34" i="46"/>
  <c r="B23" i="37"/>
  <c r="B30" i="46"/>
  <c r="B29" i="46"/>
  <c r="B41" i="46"/>
  <c r="B47" i="32"/>
  <c r="B31" i="33"/>
  <c r="B10" i="33"/>
  <c r="J10" i="33"/>
  <c r="H10" i="33"/>
  <c r="B38" i="32"/>
  <c r="B20" i="33"/>
  <c r="B8" i="35"/>
  <c r="B12" i="35"/>
  <c r="K12" i="35"/>
  <c r="I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K40" i="36"/>
  <c r="I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8" i="46"/>
  <c r="H18" i="46" s="1"/>
  <c r="J5" i="33" l="1"/>
  <c r="H5" i="33"/>
  <c r="J31" i="33"/>
  <c r="H31" i="33" s="1"/>
  <c r="J28" i="46"/>
  <c r="H28" i="46"/>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<sst xmlns="http://schemas.openxmlformats.org/spreadsheetml/2006/main" count="18117" uniqueCount="793">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</sst>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7">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599</v>
      </c>
      <c r="C25" s="70" t="s">
        <v>598</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774</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705</v>
      </c>
      <c r="C38" s="70" t="s">
        <v>707</v>
      </c>
      <c r="D38" s="70" t="s">
        <v>23</v>
      </c>
      <c r="E38" s="70" t="b">
        <v>0</v>
      </c>
      <c r="F38" s="70" t="s">
        <v>35</v>
      </c>
      <c r="G38" s="70"/>
      <c r="H38" s="71">
        <v>46236</v>
      </c>
      <c r="J38" s="1"/>
    </row>
    <row r="39" spans="1:10" ht="14.25">
      <c r="A39" s="70">
        <v>1189</v>
      </c>
      <c r="B39" s="70" t="s">
        <v>705</v>
      </c>
      <c r="C39" s="70" t="s">
        <v>706</v>
      </c>
      <c r="D39" s="70" t="s">
        <v>23</v>
      </c>
      <c r="E39" s="70" t="b">
        <v>0</v>
      </c>
      <c r="F39" s="70" t="s">
        <v>35</v>
      </c>
      <c r="G39" s="70"/>
      <c r="H39" s="71">
        <v>46236</v>
      </c>
      <c r="J39" s="1"/>
    </row>
    <row r="40" spans="1:10" ht="14.25">
      <c r="A40" s="70">
        <v>735</v>
      </c>
      <c r="B40" s="70" t="s">
        <v>705</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773</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619</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704</v>
      </c>
      <c r="C110" s="70" t="s">
        <v>703</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772</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771</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770</v>
      </c>
      <c r="C172" s="70" t="s">
        <v>34</v>
      </c>
      <c r="D172" s="70" t="s">
        <v>23</v>
      </c>
      <c r="E172" s="70" t="b">
        <v>0</v>
      </c>
      <c r="F172" s="70" t="s">
        <v>27</v>
      </c>
      <c r="G172" s="70">
        <v>8</v>
      </c>
      <c r="H172" s="71">
        <v>46236</v>
      </c>
      <c r="J172" s="1"/>
    </row>
    <row r="173" spans="1:10" ht="14.25">
      <c r="A173" s="70">
        <v>1433</v>
      </c>
      <c r="B173" s="70" t="s">
        <v>770</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702</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599</v>
      </c>
      <c r="C25" s="63" t="s">
        <v>598</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599</v>
      </c>
      <c r="C25" s="67" t="s">
        <v>598</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705</v>
      </c>
      <c r="C37" s="67" t="s">
        <v>707</v>
      </c>
      <c r="D37" s="67" t="s">
        <v>23</v>
      </c>
      <c r="E37" s="67" t="b">
        <v>0</v>
      </c>
      <c r="F37" s="67" t="s">
        <v>35</v>
      </c>
      <c r="H37" s="68">
        <v>46216</v>
      </c>
    </row>
    <row r="38" spans="1:8">
      <c r="A38" s="67">
        <v>1189</v>
      </c>
      <c r="B38" s="67" t="s">
        <v>705</v>
      </c>
      <c r="C38" s="67" t="s">
        <v>706</v>
      </c>
      <c r="D38" s="67" t="s">
        <v>23</v>
      </c>
      <c r="E38" s="67" t="b">
        <v>0</v>
      </c>
      <c r="F38" s="67" t="s">
        <v>35</v>
      </c>
      <c r="H38" s="68">
        <v>46216</v>
      </c>
    </row>
    <row r="39" spans="1:8">
      <c r="A39" s="67">
        <v>735</v>
      </c>
      <c r="B39" s="67" t="s">
        <v>705</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619</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704</v>
      </c>
      <c r="C108" s="67" t="s">
        <v>703</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702</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599</v>
      </c>
      <c r="C25" s="70" t="s">
        <v>598</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774</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705</v>
      </c>
      <c r="C38" s="70" t="s">
        <v>707</v>
      </c>
      <c r="D38" s="70" t="s">
        <v>23</v>
      </c>
      <c r="E38" s="70" t="b">
        <v>0</v>
      </c>
      <c r="F38" s="70" t="s">
        <v>35</v>
      </c>
      <c r="H38" s="71">
        <v>46236</v>
      </c>
    </row>
    <row r="39" spans="1:8">
      <c r="A39" s="70">
        <v>1189</v>
      </c>
      <c r="B39" s="70" t="s">
        <v>705</v>
      </c>
      <c r="C39" s="70" t="s">
        <v>706</v>
      </c>
      <c r="D39" s="70" t="s">
        <v>23</v>
      </c>
      <c r="E39" s="70" t="b">
        <v>0</v>
      </c>
      <c r="F39" s="70" t="s">
        <v>35</v>
      </c>
      <c r="H39" s="71">
        <v>46236</v>
      </c>
    </row>
    <row r="40" spans="1:8">
      <c r="A40" s="70">
        <v>735</v>
      </c>
      <c r="B40" s="70" t="s">
        <v>705</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773</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619</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704</v>
      </c>
      <c r="C110" s="70" t="s">
        <v>703</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772</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771</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770</v>
      </c>
      <c r="C172" s="70" t="s">
        <v>34</v>
      </c>
      <c r="D172" s="70" t="s">
        <v>23</v>
      </c>
      <c r="E172" s="70" t="b">
        <v>0</v>
      </c>
      <c r="F172" s="70" t="s">
        <v>27</v>
      </c>
      <c r="G172" s="70">
        <v>8</v>
      </c>
      <c r="H172" s="71">
        <v>46236</v>
      </c>
    </row>
    <row r="173" spans="1:8">
      <c r="A173" s="70">
        <v>1433</v>
      </c>
      <c r="B173" s="70" t="s">
        <v>770</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702</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734</v>
      </c>
      <c r="M1" s="25" t="s">
        <v>366</v>
      </c>
      <c r="N1" s="25" t="s">
        <v>367</v>
      </c>
      <c r="O1" s="21" t="s">
        <v>368</v>
      </c>
      <c r="P1" s="26" t="s">
        <v>369</v>
      </c>
      <c r="Q1" s="21" t="s">
        <v>597</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596</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596</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596</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596</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596</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596</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596</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596</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596</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596</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596</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596</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596</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596</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596</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596</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596</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596</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596</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596</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596</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596</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596</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596</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596</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596</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596</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6" priority="2">
      <formula>NOT(YEAR(B2)=CompetitionYear)</formula>
    </cfRule>
  </conditionalFormatting>
  <conditionalFormatting sqref="K2:L30">
    <cfRule type="expression" dxfId="85"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620</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abSelected="1" workbookViewId="0">
      <selection activeCell="A27" sqref="A27"/>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639</v>
      </c>
      <c r="B4" t="s">
        <v>640</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694</v>
      </c>
      <c r="B6" t="s">
        <v>689</v>
      </c>
      <c r="C6" s="36" t="str">
        <f t="shared" si="0"/>
        <v>Ali Nurgat (BOB CC)</v>
      </c>
    </row>
    <row r="7" spans="1:8" ht="14.25">
      <c r="A7" t="s">
        <v>593</v>
      </c>
      <c r="B7" t="s">
        <v>689</v>
      </c>
      <c r="C7" s="36" t="str">
        <f t="shared" si="0"/>
        <v>Mohammed Nurgat (BOB CC)</v>
      </c>
    </row>
    <row r="8" spans="1:8" ht="14.25">
      <c r="A8" t="s">
        <v>638</v>
      </c>
      <c r="B8" t="s">
        <v>689</v>
      </c>
      <c r="C8" s="36" t="str">
        <f t="shared" si="0"/>
        <v>Shareeq S. Shaikh (BOB CC)</v>
      </c>
    </row>
    <row r="9" spans="1:8" ht="14.25">
      <c r="A9" t="s">
        <v>744</v>
      </c>
      <c r="B9" t="s">
        <v>475</v>
      </c>
      <c r="C9" s="36" t="str">
        <f t="shared" si="0"/>
        <v>Andrea Winkless (Coalville Wheelers)</v>
      </c>
      <c r="D9" t="s">
        <v>372</v>
      </c>
    </row>
    <row r="10" spans="1:8" ht="14.25">
      <c r="A10" t="s">
        <v>749</v>
      </c>
      <c r="B10" t="s">
        <v>475</v>
      </c>
      <c r="C10" s="36" t="str">
        <f t="shared" si="0"/>
        <v>David Alexander (Coalville Wheelers)</v>
      </c>
    </row>
    <row r="11" spans="1:8" ht="14.25">
      <c r="A11" t="s">
        <v>643</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718</v>
      </c>
      <c r="B14" t="s">
        <v>478</v>
      </c>
      <c r="C14" s="36" t="str">
        <f t="shared" si="0"/>
        <v>Alex Williamson (Cov Tri)</v>
      </c>
    </row>
    <row r="15" spans="1:8" ht="14.25">
      <c r="A15" t="s">
        <v>719</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644</v>
      </c>
      <c r="B19" t="s">
        <v>642</v>
      </c>
      <c r="C19" s="36" t="str">
        <f t="shared" si="0"/>
        <v>Muhammad Sheikh (Gapped RT)</v>
      </c>
    </row>
    <row r="20" spans="1:4" ht="14.25">
      <c r="A20" t="s">
        <v>641</v>
      </c>
      <c r="B20" t="s">
        <v>642</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699</v>
      </c>
      <c r="B23" t="s">
        <v>397</v>
      </c>
      <c r="C23" s="36" t="str">
        <f t="shared" si="0"/>
        <v>Joe Murray (M.I. Racing) (HCRC)</v>
      </c>
    </row>
    <row r="24" spans="1:4" ht="14.25">
      <c r="A24" t="s">
        <v>700</v>
      </c>
      <c r="B24" t="s">
        <v>397</v>
      </c>
      <c r="C24" s="36" t="str">
        <f t="shared" si="0"/>
        <v>Mick Wills (M.I. Racing) (HCRC)</v>
      </c>
    </row>
    <row r="25" spans="1:4" ht="14.25">
      <c r="A25" t="s">
        <v>751</v>
      </c>
      <c r="B25" t="s">
        <v>397</v>
      </c>
      <c r="C25" s="36" t="str">
        <f t="shared" si="0"/>
        <v>Steve Evans (HCRC)</v>
      </c>
    </row>
    <row r="26" spans="1:4" ht="14.25">
      <c r="A26" t="s">
        <v>484</v>
      </c>
      <c r="B26" t="s">
        <v>391</v>
      </c>
      <c r="C26" s="36" t="str">
        <f t="shared" si="0"/>
        <v>Andy King (KCC)</v>
      </c>
    </row>
    <row r="27" spans="1:4" ht="14.25">
      <c r="A27" s="62" t="s">
        <v>594</v>
      </c>
      <c r="B27" t="s">
        <v>391</v>
      </c>
      <c r="C27" s="36" t="str">
        <f t="shared" si="0"/>
        <v>Evan Collett (G Fox) (KCC)</v>
      </c>
    </row>
    <row r="28" spans="1:4" ht="14.25">
      <c r="A28" t="s">
        <v>622</v>
      </c>
      <c r="B28" t="s">
        <v>391</v>
      </c>
      <c r="C28" s="36" t="str">
        <f t="shared" si="0"/>
        <v>Ian Bird (KCC)</v>
      </c>
    </row>
    <row r="29" spans="1:4" ht="14.25">
      <c r="A29" t="s">
        <v>485</v>
      </c>
      <c r="B29" t="s">
        <v>391</v>
      </c>
      <c r="C29" s="36" t="str">
        <f t="shared" si="0"/>
        <v>Josh Brown (KCC)</v>
      </c>
    </row>
    <row r="30" spans="1:4" ht="14.25">
      <c r="A30" t="s">
        <v>587</v>
      </c>
      <c r="B30" t="s">
        <v>391</v>
      </c>
      <c r="C30" s="36" t="str">
        <f t="shared" si="0"/>
        <v>Maria Cayford (KCC)</v>
      </c>
      <c r="D30" t="s">
        <v>372</v>
      </c>
    </row>
    <row r="31" spans="1:4" ht="14.25">
      <c r="A31" t="s">
        <v>621</v>
      </c>
      <c r="B31" t="s">
        <v>391</v>
      </c>
      <c r="C31" s="36" t="str">
        <f t="shared" si="0"/>
        <v>Michael Wheeler (KCC)</v>
      </c>
    </row>
    <row r="32" spans="1:4" ht="14.25">
      <c r="A32" t="s">
        <v>736</v>
      </c>
      <c r="B32" t="s">
        <v>400</v>
      </c>
      <c r="C32" s="36" t="str">
        <f t="shared" si="0"/>
        <v>Dave Tomlinson (LFCC)</v>
      </c>
    </row>
    <row r="33" spans="1:4" ht="14.25">
      <c r="A33" t="s">
        <v>735</v>
      </c>
      <c r="B33" t="s">
        <v>400</v>
      </c>
      <c r="C33" s="36" t="str">
        <f t="shared" si="0"/>
        <v>Eric Fullerton (LFCC)</v>
      </c>
    </row>
    <row r="34" spans="1:4" ht="14.25">
      <c r="A34" t="s">
        <v>741</v>
      </c>
      <c r="B34" t="s">
        <v>400</v>
      </c>
      <c r="C34" s="36" t="str">
        <f t="shared" si="0"/>
        <v>Harriet Hughes (Beeston RC) (LFCC)</v>
      </c>
      <c r="D34" t="s">
        <v>372</v>
      </c>
    </row>
    <row r="35" spans="1:4" ht="14.25">
      <c r="A35" t="s">
        <v>634</v>
      </c>
      <c r="B35" t="s">
        <v>400</v>
      </c>
      <c r="C35" s="36" t="str">
        <f t="shared" si="0"/>
        <v>Jeff Jones (LFCC)</v>
      </c>
    </row>
    <row r="36" spans="1:4" ht="14.25">
      <c r="A36" t="s">
        <v>720</v>
      </c>
      <c r="B36" t="s">
        <v>400</v>
      </c>
      <c r="C36" s="36" t="str">
        <f t="shared" ref="C36:C67" si="1">IF(ISBLANK(B36),IF(ISBLANK(A36),"",A36),_xlfn.CONCAT(A36," (",B36,")"))</f>
        <v>Josh Jones (LFCC)</v>
      </c>
    </row>
    <row r="37" spans="1:4" ht="14.25">
      <c r="A37" t="s">
        <v>635</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738</v>
      </c>
      <c r="B41" t="s">
        <v>400</v>
      </c>
      <c r="C41" s="36" t="str">
        <f t="shared" si="1"/>
        <v>Pietro Saman (LFCC)</v>
      </c>
    </row>
    <row r="42" spans="1:4" ht="14.25">
      <c r="A42" t="s">
        <v>489</v>
      </c>
      <c r="B42" t="s">
        <v>400</v>
      </c>
      <c r="C42" s="36" t="str">
        <f t="shared" si="1"/>
        <v>Sam Nettel (LFCC)</v>
      </c>
    </row>
    <row r="43" spans="1:4" ht="14.25">
      <c r="A43" t="s">
        <v>636</v>
      </c>
      <c r="B43" t="s">
        <v>400</v>
      </c>
      <c r="C43" s="36" t="str">
        <f t="shared" si="1"/>
        <v>Simon Jones (LFCC)</v>
      </c>
    </row>
    <row r="44" spans="1:4" ht="14.25">
      <c r="A44" t="s">
        <v>690</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721</v>
      </c>
      <c r="B47" t="s">
        <v>701</v>
      </c>
      <c r="C47" s="36" t="str">
        <f t="shared" si="1"/>
        <v>David Mead (M.I. Racing)</v>
      </c>
    </row>
    <row r="48" spans="1:4" ht="14.25">
      <c r="A48" t="s">
        <v>717</v>
      </c>
      <c r="B48" t="s">
        <v>701</v>
      </c>
      <c r="C48" s="36" t="str">
        <f t="shared" si="1"/>
        <v>Mark Wise (M.I. Racing)</v>
      </c>
    </row>
    <row r="49" spans="1:4" ht="14.25">
      <c r="A49" t="s">
        <v>730</v>
      </c>
      <c r="B49" t="s">
        <v>701</v>
      </c>
      <c r="C49" s="36" t="str">
        <f t="shared" si="1"/>
        <v>Simon Law (M.I. Racing)</v>
      </c>
    </row>
    <row r="50" spans="1:4" ht="14.25">
      <c r="A50" t="s">
        <v>698</v>
      </c>
      <c r="B50" t="s">
        <v>701</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740</v>
      </c>
      <c r="B54" t="s">
        <v>494</v>
      </c>
      <c r="C54" s="36" t="str">
        <f t="shared" si="1"/>
        <v>Juraj Rys (MOCC)</v>
      </c>
    </row>
    <row r="55" spans="1:4" ht="14.25">
      <c r="A55" t="s">
        <v>695</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658</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786</v>
      </c>
      <c r="B64" s="62" t="s">
        <v>394</v>
      </c>
      <c r="C64" s="36" t="str">
        <f t="shared" si="1"/>
        <v>Geoff Stanbridge (Fenland Clarion) (Ratae)</v>
      </c>
    </row>
    <row r="65" spans="1:4" ht="14.25">
      <c r="A65" t="s">
        <v>742</v>
      </c>
      <c r="B65" t="s">
        <v>394</v>
      </c>
      <c r="C65" s="36" t="str">
        <f t="shared" si="1"/>
        <v>Jim Smith (Ratae)</v>
      </c>
    </row>
    <row r="66" spans="1:4" ht="14.25">
      <c r="A66" t="s">
        <v>506</v>
      </c>
      <c r="B66" t="s">
        <v>394</v>
      </c>
      <c r="C66" s="36" t="str">
        <f t="shared" si="1"/>
        <v>Jonathon Clarke (Ratae)</v>
      </c>
      <c r="D66" s="36"/>
    </row>
    <row r="67" spans="1:4" ht="14.25">
      <c r="A67" t="s">
        <v>645</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775</v>
      </c>
      <c r="B74" t="s">
        <v>394</v>
      </c>
      <c r="C74" s="36" t="str">
        <f t="shared" si="2"/>
        <v>Nikki Allen (Ratae)</v>
      </c>
      <c r="D74" t="s">
        <v>372</v>
      </c>
    </row>
    <row r="75" spans="1:4" ht="14.25">
      <c r="A75" t="s">
        <v>513</v>
      </c>
      <c r="B75" t="s">
        <v>394</v>
      </c>
      <c r="C75" s="36" t="str">
        <f t="shared" si="2"/>
        <v>Paul Eden (Ratae)</v>
      </c>
    </row>
    <row r="76" spans="1:4" ht="14.25">
      <c r="A76" t="s">
        <v>659</v>
      </c>
      <c r="B76" t="s">
        <v>394</v>
      </c>
      <c r="C76" s="36" t="str">
        <f t="shared" si="2"/>
        <v>Peter Kott (Ratae)</v>
      </c>
    </row>
    <row r="77" spans="1:4" ht="14.25">
      <c r="A77" t="s">
        <v>514</v>
      </c>
      <c r="B77" t="s">
        <v>394</v>
      </c>
      <c r="C77" s="36" t="str">
        <f t="shared" si="2"/>
        <v>Sadie Murphy (Ratae)</v>
      </c>
      <c r="D77" t="s">
        <v>372</v>
      </c>
    </row>
    <row r="78" spans="1:4" ht="14.25">
      <c r="A78" s="62" t="s">
        <v>776</v>
      </c>
      <c r="B78" t="s">
        <v>394</v>
      </c>
      <c r="C78" s="36" t="str">
        <f t="shared" si="2"/>
        <v>Sally Richards (Ratae)</v>
      </c>
      <c r="D78" t="s">
        <v>372</v>
      </c>
    </row>
    <row r="79" spans="1:4" ht="14.25">
      <c r="A79" t="s">
        <v>515</v>
      </c>
      <c r="B79" t="s">
        <v>394</v>
      </c>
      <c r="C79" s="36" t="str">
        <f t="shared" si="2"/>
        <v>Steve Pearce (Ratae)</v>
      </c>
    </row>
    <row r="80" spans="1:4" ht="14.25">
      <c r="A80" t="s">
        <v>637</v>
      </c>
      <c r="B80" t="s">
        <v>394</v>
      </c>
      <c r="C80" s="36" t="str">
        <f t="shared" si="2"/>
        <v>Sue Bonsor (Ratae)</v>
      </c>
      <c r="D80" t="s">
        <v>372</v>
      </c>
    </row>
    <row r="81" spans="1:4" ht="14.25">
      <c r="A81" t="s">
        <v>516</v>
      </c>
      <c r="B81" t="s">
        <v>385</v>
      </c>
      <c r="C81" s="36" t="str">
        <f t="shared" si="2"/>
        <v>Adam Wells (RFW)</v>
      </c>
    </row>
    <row r="82" spans="1:4" ht="14.25">
      <c r="A82" t="s">
        <v>591</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630</v>
      </c>
      <c r="B87" t="s">
        <v>385</v>
      </c>
      <c r="C87" s="36" t="str">
        <f t="shared" si="2"/>
        <v>Ethan Mitchell-Clarke (Team Bottrill Nopinz) (RFW)</v>
      </c>
    </row>
    <row r="88" spans="1:4" ht="14.25">
      <c r="A88" t="s">
        <v>521</v>
      </c>
      <c r="B88" t="s">
        <v>385</v>
      </c>
      <c r="C88" s="36" t="str">
        <f t="shared" si="2"/>
        <v>Giles Cooper (RFW)</v>
      </c>
    </row>
    <row r="89" spans="1:4" ht="14.25">
      <c r="A89" t="s">
        <v>586</v>
      </c>
      <c r="B89" t="s">
        <v>385</v>
      </c>
      <c r="C89" s="36" t="str">
        <f t="shared" si="2"/>
        <v>Graeme Hall (RFW)</v>
      </c>
    </row>
    <row r="90" spans="1:4" ht="14.25">
      <c r="A90" t="s">
        <v>522</v>
      </c>
      <c r="B90" t="s">
        <v>385</v>
      </c>
      <c r="C90" s="36" t="str">
        <f t="shared" si="2"/>
        <v>Gregg Payne (RFW)</v>
      </c>
    </row>
    <row r="91" spans="1:4" ht="14.25">
      <c r="A91" t="s">
        <v>590</v>
      </c>
      <c r="B91" t="s">
        <v>385</v>
      </c>
      <c r="C91" s="36" t="str">
        <f t="shared" si="2"/>
        <v>Hudson Hendry (Ride Revolution) (RFW)</v>
      </c>
    </row>
    <row r="92" spans="1:4" ht="14.25">
      <c r="A92" t="s">
        <v>592</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631</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588</v>
      </c>
      <c r="B102" t="s">
        <v>385</v>
      </c>
      <c r="C102" s="36" t="str">
        <f t="shared" si="3"/>
        <v>Steve Coombs (RFW)</v>
      </c>
    </row>
    <row r="103" spans="1:3" ht="14.25">
      <c r="A103" t="s">
        <v>589</v>
      </c>
      <c r="B103" t="s">
        <v>385</v>
      </c>
      <c r="C103" s="36" t="str">
        <f t="shared" si="3"/>
        <v>Steve Wickham (RFW)</v>
      </c>
    </row>
    <row r="104" spans="1:3" ht="14.25">
      <c r="A104" t="s">
        <v>530</v>
      </c>
      <c r="B104" t="s">
        <v>531</v>
      </c>
      <c r="C104" s="36" t="str">
        <f t="shared" si="3"/>
        <v>Adrian James (Rugby RCC)</v>
      </c>
    </row>
    <row r="105" spans="1:3" ht="14.25">
      <c r="A105" t="s">
        <v>748</v>
      </c>
      <c r="B105" t="s">
        <v>531</v>
      </c>
      <c r="C105" s="36" t="str">
        <f t="shared" si="3"/>
        <v>Angus Gordon (Rugby RCC)</v>
      </c>
    </row>
    <row r="106" spans="1:3" ht="14.25">
      <c r="A106" t="s">
        <v>745</v>
      </c>
      <c r="B106" t="s">
        <v>746</v>
      </c>
      <c r="C106" s="36" t="str">
        <f t="shared" si="3"/>
        <v>Tom Swain (Rugby Tri)</v>
      </c>
    </row>
    <row r="107" spans="1:3" ht="14.25">
      <c r="A107" t="s">
        <v>532</v>
      </c>
      <c r="B107" t="s">
        <v>533</v>
      </c>
      <c r="C107" s="36" t="str">
        <f t="shared" si="3"/>
        <v>Carl Shaw (Speedhub)</v>
      </c>
    </row>
    <row r="108" spans="1:3" ht="14.25">
      <c r="A108" t="s">
        <v>691</v>
      </c>
      <c r="B108" t="s">
        <v>533</v>
      </c>
      <c r="C108" s="36" t="str">
        <f t="shared" si="3"/>
        <v>Tom Swan (Speedhub)</v>
      </c>
    </row>
    <row r="109" spans="1:3" ht="14.25">
      <c r="A109" t="s">
        <v>758</v>
      </c>
      <c r="B109" t="s">
        <v>759</v>
      </c>
      <c r="C109" s="36" t="str">
        <f t="shared" si="3"/>
        <v>Andy Logie (SSVC)</v>
      </c>
    </row>
    <row r="110" spans="1:3" ht="14.25">
      <c r="A110" t="s">
        <v>762</v>
      </c>
      <c r="B110" t="s">
        <v>759</v>
      </c>
      <c r="C110" s="36" t="str">
        <f t="shared" si="3"/>
        <v>Simon Thomas (SSVC)</v>
      </c>
    </row>
    <row r="111" spans="1:3" ht="14.25">
      <c r="A111" t="s">
        <v>534</v>
      </c>
      <c r="B111" t="s">
        <v>535</v>
      </c>
      <c r="C111" s="36" t="str">
        <f t="shared" si="3"/>
        <v>Oliver Searle (St Ives CC)</v>
      </c>
    </row>
    <row r="112" spans="1:3" ht="14.25">
      <c r="A112" t="s">
        <v>692</v>
      </c>
      <c r="B112" t="s">
        <v>693</v>
      </c>
      <c r="C112" s="36" t="str">
        <f t="shared" si="3"/>
        <v>Tom Scott-Collins (Velo Elite)</v>
      </c>
    </row>
    <row r="113" spans="1:4" ht="14.25">
      <c r="A113" t="s">
        <v>696</v>
      </c>
      <c r="B113" t="s">
        <v>697</v>
      </c>
      <c r="C113" s="36" t="str">
        <f t="shared" si="3"/>
        <v>Paul Akroyd (VTTA E.Mids)</v>
      </c>
    </row>
    <row r="114" spans="1:4" ht="14.25">
      <c r="A114" t="s">
        <v>753</v>
      </c>
      <c r="B114" t="s">
        <v>754</v>
      </c>
      <c r="C114" s="36" t="str">
        <f t="shared" si="3"/>
        <v>Julian Church (Worcester St. Johns CC)</v>
      </c>
    </row>
    <row r="115" spans="1:4" ht="14.25">
      <c r="A115" t="s">
        <v>755</v>
      </c>
      <c r="B115" t="s">
        <v>754</v>
      </c>
      <c r="C115" s="36" t="str">
        <f t="shared" si="3"/>
        <v>Oliver Church (Worcester St. Johns CC)</v>
      </c>
    </row>
    <row r="116" spans="1:4" ht="14.25">
      <c r="A116" t="s">
        <v>628</v>
      </c>
      <c r="B116" t="s">
        <v>388</v>
      </c>
      <c r="C116" s="36" t="str">
        <f t="shared" si="3"/>
        <v>Ed Tarelli (Race Hub) (WVCC)</v>
      </c>
      <c r="D116" s="36"/>
    </row>
    <row r="117" spans="1:4" ht="14.25">
      <c r="A117" t="s">
        <v>627</v>
      </c>
      <c r="B117" t="s">
        <v>388</v>
      </c>
      <c r="C117" s="36" t="str">
        <f t="shared" si="3"/>
        <v>Jamie Kershaw (Beeston CC) (WVCC)</v>
      </c>
    </row>
    <row r="118" spans="1:4" ht="14.25">
      <c r="A118" t="s">
        <v>629</v>
      </c>
      <c r="B118" t="s">
        <v>388</v>
      </c>
      <c r="C118" s="36" t="str">
        <f t="shared" si="3"/>
        <v>Jennifer Clegg (Team Bottrill Nopinz) (WVCC)</v>
      </c>
      <c r="D118" t="s">
        <v>372</v>
      </c>
    </row>
    <row r="119" spans="1:4" ht="14.25">
      <c r="A119" t="s">
        <v>625</v>
      </c>
      <c r="B119" t="s">
        <v>388</v>
      </c>
      <c r="C119" s="36" t="str">
        <f t="shared" si="3"/>
        <v>Leah Cuthbertson (G Fox) (WVCC)</v>
      </c>
      <c r="D119" t="s">
        <v>372</v>
      </c>
    </row>
    <row r="120" spans="1:4" ht="14.25">
      <c r="A120" t="s">
        <v>626</v>
      </c>
      <c r="B120" t="s">
        <v>388</v>
      </c>
      <c r="C120" s="36" t="str">
        <f t="shared" si="3"/>
        <v>Ruby Isaac (CAMS Majaco) (WVCC)</v>
      </c>
      <c r="D120" t="s">
        <v>372</v>
      </c>
    </row>
    <row r="121" spans="1:4" ht="14.25">
      <c r="A121" t="s">
        <v>777</v>
      </c>
      <c r="B121" t="s">
        <v>778</v>
      </c>
      <c r="C121" s="36" t="str">
        <f t="shared" ref="C121:C160" si="4">IF(ISBLANK(B121),IF(ISBLANK(A121),"",A121),_xlfn.CONCAT(A121," (",B121,")"))</f>
        <v>Joseph Hyde (Numplumz)</v>
      </c>
    </row>
    <row r="122" spans="1:4" ht="14.25">
      <c r="A122" t="s">
        <v>779</v>
      </c>
      <c r="B122" t="s">
        <v>780</v>
      </c>
      <c r="C122" s="36" t="str">
        <f t="shared" si="4"/>
        <v>Peter Cowler (Wellingborough AC)</v>
      </c>
    </row>
    <row r="123" spans="1:4" ht="14.25">
      <c r="A123" t="s">
        <v>782</v>
      </c>
      <c r="B123" t="s">
        <v>391</v>
      </c>
      <c r="C123" s="36" t="str">
        <f t="shared" si="4"/>
        <v>Antony Brown (KCC)</v>
      </c>
    </row>
    <row r="124" spans="1:4" ht="14.25">
      <c r="A124" t="s">
        <v>783</v>
      </c>
      <c r="B124" t="s">
        <v>391</v>
      </c>
      <c r="C124" s="36" t="str">
        <f t="shared" si="4"/>
        <v>Nick Gallimore (KCC)</v>
      </c>
    </row>
    <row r="125" spans="1:4" ht="14.25">
      <c r="A125" t="s">
        <v>789</v>
      </c>
      <c r="B125" t="s">
        <v>492</v>
      </c>
      <c r="C125" s="36" t="str">
        <f t="shared" si="4"/>
        <v>Matthew McNamee (LRC)</v>
      </c>
    </row>
    <row r="126" spans="1:4" ht="14.25">
      <c r="A126" t="s">
        <v>790</v>
      </c>
      <c r="B126" t="s">
        <v>494</v>
      </c>
      <c r="C126" s="36" t="str">
        <f t="shared" si="4"/>
        <v>Max Wren (MOCC)</v>
      </c>
    </row>
    <row r="127" spans="1:4" ht="14.25">
      <c r="A127" t="s">
        <v>791</v>
      </c>
      <c r="B127" t="s">
        <v>400</v>
      </c>
      <c r="C127" s="36" t="str">
        <f t="shared" si="4"/>
        <v>Matt Law (LFCC)</v>
      </c>
    </row>
    <row r="128" spans="1:4" ht="14.25">
      <c r="A128" t="s">
        <v>792</v>
      </c>
      <c r="B128" t="s">
        <v>640</v>
      </c>
      <c r="C128" s="36" t="str">
        <f t="shared" si="4"/>
        <v>Daniel Town (Beeston RC)</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4" priority="1">
      <formula>$B2="WVCC"</formula>
    </cfRule>
  </conditionalFormatting>
  <conditionalFormatting sqref="G2:G4">
    <cfRule type="uniqueValues" dxfId="83"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2" priority="3">
      <formula>TEXT($C$104,"@")="Y"</formula>
    </cfRule>
  </conditionalFormatting>
  <conditionalFormatting sqref="H2:I101">
    <cfRule type="expression" dxfId="81" priority="2">
      <formula>$J2="X"</formula>
    </cfRule>
  </conditionalFormatting>
  <conditionalFormatting sqref="I2:I101">
    <cfRule type="expression" dxfId="8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9" priority="3">
      <formula>TEXT($C$104,"@")="Y"</formula>
    </cfRule>
  </conditionalFormatting>
  <conditionalFormatting sqref="H2:I101">
    <cfRule type="expression" dxfId="78" priority="2">
      <formula>$J2="X"</formula>
    </cfRule>
  </conditionalFormatting>
  <conditionalFormatting sqref="I2:I101">
    <cfRule type="expression" dxfId="7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6" priority="3">
      <formula>TEXT($C$104,"@")="Y"</formula>
    </cfRule>
  </conditionalFormatting>
  <conditionalFormatting sqref="H2:I101">
    <cfRule type="expression" dxfId="75" priority="2">
      <formula>$J2="X"</formula>
    </cfRule>
  </conditionalFormatting>
  <conditionalFormatting sqref="I2:I101">
    <cfRule type="expression" dxfId="7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620</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3" priority="3">
      <formula>TEXT($C$104,"@")="Y"</formula>
    </cfRule>
  </conditionalFormatting>
  <conditionalFormatting sqref="H2:I101">
    <cfRule type="expression" dxfId="72" priority="2">
      <formula>$J2="X"</formula>
    </cfRule>
  </conditionalFormatting>
  <conditionalFormatting sqref="I2:I101">
    <cfRule type="expression" dxfId="7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620</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70" priority="3">
      <formula>TEXT($C$104,"@")="Y"</formula>
    </cfRule>
  </conditionalFormatting>
  <conditionalFormatting sqref="H2:I101">
    <cfRule type="expression" dxfId="69" priority="2">
      <formula>$J2="X"</formula>
    </cfRule>
  </conditionalFormatting>
  <conditionalFormatting sqref="I2:I101">
    <cfRule type="expression" dxfId="6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616</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617</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7" priority="3">
      <formula>TEXT($C$104,"@")="Y"</formula>
    </cfRule>
  </conditionalFormatting>
  <conditionalFormatting sqref="H2:I101">
    <cfRule type="expression" dxfId="66" priority="2">
      <formula>$J2="X"</formula>
    </cfRule>
  </conditionalFormatting>
  <conditionalFormatting sqref="I2:I101">
    <cfRule type="expression" dxfId="6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4" priority="3">
      <formula>TEXT($C$104,"@")="Y"</formula>
    </cfRule>
  </conditionalFormatting>
  <conditionalFormatting sqref="H2:I101">
    <cfRule type="expression" dxfId="63" priority="2">
      <formula>$J2="X"</formula>
    </cfRule>
  </conditionalFormatting>
  <conditionalFormatting sqref="I2:I101">
    <cfRule type="expression" dxfId="6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620</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1" priority="3">
      <formula>TEXT($C$104,"@")="Y"</formula>
    </cfRule>
  </conditionalFormatting>
  <conditionalFormatting sqref="H2:I101">
    <cfRule type="expression" dxfId="60" priority="2">
      <formula>$J2="X"</formula>
    </cfRule>
  </conditionalFormatting>
  <conditionalFormatting sqref="I2:I101">
    <cfRule type="expression" dxfId="5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8" priority="3">
      <formula>TEXT($C$104,"@")="Y"</formula>
    </cfRule>
  </conditionalFormatting>
  <conditionalFormatting sqref="H2:I101">
    <cfRule type="expression" dxfId="57" priority="2">
      <formula>$J2="X"</formula>
    </cfRule>
  </conditionalFormatting>
  <conditionalFormatting sqref="I2:I101">
    <cfRule type="expression" dxfId="5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620</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615</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614</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5" priority="3">
      <formula>TEXT($C$104,"@")="Y"</formula>
    </cfRule>
  </conditionalFormatting>
  <conditionalFormatting sqref="H2:I101">
    <cfRule type="expression" dxfId="54" priority="2">
      <formula>$J2="X"</formula>
    </cfRule>
  </conditionalFormatting>
  <conditionalFormatting sqref="I2:I101">
    <cfRule type="expression" dxfId="5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786</v>
      </c>
      <c r="B19" s="47" t="s">
        <v>787</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580</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581</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582</v>
      </c>
      <c r="B36" s="47" t="s">
        <v>582</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583</v>
      </c>
      <c r="B37" s="47" t="s">
        <v>583</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585</v>
      </c>
      <c r="B50" s="47" t="s">
        <v>585</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584</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2" priority="3">
      <formula>TEXT($C$104,"@")="Y"</formula>
    </cfRule>
  </conditionalFormatting>
  <conditionalFormatting sqref="H2:I101">
    <cfRule type="expression" dxfId="51" priority="2">
      <formula>$J2="X"</formula>
    </cfRule>
  </conditionalFormatting>
  <conditionalFormatting sqref="I2:I101">
    <cfRule type="expression" dxfId="5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589</v>
      </c>
      <c r="B9" s="47" t="s">
        <v>604</v>
      </c>
      <c r="C9" s="48"/>
      <c r="D9" s="49">
        <v>73</v>
      </c>
      <c r="E9" s="49">
        <v>45</v>
      </c>
      <c r="F9" s="49" t="s">
        <v>596</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596</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605</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588</v>
      </c>
      <c r="B14" s="47" t="s">
        <v>606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587</v>
      </c>
      <c r="B17" s="47" t="s">
        <v>607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608</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592</v>
      </c>
      <c r="B20" s="47" t="s">
        <v>609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586</v>
      </c>
      <c r="B22" s="47" t="s">
        <v>610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611</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601</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591</v>
      </c>
      <c r="B28" s="47" t="s">
        <v>612</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600</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613</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9" priority="3">
      <formula>TEXT($C$104,"@")="Y"</formula>
    </cfRule>
  </conditionalFormatting>
  <conditionalFormatting sqref="H2:I101">
    <cfRule type="expression" dxfId="48" priority="2">
      <formula>$J2="X"</formula>
    </cfRule>
  </conditionalFormatting>
  <conditionalFormatting sqref="I2:I101">
    <cfRule type="expression" dxfId="47"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620</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581</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584</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618</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595</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696</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623</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624</v>
      </c>
      <c r="B50" s="47" t="s">
        <v>624</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6" priority="3">
      <formula>TEXT($C$104,"@")="Y"</formula>
    </cfRule>
  </conditionalFormatting>
  <conditionalFormatting sqref="H2:I101">
    <cfRule type="expression" dxfId="45" priority="2">
      <formula>$J2="X"</formula>
    </cfRule>
  </conditionalFormatting>
  <conditionalFormatting sqref="I2:I101">
    <cfRule type="expression" dxfId="44"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786</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620</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621</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587</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696</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622</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594</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3" priority="3">
      <formula>TEXT($C$104,"@")="Y"</formula>
    </cfRule>
  </conditionalFormatting>
  <conditionalFormatting sqref="H2:I101">
    <cfRule type="expression" dxfId="42" priority="2">
      <formula>$J2="X"</formula>
    </cfRule>
  </conditionalFormatting>
  <conditionalFormatting sqref="I2:I101">
    <cfRule type="expression" dxfId="41"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630</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581</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633</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588</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592</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632</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618</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594</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631</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591</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595</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40" priority="3">
      <formula>TEXT($C$104,"@")="Y"</formula>
    </cfRule>
  </conditionalFormatting>
  <conditionalFormatting sqref="H2:I101">
    <cfRule type="expression" dxfId="39" priority="2">
      <formula>$J2="X"</formula>
    </cfRule>
  </conditionalFormatting>
  <conditionalFormatting sqref="I2:I101">
    <cfRule type="expression" dxfId="38"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634</v>
      </c>
      <c r="B2" s="47" t="str">
        <f t="shared" ref="B2:B33" si="0">IF(A2="","",_xlfn.XLOOKUP(A2,ClubNames,ClubNumbers,_xlfn.XLOOKUP(A2,RoundRobinRiderNames,RoundRobinRiderDecoratedNames,A2)))</f>
        <v>Jeff Jones (LFCC)</v>
      </c>
      <c r="C2" s="47" t="s">
        <v>660</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635</v>
      </c>
      <c r="B3" s="47" t="str">
        <f t="shared" si="0"/>
        <v>Joshua Jones (LFCC)</v>
      </c>
      <c r="C3" s="47" t="s">
        <v>661</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636</v>
      </c>
      <c r="B4" s="47" t="str">
        <f t="shared" si="0"/>
        <v>Simon Jones (LFCC)</v>
      </c>
      <c r="C4" s="47" t="s">
        <v>662</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620</v>
      </c>
      <c r="B5" s="47">
        <f t="shared" si="0"/>
        <v>990</v>
      </c>
      <c r="C5" s="47" t="s">
        <v>663</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664</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695</v>
      </c>
      <c r="B7" s="47" t="str">
        <f t="shared" si="0"/>
        <v>Laura Ayres (MOCC)</v>
      </c>
      <c r="C7" s="47" t="s">
        <v>665</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637</v>
      </c>
      <c r="B8" s="47" t="str">
        <f t="shared" si="0"/>
        <v>Sue Bonsor (Ratae)</v>
      </c>
      <c r="C8" s="47" t="s">
        <v>666</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667</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668</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669</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670</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671</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672</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638</v>
      </c>
      <c r="B15" s="47" t="str">
        <f t="shared" si="0"/>
        <v>Shareeq S. Shaikh (BOB CC)</v>
      </c>
      <c r="C15" s="47" t="s">
        <v>673</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639</v>
      </c>
      <c r="B16" s="47" t="str">
        <f t="shared" si="0"/>
        <v>Marc Fairclough (Beeston RC)</v>
      </c>
      <c r="C16" s="47" t="s">
        <v>674</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641</v>
      </c>
      <c r="B17" s="47" t="str">
        <f t="shared" si="0"/>
        <v>Umair Nurgat (Gapped RT)</v>
      </c>
      <c r="C17" s="47" t="s">
        <v>675</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643</v>
      </c>
      <c r="B18" s="47" t="str">
        <f t="shared" si="0"/>
        <v>James Dexter (Coalville Wheelers)</v>
      </c>
      <c r="C18" s="47" t="s">
        <v>676</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644</v>
      </c>
      <c r="B19" s="47" t="str">
        <f t="shared" si="0"/>
        <v>Muhammad Sheikh (Gapped RT)</v>
      </c>
      <c r="C19" s="47" t="s">
        <v>677</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678</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645</v>
      </c>
      <c r="B21" s="47" t="str">
        <f t="shared" si="0"/>
        <v>Karl Williams (Ratae)</v>
      </c>
      <c r="C21" s="47" t="s">
        <v>679</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680</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681</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682</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786</v>
      </c>
      <c r="B25" s="47" t="str">
        <f t="shared" si="0"/>
        <v>Geoff Stanbridge (Fenland Clarion) (Ratae)</v>
      </c>
      <c r="C25" s="47" t="s">
        <v>683</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646</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647</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690</v>
      </c>
      <c r="B28" s="47" t="str">
        <f t="shared" si="0"/>
        <v>Steve Walsh (LFCC)</v>
      </c>
      <c r="C28" s="47" t="s">
        <v>648</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649</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650</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651</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652</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653</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691</v>
      </c>
      <c r="B34" s="47" t="str">
        <f t="shared" ref="B34:B97" si="3">IF(A34="","",_xlfn.XLOOKUP(A34,ClubNames,ClubNumbers,_xlfn.XLOOKUP(A34,RoundRobinRiderNames,RoundRobinRiderDecoratedNames,A34)))</f>
        <v>Tom Swan (Speedhub)</v>
      </c>
      <c r="C34" s="47" t="s">
        <v>654</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692</v>
      </c>
      <c r="B35" s="47" t="str">
        <f t="shared" si="3"/>
        <v>Tom Scott-Collins (Velo Elite)</v>
      </c>
      <c r="C35" s="47" t="s">
        <v>655</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593</v>
      </c>
      <c r="B36" s="47" t="str">
        <f t="shared" si="3"/>
        <v>Mohammed Nurgat (BOB CC)</v>
      </c>
      <c r="C36" s="47" t="s">
        <v>656</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694</v>
      </c>
      <c r="B37" s="47" t="str">
        <f t="shared" si="3"/>
        <v>Ali Nurgat (BOB CC)</v>
      </c>
      <c r="C37" s="47" t="s">
        <v>657</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684</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685</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686</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658</v>
      </c>
      <c r="B41" s="47" t="str">
        <f t="shared" si="3"/>
        <v>Brigitte Gaillard (Ratae)</v>
      </c>
      <c r="C41" s="47" t="s">
        <v>687</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659</v>
      </c>
      <c r="B42" s="47" t="str">
        <f t="shared" si="3"/>
        <v>Peter Kott (Ratae)</v>
      </c>
      <c r="C42" s="47" t="s">
        <v>688</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7" priority="3">
      <formula>TEXT($D$104,"@")="Y"</formula>
    </cfRule>
  </conditionalFormatting>
  <conditionalFormatting sqref="I2:J101">
    <cfRule type="expression" dxfId="36" priority="2">
      <formula>$K2="X"</formula>
    </cfRule>
  </conditionalFormatting>
  <conditionalFormatting sqref="J2:J101">
    <cfRule type="expression" dxfId="35"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709</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716</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710</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620</v>
      </c>
      <c r="B5" s="47">
        <f t="shared" si="0"/>
        <v>990</v>
      </c>
      <c r="C5" s="47" t="s">
        <v>711</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786</v>
      </c>
      <c r="B6" s="47" t="str">
        <f t="shared" si="0"/>
        <v>Geoff Stanbridge (Fenland Clarion) (Ratae)</v>
      </c>
      <c r="C6" s="47" t="s">
        <v>712</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658</v>
      </c>
      <c r="B7" s="47" t="str">
        <f t="shared" si="0"/>
        <v>Brigitte Gaillard (Ratae)</v>
      </c>
      <c r="C7" s="47" t="s">
        <v>708</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690</v>
      </c>
      <c r="B8" s="47" t="str">
        <f t="shared" si="0"/>
        <v>Steve Walsh (LFCC)</v>
      </c>
      <c r="C8" s="47" t="s">
        <v>713</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714</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699</v>
      </c>
      <c r="B10" s="47" t="str">
        <f t="shared" si="0"/>
        <v>Joe Murray (M.I. Racing) (HCRC)</v>
      </c>
      <c r="C10" s="47" t="s">
        <v>715</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669</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733</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670</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671</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672</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673</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674</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675</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676</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677</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678</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595</v>
      </c>
      <c r="B22" s="47">
        <f t="shared" si="0"/>
        <v>1390</v>
      </c>
      <c r="C22" s="47" t="s">
        <v>679</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698</v>
      </c>
      <c r="B23" s="47" t="str">
        <f t="shared" si="0"/>
        <v>Zoe Shepherd (M.I. Racing)</v>
      </c>
      <c r="C23" s="47" t="s">
        <v>680</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681</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696</v>
      </c>
      <c r="B25" s="47" t="str">
        <f t="shared" si="0"/>
        <v>Paul Akroyd (VTTA E.Mids)</v>
      </c>
      <c r="C25" s="47" t="s">
        <v>682</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683</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646</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647</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648</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649</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618</v>
      </c>
      <c r="B31" s="47">
        <f t="shared" si="0"/>
        <v>1391</v>
      </c>
      <c r="C31" s="47" t="s">
        <v>650</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651</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652</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653</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634</v>
      </c>
      <c r="B35" s="47" t="str">
        <f t="shared" si="3"/>
        <v>Jeff Jones (LFCC)</v>
      </c>
      <c r="C35" s="47" t="s">
        <v>654</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720</v>
      </c>
      <c r="B36" s="47" t="str">
        <f t="shared" si="3"/>
        <v>Josh Jones (LFCC)</v>
      </c>
      <c r="C36" s="47" t="s">
        <v>655</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636</v>
      </c>
      <c r="B37" s="47" t="str">
        <f t="shared" si="3"/>
        <v>Simon Jones (LFCC)</v>
      </c>
      <c r="C37" s="47" t="s">
        <v>656</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657</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684</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685</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721</v>
      </c>
      <c r="B41" s="47" t="str">
        <f t="shared" si="3"/>
        <v>David Mead (M.I. Racing)</v>
      </c>
      <c r="C41" s="47" t="s">
        <v>686</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687</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688</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722</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717</v>
      </c>
      <c r="B45" s="47" t="str">
        <f t="shared" si="3"/>
        <v>Mark Wise (M.I. Racing)</v>
      </c>
      <c r="C45" s="47" t="s">
        <v>723</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724</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749</v>
      </c>
      <c r="B47" s="47" t="str">
        <f t="shared" si="3"/>
        <v>David Alexander (Coalville Wheelers)</v>
      </c>
      <c r="C47" s="47" t="s">
        <v>725</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726</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727</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719</v>
      </c>
      <c r="B50" s="47" t="str">
        <f t="shared" si="3"/>
        <v>David Melhuish (Cov Tri)</v>
      </c>
      <c r="C50" s="47" t="s">
        <v>728</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718</v>
      </c>
      <c r="B51" s="47" t="str">
        <f t="shared" si="3"/>
        <v>Alex Williamson (Cov Tri)</v>
      </c>
      <c r="C51" s="47" t="s">
        <v>729</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730</v>
      </c>
      <c r="B52" s="47" t="str">
        <f t="shared" si="3"/>
        <v>Simon Law (M.I. Racing)</v>
      </c>
      <c r="C52" s="47" t="s">
        <v>731</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732</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4" priority="3">
      <formula>TEXT($D$104,"@")="Y"</formula>
    </cfRule>
  </conditionalFormatting>
  <conditionalFormatting sqref="I2:J101">
    <cfRule type="expression" dxfId="33" priority="2">
      <formula>$K2="X"</formula>
    </cfRule>
  </conditionalFormatting>
  <conditionalFormatting sqref="J2:J101">
    <cfRule type="expression" dxfId="32"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735</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738</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736</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737</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696</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618</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741</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595</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739</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596</v>
      </c>
      <c r="G25" s="49" t="s">
        <v>554</v>
      </c>
      <c r="H25" s="50" t="str">
        <f>IF($B25="","",IF($J25="X",B25,CONCATENATE(VLOOKUP(B25,Competitors!$A$2:$I$650,3,FALSE)," ",VLOOKUP(B25,Competitors!$A$2:$I$650,2,FALSE))))</f>
        <v>Ethan Marsh</v>
      </c>
      <c r="I25" s="51">
        <f t="shared" si="1"/>
        <v>0</v>
      </c>
      <c r="J25" t="str">
        <f t="shared" si="2"/>
        <v/>
      </c>
    </row>
    <row r="26" spans="1:10" ht="15">
      <c r="A26" s="46" t="s">
        <v>634</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636</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720</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740</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658</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1" priority="3">
      <formula>TEXT($C$104,"@")="Y"</formula>
    </cfRule>
  </conditionalFormatting>
  <conditionalFormatting sqref="H2:I101">
    <cfRule type="expression" dxfId="30" priority="2">
      <formula>$J2="X"</formula>
    </cfRule>
  </conditionalFormatting>
  <conditionalFormatting sqref="I2:I101">
    <cfRule type="expression" dxfId="29"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742</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594</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634</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636</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720</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743</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744</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776</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620</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735</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745</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692</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633</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581</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747</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690</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641</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786</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694</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8" priority="3">
      <formula>TEXT($C$104,"@")="Y"</formula>
    </cfRule>
  </conditionalFormatting>
  <conditionalFormatting sqref="H2:I101">
    <cfRule type="expression" dxfId="27" priority="2">
      <formula>$J2="X"</formula>
    </cfRule>
  </conditionalFormatting>
  <conditionalFormatting sqref="I2:I101">
    <cfRule type="expression" dxfId="26"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620</v>
      </c>
      <c r="B2" s="47">
        <f t="shared" ref="B2:B42" si="0">IF(A2="","",_xlfn.XLOOKUP(A2,ClubNames,ClubNumbers,_xlfn.XLOOKUP(A2,RoundRobinRiderNames,RoundRobinRiderDecoratedNames,A2)))</f>
        <v>990</v>
      </c>
      <c r="C2" s="47" t="s">
        <v>709</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748</v>
      </c>
      <c r="B3" s="47" t="str">
        <f t="shared" si="0"/>
        <v>Angus Gordon (Rugby RCC)</v>
      </c>
      <c r="C3" s="47" t="s">
        <v>716</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710</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711</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712</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708</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713</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714</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581</v>
      </c>
      <c r="B10" s="47">
        <f t="shared" si="0"/>
        <v>1370</v>
      </c>
      <c r="C10" s="47" t="s">
        <v>715</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669</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670</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671</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672</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673</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749</v>
      </c>
      <c r="B16" s="47" t="str">
        <f t="shared" si="0"/>
        <v>David Alexander (Coalville Wheelers)</v>
      </c>
      <c r="C16" s="47" t="s">
        <v>674</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675</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751</v>
      </c>
      <c r="B18" s="47" t="str">
        <f t="shared" si="0"/>
        <v>Steve Evans (HCRC)</v>
      </c>
      <c r="C18" s="47" t="s">
        <v>676</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677</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750</v>
      </c>
      <c r="B20" s="47" t="str">
        <f t="shared" si="0"/>
        <v>Esme Shipman</v>
      </c>
      <c r="C20" s="47" t="s">
        <v>678</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679</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752</v>
      </c>
      <c r="B22" s="47">
        <f t="shared" si="0"/>
        <v>1357</v>
      </c>
      <c r="C22" s="47" t="s">
        <v>680</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753</v>
      </c>
      <c r="B23" s="47" t="str">
        <f t="shared" si="0"/>
        <v>Julian Church (Worcester St. Johns CC)</v>
      </c>
      <c r="C23" s="47" t="s">
        <v>681</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755</v>
      </c>
      <c r="B24" s="47" t="str">
        <f t="shared" si="0"/>
        <v>Oliver Church (Worcester St. Johns CC)</v>
      </c>
      <c r="C24" s="47" t="s">
        <v>682</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683</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646</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647</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595</v>
      </c>
      <c r="B28" s="47">
        <f t="shared" si="0"/>
        <v>1390</v>
      </c>
      <c r="C28" s="47" t="s">
        <v>648</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649</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594</v>
      </c>
      <c r="B30" s="47" t="str">
        <f t="shared" si="0"/>
        <v>Evan Collett (G Fox) (KCC)</v>
      </c>
      <c r="C30" s="47" t="s">
        <v>650</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651</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652</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653</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654</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696</v>
      </c>
      <c r="B35" s="47" t="str">
        <f t="shared" si="0"/>
        <v>Paul Akroyd (VTTA E.Mids)</v>
      </c>
      <c r="C35" s="47" t="s">
        <v>655</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656</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690</v>
      </c>
      <c r="B37" s="47" t="str">
        <f t="shared" si="0"/>
        <v>Steve Walsh (LFCC)</v>
      </c>
      <c r="C37" s="47" t="s">
        <v>657</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684</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685</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686</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658</v>
      </c>
      <c r="B41" s="47" t="str">
        <f t="shared" si="0"/>
        <v>Brigitte Gaillard (Ratae)</v>
      </c>
      <c r="C41" s="47" t="s">
        <v>687</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688</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722</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723</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634</v>
      </c>
      <c r="B45" s="47" t="str">
        <f t="shared" si="3"/>
        <v>Jeff Jones (LFCC)</v>
      </c>
      <c r="C45" s="47" t="s">
        <v>724</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636</v>
      </c>
      <c r="B46" s="47" t="str">
        <f t="shared" si="3"/>
        <v>Simon Jones (LFCC)</v>
      </c>
      <c r="C46" s="47" t="s">
        <v>725</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720</v>
      </c>
      <c r="B47" s="47" t="str">
        <f t="shared" si="3"/>
        <v>Josh Jones (LFCC)</v>
      </c>
      <c r="C47" s="47" t="s">
        <v>726</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727</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756</v>
      </c>
      <c r="B49" s="47" t="str">
        <f t="shared" si="3"/>
        <v>Amy Whitmore</v>
      </c>
      <c r="C49" s="47" t="s">
        <v>728</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757</v>
      </c>
      <c r="B50" s="47" t="str">
        <f t="shared" si="3"/>
        <v>Alice Watson</v>
      </c>
      <c r="C50" s="47" t="s">
        <v>729</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731</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732</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758</v>
      </c>
      <c r="B53" s="47" t="str">
        <f t="shared" si="3"/>
        <v>Andy Logie (SSVC)</v>
      </c>
      <c r="C53" s="47" t="s">
        <v>760</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761</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762</v>
      </c>
      <c r="B55" s="47" t="str">
        <f t="shared" si="3"/>
        <v>Simon Thomas (SSVC)</v>
      </c>
      <c r="C55" s="47" t="s">
        <v>763</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764</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765</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766</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767</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721</v>
      </c>
      <c r="B60" s="47" t="str">
        <f t="shared" si="3"/>
        <v>David Mead (M.I. Racing)</v>
      </c>
      <c r="C60" s="47" t="s">
        <v>768</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769</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5" priority="1">
      <formula>TEXT($C$104,"@")="Y"</formula>
    </cfRule>
  </conditionalFormatting>
  <conditionalFormatting sqref="F91:F101">
    <cfRule type="expression" dxfId="24" priority="4">
      <formula>TEXT($D$104,"@")="Y"</formula>
    </cfRule>
  </conditionalFormatting>
  <conditionalFormatting sqref="I2:J101">
    <cfRule type="expression" dxfId="23" priority="3">
      <formula>$K2="X"</formula>
    </cfRule>
  </conditionalFormatting>
  <conditionalFormatting sqref="J2:J101">
    <cfRule type="expression" dxfId="22"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620</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775</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581</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786</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735</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776</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594</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595</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696</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618</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690</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624</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1" priority="3">
      <formula>TEXT($C$104,"@")="Y"</formula>
    </cfRule>
  </conditionalFormatting>
  <conditionalFormatting sqref="H2:I101">
    <cfRule type="expression" dxfId="20" priority="2">
      <formula>$J2="X"</formula>
    </cfRule>
  </conditionalFormatting>
  <conditionalFormatting sqref="I2:I101">
    <cfRule type="expression" dxfId="19"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581</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777</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620</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779</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658</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786</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781</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590</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782</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579</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690</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783</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735</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594</v>
      </c>
      <c r="B37" s="47" t="str">
        <f t="shared" si="3"/>
        <v>Evan Collett (G Fox) (KCC)</v>
      </c>
      <c r="C37" s="59"/>
      <c r="D37" s="59">
        <v>25</v>
      </c>
      <c r="E37" s="59">
        <v>31</v>
      </c>
      <c r="F37" s="49"/>
      <c r="G37" s="59"/>
      <c r="H37" s="50" t="str">
        <f>IF($B37="","",IF($J37="X",B37,CONCATENATE(VLOOKUP(B37,Competitors!$A$2:$I$650,3,FALSE)," ",VLOOKUP(B37,Competitors!$A$2:$I$650,2,FALSE))))</f>
        <v>Evan Collett (G Fox) (KCC)</v>
      </c>
      <c r="I37" s="51">
        <f t="shared" si="1"/>
        <v>1.7719907407407406E-2</v>
      </c>
      <c r="J37" t="str">
        <f t="shared" si="2"/>
        <v>X</v>
      </c>
    </row>
    <row r="38" spans="1:10" ht="15">
      <c r="A38" s="46" t="s">
        <v>622</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784</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633</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785</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8" priority="3">
      <formula>TEXT($C$104,"@")="Y"</formula>
    </cfRule>
  </conditionalFormatting>
  <conditionalFormatting sqref="H2:I101">
    <cfRule type="expression" dxfId="17" priority="2">
      <formula>$J2="X"</formula>
    </cfRule>
  </conditionalFormatting>
  <conditionalFormatting sqref="I2:I101">
    <cfRule type="expression" dxfId="16"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735</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788</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789</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790</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581</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791</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634</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636</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720</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595</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618</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792</v>
      </c>
      <c r="B26" s="47" t="str">
        <f t="shared" si="0"/>
        <v>Daniel Town (Beeston RC)</v>
      </c>
      <c r="C26" s="48"/>
      <c r="D26" s="49">
        <v>24</v>
      </c>
      <c r="E26" s="49">
        <v>2</v>
      </c>
      <c r="F26" s="49" t="s">
        <v>545</v>
      </c>
      <c r="G26" s="49"/>
      <c r="H26" s="50" t="str">
        <f>IF($B26="","",IF($J26="X",B26,CONCATENATE(VLOOKUP(B26,Competitors!$A$2:$I$650,3,FALSE)," ",VLOOKUP(B26,Competitors!$A$2:$I$650,2,FALSE))))</f>
        <v>Daniel Town (Beeston RC)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741</v>
      </c>
      <c r="B28" s="47" t="str">
        <f t="shared" si="0"/>
        <v>Harriet Hughes (Beeston RC) (LFCC)</v>
      </c>
      <c r="C28" s="48"/>
      <c r="D28" s="49">
        <v>29</v>
      </c>
      <c r="E28" s="49">
        <v>26</v>
      </c>
      <c r="F28" s="49" t="s">
        <v>545</v>
      </c>
      <c r="G28" s="49"/>
      <c r="H28" s="50" t="str">
        <f>IF($B28="","",IF($J28="X",B28,CONCATENATE(VLOOKUP(B28,Competitors!$A$2:$I$650,3,FALSE)," ",VLOOKUP(B28,Competitors!$A$2:$I$650,2,FALSE))))</f>
        <v>Harriet Hughes (Beeston RC)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594</v>
      </c>
      <c r="B30" s="47" t="str">
        <f t="shared" si="0"/>
        <v>Evan Collett (G Fox) (KCC)</v>
      </c>
      <c r="C30" s="48"/>
      <c r="D30" s="49">
        <v>24</v>
      </c>
      <c r="E30" s="49">
        <v>45</v>
      </c>
      <c r="F30" s="49"/>
      <c r="G30" s="49"/>
      <c r="H30" s="50" t="str">
        <f>IF($B30="","",IF($J30="X",B30,CONCATENATE(VLOOKUP(B30,Competitors!$A$2:$I$650,3,FALSE)," ",VLOOKUP(B30,Competitors!$A$2:$I$650,2,FALSE))))</f>
        <v>Evan Collett (G Fox)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H2:I101">
    <cfRule type="expression" dxfId="14" priority="3">
      <formula>$J2="X"</formula>
    </cfRule>
  </conditionalFormatting>
  <conditionalFormatting sqref="I2:I101">
    <cfRule type="expression" dxfId="13" priority="2">
      <formula>TEXT($C$104,"@")="Y"</formula>
    </cfRule>
  </conditionalFormatting>
  <conditionalFormatting sqref="E2:E101">
    <cfRule type="expression" dxfId="0"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2" priority="3">
      <formula>TEXT($C$104,"@")="Y"</formula>
    </cfRule>
  </conditionalFormatting>
  <conditionalFormatting sqref="H2:I101">
    <cfRule type="expression" dxfId="11" priority="2">
      <formula>$J2="X"</formula>
    </cfRule>
  </conditionalFormatting>
  <conditionalFormatting sqref="I2:I101">
    <cfRule type="expression" dxfId="10"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9" priority="3">
      <formula>TEXT($C$104,"@")="Y"</formula>
    </cfRule>
  </conditionalFormatting>
  <conditionalFormatting sqref="H2:I101">
    <cfRule type="expression" dxfId="8" priority="2">
      <formula>$J2="X"</formula>
    </cfRule>
  </conditionalFormatting>
  <conditionalFormatting sqref="I2:I101">
    <cfRule type="expression" dxfId="7"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6" priority="3">
      <formula>TEXT($C$104,"@")="Y"</formula>
    </cfRule>
  </conditionalFormatting>
  <conditionalFormatting sqref="H2:I101">
    <cfRule type="expression" dxfId="5" priority="2">
      <formula>$J2="X"</formula>
    </cfRule>
  </conditionalFormatting>
  <conditionalFormatting sqref="I2:I101">
    <cfRule type="expression" dxfId="4"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3" priority="3">
      <formula>TEXT($C$104,"@")="Y"</formula>
    </cfRule>
  </conditionalFormatting>
  <conditionalFormatting sqref="H2:I101">
    <cfRule type="expression" dxfId="2" priority="2">
      <formula>$J2="X"</formula>
    </cfRule>
  </conditionalFormatting>
  <conditionalFormatting sqref="I2:I101">
    <cfRule type="expression" dxfId="1"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2026-08-18T19:51:40Z</dcterms:modified>
</cp:coreProperties>
</file>