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36A7B11A-87CA-4DBE-861F-BAA4F4BFE00E}" xr6:coauthVersionLast="47" xr6:coauthVersionMax="47" xr10:uidLastSave="{00000000-0000-0000-0000-000000000000}"/>
  <bookViews>
    <workbookView xWindow="-83" yWindow="0" windowWidth="14566" windowHeight="17363" firstSheet="14" activeTab="1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I4" i="11"/>
  <c r="B5" i="11"/>
  <c r="I5" i="11"/>
  <c r="B6" i="11"/>
  <c r="I6" i="11"/>
  <c r="B7" i="11"/>
  <c r="I7" i="11"/>
  <c r="B8" i="11"/>
  <c r="I8" i="11"/>
  <c r="B9" i="11"/>
  <c r="I9" i="11"/>
  <c r="B10" i="11"/>
  <c r="I10" i="11"/>
  <c r="B11" i="11"/>
  <c r="I11" i="11"/>
  <c r="B12" i="11"/>
  <c r="I12" i="11"/>
  <c r="B13" i="11"/>
  <c r="I13" i="11"/>
  <c r="B14" i="11"/>
  <c r="I14" i="11"/>
  <c r="B15" i="11"/>
  <c r="I15" i="11"/>
  <c r="B16" i="11"/>
  <c r="I16" i="11"/>
  <c r="B17" i="11"/>
  <c r="I17" i="11"/>
  <c r="B18" i="11"/>
  <c r="I18" i="11"/>
  <c r="B19" i="11"/>
  <c r="I19" i="11"/>
  <c r="B20" i="11"/>
  <c r="I20" i="11"/>
  <c r="B21" i="11"/>
  <c r="I21" i="11"/>
  <c r="B22" i="11"/>
  <c r="I22" i="11"/>
  <c r="B23" i="11"/>
  <c r="I23" i="11"/>
  <c r="B24" i="11"/>
  <c r="I24" i="11"/>
  <c r="B25" i="11"/>
  <c r="I25" i="11"/>
  <c r="B26" i="11"/>
  <c r="I26" i="11"/>
  <c r="B27" i="11"/>
  <c r="I27" i="11"/>
  <c r="B28" i="11"/>
  <c r="I28" i="11"/>
  <c r="B29" i="11"/>
  <c r="I29" i="11"/>
  <c r="B30" i="11"/>
  <c r="I30" i="11"/>
  <c r="B31" i="11"/>
  <c r="I31" i="11"/>
  <c r="B32" i="1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H20" i="11" l="1"/>
  <c r="H11" i="11"/>
  <c r="H13" i="11"/>
  <c r="H9" i="11"/>
  <c r="J18" i="8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 s="1"/>
  <c r="J6" i="11"/>
  <c r="H6" i="11"/>
  <c r="J12" i="11"/>
  <c r="H12" i="11"/>
  <c r="J14" i="11"/>
  <c r="H14" i="11" s="1"/>
  <c r="J17" i="11"/>
  <c r="H17" i="11" s="1"/>
  <c r="J19" i="11"/>
  <c r="H19" i="11" s="1"/>
  <c r="J21" i="11"/>
  <c r="H21" i="11"/>
  <c r="J22" i="11"/>
  <c r="H22" i="11"/>
  <c r="J26" i="11"/>
  <c r="H26" i="11"/>
  <c r="J30" i="11"/>
  <c r="H30" i="11" s="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H2" i="11" s="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H4" i="11" s="1"/>
  <c r="J5" i="11"/>
  <c r="H5" i="11" s="1"/>
  <c r="J7" i="11"/>
  <c r="H7" i="11" s="1"/>
  <c r="J8" i="11"/>
  <c r="H8" i="11" s="1"/>
  <c r="J9" i="11"/>
  <c r="J10" i="11"/>
  <c r="H10" i="11" s="1"/>
  <c r="J11" i="11"/>
  <c r="J13" i="11"/>
  <c r="J15" i="11"/>
  <c r="H15" i="11" s="1"/>
  <c r="J16" i="11"/>
  <c r="H16" i="11" s="1"/>
  <c r="J18" i="11"/>
  <c r="H18" i="11" s="1"/>
  <c r="J20" i="11"/>
  <c r="J23" i="11"/>
  <c r="H23" i="11" s="1"/>
  <c r="J24" i="11"/>
  <c r="H24" i="11" s="1"/>
  <c r="J25" i="11"/>
  <c r="H25" i="11" s="1"/>
  <c r="J27" i="11"/>
  <c r="H27" i="11" s="1"/>
  <c r="J28" i="11"/>
  <c r="H28" i="11" s="1"/>
  <c r="J29" i="11"/>
  <c r="H29" i="11" s="1"/>
  <c r="J32" i="11"/>
  <c r="H32" i="11" s="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<sst xmlns="http://schemas.openxmlformats.org/spreadsheetml/2006/main" count="7727" uniqueCount="545">
  <si>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</si>
  <si>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</si>
  <si>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</si>
  <si>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</si>
  <si>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</si>
  <si>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</si>
  <si>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</si>
  <si>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</si>
  <si>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</si>
  <si>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</si>
  <si>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</si>
  <si>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</si>
  <si>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</si>
  <si>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</si>
  <si>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</si>
  <si>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</si>
  <si>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</si>
  <si>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</si>
  <si>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</si>
  <si>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</si>
  <si>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</si>
  <si>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</si>
  <si>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</si>
  <si>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</si>
  <si>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</si>
  <si>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</si>
  <si>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</si>
  <si>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</si>
  <si>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</si>
  <si>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</si>
  <si>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</si>
  <si>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</si>
  <si>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</si>
  <si>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</si>
  <si>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</si>
  <si>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</si>
  <si>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</si>
  <si>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</si>
  <si>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</si>
  <si>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</si>
  <si>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</si>
  <si>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</si>
  <si>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</si>
  <si>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</si>
  <si>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</si>
  <si>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</si>
  <si>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</si>
  <si>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</si>
  <si>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</si>
  <si>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</si>
  <si>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</si>
  <si>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</si>
  <si>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</si>
  <si>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</si>
  <si>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</si>
  <si>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</si>
  <si>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</si>
  <si>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</si>
  <si>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</si>
  <si>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</si>
  <si>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</si>
  <si>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</si>
  <si>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</si>
  <si>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</si>
  <si>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</si>
  <si>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</si>
  <si>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</si>
  <si>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</si>
  <si>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</si>
  <si>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</si>
  <si>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</si>
  <si>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</si>
  <si>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</si>
  <si>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</si>
  <si>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</si>
  <si>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</si>
  <si>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</si>
  <si>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</si>
  <si>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</si>
  <si>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</si>
  <si>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</si>
  <si>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</si>
  <si>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</si>
  <si>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</si>
  <si>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</si>
  <si>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</si>
  <si>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</si>
  <si>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</si>
  <si>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</si>
  <si>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</si>
  <si>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</si>
  <si>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</si>
  <si>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</si>
  <si>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</si>
  <si>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</si>
  <si>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</si>
  <si>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</si>
  <si>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</si>
  <si>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</si>
  <si>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</si>
  <si>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</si>
  <si>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</si>
  <si>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</si>
  <si>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</si>
  <si>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</si>
  <si>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</si>
  <si>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</si>
  <si>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</si>
  <si>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</si>
  <si>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</si>
  <si>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</si>
  <si>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</si>
  <si>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</si>
  <si>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</si>
  <si>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</si>
  <si>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</si>
  <si>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</si>
  <si>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</si>
  <si>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</si>
  <si>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</si>
  <si>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</si>
  <si>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</si>
  <si>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</si>
  <si>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</si>
  <si>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</si>
  <si>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</si>
  <si>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</si>
  <si>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</si>
  <si>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</si>
  <si>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</si>
  <si>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</si>
  <si>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</si>
  <si>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</si>
  <si>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</si>
  <si>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</si>
  <si>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</si>
  <si>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</si>
  <si>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</si>
  <si>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</si>
  <si>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</si>
  <si>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</si>
  <si>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</si>
  <si>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</si>
  <si>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</si>
  <si>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</si>
  <si>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</si>
  <si>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</si>
  <si>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</si>
  <si>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</si>
  <si>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</si>
  <si>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</si>
  <si>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</si>
  <si>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</si>
  <si>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</si>
  <si>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</si>
  <si>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</si>
  <si>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</si>
  <si>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</si>
  <si>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</si>
  <si>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</si>
  <si>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</si>
  <si>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</si>
  <si>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</si>
  <si>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</si>
  <si>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</si>
  <si>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</si>
  <si>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</si>
  <si>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</si>
  <si>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</si>
  <si>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</si>
  <si>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</si>
  <si>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</si>
  <si>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</si>
  <si>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</si>
  <si>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</si>
  <si>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</si>
  <si>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</si>
  <si>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</si>
  <si>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</si>
  <si>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</si>
  <si>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</si>
  <si>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</si>
  <si>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</si>
  <si>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</si>
  <si>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</si>
  <si>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</si>
  <si>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</si>
  <si>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</si>
  <si>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</si>
  <si>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</si>
  <si>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</si>
  <si>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</si>
  <si>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</si>
  <si>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</si>
  <si>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</si>
  <si>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</si>
  <si>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</si>
  <si>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</si>
  <si>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</si>
  <si>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</si>
  <si>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</si>
  <si>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</si>
  <si>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</si>
  <si>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</si>
  <si>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</si>
  <si>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</si>
  <si>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</si>
  <si>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</si>
  <si>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</si>
  <si>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</si>
  <si>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</si>
  <si>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</si>
  <si>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</si>
  <si>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</si>
  <si>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</si>
  <si>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</si>
  <si>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</si>
  <si>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</si>
  <si>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</si>
  <si>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</si>
  <si>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</si>
  <si>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</si>
  <si>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</si>
  <si>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</si>
  <si>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</si>
  <si>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</si>
  <si>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</si>
  <si>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</si>
  <si>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</si>
  <si>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</si>
  <si>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</si>
  <si>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</si>
  <si>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</si>
  <si>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</si>
  <si>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</si>
  <si>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</si>
  <si>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</si>
  <si>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</si>
  <si>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</si>
  <si>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</si>
  <si>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</si>
  <si>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</si>
  <si>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</si>
  <si>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</si>
  <si>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</si>
  <si>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</si>
  <si>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</si>
  <si>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</si>
  <si>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</si>
  <si>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</si>
  <si>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</si>
  <si>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</si>
  <si>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</si>
  <si>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</si>
  <si>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</si>
  <si>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</si>
  <si>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</si>
  <si>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</si>
  <si>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</si>
  <si>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</si>
  <si>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</si>
  <si>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</si>
  <si>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</si>
  <si>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</si>
  <si>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</si>
  <si>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</si>
  <si>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</si>
  <si>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</si>
  <si>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</si>
  <si>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</si>
  <si>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</si>
  <si>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</si>
  <si>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</si>
  <si>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</si>
  <si>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</si>
  <si>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</si>
  <si>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</si>
  <si>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</si>
  <si>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</si>
  <si>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</si>
  <si>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</si>
  <si>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</si>
  <si>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</si>
  <si>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</si>
  <si>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</si>
  <si>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</si>
  <si>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</si>
  <si>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</si>
  <si>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</si>
  <si>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</si>
  <si>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</si>
  <si>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</si>
  <si>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</si>
  <si>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</si>
  <si>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</si>
  <si>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</si>
  <si>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</si>
  <si>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</si>
  <si>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</si>
  <si>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</si>
  <si>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</si>
  <si>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</si>
  <si>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</si>
  <si>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</si>
  <si>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</si>
  <si>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</si>
  <si>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</si>
  <si>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</si>
  <si>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</si>
  <si>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</si>
  <si>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</si>
  <si>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</si>
  <si>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</si>
  <si>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</si>
  <si>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</si>
  <si>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</si>
  <si>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</si>
  <si>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</si>
  <si>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</si>
  <si>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</si>
  <si>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</si>
  <si>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</si>
  <si>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</si>
  <si>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</si>
  <si>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</si>
  <si>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</si>
  <si>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</si>
  <si>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</si>
  <si>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</si>
  <si>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</si>
  <si>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</si>
  <si>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</si>
  <si>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</si>
  <si>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</si>
  <si>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</si>
  <si>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</si>
  <si>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</si>
  <si>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</si>
  <si>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</si>
  <si>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</si>
  <si>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</si>
  <si>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</si>
  <si>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</si>
  <si>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</si>
  <si>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</si>
  <si>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</si>
  <si>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</si>
  <si>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</si>
  <si>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</si>
  <si>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</si>
  <si>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</si>
  <si>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</si>
  <si>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</si>
  <si>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</si>
  <si>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</si>
  <si>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</si>
  <si>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</si>
  <si>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</si>
  <si>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</si>
  <si>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</si>
  <si>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</si>
  <si>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</si>
  <si>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</si>
  <si>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</si>
  <si>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</si>
  <si>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</si>
  <si>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</si>
  <si>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</si>
  <si>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</si>
  <si>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</si>
  <si>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</si>
  <si>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</si>
  <si>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</si>
  <si>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</si>
  <si>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</si>
  <si>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</si>
  <si>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</si>
  <si>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</si>
  <si>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</si>
  <si>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</si>
  <si>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</si>
  <si>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</si>
  <si>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</si>
  <si>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</si>
  <si>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</si>
  <si>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</si>
  <si>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</si>
  <si>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</si>
  <si>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</si>
  <si>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</si>
  <si>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</si>
  <si>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</si>
  <si>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</si>
  <si>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</si>
  <si>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</si>
  <si>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</si>
  <si>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</si>
  <si>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</si>
  <si>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</si>
  <si>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</si>
  <si>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</si>
  <si>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</si>
  <si>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</si>
  <si>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</si>
  <si>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</si>
  <si>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</si>
  <si>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</si>
  <si>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</si>
  <si>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</si>
  <si>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</si>
  <si>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</si>
  <si>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</si>
  <si>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</si>
  <si>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</si>
  <si>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</si>
  <si>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</si>
  <si>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</si>
  <si>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</si>
  <si>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</si>
  <si>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</si>
  <si>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</si>
  <si>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</si>
  <si>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</si>
  <si>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</si>
  <si>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</si>
  <si>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</si>
  <si>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</si>
  <si>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</si>
  <si>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</si>
  <si>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</si>
  <si>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</si>
  <si>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</si>
  <si>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</si>
  <si>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</si>
  <si>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</si>
  <si>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</si>
  <si>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</si>
  <si>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</si>
  <si>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</si>
  <si>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</si>
  <si>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</si>
  <si>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</si>
  <si>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</si>
  <si>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</si>
  <si>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</si>
  <si>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</si>
  <si>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</si>
  <si>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</si>
  <si>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</si>
  <si>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</si>
  <si>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</si>
  <si>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</si>
  <si>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</si>
  <si>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</si>
  <si>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</si>
  <si>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</si>
  <si>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</si>
  <si>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</si>
  <si>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</si>
  <si>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</si>
  <si>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</si>
  <si>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</si>
  <si>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</si>
  <si>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</si>
  <si>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</si>
  <si>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</si>
  <si>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</si>
  <si>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</si>
  <si>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</si>
  <si>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</si>
  <si>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</si>
  <si>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</si>
  <si>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</si>
  <si>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</si>
  <si>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</si>
  <si>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</si>
  <si>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</si>
  <si>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</si>
  <si>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</si>
  <si>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</si>
  <si>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</si>
  <si>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</si>
  <si>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</si>
  <si>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</si>
  <si>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</si>
  <si>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</si>
  <si>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</si>
  <si>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</si>
  <si>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</si>
  <si>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</si>
  <si>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</si>
  <si>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</si>
  <si>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</si>
  <si>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</si>
  <si>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</si>
  <si>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</si>
  <si>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</si>
  <si>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</si>
  <si>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</si>
  <si>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</si>
  <si>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</si>
  <si>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</si>
  <si>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</si>
  <si>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</si>
  <si>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</si>
  <si>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</si>
  <si>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</si>
  <si>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</si>
  <si>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</si>
  <si>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</si>
  <si>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</si>
  <si>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</si>
  <si>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</si>
  <si>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</si>
  <si>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</si>
  <si>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</si>
  <si>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</si>
  <si>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</si>
  <si>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</si>
  <si>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</si>
  <si>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</si>
  <si>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</si>
  <si>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</si>
  <si>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</si>
  <si>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</si>
  <si>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</si>
  <si>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</si>
  <si>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</si>
  <si>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</si>
  <si>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</si>
  <si>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</si>
  <si>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</si>
  <si>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</si>
  <si>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</si>
  <si>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</si>
  <si>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</si>
  <si>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</si>
  <si>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</si>
  <si>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</si>
  <si>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</si>
  <si>
    <t>Michaela Latham</t>
  </si>
  <si>
    <t>Steven Latham</t>
  </si>
  <si>
    <t>Claire Moore</t>
  </si>
  <si>
    <t>Mea Moore</t>
  </si>
  <si>
    <t>James Moore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</si>
</sst>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Normal="100" workbookViewId="0">
      <selection activeCell="F26" sqref="F26"/>
    </sheetView>
  </sheetViews>
  <sheetFormatPr defaultColWidth="9.1328125" defaultRowHeight="12.75" x14ac:dyDescent="0.35"/>
  <cols>
    <col min="1" max="1" width="20.3984375" bestFit="1" customWidth="1"/>
    <col min="2" max="2" width="38.796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tabSelected="1" zoomScale="75" zoomScaleNormal="75" workbookViewId="0">
      <selection activeCell="F28" sqref="F28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526</v>
      </c>
      <c r="B2" s="41">
        <f t="shared" ref="B2:B33" si="0">IF(A2="","",_xlfn.XLOOKUP(A2,ClubNames,ClubNumbers,_xlfn.XLOOKUP(A2,RoundRobinRiderNames,RoundRobinRiderDecoratedNames,A2)))</f>
        <v>990</v>
      </c>
      <c r="C2" s="17"/>
      <c r="D2" s="17"/>
      <c r="E2" s="17"/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Jennifer Hulme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540</v>
      </c>
      <c r="B3" s="41">
        <f t="shared" si="0"/>
        <v>1379</v>
      </c>
      <c r="C3" s="17"/>
      <c r="D3" s="17"/>
      <c r="E3" s="17"/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Michaela Latham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541</v>
      </c>
      <c r="B4" s="41">
        <f t="shared" si="0"/>
        <v>1244</v>
      </c>
      <c r="C4" s="17"/>
      <c r="D4" s="17"/>
      <c r="E4" s="17"/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Steven Latham</v>
      </c>
      <c r="I4" s="20">
        <f t="shared" si="1"/>
        <v>0</v>
      </c>
      <c r="J4" t="str">
        <f t="shared" si="2"/>
        <v/>
      </c>
    </row>
    <row r="5" spans="1:10" ht="15" x14ac:dyDescent="0.4">
      <c r="A5" s="40" t="s">
        <v>457</v>
      </c>
      <c r="B5" s="41">
        <f t="shared" si="0"/>
        <v>1194</v>
      </c>
      <c r="C5" s="17"/>
      <c r="D5" s="17"/>
      <c r="E5" s="17"/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Alex Hardwicke</v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529</v>
      </c>
      <c r="B6" s="41">
        <f t="shared" si="0"/>
        <v>1195</v>
      </c>
      <c r="C6" s="17"/>
      <c r="D6" s="17"/>
      <c r="E6" s="17"/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Charlie Hardwicke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491</v>
      </c>
      <c r="B7" s="41">
        <f t="shared" si="0"/>
        <v>45</v>
      </c>
      <c r="C7" s="17"/>
      <c r="D7" s="17"/>
      <c r="E7" s="17"/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Ray Taylor</v>
      </c>
      <c r="I7" s="20">
        <f t="shared" si="1"/>
        <v>0</v>
      </c>
      <c r="J7" t="str">
        <f t="shared" si="2"/>
        <v/>
      </c>
    </row>
    <row r="8" spans="1:10" ht="15" x14ac:dyDescent="0.4">
      <c r="A8" s="40" t="s">
        <v>458</v>
      </c>
      <c r="B8" s="41">
        <f t="shared" si="0"/>
        <v>1298</v>
      </c>
      <c r="C8" s="17"/>
      <c r="D8" s="17"/>
      <c r="E8" s="17"/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Jane Moore</v>
      </c>
      <c r="I8" s="20">
        <f t="shared" si="1"/>
        <v>0</v>
      </c>
      <c r="J8" t="str">
        <f t="shared" si="2"/>
        <v/>
      </c>
    </row>
    <row r="9" spans="1:10" ht="15" x14ac:dyDescent="0.4">
      <c r="A9" s="40" t="s">
        <v>542</v>
      </c>
      <c r="B9" s="41">
        <f t="shared" si="0"/>
        <v>742</v>
      </c>
      <c r="C9" s="17"/>
      <c r="D9" s="17"/>
      <c r="E9" s="17"/>
      <c r="F9" s="17" t="s">
        <v>473</v>
      </c>
      <c r="G9" s="17"/>
      <c r="H9" s="19" t="str">
        <f>IF($B9="","",IF($J9="X",B9,CONCATENATE(VLOOKUP(B9,Competitors!$A$2:$I$650,3, FALSE)," ",VLOOKUP(B9,Competitors!$A$2:$I$650,2,FALSE))))</f>
        <v>Claire Moore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482</v>
      </c>
      <c r="B10" s="41">
        <f t="shared" si="0"/>
        <v>1193</v>
      </c>
      <c r="C10" s="17"/>
      <c r="D10" s="17"/>
      <c r="E10" s="17"/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Richard Hardwicke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543</v>
      </c>
      <c r="B11" s="41">
        <f t="shared" si="0"/>
        <v>1386</v>
      </c>
      <c r="C11" s="17"/>
      <c r="D11" s="17"/>
      <c r="E11" s="17"/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Mea Moore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462</v>
      </c>
      <c r="B12" s="41">
        <f t="shared" si="0"/>
        <v>1418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James Brown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544</v>
      </c>
      <c r="B13" s="41">
        <f t="shared" si="0"/>
        <v>747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James Moore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475</v>
      </c>
      <c r="B14" s="41">
        <f t="shared" si="0"/>
        <v>245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David Reay</v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480</v>
      </c>
      <c r="B15" s="41">
        <f t="shared" si="0"/>
        <v>1152</v>
      </c>
      <c r="C15" s="17"/>
      <c r="D15" s="17"/>
      <c r="E15" s="17"/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Ruby Isaac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464</v>
      </c>
      <c r="B16" s="41">
        <f t="shared" si="0"/>
        <v>1403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Toby Lenehan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463</v>
      </c>
      <c r="B17" s="41">
        <f t="shared" si="0"/>
        <v>1107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Milly Pinnock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460</v>
      </c>
      <c r="B18" s="41">
        <f t="shared" si="0"/>
        <v>1355</v>
      </c>
      <c r="C18" s="17"/>
      <c r="D18" s="17"/>
      <c r="E18" s="17"/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Aubrey Elmer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527</v>
      </c>
      <c r="B19" s="41">
        <f t="shared" si="0"/>
        <v>203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Adrian Killworth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486</v>
      </c>
      <c r="B20" s="41">
        <f t="shared" si="0"/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510</v>
      </c>
      <c r="B21" s="41">
        <f t="shared" si="0"/>
        <v>1109</v>
      </c>
      <c r="C21" s="17"/>
      <c r="D21" s="17"/>
      <c r="E21" s="17"/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Stuart Haycox</v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461</v>
      </c>
      <c r="B22" s="41">
        <f t="shared" si="0"/>
        <v>1407</v>
      </c>
      <c r="C22" s="17"/>
      <c r="D22" s="17"/>
      <c r="E22" s="17"/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Colin Dobson</v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497</v>
      </c>
      <c r="B23" s="41">
        <f t="shared" si="0"/>
        <v>407</v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>Hans van Nierop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481</v>
      </c>
      <c r="B24" s="41">
        <f t="shared" si="0"/>
        <v>1112</v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>Gary Ashwell</v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467</v>
      </c>
      <c r="B25" s="41">
        <f t="shared" si="0"/>
        <v>704</v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>Chris Dainty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499</v>
      </c>
      <c r="B26" s="41">
        <f t="shared" si="0"/>
        <v>415</v>
      </c>
      <c r="C26" s="17"/>
      <c r="D26" s="17"/>
      <c r="E26" s="17"/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Nik Kershaw</v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501</v>
      </c>
      <c r="B27" s="41">
        <f t="shared" si="0"/>
        <v>1237</v>
      </c>
      <c r="C27" s="17"/>
      <c r="D27" s="17"/>
      <c r="E27" s="17"/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John Abbott</v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503</v>
      </c>
      <c r="B28" s="41">
        <f t="shared" si="0"/>
        <v>1094</v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>Andy Poulton</v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471</v>
      </c>
      <c r="B29" s="41">
        <f t="shared" si="0"/>
        <v>1161</v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>Maciej Suchocki</v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498</v>
      </c>
      <c r="B30" s="41">
        <f t="shared" si="0"/>
        <v>1192</v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>Dale Norris</v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490</v>
      </c>
      <c r="B31" s="41">
        <f t="shared" si="0"/>
        <v>699</v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>Jonathan Durnin</v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502</v>
      </c>
      <c r="B32" s="41">
        <f t="shared" si="0"/>
        <v>846</v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>Roger Kockelbergh</v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2026-05-04T18:11:22Z</dcterms:modified>
</cp:coreProperties>
</file>