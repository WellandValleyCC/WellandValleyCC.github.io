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1C78679-70CF-40C0-9883-DE7760C20DD9}"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C104" i="26"/>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<sst xmlns="http://schemas.openxmlformats.org/spreadsheetml/2006/main" count="14217" uniqueCount="595">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</sst>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 t="shared" ref="C4:C35" si="0">IF(ISBLANK(B4),IF(ISBLANK(A4),"",A4),_xlfn.CONCAT(A4," (",B4,")"))</f>
        <v>David Marshall (Bluelight CC)</v>
      </c>
      <c r="H4" t="s">
        <v>474</v>
      </c>
    </row>
    <row r="5" spans="1:8" ht="15" x14ac:dyDescent="0.2">
      <c r="A5" t="s">
        <v>475</v>
      </c>
      <c r="B5" t="s">
        <v>476</v>
      </c>
      <c r="C5" s="36" t="str">
        <f t="shared" si="0"/>
        <v>John Capel (Coalville Wheelers)</v>
      </c>
    </row>
    <row r="6" spans="1:8" ht="15" x14ac:dyDescent="0.2">
      <c r="A6" t="s">
        <v>477</v>
      </c>
      <c r="B6" t="s">
        <v>476</v>
      </c>
      <c r="C6" s="36" t="str">
        <f t="shared" si="0"/>
        <v>Pamela Moore (Coalville Wheelers)</v>
      </c>
      <c r="D6" t="s">
        <v>372</v>
      </c>
    </row>
    <row r="7" spans="1:8" ht="15" x14ac:dyDescent="0.2">
      <c r="A7" t="s">
        <v>478</v>
      </c>
      <c r="B7" t="s">
        <v>479</v>
      </c>
      <c r="C7" s="36" t="str">
        <f t="shared" si="0"/>
        <v>Jayne Mumford (W) (Cov Tri)</v>
      </c>
      <c r="D7" t="s">
        <v>372</v>
      </c>
    </row>
    <row r="8" spans="1:8" ht="15" x14ac:dyDescent="0.2">
      <c r="A8" t="s">
        <v>480</v>
      </c>
      <c r="B8" t="s">
        <v>479</v>
      </c>
      <c r="C8" s="36" t="str">
        <f t="shared" si="0"/>
        <v>Simon Clarke (Cov Tri)</v>
      </c>
    </row>
    <row r="9" spans="1:8" ht="15" x14ac:dyDescent="0.2">
      <c r="A9" t="s">
        <v>481</v>
      </c>
      <c r="B9" t="s">
        <v>482</v>
      </c>
      <c r="C9" s="36" t="str">
        <f t="shared" si="0"/>
        <v>Lydia Baxter (FTP Fusion)</v>
      </c>
      <c r="D9" t="s">
        <v>372</v>
      </c>
    </row>
    <row r="10" spans="1:8" ht="15" x14ac:dyDescent="0.2">
      <c r="A10" t="s">
        <v>483</v>
      </c>
      <c r="B10" t="s">
        <v>397</v>
      </c>
      <c r="C10" s="36" t="str">
        <f t="shared" si="0"/>
        <v>Andy Thomas (HCRC)</v>
      </c>
    </row>
    <row r="11" spans="1:8" ht="15" x14ac:dyDescent="0.2">
      <c r="A11" t="s">
        <v>484</v>
      </c>
      <c r="B11" t="s">
        <v>397</v>
      </c>
      <c r="C11" s="36" t="str">
        <f t="shared" si="0"/>
        <v>Colin Parkinson (SWRC) (HCRC)</v>
      </c>
    </row>
    <row r="12" spans="1:8" ht="15" x14ac:dyDescent="0.2">
      <c r="A12" t="s">
        <v>485</v>
      </c>
      <c r="B12" t="s">
        <v>397</v>
      </c>
      <c r="C12" s="36" t="str">
        <f t="shared" si="0"/>
        <v>Joe Murray (M I Racing) (HCRC)</v>
      </c>
    </row>
    <row r="13" spans="1:8" ht="15" x14ac:dyDescent="0.2">
      <c r="A13" t="s">
        <v>486</v>
      </c>
      <c r="B13" t="s">
        <v>397</v>
      </c>
      <c r="C13" s="36" t="str">
        <f t="shared" si="0"/>
        <v>Mick Wills (M I Racing) (HCRC)</v>
      </c>
    </row>
    <row r="14" spans="1:8" ht="15" x14ac:dyDescent="0.2">
      <c r="A14" t="s">
        <v>487</v>
      </c>
      <c r="B14" t="s">
        <v>391</v>
      </c>
      <c r="C14" s="36" t="str">
        <f t="shared" si="0"/>
        <v>Andy King (KCC)</v>
      </c>
    </row>
    <row r="15" spans="1:8" ht="15" x14ac:dyDescent="0.2">
      <c r="A15" t="s">
        <v>488</v>
      </c>
      <c r="B15" t="s">
        <v>391</v>
      </c>
      <c r="C15" s="36" t="str">
        <f t="shared" si="0"/>
        <v>Evan Collett Jnr (KCC)</v>
      </c>
    </row>
    <row r="16" spans="1:8" ht="15" x14ac:dyDescent="0.2">
      <c r="A16" t="s">
        <v>489</v>
      </c>
      <c r="B16" t="s">
        <v>391</v>
      </c>
      <c r="C16" s="36" t="str">
        <f t="shared" si="0"/>
        <v>Josh Brown (KCC)</v>
      </c>
    </row>
    <row r="17" spans="1:4" ht="15" x14ac:dyDescent="0.2">
      <c r="A17" t="s">
        <v>490</v>
      </c>
      <c r="B17" t="s">
        <v>400</v>
      </c>
      <c r="C17" s="36" t="str">
        <f t="shared" si="0"/>
        <v>Harriet Hughes (LFCC)</v>
      </c>
      <c r="D17" t="s">
        <v>372</v>
      </c>
    </row>
    <row r="18" spans="1:4" ht="15" x14ac:dyDescent="0.2">
      <c r="A18" t="s">
        <v>491</v>
      </c>
      <c r="B18" t="s">
        <v>400</v>
      </c>
      <c r="C18" s="36" t="str">
        <f t="shared" si="0"/>
        <v>Mat Mabe (LFCC)</v>
      </c>
    </row>
    <row r="19" spans="1:4" ht="15" x14ac:dyDescent="0.2">
      <c r="A19" t="s">
        <v>492</v>
      </c>
      <c r="B19" t="s">
        <v>400</v>
      </c>
      <c r="C19" s="36" t="str">
        <f t="shared" si="0"/>
        <v>Matt Finch (LFCC)</v>
      </c>
    </row>
    <row r="20" spans="1:4" ht="15" x14ac:dyDescent="0.2">
      <c r="A20" t="s">
        <v>493</v>
      </c>
      <c r="B20" t="s">
        <v>400</v>
      </c>
      <c r="C20" s="36" t="str">
        <f t="shared" si="0"/>
        <v>Morris Mabe (LFCC)</v>
      </c>
    </row>
    <row r="21" spans="1:4" ht="15" x14ac:dyDescent="0.2">
      <c r="A21" t="s">
        <v>494</v>
      </c>
      <c r="B21" t="s">
        <v>400</v>
      </c>
      <c r="C21" s="36" t="str">
        <f t="shared" si="0"/>
        <v>Sam Nettel (LFCC)</v>
      </c>
    </row>
    <row r="22" spans="1:4" ht="15" x14ac:dyDescent="0.2">
      <c r="A22" t="s">
        <v>495</v>
      </c>
      <c r="B22" t="s">
        <v>400</v>
      </c>
      <c r="C22" s="36" t="str">
        <f t="shared" si="0"/>
        <v>Talles Medevives (LFCC)</v>
      </c>
    </row>
    <row r="23" spans="1:4" ht="15" x14ac:dyDescent="0.2">
      <c r="A23" t="s">
        <v>496</v>
      </c>
      <c r="B23" t="s">
        <v>497</v>
      </c>
      <c r="C23" s="36" t="str">
        <f t="shared" si="0"/>
        <v>Dean Tacey (LRC)</v>
      </c>
    </row>
    <row r="24" spans="1:4" ht="15" x14ac:dyDescent="0.2">
      <c r="A24" t="s">
        <v>498</v>
      </c>
      <c r="B24" t="s">
        <v>499</v>
      </c>
      <c r="C24" s="36" t="str">
        <f t="shared" si="0"/>
        <v>Chris Booth (MOCC)</v>
      </c>
    </row>
    <row r="25" spans="1:4" ht="15" x14ac:dyDescent="0.2">
      <c r="A25" t="s">
        <v>500</v>
      </c>
      <c r="B25" t="s">
        <v>499</v>
      </c>
      <c r="C25" s="36" t="str">
        <f t="shared" si="0"/>
        <v>David Cooper (MOCC)</v>
      </c>
    </row>
    <row r="26" spans="1:4" ht="15" x14ac:dyDescent="0.2">
      <c r="A26" t="s">
        <v>501</v>
      </c>
      <c r="B26" t="s">
        <v>499</v>
      </c>
      <c r="C26" s="36" t="str">
        <f t="shared" si="0"/>
        <v>Jamie Haines (MOCC)</v>
      </c>
    </row>
    <row r="27" spans="1:4" ht="15" x14ac:dyDescent="0.2">
      <c r="A27" t="s">
        <v>502</v>
      </c>
      <c r="B27" t="s">
        <v>499</v>
      </c>
      <c r="C27" s="36" t="str">
        <f t="shared" si="0"/>
        <v>Laura Ayers (W) (MOCC)</v>
      </c>
      <c r="D27" t="s">
        <v>372</v>
      </c>
    </row>
    <row r="28" spans="1:4" ht="15" x14ac:dyDescent="0.2">
      <c r="A28" t="s">
        <v>503</v>
      </c>
      <c r="B28" t="s">
        <v>504</v>
      </c>
      <c r="C28" s="36" t="str">
        <f t="shared" si="0"/>
        <v>Ed Tarelli (Race Hub)</v>
      </c>
      <c r="D28" s="36"/>
    </row>
    <row r="29" spans="1:4" ht="15" x14ac:dyDescent="0.2">
      <c r="A29" t="s">
        <v>505</v>
      </c>
      <c r="B29" t="s">
        <v>506</v>
      </c>
      <c r="C29" s="36" t="str">
        <f t="shared" si="0"/>
        <v>Lewis Cooper (RAF Tri)</v>
      </c>
    </row>
    <row r="30" spans="1:4" ht="15" x14ac:dyDescent="0.2">
      <c r="A30" t="s">
        <v>507</v>
      </c>
      <c r="B30" t="s">
        <v>394</v>
      </c>
      <c r="C30" s="36" t="str">
        <f t="shared" si="0"/>
        <v>Alex Whitmore (Ratae)</v>
      </c>
    </row>
    <row r="31" spans="1:4" ht="15" x14ac:dyDescent="0.2">
      <c r="A31" t="s">
        <v>508</v>
      </c>
      <c r="B31" t="s">
        <v>394</v>
      </c>
      <c r="C31" s="36" t="str">
        <f t="shared" si="0"/>
        <v>Brian Lincoln (Ratae)</v>
      </c>
    </row>
    <row r="32" spans="1:4" ht="15" x14ac:dyDescent="0.2">
      <c r="A32" t="s">
        <v>509</v>
      </c>
      <c r="B32" t="s">
        <v>394</v>
      </c>
      <c r="C32" s="36" t="str">
        <f t="shared" si="0"/>
        <v>Chris Bonsor (Ratae)</v>
      </c>
    </row>
    <row r="33" spans="1:4" ht="15" x14ac:dyDescent="0.2">
      <c r="A33" t="s">
        <v>510</v>
      </c>
      <c r="B33" t="s">
        <v>394</v>
      </c>
      <c r="C33" s="36" t="str">
        <f t="shared" si="0"/>
        <v>Chris Spray (Ratae)</v>
      </c>
    </row>
    <row r="34" spans="1:4" ht="15" x14ac:dyDescent="0.2">
      <c r="A34" t="s">
        <v>511</v>
      </c>
      <c r="B34" t="s">
        <v>394</v>
      </c>
      <c r="C34" s="36" t="str">
        <f t="shared" si="0"/>
        <v>Debbie Cooper (Ratae)</v>
      </c>
      <c r="D34" t="s">
        <v>372</v>
      </c>
    </row>
    <row r="35" spans="1:4" ht="15" x14ac:dyDescent="0.2">
      <c r="A35" t="s">
        <v>512</v>
      </c>
      <c r="B35" t="s">
        <v>394</v>
      </c>
      <c r="C35" s="36" t="str">
        <f t="shared" si="0"/>
        <v>Ed Watson (Ratae)</v>
      </c>
    </row>
    <row r="36" spans="1:4" ht="15" x14ac:dyDescent="0.2">
      <c r="A36" t="s">
        <v>590</v>
      </c>
      <c r="B36" s="63" t="s">
        <v>394</v>
      </c>
      <c r="C36" s="36" t="str">
        <f t="shared" ref="C36:C66" si="1">IF(ISBLANK(B36),IF(ISBLANK(A36),"",A36),_xlfn.CONCAT(A36," (",B36,")"))</f>
        <v>Geoff Stanbridge (Ratae)</v>
      </c>
    </row>
    <row r="37" spans="1:4" ht="15" x14ac:dyDescent="0.2">
      <c r="A37" t="s">
        <v>513</v>
      </c>
      <c r="B37" t="s">
        <v>394</v>
      </c>
      <c r="C37" s="36" t="str">
        <f t="shared" si="1"/>
        <v>Jonathon Clarke (Ratae)</v>
      </c>
      <c r="D37" s="36"/>
    </row>
    <row r="38" spans="1:4" ht="15" x14ac:dyDescent="0.2">
      <c r="A38" t="s">
        <v>514</v>
      </c>
      <c r="B38" t="s">
        <v>394</v>
      </c>
      <c r="C38" s="36" t="str">
        <f t="shared" si="1"/>
        <v>Lesley Allden (Ratae)</v>
      </c>
      <c r="D38" t="s">
        <v>372</v>
      </c>
    </row>
    <row r="39" spans="1:4" ht="15" x14ac:dyDescent="0.2">
      <c r="A39" t="s">
        <v>515</v>
      </c>
      <c r="B39" t="s">
        <v>394</v>
      </c>
      <c r="C39" s="36" t="str">
        <f t="shared" si="1"/>
        <v>Lucy Sturgess (Ratae)</v>
      </c>
      <c r="D39" t="s">
        <v>372</v>
      </c>
    </row>
    <row r="40" spans="1:4" ht="15" x14ac:dyDescent="0.2">
      <c r="A40" t="s">
        <v>516</v>
      </c>
      <c r="B40" t="s">
        <v>394</v>
      </c>
      <c r="C40" s="36" t="str">
        <f t="shared" si="1"/>
        <v>Mark Marmoy (Ratae)</v>
      </c>
    </row>
    <row r="41" spans="1:4" ht="15" x14ac:dyDescent="0.2">
      <c r="A41" t="s">
        <v>517</v>
      </c>
      <c r="B41" t="s">
        <v>394</v>
      </c>
      <c r="C41" s="36" t="str">
        <f t="shared" si="1"/>
        <v>Mark Newton (Ratae)</v>
      </c>
    </row>
    <row r="42" spans="1:4" ht="15" x14ac:dyDescent="0.2">
      <c r="A42" t="s">
        <v>518</v>
      </c>
      <c r="B42" t="s">
        <v>394</v>
      </c>
      <c r="C42" s="36" t="str">
        <f t="shared" si="1"/>
        <v>Marshall Briggs (Ratae)</v>
      </c>
    </row>
    <row r="43" spans="1:4" ht="15" x14ac:dyDescent="0.2">
      <c r="A43" t="s">
        <v>519</v>
      </c>
      <c r="B43" t="s">
        <v>394</v>
      </c>
      <c r="C43" s="36" t="str">
        <f t="shared" si="1"/>
        <v>Natalie Harris (Ratae)</v>
      </c>
      <c r="D43" t="s">
        <v>372</v>
      </c>
    </row>
    <row r="44" spans="1:4" ht="15" x14ac:dyDescent="0.2">
      <c r="A44" t="s">
        <v>520</v>
      </c>
      <c r="B44" t="s">
        <v>394</v>
      </c>
      <c r="C44" s="36" t="str">
        <f t="shared" si="1"/>
        <v>Paul Eden (Ratae)</v>
      </c>
    </row>
    <row r="45" spans="1:4" ht="15" x14ac:dyDescent="0.2">
      <c r="A45" t="s">
        <v>521</v>
      </c>
      <c r="B45" t="s">
        <v>394</v>
      </c>
      <c r="C45" s="36" t="str">
        <f t="shared" si="1"/>
        <v>Sadie Murphy (Ratae)</v>
      </c>
      <c r="D45" t="s">
        <v>372</v>
      </c>
    </row>
    <row r="46" spans="1:4" ht="15" x14ac:dyDescent="0.2">
      <c r="A46" t="s">
        <v>522</v>
      </c>
      <c r="B46" t="s">
        <v>394</v>
      </c>
      <c r="C46" s="36" t="str">
        <f t="shared" si="1"/>
        <v>Steve Pearce (Ratae)</v>
      </c>
    </row>
    <row r="47" spans="1:4" ht="15" x14ac:dyDescent="0.2">
      <c r="A47" t="s">
        <v>523</v>
      </c>
      <c r="B47" t="s">
        <v>385</v>
      </c>
      <c r="C47" s="36" t="str">
        <f t="shared" si="1"/>
        <v>Adam Wells (RFW)</v>
      </c>
    </row>
    <row r="48" spans="1:4" ht="15" x14ac:dyDescent="0.2">
      <c r="A48" t="s">
        <v>524</v>
      </c>
      <c r="B48" t="s">
        <v>385</v>
      </c>
      <c r="C48" s="36" t="str">
        <f t="shared" si="1"/>
        <v>Alex Borrowman (RFW)</v>
      </c>
    </row>
    <row r="49" spans="1:4" ht="15" x14ac:dyDescent="0.2">
      <c r="A49" t="s">
        <v>525</v>
      </c>
      <c r="B49" t="s">
        <v>385</v>
      </c>
      <c r="C49" s="36" t="str">
        <f t="shared" si="1"/>
        <v>Anne Gilhespy (RFW)</v>
      </c>
      <c r="D49" t="s">
        <v>372</v>
      </c>
    </row>
    <row r="50" spans="1:4" ht="15" x14ac:dyDescent="0.2">
      <c r="A50" t="s">
        <v>526</v>
      </c>
      <c r="B50" t="s">
        <v>385</v>
      </c>
      <c r="C50" s="36" t="str">
        <f t="shared" si="1"/>
        <v>Chris Fowler (RFW)</v>
      </c>
    </row>
    <row r="51" spans="1:4" ht="15" x14ac:dyDescent="0.2">
      <c r="A51" t="s">
        <v>527</v>
      </c>
      <c r="B51" t="s">
        <v>385</v>
      </c>
      <c r="C51" s="36" t="str">
        <f t="shared" si="1"/>
        <v>Dan Hempkin (RFW)</v>
      </c>
    </row>
    <row r="52" spans="1:4" ht="15" x14ac:dyDescent="0.2">
      <c r="A52" t="s">
        <v>528</v>
      </c>
      <c r="B52" t="s">
        <v>385</v>
      </c>
      <c r="C52" s="36" t="str">
        <f t="shared" si="1"/>
        <v>David Hill (RFW)</v>
      </c>
    </row>
    <row r="53" spans="1:4" ht="15" x14ac:dyDescent="0.2">
      <c r="A53" t="s">
        <v>529</v>
      </c>
      <c r="B53" t="s">
        <v>385</v>
      </c>
      <c r="C53" s="36" t="str">
        <f t="shared" si="1"/>
        <v>Ethan Mitchell-Clarke (RFW)</v>
      </c>
    </row>
    <row r="54" spans="1:4" ht="15" x14ac:dyDescent="0.2">
      <c r="A54" t="s">
        <v>530</v>
      </c>
      <c r="B54" t="s">
        <v>385</v>
      </c>
      <c r="C54" s="36" t="str">
        <f t="shared" si="1"/>
        <v>Giles Cooper (RFW)</v>
      </c>
    </row>
    <row r="55" spans="1:4" ht="15" x14ac:dyDescent="0.2">
      <c r="A55" t="s">
        <v>531</v>
      </c>
      <c r="B55" t="s">
        <v>385</v>
      </c>
      <c r="C55" s="36" t="str">
        <f t="shared" si="1"/>
        <v>Gregg Payne (RFW)</v>
      </c>
    </row>
    <row r="56" spans="1:4" ht="15" x14ac:dyDescent="0.2">
      <c r="A56" t="s">
        <v>532</v>
      </c>
      <c r="B56" t="s">
        <v>385</v>
      </c>
      <c r="C56" s="36" t="str">
        <f t="shared" si="1"/>
        <v>Lynne Scofield (RFW)</v>
      </c>
      <c r="D56" t="s">
        <v>372</v>
      </c>
    </row>
    <row r="57" spans="1:4" ht="15" x14ac:dyDescent="0.2">
      <c r="A57" t="s">
        <v>533</v>
      </c>
      <c r="B57" t="s">
        <v>385</v>
      </c>
      <c r="C57" s="36" t="str">
        <f t="shared" si="1"/>
        <v>Lynne Wilkinson-Scofield (RFW)</v>
      </c>
      <c r="D57" t="s">
        <v>372</v>
      </c>
    </row>
    <row r="58" spans="1:4" ht="15" x14ac:dyDescent="0.2">
      <c r="A58" t="s">
        <v>534</v>
      </c>
      <c r="B58" t="s">
        <v>385</v>
      </c>
      <c r="C58" s="36" t="str">
        <f t="shared" si="1"/>
        <v>Michael Carter (RFW)</v>
      </c>
    </row>
    <row r="59" spans="1:4" ht="15" x14ac:dyDescent="0.2">
      <c r="A59" t="s">
        <v>520</v>
      </c>
      <c r="B59" t="s">
        <v>385</v>
      </c>
      <c r="C59" s="36" t="str">
        <f t="shared" si="1"/>
        <v>Paul Eden (RFW)</v>
      </c>
    </row>
    <row r="60" spans="1:4" ht="15" x14ac:dyDescent="0.2">
      <c r="A60" t="s">
        <v>535</v>
      </c>
      <c r="B60" t="s">
        <v>385</v>
      </c>
      <c r="C60" s="36" t="str">
        <f t="shared" si="1"/>
        <v>Paul Russell (RFW)</v>
      </c>
    </row>
    <row r="61" spans="1:4" ht="15" x14ac:dyDescent="0.2">
      <c r="A61" t="s">
        <v>536</v>
      </c>
      <c r="B61" t="s">
        <v>385</v>
      </c>
      <c r="C61" s="36" t="str">
        <f t="shared" si="1"/>
        <v>Paul Ryan (RFW)</v>
      </c>
    </row>
    <row r="62" spans="1:4" ht="15" x14ac:dyDescent="0.2">
      <c r="A62" t="s">
        <v>537</v>
      </c>
      <c r="B62" t="s">
        <v>385</v>
      </c>
      <c r="C62" s="36" t="str">
        <f t="shared" si="1"/>
        <v>Phil Wilkinson (RFW)</v>
      </c>
    </row>
    <row r="63" spans="1:4" ht="15" x14ac:dyDescent="0.2">
      <c r="A63" t="s">
        <v>538</v>
      </c>
      <c r="B63" t="s">
        <v>539</v>
      </c>
      <c r="C63" s="36" t="str">
        <f t="shared" si="1"/>
        <v>Hudson Hendry (Ride Revolution)</v>
      </c>
    </row>
    <row r="64" spans="1:4" ht="15" x14ac:dyDescent="0.2">
      <c r="A64" t="s">
        <v>540</v>
      </c>
      <c r="B64" t="s">
        <v>541</v>
      </c>
      <c r="C64" s="36" t="str">
        <f t="shared" si="1"/>
        <v>Adrian James (Rugby RCC)</v>
      </c>
    </row>
    <row r="65" spans="1:3" ht="15" x14ac:dyDescent="0.2">
      <c r="A65" t="s">
        <v>542</v>
      </c>
      <c r="B65" t="s">
        <v>543</v>
      </c>
      <c r="C65" s="36" t="str">
        <f t="shared" si="1"/>
        <v>Carl Shaw (Speedhub)</v>
      </c>
    </row>
    <row r="66" spans="1:3" ht="15" x14ac:dyDescent="0.2">
      <c r="A66" t="s">
        <v>544</v>
      </c>
      <c r="B66" t="s">
        <v>545</v>
      </c>
      <c r="C66" s="36" t="str">
        <f t="shared" si="1"/>
        <v>Oliver Searle (St Ives CC)</v>
      </c>
    </row>
    <row r="67" spans="1:3" ht="15" x14ac:dyDescent="0.2">
      <c r="C67" s="36" t="str">
        <f t="shared" ref="C67:C73" si="2">IF(ISBLANK(B67),IF(ISBLANK(A67),"",A67),_xlfn.CONCAT(A67," (",B67,")"))</f>
        <v/>
      </c>
    </row>
    <row r="68" spans="1:3" ht="15" x14ac:dyDescent="0.2">
      <c r="C68" s="36" t="str">
        <f t="shared" si="2"/>
        <v/>
      </c>
    </row>
    <row r="69" spans="1:3" ht="15" x14ac:dyDescent="0.2">
      <c r="C69" s="36" t="str">
        <f t="shared" si="2"/>
        <v/>
      </c>
    </row>
    <row r="70" spans="1:3" ht="15" x14ac:dyDescent="0.2">
      <c r="C70" s="36" t="str">
        <f t="shared" si="2"/>
        <v/>
      </c>
    </row>
    <row r="71" spans="1:3" ht="15" x14ac:dyDescent="0.2">
      <c r="C71" s="36" t="str">
        <f t="shared" si="2"/>
        <v/>
      </c>
    </row>
    <row r="72" spans="1:3" ht="15" x14ac:dyDescent="0.2">
      <c r="C72" s="36" t="str">
        <f t="shared" si="2"/>
        <v/>
      </c>
    </row>
    <row r="73" spans="1:3" ht="15" x14ac:dyDescent="0.2">
      <c r="C73" s="36" t="str">
        <f t="shared" si="2"/>
        <v/>
      </c>
    </row>
    <row r="74" spans="1:3" ht="15" x14ac:dyDescent="0.2">
      <c r="C74" s="36" t="str">
        <f t="shared" ref="C74:C89" si="3">IF(ISBLANK(B74),IF(ISBLANK(A74),"",A74),_xlfn.CONCAT(A74," (",B74,")"))</f>
        <v/>
      </c>
    </row>
    <row r="75" spans="1:3" ht="15" x14ac:dyDescent="0.2">
      <c r="C75" s="36" t="str">
        <f t="shared" si="3"/>
        <v/>
      </c>
    </row>
    <row r="76" spans="1:3" ht="15" x14ac:dyDescent="0.2">
      <c r="C76" s="36" t="str">
        <f t="shared" si="3"/>
        <v/>
      </c>
    </row>
    <row r="77" spans="1:3" ht="15" x14ac:dyDescent="0.2">
      <c r="C77" s="36" t="str">
        <f t="shared" si="3"/>
        <v/>
      </c>
    </row>
    <row r="78" spans="1:3" ht="15" x14ac:dyDescent="0.2">
      <c r="C78" s="36" t="str">
        <f t="shared" si="3"/>
        <v/>
      </c>
    </row>
    <row r="79" spans="1:3" ht="15" x14ac:dyDescent="0.2">
      <c r="C79" s="36" t="str">
        <f t="shared" si="3"/>
        <v/>
      </c>
    </row>
    <row r="80" spans="1:3" ht="15" x14ac:dyDescent="0.2">
      <c r="C80" s="36" t="str">
        <f t="shared" si="3"/>
        <v/>
      </c>
    </row>
    <row r="81" spans="3:3" ht="15" x14ac:dyDescent="0.2">
      <c r="C81" s="36" t="str">
        <f t="shared" si="3"/>
        <v/>
      </c>
    </row>
    <row r="82" spans="3:3" ht="15" x14ac:dyDescent="0.2">
      <c r="C82" s="36" t="str">
        <f t="shared" si="3"/>
        <v/>
      </c>
    </row>
    <row r="83" spans="3:3" ht="15" x14ac:dyDescent="0.2">
      <c r="C83" s="36" t="str">
        <f t="shared" si="3"/>
        <v/>
      </c>
    </row>
    <row r="84" spans="3:3" ht="15" x14ac:dyDescent="0.2">
      <c r="C84" s="36" t="str">
        <f t="shared" si="3"/>
        <v/>
      </c>
    </row>
    <row r="85" spans="3:3" ht="15" x14ac:dyDescent="0.2">
      <c r="C85" s="36" t="str">
        <f t="shared" si="3"/>
        <v/>
      </c>
    </row>
    <row r="86" spans="3:3" ht="15" x14ac:dyDescent="0.2">
      <c r="C86" s="36" t="str">
        <f t="shared" si="3"/>
        <v/>
      </c>
    </row>
    <row r="87" spans="3:3" ht="15" x14ac:dyDescent="0.2">
      <c r="C87" s="36" t="str">
        <f t="shared" si="3"/>
        <v/>
      </c>
    </row>
    <row r="88" spans="3:3" ht="15" x14ac:dyDescent="0.2">
      <c r="C88" s="36" t="str">
        <f t="shared" si="3"/>
        <v/>
      </c>
    </row>
    <row r="89" spans="3:3" ht="15" x14ac:dyDescent="0.2">
      <c r="C89" s="36" t="str">
        <f t="shared" si="3"/>
        <v/>
      </c>
    </row>
    <row r="90" spans="3:3" s="37" customFormat="1" x14ac:dyDescent="0.15"/>
    <row r="92" spans="3:3" ht="15" x14ac:dyDescent="0.2">
      <c r="C92" s="36"/>
    </row>
    <row r="93" spans="3:3" ht="15" x14ac:dyDescent="0.2">
      <c r="C93" s="36"/>
    </row>
    <row r="94" spans="3:3" ht="15" x14ac:dyDescent="0.2">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topLeftCell="B1" workbookViewId="0">
      <selection activeCell="F40" sqref="F40"/>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c r="E2" s="48"/>
      <c r="F2" s="48" t="s">
        <v>555</v>
      </c>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4.25" x14ac:dyDescent="0.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4.25" x14ac:dyDescent="0.15">
      <c r="A4" s="46" t="s">
        <v>461</v>
      </c>
      <c r="B4" s="47">
        <f t="shared" si="0"/>
        <v>742</v>
      </c>
      <c r="C4" s="48"/>
      <c r="D4" s="48"/>
      <c r="E4" s="48"/>
      <c r="F4" s="48" t="s">
        <v>555</v>
      </c>
      <c r="G4" s="48"/>
      <c r="H4" s="50" t="str">
        <f>IF($B4="","",IF($J4="X",B4,CONCATENATE(VLOOKUP(B4,Competitors!$A$2:$I$650,3,FALSE)," ",VLOOKUP(B4,Competitors!$A$2:$I$650,2,FALSE))))</f>
        <v>Claire Moore</v>
      </c>
      <c r="I4" s="51">
        <f t="shared" si="1"/>
        <v>0</v>
      </c>
      <c r="J4" t="str">
        <f t="shared" si="2"/>
        <v/>
      </c>
    </row>
    <row r="5" spans="1:10" ht="14.25" x14ac:dyDescent="0.15">
      <c r="A5" s="46" t="s">
        <v>448</v>
      </c>
      <c r="B5" s="47">
        <f t="shared" si="0"/>
        <v>1194</v>
      </c>
      <c r="C5" s="48"/>
      <c r="D5" s="48"/>
      <c r="E5" s="48"/>
      <c r="F5" s="48" t="s">
        <v>555</v>
      </c>
      <c r="G5" s="48"/>
      <c r="H5" s="50" t="str">
        <f>IF($B5="","",IF($J5="X",B5,CONCATENATE(VLOOKUP(B5,Competitors!$A$2:$I$650,3,FALSE)," ",VLOOKUP(B5,Competitors!$A$2:$I$650,2,FALSE))))</f>
        <v>Alex Hardwicke</v>
      </c>
      <c r="I5" s="51">
        <f t="shared" si="1"/>
        <v>0</v>
      </c>
      <c r="J5" t="str">
        <f t="shared" si="2"/>
        <v/>
      </c>
    </row>
    <row r="6" spans="1:10" ht="14.25" x14ac:dyDescent="0.15">
      <c r="A6" s="46" t="s">
        <v>587</v>
      </c>
      <c r="B6" s="47">
        <f t="shared" si="0"/>
        <v>935</v>
      </c>
      <c r="C6" s="48"/>
      <c r="D6" s="48"/>
      <c r="E6" s="48"/>
      <c r="F6" s="48" t="s">
        <v>555</v>
      </c>
      <c r="G6" s="48"/>
      <c r="H6" s="50" t="str">
        <f>IF($B6="","",IF($J6="X",B6,CONCATENATE(VLOOKUP(B6,Competitors!$A$2:$I$650,3,FALSE)," ",VLOOKUP(B6,Competitors!$A$2:$I$650,2,FALSE))))</f>
        <v>Sophie Ward</v>
      </c>
      <c r="I6" s="51">
        <f t="shared" si="1"/>
        <v>0</v>
      </c>
      <c r="J6" t="str">
        <f t="shared" si="2"/>
        <v/>
      </c>
    </row>
    <row r="7" spans="1:10" ht="14.25" x14ac:dyDescent="0.15">
      <c r="A7" s="46" t="s">
        <v>444</v>
      </c>
      <c r="B7" s="47">
        <f t="shared" si="0"/>
        <v>1193</v>
      </c>
      <c r="C7" s="48"/>
      <c r="D7" s="48"/>
      <c r="E7" s="48"/>
      <c r="F7" s="48" t="s">
        <v>555</v>
      </c>
      <c r="G7" s="48"/>
      <c r="H7" s="50" t="str">
        <f>IF($B7="","",IF($J7="X",B7,CONCATENATE(VLOOKUP(B7,Competitors!$A$2:$I$650,3,FALSE)," ",VLOOKUP(B7,Competitors!$A$2:$I$650,2,FALSE))))</f>
        <v>Richard Hardwicke</v>
      </c>
      <c r="I7" s="51">
        <f t="shared" si="1"/>
        <v>0</v>
      </c>
      <c r="J7" t="str">
        <f t="shared" si="2"/>
        <v/>
      </c>
    </row>
    <row r="8" spans="1:10" ht="14.25" x14ac:dyDescent="0.15">
      <c r="A8" s="46" t="s">
        <v>462</v>
      </c>
      <c r="B8" s="47">
        <f t="shared" si="0"/>
        <v>7</v>
      </c>
      <c r="C8" s="48"/>
      <c r="D8" s="48"/>
      <c r="E8" s="48"/>
      <c r="F8" s="48" t="s">
        <v>555</v>
      </c>
      <c r="G8" s="48"/>
      <c r="H8" s="50" t="str">
        <f>IF($B8="","",IF($J8="X",B8,CONCATENATE(VLOOKUP(B8,Competitors!$A$2:$I$650,3,FALSE)," ",VLOOKUP(B8,Competitors!$A$2:$I$650,2,FALSE))))</f>
        <v>Vic Barnett</v>
      </c>
      <c r="I8" s="51">
        <f t="shared" si="1"/>
        <v>0</v>
      </c>
      <c r="J8" t="str">
        <f t="shared" si="2"/>
        <v/>
      </c>
    </row>
    <row r="9" spans="1:10" ht="14.25" x14ac:dyDescent="0.15">
      <c r="A9" s="46" t="s">
        <v>438</v>
      </c>
      <c r="B9" s="47">
        <f t="shared" si="0"/>
        <v>1195</v>
      </c>
      <c r="C9" s="48"/>
      <c r="D9" s="48"/>
      <c r="E9" s="48"/>
      <c r="F9" s="48" t="s">
        <v>555</v>
      </c>
      <c r="G9" s="48"/>
      <c r="H9" s="50" t="str">
        <f>IF($B9="","",IF($J9="X",B9,CONCATENATE(VLOOKUP(B9,Competitors!$A$2:$I$650,3,FALSE)," ",VLOOKUP(B9,Competitors!$A$2:$I$650,2,FALSE))))</f>
        <v>Charlie Hardwicke</v>
      </c>
      <c r="I9" s="51">
        <f t="shared" si="1"/>
        <v>0</v>
      </c>
      <c r="J9" t="str">
        <f t="shared" si="2"/>
        <v/>
      </c>
    </row>
    <row r="10" spans="1:10" ht="14.25" x14ac:dyDescent="0.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4.25" x14ac:dyDescent="0.15">
      <c r="A11" s="46" t="s">
        <v>419</v>
      </c>
      <c r="B11" s="47">
        <f t="shared" si="0"/>
        <v>1355</v>
      </c>
      <c r="C11" s="48"/>
      <c r="D11" s="48"/>
      <c r="E11" s="48"/>
      <c r="F11" s="48" t="s">
        <v>555</v>
      </c>
      <c r="G11" s="48"/>
      <c r="H11" s="50" t="str">
        <f>IF($B11="","",IF($J11="X",B11,CONCATENATE(VLOOKUP(B11,Competitors!$A$2:$I$650,3,FALSE)," ",VLOOKUP(B11,Competitors!$A$2:$I$650,2,FALSE))))</f>
        <v>Aubrey Elmer</v>
      </c>
      <c r="I11" s="51">
        <f t="shared" si="1"/>
        <v>0</v>
      </c>
      <c r="J11" t="str">
        <f t="shared" si="2"/>
        <v/>
      </c>
    </row>
    <row r="12" spans="1:10" ht="14.25" x14ac:dyDescent="0.15">
      <c r="A12" s="46" t="s">
        <v>458</v>
      </c>
      <c r="B12" s="47">
        <f t="shared" si="0"/>
        <v>967</v>
      </c>
      <c r="C12" s="48"/>
      <c r="D12" s="48"/>
      <c r="E12" s="48"/>
      <c r="F12" s="48" t="s">
        <v>555</v>
      </c>
      <c r="G12" s="48"/>
      <c r="H12" s="50" t="str">
        <f>IF($B12="","",IF($J12="X",B12,CONCATENATE(VLOOKUP(B12,Competitors!$A$2:$I$650,3,FALSE)," ",VLOOKUP(B12,Competitors!$A$2:$I$650,2,FALSE))))</f>
        <v>Daniel McDonnell</v>
      </c>
      <c r="I12" s="51">
        <f t="shared" si="1"/>
        <v>0</v>
      </c>
      <c r="J12" t="str">
        <f t="shared" si="2"/>
        <v/>
      </c>
    </row>
    <row r="13" spans="1:10" ht="14.25" x14ac:dyDescent="0.15">
      <c r="A13" s="46" t="s">
        <v>588</v>
      </c>
      <c r="B13" s="47">
        <f t="shared" si="0"/>
        <v>741</v>
      </c>
      <c r="C13" s="48"/>
      <c r="D13" s="48"/>
      <c r="E13" s="48"/>
      <c r="F13" s="48" t="s">
        <v>555</v>
      </c>
      <c r="G13" s="48"/>
      <c r="H13" s="50" t="str">
        <f>IF($B13="","",IF($J13="X",B13,CONCATENATE(VLOOKUP(B13,Competitors!$A$2:$I$650,3,FALSE)," ",VLOOKUP(B13,Competitors!$A$2:$I$650,2,FALSE))))</f>
        <v>Rob Moore</v>
      </c>
      <c r="I13" s="51">
        <f t="shared" si="1"/>
        <v>0</v>
      </c>
      <c r="J13" t="str">
        <f t="shared" si="2"/>
        <v/>
      </c>
    </row>
    <row r="14" spans="1:10" ht="14.25" x14ac:dyDescent="0.15">
      <c r="A14" s="46" t="s">
        <v>583</v>
      </c>
      <c r="B14" s="47" t="str">
        <f t="shared" si="0"/>
        <v>Tom Keane</v>
      </c>
      <c r="C14" s="48"/>
      <c r="D14" s="48"/>
      <c r="E14" s="48"/>
      <c r="F14" s="48" t="s">
        <v>555</v>
      </c>
      <c r="G14" s="48"/>
      <c r="H14" s="50" t="str">
        <f>IF($B14="","",IF($J14="X",B14,CONCATENATE(VLOOKUP(B14,Competitors!$A$2:$I$650,3,FALSE)," ",VLOOKUP(B14,Competitors!$A$2:$I$650,2,FALSE))))</f>
        <v>Tom Keane</v>
      </c>
      <c r="I14" s="51">
        <f t="shared" si="1"/>
        <v>0</v>
      </c>
      <c r="J14" t="str">
        <f t="shared" si="2"/>
        <v>X</v>
      </c>
    </row>
    <row r="15" spans="1:10" ht="14.25" x14ac:dyDescent="0.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4.25" x14ac:dyDescent="0.15">
      <c r="A16" s="46" t="s">
        <v>577</v>
      </c>
      <c r="B16" s="47" t="str">
        <f t="shared" si="0"/>
        <v>Laura Davison</v>
      </c>
      <c r="C16" s="48"/>
      <c r="D16" s="48"/>
      <c r="E16" s="48"/>
      <c r="F16" s="48" t="s">
        <v>555</v>
      </c>
      <c r="G16" s="48"/>
      <c r="H16" s="50" t="str">
        <f>IF($B16="","",IF($J16="X",B16,CONCATENATE(VLOOKUP(B16,Competitors!$A$2:$I$650,3,FALSE)," ",VLOOKUP(B16,Competitors!$A$2:$I$650,2,FALSE))))</f>
        <v>Laura Davison</v>
      </c>
      <c r="I16" s="51">
        <f t="shared" si="1"/>
        <v>0</v>
      </c>
      <c r="J16" t="str">
        <f t="shared" si="2"/>
        <v>X</v>
      </c>
    </row>
    <row r="17" spans="1:10" ht="14.25" x14ac:dyDescent="0.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4.25" x14ac:dyDescent="0.15">
      <c r="A18" s="46" t="s">
        <v>589</v>
      </c>
      <c r="B18" s="47">
        <f t="shared" si="0"/>
        <v>1048</v>
      </c>
      <c r="C18" s="48"/>
      <c r="D18" s="48"/>
      <c r="E18" s="48"/>
      <c r="F18" s="48" t="s">
        <v>555</v>
      </c>
      <c r="G18" s="48"/>
      <c r="H18" s="50" t="str">
        <f>IF($B18="","",IF($J18="X",B18,CONCATENATE(VLOOKUP(B18,Competitors!$A$2:$I$650,3,FALSE)," ",VLOOKUP(B18,Competitors!$A$2:$I$650,2,FALSE))))</f>
        <v>Andy Smith</v>
      </c>
      <c r="I18" s="51">
        <f t="shared" si="1"/>
        <v>0</v>
      </c>
      <c r="J18" t="str">
        <f t="shared" si="2"/>
        <v/>
      </c>
    </row>
    <row r="19" spans="1:10" ht="14.25" x14ac:dyDescent="0.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4.25" x14ac:dyDescent="0.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4.25" x14ac:dyDescent="0.15">
      <c r="A21" s="46" t="s">
        <v>538</v>
      </c>
      <c r="B21" s="47" t="str">
        <f t="shared" si="0"/>
        <v>Hudson Hendry (Ride Revolution)</v>
      </c>
      <c r="C21" s="48"/>
      <c r="D21" s="48"/>
      <c r="E21" s="48"/>
      <c r="F21" s="48" t="s">
        <v>555</v>
      </c>
      <c r="G21" s="48"/>
      <c r="H21" s="50" t="str">
        <f>IF($B21="","",IF($J21="X",B21,CONCATENATE(VLOOKUP(B21,Competitors!$A$2:$I$650,3,FALSE)," ",VLOOKUP(B21,Competitors!$A$2:$I$650,2,FALSE))))</f>
        <v>Hudson Hendry (Ride Revolution)</v>
      </c>
      <c r="I21" s="51">
        <f t="shared" si="1"/>
        <v>0</v>
      </c>
      <c r="J21" t="str">
        <f t="shared" si="2"/>
        <v>X</v>
      </c>
    </row>
    <row r="22" spans="1:10" ht="14.25" x14ac:dyDescent="0.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4.25" x14ac:dyDescent="0.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4.25" x14ac:dyDescent="0.15">
      <c r="A24" s="46" t="s">
        <v>517</v>
      </c>
      <c r="B24" s="47" t="str">
        <f t="shared" si="0"/>
        <v>Mark Newton (Ratae)</v>
      </c>
      <c r="C24" s="48"/>
      <c r="D24" s="48"/>
      <c r="E24" s="48"/>
      <c r="F24" s="48" t="s">
        <v>555</v>
      </c>
      <c r="G24" s="48"/>
      <c r="H24" s="50" t="str">
        <f>IF($B24="","",IF($J24="X",B24,CONCATENATE(VLOOKUP(B24,Competitors!$A$2:$I$650,3,FALSE)," ",VLOOKUP(B24,Competitors!$A$2:$I$650,2,FALSE))))</f>
        <v>Mark Newton (Ratae)</v>
      </c>
      <c r="I24" s="51">
        <f t="shared" si="1"/>
        <v>0</v>
      </c>
      <c r="J24" t="str">
        <f t="shared" si="2"/>
        <v>X</v>
      </c>
    </row>
    <row r="25" spans="1:10" ht="14.25" x14ac:dyDescent="0.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4.25" x14ac:dyDescent="0.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4.25" x14ac:dyDescent="0.15">
      <c r="A27" s="46" t="s">
        <v>591</v>
      </c>
      <c r="B27" s="47">
        <f t="shared" si="0"/>
        <v>704</v>
      </c>
      <c r="C27" s="48"/>
      <c r="D27" s="48"/>
      <c r="E27" s="48"/>
      <c r="F27" s="48" t="s">
        <v>555</v>
      </c>
      <c r="G27" s="48"/>
      <c r="H27" s="50" t="str">
        <f>IF($B27="","",IF($J27="X",B27,CONCATENATE(VLOOKUP(B27,Competitors!$A$2:$I$650,3,FALSE)," ",VLOOKUP(B27,Competitors!$A$2:$I$650,2,FALSE))))</f>
        <v>Chris Dainty</v>
      </c>
      <c r="I27" s="51">
        <f t="shared" si="1"/>
        <v>0</v>
      </c>
      <c r="J27" t="str">
        <f t="shared" si="2"/>
        <v/>
      </c>
    </row>
    <row r="28" spans="1:10" ht="14.25" x14ac:dyDescent="0.15">
      <c r="A28" s="46" t="s">
        <v>457</v>
      </c>
      <c r="B28" s="47">
        <f t="shared" si="0"/>
        <v>295</v>
      </c>
      <c r="C28" s="48"/>
      <c r="D28" s="48"/>
      <c r="E28" s="48"/>
      <c r="F28" s="48" t="s">
        <v>555</v>
      </c>
      <c r="G28" s="48"/>
      <c r="H28" s="50" t="str">
        <f>IF($B28="","",IF($J28="X",B28,CONCATENATE(VLOOKUP(B28,Competitors!$A$2:$I$650,3,FALSE)," ",VLOOKUP(B28,Competitors!$A$2:$I$650,2,FALSE))))</f>
        <v>Stuart Dawkins</v>
      </c>
      <c r="I28" s="51">
        <f t="shared" si="1"/>
        <v>0</v>
      </c>
      <c r="J28" t="str">
        <f t="shared" si="2"/>
        <v/>
      </c>
    </row>
    <row r="29" spans="1:10" ht="14.25" x14ac:dyDescent="0.15">
      <c r="A29" s="46" t="s">
        <v>423</v>
      </c>
      <c r="B29" s="47">
        <f t="shared" si="0"/>
        <v>1407</v>
      </c>
      <c r="C29" s="48"/>
      <c r="D29" s="48"/>
      <c r="E29" s="48"/>
      <c r="F29" s="48" t="s">
        <v>555</v>
      </c>
      <c r="G29" s="48"/>
      <c r="H29" s="50" t="str">
        <f>IF($B29="","",IF($J29="X",B29,CONCATENATE(VLOOKUP(B29,Competitors!$A$2:$I$650,3,FALSE)," ",VLOOKUP(B29,Competitors!$A$2:$I$650,2,FALSE))))</f>
        <v>Colin Dobson</v>
      </c>
      <c r="I29" s="51">
        <f t="shared" si="1"/>
        <v>0</v>
      </c>
      <c r="J29" t="str">
        <f t="shared" si="2"/>
        <v/>
      </c>
    </row>
    <row r="30" spans="1:10" ht="14.25" x14ac:dyDescent="0.15">
      <c r="A30" s="46" t="s">
        <v>422</v>
      </c>
      <c r="B30" s="47">
        <f t="shared" si="0"/>
        <v>415</v>
      </c>
      <c r="C30" s="48"/>
      <c r="D30" s="48"/>
      <c r="E30" s="48"/>
      <c r="F30" s="48" t="s">
        <v>555</v>
      </c>
      <c r="G30" s="48"/>
      <c r="H30" s="50" t="str">
        <f>IF($B30="","",IF($J30="X",B30,CONCATENATE(VLOOKUP(B30,Competitors!$A$2:$I$650,3,FALSE)," ",VLOOKUP(B30,Competitors!$A$2:$I$650,2,FALSE))))</f>
        <v>Nik Kershaw</v>
      </c>
      <c r="I30" s="51">
        <f t="shared" si="1"/>
        <v>0</v>
      </c>
      <c r="J30" t="str">
        <f t="shared" si="2"/>
        <v/>
      </c>
    </row>
    <row r="31" spans="1:10" ht="14.25" x14ac:dyDescent="0.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4.25" x14ac:dyDescent="0.15">
      <c r="A32" s="46" t="s">
        <v>414</v>
      </c>
      <c r="B32" s="47">
        <f t="shared" si="0"/>
        <v>989</v>
      </c>
      <c r="C32" s="48"/>
      <c r="D32" s="48"/>
      <c r="E32" s="48"/>
      <c r="F32" s="48" t="s">
        <v>555</v>
      </c>
      <c r="G32" s="48"/>
      <c r="H32" s="50" t="str">
        <f>IF($B32="","",IF($J32="X",B32,CONCATENATE(VLOOKUP(B32,Competitors!$A$2:$I$650,3,FALSE)," ",VLOOKUP(B32,Competitors!$A$2:$I$650,2,FALSE))))</f>
        <v>Jason Williams</v>
      </c>
      <c r="I32" s="51">
        <f t="shared" si="1"/>
        <v>0</v>
      </c>
      <c r="J32" t="str">
        <f t="shared" si="2"/>
        <v/>
      </c>
    </row>
    <row r="33" spans="1:10" ht="14.25" x14ac:dyDescent="0.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4.25" x14ac:dyDescent="0.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4.25" x14ac:dyDescent="0.15">
      <c r="A35" s="46" t="s">
        <v>429</v>
      </c>
      <c r="B35" s="47">
        <f t="shared" si="3"/>
        <v>1237</v>
      </c>
      <c r="C35" s="48"/>
      <c r="D35" s="48"/>
      <c r="E35" s="48"/>
      <c r="F35" s="48" t="s">
        <v>555</v>
      </c>
      <c r="G35" s="48"/>
      <c r="H35" s="50" t="str">
        <f>IF($B35="","",IF($J35="X",B35,CONCATENATE(VLOOKUP(B35,Competitors!$A$2:$I$650,3,FALSE)," ",VLOOKUP(B35,Competitors!$A$2:$I$650,2,FALSE))))</f>
        <v>John Abbott</v>
      </c>
      <c r="I35" s="51">
        <f t="shared" si="1"/>
        <v>0</v>
      </c>
      <c r="J35" t="str">
        <f t="shared" si="2"/>
        <v/>
      </c>
    </row>
    <row r="36" spans="1:10" ht="14.25" x14ac:dyDescent="0.15">
      <c r="A36" s="46" t="s">
        <v>593</v>
      </c>
      <c r="B36" s="47" t="str">
        <f t="shared" si="3"/>
        <v>Brian Harman</v>
      </c>
      <c r="C36" s="48"/>
      <c r="D36" s="48"/>
      <c r="E36" s="48"/>
      <c r="F36" s="48" t="s">
        <v>555</v>
      </c>
      <c r="G36" s="48"/>
      <c r="H36" s="50" t="str">
        <f>IF($B36="","",IF($J36="X",B36,CONCATENATE(VLOOKUP(B36,Competitors!$A$2:$I$650,3,FALSE)," ",VLOOKUP(B36,Competitors!$A$2:$I$650,2,FALSE))))</f>
        <v>Brian Harman</v>
      </c>
      <c r="I36" s="51">
        <f t="shared" si="1"/>
        <v>0</v>
      </c>
      <c r="J36" t="str">
        <f t="shared" si="2"/>
        <v>X</v>
      </c>
    </row>
    <row r="37" spans="1:10" ht="14.25" x14ac:dyDescent="0.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4.25" x14ac:dyDescent="0.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4.25" x14ac:dyDescent="0.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4.25" x14ac:dyDescent="0.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4.25" x14ac:dyDescent="0.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4.25" x14ac:dyDescent="0.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4.25" x14ac:dyDescent="0.15">
      <c r="A44" s="46" t="s">
        <v>433</v>
      </c>
      <c r="B44" s="47">
        <f t="shared" si="3"/>
        <v>1112</v>
      </c>
      <c r="C44" s="48"/>
      <c r="D44" s="48"/>
      <c r="E44" s="48"/>
      <c r="F44" s="48" t="s">
        <v>555</v>
      </c>
      <c r="G44" s="48"/>
      <c r="H44" s="50" t="str">
        <f>IF($B44="","",IF($J44="X",B44,CONCATENATE(VLOOKUP(B44,Competitors!$A$2:$I$650,3,FALSE)," ",VLOOKUP(B44,Competitors!$A$2:$I$650,2,FALSE))))</f>
        <v>Gary Ashwell</v>
      </c>
      <c r="I44" s="51">
        <f t="shared" si="1"/>
        <v>0</v>
      </c>
      <c r="J44" t="str">
        <f t="shared" si="2"/>
        <v/>
      </c>
    </row>
    <row r="45" spans="1:10" ht="14.25" x14ac:dyDescent="0.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4.25" x14ac:dyDescent="0.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4.25" x14ac:dyDescent="0.15">
      <c r="A47" s="61" t="s">
        <v>590</v>
      </c>
      <c r="B47" s="47" t="str">
        <f t="shared" si="3"/>
        <v>Geoff Stanbridge (Ratae)</v>
      </c>
      <c r="C47" s="48"/>
      <c r="D47" s="48"/>
      <c r="E47" s="48"/>
      <c r="F47" s="48"/>
      <c r="G47" s="48"/>
      <c r="H47" s="50" t="str">
        <f>IF($B47="","",IF($J47="X",B47,CONCATENATE(VLOOKUP(B47,Competitors!$A$2:$I$650,3,FALSE)," ",VLOOKUP(B47,Competitors!$A$2:$I$650,2,FALSE))))</f>
        <v>Geoff Stanbridge (Ratae)</v>
      </c>
      <c r="I47" s="51">
        <f t="shared" si="1"/>
        <v>0</v>
      </c>
      <c r="J47" t="str">
        <f t="shared" si="2"/>
        <v>X</v>
      </c>
    </row>
    <row r="48" spans="1:10" ht="14.25" x14ac:dyDescent="0.15">
      <c r="A48" s="46" t="s">
        <v>417</v>
      </c>
      <c r="B48" s="47">
        <f t="shared" si="3"/>
        <v>38</v>
      </c>
      <c r="C48" s="48"/>
      <c r="D48" s="48"/>
      <c r="E48" s="48"/>
      <c r="F48" s="48"/>
      <c r="G48" s="48"/>
      <c r="H48" s="50" t="str">
        <f>IF($B48="","",IF($J48="X",B48,CONCATENATE(VLOOKUP(B48,Competitors!$A$2:$I$650,3,FALSE)," ",VLOOKUP(B48,Competitors!$A$2:$I$650,2,FALSE))))</f>
        <v>Phil Rayner</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2026-06-15T07:48:03Z</dcterms:modified>
</cp:coreProperties>
</file>