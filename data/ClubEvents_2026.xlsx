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6A08EDCC-328D-4A87-A491-EF1C8BEFBB8B}" xr6:coauthVersionLast="47" xr6:coauthVersionMax="47" xr10:uidLastSave="{00000000-0000-0000-0000-000000000000}"/>
  <bookViews>
    <workbookView xWindow="7912" yWindow="2183" windowWidth="17280" windowHeight="10035" firstSheet="9" activeTab="10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NameLookup" sheetId="33" r:id="rId6"/>
    <sheet name="Calendar" sheetId="2" r:id="rId7"/>
    <sheet name="Leagues" sheetId="32" r:id="rId8"/>
    <sheet name="RoundRobinRiders" sheetId="4" r:id="rId9"/>
    <sheet name="Event_01" sheetId="5" r:id="rId10"/>
    <sheet name="Event_02" sheetId="6" r:id="rId11"/>
    <sheet name="Event_03" sheetId="7" r:id="rId12"/>
    <sheet name="Event_04" sheetId="8" r:id="rId13"/>
    <sheet name="Event_05" sheetId="9" r:id="rId14"/>
    <sheet name="Event_06" sheetId="10" r:id="rId15"/>
    <sheet name="Event_07" sheetId="11" r:id="rId16"/>
    <sheet name="Event_08" sheetId="12" r:id="rId17"/>
    <sheet name="Event_09" sheetId="13" r:id="rId18"/>
    <sheet name="Event_10" sheetId="14" r:id="rId19"/>
    <sheet name="Event_11" sheetId="15" r:id="rId20"/>
    <sheet name="Event_12" sheetId="16" r:id="rId21"/>
    <sheet name="Event_13" sheetId="17" r:id="rId22"/>
    <sheet name="Event_14" sheetId="18" r:id="rId23"/>
    <sheet name="Event_15" sheetId="19" r:id="rId24"/>
    <sheet name="Event_16" sheetId="20" r:id="rId25"/>
    <sheet name="Event_17" sheetId="21" r:id="rId26"/>
    <sheet name="Event_18" sheetId="22" r:id="rId27"/>
    <sheet name="Event_19" sheetId="23" r:id="rId28"/>
    <sheet name="Event_20" sheetId="24" r:id="rId29"/>
    <sheet name="Event_21" sheetId="25" r:id="rId30"/>
    <sheet name="Event_22" sheetId="26" r:id="rId31"/>
    <sheet name="Event_23" sheetId="27" r:id="rId32"/>
    <sheet name="Event_24" sheetId="28" r:id="rId33"/>
    <sheet name="Event_25" sheetId="29" r:id="rId34"/>
    <sheet name="Event_26" sheetId="30" r:id="rId35"/>
    <sheet name="Event_27" sheetId="34" r:id="rId36"/>
    <sheet name="Event_28" sheetId="35" r:id="rId37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B22" i="6"/>
  <c r="I22" i="6"/>
  <c r="B23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B3" i="7"/>
  <c r="I3" i="7"/>
  <c r="B4" i="7"/>
  <c r="I4" i="7"/>
  <c r="B5" i="7"/>
  <c r="I5" i="7"/>
  <c r="B6" i="7"/>
  <c r="I6" i="7"/>
  <c r="B7" i="7"/>
  <c r="I7" i="7"/>
  <c r="B8" i="7"/>
  <c r="I8" i="7"/>
  <c r="B9" i="7"/>
  <c r="I9" i="7"/>
  <c r="B10" i="7"/>
  <c r="I10" i="7"/>
  <c r="B11" i="7"/>
  <c r="I11" i="7"/>
  <c r="B12" i="7"/>
  <c r="I12" i="7"/>
  <c r="B13" i="7"/>
  <c r="I13" i="7"/>
  <c r="B14" i="7"/>
  <c r="I14" i="7"/>
  <c r="B15" i="7"/>
  <c r="I15" i="7"/>
  <c r="B16" i="7"/>
  <c r="I16" i="7"/>
  <c r="B17" i="7"/>
  <c r="I17" i="7"/>
  <c r="B18" i="7"/>
  <c r="I18" i="7"/>
  <c r="B19" i="7"/>
  <c r="I19" i="7"/>
  <c r="B20" i="7"/>
  <c r="I20" i="7"/>
  <c r="B21" i="7"/>
  <c r="I21" i="7"/>
  <c r="B22" i="7"/>
  <c r="I22" i="7"/>
  <c r="B23" i="7"/>
  <c r="I23" i="7"/>
  <c r="B24" i="7"/>
  <c r="I24" i="7"/>
  <c r="B25" i="7"/>
  <c r="I25" i="7"/>
  <c r="B26" i="7"/>
  <c r="I26" i="7"/>
  <c r="B27" i="7"/>
  <c r="I27" i="7"/>
  <c r="B28" i="7"/>
  <c r="I28" i="7"/>
  <c r="B29" i="7"/>
  <c r="I29" i="7"/>
  <c r="B30" i="7"/>
  <c r="I30" i="7"/>
  <c r="B31" i="7"/>
  <c r="I31" i="7"/>
  <c r="B32" i="7"/>
  <c r="I32" i="7"/>
  <c r="B33" i="7"/>
  <c r="I33" i="7"/>
  <c r="B34" i="7"/>
  <c r="I34" i="7"/>
  <c r="B35" i="7"/>
  <c r="I35" i="7"/>
  <c r="B36" i="7"/>
  <c r="H36" i="7" s="1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H3" i="8" s="1"/>
  <c r="I3" i="8"/>
  <c r="B4" i="8"/>
  <c r="H4" i="8" s="1"/>
  <c r="I4" i="8"/>
  <c r="B5" i="8"/>
  <c r="I5" i="8"/>
  <c r="B6" i="8"/>
  <c r="H6" i="8" s="1"/>
  <c r="I6" i="8"/>
  <c r="B7" i="8"/>
  <c r="H7" i="8" s="1"/>
  <c r="I7" i="8"/>
  <c r="B8" i="8"/>
  <c r="H8" i="8" s="1"/>
  <c r="I8" i="8"/>
  <c r="B9" i="8"/>
  <c r="H9" i="8" s="1"/>
  <c r="I9" i="8"/>
  <c r="B10" i="8"/>
  <c r="H10" i="8" s="1"/>
  <c r="I10" i="8"/>
  <c r="B11" i="8"/>
  <c r="I11" i="8"/>
  <c r="B12" i="8"/>
  <c r="H12" i="8" s="1"/>
  <c r="I12" i="8"/>
  <c r="B13" i="8"/>
  <c r="H13" i="8" s="1"/>
  <c r="I13" i="8"/>
  <c r="B14" i="8"/>
  <c r="H14" i="8" s="1"/>
  <c r="I14" i="8"/>
  <c r="B15" i="8"/>
  <c r="H15" i="8" s="1"/>
  <c r="I15" i="8"/>
  <c r="B16" i="8"/>
  <c r="H16" i="8" s="1"/>
  <c r="I16" i="8"/>
  <c r="B17" i="8"/>
  <c r="H17" i="8" s="1"/>
  <c r="I17" i="8"/>
  <c r="B18" i="8"/>
  <c r="H18" i="8" s="1"/>
  <c r="I18" i="8"/>
  <c r="B19" i="8"/>
  <c r="I19" i="8"/>
  <c r="B20" i="8"/>
  <c r="H20" i="8" s="1"/>
  <c r="I20" i="8"/>
  <c r="B21" i="8"/>
  <c r="H21" i="8" s="1"/>
  <c r="I21" i="8"/>
  <c r="B22" i="8"/>
  <c r="H22" i="8" s="1"/>
  <c r="I22" i="8"/>
  <c r="B23" i="8"/>
  <c r="H23" i="8" s="1"/>
  <c r="I23" i="8"/>
  <c r="B24" i="8"/>
  <c r="I24" i="8"/>
  <c r="B25" i="8"/>
  <c r="I25" i="8"/>
  <c r="B26" i="8"/>
  <c r="H26" i="8" s="1"/>
  <c r="I26" i="8"/>
  <c r="B27" i="8"/>
  <c r="I27" i="8"/>
  <c r="B28" i="8"/>
  <c r="H28" i="8" s="1"/>
  <c r="I28" i="8"/>
  <c r="B29" i="8"/>
  <c r="H29" i="8" s="1"/>
  <c r="I29" i="8"/>
  <c r="B30" i="8"/>
  <c r="I30" i="8"/>
  <c r="B31" i="8"/>
  <c r="H31" i="8" s="1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7"/>
  <c r="H2" i="7" s="1"/>
  <c r="B2" i="8"/>
  <c r="H2" i="8" s="1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/>
  <c r="A31" i="33"/>
  <c r="B31" i="33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/>
  <c r="A53" i="33"/>
  <c r="B53" i="33" s="1"/>
  <c r="A54" i="33"/>
  <c r="B54" i="33" s="1"/>
  <c r="A55" i="33"/>
  <c r="B55" i="33" s="1"/>
  <c r="A56" i="33"/>
  <c r="B56" i="33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/>
  <c r="A92" i="33"/>
  <c r="B92" i="33" s="1"/>
  <c r="A93" i="33"/>
  <c r="B93" i="33"/>
  <c r="A94" i="33"/>
  <c r="B94" i="33"/>
  <c r="A95" i="33"/>
  <c r="B95" i="33" s="1"/>
  <c r="A96" i="33"/>
  <c r="B96" i="33"/>
  <c r="A97" i="33"/>
  <c r="B97" i="33"/>
  <c r="A98" i="33"/>
  <c r="B98" i="33"/>
  <c r="A99" i="33"/>
  <c r="B99" i="33" s="1"/>
  <c r="A100" i="33"/>
  <c r="B100" i="33"/>
  <c r="A101" i="33"/>
  <c r="B101" i="33" s="1"/>
  <c r="A102" i="33"/>
  <c r="B102" i="33" s="1"/>
  <c r="A103" i="33"/>
  <c r="B103" i="33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/>
  <c r="A195" i="33"/>
  <c r="B195" i="33" s="1"/>
  <c r="A196" i="33"/>
  <c r="B196" i="33" s="1"/>
  <c r="A197" i="33"/>
  <c r="B197" i="33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6" i="6" l="1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H23" i="6"/>
  <c r="J23" i="6"/>
  <c r="H26" i="6"/>
  <c r="J26" i="6"/>
  <c r="J3" i="6"/>
  <c r="H3" i="6" s="1"/>
  <c r="J4" i="6"/>
  <c r="H4" i="6" s="1"/>
  <c r="J5" i="6"/>
  <c r="H5" i="6" s="1"/>
  <c r="J7" i="6"/>
  <c r="H7" i="6" s="1"/>
  <c r="H12" i="6"/>
  <c r="J12" i="6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3" i="7"/>
  <c r="H3" i="7"/>
  <c r="J4" i="7"/>
  <c r="H4" i="7"/>
  <c r="J5" i="7"/>
  <c r="H5" i="7"/>
  <c r="J6" i="7"/>
  <c r="H6" i="7"/>
  <c r="J7" i="7"/>
  <c r="H7" i="7"/>
  <c r="J8" i="7"/>
  <c r="H8" i="7"/>
  <c r="J9" i="7"/>
  <c r="H9" i="7"/>
  <c r="J10" i="7"/>
  <c r="H10" i="7"/>
  <c r="J11" i="7"/>
  <c r="H11" i="7"/>
  <c r="J12" i="7"/>
  <c r="H12" i="7"/>
  <c r="J13" i="7"/>
  <c r="H13" i="7"/>
  <c r="J14" i="7"/>
  <c r="H14" i="7"/>
  <c r="J15" i="7"/>
  <c r="H15" i="7"/>
  <c r="J16" i="7"/>
  <c r="H16" i="7"/>
  <c r="J17" i="7"/>
  <c r="H17" i="7"/>
  <c r="J18" i="7"/>
  <c r="H18" i="7"/>
  <c r="J19" i="7"/>
  <c r="H19" i="7"/>
  <c r="J20" i="7"/>
  <c r="H20" i="7"/>
  <c r="J21" i="7"/>
  <c r="H21" i="7"/>
  <c r="J22" i="7"/>
  <c r="H22" i="7"/>
  <c r="J23" i="7"/>
  <c r="H23" i="7"/>
  <c r="J24" i="7"/>
  <c r="H24" i="7"/>
  <c r="J25" i="7"/>
  <c r="H25" i="7"/>
  <c r="J26" i="7"/>
  <c r="H26" i="7"/>
  <c r="J27" i="7"/>
  <c r="H27" i="7"/>
  <c r="J28" i="7"/>
  <c r="H28" i="7"/>
  <c r="J29" i="7"/>
  <c r="H29" i="7"/>
  <c r="J30" i="7"/>
  <c r="H30" i="7"/>
  <c r="J31" i="7"/>
  <c r="H31" i="7"/>
  <c r="J32" i="7"/>
  <c r="H32" i="7"/>
  <c r="J33" i="7"/>
  <c r="H33" i="7"/>
  <c r="J34" i="7"/>
  <c r="H34" i="7"/>
  <c r="J35" i="7"/>
  <c r="H35" i="7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/>
  <c r="J11" i="8"/>
  <c r="H11" i="8"/>
  <c r="J19" i="8"/>
  <c r="H19" i="8"/>
  <c r="J24" i="8"/>
  <c r="H24" i="8"/>
  <c r="J25" i="8"/>
  <c r="H25" i="8"/>
  <c r="J27" i="8"/>
  <c r="H27" i="8"/>
  <c r="J30" i="8"/>
  <c r="H30" i="8"/>
  <c r="J32" i="8"/>
  <c r="H32" i="8"/>
  <c r="J33" i="8"/>
  <c r="H33" i="8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7"/>
  <c r="J2" i="8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J4" i="8"/>
  <c r="J6" i="8"/>
  <c r="J7" i="8"/>
  <c r="J8" i="8"/>
  <c r="J9" i="8"/>
  <c r="J10" i="8"/>
  <c r="J12" i="8"/>
  <c r="J13" i="8"/>
  <c r="J14" i="8"/>
  <c r="J15" i="8"/>
  <c r="J16" i="8"/>
  <c r="J17" i="8"/>
  <c r="J18" i="8"/>
  <c r="J20" i="8"/>
  <c r="J21" i="8"/>
  <c r="J22" i="8"/>
  <c r="J23" i="8"/>
  <c r="J26" i="8"/>
  <c r="J28" i="8"/>
  <c r="J29" i="8"/>
  <c r="J31" i="8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N4" i="2" l="1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<sst xmlns="http://schemas.openxmlformats.org/spreadsheetml/2006/main" count="3947" uniqueCount="489">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</sst>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3" fillId="0" borderId="0"/>
    <xf numFmtId="0" fontId="2" fillId="0" borderId="0"/>
  </cellStyleXfs>
  <cellXfs count="54">
    <xf numFmtId="0" fontId="0" fillId="0" borderId="0" xfId="0"/>
    <xf numFmtId="14" fontId="0" fillId="0" borderId="0" xfId="0" applyNumberFormat="1"/>
    <xf numFmtId="16" fontId="10" fillId="2" borderId="0" xfId="2" applyNumberFormat="1" applyFont="1" applyFill="1" applyAlignment="1">
      <alignment horizontal="center"/>
    </xf>
    <xf numFmtId="0" fontId="10" fillId="2" borderId="0" xfId="2" applyFont="1" applyFill="1" applyAlignment="1">
      <alignment horizontal="center"/>
    </xf>
    <xf numFmtId="16" fontId="10" fillId="2" borderId="0" xfId="2" applyNumberFormat="1" applyFont="1" applyFill="1"/>
    <xf numFmtId="0" fontId="10" fillId="2" borderId="0" xfId="2" applyFont="1" applyFill="1"/>
    <xf numFmtId="0" fontId="10" fillId="2" borderId="0" xfId="3" applyFont="1" applyFill="1" applyAlignment="1">
      <alignment horizontal="center" vertical="center" wrapText="1"/>
    </xf>
    <xf numFmtId="0" fontId="9" fillId="0" borderId="0" xfId="2" applyAlignment="1">
      <alignment horizontal="center"/>
    </xf>
    <xf numFmtId="0" fontId="9" fillId="0" borderId="0" xfId="2"/>
    <xf numFmtId="0" fontId="0" fillId="3" borderId="0" xfId="0" applyFill="1"/>
    <xf numFmtId="0" fontId="11" fillId="2" borderId="1" xfId="0" applyFont="1" applyFill="1" applyBorder="1" applyAlignment="1">
      <alignment wrapText="1"/>
    </xf>
    <xf numFmtId="0" fontId="11" fillId="2" borderId="2" xfId="0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/>
    </xf>
    <xf numFmtId="0" fontId="11" fillId="2" borderId="4" xfId="0" applyFont="1" applyFill="1" applyBorder="1" applyAlignment="1">
      <alignment horizontal="center"/>
    </xf>
    <xf numFmtId="0" fontId="12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/>
    <xf numFmtId="0" fontId="11" fillId="2" borderId="6" xfId="0" applyFont="1" applyFill="1" applyBorder="1" applyAlignment="1">
      <alignment horizontal="left"/>
    </xf>
    <xf numFmtId="0" fontId="13" fillId="4" borderId="6" xfId="0" applyFont="1" applyFill="1" applyBorder="1" applyAlignment="1">
      <alignment horizontal="center"/>
    </xf>
    <xf numFmtId="164" fontId="13" fillId="4" borderId="6" xfId="0" applyNumberFormat="1" applyFont="1" applyFill="1" applyBorder="1" applyAlignment="1">
      <alignment horizontal="center"/>
    </xf>
    <xf numFmtId="0" fontId="13" fillId="0" borderId="6" xfId="0" applyFont="1" applyBorder="1"/>
    <xf numFmtId="165" fontId="13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3" fillId="0" borderId="6" xfId="0" applyFont="1" applyBorder="1" applyAlignment="1">
      <alignment horizontal="left"/>
    </xf>
    <xf numFmtId="166" fontId="13" fillId="4" borderId="6" xfId="0" applyNumberFormat="1" applyFont="1" applyFill="1" applyBorder="1" applyAlignment="1">
      <alignment horizontal="center"/>
    </xf>
    <xf numFmtId="0" fontId="14" fillId="6" borderId="6" xfId="0" applyFont="1" applyFill="1" applyBorder="1" applyAlignment="1">
      <alignment horizontal="center"/>
    </xf>
    <xf numFmtId="0" fontId="9" fillId="0" borderId="0" xfId="3" applyAlignment="1">
      <alignment horizontal="center"/>
    </xf>
    <xf numFmtId="14" fontId="9" fillId="0" borderId="0" xfId="0" applyNumberFormat="1" applyFont="1"/>
    <xf numFmtId="0" fontId="0" fillId="0" borderId="0" xfId="0" applyAlignment="1">
      <alignment horizontal="center"/>
    </xf>
    <xf numFmtId="0" fontId="13" fillId="7" borderId="6" xfId="0" applyFont="1" applyFill="1" applyBorder="1" applyAlignment="1">
      <alignment horizontal="center"/>
    </xf>
    <xf numFmtId="164" fontId="13" fillId="7" borderId="6" xfId="0" applyNumberFormat="1" applyFont="1" applyFill="1" applyBorder="1" applyAlignment="1">
      <alignment horizontal="center"/>
    </xf>
    <xf numFmtId="166" fontId="13" fillId="7" borderId="6" xfId="0" applyNumberFormat="1" applyFont="1" applyFill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0" fillId="2" borderId="0" xfId="2" applyNumberFormat="1" applyFont="1" applyFill="1"/>
    <xf numFmtId="167" fontId="9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0" fillId="0" borderId="0" xfId="0" quotePrefix="1"/>
    <xf numFmtId="0" fontId="6" fillId="0" borderId="0" xfId="0" applyFont="1"/>
    <xf numFmtId="0" fontId="5" fillId="0" borderId="0" xfId="0" applyFont="1"/>
    <xf numFmtId="0" fontId="4" fillId="0" borderId="0" xfId="8"/>
    <xf numFmtId="14" fontId="4" fillId="0" borderId="0" xfId="8" applyNumberFormat="1"/>
    <xf numFmtId="0" fontId="3" fillId="0" borderId="0" xfId="9"/>
    <xf numFmtId="14" fontId="3" fillId="0" borderId="0" xfId="9" applyNumberFormat="1"/>
    <xf numFmtId="0" fontId="2" fillId="0" borderId="0" xfId="10"/>
    <xf numFmtId="14" fontId="2" fillId="0" borderId="0" xfId="10" applyNumberFormat="1"/>
    <xf numFmtId="0" fontId="1" fillId="0" borderId="0" xfId="10" applyFont="1"/>
  </cellXfs>
  <cellStyles count="11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378</v>
      </c>
    </row>
    <row r="9" spans="1:3" x14ac:dyDescent="0.35">
      <c r="C9" t="s">
        <v>379</v>
      </c>
    </row>
    <row r="10" spans="1:3" x14ac:dyDescent="0.35">
      <c r="A10" s="1">
        <v>46046</v>
      </c>
      <c r="B10" s="1" t="s">
        <v>0</v>
      </c>
      <c r="C10" t="s">
        <v>381</v>
      </c>
    </row>
    <row r="11" spans="1:3" x14ac:dyDescent="0.35">
      <c r="C11" s="44" t="s">
        <v>382</v>
      </c>
    </row>
    <row r="12" spans="1:3" x14ac:dyDescent="0.35">
      <c r="C12" t="s">
        <v>383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86" zoomScaleNormal="100" workbookViewId="0">
      <selection activeCell="C124" sqref="C124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362</v>
      </c>
      <c r="G1" t="s">
        <v>363</v>
      </c>
      <c r="H1" t="s">
        <v>318</v>
      </c>
    </row>
    <row r="2" spans="1:10" ht="14.25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G2" s="51"/>
      <c r="H2" s="52">
        <v>46102</v>
      </c>
      <c r="J2" s="1"/>
    </row>
    <row r="3" spans="1:10" ht="14.25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  <c r="J3" s="1"/>
    </row>
    <row r="4" spans="1:10" ht="14.25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  <c r="J4" s="1"/>
    </row>
    <row r="5" spans="1:10" ht="14.25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  <c r="J5" s="1"/>
    </row>
    <row r="6" spans="1:10" ht="14.25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  <c r="J6" s="1"/>
    </row>
    <row r="7" spans="1:10" ht="14.25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G7" s="51"/>
      <c r="H7" s="52">
        <v>46102</v>
      </c>
      <c r="J7" s="1"/>
    </row>
    <row r="8" spans="1:10" ht="14.25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  <c r="J8" s="1"/>
    </row>
    <row r="9" spans="1:10" ht="14.25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G9" s="51"/>
      <c r="H9" s="52">
        <v>46102</v>
      </c>
      <c r="J9" s="1"/>
    </row>
    <row r="10" spans="1:10" ht="14.25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  <c r="J10" s="1"/>
    </row>
    <row r="11" spans="1:10" ht="14.25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  <c r="J11" s="1"/>
    </row>
    <row r="12" spans="1:10" ht="14.25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  <c r="J12" s="1"/>
    </row>
    <row r="13" spans="1:10" ht="14.25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  <c r="J13" s="1"/>
    </row>
    <row r="14" spans="1:10" ht="14.25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  <c r="J14" s="1"/>
    </row>
    <row r="15" spans="1:10" ht="14.25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  <c r="J15" s="1"/>
    </row>
    <row r="16" spans="1:10" ht="14.25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  <c r="J16" s="1"/>
    </row>
    <row r="17" spans="1:10" ht="14.25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  <c r="J17" s="1"/>
    </row>
    <row r="18" spans="1:10" ht="14.25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G18" s="51"/>
      <c r="H18" s="52">
        <v>46102</v>
      </c>
      <c r="J18" s="1"/>
    </row>
    <row r="19" spans="1:10" ht="14.25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G19" s="51"/>
      <c r="H19" s="52">
        <v>46102</v>
      </c>
      <c r="J19" s="1"/>
    </row>
    <row r="20" spans="1:10" ht="14.25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  <c r="J20" s="1"/>
    </row>
    <row r="21" spans="1:10" ht="14.25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  <c r="J21" s="1"/>
    </row>
    <row r="22" spans="1:10" ht="14.25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G22" s="51"/>
      <c r="H22" s="52">
        <v>46102</v>
      </c>
      <c r="J22" s="1"/>
    </row>
    <row r="23" spans="1:10" ht="14.25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G23" s="51"/>
      <c r="H23" s="52">
        <v>46102</v>
      </c>
      <c r="J23" s="1"/>
    </row>
    <row r="24" spans="1:10" ht="14.25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  <c r="J24" s="1"/>
    </row>
    <row r="25" spans="1:10" ht="14.25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  <c r="J25" s="1"/>
    </row>
    <row r="26" spans="1:10" ht="14.25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  <c r="J26" s="1"/>
    </row>
    <row r="27" spans="1:10" ht="14.25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  <c r="J27" s="1"/>
    </row>
    <row r="28" spans="1:10" ht="14.25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  <c r="J28" s="1"/>
    </row>
    <row r="29" spans="1:10" ht="14.25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  <c r="J29" s="1"/>
    </row>
    <row r="30" spans="1:10" ht="14.25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G30" s="51"/>
      <c r="H30" s="52">
        <v>46102</v>
      </c>
      <c r="J30" s="1"/>
    </row>
    <row r="31" spans="1:10" ht="14.25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G31" s="51"/>
      <c r="H31" s="52">
        <v>46102</v>
      </c>
      <c r="J31" s="1"/>
    </row>
    <row r="32" spans="1:10" ht="14.25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  <c r="J32" s="1"/>
    </row>
    <row r="33" spans="1:10" ht="14.25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  <c r="J33" s="1"/>
    </row>
    <row r="34" spans="1:10" ht="14.25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G34" s="51"/>
      <c r="H34" s="52">
        <v>46102</v>
      </c>
      <c r="J34" s="1"/>
    </row>
    <row r="35" spans="1:10" ht="14.25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  <c r="J35" s="1"/>
    </row>
    <row r="36" spans="1:10" ht="14.25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  <c r="J36" s="1"/>
    </row>
    <row r="37" spans="1:10" ht="14.25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  <c r="J37" s="1"/>
    </row>
    <row r="38" spans="1:10" ht="14.25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  <c r="J38" s="1"/>
    </row>
    <row r="39" spans="1:10" ht="14.25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  <c r="J39" s="1"/>
    </row>
    <row r="40" spans="1:10" ht="14.25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  <c r="J40" s="1"/>
    </row>
    <row r="41" spans="1:10" ht="14.25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  <c r="J41" s="1"/>
    </row>
    <row r="42" spans="1:10" ht="14.25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  <c r="J42" s="1"/>
    </row>
    <row r="43" spans="1:10" ht="14.25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  <c r="J43" s="1"/>
    </row>
    <row r="44" spans="1:10" ht="14.25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G44" s="51"/>
      <c r="H44" s="52">
        <v>46102</v>
      </c>
      <c r="J44" s="1"/>
    </row>
    <row r="45" spans="1:10" ht="14.25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  <c r="J45" s="1"/>
    </row>
    <row r="46" spans="1:10" ht="14.25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  <c r="J46" s="1"/>
    </row>
    <row r="47" spans="1:10" ht="14.25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  <c r="J47" s="1"/>
    </row>
    <row r="48" spans="1:10" ht="14.25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G48" s="51"/>
      <c r="H48" s="52">
        <v>46102</v>
      </c>
      <c r="J48" s="1"/>
    </row>
    <row r="49" spans="1:10" ht="14.25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G49" s="51"/>
      <c r="H49" s="52">
        <v>46102</v>
      </c>
      <c r="J49" s="1"/>
    </row>
    <row r="50" spans="1:10" ht="14.25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  <c r="J50" s="1"/>
    </row>
    <row r="51" spans="1:10" ht="14.25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G51" s="51"/>
      <c r="H51" s="52">
        <v>46102</v>
      </c>
      <c r="J51" s="1"/>
    </row>
    <row r="52" spans="1:10" ht="14.25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G52" s="51"/>
      <c r="H52" s="52">
        <v>46102</v>
      </c>
      <c r="J52" s="1"/>
    </row>
    <row r="53" spans="1:10" ht="14.25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  <c r="J53" s="1"/>
    </row>
    <row r="54" spans="1:10" ht="14.25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  <c r="J54" s="1"/>
    </row>
    <row r="55" spans="1:10" ht="14.25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G55" s="51"/>
      <c r="H55" s="52">
        <v>46102</v>
      </c>
      <c r="J55" s="1"/>
    </row>
    <row r="56" spans="1:10" ht="14.25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G56" s="51"/>
      <c r="H56" s="52">
        <v>46102</v>
      </c>
      <c r="J56" s="1"/>
    </row>
    <row r="57" spans="1:10" ht="14.25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  <c r="J57" s="1"/>
    </row>
    <row r="58" spans="1:10" ht="14.25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  <c r="J58" s="1"/>
    </row>
    <row r="59" spans="1:10" ht="14.25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G59" s="51"/>
      <c r="H59" s="52">
        <v>46102</v>
      </c>
      <c r="J59" s="1"/>
    </row>
    <row r="60" spans="1:10" ht="14.25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G60" s="51"/>
      <c r="H60" s="52">
        <v>46102</v>
      </c>
      <c r="J60" s="1"/>
    </row>
    <row r="61" spans="1:10" ht="14.25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  <c r="J61" s="1"/>
    </row>
    <row r="62" spans="1:10" ht="14.25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  <c r="J62" s="1"/>
    </row>
    <row r="63" spans="1:10" ht="14.25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G63" s="51"/>
      <c r="H63" s="52">
        <v>46102</v>
      </c>
      <c r="J63" s="1"/>
    </row>
    <row r="64" spans="1:10" ht="14.25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  <c r="J64" s="1"/>
    </row>
    <row r="65" spans="1:10" ht="14.25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  <c r="J65" s="1"/>
    </row>
    <row r="66" spans="1:10" ht="14.25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  <c r="J66" s="1"/>
    </row>
    <row r="67" spans="1:10" ht="14.25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  <c r="J67" s="1"/>
    </row>
    <row r="68" spans="1:10" ht="14.25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G68" s="51"/>
      <c r="H68" s="52">
        <v>46102</v>
      </c>
      <c r="J68" s="1"/>
    </row>
    <row r="69" spans="1:10" ht="14.25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G69" s="51"/>
      <c r="H69" s="52">
        <v>46102</v>
      </c>
      <c r="J69" s="1"/>
    </row>
    <row r="70" spans="1:10" ht="14.25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  <c r="J70" s="1"/>
    </row>
    <row r="71" spans="1:10" ht="14.25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  <c r="J71" s="1"/>
    </row>
    <row r="72" spans="1:10" ht="14.25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G72" s="51"/>
      <c r="H72" s="52">
        <v>46102</v>
      </c>
      <c r="J72" s="1"/>
    </row>
    <row r="73" spans="1:10" ht="14.25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G73" s="51"/>
      <c r="H73" s="52">
        <v>46102</v>
      </c>
      <c r="J73" s="1"/>
    </row>
    <row r="74" spans="1:10" ht="14.25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G74" s="51"/>
      <c r="H74" s="52">
        <v>46102</v>
      </c>
      <c r="J74" s="1"/>
    </row>
    <row r="75" spans="1:10" ht="14.25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G75" s="51"/>
      <c r="H75" s="52">
        <v>46102</v>
      </c>
      <c r="J75" s="1"/>
    </row>
    <row r="76" spans="1:10" ht="14.25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G76" s="51"/>
      <c r="H76" s="52">
        <v>46102</v>
      </c>
      <c r="J76" s="1"/>
    </row>
    <row r="77" spans="1:10" ht="14.25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  <c r="J77" s="1"/>
    </row>
    <row r="78" spans="1:10" ht="14.25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  <c r="J78" s="1"/>
    </row>
    <row r="79" spans="1:10" ht="14.25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G79" s="51"/>
      <c r="H79" s="52">
        <v>46102</v>
      </c>
      <c r="J79" s="1"/>
    </row>
    <row r="80" spans="1:10" ht="14.25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  <c r="J80" s="1"/>
    </row>
    <row r="81" spans="1:10" ht="14.25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G81" s="51"/>
      <c r="H81" s="52">
        <v>46102</v>
      </c>
      <c r="J81" s="1"/>
    </row>
    <row r="82" spans="1:10" ht="14.25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G82" s="51"/>
      <c r="H82" s="52">
        <v>46102</v>
      </c>
      <c r="J82" s="1"/>
    </row>
    <row r="83" spans="1:10" ht="14.25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G83" s="51"/>
      <c r="H83" s="52">
        <v>46102</v>
      </c>
      <c r="J83" s="1"/>
    </row>
    <row r="84" spans="1:10" ht="14.25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  <c r="J84" s="1"/>
    </row>
    <row r="85" spans="1:10" ht="14.25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  <c r="J85" s="1"/>
    </row>
    <row r="86" spans="1:10" ht="14.25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  <c r="J86" s="1"/>
    </row>
    <row r="87" spans="1:10" ht="14.25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  <c r="J87" s="1"/>
    </row>
    <row r="88" spans="1:10" ht="14.25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  <c r="J88" s="1"/>
    </row>
    <row r="89" spans="1:10" ht="14.25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  <c r="J89" s="1"/>
    </row>
    <row r="90" spans="1:10" ht="14.25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  <c r="J90" s="1"/>
    </row>
    <row r="91" spans="1:10" ht="14.25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  <c r="J91" s="1"/>
    </row>
    <row r="92" spans="1:10" ht="14.25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G92" s="51"/>
      <c r="H92" s="52">
        <v>46102</v>
      </c>
      <c r="J92" s="1"/>
    </row>
    <row r="93" spans="1:10" ht="14.25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  <c r="J93" s="1"/>
    </row>
    <row r="94" spans="1:10" ht="14.25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  <c r="J94" s="1"/>
    </row>
    <row r="95" spans="1:10" ht="14.25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  <c r="J95" s="1"/>
    </row>
    <row r="96" spans="1:10" ht="14.25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G96" s="51"/>
      <c r="H96" s="52">
        <v>46102</v>
      </c>
      <c r="J96" s="1"/>
    </row>
    <row r="97" spans="1:10" ht="14.25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G97" s="51"/>
      <c r="H97" s="52">
        <v>46102</v>
      </c>
      <c r="J97" s="1"/>
    </row>
    <row r="98" spans="1:10" ht="14.25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  <c r="J98" s="1"/>
    </row>
    <row r="99" spans="1:10" ht="14.25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G99" s="51"/>
      <c r="H99" s="52">
        <v>46102</v>
      </c>
      <c r="J99" s="1"/>
    </row>
    <row r="100" spans="1:10" ht="14.25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  <c r="J100" s="1"/>
    </row>
    <row r="101" spans="1:10" ht="14.25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G101" s="51"/>
      <c r="H101" s="52">
        <v>46102</v>
      </c>
      <c r="J101" s="1"/>
    </row>
    <row r="102" spans="1:10" ht="14.25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  <c r="J102" s="1"/>
    </row>
    <row r="103" spans="1:10" ht="14.25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  <c r="J103" s="1"/>
    </row>
    <row r="104" spans="1:10" ht="14.25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G104" s="51"/>
      <c r="H104" s="52">
        <v>46102</v>
      </c>
      <c r="J104" s="1"/>
    </row>
    <row r="105" spans="1:10" ht="14.25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  <c r="J105" s="1"/>
    </row>
    <row r="106" spans="1:10" ht="14.25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  <c r="J106" s="1"/>
    </row>
    <row r="107" spans="1:10" ht="14.25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  <c r="J107" s="1"/>
    </row>
    <row r="108" spans="1:10" ht="14.25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  <c r="J108" s="1"/>
    </row>
    <row r="109" spans="1:10" ht="14.25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  <c r="J109" s="1"/>
    </row>
    <row r="110" spans="1:10" ht="14.25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G110" s="51"/>
      <c r="H110" s="52">
        <v>46102</v>
      </c>
      <c r="J110" s="1"/>
    </row>
    <row r="111" spans="1:10" ht="14.25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  <c r="J111" s="1"/>
    </row>
    <row r="112" spans="1:10" ht="14.25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G112" s="51"/>
      <c r="H112" s="52">
        <v>46102</v>
      </c>
      <c r="J112" s="1"/>
    </row>
    <row r="113" spans="1:10" ht="14.25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  <c r="J113" s="1"/>
    </row>
    <row r="114" spans="1:10" ht="14.25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  <c r="J114" s="1"/>
    </row>
    <row r="115" spans="1:10" ht="14.25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G115" s="51"/>
      <c r="H115" s="52">
        <v>46102</v>
      </c>
      <c r="J115" s="1"/>
    </row>
    <row r="116" spans="1:10" ht="14.25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G116" s="51"/>
      <c r="H116" s="52">
        <v>46102</v>
      </c>
      <c r="J116" s="1"/>
    </row>
    <row r="117" spans="1:10" ht="14.25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  <c r="J117" s="1"/>
    </row>
    <row r="118" spans="1:10" ht="14.25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  <c r="J118" s="1"/>
    </row>
    <row r="119" spans="1:10" ht="14.25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  <c r="J119" s="1"/>
    </row>
    <row r="120" spans="1:10" ht="14.25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  <c r="J120" s="1"/>
    </row>
    <row r="121" spans="1:10" ht="14.25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  <c r="J121" s="1"/>
    </row>
    <row r="122" spans="1:10" ht="14.25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G122" s="51"/>
      <c r="H122" s="52">
        <v>46102</v>
      </c>
      <c r="J122" s="1"/>
    </row>
    <row r="123" spans="1:10" ht="14.25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G123" s="51"/>
      <c r="H123" s="52">
        <v>46102</v>
      </c>
      <c r="J123" s="1"/>
    </row>
    <row r="124" spans="1:10" ht="14.25" x14ac:dyDescent="0.45">
      <c r="A124" s="51">
        <v>1419</v>
      </c>
      <c r="B124" s="53" t="s">
        <v>486</v>
      </c>
      <c r="C124" s="51" t="s">
        <v>452</v>
      </c>
      <c r="D124" s="51" t="s">
        <v>35</v>
      </c>
      <c r="E124" s="51" t="b">
        <v>0</v>
      </c>
      <c r="F124" s="51" t="s">
        <v>365</v>
      </c>
      <c r="G124" s="51"/>
      <c r="H124" s="52">
        <v>46102</v>
      </c>
      <c r="J124" s="1"/>
    </row>
    <row r="125" spans="1:10" ht="14.25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  <c r="J125" s="1"/>
    </row>
    <row r="126" spans="1:10" ht="14.25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  <c r="J126" s="1"/>
    </row>
    <row r="127" spans="1:10" ht="14.25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  <c r="J127" s="1"/>
    </row>
    <row r="128" spans="1:10" ht="14.25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G128" s="51"/>
      <c r="H128" s="52">
        <v>46102</v>
      </c>
      <c r="J128" s="1"/>
    </row>
    <row r="129" spans="1:10" ht="14.25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G129" s="51"/>
      <c r="H129" s="52">
        <v>46102</v>
      </c>
      <c r="J129" s="1"/>
    </row>
    <row r="130" spans="1:10" ht="14.25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G130" s="51"/>
      <c r="H130" s="52">
        <v>46102</v>
      </c>
      <c r="J130" s="1"/>
    </row>
    <row r="131" spans="1:10" ht="14.25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G131" s="51"/>
      <c r="H131" s="52">
        <v>46102</v>
      </c>
      <c r="J131" s="1"/>
    </row>
    <row r="132" spans="1:10" ht="14.25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  <c r="J132" s="1"/>
    </row>
    <row r="133" spans="1:10" ht="14.25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  <c r="J133" s="1"/>
    </row>
    <row r="134" spans="1:10" ht="14.25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  <c r="J134" s="1"/>
    </row>
    <row r="135" spans="1:10" ht="14.25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  <c r="J135" s="1"/>
    </row>
    <row r="136" spans="1:10" ht="14.25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  <c r="J136" s="1"/>
    </row>
    <row r="137" spans="1:10" ht="14.25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  <c r="J137" s="1"/>
    </row>
    <row r="138" spans="1:10" ht="14.25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  <c r="J138" s="1"/>
    </row>
    <row r="139" spans="1:10" ht="14.25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G139" s="51"/>
      <c r="H139" s="52">
        <v>46102</v>
      </c>
      <c r="J139" s="1"/>
    </row>
    <row r="140" spans="1:10" ht="14.25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  <c r="J140" s="1"/>
    </row>
    <row r="141" spans="1:10" ht="14.25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  <c r="J141" s="1"/>
    </row>
    <row r="142" spans="1:10" ht="14.25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  <c r="J142" s="1"/>
    </row>
    <row r="143" spans="1:10" ht="14.25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  <c r="J143" s="1"/>
    </row>
    <row r="144" spans="1:10" ht="14.25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  <c r="J144" s="1"/>
    </row>
    <row r="145" spans="1:10" ht="14.25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G145" s="51"/>
      <c r="H145" s="52">
        <v>46102</v>
      </c>
      <c r="J145" s="1"/>
    </row>
    <row r="146" spans="1:10" ht="14.25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G146" s="51"/>
      <c r="H146" s="52">
        <v>46102</v>
      </c>
      <c r="J146" s="1"/>
    </row>
    <row r="147" spans="1:10" ht="14.25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G147" s="51"/>
      <c r="H147" s="52">
        <v>46102</v>
      </c>
      <c r="J147" s="1"/>
    </row>
    <row r="148" spans="1:10" ht="14.25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  <c r="J148" s="1"/>
    </row>
    <row r="149" spans="1:10" ht="14.25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  <c r="J149" s="1"/>
    </row>
    <row r="150" spans="1:10" ht="14.25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G150" s="51"/>
      <c r="H150" s="52">
        <v>46102</v>
      </c>
      <c r="J150" s="1"/>
    </row>
    <row r="151" spans="1:10" ht="14.25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G151" s="51"/>
      <c r="H151" s="52">
        <v>46102</v>
      </c>
      <c r="J151" s="1"/>
    </row>
    <row r="152" spans="1:10" ht="14.25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  <c r="J152" s="1"/>
    </row>
    <row r="153" spans="1:10" ht="14.25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  <c r="J153" s="1"/>
    </row>
    <row r="154" spans="1:10" ht="14.25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  <c r="J154" s="1"/>
    </row>
    <row r="155" spans="1:10" ht="14.25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  <c r="J155" s="1"/>
    </row>
    <row r="156" spans="1:10" ht="14.25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G156" s="51"/>
      <c r="H156" s="52">
        <v>46102</v>
      </c>
      <c r="J156" s="1"/>
    </row>
    <row r="157" spans="1:10" ht="14.25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G157" s="51"/>
      <c r="H157" s="52">
        <v>46102</v>
      </c>
      <c r="J157" s="1"/>
    </row>
    <row r="158" spans="1:10" ht="14.25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  <c r="J158" s="1"/>
    </row>
    <row r="159" spans="1:10" ht="14.25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  <c r="J159" s="1"/>
    </row>
    <row r="160" spans="1:10" ht="14.25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  <c r="J160" s="1"/>
    </row>
    <row r="161" spans="1:10" ht="14.25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  <c r="J161" s="1"/>
    </row>
    <row r="162" spans="1:10" ht="14.25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G162" s="51"/>
      <c r="H162" s="52">
        <v>46102</v>
      </c>
      <c r="J162" s="1"/>
    </row>
    <row r="163" spans="1:10" ht="14.25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  <c r="J163" s="1"/>
    </row>
    <row r="164" spans="1:10" ht="14.25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G164" s="51"/>
      <c r="H164" s="52">
        <v>46102</v>
      </c>
      <c r="J164" s="1"/>
    </row>
    <row r="165" spans="1:10" ht="14.25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  <c r="J165" s="1"/>
    </row>
    <row r="166" spans="1:10" ht="14.25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G166" s="51"/>
      <c r="H166" s="52">
        <v>46102</v>
      </c>
      <c r="J166" s="1"/>
    </row>
    <row r="167" spans="1:10" ht="14.25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  <c r="J167" s="1"/>
    </row>
    <row r="168" spans="1:10" ht="14.25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  <c r="J168" s="1"/>
    </row>
    <row r="169" spans="1:10" ht="14.25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  <c r="J169" s="1"/>
    </row>
    <row r="170" spans="1:10" ht="14.25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  <c r="J170" s="1"/>
    </row>
    <row r="171" spans="1:10" ht="14.25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  <c r="J171" s="1"/>
    </row>
    <row r="172" spans="1:10" ht="14.25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  <c r="J172" s="1"/>
    </row>
    <row r="173" spans="1:10" ht="14.25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  <c r="J173" s="1"/>
    </row>
    <row r="174" spans="1:10" ht="14.25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  <c r="J174" s="1"/>
    </row>
    <row r="175" spans="1:10" ht="14.25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G175" s="51"/>
      <c r="H175" s="52">
        <v>46102</v>
      </c>
      <c r="J175" s="1"/>
    </row>
    <row r="176" spans="1:10" ht="14.25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G176" s="51"/>
      <c r="H176" s="52">
        <v>46102</v>
      </c>
      <c r="J176" s="1"/>
    </row>
    <row r="177" spans="1:10" ht="14.25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  <c r="J177" s="1"/>
    </row>
    <row r="178" spans="1:10" ht="14.25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  <c r="J178" s="1"/>
    </row>
    <row r="179" spans="1:10" ht="14.25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G179" s="51"/>
      <c r="H179" s="52">
        <v>46102</v>
      </c>
      <c r="J179" s="1"/>
    </row>
    <row r="180" spans="1:10" ht="14.25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G180" s="51"/>
      <c r="H180" s="52">
        <v>46102</v>
      </c>
      <c r="J180" s="1"/>
    </row>
    <row r="181" spans="1:10" ht="14.25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  <c r="J181" s="1"/>
    </row>
    <row r="182" spans="1:10" ht="14.25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  <c r="J182" s="1"/>
    </row>
    <row r="183" spans="1:10" ht="14.25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  <c r="J183" s="1"/>
    </row>
    <row r="184" spans="1:10" ht="14.25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G184" s="51"/>
      <c r="H184" s="52">
        <v>46102</v>
      </c>
      <c r="J184" s="1"/>
    </row>
    <row r="185" spans="1:10" ht="14.25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G185" s="51"/>
      <c r="H185" s="52">
        <v>46102</v>
      </c>
      <c r="J185" s="1"/>
    </row>
    <row r="186" spans="1:10" ht="14.25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  <c r="J186" s="1"/>
    </row>
    <row r="187" spans="1:10" ht="14.25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  <c r="J187" s="1"/>
    </row>
    <row r="188" spans="1:10" ht="14.25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G188" s="51"/>
      <c r="H188" s="52">
        <v>46102</v>
      </c>
      <c r="J188" s="1"/>
    </row>
    <row r="189" spans="1:10" ht="14.25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G189" s="51"/>
      <c r="H189" s="52">
        <v>46102</v>
      </c>
      <c r="J189" s="1"/>
    </row>
    <row r="190" spans="1:10" ht="14.25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  <c r="J190" s="1"/>
    </row>
    <row r="191" spans="1:10" ht="14.25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  <c r="J191" s="1"/>
    </row>
    <row r="192" spans="1:10" ht="14.25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  <c r="J192" s="1"/>
    </row>
    <row r="193" spans="1:10" ht="14.25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G193" s="51"/>
      <c r="H193" s="52">
        <v>46102</v>
      </c>
      <c r="J193" s="1"/>
    </row>
    <row r="194" spans="1:10" ht="14.25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  <c r="J194" s="1"/>
    </row>
    <row r="195" spans="1:10" ht="14.25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G195" s="51"/>
      <c r="H195" s="52">
        <v>46102</v>
      </c>
      <c r="J195" s="1"/>
    </row>
    <row r="196" spans="1:10" ht="14.25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  <c r="J196" s="1"/>
    </row>
    <row r="197" spans="1:10" ht="14.25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  <c r="J197" s="1"/>
    </row>
    <row r="198" spans="1:10" ht="14.25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G198" s="51"/>
      <c r="H198" s="52">
        <v>46102</v>
      </c>
      <c r="J198" s="1"/>
    </row>
    <row r="199" spans="1:10" ht="14.25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G199" s="51"/>
      <c r="H199" s="52">
        <v>46102</v>
      </c>
      <c r="J199" s="1"/>
    </row>
    <row r="200" spans="1:10" ht="14.25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G200" s="51"/>
      <c r="H200" s="52">
        <v>46102</v>
      </c>
      <c r="J200" s="1"/>
    </row>
    <row r="201" spans="1:10" ht="14.25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G201" s="51"/>
      <c r="H201" s="52">
        <v>46102</v>
      </c>
      <c r="J201" s="1"/>
    </row>
    <row r="202" spans="1:10" ht="14.25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  <c r="J202" s="1"/>
    </row>
    <row r="203" spans="1:10" ht="14.25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  <c r="J203" s="1"/>
    </row>
    <row r="204" spans="1:10" ht="14.25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G204" s="51"/>
      <c r="H204" s="52">
        <v>46102</v>
      </c>
      <c r="J204" s="1"/>
    </row>
    <row r="205" spans="1:10" ht="14.25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  <c r="J205" s="1"/>
    </row>
    <row r="206" spans="1:10" ht="14.25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  <c r="J206" s="1"/>
    </row>
    <row r="207" spans="1:10" ht="14.25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  <c r="J207" s="1"/>
    </row>
    <row r="208" spans="1:10" ht="14.25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  <c r="J208" s="1"/>
    </row>
    <row r="209" spans="8:10" x14ac:dyDescent="0.35">
      <c r="H209" s="1"/>
      <c r="J209" s="1"/>
    </row>
    <row r="210" spans="8:10" x14ac:dyDescent="0.35">
      <c r="H210" s="1"/>
      <c r="J210" s="1"/>
    </row>
    <row r="211" spans="8:10" x14ac:dyDescent="0.35">
      <c r="H211" s="1"/>
      <c r="J211" s="1"/>
    </row>
    <row r="212" spans="8:10" x14ac:dyDescent="0.35">
      <c r="H212" s="1"/>
      <c r="J212" s="1"/>
    </row>
    <row r="213" spans="8:10" x14ac:dyDescent="0.35">
      <c r="H213" s="1"/>
      <c r="J213" s="1"/>
    </row>
    <row r="214" spans="8:10" x14ac:dyDescent="0.35">
      <c r="H214" s="1"/>
      <c r="J214" s="1"/>
    </row>
    <row r="215" spans="8:10" x14ac:dyDescent="0.35">
      <c r="H215" s="1"/>
      <c r="J215" s="1"/>
    </row>
    <row r="216" spans="8:10" x14ac:dyDescent="0.35">
      <c r="H216" s="1"/>
      <c r="J216" s="1"/>
    </row>
    <row r="217" spans="8:10" x14ac:dyDescent="0.35">
      <c r="H217" s="1"/>
      <c r="J217" s="1"/>
    </row>
    <row r="218" spans="8:10" x14ac:dyDescent="0.35">
      <c r="H218" s="1"/>
      <c r="J218" s="1"/>
    </row>
    <row r="219" spans="8:10" x14ac:dyDescent="0.35">
      <c r="H219" s="1"/>
      <c r="J219" s="1"/>
    </row>
    <row r="220" spans="8:10" x14ac:dyDescent="0.35">
      <c r="H220" s="1"/>
      <c r="J220" s="1"/>
    </row>
    <row r="221" spans="8:10" x14ac:dyDescent="0.35">
      <c r="H221" s="1"/>
      <c r="J221" s="1"/>
    </row>
    <row r="222" spans="8:10" x14ac:dyDescent="0.35">
      <c r="H222" s="1"/>
      <c r="J222" s="1"/>
    </row>
    <row r="223" spans="8:10" x14ac:dyDescent="0.35">
      <c r="H223" s="1"/>
      <c r="J223" s="1"/>
    </row>
    <row r="224" spans="8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362</v>
      </c>
      <c r="G1" s="47" t="s">
        <v>363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365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364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364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364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364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366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364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365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364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443</v>
      </c>
      <c r="C11" s="47" t="s">
        <v>34</v>
      </c>
      <c r="D11" s="47" t="s">
        <v>35</v>
      </c>
      <c r="E11" s="47" t="b">
        <v>0</v>
      </c>
      <c r="F11" s="47" t="s">
        <v>364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364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364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364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364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364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365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366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364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364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365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364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364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442</v>
      </c>
      <c r="C24" s="47" t="s">
        <v>38</v>
      </c>
      <c r="D24" s="47" t="s">
        <v>35</v>
      </c>
      <c r="E24" s="47" t="b">
        <v>0</v>
      </c>
      <c r="F24" s="47" t="s">
        <v>364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364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364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364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441</v>
      </c>
      <c r="C28" s="47" t="s">
        <v>440</v>
      </c>
      <c r="D28" s="47" t="s">
        <v>35</v>
      </c>
      <c r="E28" s="47" t="b">
        <v>1</v>
      </c>
      <c r="F28" s="47" t="s">
        <v>366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364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364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365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364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364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364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364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364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364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364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439</v>
      </c>
      <c r="C39" s="47" t="s">
        <v>438</v>
      </c>
      <c r="D39" s="47" t="s">
        <v>35</v>
      </c>
      <c r="E39" s="47" t="b">
        <v>1</v>
      </c>
      <c r="F39" s="47" t="s">
        <v>365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364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364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364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365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366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364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437</v>
      </c>
      <c r="C46" s="47" t="s">
        <v>436</v>
      </c>
      <c r="D46" s="47" t="s">
        <v>35</v>
      </c>
      <c r="E46" s="47" t="b">
        <v>0</v>
      </c>
      <c r="F46" s="47" t="s">
        <v>365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366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364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364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365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365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364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435</v>
      </c>
      <c r="C53" s="47" t="s">
        <v>185</v>
      </c>
      <c r="D53" s="47" t="s">
        <v>35</v>
      </c>
      <c r="E53" s="47" t="b">
        <v>1</v>
      </c>
      <c r="F53" s="47" t="s">
        <v>364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366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365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364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364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434</v>
      </c>
      <c r="C58" s="47" t="s">
        <v>64</v>
      </c>
      <c r="D58" s="47" t="s">
        <v>35</v>
      </c>
      <c r="E58" s="47" t="b">
        <v>0</v>
      </c>
      <c r="F58" s="47" t="s">
        <v>365</v>
      </c>
      <c r="H58" s="48">
        <v>46088</v>
      </c>
    </row>
    <row r="59" spans="1:8" x14ac:dyDescent="0.45">
      <c r="A59" s="47">
        <v>1402</v>
      </c>
      <c r="B59" s="47" t="s">
        <v>433</v>
      </c>
      <c r="C59" s="47" t="s">
        <v>168</v>
      </c>
      <c r="D59" s="47" t="s">
        <v>35</v>
      </c>
      <c r="E59" s="47" t="b">
        <v>0</v>
      </c>
      <c r="F59" s="47" t="s">
        <v>364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364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364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364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365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365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364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364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365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365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366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366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366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364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364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365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364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432</v>
      </c>
      <c r="C76" s="47" t="s">
        <v>431</v>
      </c>
      <c r="D76" s="47" t="s">
        <v>35</v>
      </c>
      <c r="E76" s="47" t="b">
        <v>0</v>
      </c>
      <c r="F76" s="47" t="s">
        <v>365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366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365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364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364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364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364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364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430</v>
      </c>
      <c r="C84" s="47" t="s">
        <v>315</v>
      </c>
      <c r="D84" s="47" t="s">
        <v>35</v>
      </c>
      <c r="E84" s="47" t="b">
        <v>0</v>
      </c>
      <c r="F84" s="47" t="s">
        <v>364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364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364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365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364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364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429</v>
      </c>
      <c r="C90" s="47" t="s">
        <v>428</v>
      </c>
      <c r="D90" s="47" t="s">
        <v>35</v>
      </c>
      <c r="E90" s="47" t="b">
        <v>1</v>
      </c>
      <c r="F90" s="47" t="s">
        <v>366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365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364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367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364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365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364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364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367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364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364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364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364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364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365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364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365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364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427</v>
      </c>
      <c r="C108" s="47" t="s">
        <v>411</v>
      </c>
      <c r="D108" s="47" t="s">
        <v>35</v>
      </c>
      <c r="E108" s="47" t="b">
        <v>0</v>
      </c>
      <c r="F108" s="47" t="s">
        <v>364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427</v>
      </c>
      <c r="C109" s="47" t="s">
        <v>320</v>
      </c>
      <c r="D109" s="47" t="s">
        <v>35</v>
      </c>
      <c r="E109" s="47" t="b">
        <v>1</v>
      </c>
      <c r="F109" s="47" t="s">
        <v>365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365</v>
      </c>
      <c r="H110" s="48">
        <v>46088</v>
      </c>
    </row>
    <row r="111" spans="1:8" x14ac:dyDescent="0.45">
      <c r="A111" s="47">
        <v>1408</v>
      </c>
      <c r="B111" s="47" t="s">
        <v>425</v>
      </c>
      <c r="C111" s="47" t="s">
        <v>426</v>
      </c>
      <c r="D111" s="47" t="s">
        <v>35</v>
      </c>
      <c r="E111" s="47" t="b">
        <v>0</v>
      </c>
      <c r="F111" s="47" t="s">
        <v>364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425</v>
      </c>
      <c r="C112" s="47" t="s">
        <v>424</v>
      </c>
      <c r="D112" s="47" t="s">
        <v>35</v>
      </c>
      <c r="E112" s="47" t="b">
        <v>1</v>
      </c>
      <c r="F112" s="47" t="s">
        <v>364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364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364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364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365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366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364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364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364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422</v>
      </c>
      <c r="C121" s="47" t="s">
        <v>57</v>
      </c>
      <c r="D121" s="47" t="s">
        <v>35</v>
      </c>
      <c r="E121" s="47" t="b">
        <v>0</v>
      </c>
      <c r="F121" s="47" t="s">
        <v>365</v>
      </c>
      <c r="H121" s="48">
        <v>46088</v>
      </c>
    </row>
    <row r="122" spans="1:8" x14ac:dyDescent="0.45">
      <c r="A122" s="47">
        <v>1397</v>
      </c>
      <c r="B122" s="47" t="s">
        <v>422</v>
      </c>
      <c r="C122" s="47" t="s">
        <v>423</v>
      </c>
      <c r="D122" s="47" t="s">
        <v>35</v>
      </c>
      <c r="E122" s="47" t="b">
        <v>1</v>
      </c>
      <c r="F122" s="47" t="s">
        <v>365</v>
      </c>
      <c r="H122" s="48">
        <v>46088</v>
      </c>
    </row>
    <row r="123" spans="1:8" x14ac:dyDescent="0.45">
      <c r="A123" s="47">
        <v>1398</v>
      </c>
      <c r="B123" s="47" t="s">
        <v>422</v>
      </c>
      <c r="C123" s="47" t="s">
        <v>49</v>
      </c>
      <c r="D123" s="47" t="s">
        <v>35</v>
      </c>
      <c r="E123" s="47" t="b">
        <v>0</v>
      </c>
      <c r="F123" s="47" t="s">
        <v>366</v>
      </c>
      <c r="H123" s="48">
        <v>46088</v>
      </c>
    </row>
    <row r="124" spans="1:8" x14ac:dyDescent="0.45">
      <c r="A124" s="47">
        <v>1399</v>
      </c>
      <c r="B124" s="47" t="s">
        <v>422</v>
      </c>
      <c r="C124" s="47" t="s">
        <v>182</v>
      </c>
      <c r="D124" s="47" t="s">
        <v>35</v>
      </c>
      <c r="E124" s="47" t="b">
        <v>1</v>
      </c>
      <c r="F124" s="47" t="s">
        <v>366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364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364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364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364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364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364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364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366</v>
      </c>
      <c r="H132" s="48">
        <v>46088</v>
      </c>
    </row>
    <row r="133" spans="1:8" x14ac:dyDescent="0.45">
      <c r="A133" s="47">
        <v>564</v>
      </c>
      <c r="B133" s="47" t="s">
        <v>421</v>
      </c>
      <c r="C133" s="47" t="s">
        <v>37</v>
      </c>
      <c r="D133" s="47" t="s">
        <v>35</v>
      </c>
      <c r="E133" s="47" t="b">
        <v>0</v>
      </c>
      <c r="F133" s="47" t="s">
        <v>364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364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364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364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364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365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367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366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364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364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420</v>
      </c>
      <c r="C143" s="47" t="s">
        <v>419</v>
      </c>
      <c r="D143" s="47" t="s">
        <v>35</v>
      </c>
      <c r="E143" s="47" t="b">
        <v>0</v>
      </c>
      <c r="F143" s="47" t="s">
        <v>365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365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364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364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364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364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418</v>
      </c>
      <c r="C149" s="47" t="s">
        <v>417</v>
      </c>
      <c r="D149" s="47" t="s">
        <v>35</v>
      </c>
      <c r="E149" s="47" t="b">
        <v>1</v>
      </c>
      <c r="F149" s="47" t="s">
        <v>365</v>
      </c>
      <c r="H149" s="48">
        <v>46088</v>
      </c>
    </row>
    <row r="150" spans="1:8" x14ac:dyDescent="0.45">
      <c r="A150" s="47">
        <v>1285</v>
      </c>
      <c r="B150" s="47" t="s">
        <v>416</v>
      </c>
      <c r="C150" s="47" t="s">
        <v>40</v>
      </c>
      <c r="D150" s="47" t="s">
        <v>35</v>
      </c>
      <c r="E150" s="47" t="b">
        <v>0</v>
      </c>
      <c r="F150" s="47" t="s">
        <v>365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364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364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364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364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415</v>
      </c>
      <c r="C155" s="47" t="s">
        <v>414</v>
      </c>
      <c r="D155" s="47" t="s">
        <v>35</v>
      </c>
      <c r="E155" s="47" t="b">
        <v>1</v>
      </c>
      <c r="F155" s="47" t="s">
        <v>365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364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365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365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364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364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364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364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364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364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364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364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413</v>
      </c>
      <c r="D167" s="47" t="s">
        <v>35</v>
      </c>
      <c r="E167" s="47" t="b">
        <v>0</v>
      </c>
      <c r="F167" s="47" t="s">
        <v>365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365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364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364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365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365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364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364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364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365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365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364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364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365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365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364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364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364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364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365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364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364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412</v>
      </c>
      <c r="D189" s="47" t="s">
        <v>35</v>
      </c>
      <c r="E189" s="47" t="b">
        <v>1</v>
      </c>
      <c r="F189" s="47" t="s">
        <v>367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411</v>
      </c>
      <c r="D190" s="47" t="s">
        <v>35</v>
      </c>
      <c r="E190" s="47" t="b">
        <v>0</v>
      </c>
      <c r="F190" s="47" t="s">
        <v>367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365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365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364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365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364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364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364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364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362</v>
      </c>
      <c r="G1" s="49" t="s">
        <v>363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365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364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364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364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364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366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364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365</v>
      </c>
      <c r="H9" s="50">
        <v>46091</v>
      </c>
    </row>
    <row r="10" spans="1:8" x14ac:dyDescent="0.45">
      <c r="A10" s="49">
        <v>1112</v>
      </c>
      <c r="B10" s="49" t="s">
        <v>450</v>
      </c>
      <c r="C10" s="49" t="s">
        <v>449</v>
      </c>
      <c r="D10" s="49" t="s">
        <v>35</v>
      </c>
      <c r="E10" s="49" t="b">
        <v>0</v>
      </c>
      <c r="F10" s="49" t="s">
        <v>364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364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443</v>
      </c>
      <c r="C12" s="49" t="s">
        <v>34</v>
      </c>
      <c r="D12" s="49" t="s">
        <v>35</v>
      </c>
      <c r="E12" s="49" t="b">
        <v>0</v>
      </c>
      <c r="F12" s="49" t="s">
        <v>364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364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364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364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364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364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365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366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364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364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448</v>
      </c>
      <c r="C22" s="49" t="s">
        <v>447</v>
      </c>
      <c r="D22" s="49" t="s">
        <v>35</v>
      </c>
      <c r="E22" s="49" t="b">
        <v>0</v>
      </c>
      <c r="F22" s="49" t="s">
        <v>365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365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364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364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442</v>
      </c>
      <c r="C26" s="49" t="s">
        <v>38</v>
      </c>
      <c r="D26" s="49" t="s">
        <v>35</v>
      </c>
      <c r="E26" s="49" t="b">
        <v>0</v>
      </c>
      <c r="F26" s="49" t="s">
        <v>364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364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364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364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441</v>
      </c>
      <c r="C30" s="49" t="s">
        <v>440</v>
      </c>
      <c r="D30" s="49" t="s">
        <v>35</v>
      </c>
      <c r="E30" s="49" t="b">
        <v>1</v>
      </c>
      <c r="F30" s="49" t="s">
        <v>366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364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364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365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364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364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364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364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364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364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364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439</v>
      </c>
      <c r="C41" s="49" t="s">
        <v>438</v>
      </c>
      <c r="D41" s="49" t="s">
        <v>35</v>
      </c>
      <c r="E41" s="49" t="b">
        <v>1</v>
      </c>
      <c r="F41" s="49" t="s">
        <v>365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364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364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364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365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366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364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437</v>
      </c>
      <c r="C48" s="49" t="s">
        <v>436</v>
      </c>
      <c r="D48" s="49" t="s">
        <v>35</v>
      </c>
      <c r="E48" s="49" t="b">
        <v>0</v>
      </c>
      <c r="F48" s="49" t="s">
        <v>365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366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364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364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365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365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364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435</v>
      </c>
      <c r="C55" s="49" t="s">
        <v>185</v>
      </c>
      <c r="D55" s="49" t="s">
        <v>35</v>
      </c>
      <c r="E55" s="49" t="b">
        <v>1</v>
      </c>
      <c r="F55" s="49" t="s">
        <v>364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366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365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364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364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434</v>
      </c>
      <c r="C60" s="49" t="s">
        <v>64</v>
      </c>
      <c r="D60" s="49" t="s">
        <v>35</v>
      </c>
      <c r="E60" s="49" t="b">
        <v>0</v>
      </c>
      <c r="F60" s="49" t="s">
        <v>365</v>
      </c>
      <c r="H60" s="50">
        <v>46091</v>
      </c>
    </row>
    <row r="61" spans="1:8" x14ac:dyDescent="0.45">
      <c r="A61" s="49">
        <v>1402</v>
      </c>
      <c r="B61" s="49" t="s">
        <v>433</v>
      </c>
      <c r="C61" s="49" t="s">
        <v>168</v>
      </c>
      <c r="D61" s="49" t="s">
        <v>35</v>
      </c>
      <c r="E61" s="49" t="b">
        <v>0</v>
      </c>
      <c r="F61" s="49" t="s">
        <v>364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364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364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364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365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365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364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364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365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365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366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366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366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364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364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365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364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432</v>
      </c>
      <c r="C78" s="49" t="s">
        <v>431</v>
      </c>
      <c r="D78" s="49" t="s">
        <v>35</v>
      </c>
      <c r="E78" s="49" t="b">
        <v>0</v>
      </c>
      <c r="F78" s="49" t="s">
        <v>365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366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365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364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364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364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364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364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430</v>
      </c>
      <c r="C86" s="49" t="s">
        <v>315</v>
      </c>
      <c r="D86" s="49" t="s">
        <v>35</v>
      </c>
      <c r="E86" s="49" t="b">
        <v>0</v>
      </c>
      <c r="F86" s="49" t="s">
        <v>364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364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364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365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364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364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446</v>
      </c>
      <c r="C92" s="49" t="s">
        <v>149</v>
      </c>
      <c r="D92" s="49" t="s">
        <v>35</v>
      </c>
      <c r="E92" s="49" t="b">
        <v>1</v>
      </c>
      <c r="F92" s="49" t="s">
        <v>364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429</v>
      </c>
      <c r="C93" s="49" t="s">
        <v>428</v>
      </c>
      <c r="D93" s="49" t="s">
        <v>35</v>
      </c>
      <c r="E93" s="49" t="b">
        <v>1</v>
      </c>
      <c r="F93" s="49" t="s">
        <v>366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365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364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367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364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365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364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364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367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364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364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364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364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364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365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364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365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364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427</v>
      </c>
      <c r="C111" s="49" t="s">
        <v>411</v>
      </c>
      <c r="D111" s="49" t="s">
        <v>35</v>
      </c>
      <c r="E111" s="49" t="b">
        <v>0</v>
      </c>
      <c r="F111" s="49" t="s">
        <v>364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427</v>
      </c>
      <c r="C112" s="49" t="s">
        <v>320</v>
      </c>
      <c r="D112" s="49" t="s">
        <v>35</v>
      </c>
      <c r="E112" s="49" t="b">
        <v>1</v>
      </c>
      <c r="F112" s="49" t="s">
        <v>365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365</v>
      </c>
      <c r="H113" s="50">
        <v>46091</v>
      </c>
    </row>
    <row r="114" spans="1:8" x14ac:dyDescent="0.45">
      <c r="A114" s="49">
        <v>1408</v>
      </c>
      <c r="B114" s="49" t="s">
        <v>425</v>
      </c>
      <c r="C114" s="49" t="s">
        <v>426</v>
      </c>
      <c r="D114" s="49" t="s">
        <v>35</v>
      </c>
      <c r="E114" s="49" t="b">
        <v>0</v>
      </c>
      <c r="F114" s="49" t="s">
        <v>364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425</v>
      </c>
      <c r="C115" s="49" t="s">
        <v>424</v>
      </c>
      <c r="D115" s="49" t="s">
        <v>35</v>
      </c>
      <c r="E115" s="49" t="b">
        <v>1</v>
      </c>
      <c r="F115" s="49" t="s">
        <v>364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364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364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364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365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366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364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364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364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422</v>
      </c>
      <c r="C124" s="49" t="s">
        <v>57</v>
      </c>
      <c r="D124" s="49" t="s">
        <v>35</v>
      </c>
      <c r="E124" s="49" t="b">
        <v>0</v>
      </c>
      <c r="F124" s="49" t="s">
        <v>365</v>
      </c>
      <c r="H124" s="50">
        <v>46091</v>
      </c>
    </row>
    <row r="125" spans="1:8" x14ac:dyDescent="0.45">
      <c r="A125" s="49">
        <v>1397</v>
      </c>
      <c r="B125" s="49" t="s">
        <v>422</v>
      </c>
      <c r="C125" s="49" t="s">
        <v>423</v>
      </c>
      <c r="D125" s="49" t="s">
        <v>35</v>
      </c>
      <c r="E125" s="49" t="b">
        <v>1</v>
      </c>
      <c r="F125" s="49" t="s">
        <v>365</v>
      </c>
      <c r="H125" s="50">
        <v>46091</v>
      </c>
    </row>
    <row r="126" spans="1:8" x14ac:dyDescent="0.45">
      <c r="A126" s="49">
        <v>1398</v>
      </c>
      <c r="B126" s="49" t="s">
        <v>422</v>
      </c>
      <c r="C126" s="49" t="s">
        <v>49</v>
      </c>
      <c r="D126" s="49" t="s">
        <v>35</v>
      </c>
      <c r="E126" s="49" t="b">
        <v>0</v>
      </c>
      <c r="F126" s="49" t="s">
        <v>366</v>
      </c>
      <c r="H126" s="50">
        <v>46091</v>
      </c>
    </row>
    <row r="127" spans="1:8" x14ac:dyDescent="0.45">
      <c r="A127" s="49">
        <v>1399</v>
      </c>
      <c r="B127" s="49" t="s">
        <v>422</v>
      </c>
      <c r="C127" s="49" t="s">
        <v>182</v>
      </c>
      <c r="D127" s="49" t="s">
        <v>35</v>
      </c>
      <c r="E127" s="49" t="b">
        <v>1</v>
      </c>
      <c r="F127" s="49" t="s">
        <v>366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364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364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364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364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364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364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364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366</v>
      </c>
      <c r="H135" s="50">
        <v>46091</v>
      </c>
    </row>
    <row r="136" spans="1:8" x14ac:dyDescent="0.45">
      <c r="A136" s="49">
        <v>564</v>
      </c>
      <c r="B136" s="49" t="s">
        <v>421</v>
      </c>
      <c r="C136" s="49" t="s">
        <v>37</v>
      </c>
      <c r="D136" s="49" t="s">
        <v>35</v>
      </c>
      <c r="E136" s="49" t="b">
        <v>0</v>
      </c>
      <c r="F136" s="49" t="s">
        <v>364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364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364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364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364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365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367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366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364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364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420</v>
      </c>
      <c r="C146" s="49" t="s">
        <v>419</v>
      </c>
      <c r="D146" s="49" t="s">
        <v>35</v>
      </c>
      <c r="E146" s="49" t="b">
        <v>0</v>
      </c>
      <c r="F146" s="49" t="s">
        <v>365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365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364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364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364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364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418</v>
      </c>
      <c r="C152" s="49" t="s">
        <v>417</v>
      </c>
      <c r="D152" s="49" t="s">
        <v>35</v>
      </c>
      <c r="E152" s="49" t="b">
        <v>1</v>
      </c>
      <c r="F152" s="49" t="s">
        <v>365</v>
      </c>
      <c r="H152" s="50">
        <v>46091</v>
      </c>
    </row>
    <row r="153" spans="1:8" x14ac:dyDescent="0.45">
      <c r="A153" s="49">
        <v>1285</v>
      </c>
      <c r="B153" s="49" t="s">
        <v>416</v>
      </c>
      <c r="C153" s="49" t="s">
        <v>40</v>
      </c>
      <c r="D153" s="49" t="s">
        <v>35</v>
      </c>
      <c r="E153" s="49" t="b">
        <v>0</v>
      </c>
      <c r="F153" s="49" t="s">
        <v>365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364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364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364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364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415</v>
      </c>
      <c r="C158" s="49" t="s">
        <v>414</v>
      </c>
      <c r="D158" s="49" t="s">
        <v>35</v>
      </c>
      <c r="E158" s="49" t="b">
        <v>1</v>
      </c>
      <c r="F158" s="49" t="s">
        <v>365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364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365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365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364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364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364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364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364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364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364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364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413</v>
      </c>
      <c r="D170" s="49" t="s">
        <v>35</v>
      </c>
      <c r="E170" s="49" t="b">
        <v>0</v>
      </c>
      <c r="F170" s="49" t="s">
        <v>365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365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364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364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365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365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364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364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364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365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365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364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364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365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365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364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364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364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445</v>
      </c>
      <c r="C188" s="49" t="s">
        <v>226</v>
      </c>
      <c r="D188" s="49" t="s">
        <v>35</v>
      </c>
      <c r="E188" s="49" t="b">
        <v>1</v>
      </c>
      <c r="F188" s="49" t="s">
        <v>366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364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365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364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364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412</v>
      </c>
      <c r="D193" s="49" t="s">
        <v>35</v>
      </c>
      <c r="E193" s="49" t="b">
        <v>1</v>
      </c>
      <c r="F193" s="49" t="s">
        <v>367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411</v>
      </c>
      <c r="D194" s="49" t="s">
        <v>35</v>
      </c>
      <c r="E194" s="49" t="b">
        <v>0</v>
      </c>
      <c r="F194" s="49" t="s">
        <v>367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365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365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364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444</v>
      </c>
      <c r="D198" s="49" t="s">
        <v>35</v>
      </c>
      <c r="E198" s="49" t="b">
        <v>1</v>
      </c>
      <c r="F198" s="49" t="s">
        <v>364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365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364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364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364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364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H208" sqref="A2:H20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362</v>
      </c>
      <c r="G1" s="51" t="s">
        <v>363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365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364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364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364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364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366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364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365</v>
      </c>
      <c r="H9" s="52">
        <v>46102</v>
      </c>
    </row>
    <row r="10" spans="1:8" x14ac:dyDescent="0.45">
      <c r="A10" s="51">
        <v>1112</v>
      </c>
      <c r="B10" s="51" t="s">
        <v>450</v>
      </c>
      <c r="C10" s="51" t="s">
        <v>449</v>
      </c>
      <c r="D10" s="51" t="s">
        <v>35</v>
      </c>
      <c r="E10" s="51" t="b">
        <v>0</v>
      </c>
      <c r="F10" s="51" t="s">
        <v>364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364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443</v>
      </c>
      <c r="C12" s="51" t="s">
        <v>34</v>
      </c>
      <c r="D12" s="51" t="s">
        <v>35</v>
      </c>
      <c r="E12" s="51" t="b">
        <v>0</v>
      </c>
      <c r="F12" s="51" t="s">
        <v>364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364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364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364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364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364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365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366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364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364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448</v>
      </c>
      <c r="C22" s="51" t="s">
        <v>447</v>
      </c>
      <c r="D22" s="51" t="s">
        <v>35</v>
      </c>
      <c r="E22" s="51" t="b">
        <v>0</v>
      </c>
      <c r="F22" s="51" t="s">
        <v>365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365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364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364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442</v>
      </c>
      <c r="C26" s="51" t="s">
        <v>38</v>
      </c>
      <c r="D26" s="51" t="s">
        <v>35</v>
      </c>
      <c r="E26" s="51" t="b">
        <v>0</v>
      </c>
      <c r="F26" s="51" t="s">
        <v>364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364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364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364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441</v>
      </c>
      <c r="C30" s="51" t="s">
        <v>440</v>
      </c>
      <c r="D30" s="51" t="s">
        <v>35</v>
      </c>
      <c r="E30" s="51" t="b">
        <v>1</v>
      </c>
      <c r="F30" s="51" t="s">
        <v>366</v>
      </c>
      <c r="H30" s="52">
        <v>46102</v>
      </c>
    </row>
    <row r="31" spans="1:8" x14ac:dyDescent="0.45">
      <c r="A31" s="51">
        <v>1418</v>
      </c>
      <c r="B31" s="51" t="s">
        <v>456</v>
      </c>
      <c r="C31" s="51" t="s">
        <v>29</v>
      </c>
      <c r="D31" s="51" t="s">
        <v>35</v>
      </c>
      <c r="E31" s="51" t="b">
        <v>0</v>
      </c>
      <c r="F31" s="51" t="s">
        <v>365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364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364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365</v>
      </c>
      <c r="H34" s="52">
        <v>46102</v>
      </c>
    </row>
    <row r="35" spans="1:8" x14ac:dyDescent="0.45">
      <c r="A35" s="51">
        <v>940</v>
      </c>
      <c r="B35" s="51" t="s">
        <v>454</v>
      </c>
      <c r="C35" s="51" t="s">
        <v>455</v>
      </c>
      <c r="D35" s="51" t="s">
        <v>35</v>
      </c>
      <c r="E35" s="51" t="b">
        <v>1</v>
      </c>
      <c r="F35" s="51" t="s">
        <v>364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454</v>
      </c>
      <c r="C36" s="51" t="s">
        <v>64</v>
      </c>
      <c r="D36" s="51" t="s">
        <v>35</v>
      </c>
      <c r="E36" s="51" t="b">
        <v>0</v>
      </c>
      <c r="F36" s="51" t="s">
        <v>364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364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364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364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364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364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364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364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439</v>
      </c>
      <c r="C44" s="51" t="s">
        <v>438</v>
      </c>
      <c r="D44" s="51" t="s">
        <v>35</v>
      </c>
      <c r="E44" s="51" t="b">
        <v>1</v>
      </c>
      <c r="F44" s="51" t="s">
        <v>365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364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364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364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365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366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364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437</v>
      </c>
      <c r="C51" s="51" t="s">
        <v>436</v>
      </c>
      <c r="D51" s="51" t="s">
        <v>35</v>
      </c>
      <c r="E51" s="51" t="b">
        <v>0</v>
      </c>
      <c r="F51" s="51" t="s">
        <v>365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366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364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364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365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365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364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435</v>
      </c>
      <c r="C58" s="51" t="s">
        <v>185</v>
      </c>
      <c r="D58" s="51" t="s">
        <v>35</v>
      </c>
      <c r="E58" s="51" t="b">
        <v>1</v>
      </c>
      <c r="F58" s="51" t="s">
        <v>364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366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365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364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364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434</v>
      </c>
      <c r="C63" s="51" t="s">
        <v>64</v>
      </c>
      <c r="D63" s="51" t="s">
        <v>35</v>
      </c>
      <c r="E63" s="51" t="b">
        <v>0</v>
      </c>
      <c r="F63" s="51" t="s">
        <v>365</v>
      </c>
      <c r="H63" s="52">
        <v>46102</v>
      </c>
    </row>
    <row r="64" spans="1:8" x14ac:dyDescent="0.45">
      <c r="A64" s="51">
        <v>1402</v>
      </c>
      <c r="B64" s="51" t="s">
        <v>433</v>
      </c>
      <c r="C64" s="51" t="s">
        <v>168</v>
      </c>
      <c r="D64" s="51" t="s">
        <v>35</v>
      </c>
      <c r="E64" s="51" t="b">
        <v>0</v>
      </c>
      <c r="F64" s="51" t="s">
        <v>364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364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364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364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365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365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364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364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365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365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366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366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366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364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364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365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364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432</v>
      </c>
      <c r="C81" s="51" t="s">
        <v>431</v>
      </c>
      <c r="D81" s="51" t="s">
        <v>35</v>
      </c>
      <c r="E81" s="51" t="b">
        <v>0</v>
      </c>
      <c r="F81" s="51" t="s">
        <v>365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366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365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364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364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364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364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364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430</v>
      </c>
      <c r="C89" s="51" t="s">
        <v>315</v>
      </c>
      <c r="D89" s="51" t="s">
        <v>35</v>
      </c>
      <c r="E89" s="51" t="b">
        <v>0</v>
      </c>
      <c r="F89" s="51" t="s">
        <v>364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364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364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365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364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364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446</v>
      </c>
      <c r="C95" s="51" t="s">
        <v>149</v>
      </c>
      <c r="D95" s="51" t="s">
        <v>35</v>
      </c>
      <c r="E95" s="51" t="b">
        <v>1</v>
      </c>
      <c r="F95" s="51" t="s">
        <v>364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429</v>
      </c>
      <c r="C96" s="51" t="s">
        <v>428</v>
      </c>
      <c r="D96" s="51" t="s">
        <v>35</v>
      </c>
      <c r="E96" s="51" t="b">
        <v>1</v>
      </c>
      <c r="F96" s="51" t="s">
        <v>366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365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364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367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364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365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364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364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367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364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364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364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364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364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365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364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365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364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427</v>
      </c>
      <c r="C114" s="51" t="s">
        <v>411</v>
      </c>
      <c r="D114" s="51" t="s">
        <v>35</v>
      </c>
      <c r="E114" s="51" t="b">
        <v>0</v>
      </c>
      <c r="F114" s="51" t="s">
        <v>364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427</v>
      </c>
      <c r="C115" s="51" t="s">
        <v>320</v>
      </c>
      <c r="D115" s="51" t="s">
        <v>35</v>
      </c>
      <c r="E115" s="51" t="b">
        <v>1</v>
      </c>
      <c r="F115" s="51" t="s">
        <v>365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365</v>
      </c>
      <c r="H116" s="52">
        <v>46102</v>
      </c>
    </row>
    <row r="117" spans="1:8" x14ac:dyDescent="0.45">
      <c r="A117" s="51">
        <v>1408</v>
      </c>
      <c r="B117" s="51" t="s">
        <v>425</v>
      </c>
      <c r="C117" s="51" t="s">
        <v>426</v>
      </c>
      <c r="D117" s="51" t="s">
        <v>35</v>
      </c>
      <c r="E117" s="51" t="b">
        <v>0</v>
      </c>
      <c r="F117" s="51" t="s">
        <v>364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425</v>
      </c>
      <c r="C118" s="51" t="s">
        <v>424</v>
      </c>
      <c r="D118" s="51" t="s">
        <v>35</v>
      </c>
      <c r="E118" s="51" t="b">
        <v>1</v>
      </c>
      <c r="F118" s="51" t="s">
        <v>364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364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364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364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365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366</v>
      </c>
      <c r="H123" s="52">
        <v>46102</v>
      </c>
    </row>
    <row r="124" spans="1:8" x14ac:dyDescent="0.45">
      <c r="A124" s="51">
        <v>1419</v>
      </c>
      <c r="B124" s="51" t="s">
        <v>453</v>
      </c>
      <c r="C124" s="51" t="s">
        <v>452</v>
      </c>
      <c r="D124" s="51" t="s">
        <v>35</v>
      </c>
      <c r="E124" s="51" t="b">
        <v>0</v>
      </c>
      <c r="F124" s="51" t="s">
        <v>365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364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364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364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422</v>
      </c>
      <c r="C128" s="51" t="s">
        <v>57</v>
      </c>
      <c r="D128" s="51" t="s">
        <v>35</v>
      </c>
      <c r="E128" s="51" t="b">
        <v>0</v>
      </c>
      <c r="F128" s="51" t="s">
        <v>365</v>
      </c>
      <c r="H128" s="52">
        <v>46102</v>
      </c>
    </row>
    <row r="129" spans="1:8" x14ac:dyDescent="0.45">
      <c r="A129" s="51">
        <v>1397</v>
      </c>
      <c r="B129" s="51" t="s">
        <v>422</v>
      </c>
      <c r="C129" s="51" t="s">
        <v>423</v>
      </c>
      <c r="D129" s="51" t="s">
        <v>35</v>
      </c>
      <c r="E129" s="51" t="b">
        <v>1</v>
      </c>
      <c r="F129" s="51" t="s">
        <v>365</v>
      </c>
      <c r="H129" s="52">
        <v>46102</v>
      </c>
    </row>
    <row r="130" spans="1:8" x14ac:dyDescent="0.45">
      <c r="A130" s="51">
        <v>1398</v>
      </c>
      <c r="B130" s="51" t="s">
        <v>422</v>
      </c>
      <c r="C130" s="51" t="s">
        <v>49</v>
      </c>
      <c r="D130" s="51" t="s">
        <v>35</v>
      </c>
      <c r="E130" s="51" t="b">
        <v>0</v>
      </c>
      <c r="F130" s="51" t="s">
        <v>366</v>
      </c>
      <c r="H130" s="52">
        <v>46102</v>
      </c>
    </row>
    <row r="131" spans="1:8" x14ac:dyDescent="0.45">
      <c r="A131" s="51">
        <v>1399</v>
      </c>
      <c r="B131" s="51" t="s">
        <v>422</v>
      </c>
      <c r="C131" s="51" t="s">
        <v>182</v>
      </c>
      <c r="D131" s="51" t="s">
        <v>35</v>
      </c>
      <c r="E131" s="51" t="b">
        <v>1</v>
      </c>
      <c r="F131" s="51" t="s">
        <v>366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364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364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364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364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364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364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364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366</v>
      </c>
      <c r="H139" s="52">
        <v>46102</v>
      </c>
    </row>
    <row r="140" spans="1:8" x14ac:dyDescent="0.45">
      <c r="A140" s="51">
        <v>564</v>
      </c>
      <c r="B140" s="51" t="s">
        <v>421</v>
      </c>
      <c r="C140" s="51" t="s">
        <v>37</v>
      </c>
      <c r="D140" s="51" t="s">
        <v>35</v>
      </c>
      <c r="E140" s="51" t="b">
        <v>0</v>
      </c>
      <c r="F140" s="51" t="s">
        <v>364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364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364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364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364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365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367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366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364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364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420</v>
      </c>
      <c r="C150" s="51" t="s">
        <v>419</v>
      </c>
      <c r="D150" s="51" t="s">
        <v>35</v>
      </c>
      <c r="E150" s="51" t="b">
        <v>0</v>
      </c>
      <c r="F150" s="51" t="s">
        <v>365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365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364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364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364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364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418</v>
      </c>
      <c r="C156" s="51" t="s">
        <v>417</v>
      </c>
      <c r="D156" s="51" t="s">
        <v>35</v>
      </c>
      <c r="E156" s="51" t="b">
        <v>1</v>
      </c>
      <c r="F156" s="51" t="s">
        <v>365</v>
      </c>
      <c r="H156" s="52">
        <v>46102</v>
      </c>
    </row>
    <row r="157" spans="1:8" x14ac:dyDescent="0.45">
      <c r="A157" s="51">
        <v>1285</v>
      </c>
      <c r="B157" s="51" t="s">
        <v>416</v>
      </c>
      <c r="C157" s="51" t="s">
        <v>40</v>
      </c>
      <c r="D157" s="51" t="s">
        <v>35</v>
      </c>
      <c r="E157" s="51" t="b">
        <v>0</v>
      </c>
      <c r="F157" s="51" t="s">
        <v>365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364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364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364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364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415</v>
      </c>
      <c r="C162" s="51" t="s">
        <v>414</v>
      </c>
      <c r="D162" s="51" t="s">
        <v>35</v>
      </c>
      <c r="E162" s="51" t="b">
        <v>1</v>
      </c>
      <c r="F162" s="51" t="s">
        <v>365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364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365</v>
      </c>
      <c r="H164" s="52">
        <v>46102</v>
      </c>
    </row>
    <row r="165" spans="1:8" x14ac:dyDescent="0.45">
      <c r="A165" s="51">
        <v>1352</v>
      </c>
      <c r="B165" s="51" t="s">
        <v>451</v>
      </c>
      <c r="C165" s="51" t="s">
        <v>37</v>
      </c>
      <c r="D165" s="51" t="s">
        <v>35</v>
      </c>
      <c r="E165" s="51" t="b">
        <v>0</v>
      </c>
      <c r="F165" s="51" t="s">
        <v>364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365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364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364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364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364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364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364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364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364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413</v>
      </c>
      <c r="D175" s="51" t="s">
        <v>35</v>
      </c>
      <c r="E175" s="51" t="b">
        <v>0</v>
      </c>
      <c r="F175" s="51" t="s">
        <v>365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365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364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364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365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365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364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364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364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365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365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364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364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365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365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364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364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364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445</v>
      </c>
      <c r="C193" s="51" t="s">
        <v>226</v>
      </c>
      <c r="D193" s="51" t="s">
        <v>35</v>
      </c>
      <c r="E193" s="51" t="b">
        <v>1</v>
      </c>
      <c r="F193" s="51" t="s">
        <v>366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364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365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364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364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412</v>
      </c>
      <c r="D198" s="51" t="s">
        <v>35</v>
      </c>
      <c r="E198" s="51" t="b">
        <v>1</v>
      </c>
      <c r="F198" s="51" t="s">
        <v>367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411</v>
      </c>
      <c r="D199" s="51" t="s">
        <v>35</v>
      </c>
      <c r="E199" s="51" t="b">
        <v>0</v>
      </c>
      <c r="F199" s="51" t="s">
        <v>367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365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365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364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444</v>
      </c>
      <c r="D203" s="51" t="s">
        <v>35</v>
      </c>
      <c r="E203" s="51" t="b">
        <v>1</v>
      </c>
      <c r="F203" s="51" t="s">
        <v>364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365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364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364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364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364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1418</v>
      </c>
      <c r="B31" t="str">
        <f>IF(A31="","",CONCATENATE(VLOOKUP(A31,Competitors!$A$2:$I$650,3,FALSE)," ",VLOOKUP(A31,Competitors!$A$2:$I$650,2,FALSE)))</f>
        <v>James Brown</v>
      </c>
    </row>
    <row r="32" spans="1:2" x14ac:dyDescent="0.35">
      <c r="A32">
        <f>IF(ISNUMBER(Competitors!A32),Competitors!A32,"")</f>
        <v>919</v>
      </c>
      <c r="B32" t="str">
        <f>IF(A32="","",CONCATENATE(VLOOKUP(A32,Competitors!$A$2:$I$650,3,FALSE)," ",VLOOKUP(A32,Competitors!$A$2:$I$650,2,FALSE)))</f>
        <v>Paul Brundell</v>
      </c>
    </row>
    <row r="33" spans="1:2" x14ac:dyDescent="0.35">
      <c r="A33">
        <f>IF(ISNUMBER(Competitors!A33),Competitors!A33,"")</f>
        <v>1319</v>
      </c>
      <c r="B33" t="str">
        <f>IF(A33="","",CONCATENATE(VLOOKUP(A33,Competitors!$A$2:$I$650,3,FALSE)," ",VLOOKUP(A33,Competitors!$A$2:$I$650,2,FALSE)))</f>
        <v>Steve Burgess</v>
      </c>
    </row>
    <row r="34" spans="1:2" x14ac:dyDescent="0.35">
      <c r="A34">
        <f>IF(ISNUMBER(Competitors!A34),Competitors!A34,"")</f>
        <v>1389</v>
      </c>
      <c r="B34" t="str">
        <f>IF(A34="","",CONCATENATE(VLOOKUP(A34,Competitors!$A$2:$I$650,3,FALSE)," ",VLOOKUP(A34,Competitors!$A$2:$I$650,2,FALSE)))</f>
        <v>Billy Campbell</v>
      </c>
    </row>
    <row r="35" spans="1:2" x14ac:dyDescent="0.35">
      <c r="A35">
        <f>IF(ISNUMBER(Competitors!A35),Competitors!A35,"")</f>
        <v>940</v>
      </c>
      <c r="B35" t="str">
        <f>IF(A35="","",CONCATENATE(VLOOKUP(A35,Competitors!$A$2:$I$650,3,FALSE)," ",VLOOKUP(A35,Competitors!$A$2:$I$650,2,FALSE)))</f>
        <v>Alison Chapman</v>
      </c>
    </row>
    <row r="36" spans="1:2" x14ac:dyDescent="0.35">
      <c r="A36">
        <f>IF(ISNUMBER(Competitors!A36),Competitors!A36,"")</f>
        <v>806</v>
      </c>
      <c r="B36" t="str">
        <f>IF(A36="","",CONCATENATE(VLOOKUP(A36,Competitors!$A$2:$I$650,3,FALSE)," ",VLOOKUP(A36,Competitors!$A$2:$I$650,2,FALSE)))</f>
        <v>Mark Chapman</v>
      </c>
    </row>
    <row r="37" spans="1:2" x14ac:dyDescent="0.35">
      <c r="A37">
        <f>IF(ISNUMBER(Competitors!A37),Competitors!A37,"")</f>
        <v>482</v>
      </c>
      <c r="B37" t="str">
        <f>IF(A37="","",CONCATENATE(VLOOKUP(A37,Competitors!$A$2:$I$650,3,FALSE)," ",VLOOKUP(A37,Competitors!$A$2:$I$650,2,FALSE)))</f>
        <v>Nick Clarke</v>
      </c>
    </row>
    <row r="38" spans="1:2" x14ac:dyDescent="0.35">
      <c r="A38">
        <f>IF(ISNUMBER(Competitors!A38),Competitors!A38,"")</f>
        <v>674</v>
      </c>
      <c r="B38" t="str">
        <f>IF(A38="","",CONCATENATE(VLOOKUP(A38,Competitors!$A$2:$I$650,3,FALSE)," ",VLOOKUP(A38,Competitors!$A$2:$I$650,2,FALSE)))</f>
        <v>Jennifer Clegg</v>
      </c>
    </row>
    <row r="39" spans="1:2" x14ac:dyDescent="0.35">
      <c r="A39">
        <f>IF(ISNUMBER(Competitors!A39),Competitors!A39,"")</f>
        <v>1061</v>
      </c>
      <c r="B39" t="str">
        <f>IF(A39="","",CONCATENATE(VLOOKUP(A39,Competitors!$A$2:$I$650,3,FALSE)," ",VLOOKUP(A39,Competitors!$A$2:$I$650,2,FALSE)))</f>
        <v>Daryl Collis</v>
      </c>
    </row>
    <row r="40" spans="1:2" x14ac:dyDescent="0.35">
      <c r="A40">
        <f>IF(ISNUMBER(Competitors!A40),Competitors!A40,"")</f>
        <v>763</v>
      </c>
      <c r="B40" t="str">
        <f>IF(A40="","",CONCATENATE(VLOOKUP(A40,Competitors!$A$2:$I$650,3,FALSE)," ",VLOOKUP(A40,Competitors!$A$2:$I$650,2,FALSE)))</f>
        <v>Peter Condon</v>
      </c>
    </row>
    <row r="41" spans="1:2" x14ac:dyDescent="0.35">
      <c r="A41">
        <f>IF(ISNUMBER(Competitors!A41),Competitors!A41,"")</f>
        <v>1227</v>
      </c>
      <c r="B41" t="str">
        <f>IF(A41="","",CONCATENATE(VLOOKUP(A41,Competitors!$A$2:$I$650,3,FALSE)," ",VLOOKUP(A41,Competitors!$A$2:$I$650,2,FALSE)))</f>
        <v>Yvonne Copson</v>
      </c>
    </row>
    <row r="42" spans="1:2" x14ac:dyDescent="0.35">
      <c r="A42">
        <f>IF(ISNUMBER(Competitors!A42),Competitors!A42,"")</f>
        <v>715</v>
      </c>
      <c r="B42" t="str">
        <f>IF(A42="","",CONCATENATE(VLOOKUP(A42,Competitors!$A$2:$I$650,3,FALSE)," ",VLOOKUP(A42,Competitors!$A$2:$I$650,2,FALSE)))</f>
        <v>Steven Coulam</v>
      </c>
    </row>
    <row r="43" spans="1:2" x14ac:dyDescent="0.35">
      <c r="A43">
        <f>IF(ISNUMBER(Competitors!A43),Competitors!A43,"")</f>
        <v>567</v>
      </c>
      <c r="B43" t="str">
        <f>IF(A43="","",CONCATENATE(VLOOKUP(A43,Competitors!$A$2:$I$650,3,FALSE)," ",VLOOKUP(A43,Competitors!$A$2:$I$650,2,FALSE)))</f>
        <v>Lawrence Cox</v>
      </c>
    </row>
    <row r="44" spans="1:2" x14ac:dyDescent="0.35">
      <c r="A44">
        <f>IF(ISNUMBER(Competitors!A44),Competitors!A44,"")</f>
        <v>1391</v>
      </c>
      <c r="B44" t="str">
        <f>IF(A44="","",CONCATENATE(VLOOKUP(A44,Competitors!$A$2:$I$650,3,FALSE)," ",VLOOKUP(A44,Competitors!$A$2:$I$650,2,FALSE)))</f>
        <v>Leah Cuthbertson</v>
      </c>
    </row>
    <row r="45" spans="1:2" x14ac:dyDescent="0.35">
      <c r="A45">
        <f>IF(ISNUMBER(Competitors!A45),Competitors!A45,"")</f>
        <v>704</v>
      </c>
      <c r="B45" t="str">
        <f>IF(A45="","",CONCATENATE(VLOOKUP(A45,Competitors!$A$2:$I$650,3,FALSE)," ",VLOOKUP(A45,Competitors!$A$2:$I$650,2,FALSE)))</f>
        <v>Chris Dainty</v>
      </c>
    </row>
    <row r="46" spans="1:2" x14ac:dyDescent="0.35">
      <c r="A46">
        <f>IF(ISNUMBER(Competitors!A46),Competitors!A46,"")</f>
        <v>1283</v>
      </c>
      <c r="B46" t="str">
        <f>IF(A46="","",CONCATENATE(VLOOKUP(A46,Competitors!$A$2:$I$650,3,FALSE)," ",VLOOKUP(A46,Competitors!$A$2:$I$650,2,FALSE)))</f>
        <v>Martin Dare</v>
      </c>
    </row>
    <row r="47" spans="1:2" x14ac:dyDescent="0.35">
      <c r="A47">
        <f>IF(ISNUMBER(Competitors!A47),Competitors!A47,"")</f>
        <v>295</v>
      </c>
      <c r="B47" t="str">
        <f>IF(A47="","",CONCATENATE(VLOOKUP(A47,Competitors!$A$2:$I$650,3,FALSE)," ",VLOOKUP(A47,Competitors!$A$2:$I$650,2,FALSE)))</f>
        <v>Stuart Dawkins</v>
      </c>
    </row>
    <row r="48" spans="1:2" x14ac:dyDescent="0.35">
      <c r="A48">
        <f>IF(ISNUMBER(Competitors!A48),Competitors!A48,"")</f>
        <v>1226</v>
      </c>
      <c r="B48" t="str">
        <f>IF(A48="","",CONCATENATE(VLOOKUP(A48,Competitors!$A$2:$I$650,3,FALSE)," ",VLOOKUP(A48,Competitors!$A$2:$I$650,2,FALSE)))</f>
        <v>Navpreet Dhillon</v>
      </c>
    </row>
    <row r="49" spans="1:2" x14ac:dyDescent="0.35">
      <c r="A49">
        <f>IF(ISNUMBER(Competitors!A49),Competitors!A49,"")</f>
        <v>1185</v>
      </c>
      <c r="B49" t="str">
        <f>IF(A49="","",CONCATENATE(VLOOKUP(A49,Competitors!$A$2:$I$650,3,FALSE)," ",VLOOKUP(A49,Competitors!$A$2:$I$650,2,FALSE)))</f>
        <v>Isabelle Dixey</v>
      </c>
    </row>
    <row r="50" spans="1:2" x14ac:dyDescent="0.35">
      <c r="A50">
        <f>IF(ISNUMBER(Competitors!A50),Competitors!A50,"")</f>
        <v>1065</v>
      </c>
      <c r="B50" t="str">
        <f>IF(A50="","",CONCATENATE(VLOOKUP(A50,Competitors!$A$2:$I$650,3,FALSE)," ",VLOOKUP(A50,Competitors!$A$2:$I$650,2,FALSE)))</f>
        <v>Simon Dixey</v>
      </c>
    </row>
    <row r="51" spans="1:2" x14ac:dyDescent="0.35">
      <c r="A51">
        <f>IF(ISNUMBER(Competitors!A51),Competitors!A51,"")</f>
        <v>1407</v>
      </c>
      <c r="B51" t="str">
        <f>IF(A51="","",CONCATENATE(VLOOKUP(A51,Competitors!$A$2:$I$650,3,FALSE)," ",VLOOKUP(A51,Competitors!$A$2:$I$650,2,FALSE)))</f>
        <v>Colin Dobson</v>
      </c>
    </row>
    <row r="52" spans="1:2" x14ac:dyDescent="0.35">
      <c r="A52">
        <f>IF(ISNUMBER(Competitors!A52),Competitors!A52,"")</f>
        <v>1096</v>
      </c>
      <c r="B52" t="str">
        <f>IF(A52="","",CONCATENATE(VLOOKUP(A52,Competitors!$A$2:$I$650,3,FALSE)," ",VLOOKUP(A52,Competitors!$A$2:$I$650,2,FALSE)))</f>
        <v>Nathan Durnin</v>
      </c>
    </row>
    <row r="53" spans="1:2" x14ac:dyDescent="0.35">
      <c r="A53">
        <f>IF(ISNUMBER(Competitors!A53),Competitors!A53,"")</f>
        <v>1236</v>
      </c>
      <c r="B53" t="str">
        <f>IF(A53="","",CONCATENATE(VLOOKUP(A53,Competitors!$A$2:$I$650,3,FALSE)," ",VLOOKUP(A53,Competitors!$A$2:$I$650,2,FALSE)))</f>
        <v>Clare Durnin</v>
      </c>
    </row>
    <row r="54" spans="1:2" x14ac:dyDescent="0.35">
      <c r="A54">
        <f>IF(ISNUMBER(Competitors!A54),Competitors!A54,"")</f>
        <v>699</v>
      </c>
      <c r="B54" t="str">
        <f>IF(A54="","",CONCATENATE(VLOOKUP(A54,Competitors!$A$2:$I$650,3,FALSE)," ",VLOOKUP(A54,Competitors!$A$2:$I$650,2,FALSE)))</f>
        <v>Jonathan Durnin</v>
      </c>
    </row>
    <row r="55" spans="1:2" x14ac:dyDescent="0.35">
      <c r="A55">
        <f>IF(ISNUMBER(Competitors!A55),Competitors!A55,"")</f>
        <v>1000</v>
      </c>
      <c r="B55" t="str">
        <f>IF(A55="","",CONCATENATE(VLOOKUP(A55,Competitors!$A$2:$I$650,3,FALSE)," ",VLOOKUP(A55,Competitors!$A$2:$I$650,2,FALSE)))</f>
        <v>Ashley Easton</v>
      </c>
    </row>
    <row r="56" spans="1:2" x14ac:dyDescent="0.35">
      <c r="A56">
        <f>IF(ISNUMBER(Competitors!A56),Competitors!A56,"")</f>
        <v>1332</v>
      </c>
      <c r="B56" t="str">
        <f>IF(A56="","",CONCATENATE(VLOOKUP(A56,Competitors!$A$2:$I$650,3,FALSE)," ",VLOOKUP(A56,Competitors!$A$2:$I$650,2,FALSE)))</f>
        <v>Jo Eaton</v>
      </c>
    </row>
    <row r="57" spans="1:2" x14ac:dyDescent="0.35">
      <c r="A57">
        <f>IF(ISNUMBER(Competitors!A57),Competitors!A57,"")</f>
        <v>682</v>
      </c>
      <c r="B57" t="str">
        <f>IF(A57="","",CONCATENATE(VLOOKUP(A57,Competitors!$A$2:$I$650,3,FALSE)," ",VLOOKUP(A57,Competitors!$A$2:$I$650,2,FALSE)))</f>
        <v>Lee Edmonds</v>
      </c>
    </row>
    <row r="58" spans="1:2" x14ac:dyDescent="0.35">
      <c r="A58">
        <f>IF(ISNUMBER(Competitors!A58),Competitors!A58,"")</f>
        <v>1393</v>
      </c>
      <c r="B58" t="str">
        <f>IF(A58="","",CONCATENATE(VLOOKUP(A58,Competitors!$A$2:$I$650,3,FALSE)," ",VLOOKUP(A58,Competitors!$A$2:$I$650,2,FALSE)))</f>
        <v>Sally Ellis</v>
      </c>
    </row>
    <row r="59" spans="1:2" x14ac:dyDescent="0.35">
      <c r="A59">
        <f>IF(ISNUMBER(Competitors!A59),Competitors!A59,"")</f>
        <v>1355</v>
      </c>
      <c r="B59" t="str">
        <f>IF(A59="","",CONCATENATE(VLOOKUP(A59,Competitors!$A$2:$I$650,3,FALSE)," ",VLOOKUP(A59,Competitors!$A$2:$I$650,2,FALSE)))</f>
        <v>Aubrey Elmer</v>
      </c>
    </row>
    <row r="60" spans="1:2" x14ac:dyDescent="0.35">
      <c r="A60">
        <f>IF(ISNUMBER(Competitors!A60),Competitors!A60,"")</f>
        <v>1164</v>
      </c>
      <c r="B60" t="str">
        <f>IF(A60="","",CONCATENATE(VLOOKUP(A60,Competitors!$A$2:$I$650,3,FALSE)," ",VLOOKUP(A60,Competitors!$A$2:$I$650,2,FALSE)))</f>
        <v>Harriet Evans</v>
      </c>
    </row>
    <row r="61" spans="1:2" x14ac:dyDescent="0.35">
      <c r="A61">
        <f>IF(ISNUMBER(Competitors!A61),Competitors!A61,"")</f>
        <v>1062</v>
      </c>
      <c r="B61" t="str">
        <f>IF(A61="","",CONCATENATE(VLOOKUP(A61,Competitors!$A$2:$I$650,3,FALSE)," ",VLOOKUP(A61,Competitors!$A$2:$I$650,2,FALSE)))</f>
        <v>Mark Evans</v>
      </c>
    </row>
    <row r="62" spans="1:2" x14ac:dyDescent="0.35">
      <c r="A62">
        <f>IF(ISNUMBER(Competitors!A62),Competitors!A62,"")</f>
        <v>938</v>
      </c>
      <c r="B62" t="str">
        <f>IF(A62="","",CONCATENATE(VLOOKUP(A62,Competitors!$A$2:$I$650,3,FALSE)," ",VLOOKUP(A62,Competitors!$A$2:$I$650,2,FALSE)))</f>
        <v>Jane Evans</v>
      </c>
    </row>
    <row r="63" spans="1:2" x14ac:dyDescent="0.35">
      <c r="A63">
        <f>IF(ISNUMBER(Competitors!A63),Competitors!A63,"")</f>
        <v>1034</v>
      </c>
      <c r="B63" t="str">
        <f>IF(A63="","",CONCATENATE(VLOOKUP(A63,Competitors!$A$2:$I$650,3,FALSE)," ",VLOOKUP(A63,Competitors!$A$2:$I$650,2,FALSE)))</f>
        <v>Mark Fiddy</v>
      </c>
    </row>
    <row r="64" spans="1:2" x14ac:dyDescent="0.35">
      <c r="A64">
        <f>IF(ISNUMBER(Competitors!A64),Competitors!A64,"")</f>
        <v>1402</v>
      </c>
      <c r="B64" t="str">
        <f>IF(A64="","",CONCATENATE(VLOOKUP(A64,Competitors!$A$2:$I$650,3,FALSE)," ",VLOOKUP(A64,Competitors!$A$2:$I$650,2,FALSE)))</f>
        <v>Neil Fisher</v>
      </c>
    </row>
    <row r="65" spans="1:2" x14ac:dyDescent="0.35">
      <c r="A65">
        <f>IF(ISNUMBER(Competitors!A65),Competitors!A65,"")</f>
        <v>939</v>
      </c>
      <c r="B65" t="str">
        <f>IF(A65="","",CONCATENATE(VLOOKUP(A65,Competitors!$A$2:$I$650,3,FALSE)," ",VLOOKUP(A65,Competitors!$A$2:$I$650,2,FALSE)))</f>
        <v>Sally Foreman</v>
      </c>
    </row>
    <row r="66" spans="1:2" x14ac:dyDescent="0.35">
      <c r="A66">
        <f>IF(ISNUMBER(Competitors!A66),Competitors!A66,"")</f>
        <v>1377</v>
      </c>
      <c r="B66" t="str">
        <f>IF(A66="","",CONCATENATE(VLOOKUP(A66,Competitors!$A$2:$I$650,3,FALSE)," ",VLOOKUP(A66,Competitors!$A$2:$I$650,2,FALSE)))</f>
        <v>Lucy Fraser</v>
      </c>
    </row>
    <row r="67" spans="1:2" x14ac:dyDescent="0.35">
      <c r="A67">
        <f>IF(ISNUMBER(Competitors!A67),Competitors!A67,"")</f>
        <v>1281</v>
      </c>
      <c r="B67" t="str">
        <f>IF(A67="","",CONCATENATE(VLOOKUP(A67,Competitors!$A$2:$I$650,3,FALSE)," ",VLOOKUP(A67,Competitors!$A$2:$I$650,2,FALSE)))</f>
        <v>Gerald Garner</v>
      </c>
    </row>
    <row r="68" spans="1:2" x14ac:dyDescent="0.35">
      <c r="A68">
        <f>IF(ISNUMBER(Competitors!A68),Competitors!A68,"")</f>
        <v>933</v>
      </c>
      <c r="B68" t="str">
        <f>IF(A68="","",CONCATENATE(VLOOKUP(A68,Competitors!$A$2:$I$650,3,FALSE)," ",VLOOKUP(A68,Competitors!$A$2:$I$650,2,FALSE)))</f>
        <v>Ed Grandidge</v>
      </c>
    </row>
    <row r="69" spans="1:2" x14ac:dyDescent="0.35">
      <c r="A69">
        <f>IF(ISNUMBER(Competitors!A69),Competitors!A69,"")</f>
        <v>1274</v>
      </c>
      <c r="B69" t="str">
        <f>IF(A69="","",CONCATENATE(VLOOKUP(A69,Competitors!$A$2:$I$650,3,FALSE)," ",VLOOKUP(A69,Competitors!$A$2:$I$650,2,FALSE)))</f>
        <v>Sophia Gowers</v>
      </c>
    </row>
    <row r="70" spans="1:2" x14ac:dyDescent="0.35">
      <c r="A70">
        <f>IF(ISNUMBER(Competitors!A70),Competitors!A70,"")</f>
        <v>493</v>
      </c>
      <c r="B70" t="str">
        <f>IF(A70="","",CONCATENATE(VLOOKUP(A70,Competitors!$A$2:$I$650,3,FALSE)," ",VLOOKUP(A70,Competitors!$A$2:$I$650,2,FALSE)))</f>
        <v>George Halls</v>
      </c>
    </row>
    <row r="71" spans="1:2" x14ac:dyDescent="0.35">
      <c r="A71">
        <f>IF(ISNUMBER(Competitors!A71),Competitors!A71,"")</f>
        <v>1279</v>
      </c>
      <c r="B71" t="str">
        <f>IF(A71="","",CONCATENATE(VLOOKUP(A71,Competitors!$A$2:$I$650,3,FALSE)," ",VLOOKUP(A71,Competitors!$A$2:$I$650,2,FALSE)))</f>
        <v>Jeffrey Hanner</v>
      </c>
    </row>
    <row r="72" spans="1:2" x14ac:dyDescent="0.35">
      <c r="A72">
        <f>IF(ISNUMBER(Competitors!A72),Competitors!A72,"")</f>
        <v>1193</v>
      </c>
      <c r="B72" t="str">
        <f>IF(A72="","",CONCATENATE(VLOOKUP(A72,Competitors!$A$2:$I$650,3,FALSE)," ",VLOOKUP(A72,Competitors!$A$2:$I$650,2,FALSE)))</f>
        <v>Richard Hardwicke</v>
      </c>
    </row>
    <row r="73" spans="1:2" x14ac:dyDescent="0.35">
      <c r="A73">
        <f>IF(ISNUMBER(Competitors!A73),Competitors!A73,"")</f>
        <v>1194</v>
      </c>
      <c r="B73" t="str">
        <f>IF(A73="","",CONCATENATE(VLOOKUP(A73,Competitors!$A$2:$I$650,3,FALSE)," ",VLOOKUP(A73,Competitors!$A$2:$I$650,2,FALSE)))</f>
        <v>Alex Hardwicke</v>
      </c>
    </row>
    <row r="74" spans="1:2" x14ac:dyDescent="0.35">
      <c r="A74">
        <f>IF(ISNUMBER(Competitors!A74),Competitors!A74,"")</f>
        <v>1196</v>
      </c>
      <c r="B74" t="str">
        <f>IF(A74="","",CONCATENATE(VLOOKUP(A74,Competitors!$A$2:$I$650,3,FALSE)," ",VLOOKUP(A74,Competitors!$A$2:$I$650,2,FALSE)))</f>
        <v>Daniel Hardwicke</v>
      </c>
    </row>
    <row r="75" spans="1:2" x14ac:dyDescent="0.35">
      <c r="A75">
        <f>IF(ISNUMBER(Competitors!A75),Competitors!A75,"")</f>
        <v>1195</v>
      </c>
      <c r="B75" t="str">
        <f>IF(A75="","",CONCATENATE(VLOOKUP(A75,Competitors!$A$2:$I$650,3,FALSE)," ",VLOOKUP(A75,Competitors!$A$2:$I$650,2,FALSE)))</f>
        <v>Charlie Hardwicke</v>
      </c>
    </row>
    <row r="76" spans="1:2" x14ac:dyDescent="0.35">
      <c r="A76">
        <f>IF(ISNUMBER(Competitors!A76),Competitors!A76,"")</f>
        <v>1176</v>
      </c>
      <c r="B76" t="str">
        <f>IF(A76="","",CONCATENATE(VLOOKUP(A76,Competitors!$A$2:$I$650,3,FALSE)," ",VLOOKUP(A76,Competitors!$A$2:$I$650,2,FALSE)))</f>
        <v>Rory Harrison</v>
      </c>
    </row>
    <row r="77" spans="1:2" x14ac:dyDescent="0.35">
      <c r="A77">
        <f>IF(ISNUMBER(Competitors!A77),Competitors!A77,"")</f>
        <v>1174</v>
      </c>
      <c r="B77" t="str">
        <f>IF(A77="","",CONCATENATE(VLOOKUP(A77,Competitors!$A$2:$I$650,3,FALSE)," ",VLOOKUP(A77,Competitors!$A$2:$I$650,2,FALSE)))</f>
        <v>Claire Harrison</v>
      </c>
    </row>
    <row r="78" spans="1:2" x14ac:dyDescent="0.35">
      <c r="A78">
        <f>IF(ISNUMBER(Competitors!A78),Competitors!A78,"")</f>
        <v>1175</v>
      </c>
      <c r="B78" t="str">
        <f>IF(A78="","",CONCATENATE(VLOOKUP(A78,Competitors!$A$2:$I$650,3,FALSE)," ",VLOOKUP(A78,Competitors!$A$2:$I$650,2,FALSE)))</f>
        <v>Richard Harrison</v>
      </c>
    </row>
    <row r="79" spans="1:2" x14ac:dyDescent="0.35">
      <c r="A79">
        <f>IF(ISNUMBER(Competitors!A79),Competitors!A79,"")</f>
        <v>1109</v>
      </c>
      <c r="B79" t="str">
        <f>IF(A79="","",CONCATENATE(VLOOKUP(A79,Competitors!$A$2:$I$650,3,FALSE)," ",VLOOKUP(A79,Competitors!$A$2:$I$650,2,FALSE)))</f>
        <v>Stuart Haycox</v>
      </c>
    </row>
    <row r="80" spans="1:2" x14ac:dyDescent="0.35">
      <c r="A80">
        <f>IF(ISNUMBER(Competitors!A80),Competitors!A80,"")</f>
        <v>1073</v>
      </c>
      <c r="B80" t="str">
        <f>IF(A80="","",CONCATENATE(VLOOKUP(A80,Competitors!$A$2:$I$650,3,FALSE)," ",VLOOKUP(A80,Competitors!$A$2:$I$650,2,FALSE)))</f>
        <v>Richard Heald</v>
      </c>
    </row>
    <row r="81" spans="1:2" x14ac:dyDescent="0.35">
      <c r="A81">
        <f>IF(ISNUMBER(Competitors!A81),Competitors!A81,"")</f>
        <v>1400</v>
      </c>
      <c r="B81" t="str">
        <f>IF(A81="","",CONCATENATE(VLOOKUP(A81,Competitors!$A$2:$I$650,3,FALSE)," ",VLOOKUP(A81,Competitors!$A$2:$I$650,2,FALSE)))</f>
        <v>Elgar Aguilar Hernandez</v>
      </c>
    </row>
    <row r="82" spans="1:2" x14ac:dyDescent="0.35">
      <c r="A82">
        <f>IF(ISNUMBER(Competitors!A82),Competitors!A82,"")</f>
        <v>1367</v>
      </c>
      <c r="B82" t="str">
        <f>IF(A82="","",CONCATENATE(VLOOKUP(A82,Competitors!$A$2:$I$650,3,FALSE)," ",VLOOKUP(A82,Competitors!$A$2:$I$650,2,FALSE)))</f>
        <v>Daniel Henderson</v>
      </c>
    </row>
    <row r="83" spans="1:2" x14ac:dyDescent="0.35">
      <c r="A83">
        <f>IF(ISNUMBER(Competitors!A83),Competitors!A83,"")</f>
        <v>1366</v>
      </c>
      <c r="B83" t="str">
        <f>IF(A83="","",CONCATENATE(VLOOKUP(A83,Competitors!$A$2:$I$650,3,FALSE)," ",VLOOKUP(A83,Competitors!$A$2:$I$650,2,FALSE)))</f>
        <v>Hannah Henderson</v>
      </c>
    </row>
    <row r="84" spans="1:2" x14ac:dyDescent="0.35">
      <c r="A84">
        <f>IF(ISNUMBER(Competitors!A84),Competitors!A84,"")</f>
        <v>1365</v>
      </c>
      <c r="B84" t="str">
        <f>IF(A84="","",CONCATENATE(VLOOKUP(A84,Competitors!$A$2:$I$650,3,FALSE)," ",VLOOKUP(A84,Competitors!$A$2:$I$650,2,FALSE)))</f>
        <v>Helen Henderson</v>
      </c>
    </row>
    <row r="85" spans="1:2" x14ac:dyDescent="0.35">
      <c r="A85">
        <f>IF(ISNUMBER(Competitors!A85),Competitors!A85,"")</f>
        <v>897</v>
      </c>
      <c r="B85" t="str">
        <f>IF(A85="","",CONCATENATE(VLOOKUP(A85,Competitors!$A$2:$I$650,3,FALSE)," ",VLOOKUP(A85,Competitors!$A$2:$I$650,2,FALSE)))</f>
        <v>Marc Henderson</v>
      </c>
    </row>
    <row r="86" spans="1:2" x14ac:dyDescent="0.35">
      <c r="A86">
        <f>IF(ISNUMBER(Competitors!A86),Competitors!A86,"")</f>
        <v>1308</v>
      </c>
      <c r="B86" t="str">
        <f>IF(A86="","",CONCATENATE(VLOOKUP(A86,Competitors!$A$2:$I$650,3,FALSE)," ",VLOOKUP(A86,Competitors!$A$2:$I$650,2,FALSE)))</f>
        <v>Alice Herring</v>
      </c>
    </row>
    <row r="87" spans="1:2" x14ac:dyDescent="0.35">
      <c r="A87">
        <f>IF(ISNUMBER(Competitors!A87),Competitors!A87,"")</f>
        <v>1206</v>
      </c>
      <c r="B87" t="str">
        <f>IF(A87="","",CONCATENATE(VLOOKUP(A87,Competitors!$A$2:$I$650,3,FALSE)," ",VLOOKUP(A87,Competitors!$A$2:$I$650,2,FALSE)))</f>
        <v>Joy Hill</v>
      </c>
    </row>
    <row r="88" spans="1:2" x14ac:dyDescent="0.35">
      <c r="A88">
        <f>IF(ISNUMBER(Competitors!A88),Competitors!A88,"")</f>
        <v>1205</v>
      </c>
      <c r="B88" t="str">
        <f>IF(A88="","",CONCATENATE(VLOOKUP(A88,Competitors!$A$2:$I$650,3,FALSE)," ",VLOOKUP(A88,Competitors!$A$2:$I$650,2,FALSE)))</f>
        <v>Dave Hill</v>
      </c>
    </row>
    <row r="89" spans="1:2" x14ac:dyDescent="0.35">
      <c r="A89">
        <f>IF(ISNUMBER(Competitors!A89),Competitors!A89,"")</f>
        <v>1406</v>
      </c>
      <c r="B89" t="str">
        <f>IF(A89="","",CONCATENATE(VLOOKUP(A89,Competitors!$A$2:$I$650,3,FALSE)," ",VLOOKUP(A89,Competitors!$A$2:$I$650,2,FALSE)))</f>
        <v>Gavin Hinxman</v>
      </c>
    </row>
    <row r="90" spans="1:2" x14ac:dyDescent="0.35">
      <c r="A90">
        <f>IF(ISNUMBER(Competitors!A90),Competitors!A90,"")</f>
        <v>1182</v>
      </c>
      <c r="B90" t="str">
        <f>IF(A90="","",CONCATENATE(VLOOKUP(A90,Competitors!$A$2:$I$650,3,FALSE)," ",VLOOKUP(A90,Competitors!$A$2:$I$650,2,FALSE)))</f>
        <v>Neil Holman</v>
      </c>
    </row>
    <row r="91" spans="1:2" x14ac:dyDescent="0.35">
      <c r="A91">
        <f>IF(ISNUMBER(Competitors!A91),Competitors!A91,"")</f>
        <v>1340</v>
      </c>
      <c r="B91" t="str">
        <f>IF(A91="","",CONCATENATE(VLOOKUP(A91,Competitors!$A$2:$I$650,3,FALSE)," ",VLOOKUP(A91,Competitors!$A$2:$I$650,2,FALSE)))</f>
        <v>Cristian Holmes</v>
      </c>
    </row>
    <row r="92" spans="1:2" x14ac:dyDescent="0.35">
      <c r="A92">
        <f>IF(ISNUMBER(Competitors!A92),Competitors!A92,"")</f>
        <v>21</v>
      </c>
      <c r="B92" t="str">
        <f>IF(A92="","",CONCATENATE(VLOOKUP(A92,Competitors!$A$2:$I$650,3,FALSE)," ",VLOOKUP(A92,Competitors!$A$2:$I$650,2,FALSE)))</f>
        <v>Wayne Holton</v>
      </c>
    </row>
    <row r="93" spans="1:2" x14ac:dyDescent="0.35">
      <c r="A93">
        <f>IF(ISNUMBER(Competitors!A93),Competitors!A93,"")</f>
        <v>1049</v>
      </c>
      <c r="B93" t="str">
        <f>IF(A93="","",CONCATENATE(VLOOKUP(A93,Competitors!$A$2:$I$650,3,FALSE)," ",VLOOKUP(A93,Competitors!$A$2:$I$650,2,FALSE)))</f>
        <v>Duncan Hopwood</v>
      </c>
    </row>
    <row r="94" spans="1:2" x14ac:dyDescent="0.35">
      <c r="A94">
        <f>IF(ISNUMBER(Competitors!A94),Competitors!A94,"")</f>
        <v>120</v>
      </c>
      <c r="B94" t="str">
        <f>IF(A94="","",CONCATENATE(VLOOKUP(A94,Competitors!$A$2:$I$650,3,FALSE)," ",VLOOKUP(A94,Competitors!$A$2:$I$650,2,FALSE)))</f>
        <v>Linda Hubbard</v>
      </c>
    </row>
    <row r="95" spans="1:2" x14ac:dyDescent="0.35">
      <c r="A95">
        <f>IF(ISNUMBER(Competitors!A95),Competitors!A95,"")</f>
        <v>990</v>
      </c>
      <c r="B95" t="str">
        <f>IF(A95="","",CONCATENATE(VLOOKUP(A95,Competitors!$A$2:$I$650,3,FALSE)," ",VLOOKUP(A95,Competitors!$A$2:$I$650,2,FALSE)))</f>
        <v>Jennifer Hulme</v>
      </c>
    </row>
    <row r="96" spans="1:2" x14ac:dyDescent="0.35">
      <c r="A96">
        <f>IF(ISNUMBER(Competitors!A96),Competitors!A96,"")</f>
        <v>1395</v>
      </c>
      <c r="B96" t="str">
        <f>IF(A96="","",CONCATENATE(VLOOKUP(A96,Competitors!$A$2:$I$650,3,FALSE)," ",VLOOKUP(A96,Competitors!$A$2:$I$650,2,FALSE)))</f>
        <v>Freya Human</v>
      </c>
    </row>
    <row r="97" spans="1:2" x14ac:dyDescent="0.35">
      <c r="A97">
        <f>IF(ISNUMBER(Competitors!A97),Competitors!A97,"")</f>
        <v>1158</v>
      </c>
      <c r="B97" t="str">
        <f>IF(A97="","",CONCATENATE(VLOOKUP(A97,Competitors!$A$2:$I$650,3,FALSE)," ",VLOOKUP(A97,Competitors!$A$2:$I$650,2,FALSE)))</f>
        <v>Eleanor Humphries</v>
      </c>
    </row>
    <row r="98" spans="1:2" x14ac:dyDescent="0.35">
      <c r="A98">
        <f>IF(ISNUMBER(Competitors!A98),Competitors!A98,"")</f>
        <v>23</v>
      </c>
      <c r="B98" t="str">
        <f>IF(A98="","",CONCATENATE(VLOOKUP(A98,Competitors!$A$2:$I$650,3,FALSE)," ",VLOOKUP(A98,Competitors!$A$2:$I$650,2,FALSE)))</f>
        <v>Chris Hyde</v>
      </c>
    </row>
    <row r="99" spans="1:2" x14ac:dyDescent="0.35">
      <c r="A99">
        <f>IF(ISNUMBER(Competitors!A99),Competitors!A99,"")</f>
        <v>1152</v>
      </c>
      <c r="B99" t="str">
        <f>IF(A99="","",CONCATENATE(VLOOKUP(A99,Competitors!$A$2:$I$650,3,FALSE)," ",VLOOKUP(A99,Competitors!$A$2:$I$650,2,FALSE)))</f>
        <v>Ruby Isaac</v>
      </c>
    </row>
    <row r="100" spans="1:2" x14ac:dyDescent="0.35">
      <c r="A100">
        <f>IF(ISNUMBER(Competitors!A100),Competitors!A100,"")</f>
        <v>581</v>
      </c>
      <c r="B100" t="str">
        <f>IF(A100="","",CONCATENATE(VLOOKUP(A100,Competitors!$A$2:$I$650,3,FALSE)," ",VLOOKUP(A100,Competitors!$A$2:$I$650,2,FALSE)))</f>
        <v>Mike Ives</v>
      </c>
    </row>
    <row r="101" spans="1:2" x14ac:dyDescent="0.35">
      <c r="A101">
        <f>IF(ISNUMBER(Competitors!A101),Competitors!A101,"")</f>
        <v>1374</v>
      </c>
      <c r="B101" t="str">
        <f>IF(A101="","",CONCATENATE(VLOOKUP(A101,Competitors!$A$2:$I$650,3,FALSE)," ",VLOOKUP(A101,Competitors!$A$2:$I$650,2,FALSE)))</f>
        <v>Will Jackson-Bream</v>
      </c>
    </row>
    <row r="102" spans="1:2" x14ac:dyDescent="0.35">
      <c r="A102">
        <f>IF(ISNUMBER(Competitors!A102),Competitors!A102,"")</f>
        <v>25</v>
      </c>
      <c r="B102" t="str">
        <f>IF(A102="","",CONCATENATE(VLOOKUP(A102,Competitors!$A$2:$I$650,3,FALSE)," ",VLOOKUP(A102,Competitors!$A$2:$I$650,2,FALSE)))</f>
        <v>Mitchell James</v>
      </c>
    </row>
    <row r="103" spans="1:2" x14ac:dyDescent="0.35">
      <c r="A103">
        <f>IF(ISNUMBER(Competitors!A103),Competitors!A103,"")</f>
        <v>415</v>
      </c>
      <c r="B103" t="str">
        <f>IF(A103="","",CONCATENATE(VLOOKUP(A103,Competitors!$A$2:$I$650,3,FALSE)," ",VLOOKUP(A103,Competitors!$A$2:$I$650,2,FALSE)))</f>
        <v>Nik Kershaw</v>
      </c>
    </row>
    <row r="104" spans="1:2" x14ac:dyDescent="0.35">
      <c r="A104">
        <f>IF(ISNUMBER(Competitors!A104),Competitors!A104,"")</f>
        <v>1144</v>
      </c>
      <c r="B104" t="str">
        <f>IF(A104="","",CONCATENATE(VLOOKUP(A104,Competitors!$A$2:$I$650,3,FALSE)," ",VLOOKUP(A104,Competitors!$A$2:$I$650,2,FALSE)))</f>
        <v>Jamie Kershaw</v>
      </c>
    </row>
    <row r="105" spans="1:2" x14ac:dyDescent="0.35">
      <c r="A105">
        <f>IF(ISNUMBER(Competitors!A105),Competitors!A105,"")</f>
        <v>203</v>
      </c>
      <c r="B105" t="str">
        <f>IF(A105="","",CONCATENATE(VLOOKUP(A105,Competitors!$A$2:$I$650,3,FALSE)," ",VLOOKUP(A105,Competitors!$A$2:$I$650,2,FALSE)))</f>
        <v>Adrian Killworth</v>
      </c>
    </row>
    <row r="106" spans="1:2" x14ac:dyDescent="0.35">
      <c r="A106">
        <f>IF(ISNUMBER(Competitors!A106),Competitors!A106,"")</f>
        <v>956</v>
      </c>
      <c r="B106" t="str">
        <f>IF(A106="","",CONCATENATE(VLOOKUP(A106,Competitors!$A$2:$I$650,3,FALSE)," ",VLOOKUP(A106,Competitors!$A$2:$I$650,2,FALSE)))</f>
        <v>Steven King</v>
      </c>
    </row>
    <row r="107" spans="1:2" x14ac:dyDescent="0.35">
      <c r="A107">
        <f>IF(ISNUMBER(Competitors!A107),Competitors!A107,"")</f>
        <v>1273</v>
      </c>
      <c r="B107" t="str">
        <f>IF(A107="","",CONCATENATE(VLOOKUP(A107,Competitors!$A$2:$I$650,3,FALSE)," ",VLOOKUP(A107,Competitors!$A$2:$I$650,2,FALSE)))</f>
        <v>Ros Knight</v>
      </c>
    </row>
    <row r="108" spans="1:2" x14ac:dyDescent="0.35">
      <c r="A108">
        <f>IF(ISNUMBER(Competitors!A108),Competitors!A108,"")</f>
        <v>1272</v>
      </c>
      <c r="B108" t="str">
        <f>IF(A108="","",CONCATENATE(VLOOKUP(A108,Competitors!$A$2:$I$650,3,FALSE)," ",VLOOKUP(A108,Competitors!$A$2:$I$650,2,FALSE)))</f>
        <v>Tim Knight</v>
      </c>
    </row>
    <row r="109" spans="1:2" x14ac:dyDescent="0.35">
      <c r="A109">
        <f>IF(ISNUMBER(Competitors!A109),Competitors!A109,"")</f>
        <v>846</v>
      </c>
      <c r="B109" t="str">
        <f>IF(A109="","",CONCATENATE(VLOOKUP(A109,Competitors!$A$2:$I$650,3,FALSE)," ",VLOOKUP(A109,Competitors!$A$2:$I$650,2,FALSE)))</f>
        <v>Roger Kockelbergh</v>
      </c>
    </row>
    <row r="110" spans="1:2" x14ac:dyDescent="0.35">
      <c r="A110">
        <f>IF(ISNUMBER(Competitors!A110),Competitors!A110,"")</f>
        <v>1162</v>
      </c>
      <c r="B110" t="str">
        <f>IF(A110="","",CONCATENATE(VLOOKUP(A110,Competitors!$A$2:$I$650,3,FALSE)," ",VLOOKUP(A110,Competitors!$A$2:$I$650,2,FALSE)))</f>
        <v>Richard Krause</v>
      </c>
    </row>
    <row r="111" spans="1:2" x14ac:dyDescent="0.35">
      <c r="A111">
        <f>IF(ISNUMBER(Competitors!A111),Competitors!A111,"")</f>
        <v>1244</v>
      </c>
      <c r="B111" t="str">
        <f>IF(A111="","",CONCATENATE(VLOOKUP(A111,Competitors!$A$2:$I$650,3,FALSE)," ",VLOOKUP(A111,Competitors!$A$2:$I$650,2,FALSE)))</f>
        <v>Steven Latham</v>
      </c>
    </row>
    <row r="112" spans="1:2" x14ac:dyDescent="0.35">
      <c r="A112">
        <f>IF(ISNUMBER(Competitors!A112),Competitors!A112,"")</f>
        <v>1379</v>
      </c>
      <c r="B112" t="str">
        <f>IF(A112="","",CONCATENATE(VLOOKUP(A112,Competitors!$A$2:$I$650,3,FALSE)," ",VLOOKUP(A112,Competitors!$A$2:$I$650,2,FALSE)))</f>
        <v>Michaela Latham</v>
      </c>
    </row>
    <row r="113" spans="1:2" x14ac:dyDescent="0.35">
      <c r="A113">
        <f>IF(ISNUMBER(Competitors!A113),Competitors!A113,"")</f>
        <v>1362</v>
      </c>
      <c r="B113" t="str">
        <f>IF(A113="","",CONCATENATE(VLOOKUP(A113,Competitors!$A$2:$I$650,3,FALSE)," ",VLOOKUP(A113,Competitors!$A$2:$I$650,2,FALSE)))</f>
        <v>Paula Laws</v>
      </c>
    </row>
    <row r="114" spans="1:2" x14ac:dyDescent="0.35">
      <c r="A114">
        <f>IF(ISNUMBER(Competitors!A114),Competitors!A114,"")</f>
        <v>1403</v>
      </c>
      <c r="B114" t="str">
        <f>IF(A114="","",CONCATENATE(VLOOKUP(A114,Competitors!$A$2:$I$650,3,FALSE)," ",VLOOKUP(A114,Competitors!$A$2:$I$650,2,FALSE)))</f>
        <v>Toby Lenehan</v>
      </c>
    </row>
    <row r="115" spans="1:2" x14ac:dyDescent="0.35">
      <c r="A115">
        <f>IF(ISNUMBER(Competitors!A115),Competitors!A115,"")</f>
        <v>1404</v>
      </c>
      <c r="B115" t="str">
        <f>IF(A115="","",CONCATENATE(VLOOKUP(A115,Competitors!$A$2:$I$650,3,FALSE)," ",VLOOKUP(A115,Competitors!$A$2:$I$650,2,FALSE)))</f>
        <v>Millie Lenehan</v>
      </c>
    </row>
    <row r="116" spans="1:2" x14ac:dyDescent="0.35">
      <c r="A116">
        <f>IF(ISNUMBER(Competitors!A116),Competitors!A116,"")</f>
        <v>1229</v>
      </c>
      <c r="B116" t="str">
        <f>IF(A116="","",CONCATENATE(VLOOKUP(A116,Competitors!$A$2:$I$650,3,FALSE)," ",VLOOKUP(A116,Competitors!$A$2:$I$650,2,FALSE)))</f>
        <v>Kamila Leska</v>
      </c>
    </row>
    <row r="117" spans="1:2" x14ac:dyDescent="0.35">
      <c r="A117">
        <f>IF(ISNUMBER(Competitors!A117),Competitors!A117,"")</f>
        <v>1408</v>
      </c>
      <c r="B117" t="str">
        <f>IF(A117="","",CONCATENATE(VLOOKUP(A117,Competitors!$A$2:$I$650,3,FALSE)," ",VLOOKUP(A117,Competitors!$A$2:$I$650,2,FALSE)))</f>
        <v>Kim Lewington</v>
      </c>
    </row>
    <row r="118" spans="1:2" x14ac:dyDescent="0.35">
      <c r="A118">
        <f>IF(ISNUMBER(Competitors!A118),Competitors!A118,"")</f>
        <v>1409</v>
      </c>
      <c r="B118" t="str">
        <f>IF(A118="","",CONCATENATE(VLOOKUP(A118,Competitors!$A$2:$I$650,3,FALSE)," ",VLOOKUP(A118,Competitors!$A$2:$I$650,2,FALSE)))</f>
        <v>Lynette Lewington</v>
      </c>
    </row>
    <row r="119" spans="1:2" x14ac:dyDescent="0.35">
      <c r="A119">
        <f>IF(ISNUMBER(Competitors!A119),Competitors!A119,"")</f>
        <v>1198</v>
      </c>
      <c r="B119" t="str">
        <f>IF(A119="","",CONCATENATE(VLOOKUP(A119,Competitors!$A$2:$I$650,3,FALSE)," ",VLOOKUP(A119,Competitors!$A$2:$I$650,2,FALSE)))</f>
        <v>Anthony Liot</v>
      </c>
    </row>
    <row r="120" spans="1:2" x14ac:dyDescent="0.35">
      <c r="A120">
        <f>IF(ISNUMBER(Competitors!A120),Competitors!A120,"")</f>
        <v>1361</v>
      </c>
      <c r="B120" t="str">
        <f>IF(A120="","",CONCATENATE(VLOOKUP(A120,Competitors!$A$2:$I$650,3,FALSE)," ",VLOOKUP(A120,Competitors!$A$2:$I$650,2,FALSE)))</f>
        <v>Bruce Main</v>
      </c>
    </row>
    <row r="121" spans="1:2" x14ac:dyDescent="0.35">
      <c r="A121">
        <f>IF(ISNUMBER(Competitors!A121),Competitors!A121,"")</f>
        <v>1100</v>
      </c>
      <c r="B121" t="str">
        <f>IF(A121="","",CONCATENATE(VLOOKUP(A121,Competitors!$A$2:$I$650,3,FALSE)," ",VLOOKUP(A121,Competitors!$A$2:$I$650,2,FALSE)))</f>
        <v>Ian Mansfield</v>
      </c>
    </row>
    <row r="122" spans="1:2" x14ac:dyDescent="0.35">
      <c r="A122">
        <f>IF(ISNUMBER(Competitors!A122),Competitors!A122,"")</f>
        <v>1385</v>
      </c>
      <c r="B122" t="str">
        <f>IF(A122="","",CONCATENATE(VLOOKUP(A122,Competitors!$A$2:$I$650,3,FALSE)," ",VLOOKUP(A122,Competitors!$A$2:$I$650,2,FALSE)))</f>
        <v>Miles Marr</v>
      </c>
    </row>
    <row r="123" spans="1:2" x14ac:dyDescent="0.35">
      <c r="A123">
        <f>IF(ISNUMBER(Competitors!A123),Competitors!A123,"")</f>
        <v>1394</v>
      </c>
      <c r="B123" t="str">
        <f>IF(A123="","",CONCATENATE(VLOOKUP(A123,Competitors!$A$2:$I$650,3,FALSE)," ",VLOOKUP(A123,Competitors!$A$2:$I$650,2,FALSE)))</f>
        <v>Noah Marr</v>
      </c>
    </row>
    <row r="124" spans="1:2" x14ac:dyDescent="0.35">
      <c r="A124">
        <f>IF(ISNUMBER(Competitors!A124),Competitors!A124,"")</f>
        <v>1419</v>
      </c>
      <c r="B124" t="str">
        <f>IF(A124="","",CONCATENATE(VLOOKUP(A124,Competitors!$A$2:$I$650,3,FALSE)," ",VLOOKUP(A124,Competitors!$A$2:$I$650,2,FALSE)))</f>
        <v>Ethan Marsh</v>
      </c>
    </row>
    <row r="125" spans="1:2" x14ac:dyDescent="0.35">
      <c r="A125">
        <f>IF(ISNUMBER(Competitors!A125),Competitors!A125,"")</f>
        <v>967</v>
      </c>
      <c r="B125" t="str">
        <f>IF(A125="","",CONCATENATE(VLOOKUP(A125,Competitors!$A$2:$I$650,3,FALSE)," ",VLOOKUP(A125,Competitors!$A$2:$I$650,2,FALSE)))</f>
        <v>Daniel McDonnell</v>
      </c>
    </row>
    <row r="126" spans="1:2" x14ac:dyDescent="0.35">
      <c r="A126">
        <f>IF(ISNUMBER(Competitors!A126),Competitors!A126,"")</f>
        <v>1045</v>
      </c>
      <c r="B126" t="str">
        <f>IF(A126="","",CONCATENATE(VLOOKUP(A126,Competitors!$A$2:$I$650,3,FALSE)," ",VLOOKUP(A126,Competitors!$A$2:$I$650,2,FALSE)))</f>
        <v>Amanda McPherson</v>
      </c>
    </row>
    <row r="127" spans="1:2" x14ac:dyDescent="0.35">
      <c r="A127">
        <f>IF(ISNUMBER(Competitors!A127),Competitors!A127,"")</f>
        <v>1046</v>
      </c>
      <c r="B127" t="str">
        <f>IF(A127="","",CONCATENATE(VLOOKUP(A127,Competitors!$A$2:$I$650,3,FALSE)," ",VLOOKUP(A127,Competitors!$A$2:$I$650,2,FALSE)))</f>
        <v>Jim McPherson</v>
      </c>
    </row>
    <row r="128" spans="1:2" x14ac:dyDescent="0.35">
      <c r="A128">
        <f>IF(ISNUMBER(Competitors!A128),Competitors!A128,"")</f>
        <v>1396</v>
      </c>
      <c r="B128" t="str">
        <f>IF(A128="","",CONCATENATE(VLOOKUP(A128,Competitors!$A$2:$I$650,3,FALSE)," ",VLOOKUP(A128,Competitors!$A$2:$I$650,2,FALSE)))</f>
        <v>Peter Melville</v>
      </c>
    </row>
    <row r="129" spans="1:2" x14ac:dyDescent="0.35">
      <c r="A129">
        <f>IF(ISNUMBER(Competitors!A129),Competitors!A129,"")</f>
        <v>1397</v>
      </c>
      <c r="B129" t="str">
        <f>IF(A129="","",CONCATENATE(VLOOKUP(A129,Competitors!$A$2:$I$650,3,FALSE)," ",VLOOKUP(A129,Competitors!$A$2:$I$650,2,FALSE)))</f>
        <v>Rebecca Melville</v>
      </c>
    </row>
    <row r="130" spans="1:2" x14ac:dyDescent="0.35">
      <c r="A130">
        <f>IF(ISNUMBER(Competitors!A130),Competitors!A130,"")</f>
        <v>1398</v>
      </c>
      <c r="B130" t="str">
        <f>IF(A130="","",CONCATENATE(VLOOKUP(A130,Competitors!$A$2:$I$650,3,FALSE)," ",VLOOKUP(A130,Competitors!$A$2:$I$650,2,FALSE)))</f>
        <v>George Melville</v>
      </c>
    </row>
    <row r="131" spans="1:2" x14ac:dyDescent="0.35">
      <c r="A131">
        <f>IF(ISNUMBER(Competitors!A131),Competitors!A131,"")</f>
        <v>1399</v>
      </c>
      <c r="B131" t="str">
        <f>IF(A131="","",CONCATENATE(VLOOKUP(A131,Competitors!$A$2:$I$650,3,FALSE)," ",VLOOKUP(A131,Competitors!$A$2:$I$650,2,FALSE)))</f>
        <v>Harriet Melville</v>
      </c>
    </row>
    <row r="132" spans="1:2" x14ac:dyDescent="0.35">
      <c r="A132">
        <f>IF(ISNUMBER(Competitors!A132),Competitors!A132,"")</f>
        <v>771</v>
      </c>
      <c r="B132" t="str">
        <f>IF(A132="","",CONCATENATE(VLOOKUP(A132,Competitors!$A$2:$I$650,3,FALSE)," ",VLOOKUP(A132,Competitors!$A$2:$I$650,2,FALSE)))</f>
        <v>Julian Middleton</v>
      </c>
    </row>
    <row r="133" spans="1:2" x14ac:dyDescent="0.35">
      <c r="A133">
        <f>IF(ISNUMBER(Competitors!A133),Competitors!A133,"")</f>
        <v>1265</v>
      </c>
      <c r="B133" t="str">
        <f>IF(A133="","",CONCATENATE(VLOOKUP(A133,Competitors!$A$2:$I$650,3,FALSE)," ",VLOOKUP(A133,Competitors!$A$2:$I$650,2,FALSE)))</f>
        <v>Kevin Millard</v>
      </c>
    </row>
    <row r="134" spans="1:2" x14ac:dyDescent="0.35">
      <c r="A134">
        <f>IF(ISNUMBER(Competitors!A134),Competitors!A134,"")</f>
        <v>532</v>
      </c>
      <c r="B134" t="str">
        <f>IF(A134="","",CONCATENATE(VLOOKUP(A134,Competitors!$A$2:$I$650,3,FALSE)," ",VLOOKUP(A134,Competitors!$A$2:$I$650,2,FALSE)))</f>
        <v>Kevin Mills</v>
      </c>
    </row>
    <row r="135" spans="1:2" x14ac:dyDescent="0.35">
      <c r="A135">
        <f>IF(ISNUMBER(Competitors!A135),Competitors!A135,"")</f>
        <v>742</v>
      </c>
      <c r="B135" t="str">
        <f>IF(A135="","",CONCATENATE(VLOOKUP(A135,Competitors!$A$2:$I$650,3,FALSE)," ",VLOOKUP(A135,Competitors!$A$2:$I$650,2,FALSE)))</f>
        <v>Claire Moore</v>
      </c>
    </row>
    <row r="136" spans="1:2" x14ac:dyDescent="0.35">
      <c r="A136">
        <f>IF(ISNUMBER(Competitors!A136),Competitors!A136,"")</f>
        <v>741</v>
      </c>
      <c r="B136" t="str">
        <f>IF(A136="","",CONCATENATE(VLOOKUP(A136,Competitors!$A$2:$I$650,3,FALSE)," ",VLOOKUP(A136,Competitors!$A$2:$I$650,2,FALSE)))</f>
        <v>Rob Moore</v>
      </c>
    </row>
    <row r="137" spans="1:2" x14ac:dyDescent="0.35">
      <c r="A137">
        <f>IF(ISNUMBER(Competitors!A137),Competitors!A137,"")</f>
        <v>1298</v>
      </c>
      <c r="B137" t="str">
        <f>IF(A137="","",CONCATENATE(VLOOKUP(A137,Competitors!$A$2:$I$650,3,FALSE)," ",VLOOKUP(A137,Competitors!$A$2:$I$650,2,FALSE)))</f>
        <v>Jane Moore</v>
      </c>
    </row>
    <row r="138" spans="1:2" x14ac:dyDescent="0.35">
      <c r="A138">
        <f>IF(ISNUMBER(Competitors!A138),Competitors!A138,"")</f>
        <v>747</v>
      </c>
      <c r="B138" t="str">
        <f>IF(A138="","",CONCATENATE(VLOOKUP(A138,Competitors!$A$2:$I$650,3,FALSE)," ",VLOOKUP(A138,Competitors!$A$2:$I$650,2,FALSE)))</f>
        <v>James Moore</v>
      </c>
    </row>
    <row r="139" spans="1:2" x14ac:dyDescent="0.35">
      <c r="A139">
        <f>IF(ISNUMBER(Competitors!A139),Competitors!A139,"")</f>
        <v>1386</v>
      </c>
      <c r="B139" t="str">
        <f>IF(A139="","",CONCATENATE(VLOOKUP(A139,Competitors!$A$2:$I$650,3,FALSE)," ",VLOOKUP(A139,Competitors!$A$2:$I$650,2,FALSE)))</f>
        <v>Mea Moore</v>
      </c>
    </row>
    <row r="140" spans="1:2" x14ac:dyDescent="0.35">
      <c r="A140">
        <f>IF(ISNUMBER(Competitors!A140),Competitors!A140,"")</f>
        <v>564</v>
      </c>
      <c r="B140" t="str">
        <f>IF(A140="","",CONCATENATE(VLOOKUP(A140,Competitors!$A$2:$I$650,3,FALSE)," ",VLOOKUP(A140,Competitors!$A$2:$I$650,2,FALSE)))</f>
        <v>Ian Murdey</v>
      </c>
    </row>
    <row r="141" spans="1:2" x14ac:dyDescent="0.35">
      <c r="A141">
        <f>IF(ISNUMBER(Competitors!A141),Competitors!A141,"")</f>
        <v>1165</v>
      </c>
      <c r="B141" t="str">
        <f>IF(A141="","",CONCATENATE(VLOOKUP(A141,Competitors!$A$2:$I$650,3,FALSE)," ",VLOOKUP(A141,Competitors!$A$2:$I$650,2,FALSE)))</f>
        <v>Duncan Murray</v>
      </c>
    </row>
    <row r="142" spans="1:2" x14ac:dyDescent="0.35">
      <c r="A142">
        <f>IF(ISNUMBER(Competitors!A142),Competitors!A142,"")</f>
        <v>405</v>
      </c>
      <c r="B142" t="str">
        <f>IF(A142="","",CONCATENATE(VLOOKUP(A142,Competitors!$A$2:$I$650,3,FALSE)," ",VLOOKUP(A142,Competitors!$A$2:$I$650,2,FALSE)))</f>
        <v>Kevin Nicholls</v>
      </c>
    </row>
    <row r="143" spans="1:2" x14ac:dyDescent="0.35">
      <c r="A143">
        <f>IF(ISNUMBER(Competitors!A143),Competitors!A143,"")</f>
        <v>1346</v>
      </c>
      <c r="B143" t="str">
        <f>IF(A143="","",CONCATENATE(VLOOKUP(A143,Competitors!$A$2:$I$650,3,FALSE)," ",VLOOKUP(A143,Competitors!$A$2:$I$650,2,FALSE)))</f>
        <v>Stephen Nixon</v>
      </c>
    </row>
    <row r="144" spans="1:2" x14ac:dyDescent="0.35">
      <c r="A144">
        <f>IF(ISNUMBER(Competitors!A144),Competitors!A144,"")</f>
        <v>1192</v>
      </c>
      <c r="B144" t="str">
        <f>IF(A144="","",CONCATENATE(VLOOKUP(A144,Competitors!$A$2:$I$650,3,FALSE)," ",VLOOKUP(A144,Competitors!$A$2:$I$650,2,FALSE)))</f>
        <v>Dale Norris</v>
      </c>
    </row>
    <row r="145" spans="1:2" x14ac:dyDescent="0.35">
      <c r="A145">
        <f>IF(ISNUMBER(Competitors!A145),Competitors!A145,"")</f>
        <v>1157</v>
      </c>
      <c r="B145" t="str">
        <f>IF(A145="","",CONCATENATE(VLOOKUP(A145,Competitors!$A$2:$I$650,3,FALSE)," ",VLOOKUP(A145,Competitors!$A$2:$I$650,2,FALSE)))</f>
        <v>Chris Orfeur</v>
      </c>
    </row>
    <row r="146" spans="1:2" x14ac:dyDescent="0.35">
      <c r="A146">
        <f>IF(ISNUMBER(Competitors!A146),Competitors!A146,"")</f>
        <v>1359</v>
      </c>
      <c r="B146" t="str">
        <f>IF(A146="","",CONCATENATE(VLOOKUP(A146,Competitors!$A$2:$I$650,3,FALSE)," ",VLOOKUP(A146,Competitors!$A$2:$I$650,2,FALSE)))</f>
        <v>George Parker</v>
      </c>
    </row>
    <row r="147" spans="1:2" x14ac:dyDescent="0.35">
      <c r="A147">
        <f>IF(ISNUMBER(Competitors!A147),Competitors!A147,"")</f>
        <v>1360</v>
      </c>
      <c r="B147" t="str">
        <f>IF(A147="","",CONCATENATE(VLOOKUP(A147,Competitors!$A$2:$I$650,3,FALSE)," ",VLOOKUP(A147,Competitors!$A$2:$I$650,2,FALSE)))</f>
        <v>Charlotte Parker</v>
      </c>
    </row>
    <row r="148" spans="1:2" x14ac:dyDescent="0.35">
      <c r="A148">
        <f>IF(ISNUMBER(Competitors!A148),Competitors!A148,"")</f>
        <v>1357</v>
      </c>
      <c r="B148" t="str">
        <f>IF(A148="","",CONCATENATE(VLOOKUP(A148,Competitors!$A$2:$I$650,3,FALSE)," ",VLOOKUP(A148,Competitors!$A$2:$I$650,2,FALSE)))</f>
        <v>Ian Parker</v>
      </c>
    </row>
    <row r="149" spans="1:2" x14ac:dyDescent="0.35">
      <c r="A149">
        <f>IF(ISNUMBER(Competitors!A149),Competitors!A149,"")</f>
        <v>1358</v>
      </c>
      <c r="B149" t="str">
        <f>IF(A149="","",CONCATENATE(VLOOKUP(A149,Competitors!$A$2:$I$650,3,FALSE)," ",VLOOKUP(A149,Competitors!$A$2:$I$650,2,FALSE)))</f>
        <v>Mandy Parker</v>
      </c>
    </row>
    <row r="150" spans="1:2" x14ac:dyDescent="0.35">
      <c r="A150">
        <f>IF(ISNUMBER(Competitors!A150),Competitors!A150,"")</f>
        <v>1390</v>
      </c>
      <c r="B150" t="str">
        <f>IF(A150="","",CONCATENATE(VLOOKUP(A150,Competitors!$A$2:$I$650,3,FALSE)," ",VLOOKUP(A150,Competitors!$A$2:$I$650,2,FALSE)))</f>
        <v>Diego Patteri</v>
      </c>
    </row>
    <row r="151" spans="1:2" x14ac:dyDescent="0.35">
      <c r="A151">
        <f>IF(ISNUMBER(Competitors!A151),Competitors!A151,"")</f>
        <v>1107</v>
      </c>
      <c r="B151" t="str">
        <f>IF(A151="","",CONCATENATE(VLOOKUP(A151,Competitors!$A$2:$I$650,3,FALSE)," ",VLOOKUP(A151,Competitors!$A$2:$I$650,2,FALSE)))</f>
        <v>Milly Pinnock</v>
      </c>
    </row>
    <row r="152" spans="1:2" x14ac:dyDescent="0.35">
      <c r="A152">
        <f>IF(ISNUMBER(Competitors!A152),Competitors!A152,"")</f>
        <v>35</v>
      </c>
      <c r="B152" t="str">
        <f>IF(A152="","",CONCATENATE(VLOOKUP(A152,Competitors!$A$2:$I$650,3,FALSE)," ",VLOOKUP(A152,Competitors!$A$2:$I$650,2,FALSE)))</f>
        <v>Matt Plews</v>
      </c>
    </row>
    <row r="153" spans="1:2" x14ac:dyDescent="0.35">
      <c r="A153">
        <f>IF(ISNUMBER(Competitors!A153),Competitors!A153,"")</f>
        <v>1094</v>
      </c>
      <c r="B153" t="str">
        <f>IF(A153="","",CONCATENATE(VLOOKUP(A153,Competitors!$A$2:$I$650,3,FALSE)," ",VLOOKUP(A153,Competitors!$A$2:$I$650,2,FALSE)))</f>
        <v>Andy Poulton</v>
      </c>
    </row>
    <row r="154" spans="1:2" x14ac:dyDescent="0.35">
      <c r="A154">
        <f>IF(ISNUMBER(Competitors!A154),Competitors!A154,"")</f>
        <v>1325</v>
      </c>
      <c r="B154" t="str">
        <f>IF(A154="","",CONCATENATE(VLOOKUP(A154,Competitors!$A$2:$I$650,3,FALSE)," ",VLOOKUP(A154,Competitors!$A$2:$I$650,2,FALSE)))</f>
        <v>Greg Prangnell</v>
      </c>
    </row>
    <row r="155" spans="1:2" x14ac:dyDescent="0.35">
      <c r="A155">
        <f>IF(ISNUMBER(Competitors!A155),Competitors!A155,"")</f>
        <v>1143</v>
      </c>
      <c r="B155" t="str">
        <f>IF(A155="","",CONCATENATE(VLOOKUP(A155,Competitors!$A$2:$I$650,3,FALSE)," ",VLOOKUP(A155,Competitors!$A$2:$I$650,2,FALSE)))</f>
        <v>Rob Pullen</v>
      </c>
    </row>
    <row r="156" spans="1:2" x14ac:dyDescent="0.35">
      <c r="A156">
        <f>IF(ISNUMBER(Competitors!A156),Competitors!A156,"")</f>
        <v>1401</v>
      </c>
      <c r="B156" t="str">
        <f>IF(A156="","",CONCATENATE(VLOOKUP(A156,Competitors!$A$2:$I$650,3,FALSE)," ",VLOOKUP(A156,Competitors!$A$2:$I$650,2,FALSE)))</f>
        <v>Catriona Purdon</v>
      </c>
    </row>
    <row r="157" spans="1:2" x14ac:dyDescent="0.35">
      <c r="A157">
        <f>IF(ISNUMBER(Competitors!A157),Competitors!A157,"")</f>
        <v>1285</v>
      </c>
      <c r="B157" t="str">
        <f>IF(A157="","",CONCATENATE(VLOOKUP(A157,Competitors!$A$2:$I$650,3,FALSE)," ",VLOOKUP(A157,Competitors!$A$2:$I$650,2,FALSE)))</f>
        <v>Chris Ramsdale</v>
      </c>
    </row>
    <row r="158" spans="1:2" x14ac:dyDescent="0.35">
      <c r="A158">
        <f>IF(ISNUMBER(Competitors!A158),Competitors!A158,"")</f>
        <v>38</v>
      </c>
      <c r="B158" t="str">
        <f>IF(A158="","",CONCATENATE(VLOOKUP(A158,Competitors!$A$2:$I$650,3,FALSE)," ",VLOOKUP(A158,Competitors!$A$2:$I$650,2,FALSE)))</f>
        <v>Phil Rayner</v>
      </c>
    </row>
    <row r="159" spans="1:2" x14ac:dyDescent="0.35">
      <c r="A159">
        <f>IF(ISNUMBER(Competitors!A159),Competitors!A159,"")</f>
        <v>245</v>
      </c>
      <c r="B159" t="str">
        <f>IF(A159="","",CONCATENATE(VLOOKUP(A159,Competitors!$A$2:$I$650,3,FALSE)," ",VLOOKUP(A159,Competitors!$A$2:$I$650,2,FALSE)))</f>
        <v>David Reay</v>
      </c>
    </row>
    <row r="160" spans="1:2" x14ac:dyDescent="0.35">
      <c r="A160">
        <f>IF(ISNUMBER(Competitors!A160),Competitors!A160,"")</f>
        <v>39</v>
      </c>
      <c r="B160" t="str">
        <f>IF(A160="","",CONCATENATE(VLOOKUP(A160,Competitors!$A$2:$I$650,3,FALSE)," ",VLOOKUP(A160,Competitors!$A$2:$I$650,2,FALSE)))</f>
        <v>Michael Reay</v>
      </c>
    </row>
    <row r="161" spans="1:2" x14ac:dyDescent="0.35">
      <c r="A161">
        <f>IF(ISNUMBER(Competitors!A161),Competitors!A161,"")</f>
        <v>508</v>
      </c>
      <c r="B161" t="str">
        <f>IF(A161="","",CONCATENATE(VLOOKUP(A161,Competitors!$A$2:$I$650,3,FALSE)," ",VLOOKUP(A161,Competitors!$A$2:$I$650,2,FALSE)))</f>
        <v>Peter Riley</v>
      </c>
    </row>
    <row r="162" spans="1:2" x14ac:dyDescent="0.35">
      <c r="A162">
        <f>IF(ISNUMBER(Competitors!A162),Competitors!A162,"")</f>
        <v>1392</v>
      </c>
      <c r="B162" t="str">
        <f>IF(A162="","",CONCATENATE(VLOOKUP(A162,Competitors!$A$2:$I$650,3,FALSE)," ",VLOOKUP(A162,Competitors!$A$2:$I$650,2,FALSE)))</f>
        <v>Sarah Robinson</v>
      </c>
    </row>
    <row r="163" spans="1:2" x14ac:dyDescent="0.35">
      <c r="A163">
        <f>IF(ISNUMBER(Competitors!A163),Competitors!A163,"")</f>
        <v>1141</v>
      </c>
      <c r="B163" t="str">
        <f>IF(A163="","",CONCATENATE(VLOOKUP(A163,Competitors!$A$2:$I$650,3,FALSE)," ",VLOOKUP(A163,Competitors!$A$2:$I$650,2,FALSE)))</f>
        <v>Judith Rout</v>
      </c>
    </row>
    <row r="164" spans="1:2" x14ac:dyDescent="0.35">
      <c r="A164">
        <f>IF(ISNUMBER(Competitors!A164),Competitors!A164,"")</f>
        <v>891</v>
      </c>
      <c r="B164" t="str">
        <f>IF(A164="","",CONCATENATE(VLOOKUP(A164,Competitors!$A$2:$I$650,3,FALSE)," ",VLOOKUP(A164,Competitors!$A$2:$I$650,2,FALSE)))</f>
        <v>Dawn Russell</v>
      </c>
    </row>
    <row r="165" spans="1:2" x14ac:dyDescent="0.35">
      <c r="A165">
        <f>IF(ISNUMBER(Competitors!A165),Competitors!A165,"")</f>
        <v>1352</v>
      </c>
      <c r="B165" t="str">
        <f>IF(A165="","",CONCATENATE(VLOOKUP(A165,Competitors!$A$2:$I$650,3,FALSE)," ",VLOOKUP(A165,Competitors!$A$2:$I$650,2,FALSE)))</f>
        <v>Ian Scoley</v>
      </c>
    </row>
    <row r="166" spans="1:2" x14ac:dyDescent="0.35">
      <c r="A166">
        <f>IF(ISNUMBER(Competitors!A166),Competitors!A166,"")</f>
        <v>1339</v>
      </c>
      <c r="B166" t="str">
        <f>IF(A166="","",CONCATENATE(VLOOKUP(A166,Competitors!$A$2:$I$650,3,FALSE)," ",VLOOKUP(A166,Competitors!$A$2:$I$650,2,FALSE)))</f>
        <v>Jack Shewring</v>
      </c>
    </row>
    <row r="167" spans="1:2" x14ac:dyDescent="0.35">
      <c r="A167">
        <f>IF(ISNUMBER(Competitors!A167),Competitors!A167,"")</f>
        <v>914</v>
      </c>
      <c r="B167" t="str">
        <f>IF(A167="","",CONCATENATE(VLOOKUP(A167,Competitors!$A$2:$I$650,3,FALSE)," ",VLOOKUP(A167,Competitors!$A$2:$I$650,2,FALSE)))</f>
        <v>Charlie Simpson</v>
      </c>
    </row>
    <row r="168" spans="1:2" x14ac:dyDescent="0.35">
      <c r="A168">
        <f>IF(ISNUMBER(Competitors!A168),Competitors!A168,"")</f>
        <v>597</v>
      </c>
      <c r="B168" t="str">
        <f>IF(A168="","",CONCATENATE(VLOOKUP(A168,Competitors!$A$2:$I$650,3,FALSE)," ",VLOOKUP(A168,Competitors!$A$2:$I$650,2,FALSE)))</f>
        <v>Trevor Shelley</v>
      </c>
    </row>
    <row r="169" spans="1:2" x14ac:dyDescent="0.35">
      <c r="A169">
        <f>IF(ISNUMBER(Competitors!A169),Competitors!A169,"")</f>
        <v>1038</v>
      </c>
      <c r="B169" t="str">
        <f>IF(A169="","",CONCATENATE(VLOOKUP(A169,Competitors!$A$2:$I$650,3,FALSE)," ",VLOOKUP(A169,Competitors!$A$2:$I$650,2,FALSE)))</f>
        <v>Paul Simpson</v>
      </c>
    </row>
    <row r="170" spans="1:2" x14ac:dyDescent="0.35">
      <c r="A170">
        <f>IF(ISNUMBER(Competitors!A170),Competitors!A170,"")</f>
        <v>1242</v>
      </c>
      <c r="B170" t="str">
        <f>IF(A170="","",CONCATENATE(VLOOKUP(A170,Competitors!$A$2:$I$650,3,FALSE)," ",VLOOKUP(A170,Competitors!$A$2:$I$650,2,FALSE)))</f>
        <v>Mike Sirett</v>
      </c>
    </row>
    <row r="171" spans="1:2" x14ac:dyDescent="0.35">
      <c r="A171">
        <f>IF(ISNUMBER(Competitors!A171),Competitors!A171,"")</f>
        <v>1048</v>
      </c>
      <c r="B171" t="str">
        <f>IF(A171="","",CONCATENATE(VLOOKUP(A171,Competitors!$A$2:$I$650,3,FALSE)," ",VLOOKUP(A171,Competitors!$A$2:$I$650,2,FALSE)))</f>
        <v>Andy Smith</v>
      </c>
    </row>
    <row r="172" spans="1:2" x14ac:dyDescent="0.35">
      <c r="A172">
        <f>IF(ISNUMBER(Competitors!A172),Competitors!A172,"")</f>
        <v>1055</v>
      </c>
      <c r="B172" t="str">
        <f>IF(A172="","",CONCATENATE(VLOOKUP(A172,Competitors!$A$2:$I$650,3,FALSE)," ",VLOOKUP(A172,Competitors!$A$2:$I$650,2,FALSE)))</f>
        <v>Austin Smith</v>
      </c>
    </row>
    <row r="173" spans="1:2" x14ac:dyDescent="0.35">
      <c r="A173">
        <f>IF(ISNUMBER(Competitors!A173),Competitors!A173,"")</f>
        <v>820</v>
      </c>
      <c r="B173" t="str">
        <f>IF(A173="","",CONCATENATE(VLOOKUP(A173,Competitors!$A$2:$I$650,3,FALSE)," ",VLOOKUP(A173,Competitors!$A$2:$I$650,2,FALSE)))</f>
        <v>Lucy Smith</v>
      </c>
    </row>
    <row r="174" spans="1:2" x14ac:dyDescent="0.35">
      <c r="A174">
        <f>IF(ISNUMBER(Competitors!A174),Competitors!A174,"")</f>
        <v>687</v>
      </c>
      <c r="B174" t="str">
        <f>IF(A174="","",CONCATENATE(VLOOKUP(A174,Competitors!$A$2:$I$650,3,FALSE)," ",VLOOKUP(A174,Competitors!$A$2:$I$650,2,FALSE)))</f>
        <v>Timothy Smith</v>
      </c>
    </row>
    <row r="175" spans="1:2" x14ac:dyDescent="0.35">
      <c r="A175">
        <f>IF(ISNUMBER(Competitors!A175),Competitors!A175,"")</f>
        <v>1410</v>
      </c>
      <c r="B175" t="str">
        <f>IF(A175="","",CONCATENATE(VLOOKUP(A175,Competitors!$A$2:$I$650,3,FALSE)," ",VLOOKUP(A175,Competitors!$A$2:$I$650,2,FALSE)))</f>
        <v>Ryan Stuart</v>
      </c>
    </row>
    <row r="176" spans="1:2" x14ac:dyDescent="0.35">
      <c r="A176">
        <f>IF(ISNUMBER(Competitors!A176),Competitors!A176,"")</f>
        <v>1161</v>
      </c>
      <c r="B176" t="str">
        <f>IF(A176="","",CONCATENATE(VLOOKUP(A176,Competitors!$A$2:$I$650,3,FALSE)," ",VLOOKUP(A176,Competitors!$A$2:$I$650,2,FALSE)))</f>
        <v>Maciej Suchocki</v>
      </c>
    </row>
    <row r="177" spans="1:2" x14ac:dyDescent="0.35">
      <c r="A177">
        <f>IF(ISNUMBER(Competitors!A177),Competitors!A177,"")</f>
        <v>890</v>
      </c>
      <c r="B177" t="str">
        <f>IF(A177="","",CONCATENATE(VLOOKUP(A177,Competitors!$A$2:$I$650,3,FALSE)," ",VLOOKUP(A177,Competitors!$A$2:$I$650,2,FALSE)))</f>
        <v>Rowland Summerlin</v>
      </c>
    </row>
    <row r="178" spans="1:2" x14ac:dyDescent="0.35">
      <c r="A178">
        <f>IF(ISNUMBER(Competitors!A178),Competitors!A178,"")</f>
        <v>45</v>
      </c>
      <c r="B178" t="str">
        <f>IF(A178="","",CONCATENATE(VLOOKUP(A178,Competitors!$A$2:$I$650,3,FALSE)," ",VLOOKUP(A178,Competitors!$A$2:$I$650,2,FALSE)))</f>
        <v>Ray Taylor</v>
      </c>
    </row>
    <row r="179" spans="1:2" x14ac:dyDescent="0.35">
      <c r="A179">
        <f>IF(ISNUMBER(Competitors!A179),Competitors!A179,"")</f>
        <v>1160</v>
      </c>
      <c r="B179" t="str">
        <f>IF(A179="","",CONCATENATE(VLOOKUP(A179,Competitors!$A$2:$I$650,3,FALSE)," ",VLOOKUP(A179,Competitors!$A$2:$I$650,2,FALSE)))</f>
        <v>Rhys Thomas</v>
      </c>
    </row>
    <row r="180" spans="1:2" x14ac:dyDescent="0.35">
      <c r="A180">
        <f>IF(ISNUMBER(Competitors!A180),Competitors!A180,"")</f>
        <v>945</v>
      </c>
      <c r="B180" t="str">
        <f>IF(A180="","",CONCATENATE(VLOOKUP(A180,Competitors!$A$2:$I$650,3,FALSE)," ",VLOOKUP(A180,Competitors!$A$2:$I$650,2,FALSE)))</f>
        <v>George Timmins</v>
      </c>
    </row>
    <row r="181" spans="1:2" x14ac:dyDescent="0.35">
      <c r="A181">
        <f>IF(ISNUMBER(Competitors!A181),Competitors!A181,"")</f>
        <v>813</v>
      </c>
      <c r="B181" t="str">
        <f>IF(A181="","",CONCATENATE(VLOOKUP(A181,Competitors!$A$2:$I$650,3,FALSE)," ",VLOOKUP(A181,Competitors!$A$2:$I$650,2,FALSE)))</f>
        <v>Dawn Timmins</v>
      </c>
    </row>
    <row r="182" spans="1:2" x14ac:dyDescent="0.35">
      <c r="A182">
        <f>IF(ISNUMBER(Competitors!A182),Competitors!A182,"")</f>
        <v>812</v>
      </c>
      <c r="B182" t="str">
        <f>IF(A182="","",CONCATENATE(VLOOKUP(A182,Competitors!$A$2:$I$650,3,FALSE)," ",VLOOKUP(A182,Competitors!$A$2:$I$650,2,FALSE)))</f>
        <v>Gavin Timmins</v>
      </c>
    </row>
    <row r="183" spans="1:2" x14ac:dyDescent="0.35">
      <c r="A183">
        <f>IF(ISNUMBER(Competitors!A183),Competitors!A183,"")</f>
        <v>1129</v>
      </c>
      <c r="B183" t="str">
        <f>IF(A183="","",CONCATENATE(VLOOKUP(A183,Competitors!$A$2:$I$650,3,FALSE)," ",VLOOKUP(A183,Competitors!$A$2:$I$650,2,FALSE)))</f>
        <v>Doug Tincello</v>
      </c>
    </row>
    <row r="184" spans="1:2" x14ac:dyDescent="0.35">
      <c r="A184">
        <f>IF(ISNUMBER(Competitors!A184),Competitors!A184,"")</f>
        <v>860</v>
      </c>
      <c r="B184" t="str">
        <f>IF(A184="","",CONCATENATE(VLOOKUP(A184,Competitors!$A$2:$I$650,3,FALSE)," ",VLOOKUP(A184,Competitors!$A$2:$I$650,2,FALSE)))</f>
        <v>Millie van Nierop</v>
      </c>
    </row>
    <row r="185" spans="1:2" x14ac:dyDescent="0.35">
      <c r="A185">
        <f>IF(ISNUMBER(Competitors!A185),Competitors!A185,"")</f>
        <v>756</v>
      </c>
      <c r="B185" t="str">
        <f>IF(A185="","",CONCATENATE(VLOOKUP(A185,Competitors!$A$2:$I$650,3,FALSE)," ",VLOOKUP(A185,Competitors!$A$2:$I$650,2,FALSE)))</f>
        <v>Josh van Nierop</v>
      </c>
    </row>
    <row r="186" spans="1:2" x14ac:dyDescent="0.35">
      <c r="A186">
        <f>IF(ISNUMBER(Competitors!A186),Competitors!A186,"")</f>
        <v>407</v>
      </c>
      <c r="B186" t="str">
        <f>IF(A186="","",CONCATENATE(VLOOKUP(A186,Competitors!$A$2:$I$650,3,FALSE)," ",VLOOKUP(A186,Competitors!$A$2:$I$650,2,FALSE)))</f>
        <v>Hans van Nierop</v>
      </c>
    </row>
    <row r="187" spans="1:2" x14ac:dyDescent="0.35">
      <c r="A187">
        <f>IF(ISNUMBER(Competitors!A187),Competitors!A187,"")</f>
        <v>1312</v>
      </c>
      <c r="B187" t="str">
        <f>IF(A187="","",CONCATENATE(VLOOKUP(A187,Competitors!$A$2:$I$650,3,FALSE)," ",VLOOKUP(A187,Competitors!$A$2:$I$650,2,FALSE)))</f>
        <v>Judith Waddington</v>
      </c>
    </row>
    <row r="188" spans="1:2" x14ac:dyDescent="0.35">
      <c r="A188">
        <f>IF(ISNUMBER(Competitors!A188),Competitors!A188,"")</f>
        <v>935</v>
      </c>
      <c r="B188" t="str">
        <f>IF(A188="","",CONCATENATE(VLOOKUP(A188,Competitors!$A$2:$I$650,3,FALSE)," ",VLOOKUP(A188,Competitors!$A$2:$I$650,2,FALSE)))</f>
        <v>Sophie Ward</v>
      </c>
    </row>
    <row r="189" spans="1:2" x14ac:dyDescent="0.35">
      <c r="A189">
        <f>IF(ISNUMBER(Competitors!A189),Competitors!A189,"")</f>
        <v>999</v>
      </c>
      <c r="B189" t="str">
        <f>IF(A189="","",CONCATENATE(VLOOKUP(A189,Competitors!$A$2:$I$650,3,FALSE)," ",VLOOKUP(A189,Competitors!$A$2:$I$650,2,FALSE)))</f>
        <v>Abigail Ward</v>
      </c>
    </row>
    <row r="190" spans="1:2" x14ac:dyDescent="0.35">
      <c r="A190">
        <f>IF(ISNUMBER(Competitors!A190),Competitors!A190,"")</f>
        <v>998</v>
      </c>
      <c r="B190" t="str">
        <f>IF(A190="","",CONCATENATE(VLOOKUP(A190,Competitors!$A$2:$I$650,3,FALSE)," ",VLOOKUP(A190,Competitors!$A$2:$I$650,2,FALSE)))</f>
        <v>Debbie Ward</v>
      </c>
    </row>
    <row r="191" spans="1:2" x14ac:dyDescent="0.35">
      <c r="A191">
        <f>IF(ISNUMBER(Competitors!A191),Competitors!A191,"")</f>
        <v>616</v>
      </c>
      <c r="B191" t="str">
        <f>IF(A191="","",CONCATENATE(VLOOKUP(A191,Competitors!$A$2:$I$650,3,FALSE)," ",VLOOKUP(A191,Competitors!$A$2:$I$650,2,FALSE)))</f>
        <v>Simon Ward</v>
      </c>
    </row>
    <row r="192" spans="1:2" x14ac:dyDescent="0.35">
      <c r="A192">
        <f>IF(ISNUMBER(Competitors!A192),Competitors!A192,"")</f>
        <v>558</v>
      </c>
      <c r="B192" t="str">
        <f>IF(A192="","",CONCATENATE(VLOOKUP(A192,Competitors!$A$2:$I$650,3,FALSE)," ",VLOOKUP(A192,Competitors!$A$2:$I$650,2,FALSE)))</f>
        <v>Andrew Weatherby</v>
      </c>
    </row>
    <row r="193" spans="1:2" x14ac:dyDescent="0.35">
      <c r="A193">
        <f>IF(ISNUMBER(Competitors!A193),Competitors!A193,"")</f>
        <v>991</v>
      </c>
      <c r="B193" t="str">
        <f>IF(A193="","",CONCATENATE(VLOOKUP(A193,Competitors!$A$2:$I$650,3,FALSE)," ",VLOOKUP(A193,Competitors!$A$2:$I$650,2,FALSE)))</f>
        <v>Eleanor Webber</v>
      </c>
    </row>
    <row r="194" spans="1:2" x14ac:dyDescent="0.35">
      <c r="A194">
        <f>IF(ISNUMBER(Competitors!A194),Competitors!A194,"")</f>
        <v>359</v>
      </c>
      <c r="B194" t="str">
        <f>IF(A194="","",CONCATENATE(VLOOKUP(A194,Competitors!$A$2:$I$650,3,FALSE)," ",VLOOKUP(A194,Competitors!$A$2:$I$650,2,FALSE)))</f>
        <v>John Welsford</v>
      </c>
    </row>
    <row r="195" spans="1:2" x14ac:dyDescent="0.35">
      <c r="A195">
        <f>IF(ISNUMBER(Competitors!A195),Competitors!A195,"")</f>
        <v>1310</v>
      </c>
      <c r="B195" t="str">
        <f>IF(A195="","",CONCATENATE(VLOOKUP(A195,Competitors!$A$2:$I$650,3,FALSE)," ",VLOOKUP(A195,Competitors!$A$2:$I$650,2,FALSE)))</f>
        <v>Thomas Weston</v>
      </c>
    </row>
    <row r="196" spans="1:2" x14ac:dyDescent="0.35">
      <c r="A196">
        <f>IF(ISNUMBER(Competitors!A196),Competitors!A196,"")</f>
        <v>1200</v>
      </c>
      <c r="B196" t="str">
        <f>IF(A196="","",CONCATENATE(VLOOKUP(A196,Competitors!$A$2:$I$650,3,FALSE)," ",VLOOKUP(A196,Competitors!$A$2:$I$650,2,FALSE)))</f>
        <v>Jules Wilks</v>
      </c>
    </row>
    <row r="197" spans="1:2" x14ac:dyDescent="0.35">
      <c r="A197">
        <f>IF(ISNUMBER(Competitors!A197),Competitors!A197,"")</f>
        <v>1411</v>
      </c>
      <c r="B197" t="str">
        <f>IF(A197="","",CONCATENATE(VLOOKUP(A197,Competitors!$A$2:$I$650,3,FALSE)," ",VLOOKUP(A197,Competitors!$A$2:$I$650,2,FALSE)))</f>
        <v>Anne Wilks</v>
      </c>
    </row>
    <row r="198" spans="1:2" x14ac:dyDescent="0.35">
      <c r="A198">
        <f>IF(ISNUMBER(Competitors!A198),Competitors!A198,"")</f>
        <v>1412</v>
      </c>
      <c r="B198" t="str">
        <f>IF(A198="","",CONCATENATE(VLOOKUP(A198,Competitors!$A$2:$I$650,3,FALSE)," ",VLOOKUP(A198,Competitors!$A$2:$I$650,2,FALSE)))</f>
        <v>Fie Wilks</v>
      </c>
    </row>
    <row r="199" spans="1:2" x14ac:dyDescent="0.35">
      <c r="A199">
        <f>IF(ISNUMBER(Competitors!A199),Competitors!A199,"")</f>
        <v>1413</v>
      </c>
      <c r="B199" t="str">
        <f>IF(A199="","",CONCATENATE(VLOOKUP(A199,Competitors!$A$2:$I$650,3,FALSE)," ",VLOOKUP(A199,Competitors!$A$2:$I$650,2,FALSE)))</f>
        <v>Toby Wilks</v>
      </c>
    </row>
    <row r="200" spans="1:2" x14ac:dyDescent="0.35">
      <c r="A200">
        <f>IF(ISNUMBER(Competitors!A200),Competitors!A200,"")</f>
        <v>1376</v>
      </c>
      <c r="B200" t="str">
        <f>IF(A200="","",CONCATENATE(VLOOKUP(A200,Competitors!$A$2:$I$650,3,FALSE)," ",VLOOKUP(A200,Competitors!$A$2:$I$650,2,FALSE)))</f>
        <v>Sally Will</v>
      </c>
    </row>
    <row r="201" spans="1:2" x14ac:dyDescent="0.35">
      <c r="A201">
        <f>IF(ISNUMBER(Competitors!A201),Competitors!A201,"")</f>
        <v>1140</v>
      </c>
      <c r="B201" t="str">
        <f>IF(A201="","",CONCATENATE(VLOOKUP(A201,Competitors!$A$2:$I$650,3,FALSE)," ",VLOOKUP(A201,Competitors!$A$2:$I$650,2,FALSE)))</f>
        <v>Kevin Willett</v>
      </c>
    </row>
    <row r="202" spans="1:2" x14ac:dyDescent="0.35">
      <c r="A202">
        <f>IF(ISNUMBER(Competitors!A202),Competitors!A202,"")</f>
        <v>989</v>
      </c>
      <c r="B202" t="str">
        <f>IF(A202="","",CONCATENATE(VLOOKUP(A202,Competitors!$A$2:$I$650,3,FALSE)," ",VLOOKUP(A202,Competitors!$A$2:$I$650,2,FALSE)))</f>
        <v>Jason Williams</v>
      </c>
    </row>
    <row r="203" spans="1:2" x14ac:dyDescent="0.35">
      <c r="A203">
        <f>IF(ISNUMBER(Competitors!A203),Competitors!A203,"")</f>
        <v>1417</v>
      </c>
      <c r="B203" t="str">
        <f>IF(A203="","",CONCATENATE(VLOOKUP(A203,Competitors!$A$2:$I$650,3,FALSE)," ",VLOOKUP(A203,Competitors!$A$2:$I$650,2,FALSE)))</f>
        <v>Michelle Wilson</v>
      </c>
    </row>
    <row r="204" spans="1:2" x14ac:dyDescent="0.35">
      <c r="A204">
        <f>IF(ISNUMBER(Competitors!A204),Competitors!A204,"")</f>
        <v>52</v>
      </c>
      <c r="B204" t="str">
        <f>IF(A204="","",CONCATENATE(VLOOKUP(A204,Competitors!$A$2:$I$650,3,FALSE)," ",VLOOKUP(A204,Competitors!$A$2:$I$650,2,FALSE)))</f>
        <v>Will Wise</v>
      </c>
    </row>
    <row r="205" spans="1:2" x14ac:dyDescent="0.35">
      <c r="A205">
        <f>IF(ISNUMBER(Competitors!A205),Competitors!A205,"")</f>
        <v>62</v>
      </c>
      <c r="B205" t="str">
        <f>IF(A205="","",CONCATENATE(VLOOKUP(A205,Competitors!$A$2:$I$650,3,FALSE)," ",VLOOKUP(A205,Competitors!$A$2:$I$650,2,FALSE)))</f>
        <v>David Wilson</v>
      </c>
    </row>
    <row r="206" spans="1:2" x14ac:dyDescent="0.35">
      <c r="A206">
        <f>IF(ISNUMBER(Competitors!A206),Competitors!A206,"")</f>
        <v>930</v>
      </c>
      <c r="B206" t="str">
        <f>IF(A206="","",CONCATENATE(VLOOKUP(A206,Competitors!$A$2:$I$650,3,FALSE)," ",VLOOKUP(A206,Competitors!$A$2:$I$650,2,FALSE)))</f>
        <v>Catherine Wintersgill</v>
      </c>
    </row>
    <row r="207" spans="1:2" x14ac:dyDescent="0.35">
      <c r="A207">
        <f>IF(ISNUMBER(Competitors!A207),Competitors!A207,"")</f>
        <v>744</v>
      </c>
      <c r="B207" t="str">
        <f>IF(A207="","",CONCATENATE(VLOOKUP(A207,Competitors!$A$2:$I$650,3,FALSE)," ",VLOOKUP(A207,Competitors!$A$2:$I$650,2,FALSE)))</f>
        <v>Robert Woodford</v>
      </c>
    </row>
    <row r="208" spans="1:2" x14ac:dyDescent="0.35">
      <c r="A208">
        <f>IF(ISNUMBER(Competitors!A208),Competitors!A208,"")</f>
        <v>337</v>
      </c>
      <c r="B208" t="str">
        <f>IF(A208="","",CONCATENATE(VLOOKUP(A208,Competitors!$A$2:$I$650,3,FALSE)," ",VLOOKUP(A208,Competitors!$A$2:$I$650,2,FALSE)))</f>
        <v>Linda Yarnold</v>
      </c>
    </row>
    <row r="209" spans="1:2" x14ac:dyDescent="0.35">
      <c r="A209" t="str">
        <f>IF(ISNUMBER(Competitors!A209),Competitors!A209,"")</f>
        <v/>
      </c>
      <c r="B209" t="str">
        <f>IF(A209="","",CONCATENATE(VLOOKUP(A209,Competitors!$A$2:$I$650,3,FALSE)," ",VLOOKUP(A209,Competitors!$A$2:$I$650,2,FALSE)))</f>
        <v/>
      </c>
    </row>
    <row r="210" spans="1:2" x14ac:dyDescent="0.35">
      <c r="A210" t="str">
        <f>IF(ISNUMBER(Competitors!A210),Competitors!A210,"")</f>
        <v/>
      </c>
      <c r="B210" t="str">
        <f>IF(A210="","",CONCATENATE(VLOOKUP(A210,Competitors!$A$2:$I$650,3,FALSE)," ",VLOOKUP(A210,Competitors!$A$2:$I$650,2,FALSE)))</f>
        <v/>
      </c>
    </row>
    <row r="211" spans="1:2" x14ac:dyDescent="0.35">
      <c r="A211" t="str">
        <f>IF(ISNUMBER(Competitors!A211),Competitors!A211,"")</f>
        <v/>
      </c>
      <c r="B211" t="str">
        <f>IF(A211="","",CONCATENATE(VLOOKUP(A211,Competitors!$A$2:$I$650,3,FALSE)," ",VLOOKUP(A211,Competitors!$A$2:$I$650,2,FALSE)))</f>
        <v/>
      </c>
    </row>
    <row r="212" spans="1:2" x14ac:dyDescent="0.35">
      <c r="A212" t="str">
        <f>IF(ISNUMBER(Competitors!A212),Competitors!A212,"")</f>
        <v/>
      </c>
      <c r="B212" t="str">
        <f>IF(A212="","",CONCATENATE(VLOOKUP(A212,Competitors!$A$2:$I$650,3,FALSE)," ",VLOOKUP(A212,Competitors!$A$2:$I$650,2,FALSE)))</f>
        <v/>
      </c>
    </row>
    <row r="213" spans="1:2" x14ac:dyDescent="0.35">
      <c r="A213" t="str">
        <f>IF(ISNUMBER(Competitors!A213),Competitors!A213,"")</f>
        <v/>
      </c>
      <c r="B213" t="str">
        <f>IF(A213="","",CONCATENATE(VLOOKUP(A213,Competitors!$A$2:$I$650,3,FALSE)," ",VLOOKUP(A213,Competitors!$A$2:$I$650,2,FALSE)))</f>
        <v/>
      </c>
    </row>
    <row r="214" spans="1:2" x14ac:dyDescent="0.35">
      <c r="A214" t="str">
        <f>IF(ISNUMBER(Competitors!A214),Competitors!A214,"")</f>
        <v/>
      </c>
      <c r="B214" t="str">
        <f>IF(A214="","",CONCATENATE(VLOOKUP(A214,Competitors!$A$2:$I$650,3,FALSE)," ",VLOOKUP(A214,Competitors!$A$2:$I$650,2,FALSE)))</f>
        <v/>
      </c>
    </row>
    <row r="215" spans="1:2" x14ac:dyDescent="0.35">
      <c r="A215" t="str">
        <f>IF(ISNUMBER(Competitors!A215),Competitors!A215,"")</f>
        <v/>
      </c>
      <c r="B215" t="str">
        <f>IF(A215="","",CONCATENATE(VLOOKUP(A215,Competitors!$A$2:$I$650,3,FALSE)," ",VLOOKUP(A215,Competitors!$A$2:$I$650,2,FALSE)))</f>
        <v/>
      </c>
    </row>
    <row r="216" spans="1:2" x14ac:dyDescent="0.35">
      <c r="A216" t="str">
        <f>IF(ISNUMBER(Competitors!A216),Competitors!A216,"")</f>
        <v/>
      </c>
      <c r="B216" t="str">
        <f>IF(A216="","",CONCATENATE(VLOOKUP(A216,Competitors!$A$2:$I$650,3,FALSE)," ",VLOOKUP(A216,Competitors!$A$2:$I$650,2,FALSE)))</f>
        <v/>
      </c>
    </row>
    <row r="217" spans="1:2" x14ac:dyDescent="0.35">
      <c r="A217" t="str">
        <f>IF(ISNUMBER(Competitors!A217),Competitors!A217,"")</f>
        <v/>
      </c>
      <c r="B217" t="str">
        <f>IF(A217="","",CONCATENATE(VLOOKUP(A217,Competitors!$A$2:$I$650,3,FALSE)," ",VLOOKUP(A217,Competitors!$A$2:$I$650,2,FALSE)))</f>
        <v/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385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384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354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356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355</v>
      </c>
      <c r="E8"/>
      <c r="F8" s="39">
        <f>5+5</f>
        <v>10</v>
      </c>
      <c r="G8" t="s">
        <v>357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369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371</v>
      </c>
      <c r="E14" t="s">
        <v>387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372</v>
      </c>
      <c r="E15" t="s">
        <v>386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373</v>
      </c>
      <c r="E16" t="s">
        <v>84</v>
      </c>
      <c r="F16">
        <v>10</v>
      </c>
      <c r="G16" t="s">
        <v>359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374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375</v>
      </c>
      <c r="E18" t="s">
        <v>388</v>
      </c>
      <c r="F18">
        <v>10</v>
      </c>
      <c r="G18" t="s">
        <v>360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374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376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375</v>
      </c>
      <c r="E21" t="s">
        <v>388</v>
      </c>
      <c r="F21">
        <v>10</v>
      </c>
      <c r="G21" t="s">
        <v>360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371</v>
      </c>
      <c r="E22" t="s">
        <v>387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377</v>
      </c>
      <c r="E23" t="s">
        <v>386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373</v>
      </c>
      <c r="E24" t="s">
        <v>84</v>
      </c>
      <c r="F24">
        <v>9.4</v>
      </c>
      <c r="G24" t="s">
        <v>359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376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358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370</v>
      </c>
      <c r="F27" s="7">
        <v>0.88</v>
      </c>
      <c r="G27" s="8" t="s">
        <v>361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368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5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380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409</v>
      </c>
      <c r="B4" t="s">
        <v>81</v>
      </c>
      <c r="C4" s="46" t="str">
        <f t="shared" si="0"/>
        <v>Jayne Mumford (W) (Cov Tri)</v>
      </c>
      <c r="D4" t="s">
        <v>14</v>
      </c>
      <c r="H4" t="s">
        <v>406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392</v>
      </c>
      <c r="B6" t="s">
        <v>387</v>
      </c>
      <c r="C6" s="46" t="str">
        <f t="shared" si="0"/>
        <v>Andy Thomas (HCRC)</v>
      </c>
    </row>
    <row r="7" spans="1:8" ht="14.25" x14ac:dyDescent="0.45">
      <c r="A7" t="s">
        <v>393</v>
      </c>
      <c r="B7" t="s">
        <v>387</v>
      </c>
      <c r="C7" s="46" t="str">
        <f t="shared" si="0"/>
        <v>Colin Parkinson (SWRC) (HCRC)</v>
      </c>
    </row>
    <row r="8" spans="1:8" ht="14.25" x14ac:dyDescent="0.45">
      <c r="A8" t="s">
        <v>390</v>
      </c>
      <c r="B8" t="s">
        <v>387</v>
      </c>
      <c r="C8" s="46" t="str">
        <f t="shared" si="0"/>
        <v>Joe Murray (M I Racing) (HCRC)</v>
      </c>
    </row>
    <row r="9" spans="1:8" ht="14.25" x14ac:dyDescent="0.45">
      <c r="A9" t="s">
        <v>394</v>
      </c>
      <c r="B9" t="s">
        <v>387</v>
      </c>
      <c r="C9" s="46" t="str">
        <f t="shared" si="0"/>
        <v>Mick Wills (M I Racing) (HCRC)</v>
      </c>
    </row>
    <row r="10" spans="1:8" ht="14.25" x14ac:dyDescent="0.45">
      <c r="A10" t="s">
        <v>396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395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410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404</v>
      </c>
      <c r="B24" t="s">
        <v>405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388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388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388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388</v>
      </c>
      <c r="C29" s="46" t="str">
        <f t="shared" si="0"/>
        <v>Chris Spray (Ratae)</v>
      </c>
    </row>
    <row r="30" spans="1:4" ht="14.25" x14ac:dyDescent="0.45">
      <c r="A30" t="s">
        <v>407</v>
      </c>
      <c r="B30" t="s">
        <v>388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388</v>
      </c>
      <c r="C31" s="46" t="str">
        <f t="shared" si="0"/>
        <v>Ed Watson (Ratae)</v>
      </c>
    </row>
    <row r="32" spans="1:4" ht="14.25" x14ac:dyDescent="0.45">
      <c r="A32" t="s">
        <v>403</v>
      </c>
      <c r="B32" t="s">
        <v>388</v>
      </c>
      <c r="C32" s="46" t="str">
        <f t="shared" si="0"/>
        <v>Jonathon Clarke (Ratae)</v>
      </c>
      <c r="D32" s="46"/>
    </row>
    <row r="33" spans="1:4" ht="14.25" x14ac:dyDescent="0.45">
      <c r="A33" t="s">
        <v>408</v>
      </c>
      <c r="B33" t="s">
        <v>388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388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388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388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388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388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388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397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398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399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400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401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391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402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8">
        <v>43</v>
      </c>
      <c r="E2" s="18">
        <v>1</v>
      </c>
      <c r="F2" s="18" t="s">
        <v>474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v>1194</v>
      </c>
      <c r="C3" s="17"/>
      <c r="D3" s="18">
        <v>33</v>
      </c>
      <c r="E3" s="18">
        <v>41</v>
      </c>
      <c r="F3" s="18" t="s">
        <v>474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8">
        <v>35</v>
      </c>
      <c r="E4" s="18">
        <v>37</v>
      </c>
      <c r="F4" s="18" t="s">
        <v>474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460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461</v>
      </c>
      <c r="B6" s="41">
        <v>1355</v>
      </c>
      <c r="C6" s="17"/>
      <c r="D6" s="18">
        <v>26</v>
      </c>
      <c r="E6" s="18">
        <v>29</v>
      </c>
      <c r="F6" s="18" t="s">
        <v>474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8">
        <v>28</v>
      </c>
      <c r="E7" s="18">
        <v>22</v>
      </c>
      <c r="F7" s="18" t="s">
        <v>474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464</v>
      </c>
      <c r="B9" s="41">
        <v>1107</v>
      </c>
      <c r="C9" s="17"/>
      <c r="D9" s="18">
        <v>29</v>
      </c>
      <c r="E9" s="18">
        <v>43</v>
      </c>
      <c r="F9" s="18" t="s">
        <v>474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8">
        <v>31</v>
      </c>
      <c r="E10" s="18">
        <v>7</v>
      </c>
      <c r="F10" s="18" t="s">
        <v>474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466</v>
      </c>
      <c r="B11" s="41">
        <v>1385</v>
      </c>
      <c r="C11" s="17"/>
      <c r="D11" s="18"/>
      <c r="E11" s="18"/>
      <c r="F11" s="18" t="s">
        <v>474</v>
      </c>
      <c r="G11" s="18" t="s">
        <v>475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8">
        <v>31</v>
      </c>
      <c r="E13" s="18">
        <v>30</v>
      </c>
      <c r="F13" s="18" t="s">
        <v>474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469</v>
      </c>
      <c r="B14" s="41">
        <v>1162</v>
      </c>
      <c r="C14" s="17"/>
      <c r="D14" s="18"/>
      <c r="E14" s="18"/>
      <c r="F14" s="18" t="s">
        <v>474</v>
      </c>
      <c r="G14" s="18" t="s">
        <v>475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470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8">
        <v>32</v>
      </c>
      <c r="E16" s="18">
        <v>12</v>
      </c>
      <c r="F16" s="18" t="s">
        <v>474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472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8">
        <v>28</v>
      </c>
      <c r="E18" s="18">
        <v>41</v>
      </c>
      <c r="F18" s="18" t="s">
        <v>474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478</v>
      </c>
      <c r="B19" s="41" t="s">
        <v>478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476</v>
      </c>
      <c r="B20" s="41">
        <v>245</v>
      </c>
      <c r="C20" s="17"/>
      <c r="D20" s="18">
        <v>32</v>
      </c>
      <c r="E20" s="18">
        <v>2</v>
      </c>
      <c r="F20" s="18" t="s">
        <v>474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477</v>
      </c>
      <c r="B21" s="41" t="s">
        <v>477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tabSelected="1" topLeftCell="A7" zoomScaleNormal="100" workbookViewId="0">
      <selection activeCell="A22" sqref="A22"/>
    </sheetView>
  </sheetViews>
  <sheetFormatPr defaultColWidth="9.1328125" defaultRowHeight="12.75" x14ac:dyDescent="0.35"/>
  <cols>
    <col min="1" max="1" width="20.796875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457</v>
      </c>
      <c r="B2" s="41"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479</v>
      </c>
      <c r="B3" s="41">
        <v>1404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0</v>
      </c>
      <c r="J3" t="str">
        <f t="shared" ref="J3:J66" si="1">IF(OR(B3="",ISNUMBER(B3)),"","X")</f>
        <v/>
      </c>
    </row>
    <row r="4" spans="1:10" ht="15" x14ac:dyDescent="0.4">
      <c r="A4" s="40" t="s">
        <v>459</v>
      </c>
      <c r="B4" s="41">
        <v>1298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0</v>
      </c>
      <c r="J4" t="str">
        <f t="shared" si="1"/>
        <v/>
      </c>
    </row>
    <row r="5" spans="1:10" ht="15" x14ac:dyDescent="0.4">
      <c r="A5" s="40" t="s">
        <v>480</v>
      </c>
      <c r="B5" s="41">
        <v>1055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0</v>
      </c>
      <c r="J5" t="str">
        <f t="shared" si="1"/>
        <v/>
      </c>
    </row>
    <row r="6" spans="1:10" ht="15" x14ac:dyDescent="0.4">
      <c r="A6" s="40" t="s">
        <v>481</v>
      </c>
      <c r="B6" s="41">
        <v>1152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462</v>
      </c>
      <c r="B7" s="41">
        <v>1407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0</v>
      </c>
      <c r="J7" t="str">
        <f t="shared" si="1"/>
        <v/>
      </c>
    </row>
    <row r="8" spans="1:10" ht="15" x14ac:dyDescent="0.4">
      <c r="A8" s="40" t="s">
        <v>463</v>
      </c>
      <c r="B8" s="41">
        <v>1418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0</v>
      </c>
      <c r="J8" t="str">
        <f t="shared" si="1"/>
        <v/>
      </c>
    </row>
    <row r="9" spans="1:10" ht="15" x14ac:dyDescent="0.4">
      <c r="A9" s="40" t="s">
        <v>482</v>
      </c>
      <c r="B9" s="41">
        <v>1112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0</v>
      </c>
      <c r="J9" t="str">
        <f t="shared" si="1"/>
        <v/>
      </c>
    </row>
    <row r="10" spans="1:10" ht="15" x14ac:dyDescent="0.4">
      <c r="A10" s="40" t="s">
        <v>465</v>
      </c>
      <c r="B10" s="41">
        <v>1403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460</v>
      </c>
      <c r="B11" s="41">
        <v>35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467</v>
      </c>
      <c r="B12" s="41">
        <v>616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468</v>
      </c>
      <c r="B13" s="41">
        <v>704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0</v>
      </c>
      <c r="J13" t="str">
        <f t="shared" si="1"/>
        <v/>
      </c>
    </row>
    <row r="14" spans="1:10" ht="15" x14ac:dyDescent="0.4">
      <c r="A14" s="40" t="s">
        <v>483</v>
      </c>
      <c r="B14" s="41">
        <v>1193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476</v>
      </c>
      <c r="B15" s="41">
        <v>245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471</v>
      </c>
      <c r="B16" s="41">
        <v>295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0</v>
      </c>
      <c r="J16" t="str">
        <f t="shared" si="1"/>
        <v/>
      </c>
    </row>
    <row r="17" spans="1:10" ht="15" x14ac:dyDescent="0.4">
      <c r="A17" s="40" t="s">
        <v>484</v>
      </c>
      <c r="B17" s="41">
        <v>989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0</v>
      </c>
      <c r="J17" t="str">
        <f t="shared" si="1"/>
        <v/>
      </c>
    </row>
    <row r="18" spans="1:10" ht="15" x14ac:dyDescent="0.4">
      <c r="A18" s="40" t="s">
        <v>473</v>
      </c>
      <c r="B18" s="41">
        <v>38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0</v>
      </c>
      <c r="J18" t="str">
        <f t="shared" si="1"/>
        <v/>
      </c>
    </row>
    <row r="19" spans="1:10" ht="15" x14ac:dyDescent="0.4">
      <c r="A19" s="40" t="s">
        <v>485</v>
      </c>
      <c r="B19" s="41">
        <v>1419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0</v>
      </c>
      <c r="J19" t="str">
        <f t="shared" si="1"/>
        <v/>
      </c>
    </row>
    <row r="20" spans="1:10" ht="15" x14ac:dyDescent="0.4">
      <c r="A20" s="40" t="s">
        <v>487</v>
      </c>
      <c r="B20" s="41">
        <v>564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488</v>
      </c>
      <c r="B21" s="41" t="s">
        <v>488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0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3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3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3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3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3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3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3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3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3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3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3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3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3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3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3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3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3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3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3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3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3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3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3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3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3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3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3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3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3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3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3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3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389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37</vt:i4>
      </vt:variant>
      <vt:variant>
        <vt:lpstr>Named Ranges</vt:lpstr>
      </vt:variant>
      <vt:variant>
        <vt:i4>13</vt:i4>
      </vt:variant>
    </vt:vector>
  </HeadingPairs>
  <TitlesOfParts>
    <vt:vector size="50" baseType="lpstr">
      <vt:lpstr>Revisions</vt:lpstr>
      <vt:lpstr>Competitors</vt:lpstr>
      <vt:lpstr>0307_competitors_2026</vt:lpstr>
      <vt:lpstr>0310_competitors_2026</vt:lpstr>
      <vt:lpstr>0321_competitors_2026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2026-03-28T17:08:35Z</dcterms:modified>
</cp:coreProperties>
</file>