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5D95F8B3-8FC9-4283-A981-77B5D633D043}" xr6:coauthVersionLast="47" xr6:coauthVersionMax="47" xr10:uidLastSave="{00000000-0000-0000-0000-000000000000}"/>
  <bookViews>
    <workbookView xWindow="-98" yWindow="-98" windowWidth="28996" windowHeight="17475" firstSheet="33" activeTab="34"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 i="16" l="1"/>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C104" i="35" s="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B20" i="34"/>
  <c r="I14" i="34"/>
  <c r="B14" i="34"/>
  <c r="I9" i="34"/>
  <c r="B9" i="34"/>
  <c r="I37" i="34"/>
  <c r="B37" i="34"/>
  <c r="I8" i="34"/>
  <c r="B8" i="34"/>
  <c r="I10" i="34"/>
  <c r="B10" i="34"/>
  <c r="I7" i="34"/>
  <c r="B7" i="34"/>
  <c r="I34" i="34"/>
  <c r="I23" i="34"/>
  <c r="B23" i="34"/>
  <c r="I29" i="34"/>
  <c r="B29" i="34"/>
  <c r="I31" i="34"/>
  <c r="I36" i="34"/>
  <c r="B36" i="34"/>
  <c r="I43" i="34"/>
  <c r="B43" i="34"/>
  <c r="I22" i="34"/>
  <c r="B22" i="34"/>
  <c r="I42" i="34"/>
  <c r="B42" i="34"/>
  <c r="I21" i="34"/>
  <c r="B21" i="34"/>
  <c r="I18" i="34"/>
  <c r="B18" i="34"/>
  <c r="I11" i="34"/>
  <c r="B11" i="34"/>
  <c r="I39" i="34"/>
  <c r="B39" i="34"/>
  <c r="I6" i="34"/>
  <c r="B6" i="34"/>
  <c r="I12" i="34"/>
  <c r="B12" i="34"/>
  <c r="I25" i="34"/>
  <c r="B25" i="34"/>
  <c r="I24" i="34"/>
  <c r="B24" i="34"/>
  <c r="I17" i="34"/>
  <c r="B17" i="34"/>
  <c r="I38" i="34"/>
  <c r="B38" i="34"/>
  <c r="I13" i="34"/>
  <c r="B13" i="34"/>
  <c r="I32" i="34"/>
  <c r="I15" i="34"/>
  <c r="B15" i="34"/>
  <c r="I45" i="34"/>
  <c r="B45" i="34"/>
  <c r="I3" i="34"/>
  <c r="B3" i="34"/>
  <c r="I5" i="34"/>
  <c r="B5" i="34"/>
  <c r="I2" i="34"/>
  <c r="B2" i="34"/>
  <c r="I16" i="34"/>
  <c r="B16" i="34"/>
  <c r="I19" i="34"/>
  <c r="B19" i="34"/>
  <c r="I44" i="34"/>
  <c r="B44" i="34"/>
  <c r="I41" i="34"/>
  <c r="B41" i="34"/>
  <c r="I30" i="34"/>
  <c r="B30" i="34"/>
  <c r="I28" i="34"/>
  <c r="B28" i="34"/>
  <c r="I26" i="34"/>
  <c r="B26" i="34"/>
  <c r="I33" i="34"/>
  <c r="B33" i="34"/>
  <c r="I4" i="34"/>
  <c r="B4" i="34"/>
  <c r="I40" i="34"/>
  <c r="B40" i="34"/>
  <c r="I35" i="34"/>
  <c r="B35" i="34"/>
  <c r="I27" i="34"/>
  <c r="B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B31" i="34" s="1"/>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6" i="18"/>
  <c r="I48" i="29"/>
  <c r="C59" i="18"/>
  <c r="I47" i="29"/>
  <c r="I46" i="29"/>
  <c r="C64" i="18"/>
  <c r="I45" i="29"/>
  <c r="I44" i="29"/>
  <c r="I43" i="29"/>
  <c r="I42" i="29"/>
  <c r="I41" i="29"/>
  <c r="I40" i="29"/>
  <c r="I39" i="29"/>
  <c r="I38" i="29"/>
  <c r="I37" i="29"/>
  <c r="I36" i="29"/>
  <c r="I35" i="29"/>
  <c r="I34" i="29"/>
  <c r="I33" i="29"/>
  <c r="I32" i="29"/>
  <c r="I31" i="29"/>
  <c r="I30" i="29"/>
  <c r="I29" i="29"/>
  <c r="I28" i="29"/>
  <c r="I27" i="29"/>
  <c r="I26" i="29"/>
  <c r="I25" i="29"/>
  <c r="I24" i="29"/>
  <c r="C43" i="18"/>
  <c r="B34" i="34" s="1"/>
  <c r="I23" i="29"/>
  <c r="I22" i="29"/>
  <c r="C33" i="18"/>
  <c r="I21" i="29"/>
  <c r="I20" i="29"/>
  <c r="I19" i="29"/>
  <c r="C38" i="18"/>
  <c r="I18" i="29"/>
  <c r="I17" i="29"/>
  <c r="I16" i="29"/>
  <c r="I15" i="29"/>
  <c r="I14" i="29"/>
  <c r="I13" i="29"/>
  <c r="I12" i="29"/>
  <c r="I11" i="29"/>
  <c r="I10" i="29"/>
  <c r="C34" i="18"/>
  <c r="I9" i="29"/>
  <c r="I8" i="29"/>
  <c r="I7" i="29"/>
  <c r="I6" i="29"/>
  <c r="I5" i="29"/>
  <c r="I4" i="29"/>
  <c r="I3" i="29"/>
  <c r="C40"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68" i="18"/>
  <c r="B32" i="34" s="1"/>
  <c r="C77" i="18"/>
  <c r="C76" i="18"/>
  <c r="C79" i="18"/>
  <c r="C78" i="18"/>
  <c r="C16" i="18"/>
  <c r="C19" i="18"/>
  <c r="C60" i="18"/>
  <c r="C71" i="18"/>
  <c r="C70" i="18"/>
  <c r="C18" i="18"/>
  <c r="C57" i="18"/>
  <c r="C74" i="18"/>
  <c r="C73" i="18"/>
  <c r="C72" i="18"/>
  <c r="C69" i="18"/>
  <c r="C67" i="18"/>
  <c r="C66" i="18"/>
  <c r="C65" i="18"/>
  <c r="C63" i="18"/>
  <c r="C62" i="18"/>
  <c r="C61" i="18"/>
  <c r="C58" i="18"/>
  <c r="C56" i="18"/>
  <c r="C55" i="18"/>
  <c r="C54" i="18"/>
  <c r="C53" i="18"/>
  <c r="C52" i="18"/>
  <c r="C51" i="18"/>
  <c r="C50" i="18"/>
  <c r="C49" i="18"/>
  <c r="C48" i="18"/>
  <c r="C47" i="18"/>
  <c r="C45" i="18"/>
  <c r="C44" i="18"/>
  <c r="C42" i="18"/>
  <c r="C41" i="18"/>
  <c r="C39" i="18"/>
  <c r="C37" i="18"/>
  <c r="C36" i="18"/>
  <c r="C35" i="18"/>
  <c r="C32" i="18"/>
  <c r="C31" i="18"/>
  <c r="C75" i="18"/>
  <c r="C30" i="18"/>
  <c r="C29" i="18"/>
  <c r="C28" i="18"/>
  <c r="C27" i="18"/>
  <c r="C26" i="18"/>
  <c r="C25" i="18"/>
  <c r="C24" i="18"/>
  <c r="C23" i="18"/>
  <c r="C22" i="18"/>
  <c r="C21" i="18"/>
  <c r="C20" i="18"/>
  <c r="C17"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23"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J32" i="33" s="1"/>
  <c r="H32" i="33" s="1"/>
  <c r="B50" i="32"/>
  <c r="J50" i="32" s="1"/>
  <c r="H50" i="32" s="1"/>
  <c r="B7" i="33"/>
  <c r="B36" i="32"/>
  <c r="J36" i="32" s="1"/>
  <c r="H36" i="32" s="1"/>
  <c r="B27" i="33"/>
  <c r="B26" i="33"/>
  <c r="B16" i="32"/>
  <c r="B42" i="32"/>
  <c r="J42" i="32" s="1"/>
  <c r="H42" i="32" s="1"/>
  <c r="B15" i="33"/>
  <c r="J15" i="33" s="1"/>
  <c r="H15" i="33" s="1"/>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s="1"/>
  <c r="H32" i="21" s="1"/>
  <c r="B35" i="32"/>
  <c r="J35" i="32" s="1"/>
  <c r="H35" i="32" s="1"/>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7" i="32"/>
  <c r="H47" i="32"/>
  <c r="J29" i="33"/>
  <c r="H29" i="33" s="1"/>
  <c r="J37" i="32"/>
  <c r="H37" i="32" s="1"/>
  <c r="J32" i="32"/>
  <c r="H32" i="32" s="1"/>
  <c r="J40" i="32"/>
  <c r="H40" i="32" s="1"/>
  <c r="J17" i="32"/>
  <c r="H17" i="32"/>
  <c r="J21" i="32"/>
  <c r="H21" i="32"/>
  <c r="J43" i="32"/>
  <c r="H43" i="32"/>
  <c r="J14" i="33"/>
  <c r="H14" i="33"/>
  <c r="J23" i="33"/>
  <c r="H23" i="33" s="1"/>
  <c r="J31" i="33"/>
  <c r="H31" i="33"/>
  <c r="J10" i="33"/>
  <c r="H10" i="33" s="1"/>
  <c r="J38" i="32"/>
  <c r="H38" i="32" s="1"/>
  <c r="J23" i="32"/>
  <c r="H23" i="32" s="1"/>
  <c r="J25" i="32"/>
  <c r="H25" i="32" s="1"/>
  <c r="J20" i="32"/>
  <c r="H20" i="32" s="1"/>
  <c r="J3" i="32"/>
  <c r="H3" i="32"/>
  <c r="J2" i="32"/>
  <c r="H2" i="32"/>
  <c r="J49" i="32"/>
  <c r="H49" i="32"/>
  <c r="J17" i="33"/>
  <c r="H17" i="33" s="1"/>
  <c r="J24" i="33"/>
  <c r="H24" i="33"/>
  <c r="J19" i="33"/>
  <c r="H19" i="33" s="1"/>
  <c r="J21" i="33"/>
  <c r="H21" i="33"/>
  <c r="J3" i="33"/>
  <c r="H3" i="33" s="1"/>
  <c r="J48" i="32"/>
  <c r="H48" i="32" s="1"/>
  <c r="J9" i="33"/>
  <c r="H9" i="33"/>
  <c r="J5" i="33"/>
  <c r="H5" i="33"/>
  <c r="J18" i="33"/>
  <c r="H18" i="33"/>
  <c r="J33" i="33"/>
  <c r="H33" i="33"/>
  <c r="J12" i="33"/>
  <c r="H12" i="33" s="1"/>
  <c r="J13" i="33"/>
  <c r="H13" i="33" s="1"/>
  <c r="J22" i="33"/>
  <c r="H22" i="33" s="1"/>
  <c r="J25" i="33"/>
  <c r="H25" i="33" s="1"/>
  <c r="J20" i="33"/>
  <c r="H20" i="33" s="1"/>
  <c r="J16" i="33"/>
  <c r="H16" i="33"/>
  <c r="J30" i="33"/>
  <c r="H30" i="33" s="1"/>
  <c r="J28" i="33"/>
  <c r="H28" i="33" s="1"/>
  <c r="J2" i="33"/>
  <c r="H2" i="33" s="1"/>
  <c r="J6" i="33"/>
  <c r="H6" i="33" s="1"/>
  <c r="J11" i="33"/>
  <c r="H11" i="33" s="1"/>
  <c r="J34" i="32"/>
  <c r="H34" i="32"/>
  <c r="J6" i="32"/>
  <c r="H6" i="32" s="1"/>
  <c r="J51" i="32"/>
  <c r="H51" i="32" s="1"/>
  <c r="J8" i="33"/>
  <c r="H8" i="33" s="1"/>
  <c r="J27" i="33"/>
  <c r="H27" i="33" s="1"/>
  <c r="J26" i="33"/>
  <c r="H26" i="33" s="1"/>
  <c r="J16" i="32"/>
  <c r="H16" i="32" s="1"/>
  <c r="J14" i="32"/>
  <c r="H14" i="32" s="1"/>
  <c r="J29" i="32"/>
  <c r="H29" i="32" s="1"/>
  <c r="J45" i="32"/>
  <c r="H45" i="32" s="1"/>
  <c r="J12" i="32"/>
  <c r="H12" i="32" s="1"/>
  <c r="J22" i="32"/>
  <c r="H22" i="32" s="1"/>
  <c r="J10" i="32"/>
  <c r="H10" i="32" s="1"/>
  <c r="J4" i="32"/>
  <c r="H4" i="32" s="1"/>
  <c r="H101" i="44" l="1"/>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J88" i="40"/>
  <c r="H88" i="40"/>
  <c r="J86" i="40"/>
  <c r="H86" i="40"/>
  <c r="H85" i="40"/>
  <c r="J85" i="40"/>
  <c r="J84" i="40"/>
  <c r="H84" i="40"/>
  <c r="J83" i="40"/>
  <c r="H83" i="40"/>
  <c r="H82" i="40"/>
  <c r="J82" i="40"/>
  <c r="J81" i="40"/>
  <c r="H81" i="40"/>
  <c r="J80" i="40"/>
  <c r="H80" i="40"/>
  <c r="H79" i="40"/>
  <c r="J79" i="40"/>
  <c r="J78" i="40"/>
  <c r="H78" i="40"/>
  <c r="J77" i="40"/>
  <c r="H77" i="40"/>
  <c r="J76" i="40"/>
  <c r="H76" i="40"/>
  <c r="J75" i="40"/>
  <c r="H75" i="40"/>
  <c r="J74" i="40"/>
  <c r="H74" i="40"/>
  <c r="J73" i="40"/>
  <c r="H73" i="40"/>
  <c r="H72" i="40"/>
  <c r="J72" i="40"/>
  <c r="J71" i="40"/>
  <c r="H71" i="40"/>
  <c r="J70" i="40"/>
  <c r="H70" i="40"/>
  <c r="J69" i="40"/>
  <c r="H69" i="40"/>
  <c r="H68" i="40"/>
  <c r="J68" i="40"/>
  <c r="H67" i="40"/>
  <c r="J67" i="40"/>
  <c r="J66" i="40"/>
  <c r="H66" i="40"/>
  <c r="H65" i="40"/>
  <c r="J65" i="40"/>
  <c r="H64" i="40"/>
  <c r="J64" i="40"/>
  <c r="J101" i="32"/>
  <c r="H101" i="32"/>
  <c r="J100" i="32"/>
  <c r="H100" i="32"/>
  <c r="J99" i="32"/>
  <c r="H99" i="32"/>
  <c r="H98" i="32"/>
  <c r="J98" i="32"/>
  <c r="J97" i="32"/>
  <c r="H97" i="32"/>
  <c r="J96" i="32"/>
  <c r="H96" i="32"/>
  <c r="H95" i="32"/>
  <c r="J95" i="32"/>
  <c r="J94" i="32"/>
  <c r="H94" i="32"/>
  <c r="H93" i="32"/>
  <c r="J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J70" i="32"/>
  <c r="H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J24" i="42"/>
  <c r="H24" i="42"/>
  <c r="H23" i="42"/>
  <c r="J23" i="42"/>
  <c r="H100" i="39"/>
  <c r="J100" i="39"/>
  <c r="H98" i="39"/>
  <c r="J98" i="39"/>
  <c r="H94" i="39"/>
  <c r="J94" i="39"/>
  <c r="H90" i="39"/>
  <c r="J90" i="39"/>
  <c r="H89" i="39"/>
  <c r="J89" i="39"/>
  <c r="H88" i="39"/>
  <c r="J88" i="39"/>
  <c r="H84" i="39"/>
  <c r="J84" i="39"/>
  <c r="H59" i="39"/>
  <c r="J59" i="39"/>
  <c r="H50" i="39"/>
  <c r="J50" i="39"/>
  <c r="H45" i="39"/>
  <c r="J45" i="39"/>
  <c r="J40" i="39"/>
  <c r="H40" i="39"/>
  <c r="H35" i="39"/>
  <c r="J35" i="39"/>
  <c r="H53" i="24"/>
  <c r="J53" i="24"/>
  <c r="J52" i="24"/>
  <c r="H52" i="24"/>
  <c r="H51" i="24"/>
  <c r="J51" i="24"/>
  <c r="H50" i="24"/>
  <c r="J50" i="24"/>
  <c r="J49" i="24"/>
  <c r="H49" i="24"/>
  <c r="H48" i="24"/>
  <c r="J48" i="24"/>
  <c r="H47" i="24"/>
  <c r="J47" i="24"/>
  <c r="J46" i="24"/>
  <c r="H46" i="24"/>
  <c r="H45" i="24"/>
  <c r="J45" i="24"/>
  <c r="J44" i="24"/>
  <c r="H44" i="24"/>
  <c r="J43" i="24"/>
  <c r="H43" i="24"/>
  <c r="J42" i="24"/>
  <c r="H42" i="24"/>
  <c r="J41" i="24"/>
  <c r="H41" i="24"/>
  <c r="J40" i="24"/>
  <c r="H40" i="24"/>
  <c r="J39" i="24"/>
  <c r="H39" i="24"/>
  <c r="H38" i="24"/>
  <c r="J38" i="24"/>
  <c r="H37" i="24"/>
  <c r="J37" i="24"/>
  <c r="H68" i="24"/>
  <c r="J68" i="24"/>
  <c r="H67" i="24"/>
  <c r="J67" i="24"/>
  <c r="J66" i="24"/>
  <c r="H66" i="24"/>
  <c r="J65" i="24"/>
  <c r="H65" i="24"/>
  <c r="J64" i="24"/>
  <c r="H64" i="24"/>
  <c r="J63" i="24"/>
  <c r="H63" i="24"/>
  <c r="H62" i="24"/>
  <c r="J62" i="24"/>
  <c r="J61" i="24"/>
  <c r="H61" i="24"/>
  <c r="H60" i="24"/>
  <c r="J60" i="24"/>
  <c r="H59" i="24"/>
  <c r="J59" i="24"/>
  <c r="J58" i="24"/>
  <c r="H58" i="24"/>
  <c r="J57" i="24"/>
  <c r="H57" i="24"/>
  <c r="J56" i="24"/>
  <c r="H56" i="24"/>
  <c r="J55" i="24"/>
  <c r="H55" i="24"/>
  <c r="J54" i="24"/>
  <c r="H54" i="24"/>
  <c r="H86" i="36"/>
  <c r="J86" i="36"/>
  <c r="J85" i="36"/>
  <c r="H85" i="36"/>
  <c r="J84" i="36"/>
  <c r="H84" i="36"/>
  <c r="J83" i="36"/>
  <c r="H83" i="36"/>
  <c r="H82" i="36"/>
  <c r="J82" i="36"/>
  <c r="J81" i="36"/>
  <c r="H81" i="36"/>
  <c r="H80" i="36"/>
  <c r="J80" i="36"/>
  <c r="H79" i="36"/>
  <c r="J79" i="36"/>
  <c r="J78" i="36"/>
  <c r="H78" i="36"/>
  <c r="J77" i="36"/>
  <c r="H77" i="36"/>
  <c r="J76" i="36"/>
  <c r="H76" i="36"/>
  <c r="J75" i="36"/>
  <c r="H75" i="36"/>
  <c r="H74" i="36"/>
  <c r="J74" i="36"/>
  <c r="H73" i="36"/>
  <c r="J73" i="36"/>
  <c r="J72" i="36"/>
  <c r="H72" i="36"/>
  <c r="H71" i="36"/>
  <c r="J71" i="36"/>
  <c r="H70" i="36"/>
  <c r="J70" i="36"/>
  <c r="H69" i="36"/>
  <c r="J69" i="36"/>
  <c r="H68" i="36"/>
  <c r="J68" i="36"/>
  <c r="J67" i="36"/>
  <c r="H67" i="36"/>
  <c r="H66" i="36"/>
  <c r="J66" i="36"/>
  <c r="H65" i="36"/>
  <c r="J65" i="36"/>
  <c r="J64" i="36"/>
  <c r="H64" i="36"/>
  <c r="H63" i="36"/>
  <c r="J63" i="36"/>
  <c r="H62" i="36"/>
  <c r="J62" i="36"/>
  <c r="H61" i="36"/>
  <c r="J61" i="36"/>
  <c r="J60" i="36"/>
  <c r="H60" i="36"/>
  <c r="J59" i="36"/>
  <c r="H59" i="36"/>
  <c r="J58" i="36"/>
  <c r="H58" i="36"/>
  <c r="H57" i="36"/>
  <c r="J57" i="36"/>
  <c r="J56" i="36"/>
  <c r="H56" i="36"/>
  <c r="H55" i="36"/>
  <c r="J55" i="36"/>
  <c r="J54" i="36"/>
  <c r="H54" i="36"/>
  <c r="H53" i="36"/>
  <c r="J53" i="36"/>
  <c r="H52" i="36"/>
  <c r="J52" i="36"/>
  <c r="J51" i="36"/>
  <c r="H51" i="36"/>
  <c r="H50" i="36"/>
  <c r="J50" i="36"/>
  <c r="H49" i="36"/>
  <c r="J49" i="36"/>
  <c r="H47" i="36"/>
  <c r="J47" i="36"/>
  <c r="H46" i="36"/>
  <c r="J46" i="36"/>
  <c r="H45" i="36"/>
  <c r="J45" i="36"/>
  <c r="H44" i="36"/>
  <c r="J44" i="36"/>
  <c r="H43" i="36"/>
  <c r="J43" i="36"/>
  <c r="H37" i="36"/>
  <c r="J37" i="36"/>
  <c r="J30" i="36"/>
  <c r="H30" i="36"/>
  <c r="J24" i="36"/>
  <c r="H24" i="36"/>
  <c r="H23" i="36"/>
  <c r="J23" i="36"/>
  <c r="J22" i="36"/>
  <c r="H22" i="36"/>
  <c r="J21" i="36"/>
  <c r="H21" i="36"/>
  <c r="H20" i="36"/>
  <c r="J20" i="36"/>
  <c r="H19" i="36"/>
  <c r="J19" i="36"/>
  <c r="H18" i="36"/>
  <c r="J18" i="36"/>
  <c r="J17" i="36"/>
  <c r="H17" i="36"/>
  <c r="J16" i="36"/>
  <c r="H16" i="36"/>
  <c r="H15" i="36"/>
  <c r="J15" i="36"/>
  <c r="H14" i="36"/>
  <c r="J14" i="36"/>
  <c r="J13" i="36"/>
  <c r="H13" i="36"/>
  <c r="H12" i="36"/>
  <c r="J12" i="36"/>
  <c r="J11" i="36"/>
  <c r="H11" i="36"/>
  <c r="J10" i="36"/>
  <c r="H10" i="36"/>
  <c r="H9" i="36"/>
  <c r="J9" i="36"/>
  <c r="J8" i="36"/>
  <c r="H8" i="36"/>
  <c r="J7" i="36"/>
  <c r="H7" i="36"/>
  <c r="H6" i="36"/>
  <c r="J6" i="36"/>
  <c r="J5" i="36"/>
  <c r="H5" i="36"/>
  <c r="H4" i="36"/>
  <c r="J4" i="36"/>
  <c r="H3" i="36"/>
  <c r="J3" i="36"/>
  <c r="J2" i="36"/>
  <c r="H2" i="36"/>
  <c r="J101" i="35"/>
  <c r="H101" i="35"/>
  <c r="H100" i="35"/>
  <c r="J100" i="35"/>
  <c r="H99" i="35"/>
  <c r="J99" i="35"/>
  <c r="H98" i="35"/>
  <c r="J98" i="35"/>
  <c r="H97" i="35"/>
  <c r="J97" i="35"/>
  <c r="J96" i="35"/>
  <c r="H96" i="35"/>
  <c r="J95" i="35"/>
  <c r="H95" i="35"/>
  <c r="H94" i="35"/>
  <c r="J94" i="35"/>
  <c r="H93" i="35"/>
  <c r="J93" i="35"/>
  <c r="J92" i="35"/>
  <c r="H92" i="35"/>
  <c r="J91" i="35"/>
  <c r="H91" i="35"/>
  <c r="J90" i="35"/>
  <c r="H90" i="35"/>
  <c r="H89" i="35"/>
  <c r="J89" i="35"/>
  <c r="J88" i="35"/>
  <c r="H88" i="35"/>
  <c r="J87" i="35"/>
  <c r="H87" i="35"/>
  <c r="J86" i="35"/>
  <c r="H86" i="35"/>
  <c r="H85" i="35"/>
  <c r="J85" i="35"/>
  <c r="H84" i="35"/>
  <c r="J84" i="35"/>
  <c r="J83" i="35"/>
  <c r="H83" i="35"/>
  <c r="J82" i="35"/>
  <c r="H82" i="35"/>
  <c r="J81" i="35"/>
  <c r="H81" i="35"/>
  <c r="J80" i="35"/>
  <c r="H80" i="35"/>
  <c r="H79" i="35"/>
  <c r="J79" i="35"/>
  <c r="H78" i="35"/>
  <c r="J78" i="35"/>
  <c r="H77" i="35"/>
  <c r="J77" i="35"/>
  <c r="H76" i="35"/>
  <c r="J76" i="35"/>
  <c r="J75" i="35"/>
  <c r="H75" i="35"/>
  <c r="H74" i="35"/>
  <c r="J74" i="35"/>
  <c r="J73" i="35"/>
  <c r="H73" i="35"/>
  <c r="H72" i="35"/>
  <c r="J72" i="35"/>
  <c r="H71" i="35"/>
  <c r="J71" i="35"/>
  <c r="H70" i="35"/>
  <c r="J70" i="35"/>
  <c r="J69" i="35"/>
  <c r="H69" i="35"/>
  <c r="H68" i="35"/>
  <c r="J68" i="35"/>
  <c r="J67" i="35"/>
  <c r="H67" i="35"/>
  <c r="H66" i="35"/>
  <c r="J66" i="35"/>
  <c r="H65" i="35"/>
  <c r="J65" i="35"/>
  <c r="H64" i="35"/>
  <c r="J64" i="35"/>
  <c r="H63" i="35"/>
  <c r="J63" i="35"/>
  <c r="H62" i="35"/>
  <c r="J62" i="35"/>
  <c r="H61" i="35"/>
  <c r="J61" i="35"/>
  <c r="H60" i="35"/>
  <c r="J60" i="35"/>
  <c r="J59" i="35"/>
  <c r="H59" i="35"/>
  <c r="H58" i="35"/>
  <c r="J58" i="35"/>
  <c r="J57" i="35"/>
  <c r="H57" i="35"/>
  <c r="J56" i="35"/>
  <c r="H56" i="35"/>
  <c r="J55" i="35"/>
  <c r="H55" i="35"/>
  <c r="H54" i="35"/>
  <c r="J54" i="35"/>
  <c r="H53" i="35"/>
  <c r="J53" i="35"/>
  <c r="J52" i="35"/>
  <c r="H52" i="35"/>
  <c r="H51" i="35"/>
  <c r="J51" i="35"/>
  <c r="H50" i="35"/>
  <c r="J50" i="35"/>
  <c r="J49" i="35"/>
  <c r="H49" i="35"/>
  <c r="H48" i="35"/>
  <c r="J48" i="35"/>
  <c r="H47" i="35"/>
  <c r="J47" i="35"/>
  <c r="H46" i="35"/>
  <c r="J46" i="35"/>
  <c r="J45" i="35"/>
  <c r="H45" i="35"/>
  <c r="H44" i="35"/>
  <c r="J44" i="35"/>
  <c r="J43" i="35"/>
  <c r="H43" i="35"/>
  <c r="J42" i="35"/>
  <c r="H42" i="35"/>
  <c r="H41" i="35"/>
  <c r="J41" i="35"/>
  <c r="J40" i="35"/>
  <c r="H40" i="35"/>
  <c r="H39" i="35"/>
  <c r="J39" i="35"/>
  <c r="H38" i="35"/>
  <c r="J38" i="35"/>
  <c r="H37" i="35"/>
  <c r="J37" i="35"/>
  <c r="H36" i="35"/>
  <c r="J36" i="35"/>
  <c r="H35" i="35"/>
  <c r="J35" i="35"/>
  <c r="J34" i="35"/>
  <c r="H34" i="35"/>
  <c r="J33" i="35"/>
  <c r="H33" i="35"/>
  <c r="J32" i="35"/>
  <c r="H32" i="35"/>
  <c r="J31" i="35"/>
  <c r="H31" i="35"/>
  <c r="J30" i="35"/>
  <c r="H30" i="35"/>
  <c r="H29" i="35"/>
  <c r="J29" i="35"/>
  <c r="H28" i="35"/>
  <c r="J28" i="35"/>
  <c r="J27" i="35"/>
  <c r="H27" i="35"/>
  <c r="H26" i="35"/>
  <c r="J26" i="35"/>
  <c r="J25" i="35"/>
  <c r="H25" i="35"/>
  <c r="J24" i="35"/>
  <c r="H24" i="35"/>
  <c r="H23" i="35"/>
  <c r="J23" i="35"/>
  <c r="H22" i="35"/>
  <c r="J22" i="35"/>
  <c r="J21" i="35"/>
  <c r="H21" i="35"/>
  <c r="H20" i="35"/>
  <c r="J20" i="35"/>
  <c r="H19" i="35"/>
  <c r="J19" i="35"/>
  <c r="H18" i="35"/>
  <c r="J18" i="35"/>
  <c r="J17" i="35"/>
  <c r="H17" i="35"/>
  <c r="H16" i="35"/>
  <c r="J16" i="35"/>
  <c r="J15" i="35"/>
  <c r="H15" i="35"/>
  <c r="H14" i="35"/>
  <c r="J14" i="35"/>
  <c r="J13" i="35"/>
  <c r="H13" i="35"/>
  <c r="H12" i="35"/>
  <c r="J12" i="35"/>
  <c r="H11" i="35"/>
  <c r="J11" i="35"/>
  <c r="H10" i="35"/>
  <c r="J10" i="35"/>
  <c r="J9" i="35"/>
  <c r="H9" i="35"/>
  <c r="H8" i="35"/>
  <c r="J8" i="35"/>
  <c r="J7" i="35"/>
  <c r="H7" i="35"/>
  <c r="H6" i="35"/>
  <c r="J6" i="35"/>
  <c r="J5" i="35"/>
  <c r="H5" i="35"/>
  <c r="H4" i="35"/>
  <c r="J4" i="35"/>
  <c r="J3" i="35"/>
  <c r="H3" i="35"/>
  <c r="J2" i="35"/>
  <c r="H2" i="35"/>
  <c r="J101" i="34"/>
  <c r="H101" i="34"/>
  <c r="H100" i="34"/>
  <c r="J100" i="34"/>
  <c r="H99" i="34"/>
  <c r="J99" i="34"/>
  <c r="H98" i="34"/>
  <c r="J98" i="34"/>
  <c r="J97" i="34"/>
  <c r="H97" i="34"/>
  <c r="H96" i="34"/>
  <c r="J96" i="34"/>
  <c r="H95" i="34"/>
  <c r="J95" i="34"/>
  <c r="J94" i="34"/>
  <c r="H94" i="34"/>
  <c r="H93" i="34"/>
  <c r="J93" i="34"/>
  <c r="H92" i="34"/>
  <c r="J92" i="34"/>
  <c r="J91" i="34"/>
  <c r="H91" i="34"/>
  <c r="H90" i="34"/>
  <c r="J90" i="34"/>
  <c r="H74" i="34"/>
  <c r="J74" i="34"/>
  <c r="H72" i="34"/>
  <c r="J72" i="34"/>
  <c r="H71" i="34"/>
  <c r="J71" i="34"/>
  <c r="H70" i="34"/>
  <c r="J70" i="34"/>
  <c r="J69" i="34"/>
  <c r="H69" i="34"/>
  <c r="H68" i="34"/>
  <c r="J68" i="34"/>
  <c r="H67" i="34"/>
  <c r="J67" i="34"/>
  <c r="J66" i="34"/>
  <c r="H66" i="34"/>
  <c r="H65" i="34"/>
  <c r="J65" i="34"/>
  <c r="J64" i="34"/>
  <c r="H64" i="34"/>
  <c r="H63" i="34"/>
  <c r="J63" i="34"/>
  <c r="J62" i="34"/>
  <c r="H62" i="34"/>
  <c r="J61" i="34"/>
  <c r="H61" i="34"/>
  <c r="J60" i="34"/>
  <c r="H60" i="34"/>
  <c r="J59" i="34"/>
  <c r="H59" i="34"/>
  <c r="J58" i="34"/>
  <c r="H58" i="34"/>
  <c r="J57" i="34"/>
  <c r="H57" i="34"/>
  <c r="J56" i="34"/>
  <c r="H56" i="34"/>
  <c r="J55" i="34"/>
  <c r="H55" i="34"/>
  <c r="H54" i="34"/>
  <c r="J54" i="34"/>
  <c r="J53" i="34"/>
  <c r="H53" i="34"/>
  <c r="J52" i="34"/>
  <c r="H52" i="34"/>
  <c r="J51" i="34"/>
  <c r="H51" i="34"/>
  <c r="J50" i="34"/>
  <c r="H50" i="34"/>
  <c r="H49" i="34"/>
  <c r="J49" i="34"/>
  <c r="J48" i="34"/>
  <c r="H48" i="34"/>
  <c r="J47" i="34"/>
  <c r="H47" i="34"/>
  <c r="H46" i="34"/>
  <c r="J46" i="34"/>
  <c r="J20" i="34"/>
  <c r="H20" i="34" s="1"/>
  <c r="J14" i="34"/>
  <c r="H14" i="34" s="1"/>
  <c r="J9" i="34"/>
  <c r="H9" i="34" s="1"/>
  <c r="J37" i="34"/>
  <c r="H37" i="34" s="1"/>
  <c r="J8" i="34"/>
  <c r="H8" i="34" s="1"/>
  <c r="J10" i="34"/>
  <c r="H10" i="34" s="1"/>
  <c r="J7" i="34"/>
  <c r="H7" i="34" s="1"/>
  <c r="J34" i="34"/>
  <c r="H34" i="34" s="1"/>
  <c r="J23" i="34"/>
  <c r="H23" i="34" s="1"/>
  <c r="J29" i="34"/>
  <c r="H29" i="34" s="1"/>
  <c r="J31" i="34"/>
  <c r="H31" i="34" s="1"/>
  <c r="J36" i="34"/>
  <c r="H36" i="34" s="1"/>
  <c r="J43" i="34"/>
  <c r="H43" i="34" s="1"/>
  <c r="J22" i="34"/>
  <c r="H22" i="34" s="1"/>
  <c r="J42" i="34"/>
  <c r="H42" i="34" s="1"/>
  <c r="J21" i="34"/>
  <c r="H21" i="34" s="1"/>
  <c r="J18" i="34"/>
  <c r="H18" i="34" s="1"/>
  <c r="J11" i="34"/>
  <c r="H11" i="34"/>
  <c r="J39" i="34"/>
  <c r="H39" i="34" s="1"/>
  <c r="J6" i="34"/>
  <c r="H6" i="34" s="1"/>
  <c r="J12" i="34"/>
  <c r="H12" i="34" s="1"/>
  <c r="J25" i="34"/>
  <c r="H25" i="34" s="1"/>
  <c r="J24" i="34"/>
  <c r="H24" i="34" s="1"/>
  <c r="J17" i="34"/>
  <c r="H17" i="34" s="1"/>
  <c r="J38" i="34"/>
  <c r="H38" i="34" s="1"/>
  <c r="J13" i="34"/>
  <c r="H13" i="34" s="1"/>
  <c r="J32" i="34"/>
  <c r="H32" i="34" s="1"/>
  <c r="J15" i="34"/>
  <c r="H15" i="34" s="1"/>
  <c r="J45" i="34"/>
  <c r="H45" i="34" s="1"/>
  <c r="J3" i="34"/>
  <c r="H3" i="34" s="1"/>
  <c r="J5" i="34"/>
  <c r="H5" i="34" s="1"/>
  <c r="J2" i="34"/>
  <c r="H2" i="34" s="1"/>
  <c r="J16" i="34"/>
  <c r="H16" i="34" s="1"/>
  <c r="J19" i="34"/>
  <c r="H19" i="34" s="1"/>
  <c r="J44" i="34"/>
  <c r="H44" i="34" s="1"/>
  <c r="J41" i="34"/>
  <c r="H41" i="34" s="1"/>
  <c r="J30" i="34"/>
  <c r="H30" i="34" s="1"/>
  <c r="J28" i="34"/>
  <c r="H28" i="34" s="1"/>
  <c r="J26" i="34"/>
  <c r="H26" i="34" s="1"/>
  <c r="J33" i="34"/>
  <c r="H33" i="34" s="1"/>
  <c r="J4" i="34"/>
  <c r="H4" i="34" s="1"/>
  <c r="J40" i="34"/>
  <c r="H40" i="34" s="1"/>
  <c r="J35" i="34"/>
  <c r="H35" i="34" s="1"/>
  <c r="J27" i="34"/>
  <c r="H27" i="34" s="1"/>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J88" i="33"/>
  <c r="H88" i="33"/>
  <c r="H87" i="33"/>
  <c r="J87" i="33"/>
  <c r="H86" i="33"/>
  <c r="J86" i="33"/>
  <c r="J85" i="33"/>
  <c r="H85" i="33"/>
  <c r="H84" i="33"/>
  <c r="J84" i="33"/>
  <c r="H83" i="33"/>
  <c r="J83" i="33"/>
  <c r="J82" i="33"/>
  <c r="H82" i="33"/>
  <c r="J81" i="33"/>
  <c r="H81" i="33"/>
  <c r="H80" i="33"/>
  <c r="J80" i="33"/>
  <c r="J79" i="33"/>
  <c r="H79" i="33"/>
  <c r="H78" i="33"/>
  <c r="J78" i="33"/>
  <c r="H77" i="33"/>
  <c r="J77" i="33"/>
  <c r="H76" i="33"/>
  <c r="J76" i="33"/>
  <c r="H75" i="33"/>
  <c r="J75" i="33"/>
  <c r="H74" i="33"/>
  <c r="J74" i="33"/>
  <c r="H73" i="33"/>
  <c r="J73" i="33"/>
  <c r="H72" i="33"/>
  <c r="J72" i="33"/>
  <c r="J71" i="33"/>
  <c r="H71" i="33"/>
  <c r="H70" i="33"/>
  <c r="J70" i="33"/>
  <c r="J69" i="33"/>
  <c r="H69" i="33"/>
  <c r="J68" i="33"/>
  <c r="H68" i="33"/>
  <c r="J67" i="33"/>
  <c r="H67" i="33"/>
  <c r="H66" i="33"/>
  <c r="J66" i="33"/>
  <c r="H65" i="33"/>
  <c r="J65" i="33"/>
  <c r="J64" i="33"/>
  <c r="H64" i="33"/>
  <c r="H63" i="33"/>
  <c r="J63" i="33"/>
  <c r="J62" i="33"/>
  <c r="H62" i="33"/>
  <c r="J61" i="33"/>
  <c r="H61" i="33"/>
  <c r="H60" i="33"/>
  <c r="J60" i="33"/>
  <c r="H59" i="33"/>
  <c r="J59" i="33"/>
  <c r="J58" i="33"/>
  <c r="H58" i="33"/>
  <c r="J57" i="33"/>
  <c r="H57" i="33"/>
  <c r="J56" i="33"/>
  <c r="H56" i="33"/>
  <c r="J55" i="33"/>
  <c r="H55" i="33"/>
  <c r="J54" i="33"/>
  <c r="H54" i="33"/>
  <c r="J53" i="33"/>
  <c r="H53" i="33"/>
  <c r="J52" i="33"/>
  <c r="H52" i="33"/>
  <c r="J51" i="33"/>
  <c r="H51" i="33"/>
  <c r="J50" i="33"/>
  <c r="H50" i="33"/>
  <c r="J49" i="33"/>
  <c r="H49" i="33"/>
  <c r="J48" i="33"/>
  <c r="H48" i="33"/>
  <c r="H47" i="33"/>
  <c r="J47" i="33"/>
  <c r="J46" i="33"/>
  <c r="H46" i="33"/>
  <c r="J45" i="33"/>
  <c r="H45" i="33"/>
  <c r="J44" i="33"/>
  <c r="H44" i="33"/>
  <c r="J43" i="33"/>
  <c r="H43" i="33"/>
  <c r="H42" i="33"/>
  <c r="J42" i="33"/>
  <c r="H41" i="33"/>
  <c r="J41" i="33"/>
  <c r="J40" i="33"/>
  <c r="H40" i="33"/>
  <c r="H39" i="33"/>
  <c r="J39" i="33"/>
  <c r="H38" i="33"/>
  <c r="J38" i="33"/>
  <c r="H37" i="33"/>
  <c r="J37" i="33"/>
  <c r="H36" i="33"/>
  <c r="J36" i="33"/>
  <c r="H35" i="33"/>
  <c r="J35" i="33"/>
  <c r="H34" i="33"/>
  <c r="J34" i="33"/>
  <c r="J101" i="31"/>
  <c r="H101" i="31"/>
  <c r="H100" i="31"/>
  <c r="J100" i="31"/>
  <c r="H99" i="31"/>
  <c r="J99" i="31"/>
  <c r="J98" i="31"/>
  <c r="H98" i="31"/>
  <c r="H97" i="31"/>
  <c r="J97" i="31"/>
  <c r="J96" i="31"/>
  <c r="H96" i="31"/>
  <c r="J95" i="31"/>
  <c r="H95" i="31"/>
  <c r="H93" i="31"/>
  <c r="J93" i="31"/>
  <c r="H92" i="31"/>
  <c r="J92" i="31"/>
  <c r="H91" i="31"/>
  <c r="J91" i="31"/>
  <c r="H90" i="31"/>
  <c r="J90" i="31"/>
  <c r="J89" i="31"/>
  <c r="H89" i="31"/>
  <c r="J88" i="31"/>
  <c r="H88" i="31"/>
  <c r="H87" i="31"/>
  <c r="J87" i="31"/>
  <c r="H86" i="31"/>
  <c r="J86" i="31"/>
  <c r="H85" i="31"/>
  <c r="J85" i="31"/>
  <c r="H84" i="31"/>
  <c r="J84" i="31"/>
  <c r="J83" i="31"/>
  <c r="H83" i="31"/>
  <c r="J82" i="31"/>
  <c r="H82" i="31"/>
  <c r="H81" i="31"/>
  <c r="J81" i="31"/>
  <c r="J80" i="31"/>
  <c r="H80" i="31"/>
  <c r="J79" i="31"/>
  <c r="H79" i="31"/>
  <c r="H78" i="31"/>
  <c r="J78" i="31"/>
  <c r="J77" i="31"/>
  <c r="H77" i="31"/>
  <c r="J76" i="31"/>
  <c r="H76" i="31"/>
  <c r="H75" i="31"/>
  <c r="J75" i="31"/>
  <c r="J74" i="31"/>
  <c r="H74" i="31"/>
  <c r="H73" i="31"/>
  <c r="J73" i="31"/>
  <c r="H72" i="31"/>
  <c r="J72" i="31"/>
  <c r="H44" i="25"/>
  <c r="J44" i="25"/>
  <c r="H43" i="25"/>
  <c r="J43" i="25"/>
  <c r="J40" i="25"/>
  <c r="H40" i="25"/>
  <c r="H93" i="24"/>
  <c r="J93" i="24"/>
  <c r="H92" i="24"/>
  <c r="J92" i="24"/>
  <c r="J91" i="24"/>
  <c r="H91" i="24"/>
  <c r="J90" i="24"/>
  <c r="H90" i="24"/>
  <c r="J89" i="24"/>
  <c r="H89" i="24"/>
  <c r="J88" i="24"/>
  <c r="H88" i="24"/>
  <c r="J87" i="24"/>
  <c r="H87" i="24"/>
  <c r="J86" i="24"/>
  <c r="H86" i="24"/>
  <c r="J85" i="24"/>
  <c r="H85" i="24"/>
  <c r="H84" i="24"/>
  <c r="J84" i="24"/>
  <c r="J83" i="24"/>
  <c r="H83" i="24"/>
  <c r="H82" i="24"/>
  <c r="J82" i="24"/>
  <c r="H81" i="24"/>
  <c r="J81" i="24"/>
  <c r="J80" i="24"/>
  <c r="H80" i="24"/>
  <c r="J79" i="24"/>
  <c r="H79" i="24"/>
  <c r="J78" i="24"/>
  <c r="H78" i="24"/>
  <c r="J97" i="19"/>
  <c r="H97" i="19"/>
  <c r="J96" i="19"/>
  <c r="H96" i="19"/>
  <c r="J95" i="19"/>
  <c r="H95" i="19"/>
  <c r="J94" i="19"/>
  <c r="H94" i="19"/>
  <c r="H93" i="19"/>
  <c r="J93" i="19"/>
  <c r="J92" i="19"/>
  <c r="H92" i="19"/>
  <c r="H91" i="19"/>
  <c r="J91" i="19"/>
  <c r="H90" i="19"/>
  <c r="J90" i="19"/>
  <c r="H89" i="19"/>
  <c r="J89" i="19"/>
  <c r="H88" i="19"/>
  <c r="J88" i="19"/>
  <c r="H87" i="19"/>
  <c r="J87" i="19"/>
  <c r="J86" i="19"/>
  <c r="H86" i="19"/>
  <c r="H85" i="19"/>
  <c r="J85" i="19"/>
  <c r="J84" i="19"/>
  <c r="H84" i="19"/>
  <c r="J83" i="19"/>
  <c r="H83" i="19"/>
  <c r="H82" i="19"/>
  <c r="J82" i="19"/>
  <c r="H81" i="19"/>
  <c r="J81" i="19"/>
  <c r="J80" i="19"/>
  <c r="H80" i="19"/>
  <c r="H79" i="19"/>
  <c r="J79" i="19"/>
  <c r="J78" i="19"/>
  <c r="H78" i="19"/>
  <c r="H77" i="19"/>
  <c r="J77" i="19"/>
  <c r="H76" i="19"/>
  <c r="J76" i="19"/>
  <c r="J75" i="19"/>
  <c r="H75" i="19"/>
  <c r="H74" i="19"/>
  <c r="J74" i="19"/>
  <c r="H73" i="19"/>
  <c r="J73" i="19"/>
  <c r="J72" i="19"/>
  <c r="H72" i="19"/>
  <c r="J71" i="19"/>
  <c r="H71" i="19"/>
  <c r="J70" i="19"/>
  <c r="H70" i="19"/>
  <c r="J69" i="19"/>
  <c r="H69" i="19"/>
  <c r="H68" i="19"/>
  <c r="J68" i="19"/>
  <c r="H67" i="19"/>
  <c r="J67" i="19"/>
  <c r="H66" i="19"/>
  <c r="J66" i="19"/>
  <c r="J65" i="19"/>
  <c r="H65" i="19"/>
  <c r="H64" i="19"/>
  <c r="J64" i="19"/>
  <c r="H63" i="19"/>
  <c r="J63" i="19"/>
  <c r="H62" i="19"/>
  <c r="J62" i="19"/>
  <c r="J61" i="19"/>
  <c r="H61" i="19"/>
  <c r="H60" i="19"/>
  <c r="J60" i="19"/>
  <c r="J59" i="19"/>
  <c r="H59" i="19"/>
  <c r="H58" i="19"/>
  <c r="J58" i="19"/>
  <c r="J57" i="19"/>
  <c r="H57" i="19"/>
  <c r="J56" i="19"/>
  <c r="H56" i="19"/>
  <c r="H55" i="19"/>
  <c r="J55" i="19"/>
  <c r="H54" i="19"/>
  <c r="J54" i="19"/>
  <c r="J53" i="19"/>
  <c r="H53" i="19"/>
  <c r="J52" i="19"/>
  <c r="H52" i="19"/>
  <c r="H51" i="19"/>
  <c r="J51" i="19"/>
  <c r="H50" i="19"/>
  <c r="J50" i="19"/>
  <c r="J49" i="19"/>
  <c r="H49" i="19"/>
  <c r="J48" i="19"/>
  <c r="H48" i="19"/>
  <c r="H47" i="19"/>
  <c r="J47" i="19"/>
  <c r="J46" i="19"/>
  <c r="H46" i="19"/>
  <c r="J45" i="19"/>
  <c r="H45" i="19"/>
  <c r="J44" i="19"/>
  <c r="H44" i="19"/>
  <c r="J43" i="19"/>
  <c r="H43" i="19"/>
  <c r="J42" i="19"/>
  <c r="H42" i="19"/>
  <c r="H41" i="19"/>
  <c r="J41" i="19"/>
  <c r="J40" i="19"/>
  <c r="H40" i="19"/>
  <c r="J39" i="19"/>
  <c r="H39" i="19"/>
  <c r="J38" i="19"/>
  <c r="H38" i="19"/>
  <c r="J37" i="19"/>
  <c r="H37" i="19"/>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61" i="40"/>
  <c r="H61" i="40"/>
  <c r="J60" i="40"/>
  <c r="H60" i="40"/>
  <c r="H59" i="40"/>
  <c r="J59" i="40"/>
  <c r="H58" i="40"/>
  <c r="J58" i="40"/>
  <c r="J57" i="40"/>
  <c r="H57" i="40"/>
  <c r="J56" i="40"/>
  <c r="H56" i="40"/>
  <c r="J55" i="40"/>
  <c r="H55" i="40"/>
  <c r="H54" i="40"/>
  <c r="J54" i="40"/>
  <c r="H53" i="40"/>
  <c r="J53" i="40"/>
  <c r="H52" i="40"/>
  <c r="J52" i="40"/>
  <c r="H51" i="40"/>
  <c r="J51" i="40"/>
  <c r="J50" i="40"/>
  <c r="H50" i="40"/>
  <c r="H49" i="40"/>
  <c r="J49" i="40"/>
  <c r="H48" i="40"/>
  <c r="J48" i="40"/>
  <c r="H47" i="40"/>
  <c r="J47" i="40"/>
  <c r="J46" i="40"/>
  <c r="H46" i="40"/>
  <c r="H45" i="40"/>
  <c r="J45" i="40"/>
  <c r="H44" i="40"/>
  <c r="J44" i="40"/>
  <c r="H43" i="40"/>
  <c r="J43" i="40"/>
  <c r="H42" i="40"/>
  <c r="J42" i="40"/>
  <c r="J41" i="40"/>
  <c r="H41" i="40"/>
  <c r="H40" i="40"/>
  <c r="J40" i="40"/>
  <c r="J39" i="40"/>
  <c r="H39" i="40"/>
  <c r="H38" i="40"/>
  <c r="J38" i="40"/>
  <c r="J37" i="40"/>
  <c r="H37" i="40"/>
  <c r="J36" i="40"/>
  <c r="H36" i="40"/>
  <c r="H35" i="40"/>
  <c r="J35" i="40"/>
  <c r="J34" i="40"/>
  <c r="H34" i="40"/>
  <c r="H33" i="40"/>
  <c r="J33" i="40"/>
  <c r="J32" i="40"/>
  <c r="H32" i="40"/>
  <c r="H31" i="40"/>
  <c r="J31" i="40"/>
  <c r="J30" i="40"/>
  <c r="H30" i="40"/>
  <c r="H29" i="40"/>
  <c r="J29" i="40"/>
  <c r="H28" i="40"/>
  <c r="J28" i="40"/>
  <c r="H27" i="40"/>
  <c r="J27" i="40"/>
  <c r="J26" i="40"/>
  <c r="H26" i="40"/>
  <c r="J25" i="40"/>
  <c r="H25" i="40"/>
  <c r="H24" i="40"/>
  <c r="J24" i="40"/>
  <c r="H23" i="40"/>
  <c r="J23" i="40"/>
  <c r="J22" i="40"/>
  <c r="H22" i="40"/>
  <c r="J21" i="40"/>
  <c r="H21" i="40"/>
  <c r="J20" i="40"/>
  <c r="H20" i="40"/>
  <c r="H19" i="40"/>
  <c r="J19" i="40"/>
  <c r="H18" i="40"/>
  <c r="J18" i="40"/>
  <c r="J17" i="40"/>
  <c r="H17" i="40"/>
  <c r="J16" i="40"/>
  <c r="H16" i="40"/>
  <c r="H15" i="40"/>
  <c r="J15" i="40"/>
  <c r="J14" i="40"/>
  <c r="H14" i="40"/>
  <c r="J13" i="40"/>
  <c r="H13" i="40"/>
  <c r="H12" i="40"/>
  <c r="J12" i="40"/>
  <c r="J11" i="40"/>
  <c r="H11" i="40"/>
  <c r="H10" i="40"/>
  <c r="J10" i="40"/>
  <c r="H9" i="40"/>
  <c r="J9" i="40"/>
  <c r="H8" i="40"/>
  <c r="J8" i="40"/>
  <c r="H7" i="40"/>
  <c r="J7" i="40"/>
  <c r="J6" i="40"/>
  <c r="H6" i="40"/>
  <c r="J5" i="40"/>
  <c r="H5" i="40"/>
  <c r="J4" i="40"/>
  <c r="H4" i="40"/>
  <c r="J3" i="40"/>
  <c r="H3" i="40"/>
  <c r="J2" i="40"/>
  <c r="H2" i="40"/>
  <c r="J101" i="39"/>
  <c r="H101" i="39"/>
  <c r="J99" i="39"/>
  <c r="H99" i="39"/>
  <c r="J97" i="39"/>
  <c r="H97" i="39"/>
  <c r="H96" i="39"/>
  <c r="J96" i="39"/>
  <c r="J95" i="39"/>
  <c r="H95" i="39"/>
  <c r="H93" i="39"/>
  <c r="J93" i="39"/>
  <c r="H92" i="39"/>
  <c r="J92" i="39"/>
  <c r="H91" i="39"/>
  <c r="J91" i="39"/>
  <c r="J87" i="39"/>
  <c r="H87" i="39"/>
  <c r="J86" i="39"/>
  <c r="H86" i="39"/>
  <c r="J85" i="39"/>
  <c r="H85" i="39"/>
  <c r="J83" i="39"/>
  <c r="H83" i="39"/>
  <c r="J82" i="39"/>
  <c r="H82" i="39"/>
  <c r="J81" i="39"/>
  <c r="H81" i="39"/>
  <c r="J80" i="39"/>
  <c r="H80" i="39"/>
  <c r="H79" i="39"/>
  <c r="J79" i="39"/>
  <c r="J78" i="39"/>
  <c r="H78" i="39"/>
  <c r="J77" i="39"/>
  <c r="H77" i="39"/>
  <c r="J76" i="39"/>
  <c r="H76" i="39"/>
  <c r="H75" i="39"/>
  <c r="J75" i="39"/>
  <c r="J74" i="39"/>
  <c r="H74" i="39"/>
  <c r="H73" i="39"/>
  <c r="J73" i="39"/>
  <c r="J72" i="39"/>
  <c r="H72" i="39"/>
  <c r="J71" i="39"/>
  <c r="H71" i="39"/>
  <c r="H70" i="39"/>
  <c r="J70" i="39"/>
  <c r="J69" i="39"/>
  <c r="H69" i="39"/>
  <c r="J68" i="39"/>
  <c r="H68" i="39"/>
  <c r="H67" i="39"/>
  <c r="J67" i="39"/>
  <c r="J66" i="39"/>
  <c r="H66" i="39"/>
  <c r="H65" i="39"/>
  <c r="J65" i="39"/>
  <c r="J64" i="39"/>
  <c r="H64" i="39"/>
  <c r="J63" i="39"/>
  <c r="H63" i="39"/>
  <c r="H62" i="39"/>
  <c r="J62" i="39"/>
  <c r="J61" i="39"/>
  <c r="H61" i="39"/>
  <c r="J60" i="39"/>
  <c r="H60" i="39"/>
  <c r="H58" i="39"/>
  <c r="J58" i="39"/>
  <c r="J57" i="39"/>
  <c r="H57" i="39"/>
  <c r="J56" i="39"/>
  <c r="H56" i="39"/>
  <c r="J55" i="39"/>
  <c r="H55" i="39"/>
  <c r="J54" i="39"/>
  <c r="H54" i="39"/>
  <c r="J53" i="39"/>
  <c r="H53" i="39"/>
  <c r="J52" i="39"/>
  <c r="H52" i="39"/>
  <c r="J51" i="39"/>
  <c r="H51" i="39"/>
  <c r="H49" i="39"/>
  <c r="J49" i="39"/>
  <c r="H48" i="39"/>
  <c r="J48" i="39"/>
  <c r="H47" i="39"/>
  <c r="J47" i="39"/>
  <c r="J46" i="39"/>
  <c r="H46" i="39"/>
  <c r="H44" i="39"/>
  <c r="J44" i="39"/>
  <c r="H43" i="39"/>
  <c r="J43" i="39"/>
  <c r="H42" i="39"/>
  <c r="J42" i="39"/>
  <c r="J41" i="39"/>
  <c r="H41" i="39"/>
  <c r="H39" i="39"/>
  <c r="J39" i="39"/>
  <c r="J38" i="39"/>
  <c r="H38" i="39"/>
  <c r="H37" i="39"/>
  <c r="J37" i="39"/>
  <c r="J36" i="39"/>
  <c r="H36" i="39"/>
  <c r="H34" i="39"/>
  <c r="J34" i="39"/>
  <c r="J33" i="39"/>
  <c r="H33" i="39"/>
  <c r="J32" i="39"/>
  <c r="H32" i="39"/>
  <c r="J31" i="39"/>
  <c r="H31" i="39"/>
  <c r="J30" i="39"/>
  <c r="H30" i="39"/>
  <c r="J29" i="39"/>
  <c r="H29" i="39"/>
  <c r="H28" i="39"/>
  <c r="J28" i="39"/>
  <c r="J27" i="39"/>
  <c r="H27" i="39"/>
  <c r="J26" i="39"/>
  <c r="H26" i="39"/>
  <c r="J25" i="39"/>
  <c r="H25" i="39"/>
  <c r="J24" i="39"/>
  <c r="H24" i="39"/>
  <c r="J23" i="39"/>
  <c r="H23" i="39"/>
  <c r="J22" i="39"/>
  <c r="H22" i="39"/>
  <c r="J21" i="39"/>
  <c r="H21" i="39"/>
  <c r="J20" i="39"/>
  <c r="H20" i="39"/>
  <c r="H19" i="39"/>
  <c r="J19" i="39"/>
  <c r="J18" i="39"/>
  <c r="H18" i="39"/>
  <c r="J17" i="39"/>
  <c r="H17" i="39"/>
  <c r="H16" i="39"/>
  <c r="J16" i="39"/>
  <c r="H15" i="39"/>
  <c r="J15" i="39"/>
  <c r="H14" i="39"/>
  <c r="J14" i="39"/>
  <c r="H13" i="39"/>
  <c r="J13" i="39"/>
  <c r="J12" i="39"/>
  <c r="H12" i="39"/>
  <c r="H11" i="39"/>
  <c r="J11" i="39"/>
  <c r="H10" i="39"/>
  <c r="J10" i="39"/>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H91" i="36"/>
  <c r="J91" i="36"/>
  <c r="H90" i="36"/>
  <c r="J90" i="36"/>
  <c r="J89" i="36"/>
  <c r="H89" i="36"/>
  <c r="H88" i="36"/>
  <c r="J88" i="36"/>
  <c r="H87" i="36"/>
  <c r="J87" i="36"/>
  <c r="J89" i="34"/>
  <c r="H89" i="34"/>
  <c r="J88" i="34"/>
  <c r="H88" i="34"/>
  <c r="H87" i="34"/>
  <c r="J87" i="34"/>
  <c r="H86" i="34"/>
  <c r="J86" i="34"/>
  <c r="J85" i="34"/>
  <c r="H85" i="34"/>
  <c r="H84" i="34"/>
  <c r="J84" i="34"/>
  <c r="H83" i="34"/>
  <c r="J83" i="34"/>
  <c r="J82" i="34"/>
  <c r="H82" i="34"/>
  <c r="H81" i="34"/>
  <c r="J81" i="34"/>
  <c r="J80" i="34"/>
  <c r="H80" i="34"/>
  <c r="H79" i="34"/>
  <c r="J79" i="34"/>
  <c r="H78" i="34"/>
  <c r="J78" i="34"/>
  <c r="H77" i="34"/>
  <c r="J77" i="34"/>
  <c r="H76" i="34"/>
  <c r="J76" i="34"/>
  <c r="H75" i="34"/>
  <c r="J75" i="34"/>
  <c r="H73" i="34"/>
  <c r="J73" i="34"/>
  <c r="H71" i="31"/>
  <c r="J71" i="31"/>
  <c r="H70" i="31"/>
  <c r="J70" i="31"/>
  <c r="H69" i="31"/>
  <c r="J69" i="31"/>
  <c r="J68" i="31"/>
  <c r="H68" i="31"/>
  <c r="J67" i="31"/>
  <c r="H67" i="31"/>
  <c r="J66" i="31"/>
  <c r="H66" i="31"/>
  <c r="H65" i="31"/>
  <c r="J65" i="31"/>
  <c r="H64" i="31"/>
  <c r="J64" i="31"/>
  <c r="J63" i="31"/>
  <c r="H63" i="31"/>
  <c r="H62" i="31"/>
  <c r="J62" i="31"/>
  <c r="J61" i="31"/>
  <c r="H61" i="31"/>
  <c r="H60" i="31"/>
  <c r="J60" i="31"/>
  <c r="J59" i="31"/>
  <c r="H59" i="31"/>
  <c r="J58" i="31"/>
  <c r="H58" i="31"/>
  <c r="J57" i="31"/>
  <c r="H57" i="31"/>
  <c r="J56" i="31"/>
  <c r="H56" i="31"/>
  <c r="J55" i="31"/>
  <c r="H55" i="31"/>
  <c r="H54" i="31"/>
  <c r="J54" i="31"/>
  <c r="H53" i="31"/>
  <c r="J53" i="31"/>
  <c r="J52" i="31"/>
  <c r="H52" i="31"/>
  <c r="H51" i="31"/>
  <c r="J51" i="31"/>
  <c r="H50" i="31"/>
  <c r="J50" i="31"/>
  <c r="J49" i="31"/>
  <c r="H49" i="31"/>
  <c r="H48" i="31"/>
  <c r="J48" i="31"/>
  <c r="J47" i="31"/>
  <c r="H47" i="31"/>
  <c r="J46" i="31"/>
  <c r="H46" i="31"/>
  <c r="J45" i="31"/>
  <c r="H45" i="31"/>
  <c r="H44" i="31"/>
  <c r="J44" i="31"/>
  <c r="J43" i="31"/>
  <c r="H43" i="31"/>
  <c r="J42" i="31"/>
  <c r="H42" i="31"/>
  <c r="H41" i="31"/>
  <c r="J41" i="31"/>
  <c r="J40" i="31"/>
  <c r="H40" i="31"/>
  <c r="J39" i="31"/>
  <c r="H39" i="31"/>
  <c r="J38" i="31"/>
  <c r="H38" i="31"/>
  <c r="H37" i="31"/>
  <c r="J37" i="31"/>
  <c r="H36" i="31"/>
  <c r="J36" i="31"/>
  <c r="H35" i="31"/>
  <c r="J35" i="31"/>
  <c r="J34" i="31"/>
  <c r="H34" i="31"/>
  <c r="J33" i="31"/>
  <c r="H33" i="31"/>
  <c r="H32" i="31"/>
  <c r="J32" i="31"/>
  <c r="J31" i="31"/>
  <c r="H31" i="31"/>
  <c r="H30" i="31"/>
  <c r="J30" i="31"/>
  <c r="H29" i="31"/>
  <c r="J29" i="31"/>
  <c r="H28" i="31"/>
  <c r="J28" i="31"/>
  <c r="H27" i="31"/>
  <c r="J27" i="31"/>
  <c r="H26" i="31"/>
  <c r="J26" i="31"/>
  <c r="H101" i="29"/>
  <c r="J101" i="29"/>
  <c r="J86" i="29"/>
  <c r="H86" i="29"/>
  <c r="J59" i="29"/>
  <c r="H59" i="29"/>
  <c r="J58" i="29"/>
  <c r="H58" i="29"/>
  <c r="J57" i="29"/>
  <c r="H57" i="29"/>
  <c r="H56" i="29"/>
  <c r="J56" i="29"/>
  <c r="J55" i="29"/>
  <c r="H55" i="29"/>
  <c r="H54" i="29"/>
  <c r="J54" i="29"/>
  <c r="H53" i="29"/>
  <c r="J53" i="29"/>
  <c r="J77" i="24"/>
  <c r="H77" i="24"/>
  <c r="J76" i="24"/>
  <c r="H76" i="24"/>
  <c r="J75" i="24"/>
  <c r="H75" i="24"/>
  <c r="J74" i="24"/>
  <c r="H74" i="24"/>
  <c r="H73" i="24"/>
  <c r="J73" i="24"/>
  <c r="J72" i="24"/>
  <c r="H72" i="24"/>
  <c r="H71" i="24"/>
  <c r="J71" i="24"/>
  <c r="J70" i="24"/>
  <c r="H70" i="24"/>
  <c r="H69" i="24"/>
  <c r="J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H44" i="20"/>
  <c r="J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28" i="32"/>
  <c r="H28" i="32" s="1"/>
  <c r="J13" i="32"/>
  <c r="H13" i="32" s="1"/>
  <c r="J98" i="43"/>
  <c r="H98" i="43"/>
  <c r="H97" i="43"/>
  <c r="J97" i="43"/>
  <c r="J96" i="43"/>
  <c r="H96" i="43"/>
  <c r="J95" i="43"/>
  <c r="H95" i="43"/>
  <c r="J94" i="43"/>
  <c r="H94" i="43"/>
  <c r="H93" i="43"/>
  <c r="J93" i="43"/>
  <c r="J92" i="43"/>
  <c r="H92" i="43"/>
  <c r="J91" i="43"/>
  <c r="H91" i="43"/>
  <c r="J90" i="43"/>
  <c r="H90" i="43"/>
  <c r="J89" i="43"/>
  <c r="H89" i="43"/>
  <c r="J88" i="43"/>
  <c r="H88" i="43"/>
  <c r="J87" i="43"/>
  <c r="H87" i="43"/>
  <c r="J86" i="43"/>
  <c r="H86" i="43"/>
  <c r="H85" i="43"/>
  <c r="J85" i="43"/>
  <c r="H84" i="43"/>
  <c r="J84" i="43"/>
  <c r="J83" i="43"/>
  <c r="H83" i="43"/>
  <c r="J82" i="43"/>
  <c r="H82" i="43"/>
  <c r="J81" i="43"/>
  <c r="H81" i="43"/>
  <c r="J80" i="43"/>
  <c r="H80" i="43"/>
  <c r="J79" i="43"/>
  <c r="H79" i="43"/>
  <c r="J78" i="43"/>
  <c r="H78" i="43"/>
  <c r="H77" i="43"/>
  <c r="J77" i="43"/>
  <c r="J76" i="43"/>
  <c r="H76" i="43"/>
  <c r="J75" i="43"/>
  <c r="H75" i="43"/>
  <c r="H74" i="43"/>
  <c r="J74" i="43"/>
  <c r="H73" i="43"/>
  <c r="J73" i="43"/>
  <c r="H72" i="43"/>
  <c r="J72" i="43"/>
  <c r="J71" i="43"/>
  <c r="H71" i="43"/>
  <c r="J70" i="43"/>
  <c r="H70" i="43"/>
  <c r="H69" i="43"/>
  <c r="J69" i="43"/>
  <c r="H68" i="43"/>
  <c r="J68" i="43"/>
  <c r="H67" i="43"/>
  <c r="J67" i="43"/>
  <c r="H66" i="43"/>
  <c r="J66" i="43"/>
  <c r="J65" i="43"/>
  <c r="H65" i="43"/>
  <c r="J64" i="43"/>
  <c r="H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H46" i="43"/>
  <c r="J46" i="43"/>
  <c r="H45" i="43"/>
  <c r="J45" i="43"/>
  <c r="H44" i="43"/>
  <c r="J44" i="43"/>
  <c r="H43" i="43"/>
  <c r="J43" i="43"/>
  <c r="H42" i="43"/>
  <c r="J42" i="43"/>
  <c r="H41" i="43"/>
  <c r="J41" i="43"/>
  <c r="J40" i="43"/>
  <c r="H40" i="43"/>
  <c r="J39" i="43"/>
  <c r="H39" i="43"/>
  <c r="J38" i="43"/>
  <c r="H38" i="43"/>
  <c r="H37" i="43"/>
  <c r="J37" i="43"/>
  <c r="J36" i="43"/>
  <c r="H36" i="43"/>
  <c r="H35" i="43"/>
  <c r="J35" i="43"/>
  <c r="J34" i="43"/>
  <c r="H34" i="43"/>
  <c r="H33" i="43"/>
  <c r="J33" i="43"/>
  <c r="H32" i="43"/>
  <c r="J32" i="43"/>
  <c r="J31" i="43"/>
  <c r="H31" i="43"/>
  <c r="H30" i="43"/>
  <c r="J30" i="43"/>
  <c r="H29" i="43"/>
  <c r="J29" i="43"/>
  <c r="H28" i="43"/>
  <c r="J28" i="43"/>
  <c r="H27" i="43"/>
  <c r="J27" i="43"/>
  <c r="H26" i="43"/>
  <c r="J26" i="43"/>
  <c r="H25" i="43"/>
  <c r="J25" i="43"/>
  <c r="H24" i="43"/>
  <c r="J24" i="43"/>
  <c r="H23" i="43"/>
  <c r="J23" i="43"/>
  <c r="H22" i="43"/>
  <c r="J22" i="43"/>
  <c r="J21" i="43"/>
  <c r="H21" i="43"/>
  <c r="J20" i="43"/>
  <c r="H20" i="43"/>
  <c r="H19" i="43"/>
  <c r="J19" i="43"/>
  <c r="H18" i="43"/>
  <c r="J18" i="43"/>
  <c r="J17" i="43"/>
  <c r="H17" i="43"/>
  <c r="J16" i="43"/>
  <c r="H16" i="43"/>
  <c r="H15" i="43"/>
  <c r="J15" i="43"/>
  <c r="H14" i="43"/>
  <c r="J14" i="43"/>
  <c r="H13" i="43"/>
  <c r="J13" i="43"/>
  <c r="J12" i="43"/>
  <c r="H12" i="43"/>
  <c r="J11" i="43"/>
  <c r="H11" i="43"/>
  <c r="H10" i="43"/>
  <c r="J10" i="43"/>
  <c r="J9" i="43"/>
  <c r="H9" i="43"/>
  <c r="H8" i="43"/>
  <c r="J8" i="43"/>
  <c r="J7" i="43"/>
  <c r="H7" i="43"/>
  <c r="J6" i="43"/>
  <c r="H6" i="43"/>
  <c r="J5" i="43"/>
  <c r="H5" i="43"/>
  <c r="H4" i="43"/>
  <c r="J4" i="43"/>
  <c r="H3" i="43"/>
  <c r="J3" i="43"/>
  <c r="J2" i="43"/>
  <c r="H2" i="43"/>
  <c r="H101" i="42"/>
  <c r="J101" i="42"/>
  <c r="H100" i="42"/>
  <c r="J100" i="42"/>
  <c r="J99" i="42"/>
  <c r="H99" i="42"/>
  <c r="J98" i="42"/>
  <c r="H98" i="42"/>
  <c r="J97" i="42"/>
  <c r="H97" i="42"/>
  <c r="J96" i="42"/>
  <c r="H96" i="42"/>
  <c r="H95" i="42"/>
  <c r="J95" i="42"/>
  <c r="J94" i="42"/>
  <c r="H94" i="42"/>
  <c r="J93" i="42"/>
  <c r="H93" i="42"/>
  <c r="H92" i="42"/>
  <c r="J92" i="42"/>
  <c r="J91" i="42"/>
  <c r="H91" i="42"/>
  <c r="H90" i="42"/>
  <c r="J90" i="42"/>
  <c r="J89" i="42"/>
  <c r="H89" i="42"/>
  <c r="H88" i="42"/>
  <c r="J88" i="42"/>
  <c r="J87" i="42"/>
  <c r="H87" i="42"/>
  <c r="J86" i="42"/>
  <c r="H86" i="42"/>
  <c r="J85" i="42"/>
  <c r="H85" i="42"/>
  <c r="J84" i="42"/>
  <c r="H84" i="42"/>
  <c r="H83" i="42"/>
  <c r="J83" i="42"/>
  <c r="H82" i="42"/>
  <c r="J82" i="42"/>
  <c r="J81" i="42"/>
  <c r="H81" i="42"/>
  <c r="H80" i="42"/>
  <c r="J80" i="42"/>
  <c r="J79" i="42"/>
  <c r="H79" i="42"/>
  <c r="J78" i="42"/>
  <c r="H78" i="42"/>
  <c r="J77" i="42"/>
  <c r="H77" i="42"/>
  <c r="H76" i="42"/>
  <c r="J76" i="42"/>
  <c r="H75" i="42"/>
  <c r="J75" i="42"/>
  <c r="H74" i="42"/>
  <c r="J74" i="42"/>
  <c r="H73" i="42"/>
  <c r="J73" i="42"/>
  <c r="J72" i="42"/>
  <c r="H72" i="42"/>
  <c r="H55" i="42"/>
  <c r="J55" i="42"/>
  <c r="H54" i="42"/>
  <c r="J54" i="42"/>
  <c r="J53" i="42"/>
  <c r="H53" i="42"/>
  <c r="H52" i="42"/>
  <c r="J52" i="42"/>
  <c r="J51" i="42"/>
  <c r="H51" i="42"/>
  <c r="J50" i="42"/>
  <c r="H50" i="42"/>
  <c r="H49" i="42"/>
  <c r="J49" i="42"/>
  <c r="J48" i="42"/>
  <c r="H48" i="42"/>
  <c r="J47" i="42"/>
  <c r="H47" i="42"/>
  <c r="H46" i="42"/>
  <c r="J46" i="42"/>
  <c r="J45" i="42"/>
  <c r="H45" i="42"/>
  <c r="H44" i="42"/>
  <c r="J44" i="42"/>
  <c r="H43" i="42"/>
  <c r="J43" i="42"/>
  <c r="H42" i="42"/>
  <c r="J42" i="42"/>
  <c r="J41" i="42"/>
  <c r="H41" i="42"/>
  <c r="J40" i="42"/>
  <c r="H40" i="42"/>
  <c r="J39" i="42"/>
  <c r="H39" i="42"/>
  <c r="J38" i="42"/>
  <c r="H38" i="42"/>
  <c r="J37" i="42"/>
  <c r="H37" i="42"/>
  <c r="J22" i="42"/>
  <c r="H22" i="42"/>
  <c r="J21" i="42"/>
  <c r="H21" i="42"/>
  <c r="J20" i="42"/>
  <c r="H20" i="42"/>
  <c r="J19" i="42"/>
  <c r="H19" i="42"/>
  <c r="H18" i="42"/>
  <c r="J18" i="42"/>
  <c r="H17" i="42"/>
  <c r="J17" i="42"/>
  <c r="J16" i="42"/>
  <c r="H16" i="42"/>
  <c r="J15" i="42"/>
  <c r="H15" i="42"/>
  <c r="H14" i="42"/>
  <c r="J14" i="42"/>
  <c r="H13" i="42"/>
  <c r="J13" i="42"/>
  <c r="J12" i="42"/>
  <c r="H12" i="42"/>
  <c r="J11" i="42"/>
  <c r="H11" i="42"/>
  <c r="J10" i="42"/>
  <c r="H10" i="42"/>
  <c r="H9" i="42"/>
  <c r="J9" i="42"/>
  <c r="H8" i="42"/>
  <c r="J8" i="42"/>
  <c r="J7" i="42"/>
  <c r="H7" i="42"/>
  <c r="H6" i="42"/>
  <c r="J6" i="42"/>
  <c r="H5" i="42"/>
  <c r="J5" i="42"/>
  <c r="J4" i="42"/>
  <c r="H4" i="42"/>
  <c r="J3" i="42"/>
  <c r="H3" i="42"/>
  <c r="J2" i="42"/>
  <c r="H2" i="42"/>
  <c r="J101" i="41"/>
  <c r="H101" i="41"/>
  <c r="H100" i="41"/>
  <c r="J100" i="41"/>
  <c r="H99" i="41"/>
  <c r="J99" i="41"/>
  <c r="H98" i="41"/>
  <c r="J98" i="41"/>
  <c r="J97" i="41"/>
  <c r="H97" i="41"/>
  <c r="J96" i="41"/>
  <c r="H96" i="41"/>
  <c r="J95" i="41"/>
  <c r="H95" i="41"/>
  <c r="J94" i="41"/>
  <c r="H94" i="41"/>
  <c r="H93" i="41"/>
  <c r="J93" i="41"/>
  <c r="H92" i="41"/>
  <c r="J92" i="41"/>
  <c r="J91" i="41"/>
  <c r="H91" i="41"/>
  <c r="J90" i="41"/>
  <c r="H90" i="41"/>
  <c r="J89" i="41"/>
  <c r="H89" i="41"/>
  <c r="H88" i="41"/>
  <c r="J88" i="41"/>
  <c r="J87" i="41"/>
  <c r="H87" i="41"/>
  <c r="J86" i="41"/>
  <c r="H86" i="41"/>
  <c r="J85" i="41"/>
  <c r="H85" i="41"/>
  <c r="H84" i="41"/>
  <c r="J84" i="41"/>
  <c r="H83" i="41"/>
  <c r="J83" i="41"/>
  <c r="H82" i="41"/>
  <c r="J82" i="41"/>
  <c r="H81" i="41"/>
  <c r="J81" i="41"/>
  <c r="H80" i="41"/>
  <c r="J80" i="41"/>
  <c r="H79" i="41"/>
  <c r="J79" i="41"/>
  <c r="J78" i="41"/>
  <c r="H78" i="41"/>
  <c r="H77" i="41"/>
  <c r="J77" i="41"/>
  <c r="J76" i="41"/>
  <c r="H76" i="41"/>
  <c r="H75" i="41"/>
  <c r="J75" i="41"/>
  <c r="J74" i="41"/>
  <c r="H74" i="41"/>
  <c r="H73" i="41"/>
  <c r="J73" i="41"/>
  <c r="H72" i="41"/>
  <c r="J72" i="41"/>
  <c r="J71" i="41"/>
  <c r="H71" i="41"/>
  <c r="J70" i="41"/>
  <c r="H70" i="41"/>
  <c r="J69" i="41"/>
  <c r="H69" i="41"/>
  <c r="J68" i="41"/>
  <c r="H68" i="41"/>
  <c r="J67" i="41"/>
  <c r="H67" i="41"/>
  <c r="H66" i="41"/>
  <c r="J66" i="41"/>
  <c r="H65" i="41"/>
  <c r="J65" i="41"/>
  <c r="H64" i="41"/>
  <c r="J64" i="41"/>
  <c r="J63" i="41"/>
  <c r="H63" i="41"/>
  <c r="H62" i="41"/>
  <c r="J62" i="41"/>
  <c r="J61" i="41"/>
  <c r="H61" i="41"/>
  <c r="H60" i="41"/>
  <c r="J60" i="41"/>
  <c r="H59" i="41"/>
  <c r="J59" i="41"/>
  <c r="J58" i="41"/>
  <c r="H58" i="41"/>
  <c r="J57" i="41"/>
  <c r="H57" i="41"/>
  <c r="H56" i="41"/>
  <c r="J56" i="41"/>
  <c r="J55" i="41"/>
  <c r="H55" i="41"/>
  <c r="J54" i="41"/>
  <c r="H54" i="41"/>
  <c r="J53" i="41"/>
  <c r="H53" i="41"/>
  <c r="J52" i="41"/>
  <c r="H52" i="41"/>
  <c r="J51" i="41"/>
  <c r="H51" i="41"/>
  <c r="H50" i="41"/>
  <c r="J50" i="41"/>
  <c r="H49" i="41"/>
  <c r="J49" i="41"/>
  <c r="H48" i="41"/>
  <c r="J48" i="41"/>
  <c r="H47" i="41"/>
  <c r="J47" i="41"/>
  <c r="H46" i="41"/>
  <c r="J46" i="41"/>
  <c r="H45" i="41"/>
  <c r="J45" i="41"/>
  <c r="H44" i="41"/>
  <c r="J44" i="41"/>
  <c r="H43" i="41"/>
  <c r="J43" i="41"/>
  <c r="H42" i="41"/>
  <c r="J42" i="41"/>
  <c r="J41" i="41"/>
  <c r="H41" i="41"/>
  <c r="J40" i="41"/>
  <c r="H40" i="41"/>
  <c r="J39" i="41"/>
  <c r="H39" i="41"/>
  <c r="H38" i="41"/>
  <c r="J38" i="41"/>
  <c r="H37" i="41"/>
  <c r="J37" i="41"/>
  <c r="H36" i="41"/>
  <c r="J36" i="41"/>
  <c r="H35" i="41"/>
  <c r="J35" i="41"/>
  <c r="H34" i="41"/>
  <c r="J34" i="41"/>
  <c r="H33" i="41"/>
  <c r="J33" i="41"/>
  <c r="H32" i="41"/>
  <c r="J32" i="41"/>
  <c r="J31" i="41"/>
  <c r="H31" i="41"/>
  <c r="H30" i="41"/>
  <c r="J30" i="41"/>
  <c r="H29" i="41"/>
  <c r="J29" i="41"/>
  <c r="H28" i="41"/>
  <c r="J28" i="41"/>
  <c r="J27" i="41"/>
  <c r="H27" i="41"/>
  <c r="H26" i="41"/>
  <c r="J26" i="41"/>
  <c r="J25" i="41"/>
  <c r="H25" i="41"/>
  <c r="J24" i="41"/>
  <c r="H24" i="41"/>
  <c r="H23" i="41"/>
  <c r="J23" i="41"/>
  <c r="H22" i="41"/>
  <c r="J22" i="41"/>
  <c r="H21" i="41"/>
  <c r="J21" i="41"/>
  <c r="J20" i="41"/>
  <c r="H20" i="41"/>
  <c r="H19" i="41"/>
  <c r="J19" i="41"/>
  <c r="H18" i="41"/>
  <c r="J18" i="41"/>
  <c r="J17" i="41"/>
  <c r="H17" i="41"/>
  <c r="J16" i="41"/>
  <c r="H16" i="41"/>
  <c r="H15" i="41"/>
  <c r="J15" i="41"/>
  <c r="J98" i="37"/>
  <c r="H98" i="37"/>
  <c r="H79" i="37"/>
  <c r="J79" i="37"/>
  <c r="J78" i="37"/>
  <c r="H78" i="37"/>
  <c r="H77" i="37"/>
  <c r="J77" i="37"/>
  <c r="H76" i="37"/>
  <c r="J76" i="37"/>
  <c r="J75" i="37"/>
  <c r="H75" i="37"/>
  <c r="J74" i="37"/>
  <c r="H74" i="37"/>
  <c r="H73" i="37"/>
  <c r="J73" i="37"/>
  <c r="H72" i="37"/>
  <c r="J72" i="37"/>
  <c r="J71" i="37"/>
  <c r="H71" i="37"/>
  <c r="J70" i="37"/>
  <c r="H70" i="37"/>
  <c r="J69" i="37"/>
  <c r="H69" i="37"/>
  <c r="H68" i="37"/>
  <c r="J68" i="37"/>
  <c r="J67" i="37"/>
  <c r="H67" i="37"/>
  <c r="H66" i="37"/>
  <c r="J66" i="37"/>
  <c r="J65" i="37"/>
  <c r="H65" i="37"/>
  <c r="H64" i="37"/>
  <c r="J64" i="37"/>
  <c r="H63" i="37"/>
  <c r="J63" i="37"/>
  <c r="H62" i="37"/>
  <c r="J62" i="37"/>
  <c r="J61" i="37"/>
  <c r="H61" i="37"/>
  <c r="J60" i="37"/>
  <c r="H60" i="37"/>
  <c r="J59" i="37"/>
  <c r="H59" i="37"/>
  <c r="J58" i="37"/>
  <c r="H58" i="37"/>
  <c r="J57" i="37"/>
  <c r="H57" i="37"/>
  <c r="H56" i="37"/>
  <c r="J56" i="37"/>
  <c r="H55" i="37"/>
  <c r="J55" i="37"/>
  <c r="J54" i="37"/>
  <c r="H54" i="37"/>
  <c r="H53" i="37"/>
  <c r="J53" i="37"/>
  <c r="H52" i="37"/>
  <c r="J52" i="37"/>
  <c r="H51" i="37"/>
  <c r="J51" i="37"/>
  <c r="H50" i="37"/>
  <c r="J50" i="37"/>
  <c r="H49" i="37"/>
  <c r="J49" i="37"/>
  <c r="H48" i="37"/>
  <c r="J48" i="37"/>
  <c r="J47" i="37"/>
  <c r="H47" i="37"/>
  <c r="J46" i="37"/>
  <c r="H46" i="37"/>
  <c r="J45" i="37"/>
  <c r="H45" i="37"/>
  <c r="H44" i="37"/>
  <c r="J44" i="37"/>
  <c r="J43" i="37"/>
  <c r="H43" i="37"/>
  <c r="H42" i="37"/>
  <c r="J42" i="37"/>
  <c r="H41" i="37"/>
  <c r="J41" i="37"/>
  <c r="H40" i="37"/>
  <c r="J40" i="37"/>
  <c r="H39" i="37"/>
  <c r="J39" i="37"/>
  <c r="J38" i="37"/>
  <c r="H38" i="37"/>
  <c r="H37" i="37"/>
  <c r="J37" i="37"/>
  <c r="H36" i="37"/>
  <c r="J36" i="37"/>
  <c r="J35" i="37"/>
  <c r="H35" i="37"/>
  <c r="J34" i="37"/>
  <c r="H34" i="37"/>
  <c r="H33" i="37"/>
  <c r="J33" i="37"/>
  <c r="J32" i="37"/>
  <c r="H32" i="37"/>
  <c r="J31" i="37"/>
  <c r="H31" i="37"/>
  <c r="H30" i="37"/>
  <c r="J30" i="37"/>
  <c r="H29" i="37"/>
  <c r="J29" i="37"/>
  <c r="H28" i="37"/>
  <c r="J28" i="37"/>
  <c r="H27" i="37"/>
  <c r="J27" i="37"/>
  <c r="H26" i="37"/>
  <c r="J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J9" i="37"/>
  <c r="H9" i="37"/>
  <c r="H8" i="37"/>
  <c r="J8" i="37"/>
  <c r="J7" i="37"/>
  <c r="H7" i="37"/>
  <c r="H6" i="37"/>
  <c r="J6" i="37"/>
  <c r="J5" i="37"/>
  <c r="H5" i="37"/>
  <c r="J4" i="37"/>
  <c r="H4" i="37"/>
  <c r="J3" i="37"/>
  <c r="H3" i="37"/>
  <c r="H2" i="37"/>
  <c r="J2" i="37"/>
  <c r="H101" i="36"/>
  <c r="J101" i="36"/>
  <c r="J100" i="36"/>
  <c r="H100" i="36"/>
  <c r="H99" i="36"/>
  <c r="J99" i="36"/>
  <c r="J98" i="36"/>
  <c r="H98" i="36"/>
  <c r="H97" i="36"/>
  <c r="J97" i="36"/>
  <c r="H96" i="36"/>
  <c r="J96" i="36"/>
  <c r="H95" i="36"/>
  <c r="J95" i="36"/>
  <c r="H94" i="36"/>
  <c r="J94" i="36"/>
  <c r="H93" i="36"/>
  <c r="J93" i="36"/>
  <c r="H92" i="36"/>
  <c r="J92" i="36"/>
  <c r="J48" i="36"/>
  <c r="H48" i="36"/>
  <c r="J42" i="36"/>
  <c r="H42" i="36"/>
  <c r="J41" i="36"/>
  <c r="H41" i="36"/>
  <c r="H40" i="36"/>
  <c r="J40" i="36"/>
  <c r="H39" i="36"/>
  <c r="J39" i="36"/>
  <c r="H38" i="36"/>
  <c r="J38" i="36"/>
  <c r="J36" i="36"/>
  <c r="H36" i="36"/>
  <c r="H35" i="36"/>
  <c r="J35" i="36"/>
  <c r="J34" i="36"/>
  <c r="H34" i="36"/>
  <c r="H33" i="36"/>
  <c r="J33" i="36"/>
  <c r="J32" i="36"/>
  <c r="H32" i="36"/>
  <c r="H31" i="36"/>
  <c r="J31" i="36"/>
  <c r="J29" i="36"/>
  <c r="H29" i="36"/>
  <c r="H28" i="36"/>
  <c r="J28" i="36"/>
  <c r="J27" i="36"/>
  <c r="H27" i="36"/>
  <c r="H26" i="36"/>
  <c r="J26" i="36"/>
  <c r="H25" i="36"/>
  <c r="J25" i="36"/>
  <c r="J94" i="31"/>
  <c r="H94" i="31"/>
  <c r="H100" i="29"/>
  <c r="J100" i="29"/>
  <c r="H99" i="29"/>
  <c r="J99" i="29"/>
  <c r="H98" i="29"/>
  <c r="J98" i="29"/>
  <c r="J97" i="29"/>
  <c r="H97" i="29"/>
  <c r="J96" i="29"/>
  <c r="H96" i="29"/>
  <c r="J95" i="29"/>
  <c r="H95" i="29"/>
  <c r="H94" i="29"/>
  <c r="J94" i="29"/>
  <c r="J93" i="29"/>
  <c r="H93" i="29"/>
  <c r="H92" i="29"/>
  <c r="J92" i="29"/>
  <c r="J91" i="29"/>
  <c r="H91" i="29"/>
  <c r="J90" i="29"/>
  <c r="H90" i="29"/>
  <c r="J89" i="29"/>
  <c r="H89" i="29"/>
  <c r="J88" i="29"/>
  <c r="H88" i="29"/>
  <c r="H87" i="29"/>
  <c r="J87" i="29"/>
  <c r="J85" i="29"/>
  <c r="H85" i="29"/>
  <c r="H84" i="29"/>
  <c r="J84" i="29"/>
  <c r="J83" i="29"/>
  <c r="H83" i="29"/>
  <c r="J82" i="29"/>
  <c r="H82" i="29"/>
  <c r="H81" i="29"/>
  <c r="J81" i="29"/>
  <c r="J80" i="29"/>
  <c r="H80" i="29"/>
  <c r="H79" i="29"/>
  <c r="J79" i="29"/>
  <c r="H78" i="29"/>
  <c r="J78" i="29"/>
  <c r="H77" i="29"/>
  <c r="J77" i="29"/>
  <c r="J76" i="29"/>
  <c r="H76" i="29"/>
  <c r="J75" i="29"/>
  <c r="H75" i="29"/>
  <c r="J74" i="29"/>
  <c r="H74" i="29"/>
  <c r="H73" i="29"/>
  <c r="J73" i="29"/>
  <c r="J72" i="29"/>
  <c r="H72" i="29"/>
  <c r="J71" i="29"/>
  <c r="H71" i="29"/>
  <c r="H70" i="29"/>
  <c r="J70" i="29"/>
  <c r="J69" i="29"/>
  <c r="H69" i="29"/>
  <c r="H68" i="29"/>
  <c r="J68" i="29"/>
  <c r="J67" i="29"/>
  <c r="H67" i="29"/>
  <c r="H66" i="29"/>
  <c r="J66" i="29"/>
  <c r="J65" i="29"/>
  <c r="H65" i="29"/>
  <c r="J64" i="29"/>
  <c r="H64" i="29"/>
  <c r="H63" i="29"/>
  <c r="J63" i="29"/>
  <c r="H62" i="29"/>
  <c r="J62" i="29"/>
  <c r="H61" i="29"/>
  <c r="J61" i="29"/>
  <c r="J60" i="29"/>
  <c r="H60" i="29"/>
  <c r="J101" i="28"/>
  <c r="H101" i="28"/>
  <c r="H100" i="28"/>
  <c r="J100" i="28"/>
  <c r="J99" i="28"/>
  <c r="H99" i="28"/>
  <c r="J98" i="28"/>
  <c r="H98" i="28"/>
  <c r="J97" i="28"/>
  <c r="H97" i="28"/>
  <c r="J96" i="28"/>
  <c r="H96" i="28"/>
  <c r="J95" i="28"/>
  <c r="H95" i="28"/>
  <c r="J94" i="28"/>
  <c r="H94" i="28"/>
  <c r="J93" i="28"/>
  <c r="H93" i="28"/>
  <c r="H92" i="28"/>
  <c r="J92" i="28"/>
  <c r="J91" i="28"/>
  <c r="H91" i="28"/>
  <c r="H90" i="28"/>
  <c r="J90" i="28"/>
  <c r="J89" i="28"/>
  <c r="H89" i="28"/>
  <c r="J88" i="28"/>
  <c r="H88" i="28"/>
  <c r="J87" i="28"/>
  <c r="H87" i="28"/>
  <c r="H86" i="28"/>
  <c r="J86" i="28"/>
  <c r="H85" i="28"/>
  <c r="J85" i="28"/>
  <c r="H84" i="28"/>
  <c r="J84" i="28"/>
  <c r="J83" i="28"/>
  <c r="H83" i="28"/>
  <c r="J82" i="28"/>
  <c r="H82" i="28"/>
  <c r="J81" i="28"/>
  <c r="H81" i="28"/>
  <c r="J80" i="28"/>
  <c r="H80" i="28"/>
  <c r="J79" i="28"/>
  <c r="H79" i="28"/>
  <c r="H78" i="28"/>
  <c r="J78" i="28"/>
  <c r="J77" i="28"/>
  <c r="H77" i="28"/>
  <c r="H76" i="28"/>
  <c r="J76" i="28"/>
  <c r="J75" i="28"/>
  <c r="H75" i="28"/>
  <c r="J74" i="28"/>
  <c r="H74" i="28"/>
  <c r="J73" i="28"/>
  <c r="H73" i="28"/>
  <c r="H72" i="28"/>
  <c r="J72" i="28"/>
  <c r="H71" i="28"/>
  <c r="J71" i="28"/>
  <c r="H70" i="28"/>
  <c r="J70" i="28"/>
  <c r="J69" i="28"/>
  <c r="H69" i="28"/>
  <c r="H68" i="28"/>
  <c r="J68" i="28"/>
  <c r="J67" i="28"/>
  <c r="H67" i="28"/>
  <c r="J66" i="28"/>
  <c r="H66" i="28"/>
  <c r="J65" i="28"/>
  <c r="H65" i="28"/>
  <c r="J64" i="28"/>
  <c r="H64" i="28"/>
  <c r="H63" i="28"/>
  <c r="J63" i="28"/>
  <c r="J62" i="28"/>
  <c r="H62" i="28"/>
  <c r="H61" i="28"/>
  <c r="J61" i="28"/>
  <c r="J60" i="28"/>
  <c r="H60" i="28"/>
  <c r="H59" i="28"/>
  <c r="J59" i="28"/>
  <c r="H58" i="28"/>
  <c r="J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J98" i="27"/>
  <c r="H98" i="27"/>
  <c r="H97" i="27"/>
  <c r="J97" i="27"/>
  <c r="H96" i="27"/>
  <c r="J96" i="27"/>
  <c r="J95" i="27"/>
  <c r="H95" i="27"/>
  <c r="H94" i="27"/>
  <c r="J94" i="27"/>
  <c r="J93" i="27"/>
  <c r="H93" i="27"/>
  <c r="J92" i="27"/>
  <c r="H92" i="27"/>
  <c r="J91" i="27"/>
  <c r="H91" i="27"/>
  <c r="H90" i="27"/>
  <c r="J90" i="27"/>
  <c r="J89" i="27"/>
  <c r="H89" i="27"/>
  <c r="H88" i="27"/>
  <c r="J88" i="27"/>
  <c r="J87" i="27"/>
  <c r="H87" i="27"/>
  <c r="J86" i="27"/>
  <c r="H86" i="27"/>
  <c r="H85" i="27"/>
  <c r="J85" i="27"/>
  <c r="H84" i="27"/>
  <c r="J84" i="27"/>
  <c r="H83" i="27"/>
  <c r="J83" i="27"/>
  <c r="J82" i="27"/>
  <c r="H82" i="27"/>
  <c r="J81" i="27"/>
  <c r="H81" i="27"/>
  <c r="J80" i="27"/>
  <c r="H80" i="27"/>
  <c r="H79" i="27"/>
  <c r="J79" i="27"/>
  <c r="J78" i="27"/>
  <c r="H78" i="27"/>
  <c r="H77" i="27"/>
  <c r="J77" i="27"/>
  <c r="H76" i="27"/>
  <c r="J76" i="27"/>
  <c r="J75" i="27"/>
  <c r="H75" i="27"/>
  <c r="H74" i="27"/>
  <c r="J74" i="27"/>
  <c r="J73" i="27"/>
  <c r="H73" i="27"/>
  <c r="J72" i="27"/>
  <c r="H72" i="27"/>
  <c r="J71" i="27"/>
  <c r="H71" i="27"/>
  <c r="H70" i="27"/>
  <c r="J70" i="27"/>
  <c r="H69" i="27"/>
  <c r="J69" i="27"/>
  <c r="J68" i="27"/>
  <c r="H68" i="27"/>
  <c r="H67" i="27"/>
  <c r="J67" i="27"/>
  <c r="J66" i="27"/>
  <c r="H66" i="27"/>
  <c r="H65" i="27"/>
  <c r="J65" i="27"/>
  <c r="J64" i="27"/>
  <c r="H64" i="27"/>
  <c r="J63" i="27"/>
  <c r="H63" i="27"/>
  <c r="H62" i="27"/>
  <c r="J62" i="27"/>
  <c r="J61" i="27"/>
  <c r="H61" i="27"/>
  <c r="J60" i="27"/>
  <c r="H60" i="27"/>
  <c r="J59" i="27"/>
  <c r="H59" i="27"/>
  <c r="J58" i="27"/>
  <c r="H58" i="27"/>
  <c r="J57" i="27"/>
  <c r="H57" i="27"/>
  <c r="J56" i="27"/>
  <c r="H56" i="27"/>
  <c r="H55" i="27"/>
  <c r="J55" i="27"/>
  <c r="H54" i="27"/>
  <c r="J54" i="27"/>
  <c r="J53" i="27"/>
  <c r="H53" i="27"/>
  <c r="J52" i="27"/>
  <c r="H52" i="27"/>
  <c r="J51" i="27"/>
  <c r="H51" i="27"/>
  <c r="H50" i="27"/>
  <c r="J50" i="27"/>
  <c r="J49" i="27"/>
  <c r="H49" i="27"/>
  <c r="H48" i="27"/>
  <c r="J48" i="27"/>
  <c r="H47" i="27"/>
  <c r="J47" i="27"/>
  <c r="H46" i="27"/>
  <c r="J46" i="27"/>
  <c r="J45" i="27"/>
  <c r="H45" i="27"/>
  <c r="J44" i="27"/>
  <c r="H44" i="27"/>
  <c r="H43" i="27"/>
  <c r="J43" i="27"/>
  <c r="J42" i="27"/>
  <c r="H42" i="27"/>
  <c r="J41" i="27"/>
  <c r="H41" i="27"/>
  <c r="H40" i="27"/>
  <c r="J40" i="27"/>
  <c r="J39" i="27"/>
  <c r="H39" i="27"/>
  <c r="H38" i="27"/>
  <c r="J38" i="27"/>
  <c r="J37" i="27"/>
  <c r="H37" i="27"/>
  <c r="H36" i="27"/>
  <c r="J36" i="27"/>
  <c r="H35" i="27"/>
  <c r="J35" i="27"/>
  <c r="H34" i="27"/>
  <c r="J34" i="27"/>
  <c r="J33" i="27"/>
  <c r="H33" i="27"/>
  <c r="H101" i="26"/>
  <c r="J101" i="26"/>
  <c r="H100" i="26"/>
  <c r="J100" i="26"/>
  <c r="H99" i="26"/>
  <c r="J99" i="26"/>
  <c r="H98" i="26"/>
  <c r="J98" i="26"/>
  <c r="H97" i="26"/>
  <c r="J97" i="26"/>
  <c r="J96" i="26"/>
  <c r="H96" i="26"/>
  <c r="H95" i="26"/>
  <c r="J95" i="26"/>
  <c r="J94" i="26"/>
  <c r="H94" i="26"/>
  <c r="J93" i="26"/>
  <c r="H93" i="26"/>
  <c r="H92" i="26"/>
  <c r="J92" i="26"/>
  <c r="J91" i="26"/>
  <c r="H91" i="26"/>
  <c r="H90" i="26"/>
  <c r="J90" i="26"/>
  <c r="J89" i="26"/>
  <c r="H89" i="26"/>
  <c r="J88" i="26"/>
  <c r="H88" i="26"/>
  <c r="H87" i="26"/>
  <c r="J87" i="26"/>
  <c r="J86" i="26"/>
  <c r="H86" i="26"/>
  <c r="J85" i="26"/>
  <c r="H85" i="26"/>
  <c r="J84" i="26"/>
  <c r="H84" i="26"/>
  <c r="J83" i="26"/>
  <c r="H83" i="26"/>
  <c r="H82" i="26"/>
  <c r="J82" i="26"/>
  <c r="J81" i="26"/>
  <c r="H81" i="26"/>
  <c r="H80" i="26"/>
  <c r="J80" i="26"/>
  <c r="H79" i="26"/>
  <c r="J79" i="26"/>
  <c r="J78" i="26"/>
  <c r="H78" i="26"/>
  <c r="J77" i="26"/>
  <c r="H77" i="26"/>
  <c r="J76" i="26"/>
  <c r="H76" i="26"/>
  <c r="J75" i="26"/>
  <c r="H75" i="26"/>
  <c r="H74" i="26"/>
  <c r="J74" i="26"/>
  <c r="H73" i="26"/>
  <c r="J73" i="26"/>
  <c r="H72" i="26"/>
  <c r="J72" i="26"/>
  <c r="J71" i="26"/>
  <c r="H71" i="26"/>
  <c r="J70" i="26"/>
  <c r="H70" i="26"/>
  <c r="H69" i="26"/>
  <c r="J69" i="26"/>
  <c r="J68" i="26"/>
  <c r="H68" i="26"/>
  <c r="H67" i="26"/>
  <c r="J67" i="26"/>
  <c r="H66" i="26"/>
  <c r="J66" i="26"/>
  <c r="H65" i="26"/>
  <c r="J65" i="26"/>
  <c r="H64" i="26"/>
  <c r="J64" i="26"/>
  <c r="J63" i="26"/>
  <c r="H63" i="26"/>
  <c r="H62" i="26"/>
  <c r="J62" i="26"/>
  <c r="H61" i="26"/>
  <c r="J61" i="26"/>
  <c r="H60" i="26"/>
  <c r="J60" i="26"/>
  <c r="H59" i="26"/>
  <c r="J59" i="26"/>
  <c r="J58" i="26"/>
  <c r="H58" i="26"/>
  <c r="H57" i="26"/>
  <c r="J57" i="26"/>
  <c r="J56" i="26"/>
  <c r="H56" i="26"/>
  <c r="J55" i="26"/>
  <c r="H55" i="26"/>
  <c r="J54" i="26"/>
  <c r="H54" i="26"/>
  <c r="J53" i="26"/>
  <c r="H53" i="26"/>
  <c r="J52" i="26"/>
  <c r="H52" i="26"/>
  <c r="J51" i="26"/>
  <c r="H51" i="26"/>
  <c r="H50" i="26"/>
  <c r="J50" i="26"/>
  <c r="J49" i="26"/>
  <c r="H49" i="26"/>
  <c r="H48" i="26"/>
  <c r="J48" i="26"/>
  <c r="H47" i="26"/>
  <c r="J47" i="26"/>
  <c r="J46" i="26"/>
  <c r="H46" i="26"/>
  <c r="H45" i="26"/>
  <c r="J45" i="26"/>
  <c r="J44" i="26"/>
  <c r="H44" i="26"/>
  <c r="J43" i="26"/>
  <c r="H43" i="26"/>
  <c r="H42" i="26"/>
  <c r="J42" i="26"/>
  <c r="H41" i="26"/>
  <c r="J41" i="26"/>
  <c r="H40" i="26"/>
  <c r="J40" i="26"/>
  <c r="H39" i="26"/>
  <c r="J39" i="26"/>
  <c r="H38" i="26"/>
  <c r="J38" i="26"/>
  <c r="J37" i="26"/>
  <c r="H37" i="26"/>
  <c r="J36" i="26"/>
  <c r="H36" i="26"/>
  <c r="H35" i="26"/>
  <c r="J35" i="26"/>
  <c r="J34" i="26"/>
  <c r="H34" i="26"/>
  <c r="H33" i="26"/>
  <c r="J33" i="26"/>
  <c r="H32" i="26"/>
  <c r="J32" i="26"/>
  <c r="H101" i="25"/>
  <c r="J101" i="25"/>
  <c r="J100" i="25"/>
  <c r="H100" i="25"/>
  <c r="J99" i="25"/>
  <c r="H99" i="25"/>
  <c r="H98" i="25"/>
  <c r="J98" i="25"/>
  <c r="H97" i="25"/>
  <c r="J97" i="25"/>
  <c r="J96" i="25"/>
  <c r="H96" i="25"/>
  <c r="H95" i="25"/>
  <c r="J95" i="25"/>
  <c r="J94" i="25"/>
  <c r="H94" i="25"/>
  <c r="J93" i="25"/>
  <c r="H93" i="25"/>
  <c r="J92" i="25"/>
  <c r="H92" i="25"/>
  <c r="H91" i="25"/>
  <c r="J91" i="25"/>
  <c r="J90" i="25"/>
  <c r="H90" i="25"/>
  <c r="J89" i="25"/>
  <c r="H89" i="25"/>
  <c r="J88" i="25"/>
  <c r="H88" i="25"/>
  <c r="J87" i="25"/>
  <c r="H87" i="25"/>
  <c r="H86" i="25"/>
  <c r="J86" i="25"/>
  <c r="H85" i="25"/>
  <c r="J85" i="25"/>
  <c r="J84" i="25"/>
  <c r="H84" i="25"/>
  <c r="H83" i="25"/>
  <c r="J83" i="25"/>
  <c r="H82" i="25"/>
  <c r="J82" i="25"/>
  <c r="J81" i="25"/>
  <c r="H81" i="25"/>
  <c r="H80" i="25"/>
  <c r="J80" i="25"/>
  <c r="J79" i="25"/>
  <c r="H79" i="25"/>
  <c r="H78" i="25"/>
  <c r="J78" i="25"/>
  <c r="J77" i="25"/>
  <c r="H77" i="25"/>
  <c r="H76" i="25"/>
  <c r="J76" i="25"/>
  <c r="H75" i="25"/>
  <c r="J75" i="25"/>
  <c r="H74" i="25"/>
  <c r="J74" i="25"/>
  <c r="H73" i="25"/>
  <c r="J73" i="25"/>
  <c r="J72" i="25"/>
  <c r="H72" i="25"/>
  <c r="H71" i="25"/>
  <c r="J71" i="25"/>
  <c r="J70" i="25"/>
  <c r="H70" i="25"/>
  <c r="J69" i="25"/>
  <c r="H69" i="25"/>
  <c r="H68" i="25"/>
  <c r="J68" i="25"/>
  <c r="J67" i="25"/>
  <c r="H67" i="25"/>
  <c r="J66" i="25"/>
  <c r="H66" i="25"/>
  <c r="J65" i="25"/>
  <c r="H65" i="25"/>
  <c r="J64" i="25"/>
  <c r="H64" i="25"/>
  <c r="H63" i="25"/>
  <c r="J63" i="25"/>
  <c r="H62" i="25"/>
  <c r="J62" i="25"/>
  <c r="H61" i="25"/>
  <c r="J61" i="25"/>
  <c r="J60" i="25"/>
  <c r="H60" i="25"/>
  <c r="J59" i="25"/>
  <c r="H59" i="25"/>
  <c r="H58" i="25"/>
  <c r="J58" i="25"/>
  <c r="J57" i="25"/>
  <c r="H57" i="25"/>
  <c r="J56" i="25"/>
  <c r="H56" i="25"/>
  <c r="J55" i="25"/>
  <c r="H55" i="25"/>
  <c r="J54" i="25"/>
  <c r="H54" i="25"/>
  <c r="J53" i="25"/>
  <c r="H53" i="25"/>
  <c r="J52" i="25"/>
  <c r="H52" i="25"/>
  <c r="H51" i="25"/>
  <c r="J51" i="25"/>
  <c r="J50" i="25"/>
  <c r="H50" i="25"/>
  <c r="J49" i="25"/>
  <c r="H49" i="25"/>
  <c r="J48" i="25"/>
  <c r="H48" i="25"/>
  <c r="H47" i="25"/>
  <c r="J47" i="25"/>
  <c r="J46" i="25"/>
  <c r="H46" i="25"/>
  <c r="J45" i="25"/>
  <c r="H45" i="25"/>
  <c r="H42" i="25"/>
  <c r="J42" i="25"/>
  <c r="J41" i="25"/>
  <c r="H41" i="25"/>
  <c r="J39" i="25"/>
  <c r="H39" i="25"/>
  <c r="J38" i="25"/>
  <c r="H38" i="25"/>
  <c r="J37" i="25"/>
  <c r="H37" i="25"/>
  <c r="J36" i="25"/>
  <c r="H36" i="25"/>
  <c r="H101" i="24"/>
  <c r="J101" i="24"/>
  <c r="J100" i="24"/>
  <c r="H100" i="24"/>
  <c r="H99" i="24"/>
  <c r="J99" i="24"/>
  <c r="J98" i="24"/>
  <c r="H98" i="24"/>
  <c r="J97" i="24"/>
  <c r="H97" i="24"/>
  <c r="H96" i="24"/>
  <c r="J96" i="24"/>
  <c r="J95" i="24"/>
  <c r="H95" i="24"/>
  <c r="H94" i="24"/>
  <c r="J94" i="24"/>
  <c r="J36" i="24"/>
  <c r="H36" i="24"/>
  <c r="H35" i="24"/>
  <c r="J35" i="24"/>
  <c r="J34" i="24"/>
  <c r="H34" i="24"/>
  <c r="J33" i="24"/>
  <c r="H33" i="24"/>
  <c r="J32" i="24"/>
  <c r="H32" i="24"/>
  <c r="J31" i="24"/>
  <c r="H31" i="24"/>
  <c r="J30" i="24"/>
  <c r="H30" i="24"/>
  <c r="H29" i="24"/>
  <c r="J29" i="24"/>
  <c r="J28" i="24"/>
  <c r="H28" i="24"/>
  <c r="H27" i="24"/>
  <c r="J27" i="24"/>
  <c r="H101" i="23"/>
  <c r="J101" i="23"/>
  <c r="J100" i="23"/>
  <c r="H100" i="23"/>
  <c r="H99" i="23"/>
  <c r="J99" i="23"/>
  <c r="J98" i="23"/>
  <c r="H98" i="23"/>
  <c r="J97" i="23"/>
  <c r="H97" i="23"/>
  <c r="J96" i="23"/>
  <c r="H96" i="23"/>
  <c r="J95" i="23"/>
  <c r="H95" i="23"/>
  <c r="J94" i="23"/>
  <c r="H94" i="23"/>
  <c r="J93" i="23"/>
  <c r="H93" i="23"/>
  <c r="J92" i="23"/>
  <c r="H92" i="23"/>
  <c r="H91" i="23"/>
  <c r="J91" i="23"/>
  <c r="J90" i="23"/>
  <c r="H90" i="23"/>
  <c r="J89" i="23"/>
  <c r="H89" i="23"/>
  <c r="J88" i="23"/>
  <c r="H88" i="23"/>
  <c r="J87" i="23"/>
  <c r="H87" i="23"/>
  <c r="H86" i="23"/>
  <c r="J86" i="23"/>
  <c r="H85" i="23"/>
  <c r="J85" i="23"/>
  <c r="J84" i="23"/>
  <c r="H84" i="23"/>
  <c r="J83" i="23"/>
  <c r="H83" i="23"/>
  <c r="H82" i="23"/>
  <c r="J82" i="23"/>
  <c r="J81" i="23"/>
  <c r="H81" i="23"/>
  <c r="H80" i="23"/>
  <c r="J80" i="23"/>
  <c r="J79" i="23"/>
  <c r="H79" i="23"/>
  <c r="H78" i="23"/>
  <c r="J78" i="23"/>
  <c r="J77" i="23"/>
  <c r="H77" i="23"/>
  <c r="J76" i="23"/>
  <c r="H76" i="23"/>
  <c r="J75" i="23"/>
  <c r="H75" i="23"/>
  <c r="H74" i="23"/>
  <c r="J74" i="23"/>
  <c r="H73" i="23"/>
  <c r="J73" i="23"/>
  <c r="J72" i="23"/>
  <c r="H72" i="23"/>
  <c r="J71" i="23"/>
  <c r="H71" i="23"/>
  <c r="J70" i="23"/>
  <c r="H70" i="23"/>
  <c r="H69" i="23"/>
  <c r="J69" i="23"/>
  <c r="H68" i="23"/>
  <c r="J68" i="23"/>
  <c r="H67" i="23"/>
  <c r="J67" i="23"/>
  <c r="J66" i="23"/>
  <c r="H66" i="23"/>
  <c r="J65" i="23"/>
  <c r="H65" i="23"/>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H101" i="22"/>
  <c r="J101" i="22"/>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J7" i="33"/>
  <c r="H7" i="33"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<sst xmlns="http://schemas.openxmlformats.org/spreadsheetml/2006/main" count="15348" uniqueCount="644">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</sst>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5" workbookViewId="0">
      <selection activeCell="L127" sqref="L127"/>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605</v>
      </c>
      <c r="C25" t="s">
        <v>604</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628</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605</v>
      </c>
      <c r="C25" s="64" t="s">
        <v>604</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8"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opLeftCell="B1" zoomScale="120" workbookViewId="0">
      <selection activeCell="B26" sqref="B26:E27"/>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603</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629</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5" workbookViewId="0">
      <selection activeCell="C36" sqref="C36"/>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599</v>
      </c>
      <c r="B15" t="s">
        <v>391</v>
      </c>
      <c r="C15" s="36" t="str">
        <f t="shared" si="0"/>
        <v>Evan Collett (G Fox) (KCC)</v>
      </c>
    </row>
    <row r="16" spans="1:8" ht="14.25">
      <c r="A16" t="s">
        <v>631</v>
      </c>
      <c r="B16" t="s">
        <v>391</v>
      </c>
      <c r="C16" s="36" t="str">
        <f t="shared" si="0"/>
        <v>Ian Bird (KCC)</v>
      </c>
    </row>
    <row r="17" spans="1:4" ht="14.25">
      <c r="A17" t="s">
        <v>487</v>
      </c>
      <c r="B17" t="s">
        <v>391</v>
      </c>
      <c r="C17" s="36" t="str">
        <f t="shared" si="0"/>
        <v>Josh Brown (KCC)</v>
      </c>
    </row>
    <row r="18" spans="1:4" ht="14.25">
      <c r="A18" t="s">
        <v>592</v>
      </c>
      <c r="B18" t="s">
        <v>391</v>
      </c>
      <c r="C18" s="36" t="str">
        <f t="shared" si="0"/>
        <v>Maria Cayford (KCC)</v>
      </c>
      <c r="D18" t="s">
        <v>372</v>
      </c>
    </row>
    <row r="19" spans="1:4" ht="14.25">
      <c r="A19" t="s">
        <v>630</v>
      </c>
      <c r="B19" t="s">
        <v>391</v>
      </c>
      <c r="C19" s="36" t="str">
        <f t="shared" si="0"/>
        <v>Michael Wheeler (KCC)</v>
      </c>
    </row>
    <row r="20" spans="1:4" ht="14.25">
      <c r="A20" t="s">
        <v>488</v>
      </c>
      <c r="B20" t="s">
        <v>400</v>
      </c>
      <c r="C20" s="36" t="str">
        <f t="shared" si="0"/>
        <v>Harriet Hughes (LFCC)</v>
      </c>
      <c r="D20" t="s">
        <v>372</v>
      </c>
    </row>
    <row r="21" spans="1:4" ht="14.25">
      <c r="A21" t="s">
        <v>489</v>
      </c>
      <c r="B21" t="s">
        <v>400</v>
      </c>
      <c r="C21" s="36" t="str">
        <f t="shared" si="0"/>
        <v>Mat Mabe (LFCC)</v>
      </c>
    </row>
    <row r="22" spans="1:4" ht="14.25">
      <c r="A22" t="s">
        <v>490</v>
      </c>
      <c r="B22" t="s">
        <v>400</v>
      </c>
      <c r="C22" s="36" t="str">
        <f t="shared" si="0"/>
        <v>Matt Finch (LFCC)</v>
      </c>
    </row>
    <row r="23" spans="1:4" ht="14.25">
      <c r="A23" t="s">
        <v>491</v>
      </c>
      <c r="B23" t="s">
        <v>400</v>
      </c>
      <c r="C23" s="36" t="str">
        <f t="shared" si="0"/>
        <v>Morris Mabe (LFCC)</v>
      </c>
    </row>
    <row r="24" spans="1:4" ht="14.25">
      <c r="A24" t="s">
        <v>492</v>
      </c>
      <c r="B24" t="s">
        <v>400</v>
      </c>
      <c r="C24" s="36" t="str">
        <f t="shared" si="0"/>
        <v>Sam Nettel (LFCC)</v>
      </c>
    </row>
    <row r="25" spans="1:4" ht="14.25">
      <c r="A25" t="s">
        <v>493</v>
      </c>
      <c r="B25" t="s">
        <v>400</v>
      </c>
      <c r="C25" s="36" t="str">
        <f t="shared" si="0"/>
        <v>Talles Medevives (LFCC)</v>
      </c>
    </row>
    <row r="26" spans="1:4" ht="14.25">
      <c r="A26" t="s">
        <v>494</v>
      </c>
      <c r="B26" t="s">
        <v>495</v>
      </c>
      <c r="C26" s="36" t="str">
        <f t="shared" si="0"/>
        <v>Dean Tacey (LRC)</v>
      </c>
    </row>
    <row r="27" spans="1:4" ht="14.25">
      <c r="A27" t="s">
        <v>496</v>
      </c>
      <c r="B27" t="s">
        <v>497</v>
      </c>
      <c r="C27" s="36" t="str">
        <f t="shared" si="0"/>
        <v>Chris Booth (MOCC)</v>
      </c>
    </row>
    <row r="28" spans="1:4" ht="14.25">
      <c r="A28" t="s">
        <v>498</v>
      </c>
      <c r="B28" t="s">
        <v>497</v>
      </c>
      <c r="C28" s="36" t="str">
        <f t="shared" si="0"/>
        <v>David Cooper (MOCC)</v>
      </c>
    </row>
    <row r="29" spans="1:4" ht="14.25">
      <c r="A29" t="s">
        <v>499</v>
      </c>
      <c r="B29" t="s">
        <v>497</v>
      </c>
      <c r="C29" s="36" t="str">
        <f t="shared" si="0"/>
        <v>Jamie Haines (MOCC)</v>
      </c>
    </row>
    <row r="30" spans="1:4" ht="14.25">
      <c r="A30" t="s">
        <v>500</v>
      </c>
      <c r="B30" t="s">
        <v>497</v>
      </c>
      <c r="C30" s="36" t="str">
        <f t="shared" si="0"/>
        <v>Laura Ayers (W) (MOCC)</v>
      </c>
      <c r="D30" t="s">
        <v>372</v>
      </c>
    </row>
    <row r="31" spans="1:4" ht="14.25">
      <c r="A31" t="s">
        <v>502</v>
      </c>
      <c r="B31" t="s">
        <v>503</v>
      </c>
      <c r="C31" s="36" t="str">
        <f t="shared" si="0"/>
        <v>Lewis Cooper (RAF Tri)</v>
      </c>
    </row>
    <row r="32" spans="1:4" ht="14.25">
      <c r="A32" t="s">
        <v>504</v>
      </c>
      <c r="B32" t="s">
        <v>394</v>
      </c>
      <c r="C32" s="36" t="str">
        <f t="shared" si="0"/>
        <v>Alex Whitmore (Ratae)</v>
      </c>
    </row>
    <row r="33" spans="1:4" ht="14.25">
      <c r="A33" t="s">
        <v>505</v>
      </c>
      <c r="B33" t="s">
        <v>394</v>
      </c>
      <c r="C33" s="36" t="str">
        <f t="shared" si="0"/>
        <v>Brian Lincoln (Ratae)</v>
      </c>
    </row>
    <row r="34" spans="1:4" ht="14.25">
      <c r="A34" t="s">
        <v>506</v>
      </c>
      <c r="B34" t="s">
        <v>394</v>
      </c>
      <c r="C34" s="36" t="str">
        <f t="shared" si="0"/>
        <v>Chris Bonsor (Ratae)</v>
      </c>
    </row>
    <row r="35" spans="1:4" ht="14.25">
      <c r="A35" t="s">
        <v>507</v>
      </c>
      <c r="B35" t="s">
        <v>394</v>
      </c>
      <c r="C35" s="36" t="str">
        <f t="shared" si="0"/>
        <v>Chris Spray (Ratae)</v>
      </c>
    </row>
    <row r="36" spans="1:4" ht="14.25">
      <c r="A36" t="s">
        <v>508</v>
      </c>
      <c r="B36" t="s">
        <v>394</v>
      </c>
      <c r="C36" s="36" t="str">
        <f t="shared" ref="C36:C67" si="1">IF(ISBLANK(B36),IF(ISBLANK(A36),"",A36),_xlfn.CONCAT(A36," (",B36,")"))</f>
        <v>Debbie Cooper (Ratae)</v>
      </c>
      <c r="D36" t="s">
        <v>372</v>
      </c>
    </row>
    <row r="37" spans="1:4" ht="14.25">
      <c r="A37" t="s">
        <v>509</v>
      </c>
      <c r="B37" t="s">
        <v>394</v>
      </c>
      <c r="C37" s="36" t="str">
        <f t="shared" si="1"/>
        <v>Ed Watson (Ratae)</v>
      </c>
    </row>
    <row r="38" spans="1:4" ht="14.25">
      <c r="A38" t="s">
        <v>584</v>
      </c>
      <c r="B38" s="63" t="s">
        <v>394</v>
      </c>
      <c r="C38" s="36" t="str">
        <f t="shared" si="1"/>
        <v>Geoff Stanbridge (Ratae)</v>
      </c>
    </row>
    <row r="39" spans="1:4" ht="14.25">
      <c r="A39" t="s">
        <v>510</v>
      </c>
      <c r="B39" t="s">
        <v>394</v>
      </c>
      <c r="C39" s="36" t="str">
        <f t="shared" si="1"/>
        <v>Jonathon Clarke (Ratae)</v>
      </c>
      <c r="D39" s="36"/>
    </row>
    <row r="40" spans="1:4" ht="14.25">
      <c r="A40" t="s">
        <v>511</v>
      </c>
      <c r="B40" t="s">
        <v>394</v>
      </c>
      <c r="C40" s="36" t="str">
        <f t="shared" si="1"/>
        <v>Lesley Allden (Ratae)</v>
      </c>
      <c r="D40" t="s">
        <v>372</v>
      </c>
    </row>
    <row r="41" spans="1:4" ht="14.25">
      <c r="A41" t="s">
        <v>512</v>
      </c>
      <c r="B41" t="s">
        <v>394</v>
      </c>
      <c r="C41" s="36" t="str">
        <f t="shared" si="1"/>
        <v>Lucy Sturgess (Ratae)</v>
      </c>
      <c r="D41" t="s">
        <v>372</v>
      </c>
    </row>
    <row r="42" spans="1:4" ht="14.25">
      <c r="A42" t="s">
        <v>513</v>
      </c>
      <c r="B42" t="s">
        <v>394</v>
      </c>
      <c r="C42" s="36" t="str">
        <f t="shared" si="1"/>
        <v>Mark Marmoy (Ratae)</v>
      </c>
    </row>
    <row r="43" spans="1:4" ht="14.25">
      <c r="A43" t="s">
        <v>514</v>
      </c>
      <c r="B43" t="s">
        <v>394</v>
      </c>
      <c r="C43" s="36" t="str">
        <f t="shared" si="1"/>
        <v>Mark Newton (Ratae)</v>
      </c>
    </row>
    <row r="44" spans="1:4" ht="14.25">
      <c r="A44" t="s">
        <v>515</v>
      </c>
      <c r="B44" t="s">
        <v>394</v>
      </c>
      <c r="C44" s="36" t="str">
        <f t="shared" si="1"/>
        <v>Marshall Briggs (Ratae)</v>
      </c>
    </row>
    <row r="45" spans="1:4" ht="14.25">
      <c r="A45" t="s">
        <v>516</v>
      </c>
      <c r="B45" t="s">
        <v>394</v>
      </c>
      <c r="C45" s="36" t="str">
        <f t="shared" si="1"/>
        <v>Natalie Harris (Ratae)</v>
      </c>
      <c r="D45" t="s">
        <v>372</v>
      </c>
    </row>
    <row r="46" spans="1:4" ht="14.25">
      <c r="A46" t="s">
        <v>517</v>
      </c>
      <c r="B46" t="s">
        <v>394</v>
      </c>
      <c r="C46" s="36" t="str">
        <f t="shared" si="1"/>
        <v>Paul Eden (Ratae)</v>
      </c>
    </row>
    <row r="47" spans="1:4" ht="14.25">
      <c r="A47" t="s">
        <v>518</v>
      </c>
      <c r="B47" t="s">
        <v>394</v>
      </c>
      <c r="C47" s="36" t="str">
        <f t="shared" si="1"/>
        <v>Sadie Murphy (Ratae)</v>
      </c>
      <c r="D47" t="s">
        <v>372</v>
      </c>
    </row>
    <row r="48" spans="1:4" ht="14.25">
      <c r="A48" t="s">
        <v>519</v>
      </c>
      <c r="B48" t="s">
        <v>394</v>
      </c>
      <c r="C48" s="36" t="str">
        <f t="shared" si="1"/>
        <v>Steve Pearce (Ratae)</v>
      </c>
    </row>
    <row r="49" spans="1:4" ht="14.25">
      <c r="A49" t="s">
        <v>520</v>
      </c>
      <c r="B49" t="s">
        <v>385</v>
      </c>
      <c r="C49" s="36" t="str">
        <f t="shared" si="1"/>
        <v>Adam Wells (RFW)</v>
      </c>
    </row>
    <row r="50" spans="1:4" ht="14.25">
      <c r="A50" t="s">
        <v>596</v>
      </c>
      <c r="B50" t="s">
        <v>385</v>
      </c>
      <c r="C50" s="36" t="str">
        <f t="shared" si="1"/>
        <v>Alex Barrowman (RFW)</v>
      </c>
    </row>
    <row r="51" spans="1:4" ht="14.25">
      <c r="A51" t="s">
        <v>521</v>
      </c>
      <c r="B51" t="s">
        <v>385</v>
      </c>
      <c r="C51" s="36" t="str">
        <f t="shared" si="1"/>
        <v>Anne Gilhespy (RFW)</v>
      </c>
      <c r="D51" t="s">
        <v>372</v>
      </c>
    </row>
    <row r="52" spans="1:4" ht="14.25">
      <c r="A52" t="s">
        <v>522</v>
      </c>
      <c r="B52" t="s">
        <v>385</v>
      </c>
      <c r="C52" s="36" t="str">
        <f t="shared" si="1"/>
        <v>Chris Fowler (RFW)</v>
      </c>
    </row>
    <row r="53" spans="1:4" ht="14.25">
      <c r="A53" t="s">
        <v>523</v>
      </c>
      <c r="B53" t="s">
        <v>385</v>
      </c>
      <c r="C53" s="36" t="str">
        <f t="shared" si="1"/>
        <v>Dan Hempkin (RFW)</v>
      </c>
    </row>
    <row r="54" spans="1:4" ht="14.25">
      <c r="A54" t="s">
        <v>524</v>
      </c>
      <c r="B54" t="s">
        <v>385</v>
      </c>
      <c r="C54" s="36" t="str">
        <f t="shared" si="1"/>
        <v>David Hill (RFW)</v>
      </c>
    </row>
    <row r="55" spans="1:4" ht="14.25">
      <c r="A55" t="s">
        <v>640</v>
      </c>
      <c r="B55" t="s">
        <v>385</v>
      </c>
      <c r="C55" s="36" t="str">
        <f t="shared" si="1"/>
        <v>Ethan Mitchell-Clarke (Team Bottrill Nopinz) (RFW)</v>
      </c>
    </row>
    <row r="56" spans="1:4" ht="14.25">
      <c r="A56" t="s">
        <v>525</v>
      </c>
      <c r="B56" t="s">
        <v>385</v>
      </c>
      <c r="C56" s="36" t="str">
        <f t="shared" si="1"/>
        <v>Giles Cooper (RFW)</v>
      </c>
    </row>
    <row r="57" spans="1:4" ht="14.25">
      <c r="A57" t="s">
        <v>591</v>
      </c>
      <c r="B57" t="s">
        <v>385</v>
      </c>
      <c r="C57" s="36" t="str">
        <f t="shared" si="1"/>
        <v>Graeme Hall (RFW)</v>
      </c>
    </row>
    <row r="58" spans="1:4" ht="14.25">
      <c r="A58" t="s">
        <v>526</v>
      </c>
      <c r="B58" t="s">
        <v>385</v>
      </c>
      <c r="C58" s="36" t="str">
        <f t="shared" si="1"/>
        <v>Gregg Payne (RFW)</v>
      </c>
    </row>
    <row r="59" spans="1:4" ht="14.25">
      <c r="A59" t="s">
        <v>595</v>
      </c>
      <c r="B59" t="s">
        <v>385</v>
      </c>
      <c r="C59" s="36" t="str">
        <f t="shared" si="1"/>
        <v>Hudson Hendry (Ride Revolution) (RFW)</v>
      </c>
    </row>
    <row r="60" spans="1:4" ht="14.25">
      <c r="A60" t="s">
        <v>597</v>
      </c>
      <c r="B60" t="s">
        <v>385</v>
      </c>
      <c r="C60" s="36" t="str">
        <f t="shared" si="1"/>
        <v>Laurence Noble (RFW)</v>
      </c>
    </row>
    <row r="61" spans="1:4" ht="14.25">
      <c r="A61" t="s">
        <v>527</v>
      </c>
      <c r="B61" t="s">
        <v>385</v>
      </c>
      <c r="C61" s="36" t="str">
        <f t="shared" si="1"/>
        <v>Lynne Scofield (RFW)</v>
      </c>
      <c r="D61" t="s">
        <v>372</v>
      </c>
    </row>
    <row r="62" spans="1:4" ht="14.25">
      <c r="A62" t="s">
        <v>528</v>
      </c>
      <c r="B62" t="s">
        <v>385</v>
      </c>
      <c r="C62" s="36" t="str">
        <f t="shared" si="1"/>
        <v>Lynne Wilkinson-Scofield (RFW)</v>
      </c>
      <c r="D62" t="s">
        <v>372</v>
      </c>
    </row>
    <row r="63" spans="1:4" ht="14.25">
      <c r="A63" t="s">
        <v>529</v>
      </c>
      <c r="B63" t="s">
        <v>385</v>
      </c>
      <c r="C63" s="36" t="str">
        <f t="shared" si="1"/>
        <v>Michael Carter (RFW)</v>
      </c>
    </row>
    <row r="64" spans="1:4" ht="14.25">
      <c r="A64" s="63" t="s">
        <v>580</v>
      </c>
      <c r="B64" t="s">
        <v>385</v>
      </c>
      <c r="C64" s="36" t="str">
        <f t="shared" si="1"/>
        <v>Mike Deely (G Fox) (RFW)</v>
      </c>
    </row>
    <row r="65" spans="1:4" ht="14.25">
      <c r="A65" t="s">
        <v>517</v>
      </c>
      <c r="B65" t="s">
        <v>385</v>
      </c>
      <c r="C65" s="36" t="str">
        <f t="shared" si="1"/>
        <v>Paul Eden (RFW)</v>
      </c>
    </row>
    <row r="66" spans="1:4" ht="14.25">
      <c r="A66" t="s">
        <v>530</v>
      </c>
      <c r="B66" t="s">
        <v>385</v>
      </c>
      <c r="C66" s="36" t="str">
        <f t="shared" si="1"/>
        <v>Paul Russell (RFW)</v>
      </c>
    </row>
    <row r="67" spans="1:4" ht="14.25">
      <c r="A67" t="s">
        <v>531</v>
      </c>
      <c r="B67" t="s">
        <v>385</v>
      </c>
      <c r="C67" s="36" t="str">
        <f t="shared" si="1"/>
        <v>Paul Ryan (RFW)</v>
      </c>
    </row>
    <row r="68" spans="1:4" ht="14.25">
      <c r="A68" t="s">
        <v>641</v>
      </c>
      <c r="B68" t="s">
        <v>385</v>
      </c>
      <c r="C68" s="36" t="str">
        <f t="shared" ref="C68:C89" si="2">IF(ISBLANK(B68),IF(ISBLANK(A68),"",A68),_xlfn.CONCAT(A68," (",B68,")"))</f>
        <v>Pete Bradshaw (RFW)</v>
      </c>
    </row>
    <row r="69" spans="1:4" ht="14.25">
      <c r="A69" t="s">
        <v>532</v>
      </c>
      <c r="B69" t="s">
        <v>385</v>
      </c>
      <c r="C69" s="36" t="str">
        <f t="shared" si="2"/>
        <v>Phil Wilkinson (RFW)</v>
      </c>
    </row>
    <row r="70" spans="1:4" ht="14.25">
      <c r="A70" t="s">
        <v>593</v>
      </c>
      <c r="B70" t="s">
        <v>385</v>
      </c>
      <c r="C70" s="36" t="str">
        <f t="shared" si="2"/>
        <v>Steve Coombs (RFW)</v>
      </c>
    </row>
    <row r="71" spans="1:4" ht="14.25">
      <c r="A71" t="s">
        <v>594</v>
      </c>
      <c r="B71" t="s">
        <v>385</v>
      </c>
      <c r="C71" s="36" t="str">
        <f t="shared" si="2"/>
        <v>Steve Wickham (RFW)</v>
      </c>
    </row>
    <row r="72" spans="1:4" ht="14.25">
      <c r="A72" t="s">
        <v>534</v>
      </c>
      <c r="B72" t="s">
        <v>535</v>
      </c>
      <c r="C72" s="36" t="str">
        <f t="shared" si="2"/>
        <v>Adrian James (Rugby RCC)</v>
      </c>
    </row>
    <row r="73" spans="1:4" ht="14.25">
      <c r="A73" t="s">
        <v>536</v>
      </c>
      <c r="B73" t="s">
        <v>537</v>
      </c>
      <c r="C73" s="36" t="str">
        <f t="shared" si="2"/>
        <v>Carl Shaw (Speedhub)</v>
      </c>
    </row>
    <row r="74" spans="1:4" ht="14.25">
      <c r="A74" t="s">
        <v>538</v>
      </c>
      <c r="B74" t="s">
        <v>539</v>
      </c>
      <c r="C74" s="36" t="str">
        <f t="shared" si="2"/>
        <v>Oliver Searle (St Ives CC)</v>
      </c>
    </row>
    <row r="75" spans="1:4" ht="14.25">
      <c r="A75" t="s">
        <v>638</v>
      </c>
      <c r="B75" t="s">
        <v>388</v>
      </c>
      <c r="C75" s="36" t="str">
        <f t="shared" si="2"/>
        <v>Ed Tarelli (Race Hub) (WVCC)</v>
      </c>
      <c r="D75" s="36"/>
    </row>
    <row r="76" spans="1:4" ht="14.25">
      <c r="A76" t="s">
        <v>637</v>
      </c>
      <c r="B76" t="s">
        <v>388</v>
      </c>
      <c r="C76" s="36" t="str">
        <f t="shared" si="2"/>
        <v>Jamie Kershaw (Beeston CC) (WVCC)</v>
      </c>
    </row>
    <row r="77" spans="1:4" ht="14.25">
      <c r="A77" t="s">
        <v>639</v>
      </c>
      <c r="B77" t="s">
        <v>388</v>
      </c>
      <c r="C77" s="36" t="str">
        <f t="shared" si="2"/>
        <v>Jennifer Clegg (Team Bottrill Nopinz) (WVCC)</v>
      </c>
      <c r="D77" t="s">
        <v>372</v>
      </c>
    </row>
    <row r="78" spans="1:4" ht="14.25">
      <c r="A78" t="s">
        <v>635</v>
      </c>
      <c r="B78" t="s">
        <v>388</v>
      </c>
      <c r="C78" s="36" t="str">
        <f t="shared" si="2"/>
        <v>Leah Cuthbertson (G Fox) (WVCC)</v>
      </c>
      <c r="D78" t="s">
        <v>372</v>
      </c>
    </row>
    <row r="79" spans="1:4" ht="14.25">
      <c r="A79" t="s">
        <v>636</v>
      </c>
      <c r="B79" t="s">
        <v>388</v>
      </c>
      <c r="C79" s="36" t="str">
        <f t="shared" si="2"/>
        <v>Ruby Isaac (CAMS Majaco) (WVCC)</v>
      </c>
      <c r="D79" t="s">
        <v>372</v>
      </c>
    </row>
    <row r="80" spans="1:4"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94">
    <sortCondition ref="B2:B94"/>
    <sortCondition ref="A2:A94"/>
  </sortState>
  <conditionalFormatting sqref="A2:D89">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9">
        <v>43</v>
      </c>
      <c r="E2" s="49">
        <v>1</v>
      </c>
      <c r="F2" s="49" t="s">
        <v>549</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549</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549</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549</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549</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549</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549</v>
      </c>
      <c r="G10" s="49"/>
      <c r="H10" s="50" t="str">
        <f>IF($B10="","",IF($J10="X",B10,CONCATENATE(VLOOKUP(B10,Competitors!$A$2:$I$650,3, FALSE)," ",VLOOKUP(B10,Competitors!$A$2:$I$650,2,FALSE))))</f>
        <v>Toby Lenehan</v>
      </c>
      <c r="I10" s="51">
        <f t="shared" si="0"/>
        <v>2.1608796296296296E-2</v>
      </c>
      <c r="J10" t="str">
        <f t="shared" si="1"/>
        <v/>
      </c>
    </row>
    <row r="11" spans="1:10" ht="15">
      <c r="A11" s="46" t="s">
        <v>550</v>
      </c>
      <c r="B11" s="47">
        <v>1385</v>
      </c>
      <c r="C11" s="48"/>
      <c r="D11" s="49"/>
      <c r="E11" s="49"/>
      <c r="F11" s="49" t="s">
        <v>549</v>
      </c>
      <c r="G11" s="49" t="s">
        <v>551</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549</v>
      </c>
      <c r="G13" s="49"/>
      <c r="H13" s="50" t="str">
        <f>IF($B13="","",IF($J13="X",B13,CONCATENATE(VLOOKUP(B13,Competitors!$A$2:$I$650,3,FALSE)," ",VLOOKUP(B13,Competitors!$A$2:$I$650,2,FALSE))))</f>
        <v>Chris Dainty</v>
      </c>
      <c r="I13" s="51">
        <f t="shared" si="0"/>
        <v>2.1874999999999999E-2</v>
      </c>
      <c r="J13" t="str">
        <f t="shared" si="1"/>
        <v/>
      </c>
    </row>
    <row r="14" spans="1:10" ht="15">
      <c r="A14" s="46" t="s">
        <v>552</v>
      </c>
      <c r="B14" s="47">
        <v>1162</v>
      </c>
      <c r="C14" s="48"/>
      <c r="D14" s="49"/>
      <c r="E14" s="49"/>
      <c r="F14" s="49" t="s">
        <v>549</v>
      </c>
      <c r="G14" s="49" t="s">
        <v>551</v>
      </c>
      <c r="H14" s="50" t="str">
        <f>IF($B14="","",IF($J14="X",B14,CONCATENATE(VLOOKUP(B14,Competitors!$A$2:$I$650,3,FALSE)," ",VLOOKUP(B14,Competitors!$A$2:$I$650,2,FALSE))))</f>
        <v>Richard Krause</v>
      </c>
      <c r="I14" s="51">
        <f t="shared" si="0"/>
        <v>0</v>
      </c>
      <c r="J14" t="str">
        <f t="shared" si="1"/>
        <v/>
      </c>
    </row>
    <row r="15" spans="1:10" ht="15">
      <c r="A15" s="46" t="s">
        <v>553</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549</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549</v>
      </c>
      <c r="G18" s="49"/>
      <c r="H18" s="50" t="str">
        <f>IF($B18="","",IF($J18="X",B18,CONCATENATE(VLOOKUP(B18,Competitors!$A$2:$I$650,3,FALSE)," ",VLOOKUP(B18,Competitors!$A$2:$I$650,2,FALSE))))</f>
        <v>Phil Rayner</v>
      </c>
      <c r="I18" s="51">
        <f t="shared" si="0"/>
        <v>1.9918981481481482E-2</v>
      </c>
      <c r="J18" t="str">
        <f t="shared" si="1"/>
        <v/>
      </c>
    </row>
    <row r="19" spans="1:10" ht="15">
      <c r="A19" s="46" t="s">
        <v>554</v>
      </c>
      <c r="B19" s="47" t="s">
        <v>554</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549</v>
      </c>
      <c r="G20" s="49"/>
      <c r="H20" s="50" t="str">
        <f>IF($B20="","",IF($J20="X",B20,CONCATENATE(VLOOKUP(B20,Competitors!$A$2:$I$650,3,FALSE)," ",VLOOKUP(B20,Competitors!$A$2:$I$650,2,FALSE))))</f>
        <v>David Reay</v>
      </c>
      <c r="I20" s="51">
        <f t="shared" si="0"/>
        <v>2.224537037037037E-2</v>
      </c>
      <c r="J20" t="str">
        <f t="shared" si="1"/>
        <v/>
      </c>
    </row>
    <row r="21" spans="1:10" ht="15">
      <c r="A21" s="46" t="s">
        <v>555</v>
      </c>
      <c r="B21" s="47" t="s">
        <v>555</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Event_01</v>
      </c>
    </row>
    <row r="104" spans="1:10">
      <c r="B104" t="s">
        <v>557</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v>1</v>
      </c>
      <c r="D2" s="48">
        <v>35</v>
      </c>
      <c r="E2" s="48">
        <v>37</v>
      </c>
      <c r="F2" s="48" t="s">
        <v>549</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549</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549</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549</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549</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549</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549</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558</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549</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549</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549</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533</v>
      </c>
      <c r="B21" s="47" t="s">
        <v>533</v>
      </c>
      <c r="C21" s="48">
        <v>0</v>
      </c>
      <c r="D21" s="48">
        <v>48</v>
      </c>
      <c r="E21" s="48">
        <v>48</v>
      </c>
      <c r="F21" s="48" t="s">
        <v>549</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555</v>
      </c>
      <c r="B23" s="47" t="s">
        <v>555</v>
      </c>
      <c r="C23" s="48">
        <v>0</v>
      </c>
      <c r="D23" s="48">
        <v>55</v>
      </c>
      <c r="E23" s="48">
        <v>18</v>
      </c>
      <c r="F23" s="48" t="s">
        <v>549</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Event_02</v>
      </c>
    </row>
    <row r="104" spans="1:10">
      <c r="B104" t="s">
        <v>557</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8">
        <v>39</v>
      </c>
      <c r="E2" s="48">
        <v>2</v>
      </c>
      <c r="F2" s="48" t="s">
        <v>549</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549</v>
      </c>
      <c r="G3" s="48"/>
      <c r="H3" s="50" t="str">
        <f>IF($B3="","",IF($J3="X",B3,CONCATENATE(VLOOKUP(B3,Competitors!$A$2:$I$650,3,FALSE)," ",VLOOKUP(B3,Competitors!$A$2:$I$650,2,FALSE))))</f>
        <v>Ray Taylor</v>
      </c>
      <c r="I3" s="51">
        <f t="shared" si="0"/>
        <v>2.435185185185185E-2</v>
      </c>
      <c r="J3" t="str">
        <f t="shared" si="1"/>
        <v/>
      </c>
    </row>
    <row r="4" spans="1:10" ht="15">
      <c r="A4" s="46" t="s">
        <v>506</v>
      </c>
      <c r="B4" s="47" t="s">
        <v>559</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527</v>
      </c>
      <c r="B5" s="47" t="s">
        <v>560</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558</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561</v>
      </c>
      <c r="B8" s="47" t="s">
        <v>561</v>
      </c>
      <c r="C8" s="48"/>
      <c r="D8" s="48">
        <v>23</v>
      </c>
      <c r="E8" s="48">
        <v>0</v>
      </c>
      <c r="F8" s="48" t="s">
        <v>549</v>
      </c>
      <c r="G8" s="48"/>
      <c r="H8" s="50" t="str">
        <f>IF($B8="","",IF($J8="X",B8,CONCATENATE(VLOOKUP(B8,Competitors!$A$2:$I$650,3,FALSE)," ",VLOOKUP(B8,Competitors!$A$2:$I$650,2,FALSE))))</f>
        <v>Jonathan Robinson</v>
      </c>
      <c r="I8" s="51">
        <f t="shared" si="0"/>
        <v>1.5972222222222221E-2</v>
      </c>
      <c r="J8" t="str">
        <f t="shared" si="1"/>
        <v>X</v>
      </c>
    </row>
    <row r="9" spans="1:10" ht="15">
      <c r="A9" s="46" t="s">
        <v>553</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562</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562</v>
      </c>
      <c r="H12" s="50" t="str">
        <f>IF($B12="","",IF($J12="X",B12,CONCATENATE(VLOOKUP(B12,Competitors!$A$2:$I$650,3,FALSE)," ",VLOOKUP(B12,Competitors!$A$2:$I$650,2,FALSE))))</f>
        <v>Simon Ward</v>
      </c>
      <c r="I12" s="51">
        <f t="shared" si="0"/>
        <v>0</v>
      </c>
      <c r="J12" t="str">
        <f t="shared" si="1"/>
        <v/>
      </c>
    </row>
    <row r="13" spans="1:10" ht="15">
      <c r="A13" s="46" t="s">
        <v>532</v>
      </c>
      <c r="B13" s="47" t="s">
        <v>563</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519</v>
      </c>
      <c r="B14" s="47" t="s">
        <v>564</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549</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549</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550</v>
      </c>
      <c r="B20" s="47">
        <v>1385</v>
      </c>
      <c r="C20" s="48"/>
      <c r="D20" s="48"/>
      <c r="E20" s="48"/>
      <c r="F20" s="48"/>
      <c r="G20" s="48" t="s">
        <v>558</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549</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507</v>
      </c>
      <c r="B26" s="47" t="s">
        <v>565</v>
      </c>
      <c r="C26" s="48"/>
      <c r="D26" s="48"/>
      <c r="E26" s="48"/>
      <c r="F26" s="48"/>
      <c r="G26" s="48" t="s">
        <v>558</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558</v>
      </c>
      <c r="H27" s="50" t="str">
        <f>IF($B27="","",IF($J27="X",B27,CONCATENATE(VLOOKUP(B27,Competitors!$A$2:$I$650,3,FALSE)," ",VLOOKUP(B27,Competitors!$A$2:$I$650,2,FALSE))))</f>
        <v>John Abbott</v>
      </c>
      <c r="I27" s="51">
        <f t="shared" si="0"/>
        <v>0</v>
      </c>
      <c r="J27" t="str">
        <f t="shared" si="1"/>
        <v/>
      </c>
    </row>
    <row r="28" spans="1:10" ht="15">
      <c r="A28" s="46" t="s">
        <v>514</v>
      </c>
      <c r="B28" s="47" t="s">
        <v>566</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567</v>
      </c>
      <c r="C31" s="48"/>
      <c r="D31" s="48">
        <v>22</v>
      </c>
      <c r="E31" s="48">
        <v>49</v>
      </c>
      <c r="F31" s="48" t="s">
        <v>549</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505</v>
      </c>
      <c r="B35" s="47" t="s">
        <v>568</v>
      </c>
      <c r="C35" s="48"/>
      <c r="D35" s="48">
        <v>34</v>
      </c>
      <c r="E35" s="48">
        <v>29</v>
      </c>
      <c r="F35" s="48" t="s">
        <v>549</v>
      </c>
      <c r="G35" s="48"/>
      <c r="H35" s="50" t="str">
        <f>IF($B35="","",IF($J35="X",B35,CONCATENATE(VLOOKUP(B35,Competitors!$A$2:$I$650,3,FALSE)," ",VLOOKUP(B35,Competitors!$A$2:$I$650,2,FALSE))))</f>
        <v>Brian Lincoln (Ratae)</v>
      </c>
      <c r="I35" s="51">
        <f t="shared" si="0"/>
        <v>2.3946759259259258E-2</v>
      </c>
      <c r="J35" t="str">
        <f t="shared" si="1"/>
        <v>X</v>
      </c>
    </row>
    <row r="36" spans="1:10" ht="15">
      <c r="A36" s="46" t="s">
        <v>515</v>
      </c>
      <c r="B36" s="47" t="s">
        <v>569</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Event_03</v>
      </c>
    </row>
    <row r="104" spans="1:10">
      <c r="B104" t="s">
        <v>557</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54">
        <v>558</v>
      </c>
      <c r="C2" s="48"/>
      <c r="D2" s="48">
        <v>39</v>
      </c>
      <c r="E2" s="48">
        <v>9</v>
      </c>
      <c r="F2" s="48" t="s">
        <v>549</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549</v>
      </c>
      <c r="G3" s="48"/>
      <c r="H3" s="50" t="str">
        <f>IF($B3="","",IF($J3="X",B3,CONCATENATE(VLOOKUP(B3,Competitors!$A$2:$I$650,3,FALSE)," ",VLOOKUP(B3,Competitors!$A$2:$I$650,2,FALSE))))</f>
        <v>Ray Taylor</v>
      </c>
      <c r="I3" s="51">
        <f t="shared" si="0"/>
        <v>2.3796296296296298E-2</v>
      </c>
      <c r="J3" t="str">
        <f t="shared" si="1"/>
        <v/>
      </c>
    </row>
    <row r="4" spans="1:10" ht="15">
      <c r="A4" s="46" t="s">
        <v>506</v>
      </c>
      <c r="B4" s="54" t="s">
        <v>559</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629</v>
      </c>
      <c r="B5" s="54">
        <v>990</v>
      </c>
      <c r="C5" s="48"/>
      <c r="D5" s="48">
        <v>35</v>
      </c>
      <c r="E5" s="48">
        <v>3</v>
      </c>
      <c r="F5" s="48" t="s">
        <v>549</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549</v>
      </c>
      <c r="G6" s="48"/>
      <c r="H6" s="50" t="str">
        <f>IF($B6="","",IF($J6="X",B6,CONCATENATE(VLOOKUP(B6,Competitors!$A$2:$I$650,3,FALSE)," ",VLOOKUP(B6,Competitors!$A$2:$I$650,2,FALSE))))</f>
        <v>Jane Moore</v>
      </c>
      <c r="I6" s="51">
        <f t="shared" si="0"/>
        <v>2.2800925925925926E-2</v>
      </c>
      <c r="J6" t="str">
        <f t="shared" si="1"/>
        <v/>
      </c>
    </row>
    <row r="7" spans="1:10" ht="15">
      <c r="A7" s="46" t="s">
        <v>511</v>
      </c>
      <c r="B7" s="54" t="s">
        <v>570</v>
      </c>
      <c r="C7" s="48"/>
      <c r="D7" s="48">
        <v>33</v>
      </c>
      <c r="E7" s="48">
        <v>51</v>
      </c>
      <c r="F7" s="48" t="s">
        <v>549</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519</v>
      </c>
      <c r="B9" s="54" t="s">
        <v>564</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505</v>
      </c>
      <c r="B10" s="54" t="s">
        <v>568</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558</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549</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571</v>
      </c>
      <c r="B14" s="54" t="s">
        <v>571</v>
      </c>
      <c r="C14" s="48"/>
      <c r="D14" s="48">
        <v>38</v>
      </c>
      <c r="E14" s="48">
        <v>6</v>
      </c>
      <c r="F14" s="48" t="s">
        <v>549</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549</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549</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549</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549</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549</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558</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549</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549</v>
      </c>
      <c r="G36" s="48"/>
      <c r="H36" s="50" t="str">
        <f>IF($B36="","",IF($J36="X",B36,CONCATENATE(VLOOKUP(B36,Competitors!$A$2:$I$650,3,FALSE)," ",VLOOKUP(B36,Competitors!$A$2:$I$650,2,FALSE))))</f>
        <v>Jason Williams</v>
      </c>
      <c r="I36" s="51">
        <f t="shared" si="0"/>
        <v>1.8055555555555554E-2</v>
      </c>
      <c r="J36" t="str">
        <f t="shared" si="1"/>
        <v/>
      </c>
    </row>
    <row r="37" spans="1:10" ht="15">
      <c r="A37" s="46" t="s">
        <v>517</v>
      </c>
      <c r="B37" s="54" t="s">
        <v>572</v>
      </c>
      <c r="C37" s="48"/>
      <c r="D37" s="48">
        <v>34</v>
      </c>
      <c r="E37" s="48">
        <v>21</v>
      </c>
      <c r="F37" s="48" t="s">
        <v>549</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558</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Event_04</v>
      </c>
    </row>
    <row r="104" spans="1:10">
      <c r="B104" t="s">
        <v>557</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45" t="s">
        <v>462</v>
      </c>
      <c r="I1" s="45" t="s">
        <v>547</v>
      </c>
      <c r="J1" t="s">
        <v>548</v>
      </c>
    </row>
    <row r="2" spans="1:10" ht="15">
      <c r="A2" s="46" t="s">
        <v>454</v>
      </c>
      <c r="B2" s="47">
        <v>558</v>
      </c>
      <c r="C2" s="48"/>
      <c r="D2" s="48">
        <v>40</v>
      </c>
      <c r="E2" s="48">
        <v>54</v>
      </c>
      <c r="F2" s="48" t="s">
        <v>549</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549</v>
      </c>
      <c r="G3" s="48"/>
      <c r="H3" s="50" t="str">
        <f>IF($B3="","",IF($J3="X",B3,CONCATENATE(VLOOKUP(B3,Competitors!$A$2:$I$650,3,FALSE)," ",VLOOKUP(B3,Competitors!$A$2:$I$650,2,FALSE))))</f>
        <v>Jane Moore</v>
      </c>
      <c r="I3" s="51">
        <f t="shared" si="0"/>
        <v>2.4143518518518519E-2</v>
      </c>
      <c r="J3" t="str">
        <f t="shared" si="1"/>
        <v/>
      </c>
    </row>
    <row r="4" spans="1:10" ht="15">
      <c r="A4" s="46" t="s">
        <v>514</v>
      </c>
      <c r="B4" s="47" t="s">
        <v>566</v>
      </c>
      <c r="C4" s="48"/>
      <c r="D4" s="48">
        <v>30</v>
      </c>
      <c r="E4" s="48">
        <v>18</v>
      </c>
      <c r="F4" s="48" t="s">
        <v>549</v>
      </c>
      <c r="G4" s="48"/>
      <c r="H4" s="50" t="str">
        <f>IF($B4="","",IF($J4="X",B4,CONCATENATE(VLOOKUP(B4,Competitors!$A$2:$I$650,3,FALSE)," ",VLOOKUP(B4,Competitors!$A$2:$I$650,2,FALSE))))</f>
        <v>Mark Newton (Ratae)</v>
      </c>
      <c r="I4" s="51">
        <f t="shared" si="0"/>
        <v>2.1041666666666667E-2</v>
      </c>
      <c r="J4" t="str">
        <f t="shared" si="1"/>
        <v>X</v>
      </c>
    </row>
    <row r="5" spans="1:10" ht="15">
      <c r="A5" s="46" t="s">
        <v>629</v>
      </c>
      <c r="B5" s="47">
        <v>990</v>
      </c>
      <c r="C5" s="48"/>
      <c r="D5" s="48">
        <v>37</v>
      </c>
      <c r="E5" s="48">
        <v>24</v>
      </c>
      <c r="F5" s="48" t="s">
        <v>549</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505</v>
      </c>
      <c r="B7" s="47" t="s">
        <v>568</v>
      </c>
      <c r="C7" s="48"/>
      <c r="D7" s="48">
        <v>35</v>
      </c>
      <c r="E7" s="48">
        <v>55</v>
      </c>
      <c r="F7" s="48" t="s">
        <v>549</v>
      </c>
      <c r="G7" s="48"/>
      <c r="H7" s="50" t="str">
        <f>IF($B7="","",IF($J7="X",B7,CONCATENATE(VLOOKUP(B7,Competitors!$A$2:$I$650,3,FALSE)," ",VLOOKUP(B7,Competitors!$A$2:$I$650,2,FALSE))))</f>
        <v>Brian Lincoln (Ratae)</v>
      </c>
      <c r="I7" s="51">
        <f t="shared" si="0"/>
        <v>2.494212962962963E-2</v>
      </c>
      <c r="J7" t="str">
        <f t="shared" si="1"/>
        <v>X</v>
      </c>
    </row>
    <row r="8" spans="1:10" ht="15">
      <c r="A8" s="46" t="s">
        <v>506</v>
      </c>
      <c r="B8" s="47" t="s">
        <v>559</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515</v>
      </c>
      <c r="B9" s="47" t="s">
        <v>569</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549</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549</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549</v>
      </c>
      <c r="G15" s="48"/>
      <c r="H15" s="50" t="str">
        <f>IF($B15="","",IF($J15="X",B15,CONCATENATE(VLOOKUP(B15,Competitors!$A$2:$I$650,3,FALSE)," ",VLOOKUP(B15,Competitors!$A$2:$I$650,2,FALSE))))</f>
        <v>Milly Pinnock</v>
      </c>
      <c r="I15" s="51">
        <f t="shared" si="0"/>
        <v>2.0231481481481482E-2</v>
      </c>
      <c r="J15" t="str">
        <f t="shared" si="1"/>
        <v/>
      </c>
    </row>
    <row r="16" spans="1:10" ht="15">
      <c r="A16" s="46" t="s">
        <v>571</v>
      </c>
      <c r="B16" s="47" t="s">
        <v>571</v>
      </c>
      <c r="C16" s="48"/>
      <c r="D16" s="48">
        <v>31</v>
      </c>
      <c r="E16" s="48">
        <v>25</v>
      </c>
      <c r="F16" s="48" t="s">
        <v>549</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549</v>
      </c>
      <c r="G17" s="48"/>
      <c r="H17" s="50" t="str">
        <f>IF($B17="","",IF($J17="X",B17,CONCATENATE(VLOOKUP(B17,Competitors!$A$2:$I$650,3,FALSE)," ",VLOOKUP(B17,Competitors!$A$2:$I$650,2,FALSE))))</f>
        <v>Richard Hardwicke</v>
      </c>
      <c r="I17" s="51">
        <f t="shared" si="0"/>
        <v>2.1388888888888888E-2</v>
      </c>
      <c r="J17" t="str">
        <f t="shared" si="1"/>
        <v/>
      </c>
    </row>
    <row r="18" spans="1:10" ht="15">
      <c r="A18" s="46" t="s">
        <v>517</v>
      </c>
      <c r="B18" s="47" t="s">
        <v>572</v>
      </c>
      <c r="C18" s="48"/>
      <c r="D18" s="48">
        <v>35</v>
      </c>
      <c r="E18" s="48">
        <v>30</v>
      </c>
      <c r="F18" s="48" t="s">
        <v>549</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549</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549</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549</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549</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549</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549</v>
      </c>
      <c r="G30" s="48"/>
      <c r="H30" s="50" t="str">
        <f>IF($B30="","",IF($J30="X",B30,CONCATENATE(VLOOKUP(B30,Competitors!$A$2:$I$650,3,FALSE)," ",VLOOKUP(B30,Competitors!$A$2:$I$650,2,FALSE))))</f>
        <v>John Abbott</v>
      </c>
      <c r="I30" s="51">
        <f t="shared" si="0"/>
        <v>1.9965277777777776E-2</v>
      </c>
      <c r="J30" t="str">
        <f t="shared" si="1"/>
        <v/>
      </c>
    </row>
    <row r="31" spans="1:10" ht="15">
      <c r="A31" s="46" t="s">
        <v>532</v>
      </c>
      <c r="B31" s="47" t="s">
        <v>563</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556</v>
      </c>
      <c r="C103" t="str" cm="1">
        <f t="array" aca="1" ref="C103" ca="1">MID(CELL("filename",B1),FIND("]",CELL("filename",B1))+1,255)</f>
        <v>Event_05</v>
      </c>
    </row>
    <row r="104" spans="1:10">
      <c r="B104" t="s">
        <v>557</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449</v>
      </c>
      <c r="B2" s="47">
        <v>1298</v>
      </c>
      <c r="C2" s="48"/>
      <c r="D2" s="48"/>
      <c r="E2" s="48"/>
      <c r="F2" s="48" t="s">
        <v>549</v>
      </c>
      <c r="G2" s="48" t="s">
        <v>551</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625</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506</v>
      </c>
      <c r="B7" s="47" t="s">
        <v>559</v>
      </c>
      <c r="C7" s="48"/>
      <c r="D7" s="48"/>
      <c r="E7" s="48"/>
      <c r="F7" s="48"/>
      <c r="G7" s="48" t="s">
        <v>551</v>
      </c>
      <c r="H7" s="50" t="str">
        <f>IF($B7="","",IF($J7="X",B7,CONCATENATE(VLOOKUP(B7,Competitors!$A$2:$I$650,3,FALSE)," ",VLOOKUP(B7,Competitors!$A$2:$I$650,2,FALSE))))</f>
        <v>Chris Bonsor (Ratae)</v>
      </c>
      <c r="I7" s="51">
        <f t="shared" si="0"/>
        <v>0</v>
      </c>
      <c r="J7" t="str">
        <f t="shared" si="1"/>
        <v>X</v>
      </c>
    </row>
    <row r="8" spans="1:10" ht="15">
      <c r="A8" s="46" t="s">
        <v>474</v>
      </c>
      <c r="B8" s="47" t="s">
        <v>626</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551</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549</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549</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549</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549</v>
      </c>
      <c r="G13" s="48" t="s">
        <v>551</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549</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551</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549</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549</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573</v>
      </c>
      <c r="H25" s="50" t="str">
        <f>IF($B25="","",IF($J25="X",B25,CONCATENATE(VLOOKUP(B25,Competitors!$A$2:$I$650,3,FALSE)," ",VLOOKUP(B25,Competitors!$A$2:$I$650,2,FALSE))))</f>
        <v>Andy Poulton</v>
      </c>
      <c r="I25" s="51">
        <f t="shared" si="0"/>
        <v>0</v>
      </c>
      <c r="J25" t="str">
        <f t="shared" si="1"/>
        <v/>
      </c>
    </row>
    <row r="26" spans="1:10" ht="15">
      <c r="A26" s="46" t="s">
        <v>574</v>
      </c>
      <c r="B26" s="47" t="s">
        <v>574</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Event_06</v>
      </c>
    </row>
    <row r="104" spans="1:10">
      <c r="B104" t="s">
        <v>557</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f>15+15</f>
        <v>30</v>
      </c>
      <c r="E2" s="48">
        <f>23+11</f>
        <v>34</v>
      </c>
      <c r="F2" s="48" t="s">
        <v>549</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549</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549</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549</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549</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549</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549</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549</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549</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549</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549</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549</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549</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573</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549</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549</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549</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549</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573</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549</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549</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556</v>
      </c>
      <c r="C103" t="str" cm="1">
        <f t="array" aca="1" ref="C103" ca="1">MID(CELL("filename",B1),FIND("]",CELL("filename",B1))+1,255)</f>
        <v>Event_07</v>
      </c>
    </row>
    <row r="104" spans="1:10">
      <c r="B104" t="s">
        <v>557</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452</v>
      </c>
      <c r="B2" s="47">
        <v>1244</v>
      </c>
      <c r="C2" s="48"/>
      <c r="D2" s="48">
        <v>30</v>
      </c>
      <c r="E2" s="48">
        <v>3</v>
      </c>
      <c r="F2" s="48" t="s">
        <v>549</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549</v>
      </c>
      <c r="G3" s="48"/>
      <c r="H3" s="50" t="str">
        <f>IF($B3="","",IF($J3="X",B3,CONCATENATE(VLOOKUP(B3,Competitors!$A$2:$I$650,3,FALSE)," ",VLOOKUP(B3,Competitors!$A$2:$I$650,2,FALSE))))</f>
        <v>Claire Moore</v>
      </c>
      <c r="I3" s="51">
        <f t="shared" si="0"/>
        <v>2.3379629629629629E-2</v>
      </c>
      <c r="J3" t="str">
        <f t="shared" si="1"/>
        <v/>
      </c>
    </row>
    <row r="4" spans="1:10" ht="15">
      <c r="A4" s="46" t="s">
        <v>629</v>
      </c>
      <c r="B4" s="47">
        <v>990</v>
      </c>
      <c r="C4" s="48"/>
      <c r="D4" s="48">
        <v>34</v>
      </c>
      <c r="E4" s="48">
        <v>52</v>
      </c>
      <c r="F4" s="48" t="s">
        <v>549</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549</v>
      </c>
      <c r="G5" s="48" t="s">
        <v>551</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549</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549</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549</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549</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549</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549</v>
      </c>
      <c r="G12" s="48" t="s">
        <v>551</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549</v>
      </c>
      <c r="G13" s="48" t="s">
        <v>551</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549</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551</v>
      </c>
      <c r="H17" s="50" t="str">
        <f>IF($B17="","",IF($J17="X",B17,CONCATENATE(VLOOKUP(B17,Competitors!$A$2:$I$650,3,FALSE)," ",VLOOKUP(B17,Competitors!$A$2:$I$650,2,FALSE))))</f>
        <v>Milly Pinnock</v>
      </c>
      <c r="I17" s="51">
        <f t="shared" si="0"/>
        <v>0</v>
      </c>
      <c r="J17" t="str">
        <f t="shared" si="1"/>
        <v/>
      </c>
    </row>
    <row r="18" spans="1:10" ht="15">
      <c r="A18" s="46" t="s">
        <v>514</v>
      </c>
      <c r="B18" s="47" t="s">
        <v>566</v>
      </c>
      <c r="C18" s="48"/>
      <c r="D18" s="48">
        <v>28</v>
      </c>
      <c r="E18" s="48">
        <v>2</v>
      </c>
      <c r="F18" s="48" t="s">
        <v>549</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549</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549</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549</v>
      </c>
      <c r="G27" s="48" t="s">
        <v>551</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549</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Event_08</v>
      </c>
    </row>
    <row r="104" spans="1:10">
      <c r="B104" t="s">
        <v>557</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6" t="s">
        <v>452</v>
      </c>
      <c r="B2" s="47">
        <v>1244</v>
      </c>
      <c r="C2" s="48">
        <v>1</v>
      </c>
      <c r="D2" s="48">
        <v>15</v>
      </c>
      <c r="E2" s="48">
        <v>5</v>
      </c>
      <c r="F2" s="48" t="s">
        <v>549</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549</v>
      </c>
      <c r="G4" s="48"/>
      <c r="H4" s="50" t="str">
        <f>IF($B4="","",IF($J4="X",B4,CONCATENATE(VLOOKUP(B4,Competitors!$A$2:$I$650,3,FALSE)," ",VLOOKUP(B4,Competitors!$A$2:$I$650,2,FALSE))))</f>
        <v>Michaela Latham</v>
      </c>
      <c r="I4" s="51">
        <f t="shared" si="0"/>
        <v>5.0752314814814813E-2</v>
      </c>
      <c r="J4" t="str">
        <f t="shared" si="1"/>
        <v/>
      </c>
    </row>
    <row r="5" spans="1:10" ht="15">
      <c r="A5" s="56" t="s">
        <v>528</v>
      </c>
      <c r="B5" s="47" t="s">
        <v>610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549</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575</v>
      </c>
      <c r="B8" s="47" t="s">
        <v>575</v>
      </c>
      <c r="C8" s="48"/>
      <c r="D8" s="48"/>
      <c r="E8" s="48"/>
      <c r="F8" s="48"/>
      <c r="G8" s="48" t="s">
        <v>558</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549</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549</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562</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549</v>
      </c>
      <c r="G14" s="48" t="s">
        <v>558</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519</v>
      </c>
      <c r="B18" s="47" t="s">
        <v>564</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549</v>
      </c>
      <c r="G22" s="48" t="s">
        <v>558</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549</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549</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576</v>
      </c>
      <c r="B30" s="47" t="s">
        <v>576</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532</v>
      </c>
      <c r="B31" s="47" t="s">
        <v>563</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Event_09</v>
      </c>
    </row>
    <row r="104" spans="1:10">
      <c r="B104" t="s">
        <v>557</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7" t="s">
        <v>629</v>
      </c>
      <c r="B2" s="47">
        <v>990</v>
      </c>
      <c r="C2" s="48"/>
      <c r="D2" s="48">
        <v>31</v>
      </c>
      <c r="E2" s="48">
        <v>1</v>
      </c>
      <c r="F2" s="48" t="s">
        <v>549</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549</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549</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549</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549</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549</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549</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549</v>
      </c>
      <c r="G9" s="48"/>
      <c r="H9" s="50" t="str">
        <f>IF($B9="","",IF($J9="X",B9,CONCATENATE(VLOOKUP(B9,Competitors!$A$2:$I$650,3,FALSE)," ",VLOOKUP(B9,Competitors!$A$2:$I$650,2,FALSE))))</f>
        <v>Richard Hardwicke</v>
      </c>
      <c r="I9" s="51">
        <f t="shared" si="0"/>
        <v>1.7858796296296296E-2</v>
      </c>
      <c r="J9" t="str">
        <f t="shared" si="1"/>
        <v/>
      </c>
    </row>
    <row r="10" spans="1:10" ht="15">
      <c r="A10" s="57" t="s">
        <v>506</v>
      </c>
      <c r="B10" s="47" t="s">
        <v>559</v>
      </c>
      <c r="C10" s="48"/>
      <c r="D10" s="48">
        <v>25</v>
      </c>
      <c r="E10" s="48">
        <v>39</v>
      </c>
      <c r="F10" s="48" t="s">
        <v>549</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549</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549</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549</v>
      </c>
      <c r="G13" s="48"/>
      <c r="H13" s="50" t="str">
        <f>IF($B13="","",IF($J13="X",B13,CONCATENATE(VLOOKUP(B13,Competitors!$A$2:$I$650,3,FALSE)," ",VLOOKUP(B13,Competitors!$A$2:$I$650,2,FALSE))))</f>
        <v>Michaela Latham</v>
      </c>
      <c r="I13" s="51">
        <f t="shared" si="0"/>
        <v>1.8842592592592591E-2</v>
      </c>
      <c r="J13" t="str">
        <f t="shared" si="1"/>
        <v/>
      </c>
    </row>
    <row r="14" spans="1:10" ht="15">
      <c r="A14" s="57" t="s">
        <v>577</v>
      </c>
      <c r="B14" s="47" t="s">
        <v>577</v>
      </c>
      <c r="C14" s="48"/>
      <c r="D14" s="48">
        <v>26</v>
      </c>
      <c r="E14" s="48">
        <v>56</v>
      </c>
      <c r="F14" s="48" t="s">
        <v>549</v>
      </c>
      <c r="G14" s="48"/>
      <c r="H14" s="50" t="str">
        <f>IF($B14="","",IF($J14="X",B14,CONCATENATE(VLOOKUP(B14,Competitors!$A$2:$I$650,3,FALSE)," ",VLOOKUP(B14,Competitors!$A$2:$I$650,2,FALSE))))</f>
        <v>Tom Keane</v>
      </c>
      <c r="I14" s="51">
        <f t="shared" si="0"/>
        <v>1.8703703703703705E-2</v>
      </c>
      <c r="J14" t="str">
        <f t="shared" si="1"/>
        <v>X</v>
      </c>
    </row>
    <row r="15" spans="1:10" ht="15">
      <c r="A15" s="57" t="s">
        <v>516</v>
      </c>
      <c r="B15" s="47" t="s">
        <v>624</v>
      </c>
      <c r="C15" s="48"/>
      <c r="D15" s="48">
        <v>28</v>
      </c>
      <c r="E15" s="48">
        <v>39</v>
      </c>
      <c r="F15" s="48" t="s">
        <v>549</v>
      </c>
      <c r="G15" s="48"/>
      <c r="H15" s="50" t="str">
        <f>IF($B15="","",IF($J15="X",B15,CONCATENATE(VLOOKUP(B15,Competitors!$A$2:$I$650,3,FALSE)," ",VLOOKUP(B15,Competitors!$A$2:$I$650,2,FALSE))))</f>
        <v>Natalie Harris (Ratae)</v>
      </c>
      <c r="I15" s="51">
        <f t="shared" si="0"/>
        <v>1.9895833333333335E-2</v>
      </c>
      <c r="J15" t="str">
        <f t="shared" si="1"/>
        <v>X</v>
      </c>
    </row>
    <row r="16" spans="1:10" ht="15">
      <c r="A16" s="57" t="s">
        <v>578</v>
      </c>
      <c r="B16" s="47">
        <v>1423</v>
      </c>
      <c r="C16" s="48"/>
      <c r="D16" s="48">
        <v>29</v>
      </c>
      <c r="E16" s="48">
        <v>0</v>
      </c>
      <c r="F16" s="48" t="s">
        <v>549</v>
      </c>
      <c r="G16" s="48"/>
      <c r="H16" s="50" t="str">
        <f>IF($B16="","",IF($J16="X",B16,CONCATENATE(VLOOKUP(B16,Competitors!$A$2:$I$650,3,FALSE)," ",VLOOKUP(B16,Competitors!$A$2:$I$650,2,FALSE))))</f>
        <v>Mark Vowles</v>
      </c>
      <c r="I16" s="51">
        <f t="shared" si="0"/>
        <v>2.013888888888889E-2</v>
      </c>
      <c r="J16" t="str">
        <f t="shared" si="1"/>
        <v/>
      </c>
    </row>
    <row r="17" spans="1:10" ht="15">
      <c r="A17" s="57" t="s">
        <v>579</v>
      </c>
      <c r="B17" s="47">
        <v>1422</v>
      </c>
      <c r="C17" s="48"/>
      <c r="D17" s="48"/>
      <c r="E17" s="48"/>
      <c r="F17" s="48" t="s">
        <v>549</v>
      </c>
      <c r="G17" s="48" t="s">
        <v>551</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549</v>
      </c>
      <c r="G19" s="48" t="s">
        <v>573</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549</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623</v>
      </c>
      <c r="C22" s="48"/>
      <c r="D22" s="48"/>
      <c r="E22" s="48"/>
      <c r="F22" s="48" t="s">
        <v>549</v>
      </c>
      <c r="G22" s="48" t="s">
        <v>551</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549</v>
      </c>
      <c r="G29" s="48"/>
      <c r="H29" s="50" t="str">
        <f>IF($B29="","",IF($J29="X",B29,CONCATENATE(VLOOKUP(B29,Competitors!$A$2:$I$650,3,FALSE)," ",VLOOKUP(B29,Competitors!$A$2:$I$650,2,FALSE))))</f>
        <v>Simon Ward</v>
      </c>
      <c r="I29" s="51">
        <f t="shared" si="0"/>
        <v>1.7673611111111112E-2</v>
      </c>
      <c r="J29" t="str">
        <f t="shared" si="1"/>
        <v/>
      </c>
    </row>
    <row r="30" spans="1:10" ht="15">
      <c r="A30" s="57" t="s">
        <v>505</v>
      </c>
      <c r="B30" s="47" t="s">
        <v>568</v>
      </c>
      <c r="C30" s="48"/>
      <c r="D30" s="48">
        <v>29</v>
      </c>
      <c r="E30" s="48">
        <v>11</v>
      </c>
      <c r="F30" s="48" t="s">
        <v>549</v>
      </c>
      <c r="G30" s="48"/>
      <c r="H30" s="50" t="str">
        <f>IF($B30="","",IF($J30="X",B30,CONCATENATE(VLOOKUP(B30,Competitors!$A$2:$I$650,3,FALSE)," ",VLOOKUP(B30,Competitors!$A$2:$I$650,2,FALSE))))</f>
        <v>Brian Lincoln (Ratae)</v>
      </c>
      <c r="I30" s="51">
        <f t="shared" si="0"/>
        <v>2.0266203703703703E-2</v>
      </c>
      <c r="J30" t="str">
        <f t="shared" si="1"/>
        <v>X</v>
      </c>
    </row>
    <row r="31" spans="1:10" ht="15">
      <c r="A31" s="57" t="s">
        <v>533</v>
      </c>
      <c r="B31" s="47" t="s">
        <v>533</v>
      </c>
      <c r="C31" s="48"/>
      <c r="D31" s="48"/>
      <c r="E31" s="48"/>
      <c r="F31" s="48" t="s">
        <v>549</v>
      </c>
      <c r="G31" s="48" t="s">
        <v>551</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549</v>
      </c>
      <c r="G32" s="48"/>
      <c r="H32" s="50" t="str">
        <f>IF($B32="","",IF($J32="X",B32,CONCATENATE(VLOOKUP(B32,Competitors!$A$2:$I$650,3,FALSE)," ",VLOOKUP(B32,Competitors!$A$2:$I$650,2,FALSE))))</f>
        <v>Jason Williams</v>
      </c>
      <c r="I32" s="51">
        <f t="shared" si="0"/>
        <v>1.636574074074074E-2</v>
      </c>
      <c r="J32" t="str">
        <f t="shared" si="1"/>
        <v/>
      </c>
    </row>
    <row r="33" spans="1:10" ht="15">
      <c r="A33" s="57" t="s">
        <v>519</v>
      </c>
      <c r="B33" s="47" t="s">
        <v>564</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549</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549</v>
      </c>
      <c r="G36" s="48"/>
      <c r="H36" s="50" t="str">
        <f>IF($B36="","",IF($J36="X",B36,CONCATENATE(VLOOKUP(B36,Competitors!$A$2:$I$650,3,FALSE)," ",VLOOKUP(B36,Competitors!$A$2:$I$650,2,FALSE))))</f>
        <v>Jamie Kershaw</v>
      </c>
      <c r="I36" s="51">
        <f t="shared" si="0"/>
        <v>1.6087962962962964E-2</v>
      </c>
      <c r="J36" t="str">
        <f t="shared" si="1"/>
        <v/>
      </c>
    </row>
    <row r="37" spans="1:10" ht="15">
      <c r="A37" s="57" t="s">
        <v>532</v>
      </c>
      <c r="B37" s="47" t="s">
        <v>563</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549</v>
      </c>
      <c r="G38" s="48"/>
      <c r="H38" s="50" t="str">
        <f>IF($B38="","",IF($J38="X",B38,CONCATENATE(VLOOKUP(B38,Competitors!$A$2:$I$650,3,FALSE)," ",VLOOKUP(B38,Competitors!$A$2:$I$650,2,FALSE))))</f>
        <v>Nik Kershaw</v>
      </c>
      <c r="I38" s="51">
        <f t="shared" si="0"/>
        <v>1.7025462962962964E-2</v>
      </c>
      <c r="J38" t="str">
        <f t="shared" si="1"/>
        <v/>
      </c>
    </row>
    <row r="39" spans="1:10" ht="15">
      <c r="A39" s="62" t="s">
        <v>580</v>
      </c>
      <c r="B39" s="47" t="s">
        <v>619</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528</v>
      </c>
      <c r="B43" s="47" t="s">
        <v>610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514</v>
      </c>
      <c r="B45" s="47" t="s">
        <v>566</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Event_10</v>
      </c>
    </row>
    <row r="104" spans="1:10">
      <c r="B104" t="s">
        <v>557</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v>31</v>
      </c>
      <c r="E2" s="48">
        <v>8</v>
      </c>
      <c r="F2" s="48" t="s">
        <v>549</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511</v>
      </c>
      <c r="B3" s="47" t="s">
        <v>570</v>
      </c>
      <c r="C3" s="48"/>
      <c r="D3" s="48">
        <v>32</v>
      </c>
      <c r="E3" s="48">
        <v>9</v>
      </c>
      <c r="F3" s="48" t="s">
        <v>549</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549</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549</v>
      </c>
      <c r="G5" s="48"/>
      <c r="H5" s="50" t="str">
        <f>IF($B5="","",IF($J5="X",B5,CONCATENATE(VLOOKUP(B5,Competitors!$A$2:$I$650,3,FALSE)," ",VLOOKUP(B5,Competitors!$A$2:$I$650,2,FALSE))))</f>
        <v>Alex Hardwicke</v>
      </c>
      <c r="I5" s="51">
        <f t="shared" si="0"/>
        <v>1.9490740740740739E-2</v>
      </c>
      <c r="J5" t="str">
        <f t="shared" si="1"/>
        <v/>
      </c>
    </row>
    <row r="6" spans="1:10" ht="15">
      <c r="A6" s="46" t="s">
        <v>581</v>
      </c>
      <c r="B6" s="47">
        <v>935</v>
      </c>
      <c r="C6" s="48"/>
      <c r="D6" s="48">
        <v>34</v>
      </c>
      <c r="E6" s="48">
        <v>39</v>
      </c>
      <c r="F6" s="48" t="s">
        <v>549</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549</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549</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549</v>
      </c>
      <c r="G9" s="48"/>
      <c r="H9" s="50" t="str">
        <f>IF($B9="","",IF($J9="X",B9,CONCATENATE(VLOOKUP(B9,Competitors!$A$2:$I$650,3,FALSE)," ",VLOOKUP(B9,Competitors!$A$2:$I$650,2,FALSE))))</f>
        <v>Charlie Hardwicke</v>
      </c>
      <c r="I9" s="51">
        <f t="shared" si="0"/>
        <v>1.7523148148148149E-2</v>
      </c>
      <c r="J9" t="str">
        <f t="shared" si="1"/>
        <v/>
      </c>
    </row>
    <row r="10" spans="1:10" ht="15">
      <c r="A10" s="46" t="s">
        <v>506</v>
      </c>
      <c r="B10" s="47" t="s">
        <v>559</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549</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549</v>
      </c>
      <c r="G12" s="48"/>
      <c r="H12" s="50" t="str">
        <f>IF($B12="","",IF($J12="X",B12,CONCATENATE(VLOOKUP(B12,Competitors!$A$2:$I$650,3,FALSE)," ",VLOOKUP(B12,Competitors!$A$2:$I$650,2,FALSE))))</f>
        <v>Daniel McDonnell</v>
      </c>
      <c r="I12" s="51">
        <f t="shared" si="0"/>
        <v>1.6053240740740739E-2</v>
      </c>
      <c r="J12" t="str">
        <f t="shared" si="1"/>
        <v/>
      </c>
    </row>
    <row r="13" spans="1:10" ht="15">
      <c r="A13" s="46" t="s">
        <v>582</v>
      </c>
      <c r="B13" s="47">
        <v>741</v>
      </c>
      <c r="C13" s="48"/>
      <c r="D13" s="48">
        <v>23</v>
      </c>
      <c r="E13" s="48">
        <v>10</v>
      </c>
      <c r="F13" s="48" t="s">
        <v>549</v>
      </c>
      <c r="G13" s="48"/>
      <c r="H13" s="50" t="str">
        <f>IF($B13="","",IF($J13="X",B13,CONCATENATE(VLOOKUP(B13,Competitors!$A$2:$I$650,3,FALSE)," ",VLOOKUP(B13,Competitors!$A$2:$I$650,2,FALSE))))</f>
        <v>Rob Moore</v>
      </c>
      <c r="I13" s="51">
        <f t="shared" si="0"/>
        <v>1.6087962962962964E-2</v>
      </c>
      <c r="J13" t="str">
        <f t="shared" si="1"/>
        <v/>
      </c>
    </row>
    <row r="14" spans="1:10" ht="15">
      <c r="A14" s="46" t="s">
        <v>577</v>
      </c>
      <c r="B14" s="47" t="s">
        <v>577</v>
      </c>
      <c r="C14" s="48"/>
      <c r="D14" s="48">
        <v>27</v>
      </c>
      <c r="E14" s="48">
        <v>32</v>
      </c>
      <c r="F14" s="48" t="s">
        <v>549</v>
      </c>
      <c r="G14" s="48"/>
      <c r="H14" s="50" t="str">
        <f>IF($B14="","",IF($J14="X",B14,CONCATENATE(VLOOKUP(B14,Competitors!$A$2:$I$650,3,FALSE)," ",VLOOKUP(B14,Competitors!$A$2:$I$650,2,FALSE))))</f>
        <v>Tom Keane</v>
      </c>
      <c r="I14" s="51">
        <f t="shared" si="0"/>
        <v>1.9120370370370371E-2</v>
      </c>
      <c r="J14" t="str">
        <f t="shared" si="1"/>
        <v>X</v>
      </c>
    </row>
    <row r="15" spans="1:10" ht="15">
      <c r="A15" s="46" t="s">
        <v>553</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571</v>
      </c>
      <c r="B16" s="47" t="s">
        <v>571</v>
      </c>
      <c r="C16" s="48"/>
      <c r="D16" s="48">
        <v>27</v>
      </c>
      <c r="E16" s="48">
        <v>48</v>
      </c>
      <c r="F16" s="48" t="s">
        <v>549</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583</v>
      </c>
      <c r="B18" s="47">
        <v>1048</v>
      </c>
      <c r="C18" s="48"/>
      <c r="D18" s="48">
        <v>29</v>
      </c>
      <c r="E18" s="48">
        <v>34</v>
      </c>
      <c r="F18" s="48" t="s">
        <v>549</v>
      </c>
      <c r="G18" s="48"/>
      <c r="H18" s="50" t="str">
        <f>IF($B18="","",IF($J18="X",B18,CONCATENATE(VLOOKUP(B18,Competitors!$A$2:$I$650,3,FALSE)," ",VLOOKUP(B18,Competitors!$A$2:$I$650,2,FALSE))))</f>
        <v>Andy Smith</v>
      </c>
      <c r="I18" s="51">
        <f t="shared" si="0"/>
        <v>2.0532407407407409E-2</v>
      </c>
      <c r="J18" t="str">
        <f t="shared" si="1"/>
        <v/>
      </c>
    </row>
    <row r="19" spans="1:10" ht="15">
      <c r="A19" s="61" t="s">
        <v>584</v>
      </c>
      <c r="B19" s="47" t="s">
        <v>622</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505</v>
      </c>
      <c r="B22" s="47" t="s">
        <v>568</v>
      </c>
      <c r="C22" s="48"/>
      <c r="D22" s="48">
        <v>29</v>
      </c>
      <c r="E22" s="48">
        <v>1</v>
      </c>
      <c r="F22" s="48" t="s">
        <v>549</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514</v>
      </c>
      <c r="B24" s="47" t="s">
        <v>566</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585</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549</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549</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549</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549</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586</v>
      </c>
      <c r="B34" s="47">
        <v>1370</v>
      </c>
      <c r="C34" s="48"/>
      <c r="D34" s="48">
        <v>25</v>
      </c>
      <c r="E34" s="48">
        <v>19</v>
      </c>
      <c r="F34" s="48" t="s">
        <v>549</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549</v>
      </c>
      <c r="G35" s="48"/>
      <c r="H35" s="50" t="str">
        <f>IF($B35="","",IF($J35="X",B35,CONCATENATE(VLOOKUP(B35,Competitors!$A$2:$I$650,3,FALSE)," ",VLOOKUP(B35,Competitors!$A$2:$I$650,2,FALSE))))</f>
        <v>John Abbott</v>
      </c>
      <c r="I35" s="51">
        <f t="shared" si="0"/>
        <v>1.7141203703703704E-2</v>
      </c>
      <c r="J35" t="str">
        <f t="shared" si="1"/>
        <v/>
      </c>
    </row>
    <row r="36" spans="1:10" ht="15">
      <c r="A36" s="46" t="s">
        <v>587</v>
      </c>
      <c r="B36" s="47" t="s">
        <v>587</v>
      </c>
      <c r="C36" s="48"/>
      <c r="D36" s="48">
        <v>26</v>
      </c>
      <c r="E36" s="48">
        <v>19</v>
      </c>
      <c r="F36" s="48" t="s">
        <v>549</v>
      </c>
      <c r="G36" s="48"/>
      <c r="H36" s="50" t="str">
        <f>IF($B36="","",IF($J36="X",B36,CONCATENATE(VLOOKUP(B36,Competitors!$A$2:$I$650,3,FALSE)," ",VLOOKUP(B36,Competitors!$A$2:$I$650,2,FALSE))))</f>
        <v>Brian Harman</v>
      </c>
      <c r="I36" s="51">
        <f t="shared" si="0"/>
        <v>1.8275462962962962E-2</v>
      </c>
      <c r="J36" t="str">
        <f t="shared" si="1"/>
        <v>X</v>
      </c>
    </row>
    <row r="37" spans="1:10" ht="15">
      <c r="A37" s="46" t="s">
        <v>588</v>
      </c>
      <c r="B37" s="47" t="s">
        <v>588</v>
      </c>
      <c r="C37" s="48"/>
      <c r="D37" s="48"/>
      <c r="E37" s="48"/>
      <c r="F37" s="48"/>
      <c r="G37" s="48" t="s">
        <v>558</v>
      </c>
      <c r="H37" s="50" t="str">
        <f>IF($B37="","",IF($J37="X",B37,CONCATENATE(VLOOKUP(B37,Competitors!$A$2:$I$650,3,FALSE)," ",VLOOKUP(B37,Competitors!$A$2:$I$650,2,FALSE))))</f>
        <v>Jonathan Clarke</v>
      </c>
      <c r="I37" s="51">
        <f t="shared" si="0"/>
        <v>0</v>
      </c>
      <c r="J37" t="str">
        <f t="shared" si="1"/>
        <v>X</v>
      </c>
    </row>
    <row r="38" spans="1:10" ht="15">
      <c r="A38" s="46" t="s">
        <v>532</v>
      </c>
      <c r="B38" s="47" t="s">
        <v>563</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580</v>
      </c>
      <c r="B46" s="47" t="s">
        <v>619</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533</v>
      </c>
      <c r="B48" s="47" t="s">
        <v>533</v>
      </c>
      <c r="C48" s="48"/>
      <c r="D48" s="48">
        <v>20</v>
      </c>
      <c r="E48" s="48">
        <v>22</v>
      </c>
      <c r="F48" s="48" t="s">
        <v>549</v>
      </c>
      <c r="G48" s="48"/>
      <c r="H48" s="50" t="str">
        <f>IF($B48="","",IF($J48="X",B48,CONCATENATE(VLOOKUP(B48,Competitors!$A$2:$I$650,3,FALSE)," ",VLOOKUP(B48,Competitors!$A$2:$I$650,2,FALSE))))</f>
        <v>Hudson Hendry</v>
      </c>
      <c r="I48" s="51">
        <f t="shared" si="2"/>
        <v>1.4143518518518519E-2</v>
      </c>
      <c r="J48" t="str">
        <f t="shared" si="1"/>
        <v>X</v>
      </c>
    </row>
    <row r="49" spans="1:10" ht="15">
      <c r="A49" s="46" t="s">
        <v>517</v>
      </c>
      <c r="B49" s="47" t="s">
        <v>572</v>
      </c>
      <c r="C49" s="48"/>
      <c r="D49" s="48">
        <v>29</v>
      </c>
      <c r="E49" s="48">
        <v>58</v>
      </c>
      <c r="F49" s="48" t="s">
        <v>549</v>
      </c>
      <c r="G49" s="48"/>
      <c r="H49" s="50" t="str">
        <f>IF($B49="","",IF($J49="X",B49,CONCATENATE(VLOOKUP(B49,Competitors!$A$2:$I$650,3,FALSE)," ",VLOOKUP(B49,Competitors!$A$2:$I$650,2,FALSE))))</f>
        <v>Paul Eden (Ratae)</v>
      </c>
      <c r="I49" s="51">
        <f t="shared" si="2"/>
        <v>2.0810185185185185E-2</v>
      </c>
      <c r="J49" t="str">
        <f t="shared" si="1"/>
        <v>X</v>
      </c>
    </row>
    <row r="50" spans="1:10" ht="15">
      <c r="A50" s="46" t="s">
        <v>590</v>
      </c>
      <c r="B50" s="47" t="s">
        <v>590</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589</v>
      </c>
      <c r="B51" s="47">
        <v>1347</v>
      </c>
      <c r="C51" s="48"/>
      <c r="D51" s="48">
        <v>26</v>
      </c>
      <c r="E51" s="48">
        <v>5</v>
      </c>
      <c r="F51" s="48" t="s">
        <v>549</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Event_11</v>
      </c>
    </row>
    <row r="104" spans="1:10">
      <c r="B104" t="s">
        <v>557</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447</v>
      </c>
      <c r="B2" s="47">
        <v>1379</v>
      </c>
      <c r="C2" s="48"/>
      <c r="D2" s="49">
        <v>76</v>
      </c>
      <c r="E2" s="49">
        <v>10</v>
      </c>
      <c r="F2" s="49" t="s">
        <v>549</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549</v>
      </c>
      <c r="G3" s="49"/>
      <c r="H3" s="50" t="str">
        <f>IF($B3="","",IF($J3="X",B3,CONCATENATE(VLOOKUP(B3,Competitors!$A$2:$I$650,3,FALSE)," ",VLOOKUP(B3,Competitors!$A$2:$I$650,2,FALSE))))</f>
        <v>Richard Hardwicke</v>
      </c>
      <c r="I3" s="51">
        <f t="shared" si="0"/>
        <v>5.0289351851851849E-2</v>
      </c>
      <c r="J3" t="str">
        <f t="shared" si="1"/>
        <v/>
      </c>
    </row>
    <row r="4" spans="1:10" ht="15">
      <c r="A4" s="46" t="s">
        <v>528</v>
      </c>
      <c r="B4" s="47" t="s">
        <v>610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549</v>
      </c>
      <c r="G5" s="49"/>
      <c r="H5" s="50" t="str">
        <f>IF($B5="","",IF($J5="X",B5,CONCATENATE(VLOOKUP(B5,Competitors!$A$2:$I$650,3,FALSE)," ",VLOOKUP(B5,Competitors!$A$2:$I$650,2,FALSE))))</f>
        <v>Alex Hardwicke</v>
      </c>
      <c r="I5" s="51">
        <f t="shared" si="0"/>
        <v>5.4988425925925927E-2</v>
      </c>
      <c r="J5" t="str">
        <f t="shared" si="1"/>
        <v/>
      </c>
    </row>
    <row r="6" spans="1:10" ht="15">
      <c r="A6" s="46" t="s">
        <v>520</v>
      </c>
      <c r="B6" s="47" t="s">
        <v>611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549</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549</v>
      </c>
      <c r="G8" s="49"/>
      <c r="H8" s="50" t="str">
        <f>IF($B8="","",IF($J8="X",B8,CONCATENATE(VLOOKUP(B8,Competitors!$A$2:$I$650,3,FALSE)," ",VLOOKUP(B8,Competitors!$A$2:$I$650,2,FALSE))))</f>
        <v>Charlie Hardwicke</v>
      </c>
      <c r="I8" s="51">
        <f t="shared" si="0"/>
        <v>4.9826388888888892E-2</v>
      </c>
      <c r="J8" t="str">
        <f t="shared" si="1"/>
        <v/>
      </c>
    </row>
    <row r="9" spans="1:10" ht="15">
      <c r="A9" s="46" t="s">
        <v>594</v>
      </c>
      <c r="B9" s="47" t="s">
        <v>612</v>
      </c>
      <c r="C9" s="48"/>
      <c r="D9" s="49">
        <v>73</v>
      </c>
      <c r="E9" s="49">
        <v>45</v>
      </c>
      <c r="F9" s="49" t="s">
        <v>602</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602</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524</v>
      </c>
      <c r="B12" s="47" t="s">
        <v>613</v>
      </c>
      <c r="C12" s="48"/>
      <c r="D12" s="49">
        <v>72</v>
      </c>
      <c r="E12" s="49">
        <v>32</v>
      </c>
      <c r="F12" s="49" t="s">
        <v>549</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593</v>
      </c>
      <c r="B14" s="47" t="s">
        <v>614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549</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592</v>
      </c>
      <c r="B17" s="47" t="s">
        <v>615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531</v>
      </c>
      <c r="B18" s="47" t="s">
        <v>616</v>
      </c>
      <c r="C18" s="48"/>
      <c r="D18" s="49">
        <v>70</v>
      </c>
      <c r="E18" s="49">
        <v>45</v>
      </c>
      <c r="F18" s="49" t="s">
        <v>549</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558</v>
      </c>
      <c r="H19" s="50" t="str">
        <f>IF($B19="","",IF($J19="X",B19,CONCATENATE(VLOOKUP(B19,Competitors!$A$2:$I$650,3,FALSE)," ",VLOOKUP(B19,Competitors!$A$2:$I$650,2,FALSE))))</f>
        <v>Roger Kockelbergh</v>
      </c>
      <c r="I19" s="51">
        <f t="shared" si="0"/>
        <v>0</v>
      </c>
      <c r="J19" t="str">
        <f t="shared" si="1"/>
        <v/>
      </c>
    </row>
    <row r="20" spans="1:10" ht="15">
      <c r="A20" s="46" t="s">
        <v>597</v>
      </c>
      <c r="B20" s="47" t="s">
        <v>617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549</v>
      </c>
      <c r="G21" s="49"/>
      <c r="H21" s="50" t="str">
        <f>IF($B21="","",IF($J21="X",B21,CONCATENATE(VLOOKUP(B21,Competitors!$A$2:$I$650,3,FALSE)," ",VLOOKUP(B21,Competitors!$A$2:$I$650,2,FALSE))))</f>
        <v>Jason Williams</v>
      </c>
      <c r="I21" s="51">
        <f t="shared" si="0"/>
        <v>5.0763888888888886E-2</v>
      </c>
      <c r="J21" t="str">
        <f t="shared" si="1"/>
        <v/>
      </c>
    </row>
    <row r="22" spans="1:10" ht="15">
      <c r="A22" s="46" t="s">
        <v>591</v>
      </c>
      <c r="B22" s="47" t="s">
        <v>618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558</v>
      </c>
      <c r="H23" s="50" t="str">
        <f>IF($B23="","",IF($J23="X",B23,CONCATENATE(VLOOKUP(B23,Competitors!$A$2:$I$650,3,FALSE)," ",VLOOKUP(B23,Competitors!$A$2:$I$650,2,FALSE))))</f>
        <v>Gary Ashwell</v>
      </c>
      <c r="I23" s="51">
        <f t="shared" si="0"/>
        <v>0</v>
      </c>
      <c r="J23" t="str">
        <f t="shared" si="1"/>
        <v/>
      </c>
    </row>
    <row r="24" spans="1:10" ht="15">
      <c r="A24" s="46" t="s">
        <v>580</v>
      </c>
      <c r="B24" s="47" t="s">
        <v>619</v>
      </c>
      <c r="C24" s="48"/>
      <c r="D24" s="49"/>
      <c r="E24" s="49"/>
      <c r="F24" s="49"/>
      <c r="G24" s="49" t="s">
        <v>558</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551</v>
      </c>
      <c r="H25" s="50" t="str">
        <f>IF($B25="","",IF($J25="X",B25,CONCATENATE(VLOOKUP(B25,Competitors!$A$2:$I$650,3,FALSE)," ",VLOOKUP(B25,Competitors!$A$2:$I$650,2,FALSE))))</f>
        <v>Stuart Haycox</v>
      </c>
      <c r="I25" s="51">
        <f t="shared" si="0"/>
        <v>0</v>
      </c>
      <c r="J25" t="str">
        <f t="shared" si="1"/>
        <v/>
      </c>
    </row>
    <row r="26" spans="1:10" ht="15">
      <c r="A26" s="46" t="s">
        <v>529</v>
      </c>
      <c r="B26" s="47" t="s">
        <v>609</v>
      </c>
      <c r="C26" s="48"/>
      <c r="D26" s="49">
        <v>67</v>
      </c>
      <c r="E26" s="49">
        <v>14</v>
      </c>
      <c r="F26" s="49" t="s">
        <v>549</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596</v>
      </c>
      <c r="B28" s="47" t="s">
        <v>620</v>
      </c>
      <c r="C28" s="48"/>
      <c r="D28" s="49">
        <v>61</v>
      </c>
      <c r="E28" s="49">
        <v>34</v>
      </c>
      <c r="F28" s="49" t="s">
        <v>549</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608</v>
      </c>
      <c r="C30" s="48"/>
      <c r="D30" s="49">
        <v>63</v>
      </c>
      <c r="E30" s="49">
        <v>43</v>
      </c>
      <c r="F30" s="49" t="s">
        <v>549</v>
      </c>
      <c r="G30" s="49"/>
      <c r="H30" s="50" t="str">
        <f>IF($B30="","",IF($J30="X",B30,CONCATENATE(VLOOKUP(B30,Competitors!$A$2:$I$650,3,FALSE)," ",VLOOKUP(B30,Competitors!$A$2:$I$650,2,FALSE))))</f>
        <v>Andy King (KCC)</v>
      </c>
      <c r="I30" s="51">
        <f t="shared" si="0"/>
        <v>4.4247685185185189E-2</v>
      </c>
      <c r="J30" t="str">
        <f t="shared" si="1"/>
        <v>X</v>
      </c>
    </row>
    <row r="31" spans="1:10" ht="15">
      <c r="A31" s="46" t="s">
        <v>532</v>
      </c>
      <c r="B31" s="47" t="s">
        <v>563</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526</v>
      </c>
      <c r="B32" s="47" t="s">
        <v>621</v>
      </c>
      <c r="C32" s="48"/>
      <c r="D32" s="49">
        <v>69</v>
      </c>
      <c r="E32" s="49">
        <v>20</v>
      </c>
      <c r="F32" s="49" t="s">
        <v>549</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556</v>
      </c>
      <c r="C103" t="str" cm="1">
        <f t="array" aca="1" ref="C103" ca="1">MID(CELL("filename",B1),FIND("]",CELL("filename",B1))+1,255)</f>
        <v>Event_12</v>
      </c>
    </row>
    <row r="104" spans="1:10">
      <c r="B104" t="s">
        <v>557</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598</v>
      </c>
      <c r="B3" s="47" t="s">
        <v>598</v>
      </c>
      <c r="C3" s="48"/>
      <c r="D3" s="49"/>
      <c r="E3" s="49"/>
      <c r="F3" s="49" t="s">
        <v>549</v>
      </c>
      <c r="G3" s="49"/>
      <c r="H3" s="50" t="str">
        <f>IF($B3="","",IF($J3="X",B3,CONCATENATE(VLOOKUP(B3,Competitors!$A$2:$I$650,3,FALSE)," ",VLOOKUP(B3,Competitors!$A$2:$I$650,2,FALSE))))</f>
        <v>Mohammed Nurgat</v>
      </c>
      <c r="I3" s="51">
        <f t="shared" si="0"/>
        <v>0</v>
      </c>
      <c r="J3" t="str">
        <f t="shared" si="1"/>
        <v>X</v>
      </c>
    </row>
    <row r="4" spans="1:10" ht="15">
      <c r="A4" s="46" t="s">
        <v>514</v>
      </c>
      <c r="B4" s="47" t="s">
        <v>566</v>
      </c>
      <c r="C4" s="48"/>
      <c r="D4" s="49"/>
      <c r="E4" s="49"/>
      <c r="F4" s="49" t="s">
        <v>549</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549</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549</v>
      </c>
      <c r="G6" s="49"/>
      <c r="H6" s="50" t="str">
        <f>IF($B6="","",IF($J6="X",B6,CONCATENATE(VLOOKUP(B6,Competitors!$A$2:$I$650,3,FALSE)," ",VLOOKUP(B6,Competitors!$A$2:$I$650,2,FALSE))))</f>
        <v>Daniel McDonnell</v>
      </c>
      <c r="I6" s="51">
        <f t="shared" si="0"/>
        <v>0</v>
      </c>
      <c r="J6" t="str">
        <f t="shared" si="1"/>
        <v/>
      </c>
    </row>
    <row r="7" spans="1:10" ht="15">
      <c r="A7" s="46" t="s">
        <v>599</v>
      </c>
      <c r="B7" s="47" t="s">
        <v>606</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549</v>
      </c>
      <c r="G8" s="49"/>
      <c r="H8" s="50" t="str">
        <f>IF($B8="","",IF($J8="X",B8,CONCATENATE(VLOOKUP(B8,Competitors!$A$2:$I$650,3,FALSE)," ",VLOOKUP(B8,Competitors!$A$2:$I$650,2,FALSE))))</f>
        <v>Vic Barnett</v>
      </c>
      <c r="I8" s="51">
        <f t="shared" si="0"/>
        <v>0</v>
      </c>
      <c r="J8" t="str">
        <f t="shared" si="1"/>
        <v/>
      </c>
    </row>
    <row r="9" spans="1:10" ht="15">
      <c r="A9" s="46" t="s">
        <v>600</v>
      </c>
      <c r="B9" s="47">
        <v>1390</v>
      </c>
      <c r="C9" s="48"/>
      <c r="D9" s="49"/>
      <c r="E9" s="49"/>
      <c r="F9" s="49" t="s">
        <v>549</v>
      </c>
      <c r="G9" s="49"/>
      <c r="H9" s="50" t="str">
        <f>IF($B9="","",IF($J9="X",B9,CONCATENATE(VLOOKUP(B9,Competitors!$A$2:$I$650,3,FALSE)," ",VLOOKUP(B9,Competitors!$A$2:$I$650,2,FALSE))))</f>
        <v>Diego Patteri</v>
      </c>
      <c r="I9" s="51">
        <f t="shared" si="0"/>
        <v>0</v>
      </c>
      <c r="J9" t="str">
        <f t="shared" si="1"/>
        <v/>
      </c>
    </row>
    <row r="10" spans="1:10" ht="15">
      <c r="A10" s="46" t="s">
        <v>496</v>
      </c>
      <c r="B10" s="47" t="s">
        <v>607</v>
      </c>
      <c r="C10" s="48"/>
      <c r="D10" s="49"/>
      <c r="E10" s="49"/>
      <c r="F10" s="49" t="s">
        <v>549</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549</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549</v>
      </c>
      <c r="G12" s="49"/>
      <c r="H12" s="50" t="str">
        <f>IF($B12="","",IF($J12="X",B12,CONCATENATE(VLOOKUP(B12,Competitors!$A$2:$I$650,3,FALSE)," ",VLOOKUP(B12,Competitors!$A$2:$I$650,2,FALSE))))</f>
        <v>Aubrey Elmer</v>
      </c>
      <c r="I12" s="51">
        <f t="shared" si="0"/>
        <v>0</v>
      </c>
      <c r="J12" t="str">
        <f t="shared" si="1"/>
        <v/>
      </c>
    </row>
    <row r="13" spans="1:10" ht="15">
      <c r="A13" s="46" t="s">
        <v>506</v>
      </c>
      <c r="B13" s="47" t="s">
        <v>559</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608</v>
      </c>
      <c r="C14" s="48"/>
      <c r="D14" s="49"/>
      <c r="E14" s="49"/>
      <c r="F14" s="49" t="s">
        <v>549</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601</v>
      </c>
      <c r="B16" s="47" t="s">
        <v>601</v>
      </c>
      <c r="C16" s="48"/>
      <c r="D16" s="49"/>
      <c r="E16" s="49"/>
      <c r="F16" s="49" t="s">
        <v>549</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549</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549</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549</v>
      </c>
      <c r="G19" s="49"/>
      <c r="H19" s="50" t="str">
        <f>IF($B19="","",IF($J19="X",B19,CONCATENATE(VLOOKUP(B19,Competitors!$A$2:$I$650,3,FALSE)," ",VLOOKUP(B19,Competitors!$A$2:$I$650,2,FALSE))))</f>
        <v>Colin Dobson</v>
      </c>
      <c r="I19" s="51">
        <f t="shared" si="0"/>
        <v>0</v>
      </c>
      <c r="J19" t="str">
        <f t="shared" si="1"/>
        <v/>
      </c>
    </row>
    <row r="20" spans="1:10" ht="15">
      <c r="A20" s="46" t="s">
        <v>629</v>
      </c>
      <c r="B20" s="47">
        <v>990</v>
      </c>
      <c r="C20" s="48"/>
      <c r="D20" s="49"/>
      <c r="E20" s="49"/>
      <c r="F20" s="49" t="s">
        <v>549</v>
      </c>
      <c r="G20" s="49"/>
      <c r="H20" s="50" t="str">
        <f>IF($B20="","",IF($J20="X",B20,CONCATENATE(VLOOKUP(B20,Competitors!$A$2:$I$650,3,FALSE)," ",VLOOKUP(B20,Competitors!$A$2:$I$650,2,FALSE))))</f>
        <v>Jen Hulme</v>
      </c>
      <c r="I20" s="51">
        <f t="shared" si="0"/>
        <v>0</v>
      </c>
      <c r="J20" t="str">
        <f t="shared" si="1"/>
        <v/>
      </c>
    </row>
    <row r="21" spans="1:10" ht="15">
      <c r="A21" s="46" t="s">
        <v>529</v>
      </c>
      <c r="B21" s="47" t="s">
        <v>609</v>
      </c>
      <c r="C21" s="48"/>
      <c r="D21" s="49"/>
      <c r="E21" s="49"/>
      <c r="F21" s="49" t="s">
        <v>549</v>
      </c>
      <c r="G21" s="49"/>
      <c r="H21" s="50" t="str">
        <f>IF($B21="","",IF($J21="X",B21,CONCATENATE(VLOOKUP(B21,Competitors!$A$2:$I$650,3,FALSE)," ",VLOOKUP(B21,Competitors!$A$2:$I$650,2,FALSE))))</f>
        <v>Michael Carter (RFW)</v>
      </c>
      <c r="I21" s="51">
        <f t="shared" si="0"/>
        <v>0</v>
      </c>
      <c r="J21" t="str">
        <f t="shared" si="1"/>
        <v>X</v>
      </c>
    </row>
    <row r="22" spans="1:10" ht="15">
      <c r="A22" s="46" t="s">
        <v>519</v>
      </c>
      <c r="B22" s="47" t="s">
        <v>564</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549</v>
      </c>
      <c r="G24" s="49"/>
      <c r="H24" s="50" t="str">
        <f>IF($B24="","",IF($J24="X",B24,CONCATENATE(VLOOKUP(B24,Competitors!$A$2:$I$650,3,FALSE)," ",VLOOKUP(B24,Competitors!$A$2:$I$650,2,FALSE))))</f>
        <v>Alex Hardwicke</v>
      </c>
      <c r="I24" s="51">
        <f t="shared" si="0"/>
        <v>0</v>
      </c>
      <c r="J24" t="str">
        <f t="shared" si="1"/>
        <v/>
      </c>
    </row>
    <row r="25" spans="1:10" ht="15">
      <c r="A25" s="46" t="s">
        <v>528</v>
      </c>
      <c r="B25" s="47" t="s">
        <v>610</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Event_13</v>
      </c>
    </row>
    <row r="104" spans="1:10">
      <c r="B104" t="s">
        <v>557</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2"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61" t="s">
        <v>629</v>
      </c>
      <c r="B2" s="47">
        <f t="shared" ref="B2:B33" si="0">IF(A2="","",_xlfn.XLOOKUP(A2,ClubNames,ClubNumbers,_xlfn.XLOOKUP(A2,RoundRobinRiderNames,RoundRobinRiderDecoratedNames,A2)))</f>
        <v>990</v>
      </c>
      <c r="C2" s="48"/>
      <c r="D2" s="49">
        <v>33</v>
      </c>
      <c r="E2" s="49">
        <v>30</v>
      </c>
      <c r="F2" s="49" t="s">
        <v>549</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586</v>
      </c>
      <c r="B3" s="47">
        <f t="shared" si="0"/>
        <v>1370</v>
      </c>
      <c r="C3" s="48"/>
      <c r="D3" s="49">
        <v>26</v>
      </c>
      <c r="E3" s="49">
        <v>0</v>
      </c>
      <c r="F3" s="49" t="s">
        <v>549</v>
      </c>
      <c r="G3" s="66"/>
      <c r="H3" s="50" t="str">
        <f>IF($B3="","",IF($J3="X",B3,CONCATENATE(VLOOKUP(B3,Competitors!$A$2:$I$650,3,FALSE)," ",VLOOKUP(B3,Competitors!$A$2:$I$650,2,FALSE))))</f>
        <v>Ian Aldridge</v>
      </c>
      <c r="I3" s="51">
        <f t="shared" si="1"/>
        <v>1.8055555555555554E-2</v>
      </c>
      <c r="J3" t="str">
        <f t="shared" si="2"/>
        <v/>
      </c>
    </row>
    <row r="4" spans="1:10" ht="15">
      <c r="A4" s="46" t="s">
        <v>505</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549</v>
      </c>
      <c r="G5" s="66"/>
      <c r="H5" s="50" t="str">
        <f>IF($B5="","",IF($J5="X",B5,CONCATENATE(VLOOKUP(B5,Competitors!$A$2:$I$650,3,FALSE)," ",VLOOKUP(B5,Competitors!$A$2:$I$650,2,FALSE))))</f>
        <v>Claire Moore</v>
      </c>
      <c r="I5" s="51">
        <f t="shared" si="1"/>
        <v>2.3055555555555555E-2</v>
      </c>
      <c r="J5" t="str">
        <f t="shared" si="2"/>
        <v/>
      </c>
    </row>
    <row r="6" spans="1:10" ht="15">
      <c r="A6" s="46" t="s">
        <v>528</v>
      </c>
      <c r="B6" s="47" t="str">
        <f>IF(A6="","",_xlfn.XLOOKUP(A6,ClubNames,ClubNumbers,_xlfn.XLOOKUP(A6,RoundRobinRiderNames,RoundRobinRiderDecoratedNames,A6)))</f>
        <v>Lynne Wilkinson-Scofield (RFW)</v>
      </c>
      <c r="C6" s="48"/>
      <c r="D6" s="49"/>
      <c r="E6" s="49"/>
      <c r="F6" s="49"/>
      <c r="G6" s="49" t="s">
        <v>558</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549</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549</v>
      </c>
      <c r="G8" s="66"/>
      <c r="H8" s="50" t="str">
        <f>IF($B8="","",IF($J8="X",B8,CONCATENATE(VLOOKUP(B8,Competitors!$A$2:$I$650,3,FALSE)," ",VLOOKUP(B8,Competitors!$A$2:$I$650,2,FALSE))))</f>
        <v>Vic Barnett</v>
      </c>
      <c r="I8" s="51">
        <f t="shared" si="1"/>
        <v>2.2002314814814815E-2</v>
      </c>
      <c r="J8" t="str">
        <f t="shared" si="2"/>
        <v/>
      </c>
    </row>
    <row r="9" spans="1:10" ht="15">
      <c r="A9" s="46" t="s">
        <v>589</v>
      </c>
      <c r="B9" s="47">
        <f t="shared" si="0"/>
        <v>1347</v>
      </c>
      <c r="C9" s="48"/>
      <c r="D9" s="49">
        <v>26</v>
      </c>
      <c r="E9" s="49">
        <v>38</v>
      </c>
      <c r="F9" s="49" t="s">
        <v>549</v>
      </c>
      <c r="G9" s="66"/>
      <c r="H9" s="50" t="str">
        <f>IF($B9="","",IF($J9="X",B9,CONCATENATE(VLOOKUP(B9,Competitors!$A$2:$I$650,3,FALSE)," ",VLOOKUP(B9,Competitors!$A$2:$I$650,2,FALSE))))</f>
        <v>Stuart Simpson-Smith</v>
      </c>
      <c r="I9" s="51">
        <f t="shared" si="1"/>
        <v>1.849537037037037E-2</v>
      </c>
      <c r="J9" t="str">
        <f t="shared" si="2"/>
        <v/>
      </c>
    </row>
    <row r="10" spans="1:10" ht="15">
      <c r="A10" s="46" t="s">
        <v>515</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506</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627</v>
      </c>
      <c r="B13" s="47">
        <f t="shared" si="0"/>
        <v>1391</v>
      </c>
      <c r="C13" s="48"/>
      <c r="D13" s="49">
        <v>24</v>
      </c>
      <c r="E13" s="49">
        <v>59</v>
      </c>
      <c r="F13" s="49" t="s">
        <v>549</v>
      </c>
      <c r="G13" s="66"/>
      <c r="H13" s="50" t="str">
        <f>IF($B13="","",IF($J13="X",B13,CONCATENATE(VLOOKUP(B13,Competitors!$A$2:$I$650,3,FALSE)," ",VLOOKUP(B13,Competitors!$A$2:$I$650,2,FALSE))))</f>
        <v>Leah Cuthbertson</v>
      </c>
      <c r="I13" s="51">
        <f t="shared" si="1"/>
        <v>1.7349537037037038E-2</v>
      </c>
      <c r="J13" t="str">
        <f t="shared" si="2"/>
        <v/>
      </c>
    </row>
    <row r="14" spans="1:10" ht="15">
      <c r="A14" s="46" t="s">
        <v>519</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549</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582</v>
      </c>
      <c r="B17" s="47">
        <f t="shared" si="0"/>
        <v>741</v>
      </c>
      <c r="C17" s="48"/>
      <c r="D17" s="49">
        <v>24</v>
      </c>
      <c r="E17" s="49">
        <v>8</v>
      </c>
      <c r="F17" s="49" t="s">
        <v>549</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549</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549</v>
      </c>
      <c r="G21" s="66"/>
      <c r="H21" s="50" t="str">
        <f>IF($B21="","",IF($J21="X",B21,CONCATENATE(VLOOKUP(B21,Competitors!$A$2:$I$650,3,FALSE)," ",VLOOKUP(B21,Competitors!$A$2:$I$650,2,FALSE))))</f>
        <v>Jamie Kershaw</v>
      </c>
      <c r="I21" s="51">
        <f t="shared" si="1"/>
        <v>1.6261574074074074E-2</v>
      </c>
      <c r="J21" t="str">
        <f t="shared" si="2"/>
        <v/>
      </c>
    </row>
    <row r="22" spans="1:10" ht="15">
      <c r="A22" s="61" t="s">
        <v>580</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583</v>
      </c>
      <c r="B23" s="47">
        <f t="shared" si="0"/>
        <v>1048</v>
      </c>
      <c r="C23" s="48"/>
      <c r="D23" s="49"/>
      <c r="E23" s="49"/>
      <c r="F23" s="49" t="s">
        <v>549</v>
      </c>
      <c r="G23" s="66" t="s">
        <v>558</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600</v>
      </c>
      <c r="B25" s="47">
        <f t="shared" si="0"/>
        <v>1390</v>
      </c>
      <c r="C25" s="48"/>
      <c r="D25" s="49">
        <v>24</v>
      </c>
      <c r="E25" s="49">
        <v>51</v>
      </c>
      <c r="F25" s="49" t="s">
        <v>549</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549</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549</v>
      </c>
      <c r="G28" s="66"/>
      <c r="H28" s="50" t="str">
        <f>IF($B28="","",IF($J28="X",B28,CONCATENATE(VLOOKUP(B28,Competitors!$A$2:$I$650,3,FALSE)," ",VLOOKUP(B28,Competitors!$A$2:$I$650,2,FALSE))))</f>
        <v>Nik Kershaw</v>
      </c>
      <c r="I28" s="51">
        <f t="shared" si="1"/>
        <v>1.804398148148148E-2</v>
      </c>
      <c r="J28" t="str">
        <f t="shared" si="2"/>
        <v/>
      </c>
    </row>
    <row r="29" spans="1:10" ht="15">
      <c r="A29" s="46" t="s">
        <v>514</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549</v>
      </c>
      <c r="G30" s="66" t="s">
        <v>562</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632</v>
      </c>
      <c r="B34" s="47" t="str">
        <f>IF(A34="","",_xlfn.XLOOKUP(A34,ClubNames,ClubNumbers,_xlfn.XLOOKUP(A34,RoundRobinRiderNames,RoundRobinRiderDecoratedNames,A34)))</f>
        <v>Paul Akroyd (VTTA E.Mids)</v>
      </c>
      <c r="C34" s="48"/>
      <c r="D34" s="49">
        <v>27</v>
      </c>
      <c r="E34" s="49">
        <v>2</v>
      </c>
      <c r="F34" s="49" t="s">
        <v>549</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558</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558</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549</v>
      </c>
      <c r="G37" s="66" t="s">
        <v>558</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549</v>
      </c>
      <c r="G38" s="66" t="s">
        <v>558</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549</v>
      </c>
      <c r="G39" s="66" t="s">
        <v>558</v>
      </c>
      <c r="H39" s="50" t="str">
        <f>IF($B39="","",IF($J39="X",B39,CONCATENATE(VLOOKUP(B39,Competitors!$A$2:$I$650,3,FALSE)," ",VLOOKUP(B39,Competitors!$A$2:$I$650,2,FALSE))))</f>
        <v>Charlie Hardwicke</v>
      </c>
      <c r="I39" s="51">
        <f t="shared" si="1"/>
        <v>0</v>
      </c>
      <c r="J39" t="str">
        <f t="shared" si="2"/>
        <v/>
      </c>
    </row>
    <row r="40" spans="1:10" ht="15">
      <c r="A40" s="46" t="s">
        <v>575</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532</v>
      </c>
      <c r="B45" s="47" t="str">
        <f t="shared" si="3"/>
        <v>Phil Wilkinson (RFW)</v>
      </c>
      <c r="C45" s="48"/>
      <c r="D45" s="49"/>
      <c r="E45" s="49"/>
      <c r="F45" s="49"/>
      <c r="G45" s="49" t="s">
        <v>558</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633</v>
      </c>
      <c r="B48" s="47">
        <f t="shared" si="3"/>
        <v>1416</v>
      </c>
      <c r="C48" s="48"/>
      <c r="D48" s="49">
        <v>24</v>
      </c>
      <c r="E48" s="49">
        <v>18</v>
      </c>
      <c r="F48" s="49" t="s">
        <v>549</v>
      </c>
      <c r="G48" s="49"/>
      <c r="H48" s="50" t="str">
        <f>IF($B48="","",IF($J48="X",B48,CONCATENATE(VLOOKUP(B48,Competitors!$A$2:$I$650,3,FALSE)," ",VLOOKUP(B48,Competitors!$A$2:$I$650,2,FALSE))))</f>
        <v>Henry Bellamy</v>
      </c>
      <c r="I48" s="51">
        <f t="shared" si="1"/>
        <v>1.6875000000000001E-2</v>
      </c>
      <c r="J48" t="str">
        <f t="shared" si="2"/>
        <v/>
      </c>
    </row>
    <row r="49" spans="1:10" ht="15">
      <c r="A49" s="46" t="s">
        <v>504</v>
      </c>
      <c r="B49" s="47" t="str">
        <f t="shared" si="3"/>
        <v>Alex Whitmore (Ratae)</v>
      </c>
      <c r="C49" s="48"/>
      <c r="D49" s="49">
        <v>22</v>
      </c>
      <c r="E49" s="49">
        <v>44</v>
      </c>
      <c r="F49" s="49" t="s">
        <v>549</v>
      </c>
      <c r="G49" s="49"/>
      <c r="H49" s="50" t="str">
        <f>IF($B49="","",IF($J49="X",B49,CONCATENATE(VLOOKUP(B49,Competitors!$A$2:$I$650,3,FALSE)," ",VLOOKUP(B49,Competitors!$A$2:$I$650,2,FALSE))))</f>
        <v>Alex Whitmore (Ratae)</v>
      </c>
      <c r="I49" s="51">
        <f t="shared" si="1"/>
        <v>1.5787037037037037E-2</v>
      </c>
      <c r="J49" t="str">
        <f t="shared" si="2"/>
        <v>X</v>
      </c>
    </row>
    <row r="50" spans="1:10" ht="15">
      <c r="A50" s="46" t="s">
        <v>634</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549</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Event_14</v>
      </c>
    </row>
    <row r="104" spans="1:10">
      <c r="B104" t="s">
        <v>557</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584</v>
      </c>
      <c r="B2" s="47" t="str">
        <f t="shared" ref="B2:B32" si="0">IF(A2="","",_xlfn.XLOOKUP(A2,ClubNames,ClubNumbers,_xlfn.XLOOKUP(A2,RoundRobinRiderNames,RoundRobinRiderDecoratedNames,A2)))</f>
        <v>Geoff Stanbridge (Ratae)</v>
      </c>
      <c r="C2" s="48"/>
      <c r="D2" s="49">
        <v>40</v>
      </c>
      <c r="E2" s="49">
        <v>37</v>
      </c>
      <c r="F2" s="49" t="s">
        <v>549</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549</v>
      </c>
      <c r="G3" s="49"/>
      <c r="H3" s="50" t="str">
        <f>IF($B3="","",IF($J3="X",B3,CONCATENATE(VLOOKUP(B3,Competitors!$A$2:$I$650,3,FALSE)," ",VLOOKUP(B3,Competitors!$A$2:$I$650,2,FALSE))))</f>
        <v>Mea Moore</v>
      </c>
      <c r="I3" s="51">
        <f t="shared" si="1"/>
        <v>2.0208333333333332E-2</v>
      </c>
      <c r="J3" t="str">
        <f t="shared" si="2"/>
        <v/>
      </c>
    </row>
    <row r="4" spans="1:10" ht="15">
      <c r="A4" s="46" t="s">
        <v>629</v>
      </c>
      <c r="B4" s="47">
        <f t="shared" si="0"/>
        <v>990</v>
      </c>
      <c r="C4" s="48"/>
      <c r="D4" s="49">
        <v>32</v>
      </c>
      <c r="E4" s="49">
        <v>57</v>
      </c>
      <c r="F4" s="49" t="s">
        <v>549</v>
      </c>
      <c r="G4" s="49"/>
      <c r="H4" s="50" t="str">
        <f>IF($B4="","",IF($J4="X",B4,CONCATENATE(VLOOKUP(B4,Competitors!$A$2:$I$650,3,FALSE)," ",VLOOKUP(B4,Competitors!$A$2:$I$650,2,FALSE))))</f>
        <v>Jen Hulme</v>
      </c>
      <c r="I4" s="51">
        <f t="shared" si="1"/>
        <v>2.2881944444444444E-2</v>
      </c>
      <c r="J4" t="str">
        <f t="shared" si="2"/>
        <v/>
      </c>
    </row>
    <row r="5" spans="1:10" ht="15">
      <c r="A5" s="46" t="s">
        <v>630</v>
      </c>
      <c r="B5" s="47" t="str">
        <f t="shared" si="0"/>
        <v>Michael Wheeler (KCC)</v>
      </c>
      <c r="C5" s="48"/>
      <c r="D5" s="49"/>
      <c r="E5" s="49"/>
      <c r="F5" s="49" t="s">
        <v>549</v>
      </c>
      <c r="G5" s="49" t="s">
        <v>558</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549</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549</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549</v>
      </c>
      <c r="G9" s="49"/>
      <c r="H9" s="50" t="str">
        <f>IF($B9="","",IF($J9="X",B9,CONCATENATE(VLOOKUP(B9,Competitors!$A$2:$I$650,3,FALSE)," ",VLOOKUP(B9,Competitors!$A$2:$I$650,2,FALSE))))</f>
        <v>Michaela Latham</v>
      </c>
      <c r="I9" s="51">
        <f t="shared" si="1"/>
        <v>2.0486111111111111E-2</v>
      </c>
      <c r="J9" t="str">
        <f t="shared" si="2"/>
        <v/>
      </c>
    </row>
    <row r="10" spans="1:10" ht="15">
      <c r="A10" s="46" t="s">
        <v>592</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528</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549</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549</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632</v>
      </c>
      <c r="B17" s="47" t="str">
        <f t="shared" si="0"/>
        <v>Paul Akroyd (VTTA E.Mids)</v>
      </c>
      <c r="C17" s="48"/>
      <c r="D17" s="49">
        <v>27</v>
      </c>
      <c r="E17" s="49">
        <v>25</v>
      </c>
      <c r="F17" s="49" t="s">
        <v>549</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549</v>
      </c>
      <c r="G18" s="49"/>
      <c r="H18" s="50" t="str">
        <f>IF($B18="","",IF($J18="X",B18,CONCATENATE(VLOOKUP(B18,Competitors!$A$2:$I$650,3,FALSE)," ",VLOOKUP(B18,Competitors!$A$2:$I$650,2,FALSE))))</f>
        <v>Richard Hardwicke</v>
      </c>
      <c r="I18" s="51">
        <f t="shared" si="1"/>
        <v>1.9953703703703703E-2</v>
      </c>
      <c r="J18" t="str">
        <f t="shared" si="2"/>
        <v/>
      </c>
    </row>
    <row r="19" spans="1:10" ht="15">
      <c r="A19" s="46" t="s">
        <v>631</v>
      </c>
      <c r="B19" s="47" t="str">
        <f t="shared" si="0"/>
        <v>Ian Bird (KCC)</v>
      </c>
      <c r="C19" s="48"/>
      <c r="D19" s="49">
        <v>28</v>
      </c>
      <c r="E19" s="49">
        <v>59</v>
      </c>
      <c r="F19" s="49" t="s">
        <v>549</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506</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514</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517</v>
      </c>
      <c r="B23" s="47" t="str">
        <f t="shared" si="0"/>
        <v>Paul Eden (Ratae)</v>
      </c>
      <c r="C23" s="48"/>
      <c r="D23" s="49">
        <v>32</v>
      </c>
      <c r="E23" s="49">
        <v>7</v>
      </c>
      <c r="F23" s="49" t="s">
        <v>549</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549</v>
      </c>
      <c r="G25" s="49"/>
      <c r="H25" s="50" t="str">
        <f>IF($B25="","",IF($J25="X",B25,CONCATENATE(VLOOKUP(B25,Competitors!$A$2:$I$650,3,FALSE)," ",VLOOKUP(B25,Competitors!$A$2:$I$650,2,FALSE))))</f>
        <v>John Abbott</v>
      </c>
      <c r="I25" s="51">
        <f t="shared" si="1"/>
        <v>1.8240740740740741E-2</v>
      </c>
      <c r="J25" t="str">
        <f t="shared" si="2"/>
        <v/>
      </c>
    </row>
    <row r="26" spans="1:10" ht="15">
      <c r="A26" s="46" t="s">
        <v>599</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582</v>
      </c>
      <c r="B28" s="47">
        <f t="shared" si="0"/>
        <v>741</v>
      </c>
      <c r="C28" s="48"/>
      <c r="D28" s="49">
        <v>24</v>
      </c>
      <c r="E28" s="49">
        <v>24</v>
      </c>
      <c r="F28" s="49" t="s">
        <v>549</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522</v>
      </c>
      <c r="B30" s="47" t="str">
        <f t="shared" si="0"/>
        <v>Chris Fowler (RFW)</v>
      </c>
      <c r="C30" s="48"/>
      <c r="D30" s="49">
        <v>23</v>
      </c>
      <c r="E30" s="49">
        <v>20</v>
      </c>
      <c r="F30" s="49" t="s">
        <v>549</v>
      </c>
      <c r="G30" s="49"/>
      <c r="H30" s="50" t="str">
        <f>IF($B30="","",IF($J30="X",B30,CONCATENATE(VLOOKUP(B30,Competitors!$A$2:$I$650,3,FALSE)," ",VLOOKUP(B30,Competitors!$A$2:$I$650,2,FALSE))))</f>
        <v>Chris Fowler (RFW)</v>
      </c>
      <c r="I30" s="51">
        <f t="shared" si="1"/>
        <v>1.6203703703703703E-2</v>
      </c>
      <c r="J30" t="str">
        <f t="shared" si="2"/>
        <v>X</v>
      </c>
    </row>
    <row r="31" spans="1:10" ht="15">
      <c r="A31" s="46" t="s">
        <v>532</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556</v>
      </c>
      <c r="C103" t="str" cm="1">
        <f t="array" aca="1" ref="C103" ca="1">MID(CELL("filename",B1),FIND("]",CELL("filename",B1))+1,255)</f>
        <v>Event_15</v>
      </c>
    </row>
    <row r="104" spans="1:10">
      <c r="B104" t="s">
        <v>557</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abSelected="1" workbookViewId="0">
      <selection activeCell="E31" sqref="E31"/>
    </sheetView>
  </sheetViews>
  <sheetFormatPr defaultColWidth="9.1328125" defaultRowHeight="12.75"/>
  <cols>
    <col min="1" max="1" width="36.3984375" bestFit="1" customWidth="1"/>
    <col min="2" max="2" width="49.6640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540</v>
      </c>
      <c r="B1" s="40" t="s">
        <v>541</v>
      </c>
      <c r="C1" s="41" t="s">
        <v>542</v>
      </c>
      <c r="D1" s="42" t="s">
        <v>543</v>
      </c>
      <c r="E1" s="43" t="s">
        <v>544</v>
      </c>
      <c r="F1" s="44" t="s">
        <v>545</v>
      </c>
      <c r="G1" s="44" t="s">
        <v>546</v>
      </c>
      <c r="H1" s="39" t="s">
        <v>462</v>
      </c>
      <c r="I1" s="45" t="s">
        <v>547</v>
      </c>
      <c r="J1" t="s">
        <v>548</v>
      </c>
    </row>
    <row r="2" spans="1:11" ht="15">
      <c r="A2" s="46" t="s">
        <v>460</v>
      </c>
      <c r="B2" s="47">
        <f t="shared" ref="B2:B45" si="0">IF(A2="","",_xlfn.XLOOKUP(A2,ClubNames,ClubNumbers,_xlfn.XLOOKUP(A2,RoundRobinRiderNames,RoundRobinRiderDecoratedNames,A2)))</f>
        <v>742</v>
      </c>
      <c r="C2" s="48"/>
      <c r="D2" s="49">
        <v>33</v>
      </c>
      <c r="E2" s="49">
        <v>53</v>
      </c>
      <c r="F2" s="49" t="s">
        <v>549</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549</v>
      </c>
      <c r="G3" s="49"/>
      <c r="H3" s="50" t="str">
        <f>IF($B3="","",IF($J3="X",B3,CONCATENATE(VLOOKUP(B3,Competitors!$A$2:$I$650,3,FALSE)," ",VLOOKUP(B3,Competitors!$A$2:$I$650,2,FALSE))))</f>
        <v>Vic Barnett</v>
      </c>
      <c r="I3" s="51">
        <f t="shared" si="1"/>
        <v>2.2627314814814815E-2</v>
      </c>
      <c r="J3" t="str">
        <f t="shared" si="2"/>
        <v/>
      </c>
      <c r="K3">
        <v>2</v>
      </c>
    </row>
    <row r="4" spans="1:11" ht="15">
      <c r="A4" s="46" t="s">
        <v>486</v>
      </c>
      <c r="B4" s="47" t="str">
        <f t="shared" si="0"/>
        <v>Andy King (KCC)</v>
      </c>
      <c r="C4" s="48"/>
      <c r="D4" s="49">
        <v>25</v>
      </c>
      <c r="E4" s="49">
        <v>52</v>
      </c>
      <c r="F4" s="49" t="s">
        <v>549</v>
      </c>
      <c r="G4" s="49"/>
      <c r="H4" s="50" t="str">
        <f>IF($B4="","",IF($J4="X",B4,CONCATENATE(VLOOKUP(B4,Competitors!$A$2:$I$650,3,FALSE)," ",VLOOKUP(B4,Competitors!$A$2:$I$650,2,FALSE))))</f>
        <v>Andy King (KCC)</v>
      </c>
      <c r="I4" s="51">
        <f t="shared" si="1"/>
        <v>1.7962962962962962E-2</v>
      </c>
      <c r="J4" t="str">
        <f t="shared" si="2"/>
        <v>X</v>
      </c>
      <c r="K4">
        <v>3</v>
      </c>
    </row>
    <row r="5" spans="1:11" ht="15">
      <c r="A5" s="46" t="s">
        <v>640</v>
      </c>
      <c r="B5" s="47" t="str">
        <f t="shared" si="0"/>
        <v>Ethan Mitchell-Clarke (Team Bottrill Nopinz) (RFW)</v>
      </c>
      <c r="C5" s="48"/>
      <c r="D5" s="49">
        <v>27</v>
      </c>
      <c r="E5" s="49">
        <v>59</v>
      </c>
      <c r="F5" s="49" t="s">
        <v>549</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520</v>
      </c>
      <c r="B6" s="47" t="str">
        <f t="shared" si="0"/>
        <v>Adam Wells (RFW)</v>
      </c>
      <c r="C6" s="48"/>
      <c r="D6" s="49">
        <v>26</v>
      </c>
      <c r="E6" s="49">
        <v>8</v>
      </c>
      <c r="F6" s="49" t="s">
        <v>549</v>
      </c>
      <c r="G6" s="49"/>
      <c r="H6" s="50" t="str">
        <f>IF($B6="","",IF($J6="X",B6,CONCATENATE(VLOOKUP(B6,Competitors!$A$2:$I$650,3,FALSE)," ",VLOOKUP(B6,Competitors!$A$2:$I$650,2,FALSE))))</f>
        <v>Adam Wells (RFW)</v>
      </c>
      <c r="I6" s="51">
        <f t="shared" si="1"/>
        <v>1.8148148148148149E-2</v>
      </c>
      <c r="J6" t="str">
        <f t="shared" si="2"/>
        <v>X</v>
      </c>
      <c r="K6">
        <v>5</v>
      </c>
    </row>
    <row r="7" spans="1:11" ht="15">
      <c r="A7" s="46" t="s">
        <v>586</v>
      </c>
      <c r="B7" s="47">
        <f t="shared" si="0"/>
        <v>1370</v>
      </c>
      <c r="C7" s="48"/>
      <c r="D7" s="49">
        <v>26</v>
      </c>
      <c r="E7" s="49">
        <v>19</v>
      </c>
      <c r="F7" s="49" t="s">
        <v>549</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643</v>
      </c>
      <c r="B9" s="47">
        <f t="shared" si="0"/>
        <v>1415</v>
      </c>
      <c r="C9" s="48"/>
      <c r="D9" s="49">
        <v>31</v>
      </c>
      <c r="E9" s="49">
        <v>22</v>
      </c>
      <c r="F9" s="49" t="s">
        <v>549</v>
      </c>
      <c r="G9" s="49"/>
      <c r="H9" s="50" t="str">
        <f>IF($B9="","",IF($J9="X",B9,CONCATENATE(VLOOKUP(B9,Competitors!$A$2:$I$650,3,FALSE)," ",VLOOKUP(B9,Competitors!$A$2:$I$650,2,FALSE))))</f>
        <v>James Aldridge</v>
      </c>
      <c r="I9" s="51">
        <f t="shared" si="1"/>
        <v>2.1782407407407407E-2</v>
      </c>
      <c r="J9" t="str">
        <f t="shared" si="2"/>
        <v/>
      </c>
      <c r="K9">
        <v>8</v>
      </c>
    </row>
    <row r="10" spans="1:11" ht="15">
      <c r="A10" s="46" t="s">
        <v>582</v>
      </c>
      <c r="B10" s="47">
        <f t="shared" si="0"/>
        <v>741</v>
      </c>
      <c r="C10" s="48"/>
      <c r="D10" s="49">
        <v>24</v>
      </c>
      <c r="E10" s="49">
        <v>54</v>
      </c>
      <c r="F10" s="49" t="s">
        <v>549</v>
      </c>
      <c r="G10" s="49"/>
      <c r="H10" s="50" t="str">
        <f>IF($B10="","",IF($J10="X",B10,CONCATENATE(VLOOKUP(B10,Competitors!$A$2:$I$650,3,FALSE)," ",VLOOKUP(B10,Competitors!$A$2:$I$650,2,FALSE))))</f>
        <v>Rob Moore</v>
      </c>
      <c r="I10" s="51">
        <f t="shared" si="1"/>
        <v>1.7291666666666667E-2</v>
      </c>
      <c r="J10" t="str">
        <f t="shared" si="2"/>
        <v/>
      </c>
      <c r="K10">
        <v>9</v>
      </c>
    </row>
    <row r="11" spans="1:11" ht="15">
      <c r="A11" s="46" t="s">
        <v>528</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549</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524</v>
      </c>
      <c r="B14" s="47" t="str">
        <f t="shared" si="0"/>
        <v>David Hill (RFW)</v>
      </c>
      <c r="C14" s="48"/>
      <c r="D14" s="49">
        <v>28</v>
      </c>
      <c r="E14" s="49">
        <v>46</v>
      </c>
      <c r="F14" s="49" t="s">
        <v>549</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517</v>
      </c>
      <c r="B15" s="47" t="str">
        <f t="shared" si="0"/>
        <v>Paul Eden (Ratae)</v>
      </c>
      <c r="C15" s="48"/>
      <c r="D15" s="49">
        <v>32</v>
      </c>
      <c r="E15" s="49">
        <v>30</v>
      </c>
      <c r="F15" s="49" t="s">
        <v>549</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593</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549</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506</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549</v>
      </c>
      <c r="G20" s="49"/>
      <c r="H20" s="50" t="str">
        <f>IF($B20="","",IF($J20="X",B20,CONCATENATE(VLOOKUP(B20,Competitors!$A$2:$I$650,3,FALSE)," ",VLOOKUP(B20,Competitors!$A$2:$I$650,2,FALSE))))</f>
        <v>Nik Kershaw</v>
      </c>
      <c r="I20" s="51">
        <f t="shared" si="1"/>
        <v>1.8553240740740742E-2</v>
      </c>
      <c r="J20" t="str">
        <f t="shared" si="2"/>
        <v/>
      </c>
      <c r="K20">
        <v>19</v>
      </c>
    </row>
    <row r="21" spans="1:11" ht="15">
      <c r="A21" s="46" t="s">
        <v>597</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549</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549</v>
      </c>
      <c r="G23" s="49"/>
      <c r="H23" s="50" t="str">
        <f>IF($B23="","",IF($J23="X",B23,CONCATENATE(VLOOKUP(B23,Competitors!$A$2:$I$650,3,FALSE)," ",VLOOKUP(B23,Competitors!$A$2:$I$650,2,FALSE))))</f>
        <v>Milly Pinnock</v>
      </c>
      <c r="I23" s="51">
        <f t="shared" si="1"/>
        <v>1.954861111111111E-2</v>
      </c>
      <c r="J23" t="str">
        <f t="shared" si="2"/>
        <v/>
      </c>
      <c r="K23">
        <v>22</v>
      </c>
    </row>
    <row r="24" spans="1:11" ht="15">
      <c r="A24" s="46" t="s">
        <v>642</v>
      </c>
      <c r="B24" s="47">
        <f t="shared" si="0"/>
        <v>567</v>
      </c>
      <c r="C24" s="48"/>
      <c r="D24" s="49">
        <v>28</v>
      </c>
      <c r="E24" s="49">
        <v>41</v>
      </c>
      <c r="F24" s="49" t="s">
        <v>549</v>
      </c>
      <c r="G24" s="49"/>
      <c r="H24" s="50" t="str">
        <f>IF($B24="","",IF($J24="X",B24,CONCATENATE(VLOOKUP(B24,Competitors!$A$2:$I$650,3,FALSE)," ",VLOOKUP(B24,Competitors!$A$2:$I$650,2,FALSE))))</f>
        <v>Lawrence Cox</v>
      </c>
      <c r="I24" s="51">
        <f t="shared" si="1"/>
        <v>1.9918981481481482E-2</v>
      </c>
      <c r="J24" t="str">
        <f t="shared" si="2"/>
        <v/>
      </c>
      <c r="K24">
        <v>23</v>
      </c>
    </row>
    <row r="25" spans="1:11" ht="15">
      <c r="A25" s="46" t="s">
        <v>627</v>
      </c>
      <c r="B25" s="47">
        <f t="shared" si="0"/>
        <v>1391</v>
      </c>
      <c r="C25" s="48"/>
      <c r="D25" s="49">
        <v>25</v>
      </c>
      <c r="E25" s="49">
        <v>59</v>
      </c>
      <c r="F25" s="49" t="s">
        <v>549</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519</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549</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549</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549</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599</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641</v>
      </c>
      <c r="B32" s="47" t="str">
        <f t="shared" si="0"/>
        <v>Pete Bradshaw (RFW)</v>
      </c>
      <c r="C32" s="48"/>
      <c r="D32" s="49">
        <v>25</v>
      </c>
      <c r="E32" s="49">
        <v>7</v>
      </c>
      <c r="F32" s="49" t="s">
        <v>549</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549</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514</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529</v>
      </c>
      <c r="B35" s="47" t="str">
        <f t="shared" si="0"/>
        <v>Michael Carter (RFW)</v>
      </c>
      <c r="C35" s="48"/>
      <c r="D35" s="49">
        <v>26</v>
      </c>
      <c r="E35" s="49">
        <v>33</v>
      </c>
      <c r="F35" s="49" t="s">
        <v>549</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596</v>
      </c>
      <c r="B37" s="47" t="str">
        <f t="shared" si="0"/>
        <v>Alex Barrowman (RFW)</v>
      </c>
      <c r="C37" s="48"/>
      <c r="D37" s="49">
        <v>24</v>
      </c>
      <c r="E37" s="49">
        <v>25</v>
      </c>
      <c r="F37" s="49" t="s">
        <v>549</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522</v>
      </c>
      <c r="B40" s="47" t="str">
        <f t="shared" si="0"/>
        <v>Chris Fowler (RFW)</v>
      </c>
      <c r="C40" s="48"/>
      <c r="D40" s="49">
        <v>24</v>
      </c>
      <c r="E40" s="49">
        <v>32</v>
      </c>
      <c r="F40" s="49" t="s">
        <v>549</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600</v>
      </c>
      <c r="B42" s="47">
        <f t="shared" si="0"/>
        <v>1390</v>
      </c>
      <c r="C42" s="48"/>
      <c r="D42" s="49">
        <v>26</v>
      </c>
      <c r="E42" s="49">
        <v>8</v>
      </c>
      <c r="F42" s="49" t="s">
        <v>549</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504</v>
      </c>
      <c r="B43" s="47" t="str">
        <f t="shared" si="0"/>
        <v>Alex Whitmore (Ratae)</v>
      </c>
      <c r="C43" s="48"/>
      <c r="D43" s="49">
        <v>23</v>
      </c>
      <c r="E43" s="49">
        <v>45</v>
      </c>
      <c r="F43" s="49" t="s">
        <v>549</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580</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556</v>
      </c>
      <c r="C103" t="str" cm="1">
        <f t="array" aca="1" ref="C103" ca="1">MID(CELL("filename",B1),FIND("]",CELL("filename",B1))+1,255)</f>
        <v>Event_16</v>
      </c>
    </row>
    <row r="104" spans="1:10">
      <c r="B104" t="s">
        <v>557</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Event_17</v>
      </c>
    </row>
    <row r="104" spans="1:10">
      <c r="B104" t="s">
        <v>557</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Event_18</v>
      </c>
    </row>
    <row r="104" spans="1:10">
      <c r="B104" t="s">
        <v>557</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Event_19</v>
      </c>
    </row>
    <row r="104" spans="1:10">
      <c r="B104" t="s">
        <v>557</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Event_20</v>
      </c>
    </row>
    <row r="104" spans="1:10">
      <c r="B104" t="s">
        <v>557</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Event_21</v>
      </c>
    </row>
    <row r="104" spans="1:10">
      <c r="B104" t="s">
        <v>557</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Event_22</v>
      </c>
    </row>
    <row r="104" spans="1:10">
      <c r="B104" t="s">
        <v>557</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Event_23</v>
      </c>
    </row>
    <row r="104" spans="1:10">
      <c r="B104" t="s">
        <v>557</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Event_24</v>
      </c>
    </row>
    <row r="104" spans="1:10">
      <c r="B104" t="s">
        <v>557</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Event_25</v>
      </c>
    </row>
    <row r="104" spans="1:10">
      <c r="B104" t="s">
        <v>557</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Event_26</v>
      </c>
    </row>
    <row r="104" spans="1:10">
      <c r="B104" t="s">
        <v>557</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Event_27</v>
      </c>
    </row>
    <row r="104" spans="1:10">
      <c r="B104" t="s">
        <v>557</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Event_28</v>
      </c>
    </row>
    <row r="104" spans="1:10">
      <c r="B104" t="s">
        <v>557</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2026-07-08T19:58:34Z</dcterms:modified>
</cp:coreProperties>
</file>