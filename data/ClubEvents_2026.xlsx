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54A7300A-5388-40E3-B227-A153B0F8AF62}" xr6:coauthVersionLast="47" xr6:coauthVersionMax="47" xr10:uidLastSave="{00000000-0000-0000-0000-000000000000}"/>
  <bookViews>
    <workbookView xWindow="7912" yWindow="2183" windowWidth="17280" windowHeight="10035" firstSheet="9" activeTab="10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6" i="6" l="1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H23" i="6"/>
  <c r="J23" i="6"/>
  <c r="H26" i="6"/>
  <c r="J26" i="6"/>
  <c r="J3" i="6"/>
  <c r="H3" i="6" s="1"/>
  <c r="J4" i="6"/>
  <c r="H4" i="6" s="1"/>
  <c r="J5" i="6"/>
  <c r="H5" i="6" s="1"/>
  <c r="J7" i="6"/>
  <c r="H7" i="6" s="1"/>
  <c r="H12" i="6"/>
  <c r="J12" i="6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<sst xmlns="http://schemas.openxmlformats.org/spreadsheetml/2006/main" count="3947" uniqueCount="489">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</sst>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0" applyFon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3" x14ac:dyDescent="0.4"/>
  <cols>
    <col min="1" max="1" width="10.109375" style="1" bestFit="1" customWidth="1"/>
    <col min="2" max="2" width="12.6640625" style="1" bestFit="1" customWidth="1"/>
    <col min="3" max="3" width="126.77734375" bestFit="1" customWidth="1"/>
    <col min="4" max="4" width="45.21875" customWidth="1"/>
  </cols>
  <sheetData>
    <row r="1" spans="1:3" x14ac:dyDescent="0.4">
      <c r="A1" s="1">
        <v>42404</v>
      </c>
      <c r="B1" s="1" t="s">
        <v>0</v>
      </c>
      <c r="C1" t="s">
        <v>1</v>
      </c>
    </row>
    <row r="2" spans="1:3" x14ac:dyDescent="0.4">
      <c r="A2" s="1">
        <v>45949</v>
      </c>
      <c r="B2" s="1" t="s">
        <v>0</v>
      </c>
      <c r="C2" t="s">
        <v>131</v>
      </c>
    </row>
    <row r="3" spans="1:3" x14ac:dyDescent="0.4">
      <c r="C3" t="s">
        <v>132</v>
      </c>
    </row>
    <row r="4" spans="1:3" x14ac:dyDescent="0.4">
      <c r="C4" t="s">
        <v>133</v>
      </c>
    </row>
    <row r="5" spans="1:3" x14ac:dyDescent="0.4">
      <c r="C5" t="s">
        <v>134</v>
      </c>
    </row>
    <row r="6" spans="1:3" x14ac:dyDescent="0.4">
      <c r="C6" t="s">
        <v>135</v>
      </c>
    </row>
    <row r="7" spans="1:3" x14ac:dyDescent="0.4">
      <c r="A7" s="1">
        <v>45954</v>
      </c>
      <c r="B7" s="1" t="s">
        <v>0</v>
      </c>
      <c r="C7" t="s">
        <v>344</v>
      </c>
    </row>
    <row r="8" spans="1:3" x14ac:dyDescent="0.4">
      <c r="A8" s="1">
        <v>46026</v>
      </c>
      <c r="B8" s="1" t="s">
        <v>0</v>
      </c>
      <c r="C8" t="s">
        <v>378</v>
      </c>
    </row>
    <row r="9" spans="1:3" x14ac:dyDescent="0.4">
      <c r="C9" t="s">
        <v>379</v>
      </c>
    </row>
    <row r="10" spans="1:3" x14ac:dyDescent="0.4">
      <c r="A10" s="1">
        <v>46046</v>
      </c>
      <c r="B10" s="1" t="s">
        <v>0</v>
      </c>
      <c r="C10" t="s">
        <v>381</v>
      </c>
    </row>
    <row r="11" spans="1:3" x14ac:dyDescent="0.4">
      <c r="C11" s="44" t="s">
        <v>382</v>
      </c>
    </row>
    <row r="12" spans="1:3" x14ac:dyDescent="0.4">
      <c r="C12" t="s">
        <v>383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86" zoomScaleNormal="100" workbookViewId="0">
      <selection activeCell="C124" sqref="C124"/>
    </sheetView>
  </sheetViews>
  <sheetFormatPr defaultRowHeight="12.3" x14ac:dyDescent="0.4"/>
  <cols>
    <col min="1" max="1" width="10.77734375" bestFit="1" customWidth="1"/>
    <col min="2" max="2" width="13.33203125" bestFit="1" customWidth="1"/>
    <col min="3" max="3" width="10.109375" bestFit="1" customWidth="1"/>
    <col min="4" max="4" width="12" bestFit="1" customWidth="1"/>
    <col min="5" max="5" width="8.0546875" bestFit="1" customWidth="1"/>
    <col min="6" max="6" width="8.94140625" bestFit="1" customWidth="1"/>
    <col min="7" max="7" width="9.94140625" bestFit="1" customWidth="1"/>
    <col min="8" max="8" width="10.21875" bestFit="1" customWidth="1"/>
    <col min="10" max="10" width="9.94140625" bestFit="1" customWidth="1"/>
  </cols>
  <sheetData>
    <row r="1" spans="1:10" x14ac:dyDescent="0.4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362</v>
      </c>
      <c r="G1" t="s">
        <v>363</v>
      </c>
      <c r="H1" t="s">
        <v>318</v>
      </c>
    </row>
    <row r="2" spans="1:10" ht="14.4" x14ac:dyDescent="0.55000000000000004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G2" s="51"/>
      <c r="H2" s="52">
        <v>46102</v>
      </c>
      <c r="J2" s="1"/>
    </row>
    <row r="3" spans="1:10" ht="14.4" x14ac:dyDescent="0.55000000000000004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  <c r="J3" s="1"/>
    </row>
    <row r="4" spans="1:10" ht="14.4" x14ac:dyDescent="0.55000000000000004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  <c r="J4" s="1"/>
    </row>
    <row r="5" spans="1:10" ht="14.4" x14ac:dyDescent="0.55000000000000004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  <c r="J5" s="1"/>
    </row>
    <row r="6" spans="1:10" ht="14.4" x14ac:dyDescent="0.55000000000000004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  <c r="J6" s="1"/>
    </row>
    <row r="7" spans="1:10" ht="14.4" x14ac:dyDescent="0.55000000000000004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G7" s="51"/>
      <c r="H7" s="52">
        <v>46102</v>
      </c>
      <c r="J7" s="1"/>
    </row>
    <row r="8" spans="1:10" ht="14.4" x14ac:dyDescent="0.55000000000000004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  <c r="J8" s="1"/>
    </row>
    <row r="9" spans="1:10" ht="14.4" x14ac:dyDescent="0.55000000000000004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G9" s="51"/>
      <c r="H9" s="52">
        <v>46102</v>
      </c>
      <c r="J9" s="1"/>
    </row>
    <row r="10" spans="1:10" ht="14.4" x14ac:dyDescent="0.55000000000000004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  <c r="J10" s="1"/>
    </row>
    <row r="11" spans="1:10" ht="14.4" x14ac:dyDescent="0.55000000000000004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  <c r="J11" s="1"/>
    </row>
    <row r="12" spans="1:10" ht="14.4" x14ac:dyDescent="0.55000000000000004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  <c r="J12" s="1"/>
    </row>
    <row r="13" spans="1:10" ht="14.4" x14ac:dyDescent="0.55000000000000004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  <c r="J13" s="1"/>
    </row>
    <row r="14" spans="1:10" ht="14.4" x14ac:dyDescent="0.55000000000000004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  <c r="J14" s="1"/>
    </row>
    <row r="15" spans="1:10" ht="14.4" x14ac:dyDescent="0.55000000000000004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  <c r="J15" s="1"/>
    </row>
    <row r="16" spans="1:10" ht="14.4" x14ac:dyDescent="0.55000000000000004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  <c r="J16" s="1"/>
    </row>
    <row r="17" spans="1:10" ht="14.4" x14ac:dyDescent="0.55000000000000004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  <c r="J17" s="1"/>
    </row>
    <row r="18" spans="1:10" ht="14.4" x14ac:dyDescent="0.55000000000000004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G18" s="51"/>
      <c r="H18" s="52">
        <v>46102</v>
      </c>
      <c r="J18" s="1"/>
    </row>
    <row r="19" spans="1:10" ht="14.4" x14ac:dyDescent="0.55000000000000004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G19" s="51"/>
      <c r="H19" s="52">
        <v>46102</v>
      </c>
      <c r="J19" s="1"/>
    </row>
    <row r="20" spans="1:10" ht="14.4" x14ac:dyDescent="0.55000000000000004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  <c r="J20" s="1"/>
    </row>
    <row r="21" spans="1:10" ht="14.4" x14ac:dyDescent="0.55000000000000004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  <c r="J21" s="1"/>
    </row>
    <row r="22" spans="1:10" ht="14.4" x14ac:dyDescent="0.55000000000000004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G22" s="51"/>
      <c r="H22" s="52">
        <v>46102</v>
      </c>
      <c r="J22" s="1"/>
    </row>
    <row r="23" spans="1:10" ht="14.4" x14ac:dyDescent="0.55000000000000004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G23" s="51"/>
      <c r="H23" s="52">
        <v>46102</v>
      </c>
      <c r="J23" s="1"/>
    </row>
    <row r="24" spans="1:10" ht="14.4" x14ac:dyDescent="0.55000000000000004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  <c r="J24" s="1"/>
    </row>
    <row r="25" spans="1:10" ht="14.4" x14ac:dyDescent="0.55000000000000004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  <c r="J25" s="1"/>
    </row>
    <row r="26" spans="1:10" ht="14.4" x14ac:dyDescent="0.55000000000000004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  <c r="J26" s="1"/>
    </row>
    <row r="27" spans="1:10" ht="14.4" x14ac:dyDescent="0.55000000000000004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  <c r="J27" s="1"/>
    </row>
    <row r="28" spans="1:10" ht="14.4" x14ac:dyDescent="0.55000000000000004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  <c r="J28" s="1"/>
    </row>
    <row r="29" spans="1:10" ht="14.4" x14ac:dyDescent="0.55000000000000004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  <c r="J29" s="1"/>
    </row>
    <row r="30" spans="1:10" ht="14.4" x14ac:dyDescent="0.55000000000000004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G30" s="51"/>
      <c r="H30" s="52">
        <v>46102</v>
      </c>
      <c r="J30" s="1"/>
    </row>
    <row r="31" spans="1:10" ht="14.4" x14ac:dyDescent="0.55000000000000004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G31" s="51"/>
      <c r="H31" s="52">
        <v>46102</v>
      </c>
      <c r="J31" s="1"/>
    </row>
    <row r="32" spans="1:10" ht="14.4" x14ac:dyDescent="0.55000000000000004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  <c r="J32" s="1"/>
    </row>
    <row r="33" spans="1:10" ht="14.4" x14ac:dyDescent="0.55000000000000004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  <c r="J33" s="1"/>
    </row>
    <row r="34" spans="1:10" ht="14.4" x14ac:dyDescent="0.55000000000000004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G34" s="51"/>
      <c r="H34" s="52">
        <v>46102</v>
      </c>
      <c r="J34" s="1"/>
    </row>
    <row r="35" spans="1:10" ht="14.4" x14ac:dyDescent="0.55000000000000004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  <c r="J35" s="1"/>
    </row>
    <row r="36" spans="1:10" ht="14.4" x14ac:dyDescent="0.55000000000000004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  <c r="J36" s="1"/>
    </row>
    <row r="37" spans="1:10" ht="14.4" x14ac:dyDescent="0.55000000000000004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  <c r="J37" s="1"/>
    </row>
    <row r="38" spans="1:10" ht="14.4" x14ac:dyDescent="0.55000000000000004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  <c r="J38" s="1"/>
    </row>
    <row r="39" spans="1:10" ht="14.4" x14ac:dyDescent="0.55000000000000004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  <c r="J39" s="1"/>
    </row>
    <row r="40" spans="1:10" ht="14.4" x14ac:dyDescent="0.55000000000000004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  <c r="J40" s="1"/>
    </row>
    <row r="41" spans="1:10" ht="14.4" x14ac:dyDescent="0.55000000000000004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  <c r="J41" s="1"/>
    </row>
    <row r="42" spans="1:10" ht="14.4" x14ac:dyDescent="0.55000000000000004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  <c r="J42" s="1"/>
    </row>
    <row r="43" spans="1:10" ht="14.4" x14ac:dyDescent="0.55000000000000004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  <c r="J43" s="1"/>
    </row>
    <row r="44" spans="1:10" ht="14.4" x14ac:dyDescent="0.55000000000000004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G44" s="51"/>
      <c r="H44" s="52">
        <v>46102</v>
      </c>
      <c r="J44" s="1"/>
    </row>
    <row r="45" spans="1:10" ht="14.4" x14ac:dyDescent="0.55000000000000004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  <c r="J45" s="1"/>
    </row>
    <row r="46" spans="1:10" ht="14.4" x14ac:dyDescent="0.55000000000000004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  <c r="J46" s="1"/>
    </row>
    <row r="47" spans="1:10" ht="14.4" x14ac:dyDescent="0.55000000000000004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  <c r="J47" s="1"/>
    </row>
    <row r="48" spans="1:10" ht="14.4" x14ac:dyDescent="0.55000000000000004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G48" s="51"/>
      <c r="H48" s="52">
        <v>46102</v>
      </c>
      <c r="J48" s="1"/>
    </row>
    <row r="49" spans="1:10" ht="14.4" x14ac:dyDescent="0.55000000000000004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G49" s="51"/>
      <c r="H49" s="52">
        <v>46102</v>
      </c>
      <c r="J49" s="1"/>
    </row>
    <row r="50" spans="1:10" ht="14.4" x14ac:dyDescent="0.55000000000000004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  <c r="J50" s="1"/>
    </row>
    <row r="51" spans="1:10" ht="14.4" x14ac:dyDescent="0.55000000000000004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G51" s="51"/>
      <c r="H51" s="52">
        <v>46102</v>
      </c>
      <c r="J51" s="1"/>
    </row>
    <row r="52" spans="1:10" ht="14.4" x14ac:dyDescent="0.55000000000000004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G52" s="51"/>
      <c r="H52" s="52">
        <v>46102</v>
      </c>
      <c r="J52" s="1"/>
    </row>
    <row r="53" spans="1:10" ht="14.4" x14ac:dyDescent="0.55000000000000004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  <c r="J53" s="1"/>
    </row>
    <row r="54" spans="1:10" ht="14.4" x14ac:dyDescent="0.55000000000000004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  <c r="J54" s="1"/>
    </row>
    <row r="55" spans="1:10" ht="14.4" x14ac:dyDescent="0.55000000000000004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G55" s="51"/>
      <c r="H55" s="52">
        <v>46102</v>
      </c>
      <c r="J55" s="1"/>
    </row>
    <row r="56" spans="1:10" ht="14.4" x14ac:dyDescent="0.55000000000000004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G56" s="51"/>
      <c r="H56" s="52">
        <v>46102</v>
      </c>
      <c r="J56" s="1"/>
    </row>
    <row r="57" spans="1:10" ht="14.4" x14ac:dyDescent="0.55000000000000004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  <c r="J57" s="1"/>
    </row>
    <row r="58" spans="1:10" ht="14.4" x14ac:dyDescent="0.55000000000000004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  <c r="J58" s="1"/>
    </row>
    <row r="59" spans="1:10" ht="14.4" x14ac:dyDescent="0.55000000000000004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G59" s="51"/>
      <c r="H59" s="52">
        <v>46102</v>
      </c>
      <c r="J59" s="1"/>
    </row>
    <row r="60" spans="1:10" ht="14.4" x14ac:dyDescent="0.55000000000000004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G60" s="51"/>
      <c r="H60" s="52">
        <v>46102</v>
      </c>
      <c r="J60" s="1"/>
    </row>
    <row r="61" spans="1:10" ht="14.4" x14ac:dyDescent="0.55000000000000004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  <c r="J61" s="1"/>
    </row>
    <row r="62" spans="1:10" ht="14.4" x14ac:dyDescent="0.55000000000000004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  <c r="J62" s="1"/>
    </row>
    <row r="63" spans="1:10" ht="14.4" x14ac:dyDescent="0.55000000000000004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G63" s="51"/>
      <c r="H63" s="52">
        <v>46102</v>
      </c>
      <c r="J63" s="1"/>
    </row>
    <row r="64" spans="1:10" ht="14.4" x14ac:dyDescent="0.55000000000000004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  <c r="J64" s="1"/>
    </row>
    <row r="65" spans="1:10" ht="14.4" x14ac:dyDescent="0.55000000000000004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  <c r="J65" s="1"/>
    </row>
    <row r="66" spans="1:10" ht="14.4" x14ac:dyDescent="0.55000000000000004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  <c r="J66" s="1"/>
    </row>
    <row r="67" spans="1:10" ht="14.4" x14ac:dyDescent="0.55000000000000004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  <c r="J67" s="1"/>
    </row>
    <row r="68" spans="1:10" ht="14.4" x14ac:dyDescent="0.55000000000000004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G68" s="51"/>
      <c r="H68" s="52">
        <v>46102</v>
      </c>
      <c r="J68" s="1"/>
    </row>
    <row r="69" spans="1:10" ht="14.4" x14ac:dyDescent="0.55000000000000004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G69" s="51"/>
      <c r="H69" s="52">
        <v>46102</v>
      </c>
      <c r="J69" s="1"/>
    </row>
    <row r="70" spans="1:10" ht="14.4" x14ac:dyDescent="0.55000000000000004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  <c r="J70" s="1"/>
    </row>
    <row r="71" spans="1:10" ht="14.4" x14ac:dyDescent="0.55000000000000004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  <c r="J71" s="1"/>
    </row>
    <row r="72" spans="1:10" ht="14.4" x14ac:dyDescent="0.55000000000000004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G72" s="51"/>
      <c r="H72" s="52">
        <v>46102</v>
      </c>
      <c r="J72" s="1"/>
    </row>
    <row r="73" spans="1:10" ht="14.4" x14ac:dyDescent="0.55000000000000004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G73" s="51"/>
      <c r="H73" s="52">
        <v>46102</v>
      </c>
      <c r="J73" s="1"/>
    </row>
    <row r="74" spans="1:10" ht="14.4" x14ac:dyDescent="0.55000000000000004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G74" s="51"/>
      <c r="H74" s="52">
        <v>46102</v>
      </c>
      <c r="J74" s="1"/>
    </row>
    <row r="75" spans="1:10" ht="14.4" x14ac:dyDescent="0.55000000000000004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G75" s="51"/>
      <c r="H75" s="52">
        <v>46102</v>
      </c>
      <c r="J75" s="1"/>
    </row>
    <row r="76" spans="1:10" ht="14.4" x14ac:dyDescent="0.55000000000000004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G76" s="51"/>
      <c r="H76" s="52">
        <v>46102</v>
      </c>
      <c r="J76" s="1"/>
    </row>
    <row r="77" spans="1:10" ht="14.4" x14ac:dyDescent="0.55000000000000004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  <c r="J77" s="1"/>
    </row>
    <row r="78" spans="1:10" ht="14.4" x14ac:dyDescent="0.55000000000000004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  <c r="J78" s="1"/>
    </row>
    <row r="79" spans="1:10" ht="14.4" x14ac:dyDescent="0.55000000000000004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G79" s="51"/>
      <c r="H79" s="52">
        <v>46102</v>
      </c>
      <c r="J79" s="1"/>
    </row>
    <row r="80" spans="1:10" ht="14.4" x14ac:dyDescent="0.55000000000000004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  <c r="J80" s="1"/>
    </row>
    <row r="81" spans="1:10" ht="14.4" x14ac:dyDescent="0.55000000000000004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G81" s="51"/>
      <c r="H81" s="52">
        <v>46102</v>
      </c>
      <c r="J81" s="1"/>
    </row>
    <row r="82" spans="1:10" ht="14.4" x14ac:dyDescent="0.55000000000000004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G82" s="51"/>
      <c r="H82" s="52">
        <v>46102</v>
      </c>
      <c r="J82" s="1"/>
    </row>
    <row r="83" spans="1:10" ht="14.4" x14ac:dyDescent="0.55000000000000004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G83" s="51"/>
      <c r="H83" s="52">
        <v>46102</v>
      </c>
      <c r="J83" s="1"/>
    </row>
    <row r="84" spans="1:10" ht="14.4" x14ac:dyDescent="0.55000000000000004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  <c r="J84" s="1"/>
    </row>
    <row r="85" spans="1:10" ht="14.4" x14ac:dyDescent="0.55000000000000004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  <c r="J85" s="1"/>
    </row>
    <row r="86" spans="1:10" ht="14.4" x14ac:dyDescent="0.55000000000000004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  <c r="J86" s="1"/>
    </row>
    <row r="87" spans="1:10" ht="14.4" x14ac:dyDescent="0.55000000000000004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  <c r="J87" s="1"/>
    </row>
    <row r="88" spans="1:10" ht="14.4" x14ac:dyDescent="0.55000000000000004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  <c r="J88" s="1"/>
    </row>
    <row r="89" spans="1:10" ht="14.4" x14ac:dyDescent="0.55000000000000004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  <c r="J89" s="1"/>
    </row>
    <row r="90" spans="1:10" ht="14.4" x14ac:dyDescent="0.55000000000000004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  <c r="J90" s="1"/>
    </row>
    <row r="91" spans="1:10" ht="14.4" x14ac:dyDescent="0.55000000000000004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  <c r="J91" s="1"/>
    </row>
    <row r="92" spans="1:10" ht="14.4" x14ac:dyDescent="0.55000000000000004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G92" s="51"/>
      <c r="H92" s="52">
        <v>46102</v>
      </c>
      <c r="J92" s="1"/>
    </row>
    <row r="93" spans="1:10" ht="14.4" x14ac:dyDescent="0.55000000000000004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  <c r="J93" s="1"/>
    </row>
    <row r="94" spans="1:10" ht="14.4" x14ac:dyDescent="0.55000000000000004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  <c r="J94" s="1"/>
    </row>
    <row r="95" spans="1:10" ht="14.4" x14ac:dyDescent="0.55000000000000004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  <c r="J95" s="1"/>
    </row>
    <row r="96" spans="1:10" ht="14.4" x14ac:dyDescent="0.55000000000000004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G96" s="51"/>
      <c r="H96" s="52">
        <v>46102</v>
      </c>
      <c r="J96" s="1"/>
    </row>
    <row r="97" spans="1:10" ht="14.4" x14ac:dyDescent="0.55000000000000004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G97" s="51"/>
      <c r="H97" s="52">
        <v>46102</v>
      </c>
      <c r="J97" s="1"/>
    </row>
    <row r="98" spans="1:10" ht="14.4" x14ac:dyDescent="0.55000000000000004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  <c r="J98" s="1"/>
    </row>
    <row r="99" spans="1:10" ht="14.4" x14ac:dyDescent="0.55000000000000004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G99" s="51"/>
      <c r="H99" s="52">
        <v>46102</v>
      </c>
      <c r="J99" s="1"/>
    </row>
    <row r="100" spans="1:10" ht="14.4" x14ac:dyDescent="0.55000000000000004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  <c r="J100" s="1"/>
    </row>
    <row r="101" spans="1:10" ht="14.4" x14ac:dyDescent="0.55000000000000004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G101" s="51"/>
      <c r="H101" s="52">
        <v>46102</v>
      </c>
      <c r="J101" s="1"/>
    </row>
    <row r="102" spans="1:10" ht="14.4" x14ac:dyDescent="0.55000000000000004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  <c r="J102" s="1"/>
    </row>
    <row r="103" spans="1:10" ht="14.4" x14ac:dyDescent="0.55000000000000004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  <c r="J103" s="1"/>
    </row>
    <row r="104" spans="1:10" ht="14.4" x14ac:dyDescent="0.55000000000000004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G104" s="51"/>
      <c r="H104" s="52">
        <v>46102</v>
      </c>
      <c r="J104" s="1"/>
    </row>
    <row r="105" spans="1:10" ht="14.4" x14ac:dyDescent="0.55000000000000004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  <c r="J105" s="1"/>
    </row>
    <row r="106" spans="1:10" ht="14.4" x14ac:dyDescent="0.55000000000000004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  <c r="J106" s="1"/>
    </row>
    <row r="107" spans="1:10" ht="14.4" x14ac:dyDescent="0.55000000000000004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  <c r="J107" s="1"/>
    </row>
    <row r="108" spans="1:10" ht="14.4" x14ac:dyDescent="0.55000000000000004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  <c r="J108" s="1"/>
    </row>
    <row r="109" spans="1:10" ht="14.4" x14ac:dyDescent="0.55000000000000004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  <c r="J109" s="1"/>
    </row>
    <row r="110" spans="1:10" ht="14.4" x14ac:dyDescent="0.55000000000000004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G110" s="51"/>
      <c r="H110" s="52">
        <v>46102</v>
      </c>
      <c r="J110" s="1"/>
    </row>
    <row r="111" spans="1:10" ht="14.4" x14ac:dyDescent="0.55000000000000004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  <c r="J111" s="1"/>
    </row>
    <row r="112" spans="1:10" ht="14.4" x14ac:dyDescent="0.55000000000000004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G112" s="51"/>
      <c r="H112" s="52">
        <v>46102</v>
      </c>
      <c r="J112" s="1"/>
    </row>
    <row r="113" spans="1:10" ht="14.4" x14ac:dyDescent="0.55000000000000004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  <c r="J113" s="1"/>
    </row>
    <row r="114" spans="1:10" ht="14.4" x14ac:dyDescent="0.55000000000000004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  <c r="J114" s="1"/>
    </row>
    <row r="115" spans="1:10" ht="14.4" x14ac:dyDescent="0.55000000000000004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G115" s="51"/>
      <c r="H115" s="52">
        <v>46102</v>
      </c>
      <c r="J115" s="1"/>
    </row>
    <row r="116" spans="1:10" ht="14.4" x14ac:dyDescent="0.55000000000000004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G116" s="51"/>
      <c r="H116" s="52">
        <v>46102</v>
      </c>
      <c r="J116" s="1"/>
    </row>
    <row r="117" spans="1:10" ht="14.4" x14ac:dyDescent="0.55000000000000004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  <c r="J117" s="1"/>
    </row>
    <row r="118" spans="1:10" ht="14.4" x14ac:dyDescent="0.55000000000000004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  <c r="J118" s="1"/>
    </row>
    <row r="119" spans="1:10" ht="14.4" x14ac:dyDescent="0.55000000000000004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  <c r="J119" s="1"/>
    </row>
    <row r="120" spans="1:10" ht="14.4" x14ac:dyDescent="0.55000000000000004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  <c r="J120" s="1"/>
    </row>
    <row r="121" spans="1:10" ht="14.4" x14ac:dyDescent="0.55000000000000004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  <c r="J121" s="1"/>
    </row>
    <row r="122" spans="1:10" ht="14.4" x14ac:dyDescent="0.55000000000000004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G122" s="51"/>
      <c r="H122" s="52">
        <v>46102</v>
      </c>
      <c r="J122" s="1"/>
    </row>
    <row r="123" spans="1:10" ht="14.4" x14ac:dyDescent="0.55000000000000004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G123" s="51"/>
      <c r="H123" s="52">
        <v>46102</v>
      </c>
      <c r="J123" s="1"/>
    </row>
    <row r="124" spans="1:10" ht="14.4" x14ac:dyDescent="0.55000000000000004">
      <c r="A124" s="51">
        <v>1419</v>
      </c>
      <c r="B124" s="53" t="s">
        <v>486</v>
      </c>
      <c r="C124" s="51" t="s">
        <v>452</v>
      </c>
      <c r="D124" s="51" t="s">
        <v>35</v>
      </c>
      <c r="E124" s="51" t="b">
        <v>0</v>
      </c>
      <c r="F124" s="51" t="s">
        <v>365</v>
      </c>
      <c r="G124" s="51"/>
      <c r="H124" s="52">
        <v>46102</v>
      </c>
      <c r="J124" s="1"/>
    </row>
    <row r="125" spans="1:10" ht="14.4" x14ac:dyDescent="0.55000000000000004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  <c r="J125" s="1"/>
    </row>
    <row r="126" spans="1:10" ht="14.4" x14ac:dyDescent="0.55000000000000004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  <c r="J126" s="1"/>
    </row>
    <row r="127" spans="1:10" ht="14.4" x14ac:dyDescent="0.55000000000000004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  <c r="J127" s="1"/>
    </row>
    <row r="128" spans="1:10" ht="14.4" x14ac:dyDescent="0.55000000000000004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G128" s="51"/>
      <c r="H128" s="52">
        <v>46102</v>
      </c>
      <c r="J128" s="1"/>
    </row>
    <row r="129" spans="1:10" ht="14.4" x14ac:dyDescent="0.55000000000000004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G129" s="51"/>
      <c r="H129" s="52">
        <v>46102</v>
      </c>
      <c r="J129" s="1"/>
    </row>
    <row r="130" spans="1:10" ht="14.4" x14ac:dyDescent="0.55000000000000004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G130" s="51"/>
      <c r="H130" s="52">
        <v>46102</v>
      </c>
      <c r="J130" s="1"/>
    </row>
    <row r="131" spans="1:10" ht="14.4" x14ac:dyDescent="0.55000000000000004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G131" s="51"/>
      <c r="H131" s="52">
        <v>46102</v>
      </c>
      <c r="J131" s="1"/>
    </row>
    <row r="132" spans="1:10" ht="14.4" x14ac:dyDescent="0.55000000000000004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  <c r="J132" s="1"/>
    </row>
    <row r="133" spans="1:10" ht="14.4" x14ac:dyDescent="0.55000000000000004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  <c r="J133" s="1"/>
    </row>
    <row r="134" spans="1:10" ht="14.4" x14ac:dyDescent="0.55000000000000004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  <c r="J134" s="1"/>
    </row>
    <row r="135" spans="1:10" ht="14.4" x14ac:dyDescent="0.55000000000000004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  <c r="J135" s="1"/>
    </row>
    <row r="136" spans="1:10" ht="14.4" x14ac:dyDescent="0.55000000000000004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  <c r="J136" s="1"/>
    </row>
    <row r="137" spans="1:10" ht="14.4" x14ac:dyDescent="0.55000000000000004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  <c r="J137" s="1"/>
    </row>
    <row r="138" spans="1:10" ht="14.4" x14ac:dyDescent="0.55000000000000004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  <c r="J138" s="1"/>
    </row>
    <row r="139" spans="1:10" ht="14.4" x14ac:dyDescent="0.55000000000000004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G139" s="51"/>
      <c r="H139" s="52">
        <v>46102</v>
      </c>
      <c r="J139" s="1"/>
    </row>
    <row r="140" spans="1:10" ht="14.4" x14ac:dyDescent="0.55000000000000004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  <c r="J140" s="1"/>
    </row>
    <row r="141" spans="1:10" ht="14.4" x14ac:dyDescent="0.55000000000000004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  <c r="J141" s="1"/>
    </row>
    <row r="142" spans="1:10" ht="14.4" x14ac:dyDescent="0.55000000000000004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  <c r="J142" s="1"/>
    </row>
    <row r="143" spans="1:10" ht="14.4" x14ac:dyDescent="0.55000000000000004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  <c r="J143" s="1"/>
    </row>
    <row r="144" spans="1:10" ht="14.4" x14ac:dyDescent="0.55000000000000004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  <c r="J144" s="1"/>
    </row>
    <row r="145" spans="1:10" ht="14.4" x14ac:dyDescent="0.55000000000000004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G145" s="51"/>
      <c r="H145" s="52">
        <v>46102</v>
      </c>
      <c r="J145" s="1"/>
    </row>
    <row r="146" spans="1:10" ht="14.4" x14ac:dyDescent="0.55000000000000004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G146" s="51"/>
      <c r="H146" s="52">
        <v>46102</v>
      </c>
      <c r="J146" s="1"/>
    </row>
    <row r="147" spans="1:10" ht="14.4" x14ac:dyDescent="0.55000000000000004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G147" s="51"/>
      <c r="H147" s="52">
        <v>46102</v>
      </c>
      <c r="J147" s="1"/>
    </row>
    <row r="148" spans="1:10" ht="14.4" x14ac:dyDescent="0.55000000000000004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  <c r="J148" s="1"/>
    </row>
    <row r="149" spans="1:10" ht="14.4" x14ac:dyDescent="0.55000000000000004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  <c r="J149" s="1"/>
    </row>
    <row r="150" spans="1:10" ht="14.4" x14ac:dyDescent="0.55000000000000004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G150" s="51"/>
      <c r="H150" s="52">
        <v>46102</v>
      </c>
      <c r="J150" s="1"/>
    </row>
    <row r="151" spans="1:10" ht="14.4" x14ac:dyDescent="0.55000000000000004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G151" s="51"/>
      <c r="H151" s="52">
        <v>46102</v>
      </c>
      <c r="J151" s="1"/>
    </row>
    <row r="152" spans="1:10" ht="14.4" x14ac:dyDescent="0.55000000000000004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  <c r="J152" s="1"/>
    </row>
    <row r="153" spans="1:10" ht="14.4" x14ac:dyDescent="0.55000000000000004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  <c r="J153" s="1"/>
    </row>
    <row r="154" spans="1:10" ht="14.4" x14ac:dyDescent="0.55000000000000004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  <c r="J154" s="1"/>
    </row>
    <row r="155" spans="1:10" ht="14.4" x14ac:dyDescent="0.55000000000000004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  <c r="J155" s="1"/>
    </row>
    <row r="156" spans="1:10" ht="14.4" x14ac:dyDescent="0.55000000000000004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G156" s="51"/>
      <c r="H156" s="52">
        <v>46102</v>
      </c>
      <c r="J156" s="1"/>
    </row>
    <row r="157" spans="1:10" ht="14.4" x14ac:dyDescent="0.55000000000000004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G157" s="51"/>
      <c r="H157" s="52">
        <v>46102</v>
      </c>
      <c r="J157" s="1"/>
    </row>
    <row r="158" spans="1:10" ht="14.4" x14ac:dyDescent="0.55000000000000004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  <c r="J158" s="1"/>
    </row>
    <row r="159" spans="1:10" ht="14.4" x14ac:dyDescent="0.55000000000000004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  <c r="J159" s="1"/>
    </row>
    <row r="160" spans="1:10" ht="14.4" x14ac:dyDescent="0.55000000000000004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  <c r="J160" s="1"/>
    </row>
    <row r="161" spans="1:10" ht="14.4" x14ac:dyDescent="0.55000000000000004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  <c r="J161" s="1"/>
    </row>
    <row r="162" spans="1:10" ht="14.4" x14ac:dyDescent="0.55000000000000004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G162" s="51"/>
      <c r="H162" s="52">
        <v>46102</v>
      </c>
      <c r="J162" s="1"/>
    </row>
    <row r="163" spans="1:10" ht="14.4" x14ac:dyDescent="0.55000000000000004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  <c r="J163" s="1"/>
    </row>
    <row r="164" spans="1:10" ht="14.4" x14ac:dyDescent="0.55000000000000004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G164" s="51"/>
      <c r="H164" s="52">
        <v>46102</v>
      </c>
      <c r="J164" s="1"/>
    </row>
    <row r="165" spans="1:10" ht="14.4" x14ac:dyDescent="0.55000000000000004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  <c r="J165" s="1"/>
    </row>
    <row r="166" spans="1:10" ht="14.4" x14ac:dyDescent="0.55000000000000004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G166" s="51"/>
      <c r="H166" s="52">
        <v>46102</v>
      </c>
      <c r="J166" s="1"/>
    </row>
    <row r="167" spans="1:10" ht="14.4" x14ac:dyDescent="0.55000000000000004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  <c r="J167" s="1"/>
    </row>
    <row r="168" spans="1:10" ht="14.4" x14ac:dyDescent="0.55000000000000004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  <c r="J168" s="1"/>
    </row>
    <row r="169" spans="1:10" ht="14.4" x14ac:dyDescent="0.55000000000000004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  <c r="J169" s="1"/>
    </row>
    <row r="170" spans="1:10" ht="14.4" x14ac:dyDescent="0.55000000000000004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  <c r="J170" s="1"/>
    </row>
    <row r="171" spans="1:10" ht="14.4" x14ac:dyDescent="0.55000000000000004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  <c r="J171" s="1"/>
    </row>
    <row r="172" spans="1:10" ht="14.4" x14ac:dyDescent="0.55000000000000004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  <c r="J172" s="1"/>
    </row>
    <row r="173" spans="1:10" ht="14.4" x14ac:dyDescent="0.55000000000000004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  <c r="J173" s="1"/>
    </row>
    <row r="174" spans="1:10" ht="14.4" x14ac:dyDescent="0.55000000000000004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  <c r="J174" s="1"/>
    </row>
    <row r="175" spans="1:10" ht="14.4" x14ac:dyDescent="0.55000000000000004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G175" s="51"/>
      <c r="H175" s="52">
        <v>46102</v>
      </c>
      <c r="J175" s="1"/>
    </row>
    <row r="176" spans="1:10" ht="14.4" x14ac:dyDescent="0.55000000000000004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G176" s="51"/>
      <c r="H176" s="52">
        <v>46102</v>
      </c>
      <c r="J176" s="1"/>
    </row>
    <row r="177" spans="1:10" ht="14.4" x14ac:dyDescent="0.55000000000000004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  <c r="J177" s="1"/>
    </row>
    <row r="178" spans="1:10" ht="14.4" x14ac:dyDescent="0.55000000000000004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  <c r="J178" s="1"/>
    </row>
    <row r="179" spans="1:10" ht="14.4" x14ac:dyDescent="0.55000000000000004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G179" s="51"/>
      <c r="H179" s="52">
        <v>46102</v>
      </c>
      <c r="J179" s="1"/>
    </row>
    <row r="180" spans="1:10" ht="14.4" x14ac:dyDescent="0.55000000000000004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G180" s="51"/>
      <c r="H180" s="52">
        <v>46102</v>
      </c>
      <c r="J180" s="1"/>
    </row>
    <row r="181" spans="1:10" ht="14.4" x14ac:dyDescent="0.55000000000000004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  <c r="J181" s="1"/>
    </row>
    <row r="182" spans="1:10" ht="14.4" x14ac:dyDescent="0.55000000000000004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  <c r="J182" s="1"/>
    </row>
    <row r="183" spans="1:10" ht="14.4" x14ac:dyDescent="0.55000000000000004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  <c r="J183" s="1"/>
    </row>
    <row r="184" spans="1:10" ht="14.4" x14ac:dyDescent="0.55000000000000004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G184" s="51"/>
      <c r="H184" s="52">
        <v>46102</v>
      </c>
      <c r="J184" s="1"/>
    </row>
    <row r="185" spans="1:10" ht="14.4" x14ac:dyDescent="0.55000000000000004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G185" s="51"/>
      <c r="H185" s="52">
        <v>46102</v>
      </c>
      <c r="J185" s="1"/>
    </row>
    <row r="186" spans="1:10" ht="14.4" x14ac:dyDescent="0.55000000000000004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  <c r="J186" s="1"/>
    </row>
    <row r="187" spans="1:10" ht="14.4" x14ac:dyDescent="0.55000000000000004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  <c r="J187" s="1"/>
    </row>
    <row r="188" spans="1:10" ht="14.4" x14ac:dyDescent="0.55000000000000004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G188" s="51"/>
      <c r="H188" s="52">
        <v>46102</v>
      </c>
      <c r="J188" s="1"/>
    </row>
    <row r="189" spans="1:10" ht="14.4" x14ac:dyDescent="0.55000000000000004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G189" s="51"/>
      <c r="H189" s="52">
        <v>46102</v>
      </c>
      <c r="J189" s="1"/>
    </row>
    <row r="190" spans="1:10" ht="14.4" x14ac:dyDescent="0.55000000000000004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  <c r="J190" s="1"/>
    </row>
    <row r="191" spans="1:10" ht="14.4" x14ac:dyDescent="0.55000000000000004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  <c r="J191" s="1"/>
    </row>
    <row r="192" spans="1:10" ht="14.4" x14ac:dyDescent="0.55000000000000004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  <c r="J192" s="1"/>
    </row>
    <row r="193" spans="1:10" ht="14.4" x14ac:dyDescent="0.55000000000000004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G193" s="51"/>
      <c r="H193" s="52">
        <v>46102</v>
      </c>
      <c r="J193" s="1"/>
    </row>
    <row r="194" spans="1:10" ht="14.4" x14ac:dyDescent="0.55000000000000004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  <c r="J194" s="1"/>
    </row>
    <row r="195" spans="1:10" ht="14.4" x14ac:dyDescent="0.55000000000000004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G195" s="51"/>
      <c r="H195" s="52">
        <v>46102</v>
      </c>
      <c r="J195" s="1"/>
    </row>
    <row r="196" spans="1:10" ht="14.4" x14ac:dyDescent="0.55000000000000004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  <c r="J196" s="1"/>
    </row>
    <row r="197" spans="1:10" ht="14.4" x14ac:dyDescent="0.55000000000000004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  <c r="J197" s="1"/>
    </row>
    <row r="198" spans="1:10" ht="14.4" x14ac:dyDescent="0.55000000000000004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G198" s="51"/>
      <c r="H198" s="52">
        <v>46102</v>
      </c>
      <c r="J198" s="1"/>
    </row>
    <row r="199" spans="1:10" ht="14.4" x14ac:dyDescent="0.55000000000000004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G199" s="51"/>
      <c r="H199" s="52">
        <v>46102</v>
      </c>
      <c r="J199" s="1"/>
    </row>
    <row r="200" spans="1:10" ht="14.4" x14ac:dyDescent="0.55000000000000004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G200" s="51"/>
      <c r="H200" s="52">
        <v>46102</v>
      </c>
      <c r="J200" s="1"/>
    </row>
    <row r="201" spans="1:10" ht="14.4" x14ac:dyDescent="0.55000000000000004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G201" s="51"/>
      <c r="H201" s="52">
        <v>46102</v>
      </c>
      <c r="J201" s="1"/>
    </row>
    <row r="202" spans="1:10" ht="14.4" x14ac:dyDescent="0.55000000000000004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  <c r="J202" s="1"/>
    </row>
    <row r="203" spans="1:10" ht="14.4" x14ac:dyDescent="0.55000000000000004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  <c r="J203" s="1"/>
    </row>
    <row r="204" spans="1:10" ht="14.4" x14ac:dyDescent="0.55000000000000004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G204" s="51"/>
      <c r="H204" s="52">
        <v>46102</v>
      </c>
      <c r="J204" s="1"/>
    </row>
    <row r="205" spans="1:10" ht="14.4" x14ac:dyDescent="0.55000000000000004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  <c r="J205" s="1"/>
    </row>
    <row r="206" spans="1:10" ht="14.4" x14ac:dyDescent="0.55000000000000004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  <c r="J206" s="1"/>
    </row>
    <row r="207" spans="1:10" ht="14.4" x14ac:dyDescent="0.55000000000000004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  <c r="J207" s="1"/>
    </row>
    <row r="208" spans="1:10" ht="14.4" x14ac:dyDescent="0.55000000000000004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  <c r="J208" s="1"/>
    </row>
    <row r="209" spans="8:10" x14ac:dyDescent="0.4">
      <c r="H209" s="1"/>
      <c r="J209" s="1"/>
    </row>
    <row r="210" spans="8:10" x14ac:dyDescent="0.4">
      <c r="H210" s="1"/>
      <c r="J210" s="1"/>
    </row>
    <row r="211" spans="8:10" x14ac:dyDescent="0.4">
      <c r="H211" s="1"/>
      <c r="J211" s="1"/>
    </row>
    <row r="212" spans="8:10" x14ac:dyDescent="0.4">
      <c r="H212" s="1"/>
      <c r="J212" s="1"/>
    </row>
    <row r="213" spans="8:10" x14ac:dyDescent="0.4">
      <c r="H213" s="1"/>
      <c r="J213" s="1"/>
    </row>
    <row r="214" spans="8:10" x14ac:dyDescent="0.4">
      <c r="H214" s="1"/>
      <c r="J214" s="1"/>
    </row>
    <row r="215" spans="8:10" x14ac:dyDescent="0.4">
      <c r="H215" s="1"/>
      <c r="J215" s="1"/>
    </row>
    <row r="216" spans="8:10" x14ac:dyDescent="0.4">
      <c r="H216" s="1"/>
      <c r="J216" s="1"/>
    </row>
    <row r="217" spans="8:10" x14ac:dyDescent="0.4">
      <c r="H217" s="1"/>
      <c r="J217" s="1"/>
    </row>
    <row r="218" spans="8:10" x14ac:dyDescent="0.4">
      <c r="H218" s="1"/>
      <c r="J218" s="1"/>
    </row>
    <row r="219" spans="8:10" x14ac:dyDescent="0.4">
      <c r="H219" s="1"/>
      <c r="J219" s="1"/>
    </row>
    <row r="220" spans="8:10" x14ac:dyDescent="0.4">
      <c r="H220" s="1"/>
      <c r="J220" s="1"/>
    </row>
    <row r="221" spans="8:10" x14ac:dyDescent="0.4">
      <c r="H221" s="1"/>
      <c r="J221" s="1"/>
    </row>
    <row r="222" spans="8:10" x14ac:dyDescent="0.4">
      <c r="H222" s="1"/>
      <c r="J222" s="1"/>
    </row>
    <row r="223" spans="8:10" x14ac:dyDescent="0.4">
      <c r="H223" s="1"/>
      <c r="J223" s="1"/>
    </row>
    <row r="224" spans="8:10" x14ac:dyDescent="0.4">
      <c r="H224" s="1"/>
      <c r="J224" s="1"/>
    </row>
    <row r="225" spans="8:10" x14ac:dyDescent="0.4">
      <c r="H225" s="1"/>
      <c r="J225" s="1"/>
    </row>
    <row r="226" spans="8:10" x14ac:dyDescent="0.4">
      <c r="H226" s="1"/>
      <c r="J226" s="1"/>
    </row>
    <row r="227" spans="8:10" x14ac:dyDescent="0.4">
      <c r="H227" s="1"/>
      <c r="J227" s="1"/>
    </row>
    <row r="228" spans="8:10" x14ac:dyDescent="0.4">
      <c r="H228" s="1"/>
      <c r="J228" s="1"/>
    </row>
    <row r="229" spans="8:10" x14ac:dyDescent="0.4">
      <c r="H229" s="1"/>
      <c r="J229" s="1"/>
    </row>
    <row r="230" spans="8:10" x14ac:dyDescent="0.4">
      <c r="H230" s="1"/>
      <c r="J230" s="1"/>
    </row>
    <row r="231" spans="8:10" x14ac:dyDescent="0.4">
      <c r="H231" s="1"/>
      <c r="J231" s="1"/>
    </row>
    <row r="232" spans="8:10" x14ac:dyDescent="0.4">
      <c r="H232" s="1"/>
      <c r="J232" s="1"/>
    </row>
    <row r="233" spans="8:10" x14ac:dyDescent="0.4">
      <c r="H233" s="1"/>
      <c r="J233" s="1"/>
    </row>
    <row r="234" spans="8:10" x14ac:dyDescent="0.4">
      <c r="H234" s="1"/>
      <c r="J234" s="1"/>
    </row>
    <row r="235" spans="8:10" x14ac:dyDescent="0.4">
      <c r="H235" s="1"/>
      <c r="J235" s="1"/>
    </row>
    <row r="236" spans="8:10" x14ac:dyDescent="0.4">
      <c r="H236" s="1"/>
      <c r="J236" s="1"/>
    </row>
    <row r="237" spans="8:10" x14ac:dyDescent="0.4">
      <c r="H237" s="1"/>
      <c r="J237" s="1"/>
    </row>
    <row r="238" spans="8:10" x14ac:dyDescent="0.4">
      <c r="H238" s="1"/>
      <c r="J238" s="1"/>
    </row>
    <row r="239" spans="8:10" x14ac:dyDescent="0.4">
      <c r="H239" s="1"/>
      <c r="J239" s="1"/>
    </row>
    <row r="240" spans="8:10" x14ac:dyDescent="0.4">
      <c r="H240" s="1"/>
      <c r="J240" s="1"/>
    </row>
    <row r="241" spans="8:10" x14ac:dyDescent="0.4">
      <c r="H241" s="1"/>
      <c r="J241" s="1"/>
    </row>
    <row r="242" spans="8:10" x14ac:dyDescent="0.4">
      <c r="H242" s="1"/>
      <c r="J242" s="1"/>
    </row>
    <row r="243" spans="8:10" x14ac:dyDescent="0.4">
      <c r="H243" s="1"/>
      <c r="J243" s="1"/>
    </row>
    <row r="244" spans="8:10" x14ac:dyDescent="0.4">
      <c r="H244" s="1"/>
      <c r="J244" s="1"/>
    </row>
    <row r="245" spans="8:10" x14ac:dyDescent="0.4">
      <c r="H245" s="1"/>
      <c r="J245" s="1"/>
    </row>
    <row r="246" spans="8:10" x14ac:dyDescent="0.4">
      <c r="H246" s="1"/>
      <c r="J246" s="1"/>
    </row>
    <row r="247" spans="8:10" x14ac:dyDescent="0.4">
      <c r="H247" s="1"/>
      <c r="J247" s="1"/>
    </row>
    <row r="248" spans="8:10" x14ac:dyDescent="0.4">
      <c r="H248" s="1"/>
      <c r="J248" s="1"/>
    </row>
    <row r="249" spans="8:10" x14ac:dyDescent="0.4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546875" defaultRowHeight="14.4" x14ac:dyDescent="0.55000000000000004"/>
  <cols>
    <col min="1" max="7" width="9.0546875" style="47"/>
    <col min="8" max="8" width="10.21875" style="47" bestFit="1" customWidth="1"/>
    <col min="9" max="16384" width="9.0546875" style="47"/>
  </cols>
  <sheetData>
    <row r="1" spans="1:8" x14ac:dyDescent="0.55000000000000004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362</v>
      </c>
      <c r="G1" s="47" t="s">
        <v>363</v>
      </c>
      <c r="H1" s="47" t="s">
        <v>318</v>
      </c>
    </row>
    <row r="2" spans="1:8" x14ac:dyDescent="0.55000000000000004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365</v>
      </c>
      <c r="H2" s="48">
        <v>46088</v>
      </c>
    </row>
    <row r="3" spans="1:8" x14ac:dyDescent="0.55000000000000004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364</v>
      </c>
      <c r="G3" s="47">
        <v>1</v>
      </c>
      <c r="H3" s="48">
        <v>46088</v>
      </c>
    </row>
    <row r="4" spans="1:8" x14ac:dyDescent="0.55000000000000004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364</v>
      </c>
      <c r="G4" s="47">
        <v>23</v>
      </c>
      <c r="H4" s="48">
        <v>46088</v>
      </c>
    </row>
    <row r="5" spans="1:8" x14ac:dyDescent="0.55000000000000004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364</v>
      </c>
      <c r="G5" s="47">
        <v>21</v>
      </c>
      <c r="H5" s="48">
        <v>46088</v>
      </c>
    </row>
    <row r="6" spans="1:8" x14ac:dyDescent="0.55000000000000004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364</v>
      </c>
      <c r="G6" s="47">
        <v>4</v>
      </c>
      <c r="H6" s="48">
        <v>46088</v>
      </c>
    </row>
    <row r="7" spans="1:8" x14ac:dyDescent="0.55000000000000004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366</v>
      </c>
      <c r="H7" s="48">
        <v>46088</v>
      </c>
    </row>
    <row r="8" spans="1:8" x14ac:dyDescent="0.55000000000000004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364</v>
      </c>
      <c r="G8" s="47">
        <v>13</v>
      </c>
      <c r="H8" s="48">
        <v>46088</v>
      </c>
    </row>
    <row r="9" spans="1:8" x14ac:dyDescent="0.55000000000000004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365</v>
      </c>
      <c r="H9" s="48">
        <v>46088</v>
      </c>
    </row>
    <row r="10" spans="1:8" x14ac:dyDescent="0.55000000000000004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364</v>
      </c>
      <c r="G10" s="47">
        <v>1</v>
      </c>
      <c r="H10" s="48">
        <v>46088</v>
      </c>
    </row>
    <row r="11" spans="1:8" x14ac:dyDescent="0.55000000000000004">
      <c r="A11" s="47">
        <v>982</v>
      </c>
      <c r="B11" s="47" t="s">
        <v>443</v>
      </c>
      <c r="C11" s="47" t="s">
        <v>34</v>
      </c>
      <c r="D11" s="47" t="s">
        <v>35</v>
      </c>
      <c r="E11" s="47" t="b">
        <v>0</v>
      </c>
      <c r="F11" s="47" t="s">
        <v>364</v>
      </c>
      <c r="G11" s="47">
        <v>22</v>
      </c>
      <c r="H11" s="48">
        <v>46088</v>
      </c>
    </row>
    <row r="12" spans="1:8" x14ac:dyDescent="0.55000000000000004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364</v>
      </c>
      <c r="G12" s="47">
        <v>4</v>
      </c>
      <c r="H12" s="48">
        <v>46088</v>
      </c>
    </row>
    <row r="13" spans="1:8" x14ac:dyDescent="0.55000000000000004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364</v>
      </c>
      <c r="G13" s="47">
        <v>8</v>
      </c>
      <c r="H13" s="48">
        <v>46088</v>
      </c>
    </row>
    <row r="14" spans="1:8" x14ac:dyDescent="0.55000000000000004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364</v>
      </c>
      <c r="G14" s="47">
        <v>32</v>
      </c>
      <c r="H14" s="48">
        <v>46088</v>
      </c>
    </row>
    <row r="15" spans="1:8" x14ac:dyDescent="0.55000000000000004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364</v>
      </c>
      <c r="G15" s="47">
        <v>33</v>
      </c>
      <c r="H15" s="48">
        <v>46088</v>
      </c>
    </row>
    <row r="16" spans="1:8" x14ac:dyDescent="0.55000000000000004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364</v>
      </c>
      <c r="G16" s="47">
        <v>30</v>
      </c>
      <c r="H16" s="48">
        <v>46088</v>
      </c>
    </row>
    <row r="17" spans="1:8" x14ac:dyDescent="0.55000000000000004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365</v>
      </c>
      <c r="H17" s="48">
        <v>46088</v>
      </c>
    </row>
    <row r="18" spans="1:8" x14ac:dyDescent="0.55000000000000004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366</v>
      </c>
      <c r="H18" s="48">
        <v>46088</v>
      </c>
    </row>
    <row r="19" spans="1:8" x14ac:dyDescent="0.55000000000000004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364</v>
      </c>
      <c r="G19" s="47">
        <v>35</v>
      </c>
      <c r="H19" s="48">
        <v>46088</v>
      </c>
    </row>
    <row r="20" spans="1:8" x14ac:dyDescent="0.55000000000000004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364</v>
      </c>
      <c r="G20" s="47">
        <v>6</v>
      </c>
      <c r="H20" s="48">
        <v>46088</v>
      </c>
    </row>
    <row r="21" spans="1:8" x14ac:dyDescent="0.55000000000000004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365</v>
      </c>
      <c r="H21" s="48">
        <v>46088</v>
      </c>
    </row>
    <row r="22" spans="1:8" x14ac:dyDescent="0.55000000000000004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364</v>
      </c>
      <c r="G22" s="47">
        <v>34</v>
      </c>
      <c r="H22" s="48">
        <v>46088</v>
      </c>
    </row>
    <row r="23" spans="1:8" x14ac:dyDescent="0.55000000000000004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364</v>
      </c>
      <c r="G23" s="47">
        <v>35</v>
      </c>
      <c r="H23" s="48">
        <v>46088</v>
      </c>
    </row>
    <row r="24" spans="1:8" x14ac:dyDescent="0.55000000000000004">
      <c r="A24" s="47">
        <v>1414</v>
      </c>
      <c r="B24" s="47" t="s">
        <v>442</v>
      </c>
      <c r="C24" s="47" t="s">
        <v>38</v>
      </c>
      <c r="D24" s="47" t="s">
        <v>35</v>
      </c>
      <c r="E24" s="47" t="b">
        <v>0</v>
      </c>
      <c r="F24" s="47" t="s">
        <v>364</v>
      </c>
      <c r="G24" s="47">
        <v>13</v>
      </c>
      <c r="H24" s="48">
        <v>46088</v>
      </c>
    </row>
    <row r="25" spans="1:8" x14ac:dyDescent="0.55000000000000004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364</v>
      </c>
      <c r="G25" s="47">
        <v>28</v>
      </c>
      <c r="H25" s="48">
        <v>46088</v>
      </c>
    </row>
    <row r="26" spans="1:8" x14ac:dyDescent="0.55000000000000004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364</v>
      </c>
      <c r="G26" s="47">
        <v>28</v>
      </c>
      <c r="H26" s="48">
        <v>46088</v>
      </c>
    </row>
    <row r="27" spans="1:8" x14ac:dyDescent="0.55000000000000004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364</v>
      </c>
      <c r="G27" s="47">
        <v>13</v>
      </c>
      <c r="H27" s="48">
        <v>46088</v>
      </c>
    </row>
    <row r="28" spans="1:8" x14ac:dyDescent="0.55000000000000004">
      <c r="A28" s="47">
        <v>1405</v>
      </c>
      <c r="B28" s="47" t="s">
        <v>441</v>
      </c>
      <c r="C28" s="47" t="s">
        <v>440</v>
      </c>
      <c r="D28" s="47" t="s">
        <v>35</v>
      </c>
      <c r="E28" s="47" t="b">
        <v>1</v>
      </c>
      <c r="F28" s="47" t="s">
        <v>366</v>
      </c>
      <c r="H28" s="48">
        <v>46088</v>
      </c>
    </row>
    <row r="29" spans="1:8" x14ac:dyDescent="0.55000000000000004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364</v>
      </c>
      <c r="G29" s="47">
        <v>16</v>
      </c>
      <c r="H29" s="48">
        <v>46088</v>
      </c>
    </row>
    <row r="30" spans="1:8" x14ac:dyDescent="0.55000000000000004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364</v>
      </c>
      <c r="G30" s="47">
        <v>9</v>
      </c>
      <c r="H30" s="48">
        <v>46088</v>
      </c>
    </row>
    <row r="31" spans="1:8" x14ac:dyDescent="0.55000000000000004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365</v>
      </c>
      <c r="H31" s="48">
        <v>46088</v>
      </c>
    </row>
    <row r="32" spans="1:8" x14ac:dyDescent="0.55000000000000004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364</v>
      </c>
      <c r="G32" s="47">
        <v>13</v>
      </c>
      <c r="H32" s="48">
        <v>46088</v>
      </c>
    </row>
    <row r="33" spans="1:8" x14ac:dyDescent="0.55000000000000004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364</v>
      </c>
      <c r="G33" s="47">
        <v>23</v>
      </c>
      <c r="H33" s="48">
        <v>46088</v>
      </c>
    </row>
    <row r="34" spans="1:8" x14ac:dyDescent="0.55000000000000004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364</v>
      </c>
      <c r="G34" s="47">
        <v>19</v>
      </c>
      <c r="H34" s="48">
        <v>46088</v>
      </c>
    </row>
    <row r="35" spans="1:8" x14ac:dyDescent="0.55000000000000004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364</v>
      </c>
      <c r="G35" s="47">
        <v>17</v>
      </c>
      <c r="H35" s="48">
        <v>46088</v>
      </c>
    </row>
    <row r="36" spans="1:8" x14ac:dyDescent="0.55000000000000004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364</v>
      </c>
      <c r="G36" s="47">
        <v>8</v>
      </c>
      <c r="H36" s="48">
        <v>46088</v>
      </c>
    </row>
    <row r="37" spans="1:8" x14ac:dyDescent="0.55000000000000004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364</v>
      </c>
      <c r="G37" s="47">
        <v>5</v>
      </c>
      <c r="H37" s="48">
        <v>46088</v>
      </c>
    </row>
    <row r="38" spans="1:8" x14ac:dyDescent="0.55000000000000004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364</v>
      </c>
      <c r="G38" s="47">
        <v>7</v>
      </c>
      <c r="H38" s="48">
        <v>46088</v>
      </c>
    </row>
    <row r="39" spans="1:8" x14ac:dyDescent="0.55000000000000004">
      <c r="A39" s="47">
        <v>1391</v>
      </c>
      <c r="B39" s="47" t="s">
        <v>439</v>
      </c>
      <c r="C39" s="47" t="s">
        <v>438</v>
      </c>
      <c r="D39" s="47" t="s">
        <v>35</v>
      </c>
      <c r="E39" s="47" t="b">
        <v>1</v>
      </c>
      <c r="F39" s="47" t="s">
        <v>365</v>
      </c>
      <c r="H39" s="48">
        <v>46088</v>
      </c>
    </row>
    <row r="40" spans="1:8" x14ac:dyDescent="0.55000000000000004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364</v>
      </c>
      <c r="G40" s="47">
        <v>21</v>
      </c>
      <c r="H40" s="48">
        <v>46088</v>
      </c>
    </row>
    <row r="41" spans="1:8" x14ac:dyDescent="0.55000000000000004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364</v>
      </c>
      <c r="G41" s="47">
        <v>18</v>
      </c>
      <c r="H41" s="48">
        <v>46088</v>
      </c>
    </row>
    <row r="42" spans="1:8" x14ac:dyDescent="0.55000000000000004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364</v>
      </c>
      <c r="G42" s="47">
        <v>15</v>
      </c>
      <c r="H42" s="48">
        <v>46088</v>
      </c>
    </row>
    <row r="43" spans="1:8" x14ac:dyDescent="0.55000000000000004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365</v>
      </c>
      <c r="H43" s="48">
        <v>46088</v>
      </c>
    </row>
    <row r="44" spans="1:8" x14ac:dyDescent="0.55000000000000004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366</v>
      </c>
      <c r="H44" s="48">
        <v>46088</v>
      </c>
    </row>
    <row r="45" spans="1:8" x14ac:dyDescent="0.55000000000000004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364</v>
      </c>
      <c r="G45" s="47">
        <v>1</v>
      </c>
      <c r="H45" s="48">
        <v>46088</v>
      </c>
    </row>
    <row r="46" spans="1:8" x14ac:dyDescent="0.55000000000000004">
      <c r="A46" s="47">
        <v>1407</v>
      </c>
      <c r="B46" s="47" t="s">
        <v>437</v>
      </c>
      <c r="C46" s="47" t="s">
        <v>436</v>
      </c>
      <c r="D46" s="47" t="s">
        <v>35</v>
      </c>
      <c r="E46" s="47" t="b">
        <v>0</v>
      </c>
      <c r="F46" s="47" t="s">
        <v>365</v>
      </c>
      <c r="H46" s="48">
        <v>46088</v>
      </c>
    </row>
    <row r="47" spans="1:8" x14ac:dyDescent="0.55000000000000004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366</v>
      </c>
      <c r="H47" s="48">
        <v>46088</v>
      </c>
    </row>
    <row r="48" spans="1:8" x14ac:dyDescent="0.55000000000000004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364</v>
      </c>
      <c r="G48" s="47">
        <v>5</v>
      </c>
      <c r="H48" s="48">
        <v>46088</v>
      </c>
    </row>
    <row r="49" spans="1:8" x14ac:dyDescent="0.55000000000000004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364</v>
      </c>
      <c r="G49" s="47">
        <v>5</v>
      </c>
      <c r="H49" s="48">
        <v>46088</v>
      </c>
    </row>
    <row r="50" spans="1:8" x14ac:dyDescent="0.55000000000000004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365</v>
      </c>
      <c r="H50" s="48">
        <v>46088</v>
      </c>
    </row>
    <row r="51" spans="1:8" x14ac:dyDescent="0.55000000000000004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365</v>
      </c>
      <c r="H51" s="48">
        <v>46088</v>
      </c>
    </row>
    <row r="52" spans="1:8" x14ac:dyDescent="0.55000000000000004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364</v>
      </c>
      <c r="G52" s="47">
        <v>11</v>
      </c>
      <c r="H52" s="48">
        <v>46088</v>
      </c>
    </row>
    <row r="53" spans="1:8" x14ac:dyDescent="0.55000000000000004">
      <c r="A53" s="47">
        <v>1393</v>
      </c>
      <c r="B53" s="47" t="s">
        <v>435</v>
      </c>
      <c r="C53" s="47" t="s">
        <v>185</v>
      </c>
      <c r="D53" s="47" t="s">
        <v>35</v>
      </c>
      <c r="E53" s="47" t="b">
        <v>1</v>
      </c>
      <c r="F53" s="47" t="s">
        <v>364</v>
      </c>
      <c r="G53" s="47">
        <v>10</v>
      </c>
      <c r="H53" s="48">
        <v>46088</v>
      </c>
    </row>
    <row r="54" spans="1:8" x14ac:dyDescent="0.55000000000000004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366</v>
      </c>
      <c r="H54" s="48">
        <v>46088</v>
      </c>
    </row>
    <row r="55" spans="1:8" x14ac:dyDescent="0.55000000000000004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365</v>
      </c>
      <c r="H55" s="48">
        <v>46088</v>
      </c>
    </row>
    <row r="56" spans="1:8" x14ac:dyDescent="0.55000000000000004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364</v>
      </c>
      <c r="G56" s="47">
        <v>9</v>
      </c>
      <c r="H56" s="48">
        <v>46088</v>
      </c>
    </row>
    <row r="57" spans="1:8" x14ac:dyDescent="0.55000000000000004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364</v>
      </c>
      <c r="G57" s="47">
        <v>7</v>
      </c>
      <c r="H57" s="48">
        <v>46088</v>
      </c>
    </row>
    <row r="58" spans="1:8" x14ac:dyDescent="0.55000000000000004">
      <c r="A58" s="47">
        <v>1034</v>
      </c>
      <c r="B58" s="47" t="s">
        <v>434</v>
      </c>
      <c r="C58" s="47" t="s">
        <v>64</v>
      </c>
      <c r="D58" s="47" t="s">
        <v>35</v>
      </c>
      <c r="E58" s="47" t="b">
        <v>0</v>
      </c>
      <c r="F58" s="47" t="s">
        <v>365</v>
      </c>
      <c r="H58" s="48">
        <v>46088</v>
      </c>
    </row>
    <row r="59" spans="1:8" x14ac:dyDescent="0.55000000000000004">
      <c r="A59" s="47">
        <v>1402</v>
      </c>
      <c r="B59" s="47" t="s">
        <v>433</v>
      </c>
      <c r="C59" s="47" t="s">
        <v>168</v>
      </c>
      <c r="D59" s="47" t="s">
        <v>35</v>
      </c>
      <c r="E59" s="47" t="b">
        <v>0</v>
      </c>
      <c r="F59" s="47" t="s">
        <v>364</v>
      </c>
      <c r="G59" s="47">
        <v>7</v>
      </c>
      <c r="H59" s="48">
        <v>46088</v>
      </c>
    </row>
    <row r="60" spans="1:8" x14ac:dyDescent="0.55000000000000004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364</v>
      </c>
      <c r="G60" s="47">
        <v>12</v>
      </c>
      <c r="H60" s="48">
        <v>46088</v>
      </c>
    </row>
    <row r="61" spans="1:8" x14ac:dyDescent="0.55000000000000004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364</v>
      </c>
      <c r="G61" s="47">
        <v>12</v>
      </c>
      <c r="H61" s="48">
        <v>46088</v>
      </c>
    </row>
    <row r="62" spans="1:8" x14ac:dyDescent="0.55000000000000004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364</v>
      </c>
      <c r="G62" s="47">
        <v>19</v>
      </c>
      <c r="H62" s="48">
        <v>46088</v>
      </c>
    </row>
    <row r="63" spans="1:8" x14ac:dyDescent="0.55000000000000004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365</v>
      </c>
      <c r="H63" s="48">
        <v>46088</v>
      </c>
    </row>
    <row r="64" spans="1:8" x14ac:dyDescent="0.55000000000000004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365</v>
      </c>
      <c r="H64" s="48">
        <v>46088</v>
      </c>
    </row>
    <row r="65" spans="1:8" x14ac:dyDescent="0.55000000000000004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364</v>
      </c>
      <c r="G65" s="47">
        <v>37</v>
      </c>
      <c r="H65" s="48">
        <v>46088</v>
      </c>
    </row>
    <row r="66" spans="1:8" x14ac:dyDescent="0.55000000000000004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364</v>
      </c>
      <c r="G66" s="47">
        <v>4</v>
      </c>
      <c r="H66" s="48">
        <v>46088</v>
      </c>
    </row>
    <row r="67" spans="1:8" x14ac:dyDescent="0.55000000000000004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365</v>
      </c>
      <c r="H67" s="48">
        <v>46088</v>
      </c>
    </row>
    <row r="68" spans="1:8" x14ac:dyDescent="0.55000000000000004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365</v>
      </c>
      <c r="H68" s="48">
        <v>46088</v>
      </c>
    </row>
    <row r="69" spans="1:8" x14ac:dyDescent="0.55000000000000004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366</v>
      </c>
      <c r="H69" s="48">
        <v>46088</v>
      </c>
    </row>
    <row r="70" spans="1:8" x14ac:dyDescent="0.55000000000000004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366</v>
      </c>
      <c r="H70" s="48">
        <v>46088</v>
      </c>
    </row>
    <row r="71" spans="1:8" x14ac:dyDescent="0.55000000000000004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366</v>
      </c>
      <c r="H71" s="48">
        <v>46088</v>
      </c>
    </row>
    <row r="72" spans="1:8" x14ac:dyDescent="0.55000000000000004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364</v>
      </c>
      <c r="G72" s="47">
        <v>6</v>
      </c>
      <c r="H72" s="48">
        <v>46088</v>
      </c>
    </row>
    <row r="73" spans="1:8" x14ac:dyDescent="0.55000000000000004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364</v>
      </c>
      <c r="G73" s="47">
        <v>12</v>
      </c>
      <c r="H73" s="48">
        <v>46088</v>
      </c>
    </row>
    <row r="74" spans="1:8" x14ac:dyDescent="0.55000000000000004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365</v>
      </c>
      <c r="H74" s="48">
        <v>46088</v>
      </c>
    </row>
    <row r="75" spans="1:8" x14ac:dyDescent="0.55000000000000004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364</v>
      </c>
      <c r="G75" s="47">
        <v>3</v>
      </c>
      <c r="H75" s="48">
        <v>46088</v>
      </c>
    </row>
    <row r="76" spans="1:8" x14ac:dyDescent="0.55000000000000004">
      <c r="A76" s="47">
        <v>1400</v>
      </c>
      <c r="B76" s="47" t="s">
        <v>432</v>
      </c>
      <c r="C76" s="47" t="s">
        <v>431</v>
      </c>
      <c r="D76" s="47" t="s">
        <v>35</v>
      </c>
      <c r="E76" s="47" t="b">
        <v>0</v>
      </c>
      <c r="F76" s="47" t="s">
        <v>365</v>
      </c>
      <c r="H76" s="48">
        <v>46088</v>
      </c>
    </row>
    <row r="77" spans="1:8" x14ac:dyDescent="0.55000000000000004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366</v>
      </c>
      <c r="H77" s="48">
        <v>46088</v>
      </c>
    </row>
    <row r="78" spans="1:8" x14ac:dyDescent="0.55000000000000004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365</v>
      </c>
      <c r="H78" s="48">
        <v>46088</v>
      </c>
    </row>
    <row r="79" spans="1:8" x14ac:dyDescent="0.55000000000000004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364</v>
      </c>
      <c r="G79" s="47">
        <v>7</v>
      </c>
      <c r="H79" s="48">
        <v>46088</v>
      </c>
    </row>
    <row r="80" spans="1:8" x14ac:dyDescent="0.55000000000000004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364</v>
      </c>
      <c r="G80" s="47">
        <v>13</v>
      </c>
      <c r="H80" s="48">
        <v>46088</v>
      </c>
    </row>
    <row r="81" spans="1:8" x14ac:dyDescent="0.55000000000000004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364</v>
      </c>
      <c r="G81" s="47">
        <v>2</v>
      </c>
      <c r="H81" s="48">
        <v>46088</v>
      </c>
    </row>
    <row r="82" spans="1:8" x14ac:dyDescent="0.55000000000000004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364</v>
      </c>
      <c r="G82" s="47">
        <v>8</v>
      </c>
      <c r="H82" s="48">
        <v>46088</v>
      </c>
    </row>
    <row r="83" spans="1:8" x14ac:dyDescent="0.55000000000000004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364</v>
      </c>
      <c r="G83" s="47">
        <v>14</v>
      </c>
      <c r="H83" s="48">
        <v>46088</v>
      </c>
    </row>
    <row r="84" spans="1:8" x14ac:dyDescent="0.55000000000000004">
      <c r="A84" s="47">
        <v>1406</v>
      </c>
      <c r="B84" s="47" t="s">
        <v>430</v>
      </c>
      <c r="C84" s="47" t="s">
        <v>315</v>
      </c>
      <c r="D84" s="47" t="s">
        <v>35</v>
      </c>
      <c r="E84" s="47" t="b">
        <v>0</v>
      </c>
      <c r="F84" s="47" t="s">
        <v>364</v>
      </c>
      <c r="G84" s="47">
        <v>9</v>
      </c>
      <c r="H84" s="48">
        <v>46088</v>
      </c>
    </row>
    <row r="85" spans="1:8" x14ac:dyDescent="0.55000000000000004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364</v>
      </c>
      <c r="G85" s="47">
        <v>8</v>
      </c>
      <c r="H85" s="48">
        <v>46088</v>
      </c>
    </row>
    <row r="86" spans="1:8" x14ac:dyDescent="0.55000000000000004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364</v>
      </c>
      <c r="G86" s="47">
        <v>8</v>
      </c>
      <c r="H86" s="48">
        <v>46088</v>
      </c>
    </row>
    <row r="87" spans="1:8" x14ac:dyDescent="0.55000000000000004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365</v>
      </c>
      <c r="H87" s="48">
        <v>46088</v>
      </c>
    </row>
    <row r="88" spans="1:8" x14ac:dyDescent="0.55000000000000004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364</v>
      </c>
      <c r="G88" s="47">
        <v>19</v>
      </c>
      <c r="H88" s="48">
        <v>46088</v>
      </c>
    </row>
    <row r="89" spans="1:8" x14ac:dyDescent="0.55000000000000004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364</v>
      </c>
      <c r="G89" s="47">
        <v>12</v>
      </c>
      <c r="H89" s="48">
        <v>46088</v>
      </c>
    </row>
    <row r="90" spans="1:8" x14ac:dyDescent="0.55000000000000004">
      <c r="A90" s="47">
        <v>1395</v>
      </c>
      <c r="B90" s="47" t="s">
        <v>429</v>
      </c>
      <c r="C90" s="47" t="s">
        <v>428</v>
      </c>
      <c r="D90" s="47" t="s">
        <v>35</v>
      </c>
      <c r="E90" s="47" t="b">
        <v>1</v>
      </c>
      <c r="F90" s="47" t="s">
        <v>366</v>
      </c>
      <c r="H90" s="48">
        <v>46088</v>
      </c>
    </row>
    <row r="91" spans="1:8" x14ac:dyDescent="0.55000000000000004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365</v>
      </c>
      <c r="H91" s="48">
        <v>46088</v>
      </c>
    </row>
    <row r="92" spans="1:8" x14ac:dyDescent="0.55000000000000004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364</v>
      </c>
      <c r="G92" s="47">
        <v>10</v>
      </c>
      <c r="H92" s="48">
        <v>46088</v>
      </c>
    </row>
    <row r="93" spans="1:8" x14ac:dyDescent="0.55000000000000004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367</v>
      </c>
      <c r="H93" s="48">
        <v>46088</v>
      </c>
    </row>
    <row r="94" spans="1:8" x14ac:dyDescent="0.55000000000000004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364</v>
      </c>
      <c r="G94" s="47">
        <v>13</v>
      </c>
      <c r="H94" s="48">
        <v>46088</v>
      </c>
    </row>
    <row r="95" spans="1:8" x14ac:dyDescent="0.55000000000000004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365</v>
      </c>
      <c r="H95" s="48">
        <v>46088</v>
      </c>
    </row>
    <row r="96" spans="1:8" x14ac:dyDescent="0.55000000000000004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364</v>
      </c>
      <c r="G96" s="47">
        <v>8</v>
      </c>
      <c r="H96" s="48">
        <v>46088</v>
      </c>
    </row>
    <row r="97" spans="1:8" x14ac:dyDescent="0.55000000000000004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364</v>
      </c>
      <c r="G97" s="47">
        <v>6</v>
      </c>
      <c r="H97" s="48">
        <v>46088</v>
      </c>
    </row>
    <row r="98" spans="1:8" x14ac:dyDescent="0.55000000000000004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367</v>
      </c>
      <c r="H98" s="48">
        <v>46088</v>
      </c>
    </row>
    <row r="99" spans="1:8" x14ac:dyDescent="0.55000000000000004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364</v>
      </c>
      <c r="G99" s="47">
        <v>9</v>
      </c>
      <c r="H99" s="48">
        <v>46088</v>
      </c>
    </row>
    <row r="100" spans="1:8" x14ac:dyDescent="0.55000000000000004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364</v>
      </c>
      <c r="G100" s="47">
        <v>13</v>
      </c>
      <c r="H100" s="48">
        <v>46088</v>
      </c>
    </row>
    <row r="101" spans="1:8" x14ac:dyDescent="0.55000000000000004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364</v>
      </c>
      <c r="G101" s="47">
        <v>22</v>
      </c>
      <c r="H101" s="48">
        <v>46088</v>
      </c>
    </row>
    <row r="102" spans="1:8" x14ac:dyDescent="0.55000000000000004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364</v>
      </c>
      <c r="G102" s="47">
        <v>24</v>
      </c>
      <c r="H102" s="48">
        <v>46088</v>
      </c>
    </row>
    <row r="103" spans="1:8" x14ac:dyDescent="0.55000000000000004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364</v>
      </c>
      <c r="G103" s="47">
        <v>17</v>
      </c>
      <c r="H103" s="48">
        <v>46088</v>
      </c>
    </row>
    <row r="104" spans="1:8" x14ac:dyDescent="0.55000000000000004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365</v>
      </c>
      <c r="H104" s="48">
        <v>46088</v>
      </c>
    </row>
    <row r="105" spans="1:8" x14ac:dyDescent="0.55000000000000004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364</v>
      </c>
      <c r="G105" s="47">
        <v>2</v>
      </c>
      <c r="H105" s="48">
        <v>46088</v>
      </c>
    </row>
    <row r="106" spans="1:8" x14ac:dyDescent="0.55000000000000004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365</v>
      </c>
      <c r="H106" s="48">
        <v>46088</v>
      </c>
    </row>
    <row r="107" spans="1:8" x14ac:dyDescent="0.55000000000000004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364</v>
      </c>
      <c r="G107" s="47">
        <v>22</v>
      </c>
      <c r="H107" s="48">
        <v>46088</v>
      </c>
    </row>
    <row r="108" spans="1:8" x14ac:dyDescent="0.55000000000000004">
      <c r="A108" s="47">
        <v>1403</v>
      </c>
      <c r="B108" s="47" t="s">
        <v>427</v>
      </c>
      <c r="C108" s="47" t="s">
        <v>411</v>
      </c>
      <c r="D108" s="47" t="s">
        <v>35</v>
      </c>
      <c r="E108" s="47" t="b">
        <v>0</v>
      </c>
      <c r="F108" s="47" t="s">
        <v>364</v>
      </c>
      <c r="G108" s="47">
        <v>8</v>
      </c>
      <c r="H108" s="48">
        <v>46088</v>
      </c>
    </row>
    <row r="109" spans="1:8" x14ac:dyDescent="0.55000000000000004">
      <c r="A109" s="47">
        <v>1404</v>
      </c>
      <c r="B109" s="47" t="s">
        <v>427</v>
      </c>
      <c r="C109" s="47" t="s">
        <v>320</v>
      </c>
      <c r="D109" s="47" t="s">
        <v>35</v>
      </c>
      <c r="E109" s="47" t="b">
        <v>1</v>
      </c>
      <c r="F109" s="47" t="s">
        <v>365</v>
      </c>
      <c r="H109" s="48">
        <v>46088</v>
      </c>
    </row>
    <row r="110" spans="1:8" x14ac:dyDescent="0.55000000000000004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365</v>
      </c>
      <c r="H110" s="48">
        <v>46088</v>
      </c>
    </row>
    <row r="111" spans="1:8" x14ac:dyDescent="0.55000000000000004">
      <c r="A111" s="47">
        <v>1408</v>
      </c>
      <c r="B111" s="47" t="s">
        <v>425</v>
      </c>
      <c r="C111" s="47" t="s">
        <v>426</v>
      </c>
      <c r="D111" s="47" t="s">
        <v>35</v>
      </c>
      <c r="E111" s="47" t="b">
        <v>0</v>
      </c>
      <c r="F111" s="47" t="s">
        <v>364</v>
      </c>
      <c r="G111" s="47">
        <v>20</v>
      </c>
      <c r="H111" s="48">
        <v>46088</v>
      </c>
    </row>
    <row r="112" spans="1:8" x14ac:dyDescent="0.55000000000000004">
      <c r="A112" s="47">
        <v>1409</v>
      </c>
      <c r="B112" s="47" t="s">
        <v>425</v>
      </c>
      <c r="C112" s="47" t="s">
        <v>424</v>
      </c>
      <c r="D112" s="47" t="s">
        <v>35</v>
      </c>
      <c r="E112" s="47" t="b">
        <v>1</v>
      </c>
      <c r="F112" s="47" t="s">
        <v>364</v>
      </c>
      <c r="G112" s="47">
        <v>15</v>
      </c>
      <c r="H112" s="48">
        <v>46088</v>
      </c>
    </row>
    <row r="113" spans="1:8" x14ac:dyDescent="0.55000000000000004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364</v>
      </c>
      <c r="G113" s="47">
        <v>5</v>
      </c>
      <c r="H113" s="48">
        <v>46088</v>
      </c>
    </row>
    <row r="114" spans="1:8" x14ac:dyDescent="0.55000000000000004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364</v>
      </c>
      <c r="G114" s="47">
        <v>16</v>
      </c>
      <c r="H114" s="48">
        <v>46088</v>
      </c>
    </row>
    <row r="115" spans="1:8" x14ac:dyDescent="0.55000000000000004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364</v>
      </c>
      <c r="G115" s="47">
        <v>13</v>
      </c>
      <c r="H115" s="48">
        <v>46088</v>
      </c>
    </row>
    <row r="116" spans="1:8" x14ac:dyDescent="0.55000000000000004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365</v>
      </c>
      <c r="H116" s="48">
        <v>46088</v>
      </c>
    </row>
    <row r="117" spans="1:8" x14ac:dyDescent="0.55000000000000004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366</v>
      </c>
      <c r="H117" s="48">
        <v>46088</v>
      </c>
    </row>
    <row r="118" spans="1:8" x14ac:dyDescent="0.55000000000000004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364</v>
      </c>
      <c r="G118" s="47">
        <v>5</v>
      </c>
      <c r="H118" s="48">
        <v>46088</v>
      </c>
    </row>
    <row r="119" spans="1:8" x14ac:dyDescent="0.55000000000000004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364</v>
      </c>
      <c r="G119" s="47">
        <v>5</v>
      </c>
      <c r="H119" s="48">
        <v>46088</v>
      </c>
    </row>
    <row r="120" spans="1:8" x14ac:dyDescent="0.55000000000000004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364</v>
      </c>
      <c r="G120" s="47">
        <v>35</v>
      </c>
      <c r="H120" s="48">
        <v>46088</v>
      </c>
    </row>
    <row r="121" spans="1:8" x14ac:dyDescent="0.55000000000000004">
      <c r="A121" s="47">
        <v>1396</v>
      </c>
      <c r="B121" s="47" t="s">
        <v>422</v>
      </c>
      <c r="C121" s="47" t="s">
        <v>57</v>
      </c>
      <c r="D121" s="47" t="s">
        <v>35</v>
      </c>
      <c r="E121" s="47" t="b">
        <v>0</v>
      </c>
      <c r="F121" s="47" t="s">
        <v>365</v>
      </c>
      <c r="H121" s="48">
        <v>46088</v>
      </c>
    </row>
    <row r="122" spans="1:8" x14ac:dyDescent="0.55000000000000004">
      <c r="A122" s="47">
        <v>1397</v>
      </c>
      <c r="B122" s="47" t="s">
        <v>422</v>
      </c>
      <c r="C122" s="47" t="s">
        <v>423</v>
      </c>
      <c r="D122" s="47" t="s">
        <v>35</v>
      </c>
      <c r="E122" s="47" t="b">
        <v>1</v>
      </c>
      <c r="F122" s="47" t="s">
        <v>365</v>
      </c>
      <c r="H122" s="48">
        <v>46088</v>
      </c>
    </row>
    <row r="123" spans="1:8" x14ac:dyDescent="0.55000000000000004">
      <c r="A123" s="47">
        <v>1398</v>
      </c>
      <c r="B123" s="47" t="s">
        <v>422</v>
      </c>
      <c r="C123" s="47" t="s">
        <v>49</v>
      </c>
      <c r="D123" s="47" t="s">
        <v>35</v>
      </c>
      <c r="E123" s="47" t="b">
        <v>0</v>
      </c>
      <c r="F123" s="47" t="s">
        <v>366</v>
      </c>
      <c r="H123" s="48">
        <v>46088</v>
      </c>
    </row>
    <row r="124" spans="1:8" x14ac:dyDescent="0.55000000000000004">
      <c r="A124" s="47">
        <v>1399</v>
      </c>
      <c r="B124" s="47" t="s">
        <v>422</v>
      </c>
      <c r="C124" s="47" t="s">
        <v>182</v>
      </c>
      <c r="D124" s="47" t="s">
        <v>35</v>
      </c>
      <c r="E124" s="47" t="b">
        <v>1</v>
      </c>
      <c r="F124" s="47" t="s">
        <v>366</v>
      </c>
      <c r="H124" s="48">
        <v>46088</v>
      </c>
    </row>
    <row r="125" spans="1:8" x14ac:dyDescent="0.55000000000000004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364</v>
      </c>
      <c r="G125" s="47">
        <v>14</v>
      </c>
      <c r="H125" s="48">
        <v>46088</v>
      </c>
    </row>
    <row r="126" spans="1:8" x14ac:dyDescent="0.55000000000000004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364</v>
      </c>
      <c r="G126" s="47">
        <v>20</v>
      </c>
      <c r="H126" s="48">
        <v>46088</v>
      </c>
    </row>
    <row r="127" spans="1:8" x14ac:dyDescent="0.55000000000000004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364</v>
      </c>
      <c r="G127" s="47">
        <v>13</v>
      </c>
      <c r="H127" s="48">
        <v>46088</v>
      </c>
    </row>
    <row r="128" spans="1:8" x14ac:dyDescent="0.55000000000000004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364</v>
      </c>
      <c r="G128" s="47">
        <v>2</v>
      </c>
      <c r="H128" s="48">
        <v>46088</v>
      </c>
    </row>
    <row r="129" spans="1:8" x14ac:dyDescent="0.55000000000000004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364</v>
      </c>
      <c r="G129" s="47">
        <v>4</v>
      </c>
      <c r="H129" s="48">
        <v>46088</v>
      </c>
    </row>
    <row r="130" spans="1:8" x14ac:dyDescent="0.55000000000000004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364</v>
      </c>
      <c r="G130" s="47">
        <v>13</v>
      </c>
      <c r="H130" s="48">
        <v>46088</v>
      </c>
    </row>
    <row r="131" spans="1:8" x14ac:dyDescent="0.55000000000000004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364</v>
      </c>
      <c r="G131" s="47">
        <v>1</v>
      </c>
      <c r="H131" s="48">
        <v>46088</v>
      </c>
    </row>
    <row r="132" spans="1:8" x14ac:dyDescent="0.55000000000000004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366</v>
      </c>
      <c r="H132" s="48">
        <v>46088</v>
      </c>
    </row>
    <row r="133" spans="1:8" x14ac:dyDescent="0.55000000000000004">
      <c r="A133" s="47">
        <v>564</v>
      </c>
      <c r="B133" s="47" t="s">
        <v>421</v>
      </c>
      <c r="C133" s="47" t="s">
        <v>37</v>
      </c>
      <c r="D133" s="47" t="s">
        <v>35</v>
      </c>
      <c r="E133" s="47" t="b">
        <v>0</v>
      </c>
      <c r="F133" s="47" t="s">
        <v>364</v>
      </c>
      <c r="G133" s="47">
        <v>7</v>
      </c>
      <c r="H133" s="48">
        <v>46088</v>
      </c>
    </row>
    <row r="134" spans="1:8" x14ac:dyDescent="0.55000000000000004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364</v>
      </c>
      <c r="G134" s="47">
        <v>10</v>
      </c>
      <c r="H134" s="48">
        <v>46088</v>
      </c>
    </row>
    <row r="135" spans="1:8" x14ac:dyDescent="0.55000000000000004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364</v>
      </c>
      <c r="G135" s="47">
        <v>18</v>
      </c>
      <c r="H135" s="48">
        <v>46088</v>
      </c>
    </row>
    <row r="136" spans="1:8" x14ac:dyDescent="0.55000000000000004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364</v>
      </c>
      <c r="G136" s="47">
        <v>20</v>
      </c>
      <c r="H136" s="48">
        <v>46088</v>
      </c>
    </row>
    <row r="137" spans="1:8" x14ac:dyDescent="0.55000000000000004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364</v>
      </c>
      <c r="G137" s="47">
        <v>10</v>
      </c>
      <c r="H137" s="48">
        <v>46088</v>
      </c>
    </row>
    <row r="138" spans="1:8" x14ac:dyDescent="0.55000000000000004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365</v>
      </c>
      <c r="H138" s="48">
        <v>46088</v>
      </c>
    </row>
    <row r="139" spans="1:8" x14ac:dyDescent="0.55000000000000004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367</v>
      </c>
      <c r="H139" s="48">
        <v>46088</v>
      </c>
    </row>
    <row r="140" spans="1:8" x14ac:dyDescent="0.55000000000000004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366</v>
      </c>
      <c r="H140" s="48">
        <v>46088</v>
      </c>
    </row>
    <row r="141" spans="1:8" x14ac:dyDescent="0.55000000000000004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364</v>
      </c>
      <c r="G141" s="47">
        <v>5</v>
      </c>
      <c r="H141" s="48">
        <v>46088</v>
      </c>
    </row>
    <row r="142" spans="1:8" x14ac:dyDescent="0.55000000000000004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364</v>
      </c>
      <c r="G142" s="47">
        <v>7</v>
      </c>
      <c r="H142" s="48">
        <v>46088</v>
      </c>
    </row>
    <row r="143" spans="1:8" x14ac:dyDescent="0.55000000000000004">
      <c r="A143" s="47">
        <v>1390</v>
      </c>
      <c r="B143" s="47" t="s">
        <v>420</v>
      </c>
      <c r="C143" s="47" t="s">
        <v>419</v>
      </c>
      <c r="D143" s="47" t="s">
        <v>35</v>
      </c>
      <c r="E143" s="47" t="b">
        <v>0</v>
      </c>
      <c r="F143" s="47" t="s">
        <v>365</v>
      </c>
      <c r="H143" s="48">
        <v>46088</v>
      </c>
    </row>
    <row r="144" spans="1:8" x14ac:dyDescent="0.55000000000000004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365</v>
      </c>
      <c r="H144" s="48">
        <v>46088</v>
      </c>
    </row>
    <row r="145" spans="1:8" x14ac:dyDescent="0.55000000000000004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364</v>
      </c>
      <c r="G145" s="47">
        <v>3</v>
      </c>
      <c r="H145" s="48">
        <v>46088</v>
      </c>
    </row>
    <row r="146" spans="1:8" x14ac:dyDescent="0.55000000000000004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364</v>
      </c>
      <c r="G146" s="47">
        <v>12</v>
      </c>
      <c r="H146" s="48">
        <v>46088</v>
      </c>
    </row>
    <row r="147" spans="1:8" x14ac:dyDescent="0.55000000000000004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364</v>
      </c>
      <c r="G147" s="47">
        <v>3</v>
      </c>
      <c r="H147" s="48">
        <v>46088</v>
      </c>
    </row>
    <row r="148" spans="1:8" x14ac:dyDescent="0.55000000000000004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364</v>
      </c>
      <c r="G148" s="47">
        <v>3</v>
      </c>
      <c r="H148" s="48">
        <v>46088</v>
      </c>
    </row>
    <row r="149" spans="1:8" x14ac:dyDescent="0.55000000000000004">
      <c r="A149" s="47">
        <v>1401</v>
      </c>
      <c r="B149" s="47" t="s">
        <v>418</v>
      </c>
      <c r="C149" s="47" t="s">
        <v>417</v>
      </c>
      <c r="D149" s="47" t="s">
        <v>35</v>
      </c>
      <c r="E149" s="47" t="b">
        <v>1</v>
      </c>
      <c r="F149" s="47" t="s">
        <v>365</v>
      </c>
      <c r="H149" s="48">
        <v>46088</v>
      </c>
    </row>
    <row r="150" spans="1:8" x14ac:dyDescent="0.55000000000000004">
      <c r="A150" s="47">
        <v>1285</v>
      </c>
      <c r="B150" s="47" t="s">
        <v>416</v>
      </c>
      <c r="C150" s="47" t="s">
        <v>40</v>
      </c>
      <c r="D150" s="47" t="s">
        <v>35</v>
      </c>
      <c r="E150" s="47" t="b">
        <v>0</v>
      </c>
      <c r="F150" s="47" t="s">
        <v>365</v>
      </c>
      <c r="H150" s="48">
        <v>46088</v>
      </c>
    </row>
    <row r="151" spans="1:8" x14ac:dyDescent="0.55000000000000004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364</v>
      </c>
      <c r="G151" s="47">
        <v>13</v>
      </c>
      <c r="H151" s="48">
        <v>46088</v>
      </c>
    </row>
    <row r="152" spans="1:8" x14ac:dyDescent="0.55000000000000004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364</v>
      </c>
      <c r="G152" s="47">
        <v>10</v>
      </c>
      <c r="H152" s="48">
        <v>46088</v>
      </c>
    </row>
    <row r="153" spans="1:8" x14ac:dyDescent="0.55000000000000004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364</v>
      </c>
      <c r="G153" s="47">
        <v>43</v>
      </c>
      <c r="H153" s="48">
        <v>46088</v>
      </c>
    </row>
    <row r="154" spans="1:8" x14ac:dyDescent="0.55000000000000004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364</v>
      </c>
      <c r="G154" s="47">
        <v>31</v>
      </c>
      <c r="H154" s="48">
        <v>46088</v>
      </c>
    </row>
    <row r="155" spans="1:8" x14ac:dyDescent="0.55000000000000004">
      <c r="A155" s="47">
        <v>1392</v>
      </c>
      <c r="B155" s="47" t="s">
        <v>415</v>
      </c>
      <c r="C155" s="47" t="s">
        <v>414</v>
      </c>
      <c r="D155" s="47" t="s">
        <v>35</v>
      </c>
      <c r="E155" s="47" t="b">
        <v>1</v>
      </c>
      <c r="F155" s="47" t="s">
        <v>365</v>
      </c>
      <c r="H155" s="48">
        <v>46088</v>
      </c>
    </row>
    <row r="156" spans="1:8" x14ac:dyDescent="0.55000000000000004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364</v>
      </c>
      <c r="G156" s="47">
        <v>15</v>
      </c>
      <c r="H156" s="48">
        <v>46088</v>
      </c>
    </row>
    <row r="157" spans="1:8" x14ac:dyDescent="0.55000000000000004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365</v>
      </c>
      <c r="H157" s="48">
        <v>46088</v>
      </c>
    </row>
    <row r="158" spans="1:8" x14ac:dyDescent="0.55000000000000004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365</v>
      </c>
      <c r="H158" s="48">
        <v>46088</v>
      </c>
    </row>
    <row r="159" spans="1:8" x14ac:dyDescent="0.55000000000000004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364</v>
      </c>
      <c r="G159" s="47">
        <v>14</v>
      </c>
      <c r="H159" s="48">
        <v>46088</v>
      </c>
    </row>
    <row r="160" spans="1:8" x14ac:dyDescent="0.55000000000000004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364</v>
      </c>
      <c r="G160" s="47">
        <v>36</v>
      </c>
      <c r="H160" s="48">
        <v>46088</v>
      </c>
    </row>
    <row r="161" spans="1:8" x14ac:dyDescent="0.55000000000000004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364</v>
      </c>
      <c r="G161" s="47">
        <v>12</v>
      </c>
      <c r="H161" s="48">
        <v>46088</v>
      </c>
    </row>
    <row r="162" spans="1:8" x14ac:dyDescent="0.55000000000000004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364</v>
      </c>
      <c r="G162" s="47">
        <v>15</v>
      </c>
      <c r="H162" s="48">
        <v>46088</v>
      </c>
    </row>
    <row r="163" spans="1:8" x14ac:dyDescent="0.55000000000000004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364</v>
      </c>
      <c r="G163" s="47">
        <v>16</v>
      </c>
      <c r="H163" s="48">
        <v>46088</v>
      </c>
    </row>
    <row r="164" spans="1:8" x14ac:dyDescent="0.55000000000000004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364</v>
      </c>
      <c r="G164" s="47">
        <v>1</v>
      </c>
      <c r="H164" s="48">
        <v>46088</v>
      </c>
    </row>
    <row r="165" spans="1:8" x14ac:dyDescent="0.55000000000000004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364</v>
      </c>
      <c r="G165" s="47">
        <v>6</v>
      </c>
      <c r="H165" s="48">
        <v>46088</v>
      </c>
    </row>
    <row r="166" spans="1:8" x14ac:dyDescent="0.55000000000000004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364</v>
      </c>
      <c r="G166" s="47">
        <v>7</v>
      </c>
      <c r="H166" s="48">
        <v>46088</v>
      </c>
    </row>
    <row r="167" spans="1:8" x14ac:dyDescent="0.55000000000000004">
      <c r="A167" s="47">
        <v>1410</v>
      </c>
      <c r="B167" s="47" t="s">
        <v>163</v>
      </c>
      <c r="C167" s="47" t="s">
        <v>413</v>
      </c>
      <c r="D167" s="47" t="s">
        <v>35</v>
      </c>
      <c r="E167" s="47" t="b">
        <v>0</v>
      </c>
      <c r="F167" s="47" t="s">
        <v>365</v>
      </c>
      <c r="H167" s="48">
        <v>46088</v>
      </c>
    </row>
    <row r="168" spans="1:8" x14ac:dyDescent="0.55000000000000004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365</v>
      </c>
      <c r="H168" s="48">
        <v>46088</v>
      </c>
    </row>
    <row r="169" spans="1:8" x14ac:dyDescent="0.55000000000000004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364</v>
      </c>
      <c r="G169" s="47">
        <v>23</v>
      </c>
      <c r="H169" s="48">
        <v>46088</v>
      </c>
    </row>
    <row r="170" spans="1:8" x14ac:dyDescent="0.55000000000000004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364</v>
      </c>
      <c r="G170" s="47">
        <v>20</v>
      </c>
      <c r="H170" s="48">
        <v>46088</v>
      </c>
    </row>
    <row r="171" spans="1:8" x14ac:dyDescent="0.55000000000000004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365</v>
      </c>
      <c r="H171" s="48">
        <v>46088</v>
      </c>
    </row>
    <row r="172" spans="1:8" x14ac:dyDescent="0.55000000000000004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365</v>
      </c>
      <c r="H172" s="48">
        <v>46088</v>
      </c>
    </row>
    <row r="173" spans="1:8" x14ac:dyDescent="0.55000000000000004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364</v>
      </c>
      <c r="G173" s="47">
        <v>7</v>
      </c>
      <c r="H173" s="48">
        <v>46088</v>
      </c>
    </row>
    <row r="174" spans="1:8" x14ac:dyDescent="0.55000000000000004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364</v>
      </c>
      <c r="G174" s="47">
        <v>9</v>
      </c>
      <c r="H174" s="48">
        <v>46088</v>
      </c>
    </row>
    <row r="175" spans="1:8" x14ac:dyDescent="0.55000000000000004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364</v>
      </c>
      <c r="G175" s="47">
        <v>12</v>
      </c>
      <c r="H175" s="48">
        <v>46088</v>
      </c>
    </row>
    <row r="176" spans="1:8" x14ac:dyDescent="0.55000000000000004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365</v>
      </c>
      <c r="H176" s="48">
        <v>46088</v>
      </c>
    </row>
    <row r="177" spans="1:8" x14ac:dyDescent="0.55000000000000004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365</v>
      </c>
      <c r="H177" s="48">
        <v>46088</v>
      </c>
    </row>
    <row r="178" spans="1:8" x14ac:dyDescent="0.55000000000000004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364</v>
      </c>
      <c r="G178" s="47">
        <v>5</v>
      </c>
      <c r="H178" s="48">
        <v>46088</v>
      </c>
    </row>
    <row r="179" spans="1:8" x14ac:dyDescent="0.55000000000000004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364</v>
      </c>
      <c r="G179" s="47">
        <v>35</v>
      </c>
      <c r="H179" s="48">
        <v>46088</v>
      </c>
    </row>
    <row r="180" spans="1:8" x14ac:dyDescent="0.55000000000000004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365</v>
      </c>
      <c r="H180" s="48">
        <v>46088</v>
      </c>
    </row>
    <row r="181" spans="1:8" x14ac:dyDescent="0.55000000000000004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365</v>
      </c>
      <c r="H181" s="48">
        <v>46088</v>
      </c>
    </row>
    <row r="182" spans="1:8" x14ac:dyDescent="0.55000000000000004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364</v>
      </c>
      <c r="G182" s="47">
        <v>5</v>
      </c>
      <c r="H182" s="48">
        <v>46088</v>
      </c>
    </row>
    <row r="183" spans="1:8" x14ac:dyDescent="0.55000000000000004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364</v>
      </c>
      <c r="G183" s="47">
        <v>7</v>
      </c>
      <c r="H183" s="48">
        <v>46088</v>
      </c>
    </row>
    <row r="184" spans="1:8" x14ac:dyDescent="0.55000000000000004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364</v>
      </c>
      <c r="G184" s="47">
        <v>15</v>
      </c>
      <c r="H184" s="48">
        <v>46088</v>
      </c>
    </row>
    <row r="185" spans="1:8" x14ac:dyDescent="0.55000000000000004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364</v>
      </c>
      <c r="G185" s="47">
        <v>24</v>
      </c>
      <c r="H185" s="48">
        <v>46088</v>
      </c>
    </row>
    <row r="186" spans="1:8" x14ac:dyDescent="0.55000000000000004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365</v>
      </c>
      <c r="H186" s="48">
        <v>46088</v>
      </c>
    </row>
    <row r="187" spans="1:8" x14ac:dyDescent="0.55000000000000004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364</v>
      </c>
      <c r="G187" s="47">
        <v>6</v>
      </c>
      <c r="H187" s="48">
        <v>46088</v>
      </c>
    </row>
    <row r="188" spans="1:8" x14ac:dyDescent="0.55000000000000004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364</v>
      </c>
      <c r="G188" s="47">
        <v>3</v>
      </c>
      <c r="H188" s="48">
        <v>46088</v>
      </c>
    </row>
    <row r="189" spans="1:8" x14ac:dyDescent="0.55000000000000004">
      <c r="A189" s="47">
        <v>1412</v>
      </c>
      <c r="B189" s="47" t="s">
        <v>331</v>
      </c>
      <c r="C189" s="47" t="s">
        <v>412</v>
      </c>
      <c r="D189" s="47" t="s">
        <v>35</v>
      </c>
      <c r="E189" s="47" t="b">
        <v>1</v>
      </c>
      <c r="F189" s="47" t="s">
        <v>367</v>
      </c>
      <c r="H189" s="48">
        <v>46088</v>
      </c>
    </row>
    <row r="190" spans="1:8" x14ac:dyDescent="0.55000000000000004">
      <c r="A190" s="47">
        <v>1413</v>
      </c>
      <c r="B190" s="47" t="s">
        <v>331</v>
      </c>
      <c r="C190" s="47" t="s">
        <v>411</v>
      </c>
      <c r="D190" s="47" t="s">
        <v>35</v>
      </c>
      <c r="E190" s="47" t="b">
        <v>0</v>
      </c>
      <c r="F190" s="47" t="s">
        <v>367</v>
      </c>
      <c r="H190" s="48">
        <v>46088</v>
      </c>
    </row>
    <row r="191" spans="1:8" x14ac:dyDescent="0.55000000000000004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365</v>
      </c>
      <c r="H191" s="48">
        <v>46088</v>
      </c>
    </row>
    <row r="192" spans="1:8" x14ac:dyDescent="0.55000000000000004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365</v>
      </c>
      <c r="H192" s="48">
        <v>46088</v>
      </c>
    </row>
    <row r="193" spans="1:8" x14ac:dyDescent="0.55000000000000004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364</v>
      </c>
      <c r="G193" s="47">
        <v>3</v>
      </c>
      <c r="H193" s="48">
        <v>46088</v>
      </c>
    </row>
    <row r="194" spans="1:8" x14ac:dyDescent="0.55000000000000004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365</v>
      </c>
      <c r="H194" s="48">
        <v>46088</v>
      </c>
    </row>
    <row r="195" spans="1:8" x14ac:dyDescent="0.55000000000000004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364</v>
      </c>
      <c r="G195" s="47">
        <v>4</v>
      </c>
      <c r="H195" s="48">
        <v>46088</v>
      </c>
    </row>
    <row r="196" spans="1:8" x14ac:dyDescent="0.55000000000000004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364</v>
      </c>
      <c r="G196" s="47">
        <v>6</v>
      </c>
      <c r="H196" s="48">
        <v>46088</v>
      </c>
    </row>
    <row r="197" spans="1:8" x14ac:dyDescent="0.55000000000000004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364</v>
      </c>
      <c r="G197" s="47">
        <v>28</v>
      </c>
      <c r="H197" s="48">
        <v>46088</v>
      </c>
    </row>
    <row r="198" spans="1:8" x14ac:dyDescent="0.55000000000000004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364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546875" defaultRowHeight="14.4" x14ac:dyDescent="0.55000000000000004"/>
  <cols>
    <col min="1" max="7" width="9.0546875" style="49"/>
    <col min="8" max="8" width="10.21875" style="49" bestFit="1" customWidth="1"/>
    <col min="9" max="16384" width="9.0546875" style="49"/>
  </cols>
  <sheetData>
    <row r="1" spans="1:8" x14ac:dyDescent="0.55000000000000004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362</v>
      </c>
      <c r="G1" s="49" t="s">
        <v>363</v>
      </c>
      <c r="H1" s="49" t="s">
        <v>318</v>
      </c>
    </row>
    <row r="2" spans="1:8" x14ac:dyDescent="0.55000000000000004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365</v>
      </c>
      <c r="H2" s="50">
        <v>46091</v>
      </c>
    </row>
    <row r="3" spans="1:8" x14ac:dyDescent="0.55000000000000004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364</v>
      </c>
      <c r="G3" s="49">
        <v>1</v>
      </c>
      <c r="H3" s="50">
        <v>46091</v>
      </c>
    </row>
    <row r="4" spans="1:8" x14ac:dyDescent="0.55000000000000004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364</v>
      </c>
      <c r="G4" s="49">
        <v>23</v>
      </c>
      <c r="H4" s="50">
        <v>46091</v>
      </c>
    </row>
    <row r="5" spans="1:8" x14ac:dyDescent="0.55000000000000004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364</v>
      </c>
      <c r="G5" s="49">
        <v>21</v>
      </c>
      <c r="H5" s="50">
        <v>46091</v>
      </c>
    </row>
    <row r="6" spans="1:8" x14ac:dyDescent="0.55000000000000004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364</v>
      </c>
      <c r="G6" s="49">
        <v>4</v>
      </c>
      <c r="H6" s="50">
        <v>46091</v>
      </c>
    </row>
    <row r="7" spans="1:8" x14ac:dyDescent="0.55000000000000004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366</v>
      </c>
      <c r="H7" s="50">
        <v>46091</v>
      </c>
    </row>
    <row r="8" spans="1:8" x14ac:dyDescent="0.55000000000000004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364</v>
      </c>
      <c r="G8" s="49">
        <v>13</v>
      </c>
      <c r="H8" s="50">
        <v>46091</v>
      </c>
    </row>
    <row r="9" spans="1:8" x14ac:dyDescent="0.55000000000000004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365</v>
      </c>
      <c r="H9" s="50">
        <v>46091</v>
      </c>
    </row>
    <row r="10" spans="1:8" x14ac:dyDescent="0.55000000000000004">
      <c r="A10" s="49">
        <v>1112</v>
      </c>
      <c r="B10" s="49" t="s">
        <v>450</v>
      </c>
      <c r="C10" s="49" t="s">
        <v>449</v>
      </c>
      <c r="D10" s="49" t="s">
        <v>35</v>
      </c>
      <c r="E10" s="49" t="b">
        <v>0</v>
      </c>
      <c r="F10" s="49" t="s">
        <v>364</v>
      </c>
      <c r="G10" s="49">
        <v>16</v>
      </c>
      <c r="H10" s="50">
        <v>46091</v>
      </c>
    </row>
    <row r="11" spans="1:8" x14ac:dyDescent="0.55000000000000004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364</v>
      </c>
      <c r="G11" s="49">
        <v>1</v>
      </c>
      <c r="H11" s="50">
        <v>46091</v>
      </c>
    </row>
    <row r="12" spans="1:8" x14ac:dyDescent="0.55000000000000004">
      <c r="A12" s="49">
        <v>982</v>
      </c>
      <c r="B12" s="49" t="s">
        <v>443</v>
      </c>
      <c r="C12" s="49" t="s">
        <v>34</v>
      </c>
      <c r="D12" s="49" t="s">
        <v>35</v>
      </c>
      <c r="E12" s="49" t="b">
        <v>0</v>
      </c>
      <c r="F12" s="49" t="s">
        <v>364</v>
      </c>
      <c r="G12" s="49">
        <v>22</v>
      </c>
      <c r="H12" s="50">
        <v>46091</v>
      </c>
    </row>
    <row r="13" spans="1:8" x14ac:dyDescent="0.55000000000000004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364</v>
      </c>
      <c r="G13" s="49">
        <v>4</v>
      </c>
      <c r="H13" s="50">
        <v>46091</v>
      </c>
    </row>
    <row r="14" spans="1:8" x14ac:dyDescent="0.55000000000000004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364</v>
      </c>
      <c r="G14" s="49">
        <v>8</v>
      </c>
      <c r="H14" s="50">
        <v>46091</v>
      </c>
    </row>
    <row r="15" spans="1:8" x14ac:dyDescent="0.55000000000000004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364</v>
      </c>
      <c r="G15" s="49">
        <v>32</v>
      </c>
      <c r="H15" s="50">
        <v>46091</v>
      </c>
    </row>
    <row r="16" spans="1:8" x14ac:dyDescent="0.55000000000000004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364</v>
      </c>
      <c r="G16" s="49">
        <v>33</v>
      </c>
      <c r="H16" s="50">
        <v>46091</v>
      </c>
    </row>
    <row r="17" spans="1:8" x14ac:dyDescent="0.55000000000000004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364</v>
      </c>
      <c r="G17" s="49">
        <v>30</v>
      </c>
      <c r="H17" s="50">
        <v>46091</v>
      </c>
    </row>
    <row r="18" spans="1:8" x14ac:dyDescent="0.55000000000000004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365</v>
      </c>
      <c r="H18" s="50">
        <v>46091</v>
      </c>
    </row>
    <row r="19" spans="1:8" x14ac:dyDescent="0.55000000000000004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366</v>
      </c>
      <c r="H19" s="50">
        <v>46091</v>
      </c>
    </row>
    <row r="20" spans="1:8" x14ac:dyDescent="0.55000000000000004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364</v>
      </c>
      <c r="G20" s="49">
        <v>35</v>
      </c>
      <c r="H20" s="50">
        <v>46091</v>
      </c>
    </row>
    <row r="21" spans="1:8" x14ac:dyDescent="0.55000000000000004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364</v>
      </c>
      <c r="G21" s="49">
        <v>6</v>
      </c>
      <c r="H21" s="50">
        <v>46091</v>
      </c>
    </row>
    <row r="22" spans="1:8" x14ac:dyDescent="0.55000000000000004">
      <c r="A22" s="49">
        <v>1416</v>
      </c>
      <c r="B22" s="49" t="s">
        <v>448</v>
      </c>
      <c r="C22" s="49" t="s">
        <v>447</v>
      </c>
      <c r="D22" s="49" t="s">
        <v>35</v>
      </c>
      <c r="E22" s="49" t="b">
        <v>0</v>
      </c>
      <c r="F22" s="49" t="s">
        <v>365</v>
      </c>
      <c r="H22" s="50">
        <v>46091</v>
      </c>
    </row>
    <row r="23" spans="1:8" x14ac:dyDescent="0.55000000000000004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365</v>
      </c>
      <c r="H23" s="50">
        <v>46091</v>
      </c>
    </row>
    <row r="24" spans="1:8" x14ac:dyDescent="0.55000000000000004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364</v>
      </c>
      <c r="G24" s="49">
        <v>34</v>
      </c>
      <c r="H24" s="50">
        <v>46091</v>
      </c>
    </row>
    <row r="25" spans="1:8" x14ac:dyDescent="0.55000000000000004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364</v>
      </c>
      <c r="G25" s="49">
        <v>35</v>
      </c>
      <c r="H25" s="50">
        <v>46091</v>
      </c>
    </row>
    <row r="26" spans="1:8" x14ac:dyDescent="0.55000000000000004">
      <c r="A26" s="49">
        <v>1414</v>
      </c>
      <c r="B26" s="49" t="s">
        <v>442</v>
      </c>
      <c r="C26" s="49" t="s">
        <v>38</v>
      </c>
      <c r="D26" s="49" t="s">
        <v>35</v>
      </c>
      <c r="E26" s="49" t="b">
        <v>0</v>
      </c>
      <c r="F26" s="49" t="s">
        <v>364</v>
      </c>
      <c r="G26" s="49">
        <v>13</v>
      </c>
      <c r="H26" s="50">
        <v>46091</v>
      </c>
    </row>
    <row r="27" spans="1:8" x14ac:dyDescent="0.55000000000000004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364</v>
      </c>
      <c r="G27" s="49">
        <v>28</v>
      </c>
      <c r="H27" s="50">
        <v>46091</v>
      </c>
    </row>
    <row r="28" spans="1:8" x14ac:dyDescent="0.55000000000000004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364</v>
      </c>
      <c r="G28" s="49">
        <v>28</v>
      </c>
      <c r="H28" s="50">
        <v>46091</v>
      </c>
    </row>
    <row r="29" spans="1:8" x14ac:dyDescent="0.55000000000000004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364</v>
      </c>
      <c r="G29" s="49">
        <v>13</v>
      </c>
      <c r="H29" s="50">
        <v>46091</v>
      </c>
    </row>
    <row r="30" spans="1:8" x14ac:dyDescent="0.55000000000000004">
      <c r="A30" s="49">
        <v>1405</v>
      </c>
      <c r="B30" s="49" t="s">
        <v>441</v>
      </c>
      <c r="C30" s="49" t="s">
        <v>440</v>
      </c>
      <c r="D30" s="49" t="s">
        <v>35</v>
      </c>
      <c r="E30" s="49" t="b">
        <v>1</v>
      </c>
      <c r="F30" s="49" t="s">
        <v>366</v>
      </c>
      <c r="H30" s="50">
        <v>46091</v>
      </c>
    </row>
    <row r="31" spans="1:8" x14ac:dyDescent="0.55000000000000004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364</v>
      </c>
      <c r="G31" s="49">
        <v>16</v>
      </c>
      <c r="H31" s="50">
        <v>46091</v>
      </c>
    </row>
    <row r="32" spans="1:8" x14ac:dyDescent="0.55000000000000004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364</v>
      </c>
      <c r="G32" s="49">
        <v>9</v>
      </c>
      <c r="H32" s="50">
        <v>46091</v>
      </c>
    </row>
    <row r="33" spans="1:8" x14ac:dyDescent="0.55000000000000004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365</v>
      </c>
      <c r="H33" s="50">
        <v>46091</v>
      </c>
    </row>
    <row r="34" spans="1:8" x14ac:dyDescent="0.55000000000000004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364</v>
      </c>
      <c r="G34" s="49">
        <v>13</v>
      </c>
      <c r="H34" s="50">
        <v>46091</v>
      </c>
    </row>
    <row r="35" spans="1:8" x14ac:dyDescent="0.55000000000000004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364</v>
      </c>
      <c r="G35" s="49">
        <v>23</v>
      </c>
      <c r="H35" s="50">
        <v>46091</v>
      </c>
    </row>
    <row r="36" spans="1:8" x14ac:dyDescent="0.55000000000000004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364</v>
      </c>
      <c r="G36" s="49">
        <v>19</v>
      </c>
      <c r="H36" s="50">
        <v>46091</v>
      </c>
    </row>
    <row r="37" spans="1:8" x14ac:dyDescent="0.55000000000000004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364</v>
      </c>
      <c r="G37" s="49">
        <v>17</v>
      </c>
      <c r="H37" s="50">
        <v>46091</v>
      </c>
    </row>
    <row r="38" spans="1:8" x14ac:dyDescent="0.55000000000000004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364</v>
      </c>
      <c r="G38" s="49">
        <v>8</v>
      </c>
      <c r="H38" s="50">
        <v>46091</v>
      </c>
    </row>
    <row r="39" spans="1:8" x14ac:dyDescent="0.55000000000000004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364</v>
      </c>
      <c r="G39" s="49">
        <v>5</v>
      </c>
      <c r="H39" s="50">
        <v>46091</v>
      </c>
    </row>
    <row r="40" spans="1:8" x14ac:dyDescent="0.55000000000000004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364</v>
      </c>
      <c r="G40" s="49">
        <v>7</v>
      </c>
      <c r="H40" s="50">
        <v>46091</v>
      </c>
    </row>
    <row r="41" spans="1:8" x14ac:dyDescent="0.55000000000000004">
      <c r="A41" s="49">
        <v>1391</v>
      </c>
      <c r="B41" s="49" t="s">
        <v>439</v>
      </c>
      <c r="C41" s="49" t="s">
        <v>438</v>
      </c>
      <c r="D41" s="49" t="s">
        <v>35</v>
      </c>
      <c r="E41" s="49" t="b">
        <v>1</v>
      </c>
      <c r="F41" s="49" t="s">
        <v>365</v>
      </c>
      <c r="H41" s="50">
        <v>46091</v>
      </c>
    </row>
    <row r="42" spans="1:8" x14ac:dyDescent="0.55000000000000004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364</v>
      </c>
      <c r="G42" s="49">
        <v>21</v>
      </c>
      <c r="H42" s="50">
        <v>46091</v>
      </c>
    </row>
    <row r="43" spans="1:8" x14ac:dyDescent="0.55000000000000004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364</v>
      </c>
      <c r="G43" s="49">
        <v>18</v>
      </c>
      <c r="H43" s="50">
        <v>46091</v>
      </c>
    </row>
    <row r="44" spans="1:8" x14ac:dyDescent="0.55000000000000004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364</v>
      </c>
      <c r="G44" s="49">
        <v>15</v>
      </c>
      <c r="H44" s="50">
        <v>46091</v>
      </c>
    </row>
    <row r="45" spans="1:8" x14ac:dyDescent="0.55000000000000004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365</v>
      </c>
      <c r="H45" s="50">
        <v>46091</v>
      </c>
    </row>
    <row r="46" spans="1:8" x14ac:dyDescent="0.55000000000000004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366</v>
      </c>
      <c r="H46" s="50">
        <v>46091</v>
      </c>
    </row>
    <row r="47" spans="1:8" x14ac:dyDescent="0.55000000000000004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364</v>
      </c>
      <c r="G47" s="49">
        <v>1</v>
      </c>
      <c r="H47" s="50">
        <v>46091</v>
      </c>
    </row>
    <row r="48" spans="1:8" x14ac:dyDescent="0.55000000000000004">
      <c r="A48" s="49">
        <v>1407</v>
      </c>
      <c r="B48" s="49" t="s">
        <v>437</v>
      </c>
      <c r="C48" s="49" t="s">
        <v>436</v>
      </c>
      <c r="D48" s="49" t="s">
        <v>35</v>
      </c>
      <c r="E48" s="49" t="b">
        <v>0</v>
      </c>
      <c r="F48" s="49" t="s">
        <v>365</v>
      </c>
      <c r="H48" s="50">
        <v>46091</v>
      </c>
    </row>
    <row r="49" spans="1:8" x14ac:dyDescent="0.55000000000000004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366</v>
      </c>
      <c r="H49" s="50">
        <v>46091</v>
      </c>
    </row>
    <row r="50" spans="1:8" x14ac:dyDescent="0.55000000000000004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364</v>
      </c>
      <c r="G50" s="49">
        <v>5</v>
      </c>
      <c r="H50" s="50">
        <v>46091</v>
      </c>
    </row>
    <row r="51" spans="1:8" x14ac:dyDescent="0.55000000000000004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364</v>
      </c>
      <c r="G51" s="49">
        <v>5</v>
      </c>
      <c r="H51" s="50">
        <v>46091</v>
      </c>
    </row>
    <row r="52" spans="1:8" x14ac:dyDescent="0.55000000000000004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365</v>
      </c>
      <c r="H52" s="50">
        <v>46091</v>
      </c>
    </row>
    <row r="53" spans="1:8" x14ac:dyDescent="0.55000000000000004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365</v>
      </c>
      <c r="H53" s="50">
        <v>46091</v>
      </c>
    </row>
    <row r="54" spans="1:8" x14ac:dyDescent="0.55000000000000004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364</v>
      </c>
      <c r="G54" s="49">
        <v>11</v>
      </c>
      <c r="H54" s="50">
        <v>46091</v>
      </c>
    </row>
    <row r="55" spans="1:8" x14ac:dyDescent="0.55000000000000004">
      <c r="A55" s="49">
        <v>1393</v>
      </c>
      <c r="B55" s="49" t="s">
        <v>435</v>
      </c>
      <c r="C55" s="49" t="s">
        <v>185</v>
      </c>
      <c r="D55" s="49" t="s">
        <v>35</v>
      </c>
      <c r="E55" s="49" t="b">
        <v>1</v>
      </c>
      <c r="F55" s="49" t="s">
        <v>364</v>
      </c>
      <c r="G55" s="49">
        <v>10</v>
      </c>
      <c r="H55" s="50">
        <v>46091</v>
      </c>
    </row>
    <row r="56" spans="1:8" x14ac:dyDescent="0.55000000000000004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366</v>
      </c>
      <c r="H56" s="50">
        <v>46091</v>
      </c>
    </row>
    <row r="57" spans="1:8" x14ac:dyDescent="0.55000000000000004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365</v>
      </c>
      <c r="H57" s="50">
        <v>46091</v>
      </c>
    </row>
    <row r="58" spans="1:8" x14ac:dyDescent="0.55000000000000004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364</v>
      </c>
      <c r="G58" s="49">
        <v>9</v>
      </c>
      <c r="H58" s="50">
        <v>46091</v>
      </c>
    </row>
    <row r="59" spans="1:8" x14ac:dyDescent="0.55000000000000004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364</v>
      </c>
      <c r="G59" s="49">
        <v>7</v>
      </c>
      <c r="H59" s="50">
        <v>46091</v>
      </c>
    </row>
    <row r="60" spans="1:8" x14ac:dyDescent="0.55000000000000004">
      <c r="A60" s="49">
        <v>1034</v>
      </c>
      <c r="B60" s="49" t="s">
        <v>434</v>
      </c>
      <c r="C60" s="49" t="s">
        <v>64</v>
      </c>
      <c r="D60" s="49" t="s">
        <v>35</v>
      </c>
      <c r="E60" s="49" t="b">
        <v>0</v>
      </c>
      <c r="F60" s="49" t="s">
        <v>365</v>
      </c>
      <c r="H60" s="50">
        <v>46091</v>
      </c>
    </row>
    <row r="61" spans="1:8" x14ac:dyDescent="0.55000000000000004">
      <c r="A61" s="49">
        <v>1402</v>
      </c>
      <c r="B61" s="49" t="s">
        <v>433</v>
      </c>
      <c r="C61" s="49" t="s">
        <v>168</v>
      </c>
      <c r="D61" s="49" t="s">
        <v>35</v>
      </c>
      <c r="E61" s="49" t="b">
        <v>0</v>
      </c>
      <c r="F61" s="49" t="s">
        <v>364</v>
      </c>
      <c r="G61" s="49">
        <v>7</v>
      </c>
      <c r="H61" s="50">
        <v>46091</v>
      </c>
    </row>
    <row r="62" spans="1:8" x14ac:dyDescent="0.55000000000000004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364</v>
      </c>
      <c r="G62" s="49">
        <v>12</v>
      </c>
      <c r="H62" s="50">
        <v>46091</v>
      </c>
    </row>
    <row r="63" spans="1:8" x14ac:dyDescent="0.55000000000000004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364</v>
      </c>
      <c r="G63" s="49">
        <v>12</v>
      </c>
      <c r="H63" s="50">
        <v>46091</v>
      </c>
    </row>
    <row r="64" spans="1:8" x14ac:dyDescent="0.55000000000000004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364</v>
      </c>
      <c r="G64" s="49">
        <v>19</v>
      </c>
      <c r="H64" s="50">
        <v>46091</v>
      </c>
    </row>
    <row r="65" spans="1:8" x14ac:dyDescent="0.55000000000000004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365</v>
      </c>
      <c r="H65" s="50">
        <v>46091</v>
      </c>
    </row>
    <row r="66" spans="1:8" x14ac:dyDescent="0.55000000000000004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365</v>
      </c>
      <c r="H66" s="50">
        <v>46091</v>
      </c>
    </row>
    <row r="67" spans="1:8" x14ac:dyDescent="0.55000000000000004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364</v>
      </c>
      <c r="G67" s="49">
        <v>37</v>
      </c>
      <c r="H67" s="50">
        <v>46091</v>
      </c>
    </row>
    <row r="68" spans="1:8" x14ac:dyDescent="0.55000000000000004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364</v>
      </c>
      <c r="G68" s="49">
        <v>4</v>
      </c>
      <c r="H68" s="50">
        <v>46091</v>
      </c>
    </row>
    <row r="69" spans="1:8" x14ac:dyDescent="0.55000000000000004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365</v>
      </c>
      <c r="H69" s="50">
        <v>46091</v>
      </c>
    </row>
    <row r="70" spans="1:8" x14ac:dyDescent="0.55000000000000004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365</v>
      </c>
      <c r="H70" s="50">
        <v>46091</v>
      </c>
    </row>
    <row r="71" spans="1:8" x14ac:dyDescent="0.55000000000000004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366</v>
      </c>
      <c r="H71" s="50">
        <v>46091</v>
      </c>
    </row>
    <row r="72" spans="1:8" x14ac:dyDescent="0.55000000000000004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366</v>
      </c>
      <c r="H72" s="50">
        <v>46091</v>
      </c>
    </row>
    <row r="73" spans="1:8" x14ac:dyDescent="0.55000000000000004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366</v>
      </c>
      <c r="H73" s="50">
        <v>46091</v>
      </c>
    </row>
    <row r="74" spans="1:8" x14ac:dyDescent="0.55000000000000004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364</v>
      </c>
      <c r="G74" s="49">
        <v>6</v>
      </c>
      <c r="H74" s="50">
        <v>46091</v>
      </c>
    </row>
    <row r="75" spans="1:8" x14ac:dyDescent="0.55000000000000004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364</v>
      </c>
      <c r="G75" s="49">
        <v>12</v>
      </c>
      <c r="H75" s="50">
        <v>46091</v>
      </c>
    </row>
    <row r="76" spans="1:8" x14ac:dyDescent="0.55000000000000004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365</v>
      </c>
      <c r="H76" s="50">
        <v>46091</v>
      </c>
    </row>
    <row r="77" spans="1:8" x14ac:dyDescent="0.55000000000000004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364</v>
      </c>
      <c r="G77" s="49">
        <v>3</v>
      </c>
      <c r="H77" s="50">
        <v>46091</v>
      </c>
    </row>
    <row r="78" spans="1:8" x14ac:dyDescent="0.55000000000000004">
      <c r="A78" s="49">
        <v>1400</v>
      </c>
      <c r="B78" s="49" t="s">
        <v>432</v>
      </c>
      <c r="C78" s="49" t="s">
        <v>431</v>
      </c>
      <c r="D78" s="49" t="s">
        <v>35</v>
      </c>
      <c r="E78" s="49" t="b">
        <v>0</v>
      </c>
      <c r="F78" s="49" t="s">
        <v>365</v>
      </c>
      <c r="H78" s="50">
        <v>46091</v>
      </c>
    </row>
    <row r="79" spans="1:8" x14ac:dyDescent="0.55000000000000004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366</v>
      </c>
      <c r="H79" s="50">
        <v>46091</v>
      </c>
    </row>
    <row r="80" spans="1:8" x14ac:dyDescent="0.55000000000000004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365</v>
      </c>
      <c r="H80" s="50">
        <v>46091</v>
      </c>
    </row>
    <row r="81" spans="1:8" x14ac:dyDescent="0.55000000000000004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364</v>
      </c>
      <c r="G81" s="49">
        <v>7</v>
      </c>
      <c r="H81" s="50">
        <v>46091</v>
      </c>
    </row>
    <row r="82" spans="1:8" x14ac:dyDescent="0.55000000000000004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364</v>
      </c>
      <c r="G82" s="49">
        <v>13</v>
      </c>
      <c r="H82" s="50">
        <v>46091</v>
      </c>
    </row>
    <row r="83" spans="1:8" x14ac:dyDescent="0.55000000000000004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364</v>
      </c>
      <c r="G83" s="49">
        <v>2</v>
      </c>
      <c r="H83" s="50">
        <v>46091</v>
      </c>
    </row>
    <row r="84" spans="1:8" x14ac:dyDescent="0.55000000000000004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364</v>
      </c>
      <c r="G84" s="49">
        <v>8</v>
      </c>
      <c r="H84" s="50">
        <v>46091</v>
      </c>
    </row>
    <row r="85" spans="1:8" x14ac:dyDescent="0.55000000000000004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364</v>
      </c>
      <c r="G85" s="49">
        <v>14</v>
      </c>
      <c r="H85" s="50">
        <v>46091</v>
      </c>
    </row>
    <row r="86" spans="1:8" x14ac:dyDescent="0.55000000000000004">
      <c r="A86" s="49">
        <v>1406</v>
      </c>
      <c r="B86" s="49" t="s">
        <v>430</v>
      </c>
      <c r="C86" s="49" t="s">
        <v>315</v>
      </c>
      <c r="D86" s="49" t="s">
        <v>35</v>
      </c>
      <c r="E86" s="49" t="b">
        <v>0</v>
      </c>
      <c r="F86" s="49" t="s">
        <v>364</v>
      </c>
      <c r="G86" s="49">
        <v>9</v>
      </c>
      <c r="H86" s="50">
        <v>46091</v>
      </c>
    </row>
    <row r="87" spans="1:8" x14ac:dyDescent="0.55000000000000004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364</v>
      </c>
      <c r="G87" s="49">
        <v>8</v>
      </c>
      <c r="H87" s="50">
        <v>46091</v>
      </c>
    </row>
    <row r="88" spans="1:8" x14ac:dyDescent="0.55000000000000004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364</v>
      </c>
      <c r="G88" s="49">
        <v>8</v>
      </c>
      <c r="H88" s="50">
        <v>46091</v>
      </c>
    </row>
    <row r="89" spans="1:8" x14ac:dyDescent="0.55000000000000004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365</v>
      </c>
      <c r="H89" s="50">
        <v>46091</v>
      </c>
    </row>
    <row r="90" spans="1:8" x14ac:dyDescent="0.55000000000000004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364</v>
      </c>
      <c r="G90" s="49">
        <v>19</v>
      </c>
      <c r="H90" s="50">
        <v>46091</v>
      </c>
    </row>
    <row r="91" spans="1:8" x14ac:dyDescent="0.55000000000000004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364</v>
      </c>
      <c r="G91" s="49">
        <v>12</v>
      </c>
      <c r="H91" s="50">
        <v>46091</v>
      </c>
    </row>
    <row r="92" spans="1:8" x14ac:dyDescent="0.55000000000000004">
      <c r="A92" s="49">
        <v>990</v>
      </c>
      <c r="B92" s="49" t="s">
        <v>446</v>
      </c>
      <c r="C92" s="49" t="s">
        <v>149</v>
      </c>
      <c r="D92" s="49" t="s">
        <v>35</v>
      </c>
      <c r="E92" s="49" t="b">
        <v>1</v>
      </c>
      <c r="F92" s="49" t="s">
        <v>364</v>
      </c>
      <c r="G92" s="49">
        <v>10</v>
      </c>
      <c r="H92" s="50">
        <v>46091</v>
      </c>
    </row>
    <row r="93" spans="1:8" x14ac:dyDescent="0.55000000000000004">
      <c r="A93" s="49">
        <v>1395</v>
      </c>
      <c r="B93" s="49" t="s">
        <v>429</v>
      </c>
      <c r="C93" s="49" t="s">
        <v>428</v>
      </c>
      <c r="D93" s="49" t="s">
        <v>35</v>
      </c>
      <c r="E93" s="49" t="b">
        <v>1</v>
      </c>
      <c r="F93" s="49" t="s">
        <v>366</v>
      </c>
      <c r="H93" s="50">
        <v>46091</v>
      </c>
    </row>
    <row r="94" spans="1:8" x14ac:dyDescent="0.55000000000000004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365</v>
      </c>
      <c r="H94" s="50">
        <v>46091</v>
      </c>
    </row>
    <row r="95" spans="1:8" x14ac:dyDescent="0.55000000000000004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364</v>
      </c>
      <c r="G95" s="49">
        <v>10</v>
      </c>
      <c r="H95" s="50">
        <v>46091</v>
      </c>
    </row>
    <row r="96" spans="1:8" x14ac:dyDescent="0.55000000000000004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367</v>
      </c>
      <c r="H96" s="50">
        <v>46091</v>
      </c>
    </row>
    <row r="97" spans="1:8" x14ac:dyDescent="0.55000000000000004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364</v>
      </c>
      <c r="G97" s="49">
        <v>13</v>
      </c>
      <c r="H97" s="50">
        <v>46091</v>
      </c>
    </row>
    <row r="98" spans="1:8" x14ac:dyDescent="0.55000000000000004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365</v>
      </c>
      <c r="H98" s="50">
        <v>46091</v>
      </c>
    </row>
    <row r="99" spans="1:8" x14ac:dyDescent="0.55000000000000004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364</v>
      </c>
      <c r="G99" s="49">
        <v>8</v>
      </c>
      <c r="H99" s="50">
        <v>46091</v>
      </c>
    </row>
    <row r="100" spans="1:8" x14ac:dyDescent="0.55000000000000004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364</v>
      </c>
      <c r="G100" s="49">
        <v>6</v>
      </c>
      <c r="H100" s="50">
        <v>46091</v>
      </c>
    </row>
    <row r="101" spans="1:8" x14ac:dyDescent="0.55000000000000004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367</v>
      </c>
      <c r="H101" s="50">
        <v>46091</v>
      </c>
    </row>
    <row r="102" spans="1:8" x14ac:dyDescent="0.55000000000000004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364</v>
      </c>
      <c r="G102" s="49">
        <v>9</v>
      </c>
      <c r="H102" s="50">
        <v>46091</v>
      </c>
    </row>
    <row r="103" spans="1:8" x14ac:dyDescent="0.55000000000000004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364</v>
      </c>
      <c r="G103" s="49">
        <v>13</v>
      </c>
      <c r="H103" s="50">
        <v>46091</v>
      </c>
    </row>
    <row r="104" spans="1:8" x14ac:dyDescent="0.55000000000000004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364</v>
      </c>
      <c r="G104" s="49">
        <v>22</v>
      </c>
      <c r="H104" s="50">
        <v>46091</v>
      </c>
    </row>
    <row r="105" spans="1:8" x14ac:dyDescent="0.55000000000000004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364</v>
      </c>
      <c r="G105" s="49">
        <v>24</v>
      </c>
      <c r="H105" s="50">
        <v>46091</v>
      </c>
    </row>
    <row r="106" spans="1:8" x14ac:dyDescent="0.55000000000000004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364</v>
      </c>
      <c r="G106" s="49">
        <v>17</v>
      </c>
      <c r="H106" s="50">
        <v>46091</v>
      </c>
    </row>
    <row r="107" spans="1:8" x14ac:dyDescent="0.55000000000000004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365</v>
      </c>
      <c r="H107" s="50">
        <v>46091</v>
      </c>
    </row>
    <row r="108" spans="1:8" x14ac:dyDescent="0.55000000000000004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364</v>
      </c>
      <c r="G108" s="49">
        <v>2</v>
      </c>
      <c r="H108" s="50">
        <v>46091</v>
      </c>
    </row>
    <row r="109" spans="1:8" x14ac:dyDescent="0.55000000000000004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365</v>
      </c>
      <c r="H109" s="50">
        <v>46091</v>
      </c>
    </row>
    <row r="110" spans="1:8" x14ac:dyDescent="0.55000000000000004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364</v>
      </c>
      <c r="G110" s="49">
        <v>22</v>
      </c>
      <c r="H110" s="50">
        <v>46091</v>
      </c>
    </row>
    <row r="111" spans="1:8" x14ac:dyDescent="0.55000000000000004">
      <c r="A111" s="49">
        <v>1403</v>
      </c>
      <c r="B111" s="49" t="s">
        <v>427</v>
      </c>
      <c r="C111" s="49" t="s">
        <v>411</v>
      </c>
      <c r="D111" s="49" t="s">
        <v>35</v>
      </c>
      <c r="E111" s="49" t="b">
        <v>0</v>
      </c>
      <c r="F111" s="49" t="s">
        <v>364</v>
      </c>
      <c r="G111" s="49">
        <v>8</v>
      </c>
      <c r="H111" s="50">
        <v>46091</v>
      </c>
    </row>
    <row r="112" spans="1:8" x14ac:dyDescent="0.55000000000000004">
      <c r="A112" s="49">
        <v>1404</v>
      </c>
      <c r="B112" s="49" t="s">
        <v>427</v>
      </c>
      <c r="C112" s="49" t="s">
        <v>320</v>
      </c>
      <c r="D112" s="49" t="s">
        <v>35</v>
      </c>
      <c r="E112" s="49" t="b">
        <v>1</v>
      </c>
      <c r="F112" s="49" t="s">
        <v>365</v>
      </c>
      <c r="H112" s="50">
        <v>46091</v>
      </c>
    </row>
    <row r="113" spans="1:8" x14ac:dyDescent="0.55000000000000004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365</v>
      </c>
      <c r="H113" s="50">
        <v>46091</v>
      </c>
    </row>
    <row r="114" spans="1:8" x14ac:dyDescent="0.55000000000000004">
      <c r="A114" s="49">
        <v>1408</v>
      </c>
      <c r="B114" s="49" t="s">
        <v>425</v>
      </c>
      <c r="C114" s="49" t="s">
        <v>426</v>
      </c>
      <c r="D114" s="49" t="s">
        <v>35</v>
      </c>
      <c r="E114" s="49" t="b">
        <v>0</v>
      </c>
      <c r="F114" s="49" t="s">
        <v>364</v>
      </c>
      <c r="G114" s="49">
        <v>20</v>
      </c>
      <c r="H114" s="50">
        <v>46091</v>
      </c>
    </row>
    <row r="115" spans="1:8" x14ac:dyDescent="0.55000000000000004">
      <c r="A115" s="49">
        <v>1409</v>
      </c>
      <c r="B115" s="49" t="s">
        <v>425</v>
      </c>
      <c r="C115" s="49" t="s">
        <v>424</v>
      </c>
      <c r="D115" s="49" t="s">
        <v>35</v>
      </c>
      <c r="E115" s="49" t="b">
        <v>1</v>
      </c>
      <c r="F115" s="49" t="s">
        <v>364</v>
      </c>
      <c r="G115" s="49">
        <v>15</v>
      </c>
      <c r="H115" s="50">
        <v>46091</v>
      </c>
    </row>
    <row r="116" spans="1:8" x14ac:dyDescent="0.55000000000000004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364</v>
      </c>
      <c r="G116" s="49">
        <v>5</v>
      </c>
      <c r="H116" s="50">
        <v>46091</v>
      </c>
    </row>
    <row r="117" spans="1:8" x14ac:dyDescent="0.55000000000000004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364</v>
      </c>
      <c r="G117" s="49">
        <v>16</v>
      </c>
      <c r="H117" s="50">
        <v>46091</v>
      </c>
    </row>
    <row r="118" spans="1:8" x14ac:dyDescent="0.55000000000000004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364</v>
      </c>
      <c r="G118" s="49">
        <v>13</v>
      </c>
      <c r="H118" s="50">
        <v>46091</v>
      </c>
    </row>
    <row r="119" spans="1:8" x14ac:dyDescent="0.55000000000000004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365</v>
      </c>
      <c r="H119" s="50">
        <v>46091</v>
      </c>
    </row>
    <row r="120" spans="1:8" x14ac:dyDescent="0.55000000000000004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366</v>
      </c>
      <c r="H120" s="50">
        <v>46091</v>
      </c>
    </row>
    <row r="121" spans="1:8" x14ac:dyDescent="0.55000000000000004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364</v>
      </c>
      <c r="G121" s="49">
        <v>5</v>
      </c>
      <c r="H121" s="50">
        <v>46091</v>
      </c>
    </row>
    <row r="122" spans="1:8" x14ac:dyDescent="0.55000000000000004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364</v>
      </c>
      <c r="G122" s="49">
        <v>5</v>
      </c>
      <c r="H122" s="50">
        <v>46091</v>
      </c>
    </row>
    <row r="123" spans="1:8" x14ac:dyDescent="0.55000000000000004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364</v>
      </c>
      <c r="G123" s="49">
        <v>35</v>
      </c>
      <c r="H123" s="50">
        <v>46091</v>
      </c>
    </row>
    <row r="124" spans="1:8" x14ac:dyDescent="0.55000000000000004">
      <c r="A124" s="49">
        <v>1396</v>
      </c>
      <c r="B124" s="49" t="s">
        <v>422</v>
      </c>
      <c r="C124" s="49" t="s">
        <v>57</v>
      </c>
      <c r="D124" s="49" t="s">
        <v>35</v>
      </c>
      <c r="E124" s="49" t="b">
        <v>0</v>
      </c>
      <c r="F124" s="49" t="s">
        <v>365</v>
      </c>
      <c r="H124" s="50">
        <v>46091</v>
      </c>
    </row>
    <row r="125" spans="1:8" x14ac:dyDescent="0.55000000000000004">
      <c r="A125" s="49">
        <v>1397</v>
      </c>
      <c r="B125" s="49" t="s">
        <v>422</v>
      </c>
      <c r="C125" s="49" t="s">
        <v>423</v>
      </c>
      <c r="D125" s="49" t="s">
        <v>35</v>
      </c>
      <c r="E125" s="49" t="b">
        <v>1</v>
      </c>
      <c r="F125" s="49" t="s">
        <v>365</v>
      </c>
      <c r="H125" s="50">
        <v>46091</v>
      </c>
    </row>
    <row r="126" spans="1:8" x14ac:dyDescent="0.55000000000000004">
      <c r="A126" s="49">
        <v>1398</v>
      </c>
      <c r="B126" s="49" t="s">
        <v>422</v>
      </c>
      <c r="C126" s="49" t="s">
        <v>49</v>
      </c>
      <c r="D126" s="49" t="s">
        <v>35</v>
      </c>
      <c r="E126" s="49" t="b">
        <v>0</v>
      </c>
      <c r="F126" s="49" t="s">
        <v>366</v>
      </c>
      <c r="H126" s="50">
        <v>46091</v>
      </c>
    </row>
    <row r="127" spans="1:8" x14ac:dyDescent="0.55000000000000004">
      <c r="A127" s="49">
        <v>1399</v>
      </c>
      <c r="B127" s="49" t="s">
        <v>422</v>
      </c>
      <c r="C127" s="49" t="s">
        <v>182</v>
      </c>
      <c r="D127" s="49" t="s">
        <v>35</v>
      </c>
      <c r="E127" s="49" t="b">
        <v>1</v>
      </c>
      <c r="F127" s="49" t="s">
        <v>366</v>
      </c>
      <c r="H127" s="50">
        <v>46091</v>
      </c>
    </row>
    <row r="128" spans="1:8" x14ac:dyDescent="0.55000000000000004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364</v>
      </c>
      <c r="G128" s="49">
        <v>14</v>
      </c>
      <c r="H128" s="50">
        <v>46091</v>
      </c>
    </row>
    <row r="129" spans="1:8" x14ac:dyDescent="0.55000000000000004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364</v>
      </c>
      <c r="G129" s="49">
        <v>20</v>
      </c>
      <c r="H129" s="50">
        <v>46091</v>
      </c>
    </row>
    <row r="130" spans="1:8" x14ac:dyDescent="0.55000000000000004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364</v>
      </c>
      <c r="G130" s="49">
        <v>13</v>
      </c>
      <c r="H130" s="50">
        <v>46091</v>
      </c>
    </row>
    <row r="131" spans="1:8" x14ac:dyDescent="0.55000000000000004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364</v>
      </c>
      <c r="G131" s="49">
        <v>2</v>
      </c>
      <c r="H131" s="50">
        <v>46091</v>
      </c>
    </row>
    <row r="132" spans="1:8" x14ac:dyDescent="0.55000000000000004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364</v>
      </c>
      <c r="G132" s="49">
        <v>4</v>
      </c>
      <c r="H132" s="50">
        <v>46091</v>
      </c>
    </row>
    <row r="133" spans="1:8" x14ac:dyDescent="0.55000000000000004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364</v>
      </c>
      <c r="G133" s="49">
        <v>13</v>
      </c>
      <c r="H133" s="50">
        <v>46091</v>
      </c>
    </row>
    <row r="134" spans="1:8" x14ac:dyDescent="0.55000000000000004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364</v>
      </c>
      <c r="G134" s="49">
        <v>1</v>
      </c>
      <c r="H134" s="50">
        <v>46091</v>
      </c>
    </row>
    <row r="135" spans="1:8" x14ac:dyDescent="0.55000000000000004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366</v>
      </c>
      <c r="H135" s="50">
        <v>46091</v>
      </c>
    </row>
    <row r="136" spans="1:8" x14ac:dyDescent="0.55000000000000004">
      <c r="A136" s="49">
        <v>564</v>
      </c>
      <c r="B136" s="49" t="s">
        <v>421</v>
      </c>
      <c r="C136" s="49" t="s">
        <v>37</v>
      </c>
      <c r="D136" s="49" t="s">
        <v>35</v>
      </c>
      <c r="E136" s="49" t="b">
        <v>0</v>
      </c>
      <c r="F136" s="49" t="s">
        <v>364</v>
      </c>
      <c r="G136" s="49">
        <v>7</v>
      </c>
      <c r="H136" s="50">
        <v>46091</v>
      </c>
    </row>
    <row r="137" spans="1:8" x14ac:dyDescent="0.55000000000000004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364</v>
      </c>
      <c r="G137" s="49">
        <v>10</v>
      </c>
      <c r="H137" s="50">
        <v>46091</v>
      </c>
    </row>
    <row r="138" spans="1:8" x14ac:dyDescent="0.55000000000000004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364</v>
      </c>
      <c r="G138" s="49">
        <v>18</v>
      </c>
      <c r="H138" s="50">
        <v>46091</v>
      </c>
    </row>
    <row r="139" spans="1:8" x14ac:dyDescent="0.55000000000000004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364</v>
      </c>
      <c r="G139" s="49">
        <v>20</v>
      </c>
      <c r="H139" s="50">
        <v>46091</v>
      </c>
    </row>
    <row r="140" spans="1:8" x14ac:dyDescent="0.55000000000000004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364</v>
      </c>
      <c r="G140" s="49">
        <v>10</v>
      </c>
      <c r="H140" s="50">
        <v>46091</v>
      </c>
    </row>
    <row r="141" spans="1:8" x14ac:dyDescent="0.55000000000000004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365</v>
      </c>
      <c r="H141" s="50">
        <v>46091</v>
      </c>
    </row>
    <row r="142" spans="1:8" x14ac:dyDescent="0.55000000000000004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367</v>
      </c>
      <c r="H142" s="50">
        <v>46091</v>
      </c>
    </row>
    <row r="143" spans="1:8" x14ac:dyDescent="0.55000000000000004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366</v>
      </c>
      <c r="H143" s="50">
        <v>46091</v>
      </c>
    </row>
    <row r="144" spans="1:8" x14ac:dyDescent="0.55000000000000004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364</v>
      </c>
      <c r="G144" s="49">
        <v>5</v>
      </c>
      <c r="H144" s="50">
        <v>46091</v>
      </c>
    </row>
    <row r="145" spans="1:8" x14ac:dyDescent="0.55000000000000004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364</v>
      </c>
      <c r="G145" s="49">
        <v>7</v>
      </c>
      <c r="H145" s="50">
        <v>46091</v>
      </c>
    </row>
    <row r="146" spans="1:8" x14ac:dyDescent="0.55000000000000004">
      <c r="A146" s="49">
        <v>1390</v>
      </c>
      <c r="B146" s="49" t="s">
        <v>420</v>
      </c>
      <c r="C146" s="49" t="s">
        <v>419</v>
      </c>
      <c r="D146" s="49" t="s">
        <v>35</v>
      </c>
      <c r="E146" s="49" t="b">
        <v>0</v>
      </c>
      <c r="F146" s="49" t="s">
        <v>365</v>
      </c>
      <c r="H146" s="50">
        <v>46091</v>
      </c>
    </row>
    <row r="147" spans="1:8" x14ac:dyDescent="0.55000000000000004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365</v>
      </c>
      <c r="H147" s="50">
        <v>46091</v>
      </c>
    </row>
    <row r="148" spans="1:8" x14ac:dyDescent="0.55000000000000004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364</v>
      </c>
      <c r="G148" s="49">
        <v>3</v>
      </c>
      <c r="H148" s="50">
        <v>46091</v>
      </c>
    </row>
    <row r="149" spans="1:8" x14ac:dyDescent="0.55000000000000004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364</v>
      </c>
      <c r="G149" s="49">
        <v>12</v>
      </c>
      <c r="H149" s="50">
        <v>46091</v>
      </c>
    </row>
    <row r="150" spans="1:8" x14ac:dyDescent="0.55000000000000004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364</v>
      </c>
      <c r="G150" s="49">
        <v>3</v>
      </c>
      <c r="H150" s="50">
        <v>46091</v>
      </c>
    </row>
    <row r="151" spans="1:8" x14ac:dyDescent="0.55000000000000004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364</v>
      </c>
      <c r="G151" s="49">
        <v>3</v>
      </c>
      <c r="H151" s="50">
        <v>46091</v>
      </c>
    </row>
    <row r="152" spans="1:8" x14ac:dyDescent="0.55000000000000004">
      <c r="A152" s="49">
        <v>1401</v>
      </c>
      <c r="B152" s="49" t="s">
        <v>418</v>
      </c>
      <c r="C152" s="49" t="s">
        <v>417</v>
      </c>
      <c r="D152" s="49" t="s">
        <v>35</v>
      </c>
      <c r="E152" s="49" t="b">
        <v>1</v>
      </c>
      <c r="F152" s="49" t="s">
        <v>365</v>
      </c>
      <c r="H152" s="50">
        <v>46091</v>
      </c>
    </row>
    <row r="153" spans="1:8" x14ac:dyDescent="0.55000000000000004">
      <c r="A153" s="49">
        <v>1285</v>
      </c>
      <c r="B153" s="49" t="s">
        <v>416</v>
      </c>
      <c r="C153" s="49" t="s">
        <v>40</v>
      </c>
      <c r="D153" s="49" t="s">
        <v>35</v>
      </c>
      <c r="E153" s="49" t="b">
        <v>0</v>
      </c>
      <c r="F153" s="49" t="s">
        <v>365</v>
      </c>
      <c r="H153" s="50">
        <v>46091</v>
      </c>
    </row>
    <row r="154" spans="1:8" x14ac:dyDescent="0.55000000000000004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364</v>
      </c>
      <c r="G154" s="49">
        <v>13</v>
      </c>
      <c r="H154" s="50">
        <v>46091</v>
      </c>
    </row>
    <row r="155" spans="1:8" x14ac:dyDescent="0.55000000000000004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364</v>
      </c>
      <c r="G155" s="49">
        <v>10</v>
      </c>
      <c r="H155" s="50">
        <v>46091</v>
      </c>
    </row>
    <row r="156" spans="1:8" x14ac:dyDescent="0.55000000000000004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364</v>
      </c>
      <c r="G156" s="49">
        <v>43</v>
      </c>
      <c r="H156" s="50">
        <v>46091</v>
      </c>
    </row>
    <row r="157" spans="1:8" x14ac:dyDescent="0.55000000000000004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364</v>
      </c>
      <c r="G157" s="49">
        <v>31</v>
      </c>
      <c r="H157" s="50">
        <v>46091</v>
      </c>
    </row>
    <row r="158" spans="1:8" x14ac:dyDescent="0.55000000000000004">
      <c r="A158" s="49">
        <v>1392</v>
      </c>
      <c r="B158" s="49" t="s">
        <v>415</v>
      </c>
      <c r="C158" s="49" t="s">
        <v>414</v>
      </c>
      <c r="D158" s="49" t="s">
        <v>35</v>
      </c>
      <c r="E158" s="49" t="b">
        <v>1</v>
      </c>
      <c r="F158" s="49" t="s">
        <v>365</v>
      </c>
      <c r="H158" s="50">
        <v>46091</v>
      </c>
    </row>
    <row r="159" spans="1:8" x14ac:dyDescent="0.55000000000000004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364</v>
      </c>
      <c r="G159" s="49">
        <v>15</v>
      </c>
      <c r="H159" s="50">
        <v>46091</v>
      </c>
    </row>
    <row r="160" spans="1:8" x14ac:dyDescent="0.55000000000000004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365</v>
      </c>
      <c r="H160" s="50">
        <v>46091</v>
      </c>
    </row>
    <row r="161" spans="1:8" x14ac:dyDescent="0.55000000000000004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365</v>
      </c>
      <c r="H161" s="50">
        <v>46091</v>
      </c>
    </row>
    <row r="162" spans="1:8" x14ac:dyDescent="0.55000000000000004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364</v>
      </c>
      <c r="G162" s="49">
        <v>14</v>
      </c>
      <c r="H162" s="50">
        <v>46091</v>
      </c>
    </row>
    <row r="163" spans="1:8" x14ac:dyDescent="0.55000000000000004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364</v>
      </c>
      <c r="G163" s="49">
        <v>36</v>
      </c>
      <c r="H163" s="50">
        <v>46091</v>
      </c>
    </row>
    <row r="164" spans="1:8" x14ac:dyDescent="0.55000000000000004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364</v>
      </c>
      <c r="G164" s="49">
        <v>12</v>
      </c>
      <c r="H164" s="50">
        <v>46091</v>
      </c>
    </row>
    <row r="165" spans="1:8" x14ac:dyDescent="0.55000000000000004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364</v>
      </c>
      <c r="G165" s="49">
        <v>15</v>
      </c>
      <c r="H165" s="50">
        <v>46091</v>
      </c>
    </row>
    <row r="166" spans="1:8" x14ac:dyDescent="0.55000000000000004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364</v>
      </c>
      <c r="G166" s="49">
        <v>16</v>
      </c>
      <c r="H166" s="50">
        <v>46091</v>
      </c>
    </row>
    <row r="167" spans="1:8" x14ac:dyDescent="0.55000000000000004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364</v>
      </c>
      <c r="G167" s="49">
        <v>1</v>
      </c>
      <c r="H167" s="50">
        <v>46091</v>
      </c>
    </row>
    <row r="168" spans="1:8" x14ac:dyDescent="0.55000000000000004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364</v>
      </c>
      <c r="G168" s="49">
        <v>6</v>
      </c>
      <c r="H168" s="50">
        <v>46091</v>
      </c>
    </row>
    <row r="169" spans="1:8" x14ac:dyDescent="0.55000000000000004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364</v>
      </c>
      <c r="G169" s="49">
        <v>7</v>
      </c>
      <c r="H169" s="50">
        <v>46091</v>
      </c>
    </row>
    <row r="170" spans="1:8" x14ac:dyDescent="0.55000000000000004">
      <c r="A170" s="49">
        <v>1410</v>
      </c>
      <c r="B170" s="49" t="s">
        <v>163</v>
      </c>
      <c r="C170" s="49" t="s">
        <v>413</v>
      </c>
      <c r="D170" s="49" t="s">
        <v>35</v>
      </c>
      <c r="E170" s="49" t="b">
        <v>0</v>
      </c>
      <c r="F170" s="49" t="s">
        <v>365</v>
      </c>
      <c r="H170" s="50">
        <v>46091</v>
      </c>
    </row>
    <row r="171" spans="1:8" x14ac:dyDescent="0.55000000000000004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365</v>
      </c>
      <c r="H171" s="50">
        <v>46091</v>
      </c>
    </row>
    <row r="172" spans="1:8" x14ac:dyDescent="0.55000000000000004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364</v>
      </c>
      <c r="G172" s="49">
        <v>23</v>
      </c>
      <c r="H172" s="50">
        <v>46091</v>
      </c>
    </row>
    <row r="173" spans="1:8" x14ac:dyDescent="0.55000000000000004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364</v>
      </c>
      <c r="G173" s="49">
        <v>20</v>
      </c>
      <c r="H173" s="50">
        <v>46091</v>
      </c>
    </row>
    <row r="174" spans="1:8" x14ac:dyDescent="0.55000000000000004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365</v>
      </c>
      <c r="H174" s="50">
        <v>46091</v>
      </c>
    </row>
    <row r="175" spans="1:8" x14ac:dyDescent="0.55000000000000004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365</v>
      </c>
      <c r="H175" s="50">
        <v>46091</v>
      </c>
    </row>
    <row r="176" spans="1:8" x14ac:dyDescent="0.55000000000000004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364</v>
      </c>
      <c r="G176" s="49">
        <v>7</v>
      </c>
      <c r="H176" s="50">
        <v>46091</v>
      </c>
    </row>
    <row r="177" spans="1:8" x14ac:dyDescent="0.55000000000000004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364</v>
      </c>
      <c r="G177" s="49">
        <v>9</v>
      </c>
      <c r="H177" s="50">
        <v>46091</v>
      </c>
    </row>
    <row r="178" spans="1:8" x14ac:dyDescent="0.55000000000000004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364</v>
      </c>
      <c r="G178" s="49">
        <v>12</v>
      </c>
      <c r="H178" s="50">
        <v>46091</v>
      </c>
    </row>
    <row r="179" spans="1:8" x14ac:dyDescent="0.55000000000000004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365</v>
      </c>
      <c r="H179" s="50">
        <v>46091</v>
      </c>
    </row>
    <row r="180" spans="1:8" x14ac:dyDescent="0.55000000000000004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365</v>
      </c>
      <c r="H180" s="50">
        <v>46091</v>
      </c>
    </row>
    <row r="181" spans="1:8" x14ac:dyDescent="0.55000000000000004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364</v>
      </c>
      <c r="G181" s="49">
        <v>5</v>
      </c>
      <c r="H181" s="50">
        <v>46091</v>
      </c>
    </row>
    <row r="182" spans="1:8" x14ac:dyDescent="0.55000000000000004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364</v>
      </c>
      <c r="G182" s="49">
        <v>35</v>
      </c>
      <c r="H182" s="50">
        <v>46091</v>
      </c>
    </row>
    <row r="183" spans="1:8" x14ac:dyDescent="0.55000000000000004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365</v>
      </c>
      <c r="H183" s="50">
        <v>46091</v>
      </c>
    </row>
    <row r="184" spans="1:8" x14ac:dyDescent="0.55000000000000004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365</v>
      </c>
      <c r="H184" s="50">
        <v>46091</v>
      </c>
    </row>
    <row r="185" spans="1:8" x14ac:dyDescent="0.55000000000000004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364</v>
      </c>
      <c r="G185" s="49">
        <v>5</v>
      </c>
      <c r="H185" s="50">
        <v>46091</v>
      </c>
    </row>
    <row r="186" spans="1:8" x14ac:dyDescent="0.55000000000000004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364</v>
      </c>
      <c r="G186" s="49">
        <v>7</v>
      </c>
      <c r="H186" s="50">
        <v>46091</v>
      </c>
    </row>
    <row r="187" spans="1:8" x14ac:dyDescent="0.55000000000000004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364</v>
      </c>
      <c r="G187" s="49">
        <v>15</v>
      </c>
      <c r="H187" s="50">
        <v>46091</v>
      </c>
    </row>
    <row r="188" spans="1:8" x14ac:dyDescent="0.55000000000000004">
      <c r="A188" s="49">
        <v>991</v>
      </c>
      <c r="B188" s="49" t="s">
        <v>445</v>
      </c>
      <c r="C188" s="49" t="s">
        <v>226</v>
      </c>
      <c r="D188" s="49" t="s">
        <v>35</v>
      </c>
      <c r="E188" s="49" t="b">
        <v>1</v>
      </c>
      <c r="F188" s="49" t="s">
        <v>366</v>
      </c>
      <c r="H188" s="50">
        <v>46091</v>
      </c>
    </row>
    <row r="189" spans="1:8" x14ac:dyDescent="0.55000000000000004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364</v>
      </c>
      <c r="G189" s="49">
        <v>24</v>
      </c>
      <c r="H189" s="50">
        <v>46091</v>
      </c>
    </row>
    <row r="190" spans="1:8" x14ac:dyDescent="0.55000000000000004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365</v>
      </c>
      <c r="H190" s="50">
        <v>46091</v>
      </c>
    </row>
    <row r="191" spans="1:8" x14ac:dyDescent="0.55000000000000004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364</v>
      </c>
      <c r="G191" s="49">
        <v>6</v>
      </c>
      <c r="H191" s="50">
        <v>46091</v>
      </c>
    </row>
    <row r="192" spans="1:8" x14ac:dyDescent="0.55000000000000004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364</v>
      </c>
      <c r="G192" s="49">
        <v>3</v>
      </c>
      <c r="H192" s="50">
        <v>46091</v>
      </c>
    </row>
    <row r="193" spans="1:8" x14ac:dyDescent="0.55000000000000004">
      <c r="A193" s="49">
        <v>1412</v>
      </c>
      <c r="B193" s="49" t="s">
        <v>331</v>
      </c>
      <c r="C193" s="49" t="s">
        <v>412</v>
      </c>
      <c r="D193" s="49" t="s">
        <v>35</v>
      </c>
      <c r="E193" s="49" t="b">
        <v>1</v>
      </c>
      <c r="F193" s="49" t="s">
        <v>367</v>
      </c>
      <c r="H193" s="50">
        <v>46091</v>
      </c>
    </row>
    <row r="194" spans="1:8" x14ac:dyDescent="0.55000000000000004">
      <c r="A194" s="49">
        <v>1413</v>
      </c>
      <c r="B194" s="49" t="s">
        <v>331</v>
      </c>
      <c r="C194" s="49" t="s">
        <v>411</v>
      </c>
      <c r="D194" s="49" t="s">
        <v>35</v>
      </c>
      <c r="E194" s="49" t="b">
        <v>0</v>
      </c>
      <c r="F194" s="49" t="s">
        <v>367</v>
      </c>
      <c r="H194" s="50">
        <v>46091</v>
      </c>
    </row>
    <row r="195" spans="1:8" x14ac:dyDescent="0.55000000000000004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365</v>
      </c>
      <c r="H195" s="50">
        <v>46091</v>
      </c>
    </row>
    <row r="196" spans="1:8" x14ac:dyDescent="0.55000000000000004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365</v>
      </c>
      <c r="H196" s="50">
        <v>46091</v>
      </c>
    </row>
    <row r="197" spans="1:8" x14ac:dyDescent="0.55000000000000004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364</v>
      </c>
      <c r="G197" s="49">
        <v>3</v>
      </c>
      <c r="H197" s="50">
        <v>46091</v>
      </c>
    </row>
    <row r="198" spans="1:8" x14ac:dyDescent="0.55000000000000004">
      <c r="A198" s="49">
        <v>1417</v>
      </c>
      <c r="B198" s="49" t="s">
        <v>335</v>
      </c>
      <c r="C198" s="49" t="s">
        <v>444</v>
      </c>
      <c r="D198" s="49" t="s">
        <v>35</v>
      </c>
      <c r="E198" s="49" t="b">
        <v>1</v>
      </c>
      <c r="F198" s="49" t="s">
        <v>364</v>
      </c>
      <c r="G198" s="49">
        <v>17</v>
      </c>
      <c r="H198" s="50">
        <v>46091</v>
      </c>
    </row>
    <row r="199" spans="1:8" x14ac:dyDescent="0.55000000000000004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365</v>
      </c>
      <c r="H199" s="50">
        <v>46091</v>
      </c>
    </row>
    <row r="200" spans="1:8" x14ac:dyDescent="0.55000000000000004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364</v>
      </c>
      <c r="G200" s="49">
        <v>4</v>
      </c>
      <c r="H200" s="50">
        <v>46091</v>
      </c>
    </row>
    <row r="201" spans="1:8" x14ac:dyDescent="0.55000000000000004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364</v>
      </c>
      <c r="G201" s="49">
        <v>6</v>
      </c>
      <c r="H201" s="50">
        <v>46091</v>
      </c>
    </row>
    <row r="202" spans="1:8" x14ac:dyDescent="0.55000000000000004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364</v>
      </c>
      <c r="G202" s="49">
        <v>28</v>
      </c>
      <c r="H202" s="50">
        <v>46091</v>
      </c>
    </row>
    <row r="203" spans="1:8" x14ac:dyDescent="0.55000000000000004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364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ColWidth="9.0546875" defaultRowHeight="14.4" x14ac:dyDescent="0.55000000000000004"/>
  <cols>
    <col min="1" max="7" width="9.0546875" style="51"/>
    <col min="8" max="8" width="10.21875" style="51" bestFit="1" customWidth="1"/>
    <col min="9" max="16384" width="9.0546875" style="51"/>
  </cols>
  <sheetData>
    <row r="1" spans="1:8" x14ac:dyDescent="0.55000000000000004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362</v>
      </c>
      <c r="G1" s="51" t="s">
        <v>363</v>
      </c>
      <c r="H1" s="51" t="s">
        <v>318</v>
      </c>
    </row>
    <row r="2" spans="1:8" x14ac:dyDescent="0.55000000000000004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H2" s="52">
        <v>46102</v>
      </c>
    </row>
    <row r="3" spans="1:8" x14ac:dyDescent="0.55000000000000004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</row>
    <row r="4" spans="1:8" x14ac:dyDescent="0.55000000000000004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</row>
    <row r="5" spans="1:8" x14ac:dyDescent="0.55000000000000004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</row>
    <row r="6" spans="1:8" x14ac:dyDescent="0.55000000000000004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</row>
    <row r="7" spans="1:8" x14ac:dyDescent="0.55000000000000004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H7" s="52">
        <v>46102</v>
      </c>
    </row>
    <row r="8" spans="1:8" x14ac:dyDescent="0.55000000000000004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</row>
    <row r="9" spans="1:8" x14ac:dyDescent="0.55000000000000004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H9" s="52">
        <v>46102</v>
      </c>
    </row>
    <row r="10" spans="1:8" x14ac:dyDescent="0.55000000000000004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</row>
    <row r="11" spans="1:8" x14ac:dyDescent="0.55000000000000004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</row>
    <row r="12" spans="1:8" x14ac:dyDescent="0.55000000000000004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</row>
    <row r="13" spans="1:8" x14ac:dyDescent="0.55000000000000004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</row>
    <row r="14" spans="1:8" x14ac:dyDescent="0.55000000000000004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</row>
    <row r="15" spans="1:8" x14ac:dyDescent="0.55000000000000004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</row>
    <row r="16" spans="1:8" x14ac:dyDescent="0.55000000000000004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</row>
    <row r="17" spans="1:8" x14ac:dyDescent="0.55000000000000004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</row>
    <row r="18" spans="1:8" x14ac:dyDescent="0.55000000000000004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H18" s="52">
        <v>46102</v>
      </c>
    </row>
    <row r="19" spans="1:8" x14ac:dyDescent="0.55000000000000004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H19" s="52">
        <v>46102</v>
      </c>
    </row>
    <row r="20" spans="1:8" x14ac:dyDescent="0.55000000000000004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</row>
    <row r="21" spans="1:8" x14ac:dyDescent="0.55000000000000004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</row>
    <row r="22" spans="1:8" x14ac:dyDescent="0.55000000000000004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H22" s="52">
        <v>46102</v>
      </c>
    </row>
    <row r="23" spans="1:8" x14ac:dyDescent="0.55000000000000004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H23" s="52">
        <v>46102</v>
      </c>
    </row>
    <row r="24" spans="1:8" x14ac:dyDescent="0.55000000000000004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</row>
    <row r="25" spans="1:8" x14ac:dyDescent="0.55000000000000004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</row>
    <row r="26" spans="1:8" x14ac:dyDescent="0.55000000000000004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</row>
    <row r="27" spans="1:8" x14ac:dyDescent="0.55000000000000004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</row>
    <row r="28" spans="1:8" x14ac:dyDescent="0.55000000000000004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</row>
    <row r="29" spans="1:8" x14ac:dyDescent="0.55000000000000004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</row>
    <row r="30" spans="1:8" x14ac:dyDescent="0.55000000000000004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H30" s="52">
        <v>46102</v>
      </c>
    </row>
    <row r="31" spans="1:8" x14ac:dyDescent="0.55000000000000004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H31" s="52">
        <v>46102</v>
      </c>
    </row>
    <row r="32" spans="1:8" x14ac:dyDescent="0.55000000000000004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</row>
    <row r="33" spans="1:8" x14ac:dyDescent="0.55000000000000004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</row>
    <row r="34" spans="1:8" x14ac:dyDescent="0.55000000000000004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H34" s="52">
        <v>46102</v>
      </c>
    </row>
    <row r="35" spans="1:8" x14ac:dyDescent="0.55000000000000004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</row>
    <row r="36" spans="1:8" x14ac:dyDescent="0.55000000000000004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</row>
    <row r="37" spans="1:8" x14ac:dyDescent="0.55000000000000004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</row>
    <row r="38" spans="1:8" x14ac:dyDescent="0.55000000000000004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</row>
    <row r="39" spans="1:8" x14ac:dyDescent="0.55000000000000004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</row>
    <row r="40" spans="1:8" x14ac:dyDescent="0.55000000000000004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</row>
    <row r="41" spans="1:8" x14ac:dyDescent="0.55000000000000004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</row>
    <row r="42" spans="1:8" x14ac:dyDescent="0.55000000000000004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</row>
    <row r="43" spans="1:8" x14ac:dyDescent="0.55000000000000004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</row>
    <row r="44" spans="1:8" x14ac:dyDescent="0.55000000000000004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H44" s="52">
        <v>46102</v>
      </c>
    </row>
    <row r="45" spans="1:8" x14ac:dyDescent="0.55000000000000004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</row>
    <row r="46" spans="1:8" x14ac:dyDescent="0.55000000000000004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</row>
    <row r="47" spans="1:8" x14ac:dyDescent="0.55000000000000004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</row>
    <row r="48" spans="1:8" x14ac:dyDescent="0.55000000000000004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H48" s="52">
        <v>46102</v>
      </c>
    </row>
    <row r="49" spans="1:8" x14ac:dyDescent="0.55000000000000004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H49" s="52">
        <v>46102</v>
      </c>
    </row>
    <row r="50" spans="1:8" x14ac:dyDescent="0.55000000000000004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</row>
    <row r="51" spans="1:8" x14ac:dyDescent="0.55000000000000004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H51" s="52">
        <v>46102</v>
      </c>
    </row>
    <row r="52" spans="1:8" x14ac:dyDescent="0.55000000000000004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H52" s="52">
        <v>46102</v>
      </c>
    </row>
    <row r="53" spans="1:8" x14ac:dyDescent="0.55000000000000004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</row>
    <row r="54" spans="1:8" x14ac:dyDescent="0.55000000000000004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</row>
    <row r="55" spans="1:8" x14ac:dyDescent="0.55000000000000004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H55" s="52">
        <v>46102</v>
      </c>
    </row>
    <row r="56" spans="1:8" x14ac:dyDescent="0.55000000000000004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H56" s="52">
        <v>46102</v>
      </c>
    </row>
    <row r="57" spans="1:8" x14ac:dyDescent="0.55000000000000004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</row>
    <row r="58" spans="1:8" x14ac:dyDescent="0.55000000000000004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</row>
    <row r="59" spans="1:8" x14ac:dyDescent="0.55000000000000004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H59" s="52">
        <v>46102</v>
      </c>
    </row>
    <row r="60" spans="1:8" x14ac:dyDescent="0.55000000000000004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H60" s="52">
        <v>46102</v>
      </c>
    </row>
    <row r="61" spans="1:8" x14ac:dyDescent="0.55000000000000004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</row>
    <row r="62" spans="1:8" x14ac:dyDescent="0.55000000000000004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</row>
    <row r="63" spans="1:8" x14ac:dyDescent="0.55000000000000004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H63" s="52">
        <v>46102</v>
      </c>
    </row>
    <row r="64" spans="1:8" x14ac:dyDescent="0.55000000000000004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</row>
    <row r="65" spans="1:8" x14ac:dyDescent="0.55000000000000004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</row>
    <row r="66" spans="1:8" x14ac:dyDescent="0.55000000000000004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</row>
    <row r="67" spans="1:8" x14ac:dyDescent="0.55000000000000004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</row>
    <row r="68" spans="1:8" x14ac:dyDescent="0.55000000000000004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H68" s="52">
        <v>46102</v>
      </c>
    </row>
    <row r="69" spans="1:8" x14ac:dyDescent="0.55000000000000004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H69" s="52">
        <v>46102</v>
      </c>
    </row>
    <row r="70" spans="1:8" x14ac:dyDescent="0.55000000000000004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</row>
    <row r="71" spans="1:8" x14ac:dyDescent="0.55000000000000004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</row>
    <row r="72" spans="1:8" x14ac:dyDescent="0.55000000000000004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H72" s="52">
        <v>46102</v>
      </c>
    </row>
    <row r="73" spans="1:8" x14ac:dyDescent="0.55000000000000004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H73" s="52">
        <v>46102</v>
      </c>
    </row>
    <row r="74" spans="1:8" x14ac:dyDescent="0.55000000000000004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H74" s="52">
        <v>46102</v>
      </c>
    </row>
    <row r="75" spans="1:8" x14ac:dyDescent="0.55000000000000004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H75" s="52">
        <v>46102</v>
      </c>
    </row>
    <row r="76" spans="1:8" x14ac:dyDescent="0.55000000000000004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H76" s="52">
        <v>46102</v>
      </c>
    </row>
    <row r="77" spans="1:8" x14ac:dyDescent="0.55000000000000004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</row>
    <row r="78" spans="1:8" x14ac:dyDescent="0.55000000000000004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</row>
    <row r="79" spans="1:8" x14ac:dyDescent="0.55000000000000004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H79" s="52">
        <v>46102</v>
      </c>
    </row>
    <row r="80" spans="1:8" x14ac:dyDescent="0.55000000000000004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</row>
    <row r="81" spans="1:8" x14ac:dyDescent="0.55000000000000004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H81" s="52">
        <v>46102</v>
      </c>
    </row>
    <row r="82" spans="1:8" x14ac:dyDescent="0.55000000000000004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H82" s="52">
        <v>46102</v>
      </c>
    </row>
    <row r="83" spans="1:8" x14ac:dyDescent="0.55000000000000004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H83" s="52">
        <v>46102</v>
      </c>
    </row>
    <row r="84" spans="1:8" x14ac:dyDescent="0.55000000000000004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</row>
    <row r="85" spans="1:8" x14ac:dyDescent="0.55000000000000004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</row>
    <row r="86" spans="1:8" x14ac:dyDescent="0.55000000000000004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</row>
    <row r="87" spans="1:8" x14ac:dyDescent="0.55000000000000004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</row>
    <row r="88" spans="1:8" x14ac:dyDescent="0.55000000000000004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</row>
    <row r="89" spans="1:8" x14ac:dyDescent="0.55000000000000004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</row>
    <row r="90" spans="1:8" x14ac:dyDescent="0.55000000000000004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</row>
    <row r="91" spans="1:8" x14ac:dyDescent="0.55000000000000004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</row>
    <row r="92" spans="1:8" x14ac:dyDescent="0.55000000000000004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H92" s="52">
        <v>46102</v>
      </c>
    </row>
    <row r="93" spans="1:8" x14ac:dyDescent="0.55000000000000004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</row>
    <row r="94" spans="1:8" x14ac:dyDescent="0.55000000000000004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</row>
    <row r="95" spans="1:8" x14ac:dyDescent="0.55000000000000004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</row>
    <row r="96" spans="1:8" x14ac:dyDescent="0.55000000000000004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H96" s="52">
        <v>46102</v>
      </c>
    </row>
    <row r="97" spans="1:8" x14ac:dyDescent="0.55000000000000004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H97" s="52">
        <v>46102</v>
      </c>
    </row>
    <row r="98" spans="1:8" x14ac:dyDescent="0.55000000000000004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</row>
    <row r="99" spans="1:8" x14ac:dyDescent="0.55000000000000004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H99" s="52">
        <v>46102</v>
      </c>
    </row>
    <row r="100" spans="1:8" x14ac:dyDescent="0.55000000000000004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</row>
    <row r="101" spans="1:8" x14ac:dyDescent="0.55000000000000004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H101" s="52">
        <v>46102</v>
      </c>
    </row>
    <row r="102" spans="1:8" x14ac:dyDescent="0.55000000000000004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</row>
    <row r="103" spans="1:8" x14ac:dyDescent="0.55000000000000004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</row>
    <row r="104" spans="1:8" x14ac:dyDescent="0.55000000000000004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H104" s="52">
        <v>46102</v>
      </c>
    </row>
    <row r="105" spans="1:8" x14ac:dyDescent="0.55000000000000004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</row>
    <row r="106" spans="1:8" x14ac:dyDescent="0.55000000000000004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</row>
    <row r="107" spans="1:8" x14ac:dyDescent="0.55000000000000004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</row>
    <row r="108" spans="1:8" x14ac:dyDescent="0.55000000000000004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</row>
    <row r="109" spans="1:8" x14ac:dyDescent="0.55000000000000004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</row>
    <row r="110" spans="1:8" x14ac:dyDescent="0.55000000000000004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H110" s="52">
        <v>46102</v>
      </c>
    </row>
    <row r="111" spans="1:8" x14ac:dyDescent="0.55000000000000004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</row>
    <row r="112" spans="1:8" x14ac:dyDescent="0.55000000000000004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H112" s="52">
        <v>46102</v>
      </c>
    </row>
    <row r="113" spans="1:8" x14ac:dyDescent="0.55000000000000004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</row>
    <row r="114" spans="1:8" x14ac:dyDescent="0.55000000000000004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</row>
    <row r="115" spans="1:8" x14ac:dyDescent="0.55000000000000004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H115" s="52">
        <v>46102</v>
      </c>
    </row>
    <row r="116" spans="1:8" x14ac:dyDescent="0.55000000000000004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H116" s="52">
        <v>46102</v>
      </c>
    </row>
    <row r="117" spans="1:8" x14ac:dyDescent="0.55000000000000004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</row>
    <row r="118" spans="1:8" x14ac:dyDescent="0.55000000000000004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</row>
    <row r="119" spans="1:8" x14ac:dyDescent="0.55000000000000004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</row>
    <row r="120" spans="1:8" x14ac:dyDescent="0.55000000000000004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</row>
    <row r="121" spans="1:8" x14ac:dyDescent="0.55000000000000004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</row>
    <row r="122" spans="1:8" x14ac:dyDescent="0.55000000000000004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H122" s="52">
        <v>46102</v>
      </c>
    </row>
    <row r="123" spans="1:8" x14ac:dyDescent="0.55000000000000004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H123" s="52">
        <v>46102</v>
      </c>
    </row>
    <row r="124" spans="1:8" x14ac:dyDescent="0.55000000000000004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H124" s="52">
        <v>46102</v>
      </c>
    </row>
    <row r="125" spans="1:8" x14ac:dyDescent="0.55000000000000004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</row>
    <row r="126" spans="1:8" x14ac:dyDescent="0.55000000000000004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</row>
    <row r="127" spans="1:8" x14ac:dyDescent="0.55000000000000004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</row>
    <row r="128" spans="1:8" x14ac:dyDescent="0.55000000000000004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H128" s="52">
        <v>46102</v>
      </c>
    </row>
    <row r="129" spans="1:8" x14ac:dyDescent="0.55000000000000004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H129" s="52">
        <v>46102</v>
      </c>
    </row>
    <row r="130" spans="1:8" x14ac:dyDescent="0.55000000000000004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H130" s="52">
        <v>46102</v>
      </c>
    </row>
    <row r="131" spans="1:8" x14ac:dyDescent="0.55000000000000004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H131" s="52">
        <v>46102</v>
      </c>
    </row>
    <row r="132" spans="1:8" x14ac:dyDescent="0.55000000000000004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</row>
    <row r="133" spans="1:8" x14ac:dyDescent="0.55000000000000004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</row>
    <row r="134" spans="1:8" x14ac:dyDescent="0.55000000000000004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</row>
    <row r="135" spans="1:8" x14ac:dyDescent="0.55000000000000004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</row>
    <row r="136" spans="1:8" x14ac:dyDescent="0.55000000000000004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</row>
    <row r="137" spans="1:8" x14ac:dyDescent="0.55000000000000004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</row>
    <row r="138" spans="1:8" x14ac:dyDescent="0.55000000000000004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</row>
    <row r="139" spans="1:8" x14ac:dyDescent="0.55000000000000004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H139" s="52">
        <v>46102</v>
      </c>
    </row>
    <row r="140" spans="1:8" x14ac:dyDescent="0.55000000000000004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</row>
    <row r="141" spans="1:8" x14ac:dyDescent="0.55000000000000004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</row>
    <row r="142" spans="1:8" x14ac:dyDescent="0.55000000000000004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</row>
    <row r="143" spans="1:8" x14ac:dyDescent="0.55000000000000004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</row>
    <row r="144" spans="1:8" x14ac:dyDescent="0.55000000000000004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</row>
    <row r="145" spans="1:8" x14ac:dyDescent="0.55000000000000004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H145" s="52">
        <v>46102</v>
      </c>
    </row>
    <row r="146" spans="1:8" x14ac:dyDescent="0.55000000000000004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H146" s="52">
        <v>46102</v>
      </c>
    </row>
    <row r="147" spans="1:8" x14ac:dyDescent="0.55000000000000004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H147" s="52">
        <v>46102</v>
      </c>
    </row>
    <row r="148" spans="1:8" x14ac:dyDescent="0.55000000000000004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</row>
    <row r="149" spans="1:8" x14ac:dyDescent="0.55000000000000004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</row>
    <row r="150" spans="1:8" x14ac:dyDescent="0.55000000000000004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H150" s="52">
        <v>46102</v>
      </c>
    </row>
    <row r="151" spans="1:8" x14ac:dyDescent="0.55000000000000004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H151" s="52">
        <v>46102</v>
      </c>
    </row>
    <row r="152" spans="1:8" x14ac:dyDescent="0.55000000000000004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</row>
    <row r="153" spans="1:8" x14ac:dyDescent="0.55000000000000004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</row>
    <row r="154" spans="1:8" x14ac:dyDescent="0.55000000000000004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</row>
    <row r="155" spans="1:8" x14ac:dyDescent="0.55000000000000004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</row>
    <row r="156" spans="1:8" x14ac:dyDescent="0.55000000000000004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H156" s="52">
        <v>46102</v>
      </c>
    </row>
    <row r="157" spans="1:8" x14ac:dyDescent="0.55000000000000004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H157" s="52">
        <v>46102</v>
      </c>
    </row>
    <row r="158" spans="1:8" x14ac:dyDescent="0.55000000000000004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</row>
    <row r="159" spans="1:8" x14ac:dyDescent="0.55000000000000004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</row>
    <row r="160" spans="1:8" x14ac:dyDescent="0.55000000000000004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</row>
    <row r="161" spans="1:8" x14ac:dyDescent="0.55000000000000004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</row>
    <row r="162" spans="1:8" x14ac:dyDescent="0.55000000000000004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H162" s="52">
        <v>46102</v>
      </c>
    </row>
    <row r="163" spans="1:8" x14ac:dyDescent="0.55000000000000004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</row>
    <row r="164" spans="1:8" x14ac:dyDescent="0.55000000000000004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H164" s="52">
        <v>46102</v>
      </c>
    </row>
    <row r="165" spans="1:8" x14ac:dyDescent="0.55000000000000004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</row>
    <row r="166" spans="1:8" x14ac:dyDescent="0.55000000000000004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H166" s="52">
        <v>46102</v>
      </c>
    </row>
    <row r="167" spans="1:8" x14ac:dyDescent="0.55000000000000004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</row>
    <row r="168" spans="1:8" x14ac:dyDescent="0.55000000000000004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</row>
    <row r="169" spans="1:8" x14ac:dyDescent="0.55000000000000004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</row>
    <row r="170" spans="1:8" x14ac:dyDescent="0.55000000000000004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</row>
    <row r="171" spans="1:8" x14ac:dyDescent="0.55000000000000004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</row>
    <row r="172" spans="1:8" x14ac:dyDescent="0.55000000000000004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</row>
    <row r="173" spans="1:8" x14ac:dyDescent="0.55000000000000004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</row>
    <row r="174" spans="1:8" x14ac:dyDescent="0.55000000000000004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</row>
    <row r="175" spans="1:8" x14ac:dyDescent="0.55000000000000004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H175" s="52">
        <v>46102</v>
      </c>
    </row>
    <row r="176" spans="1:8" x14ac:dyDescent="0.55000000000000004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H176" s="52">
        <v>46102</v>
      </c>
    </row>
    <row r="177" spans="1:8" x14ac:dyDescent="0.55000000000000004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</row>
    <row r="178" spans="1:8" x14ac:dyDescent="0.55000000000000004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</row>
    <row r="179" spans="1:8" x14ac:dyDescent="0.55000000000000004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H179" s="52">
        <v>46102</v>
      </c>
    </row>
    <row r="180" spans="1:8" x14ac:dyDescent="0.55000000000000004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H180" s="52">
        <v>46102</v>
      </c>
    </row>
    <row r="181" spans="1:8" x14ac:dyDescent="0.55000000000000004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</row>
    <row r="182" spans="1:8" x14ac:dyDescent="0.55000000000000004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</row>
    <row r="183" spans="1:8" x14ac:dyDescent="0.55000000000000004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</row>
    <row r="184" spans="1:8" x14ac:dyDescent="0.55000000000000004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H184" s="52">
        <v>46102</v>
      </c>
    </row>
    <row r="185" spans="1:8" x14ac:dyDescent="0.55000000000000004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H185" s="52">
        <v>46102</v>
      </c>
    </row>
    <row r="186" spans="1:8" x14ac:dyDescent="0.55000000000000004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</row>
    <row r="187" spans="1:8" x14ac:dyDescent="0.55000000000000004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</row>
    <row r="188" spans="1:8" x14ac:dyDescent="0.55000000000000004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H188" s="52">
        <v>46102</v>
      </c>
    </row>
    <row r="189" spans="1:8" x14ac:dyDescent="0.55000000000000004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H189" s="52">
        <v>46102</v>
      </c>
    </row>
    <row r="190" spans="1:8" x14ac:dyDescent="0.55000000000000004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</row>
    <row r="191" spans="1:8" x14ac:dyDescent="0.55000000000000004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</row>
    <row r="192" spans="1:8" x14ac:dyDescent="0.55000000000000004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</row>
    <row r="193" spans="1:8" x14ac:dyDescent="0.55000000000000004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H193" s="52">
        <v>46102</v>
      </c>
    </row>
    <row r="194" spans="1:8" x14ac:dyDescent="0.55000000000000004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</row>
    <row r="195" spans="1:8" x14ac:dyDescent="0.55000000000000004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H195" s="52">
        <v>46102</v>
      </c>
    </row>
    <row r="196" spans="1:8" x14ac:dyDescent="0.55000000000000004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</row>
    <row r="197" spans="1:8" x14ac:dyDescent="0.55000000000000004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</row>
    <row r="198" spans="1:8" x14ac:dyDescent="0.55000000000000004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H198" s="52">
        <v>46102</v>
      </c>
    </row>
    <row r="199" spans="1:8" x14ac:dyDescent="0.55000000000000004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H199" s="52">
        <v>46102</v>
      </c>
    </row>
    <row r="200" spans="1:8" x14ac:dyDescent="0.55000000000000004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H200" s="52">
        <v>46102</v>
      </c>
    </row>
    <row r="201" spans="1:8" x14ac:dyDescent="0.55000000000000004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H201" s="52">
        <v>46102</v>
      </c>
    </row>
    <row r="202" spans="1:8" x14ac:dyDescent="0.55000000000000004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</row>
    <row r="203" spans="1:8" x14ac:dyDescent="0.55000000000000004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</row>
    <row r="204" spans="1:8" x14ac:dyDescent="0.55000000000000004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H204" s="52">
        <v>46102</v>
      </c>
    </row>
    <row r="205" spans="1:8" x14ac:dyDescent="0.55000000000000004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</row>
    <row r="206" spans="1:8" x14ac:dyDescent="0.55000000000000004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</row>
    <row r="207" spans="1:8" x14ac:dyDescent="0.55000000000000004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</row>
    <row r="208" spans="1:8" x14ac:dyDescent="0.55000000000000004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3" x14ac:dyDescent="0.4"/>
  <cols>
    <col min="2" max="2" width="18.44140625" bestFit="1" customWidth="1"/>
  </cols>
  <sheetData>
    <row r="1" spans="1:2" x14ac:dyDescent="0.4">
      <c r="A1" t="s">
        <v>351</v>
      </c>
      <c r="B1" t="s">
        <v>352</v>
      </c>
    </row>
    <row r="2" spans="1:2" x14ac:dyDescent="0.4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4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4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4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4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4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4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4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4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4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4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4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4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4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4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4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4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4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4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4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4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4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4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4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4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4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4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4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4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4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4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4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4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4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4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4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4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4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4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4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4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4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4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4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4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4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4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4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4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4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4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4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4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4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4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4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4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4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4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4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4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4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4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4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4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4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4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4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4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4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4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4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4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4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4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4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4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4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4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4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4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4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4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4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4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4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4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4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4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4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4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4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4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4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4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4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4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4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4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4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4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4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4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4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4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4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4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4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4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4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4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4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4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4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4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4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4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4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4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4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4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4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4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Marsh</v>
      </c>
    </row>
    <row r="125" spans="1:2" x14ac:dyDescent="0.4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4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4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4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4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4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4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4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4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4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4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4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4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4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4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4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4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4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4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4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4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4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4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4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4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4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4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4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4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4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4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4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4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4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4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4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4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4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4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4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4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4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4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4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4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4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4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4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4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4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4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4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4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4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4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4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4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4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4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4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4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4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4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4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4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4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4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4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4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4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4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4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4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4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4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4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4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4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4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4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4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4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4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4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4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4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4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4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4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4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4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4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4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4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4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4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4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4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4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4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4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4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4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4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4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4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4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4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4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4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4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4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4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4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4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4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4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4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4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4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4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4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4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4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4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4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4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4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4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4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4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4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4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4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4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4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4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4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4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4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4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4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4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4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4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4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4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4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4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4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4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4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4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4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4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4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4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4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4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4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4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4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4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4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4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4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4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4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4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4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4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4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4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4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4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4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4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4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4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4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4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4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4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4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4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4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4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4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4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4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4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4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4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4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4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4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4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4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4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4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4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4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4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4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4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4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4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4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4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4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4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4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4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4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4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4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4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4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4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4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4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4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4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4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4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4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4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4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4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4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4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4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4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4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4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4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4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4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4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4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4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4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4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4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4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4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4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4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4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4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4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4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4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4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4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4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4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4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4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4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4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4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4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4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4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4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4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4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4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4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4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4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4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4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4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4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4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4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09375" defaultRowHeight="12.3" x14ac:dyDescent="0.4"/>
  <cols>
    <col min="1" max="1" width="13.33203125" style="7" bestFit="1" customWidth="1"/>
    <col min="2" max="2" width="14.21875" style="7" customWidth="1"/>
    <col min="3" max="3" width="12.33203125" style="37" customWidth="1"/>
    <col min="4" max="4" width="31.5546875" style="8" customWidth="1"/>
    <col min="5" max="5" width="7" style="8" customWidth="1"/>
    <col min="6" max="6" width="8" style="7" customWidth="1"/>
    <col min="7" max="7" width="19.6640625" style="8" bestFit="1" customWidth="1"/>
    <col min="8" max="8" width="9.44140625" style="8" bestFit="1" customWidth="1"/>
    <col min="9" max="13" width="9.109375" style="8"/>
    <col min="14" max="14" width="13.109375" style="8" bestFit="1" customWidth="1"/>
    <col min="15" max="16384" width="9.109375" style="8"/>
  </cols>
  <sheetData>
    <row r="1" spans="1:15" s="5" customFormat="1" ht="36.9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385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384</v>
      </c>
      <c r="N1" s="5" t="s">
        <v>343</v>
      </c>
      <c r="O1" s="4" t="s">
        <v>342</v>
      </c>
    </row>
    <row r="2" spans="1:15" x14ac:dyDescent="0.4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4">
      <c r="A3" s="27">
        <f>A2+1</f>
        <v>2</v>
      </c>
      <c r="B3" s="28">
        <v>46110</v>
      </c>
      <c r="C3" s="38">
        <v>0.41666666666666669</v>
      </c>
      <c r="D3" t="s">
        <v>354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4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4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4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4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4">
      <c r="A8" s="27">
        <f t="shared" si="5"/>
        <v>7</v>
      </c>
      <c r="B8" s="28">
        <v>46147</v>
      </c>
      <c r="C8" s="38">
        <v>0.77083333333333337</v>
      </c>
      <c r="D8" t="s">
        <v>355</v>
      </c>
      <c r="E8"/>
      <c r="F8" s="39">
        <f>5+5</f>
        <v>10</v>
      </c>
      <c r="G8" t="s">
        <v>357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4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4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4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4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4">
      <c r="A13" s="27">
        <f t="shared" si="5"/>
        <v>12</v>
      </c>
      <c r="B13" s="28">
        <v>46194</v>
      </c>
      <c r="C13" s="38">
        <v>0.79166666666666663</v>
      </c>
      <c r="D13" t="s">
        <v>369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4">
      <c r="A14" s="27">
        <f t="shared" si="5"/>
        <v>13</v>
      </c>
      <c r="B14" s="28">
        <v>46196</v>
      </c>
      <c r="C14" s="38">
        <v>0.79166666666666663</v>
      </c>
      <c r="D14" t="s">
        <v>371</v>
      </c>
      <c r="E14" t="s">
        <v>387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4">
      <c r="A15" s="27">
        <f t="shared" si="5"/>
        <v>14</v>
      </c>
      <c r="B15" s="28">
        <v>46203</v>
      </c>
      <c r="C15" s="38">
        <v>0.79166666666666663</v>
      </c>
      <c r="D15" t="s">
        <v>372</v>
      </c>
      <c r="E15" t="s">
        <v>386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4">
      <c r="A16" s="27">
        <f t="shared" si="5"/>
        <v>15</v>
      </c>
      <c r="B16" s="28">
        <v>46205</v>
      </c>
      <c r="C16" s="38">
        <v>0.79166666666666663</v>
      </c>
      <c r="D16" t="s">
        <v>373</v>
      </c>
      <c r="E16" t="s">
        <v>84</v>
      </c>
      <c r="F16">
        <v>10</v>
      </c>
      <c r="G16" t="s">
        <v>359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4">
      <c r="A17" s="27">
        <f t="shared" si="5"/>
        <v>16</v>
      </c>
      <c r="B17" s="28">
        <v>46211</v>
      </c>
      <c r="C17" s="38">
        <v>0.79166666666666663</v>
      </c>
      <c r="D17" t="s">
        <v>374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4">
      <c r="A18" s="27">
        <f t="shared" si="5"/>
        <v>17</v>
      </c>
      <c r="B18" s="28">
        <v>46214</v>
      </c>
      <c r="C18" s="38">
        <v>0.45833333333333331</v>
      </c>
      <c r="D18" t="s">
        <v>375</v>
      </c>
      <c r="E18" t="s">
        <v>388</v>
      </c>
      <c r="F18">
        <v>10</v>
      </c>
      <c r="G18" t="s">
        <v>360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4">
      <c r="A19" s="27">
        <f t="shared" si="5"/>
        <v>18</v>
      </c>
      <c r="B19" s="28">
        <v>46218</v>
      </c>
      <c r="C19" s="38">
        <v>0.79166666666666663</v>
      </c>
      <c r="D19" t="s">
        <v>374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4">
      <c r="A20" s="27">
        <f t="shared" si="5"/>
        <v>19</v>
      </c>
      <c r="B20" s="28">
        <v>46224</v>
      </c>
      <c r="C20" s="38">
        <v>0.79166666666666663</v>
      </c>
      <c r="D20" t="s">
        <v>376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4">
      <c r="A21" s="27">
        <f t="shared" si="5"/>
        <v>20</v>
      </c>
      <c r="B21" s="28">
        <v>46228</v>
      </c>
      <c r="C21" s="38">
        <v>0.45833333333333331</v>
      </c>
      <c r="D21" t="s">
        <v>375</v>
      </c>
      <c r="E21" t="s">
        <v>388</v>
      </c>
      <c r="F21">
        <v>10</v>
      </c>
      <c r="G21" t="s">
        <v>360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4">
      <c r="A22" s="27">
        <f t="shared" si="5"/>
        <v>21</v>
      </c>
      <c r="B22" s="28">
        <v>46231</v>
      </c>
      <c r="C22" s="38">
        <v>0.79166666666666663</v>
      </c>
      <c r="D22" t="s">
        <v>371</v>
      </c>
      <c r="E22" t="s">
        <v>387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4">
      <c r="A23" s="27">
        <f t="shared" si="5"/>
        <v>22</v>
      </c>
      <c r="B23" s="28">
        <v>46238</v>
      </c>
      <c r="C23" s="38">
        <v>0.79166666666666663</v>
      </c>
      <c r="D23" t="s">
        <v>377</v>
      </c>
      <c r="E23" t="s">
        <v>386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4">
      <c r="A24" s="27">
        <f t="shared" si="5"/>
        <v>23</v>
      </c>
      <c r="B24" s="28">
        <v>46247</v>
      </c>
      <c r="C24" s="38">
        <v>0.79166666666666663</v>
      </c>
      <c r="D24" t="s">
        <v>373</v>
      </c>
      <c r="E24" t="s">
        <v>84</v>
      </c>
      <c r="F24">
        <v>9.4</v>
      </c>
      <c r="G24" t="s">
        <v>359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4">
      <c r="A25" s="27">
        <f t="shared" si="5"/>
        <v>24</v>
      </c>
      <c r="B25" s="28">
        <v>46252</v>
      </c>
      <c r="C25" s="38">
        <v>0.79166666666666663</v>
      </c>
      <c r="D25" t="s">
        <v>376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4">
      <c r="A26" s="27">
        <f t="shared" si="5"/>
        <v>25</v>
      </c>
      <c r="B26" s="28">
        <v>46271</v>
      </c>
      <c r="C26" s="38">
        <v>0.79166666666666663</v>
      </c>
      <c r="D26" t="s">
        <v>358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4">
      <c r="A27" s="27">
        <f t="shared" si="5"/>
        <v>26</v>
      </c>
      <c r="B27" s="28">
        <v>46292</v>
      </c>
      <c r="C27" s="37">
        <v>0.375</v>
      </c>
      <c r="D27" s="8" t="s">
        <v>370</v>
      </c>
      <c r="F27" s="7">
        <v>0.88</v>
      </c>
      <c r="G27" s="8" t="s">
        <v>361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4">
      <c r="A28" s="27">
        <f t="shared" si="5"/>
        <v>27</v>
      </c>
      <c r="B28" s="28">
        <v>46382</v>
      </c>
      <c r="C28" s="37">
        <v>0.41666666666666669</v>
      </c>
      <c r="D28" s="8" t="s">
        <v>368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4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4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3" x14ac:dyDescent="0.4"/>
  <cols>
    <col min="1" max="1" width="11.94140625" bestFit="1" customWidth="1"/>
    <col min="2" max="2" width="23.609375" customWidth="1"/>
    <col min="3" max="3" width="16" style="35" customWidth="1"/>
  </cols>
  <sheetData>
    <row r="1" spans="1:3" s="33" customFormat="1" x14ac:dyDescent="0.4">
      <c r="A1" s="33" t="s">
        <v>143</v>
      </c>
      <c r="B1" s="33" t="s">
        <v>349</v>
      </c>
      <c r="C1" s="34" t="s">
        <v>350</v>
      </c>
    </row>
    <row r="2" spans="1:3" x14ac:dyDescent="0.4">
      <c r="A2" t="str">
        <f t="shared" ref="A2:A33" si="0">IF(ISBLANK(B2),"",_xlfn.XLOOKUP(B2,ClubNames,ClubNumbers))</f>
        <v/>
      </c>
    </row>
    <row r="3" spans="1:3" x14ac:dyDescent="0.4">
      <c r="A3" t="str">
        <f t="shared" si="0"/>
        <v/>
      </c>
    </row>
    <row r="4" spans="1:3" x14ac:dyDescent="0.4">
      <c r="A4" t="str">
        <f t="shared" si="0"/>
        <v/>
      </c>
    </row>
    <row r="5" spans="1:3" x14ac:dyDescent="0.4">
      <c r="A5" t="str">
        <f t="shared" si="0"/>
        <v/>
      </c>
    </row>
    <row r="6" spans="1:3" x14ac:dyDescent="0.4">
      <c r="A6" t="str">
        <f t="shared" si="0"/>
        <v/>
      </c>
    </row>
    <row r="7" spans="1:3" x14ac:dyDescent="0.4">
      <c r="A7" t="str">
        <f t="shared" si="0"/>
        <v/>
      </c>
    </row>
    <row r="8" spans="1:3" x14ac:dyDescent="0.4">
      <c r="A8" t="str">
        <f t="shared" si="0"/>
        <v/>
      </c>
    </row>
    <row r="9" spans="1:3" x14ac:dyDescent="0.4">
      <c r="A9" t="str">
        <f t="shared" si="0"/>
        <v/>
      </c>
    </row>
    <row r="10" spans="1:3" x14ac:dyDescent="0.4">
      <c r="A10" t="str">
        <f t="shared" si="0"/>
        <v/>
      </c>
    </row>
    <row r="11" spans="1:3" x14ac:dyDescent="0.4">
      <c r="A11" t="str">
        <f t="shared" si="0"/>
        <v/>
      </c>
    </row>
    <row r="12" spans="1:3" x14ac:dyDescent="0.4">
      <c r="A12" t="str">
        <f t="shared" si="0"/>
        <v/>
      </c>
    </row>
    <row r="13" spans="1:3" x14ac:dyDescent="0.4">
      <c r="A13" t="str">
        <f t="shared" si="0"/>
        <v/>
      </c>
    </row>
    <row r="14" spans="1:3" x14ac:dyDescent="0.4">
      <c r="A14" t="str">
        <f t="shared" si="0"/>
        <v/>
      </c>
    </row>
    <row r="15" spans="1:3" x14ac:dyDescent="0.4">
      <c r="A15" t="str">
        <f t="shared" si="0"/>
        <v/>
      </c>
    </row>
    <row r="16" spans="1:3" x14ac:dyDescent="0.4">
      <c r="A16" t="str">
        <f t="shared" si="0"/>
        <v/>
      </c>
    </row>
    <row r="17" spans="1:1" x14ac:dyDescent="0.4">
      <c r="A17" t="str">
        <f t="shared" si="0"/>
        <v/>
      </c>
    </row>
    <row r="18" spans="1:1" x14ac:dyDescent="0.4">
      <c r="A18" t="str">
        <f t="shared" si="0"/>
        <v/>
      </c>
    </row>
    <row r="19" spans="1:1" x14ac:dyDescent="0.4">
      <c r="A19" t="str">
        <f t="shared" si="0"/>
        <v/>
      </c>
    </row>
    <row r="20" spans="1:1" x14ac:dyDescent="0.4">
      <c r="A20" t="str">
        <f t="shared" si="0"/>
        <v/>
      </c>
    </row>
    <row r="21" spans="1:1" x14ac:dyDescent="0.4">
      <c r="A21" t="str">
        <f t="shared" si="0"/>
        <v/>
      </c>
    </row>
    <row r="22" spans="1:1" x14ac:dyDescent="0.4">
      <c r="A22" t="str">
        <f t="shared" si="0"/>
        <v/>
      </c>
    </row>
    <row r="23" spans="1:1" x14ac:dyDescent="0.4">
      <c r="A23" t="str">
        <f t="shared" si="0"/>
        <v/>
      </c>
    </row>
    <row r="24" spans="1:1" x14ac:dyDescent="0.4">
      <c r="A24" t="str">
        <f t="shared" si="0"/>
        <v/>
      </c>
    </row>
    <row r="25" spans="1:1" x14ac:dyDescent="0.4">
      <c r="A25" t="str">
        <f t="shared" si="0"/>
        <v/>
      </c>
    </row>
    <row r="26" spans="1:1" x14ac:dyDescent="0.4">
      <c r="A26" t="str">
        <f t="shared" si="0"/>
        <v/>
      </c>
    </row>
    <row r="27" spans="1:1" x14ac:dyDescent="0.4">
      <c r="A27" t="str">
        <f t="shared" si="0"/>
        <v/>
      </c>
    </row>
    <row r="28" spans="1:1" x14ac:dyDescent="0.4">
      <c r="A28" t="str">
        <f t="shared" si="0"/>
        <v/>
      </c>
    </row>
    <row r="29" spans="1:1" x14ac:dyDescent="0.4">
      <c r="A29" t="str">
        <f t="shared" si="0"/>
        <v/>
      </c>
    </row>
    <row r="30" spans="1:1" x14ac:dyDescent="0.4">
      <c r="A30" t="str">
        <f t="shared" si="0"/>
        <v/>
      </c>
    </row>
    <row r="31" spans="1:1" x14ac:dyDescent="0.4">
      <c r="A31" t="str">
        <f t="shared" si="0"/>
        <v/>
      </c>
    </row>
    <row r="32" spans="1:1" x14ac:dyDescent="0.4">
      <c r="A32" t="str">
        <f t="shared" si="0"/>
        <v/>
      </c>
    </row>
    <row r="33" spans="1:1" x14ac:dyDescent="0.4">
      <c r="A33" t="str">
        <f t="shared" si="0"/>
        <v/>
      </c>
    </row>
    <row r="34" spans="1:1" x14ac:dyDescent="0.4">
      <c r="A34" t="str">
        <f t="shared" ref="A34:A65" si="1">IF(ISBLANK(B34),"",_xlfn.XLOOKUP(B34,ClubNames,ClubNumbers))</f>
        <v/>
      </c>
    </row>
    <row r="35" spans="1:1" x14ac:dyDescent="0.4">
      <c r="A35" t="str">
        <f t="shared" si="1"/>
        <v/>
      </c>
    </row>
    <row r="36" spans="1:1" x14ac:dyDescent="0.4">
      <c r="A36" t="str">
        <f t="shared" si="1"/>
        <v/>
      </c>
    </row>
    <row r="37" spans="1:1" x14ac:dyDescent="0.4">
      <c r="A37" t="str">
        <f t="shared" si="1"/>
        <v/>
      </c>
    </row>
    <row r="38" spans="1:1" x14ac:dyDescent="0.4">
      <c r="A38" t="str">
        <f t="shared" si="1"/>
        <v/>
      </c>
    </row>
    <row r="39" spans="1:1" x14ac:dyDescent="0.4">
      <c r="A39" t="str">
        <f t="shared" si="1"/>
        <v/>
      </c>
    </row>
    <row r="40" spans="1:1" x14ac:dyDescent="0.4">
      <c r="A40" t="str">
        <f t="shared" si="1"/>
        <v/>
      </c>
    </row>
    <row r="41" spans="1:1" x14ac:dyDescent="0.4">
      <c r="A41" t="str">
        <f t="shared" si="1"/>
        <v/>
      </c>
    </row>
    <row r="42" spans="1:1" x14ac:dyDescent="0.4">
      <c r="A42" t="str">
        <f t="shared" si="1"/>
        <v/>
      </c>
    </row>
    <row r="43" spans="1:1" x14ac:dyDescent="0.4">
      <c r="A43" t="str">
        <f t="shared" si="1"/>
        <v/>
      </c>
    </row>
    <row r="44" spans="1:1" x14ac:dyDescent="0.4">
      <c r="A44" t="str">
        <f t="shared" si="1"/>
        <v/>
      </c>
    </row>
    <row r="45" spans="1:1" x14ac:dyDescent="0.4">
      <c r="A45" t="str">
        <f t="shared" si="1"/>
        <v/>
      </c>
    </row>
    <row r="46" spans="1:1" x14ac:dyDescent="0.4">
      <c r="A46" t="str">
        <f t="shared" si="1"/>
        <v/>
      </c>
    </row>
    <row r="47" spans="1:1" x14ac:dyDescent="0.4">
      <c r="A47" t="str">
        <f t="shared" si="1"/>
        <v/>
      </c>
    </row>
    <row r="48" spans="1:1" x14ac:dyDescent="0.4">
      <c r="A48" t="str">
        <f t="shared" si="1"/>
        <v/>
      </c>
    </row>
    <row r="49" spans="1:1" x14ac:dyDescent="0.4">
      <c r="A49" t="str">
        <f t="shared" si="1"/>
        <v/>
      </c>
    </row>
    <row r="50" spans="1:1" x14ac:dyDescent="0.4">
      <c r="A50" t="str">
        <f t="shared" si="1"/>
        <v/>
      </c>
    </row>
    <row r="51" spans="1:1" x14ac:dyDescent="0.4">
      <c r="A51" t="str">
        <f t="shared" si="1"/>
        <v/>
      </c>
    </row>
    <row r="52" spans="1:1" x14ac:dyDescent="0.4">
      <c r="A52" t="str">
        <f t="shared" si="1"/>
        <v/>
      </c>
    </row>
    <row r="53" spans="1:1" x14ac:dyDescent="0.4">
      <c r="A53" t="str">
        <f t="shared" si="1"/>
        <v/>
      </c>
    </row>
    <row r="54" spans="1:1" x14ac:dyDescent="0.4">
      <c r="A54" t="str">
        <f t="shared" si="1"/>
        <v/>
      </c>
    </row>
    <row r="55" spans="1:1" x14ac:dyDescent="0.4">
      <c r="A55" t="str">
        <f t="shared" si="1"/>
        <v/>
      </c>
    </row>
    <row r="56" spans="1:1" x14ac:dyDescent="0.4">
      <c r="A56" t="str">
        <f t="shared" si="1"/>
        <v/>
      </c>
    </row>
    <row r="57" spans="1:1" x14ac:dyDescent="0.4">
      <c r="A57" t="str">
        <f t="shared" si="1"/>
        <v/>
      </c>
    </row>
    <row r="58" spans="1:1" x14ac:dyDescent="0.4">
      <c r="A58" t="str">
        <f t="shared" si="1"/>
        <v/>
      </c>
    </row>
    <row r="59" spans="1:1" x14ac:dyDescent="0.4">
      <c r="A59" t="str">
        <f t="shared" si="1"/>
        <v/>
      </c>
    </row>
    <row r="60" spans="1:1" x14ac:dyDescent="0.4">
      <c r="A60" t="str">
        <f t="shared" si="1"/>
        <v/>
      </c>
    </row>
    <row r="61" spans="1:1" x14ac:dyDescent="0.4">
      <c r="A61" t="str">
        <f t="shared" si="1"/>
        <v/>
      </c>
    </row>
    <row r="62" spans="1:1" x14ac:dyDescent="0.4">
      <c r="A62" t="str">
        <f t="shared" si="1"/>
        <v/>
      </c>
    </row>
    <row r="63" spans="1:1" x14ac:dyDescent="0.4">
      <c r="A63" t="str">
        <f t="shared" si="1"/>
        <v/>
      </c>
    </row>
    <row r="64" spans="1:1" x14ac:dyDescent="0.4">
      <c r="A64" t="str">
        <f t="shared" si="1"/>
        <v/>
      </c>
    </row>
    <row r="65" spans="1:1" x14ac:dyDescent="0.4">
      <c r="A65" t="str">
        <f t="shared" si="1"/>
        <v/>
      </c>
    </row>
    <row r="66" spans="1:1" x14ac:dyDescent="0.4">
      <c r="A66" t="str">
        <f t="shared" ref="A66:A97" si="2">IF(ISBLANK(B66),"",_xlfn.XLOOKUP(B66,ClubNames,ClubNumbers))</f>
        <v/>
      </c>
    </row>
    <row r="67" spans="1:1" x14ac:dyDescent="0.4">
      <c r="A67" t="str">
        <f t="shared" si="2"/>
        <v/>
      </c>
    </row>
    <row r="68" spans="1:1" x14ac:dyDescent="0.4">
      <c r="A68" t="str">
        <f t="shared" si="2"/>
        <v/>
      </c>
    </row>
    <row r="69" spans="1:1" x14ac:dyDescent="0.4">
      <c r="A69" t="str">
        <f t="shared" si="2"/>
        <v/>
      </c>
    </row>
    <row r="70" spans="1:1" x14ac:dyDescent="0.4">
      <c r="A70" t="str">
        <f t="shared" si="2"/>
        <v/>
      </c>
    </row>
    <row r="71" spans="1:1" x14ac:dyDescent="0.4">
      <c r="A71" t="str">
        <f t="shared" si="2"/>
        <v/>
      </c>
    </row>
    <row r="72" spans="1:1" x14ac:dyDescent="0.4">
      <c r="A72" t="str">
        <f t="shared" si="2"/>
        <v/>
      </c>
    </row>
    <row r="73" spans="1:1" x14ac:dyDescent="0.4">
      <c r="A73" t="str">
        <f t="shared" si="2"/>
        <v/>
      </c>
    </row>
    <row r="74" spans="1:1" x14ac:dyDescent="0.4">
      <c r="A74" t="str">
        <f t="shared" si="2"/>
        <v/>
      </c>
    </row>
    <row r="75" spans="1:1" x14ac:dyDescent="0.4">
      <c r="A75" t="str">
        <f t="shared" si="2"/>
        <v/>
      </c>
    </row>
    <row r="76" spans="1:1" x14ac:dyDescent="0.4">
      <c r="A76" t="str">
        <f t="shared" si="2"/>
        <v/>
      </c>
    </row>
    <row r="77" spans="1:1" x14ac:dyDescent="0.4">
      <c r="A77" t="str">
        <f t="shared" si="2"/>
        <v/>
      </c>
    </row>
    <row r="78" spans="1:1" x14ac:dyDescent="0.4">
      <c r="A78" t="str">
        <f t="shared" si="2"/>
        <v/>
      </c>
    </row>
    <row r="79" spans="1:1" x14ac:dyDescent="0.4">
      <c r="A79" t="str">
        <f t="shared" si="2"/>
        <v/>
      </c>
    </row>
    <row r="80" spans="1:1" x14ac:dyDescent="0.4">
      <c r="A80" t="str">
        <f t="shared" si="2"/>
        <v/>
      </c>
    </row>
    <row r="81" spans="1:1" x14ac:dyDescent="0.4">
      <c r="A81" t="str">
        <f t="shared" si="2"/>
        <v/>
      </c>
    </row>
    <row r="82" spans="1:1" x14ac:dyDescent="0.4">
      <c r="A82" t="str">
        <f t="shared" si="2"/>
        <v/>
      </c>
    </row>
    <row r="83" spans="1:1" x14ac:dyDescent="0.4">
      <c r="A83" t="str">
        <f t="shared" si="2"/>
        <v/>
      </c>
    </row>
    <row r="84" spans="1:1" x14ac:dyDescent="0.4">
      <c r="A84" t="str">
        <f t="shared" si="2"/>
        <v/>
      </c>
    </row>
    <row r="85" spans="1:1" x14ac:dyDescent="0.4">
      <c r="A85" t="str">
        <f t="shared" si="2"/>
        <v/>
      </c>
    </row>
    <row r="86" spans="1:1" x14ac:dyDescent="0.4">
      <c r="A86" t="str">
        <f t="shared" si="2"/>
        <v/>
      </c>
    </row>
    <row r="87" spans="1:1" x14ac:dyDescent="0.4">
      <c r="A87" t="str">
        <f t="shared" si="2"/>
        <v/>
      </c>
    </row>
    <row r="88" spans="1:1" x14ac:dyDescent="0.4">
      <c r="A88" t="str">
        <f t="shared" si="2"/>
        <v/>
      </c>
    </row>
    <row r="89" spans="1:1" x14ac:dyDescent="0.4">
      <c r="A89" t="str">
        <f t="shared" si="2"/>
        <v/>
      </c>
    </row>
    <row r="90" spans="1:1" x14ac:dyDescent="0.4">
      <c r="A90" t="str">
        <f t="shared" si="2"/>
        <v/>
      </c>
    </row>
    <row r="91" spans="1:1" x14ac:dyDescent="0.4">
      <c r="A91" t="str">
        <f t="shared" si="2"/>
        <v/>
      </c>
    </row>
    <row r="92" spans="1:1" x14ac:dyDescent="0.4">
      <c r="A92" t="str">
        <f t="shared" si="2"/>
        <v/>
      </c>
    </row>
    <row r="93" spans="1:1" x14ac:dyDescent="0.4">
      <c r="A93" t="str">
        <f t="shared" si="2"/>
        <v/>
      </c>
    </row>
    <row r="94" spans="1:1" x14ac:dyDescent="0.4">
      <c r="A94" t="str">
        <f t="shared" si="2"/>
        <v/>
      </c>
    </row>
    <row r="95" spans="1:1" x14ac:dyDescent="0.4">
      <c r="A95" t="str">
        <f t="shared" si="2"/>
        <v/>
      </c>
    </row>
    <row r="96" spans="1:1" x14ac:dyDescent="0.4">
      <c r="A96" t="str">
        <f t="shared" si="2"/>
        <v/>
      </c>
    </row>
    <row r="97" spans="1:1" x14ac:dyDescent="0.4">
      <c r="A97" t="str">
        <f t="shared" si="2"/>
        <v/>
      </c>
    </row>
    <row r="98" spans="1:1" x14ac:dyDescent="0.4">
      <c r="A98" t="str">
        <f t="shared" ref="A98:A101" si="3">IF(ISBLANK(B98),"",_xlfn.XLOOKUP(B98,ClubNames,ClubNumbers))</f>
        <v/>
      </c>
    </row>
    <row r="99" spans="1:1" x14ac:dyDescent="0.4">
      <c r="A99" t="str">
        <f t="shared" si="3"/>
        <v/>
      </c>
    </row>
    <row r="100" spans="1:1" x14ac:dyDescent="0.4">
      <c r="A100" t="str">
        <f t="shared" si="3"/>
        <v/>
      </c>
    </row>
    <row r="101" spans="1:1" x14ac:dyDescent="0.4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3" x14ac:dyDescent="0.4"/>
  <cols>
    <col min="1" max="1" width="20.44140625" bestFit="1" customWidth="1"/>
    <col min="2" max="2" width="19.109375" customWidth="1"/>
    <col min="3" max="3" width="25.0546875" bestFit="1" customWidth="1"/>
  </cols>
  <sheetData>
    <row r="1" spans="1:8" s="33" customFormat="1" x14ac:dyDescent="0.4">
      <c r="A1" s="33" t="s">
        <v>75</v>
      </c>
      <c r="B1" s="33" t="s">
        <v>76</v>
      </c>
      <c r="C1" s="33" t="s">
        <v>380</v>
      </c>
      <c r="D1" s="33" t="s">
        <v>141</v>
      </c>
    </row>
    <row r="2" spans="1:8" ht="14.4" x14ac:dyDescent="0.55000000000000004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4" x14ac:dyDescent="0.55000000000000004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4" x14ac:dyDescent="0.55000000000000004">
      <c r="A4" t="s">
        <v>409</v>
      </c>
      <c r="B4" t="s">
        <v>81</v>
      </c>
      <c r="C4" s="46" t="str">
        <f t="shared" si="0"/>
        <v>Jayne Mumford (W) (Cov Tri)</v>
      </c>
      <c r="D4" t="s">
        <v>14</v>
      </c>
      <c r="H4" t="s">
        <v>406</v>
      </c>
    </row>
    <row r="5" spans="1:8" ht="14.4" x14ac:dyDescent="0.55000000000000004">
      <c r="A5" t="s">
        <v>82</v>
      </c>
      <c r="B5" t="s">
        <v>81</v>
      </c>
      <c r="C5" s="46" t="str">
        <f t="shared" si="0"/>
        <v>Simon Clarke (Cov Tri)</v>
      </c>
    </row>
    <row r="6" spans="1:8" ht="14.4" x14ac:dyDescent="0.55000000000000004">
      <c r="A6" t="s">
        <v>392</v>
      </c>
      <c r="B6" t="s">
        <v>387</v>
      </c>
      <c r="C6" s="46" t="str">
        <f t="shared" si="0"/>
        <v>Andy Thomas (HCRC)</v>
      </c>
    </row>
    <row r="7" spans="1:8" ht="14.4" x14ac:dyDescent="0.55000000000000004">
      <c r="A7" t="s">
        <v>393</v>
      </c>
      <c r="B7" t="s">
        <v>387</v>
      </c>
      <c r="C7" s="46" t="str">
        <f t="shared" si="0"/>
        <v>Colin Parkinson (SWRC) (HCRC)</v>
      </c>
    </row>
    <row r="8" spans="1:8" ht="14.4" x14ac:dyDescent="0.55000000000000004">
      <c r="A8" t="s">
        <v>390</v>
      </c>
      <c r="B8" t="s">
        <v>387</v>
      </c>
      <c r="C8" s="46" t="str">
        <f t="shared" si="0"/>
        <v>Joe Murray (M I Racing) (HCRC)</v>
      </c>
    </row>
    <row r="9" spans="1:8" ht="14.4" x14ac:dyDescent="0.55000000000000004">
      <c r="A9" t="s">
        <v>394</v>
      </c>
      <c r="B9" t="s">
        <v>387</v>
      </c>
      <c r="C9" s="46" t="str">
        <f t="shared" si="0"/>
        <v>Mick Wills (M I Racing) (HCRC)</v>
      </c>
    </row>
    <row r="10" spans="1:8" ht="14.4" x14ac:dyDescent="0.55000000000000004">
      <c r="A10" t="s">
        <v>396</v>
      </c>
      <c r="B10" t="s">
        <v>84</v>
      </c>
      <c r="C10" s="46" t="str">
        <f t="shared" si="0"/>
        <v>Andy King (KCC)</v>
      </c>
    </row>
    <row r="11" spans="1:8" ht="14.4" x14ac:dyDescent="0.55000000000000004">
      <c r="A11" t="s">
        <v>83</v>
      </c>
      <c r="B11" t="s">
        <v>84</v>
      </c>
      <c r="C11" s="46" t="str">
        <f t="shared" si="0"/>
        <v>Evan Collett Jnr (KCC)</v>
      </c>
    </row>
    <row r="12" spans="1:8" ht="14.4" x14ac:dyDescent="0.55000000000000004">
      <c r="A12" t="s">
        <v>395</v>
      </c>
      <c r="B12" t="s">
        <v>84</v>
      </c>
      <c r="C12" s="46" t="str">
        <f t="shared" si="0"/>
        <v>Josh Brown (KCC)</v>
      </c>
    </row>
    <row r="13" spans="1:8" ht="14.4" x14ac:dyDescent="0.55000000000000004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4" x14ac:dyDescent="0.55000000000000004">
      <c r="A14" t="s">
        <v>87</v>
      </c>
      <c r="B14" t="s">
        <v>86</v>
      </c>
      <c r="C14" s="46" t="str">
        <f t="shared" si="0"/>
        <v>Mat Mabe (LFCC)</v>
      </c>
    </row>
    <row r="15" spans="1:8" ht="14.4" x14ac:dyDescent="0.55000000000000004">
      <c r="A15" t="s">
        <v>88</v>
      </c>
      <c r="B15" t="s">
        <v>86</v>
      </c>
      <c r="C15" s="46" t="str">
        <f t="shared" si="0"/>
        <v>Matt Finch (LFCC)</v>
      </c>
    </row>
    <row r="16" spans="1:8" ht="14.4" x14ac:dyDescent="0.55000000000000004">
      <c r="A16" t="s">
        <v>89</v>
      </c>
      <c r="B16" t="s">
        <v>86</v>
      </c>
      <c r="C16" s="46" t="str">
        <f t="shared" si="0"/>
        <v>Morris Mabe (LFCC)</v>
      </c>
    </row>
    <row r="17" spans="1:4" ht="14.4" x14ac:dyDescent="0.55000000000000004">
      <c r="A17" t="s">
        <v>90</v>
      </c>
      <c r="B17" t="s">
        <v>86</v>
      </c>
      <c r="C17" s="46" t="str">
        <f t="shared" si="0"/>
        <v>Sam Nettel (LFCC)</v>
      </c>
    </row>
    <row r="18" spans="1:4" ht="14.4" x14ac:dyDescent="0.55000000000000004">
      <c r="A18" t="s">
        <v>91</v>
      </c>
      <c r="B18" t="s">
        <v>86</v>
      </c>
      <c r="C18" s="46" t="str">
        <f t="shared" si="0"/>
        <v>Talles Medevives (LFCC)</v>
      </c>
    </row>
    <row r="19" spans="1:4" ht="14.4" x14ac:dyDescent="0.55000000000000004">
      <c r="A19" t="s">
        <v>92</v>
      </c>
      <c r="B19" t="s">
        <v>93</v>
      </c>
      <c r="C19" s="46" t="str">
        <f t="shared" si="0"/>
        <v>Dean Tacey (LRC)</v>
      </c>
    </row>
    <row r="20" spans="1:4" ht="14.4" x14ac:dyDescent="0.55000000000000004">
      <c r="A20" t="s">
        <v>94</v>
      </c>
      <c r="B20" t="s">
        <v>95</v>
      </c>
      <c r="C20" s="46" t="str">
        <f t="shared" si="0"/>
        <v>Chris Booth (MOCC)</v>
      </c>
    </row>
    <row r="21" spans="1:4" ht="14.4" x14ac:dyDescent="0.55000000000000004">
      <c r="A21" t="s">
        <v>96</v>
      </c>
      <c r="B21" t="s">
        <v>95</v>
      </c>
      <c r="C21" s="46" t="str">
        <f t="shared" si="0"/>
        <v>David Cooper (MOCC)</v>
      </c>
    </row>
    <row r="22" spans="1:4" ht="14.4" x14ac:dyDescent="0.55000000000000004">
      <c r="A22" t="s">
        <v>97</v>
      </c>
      <c r="B22" t="s">
        <v>95</v>
      </c>
      <c r="C22" s="46" t="str">
        <f t="shared" si="0"/>
        <v>Jamie Haines (MOCC)</v>
      </c>
    </row>
    <row r="23" spans="1:4" ht="14.4" x14ac:dyDescent="0.55000000000000004">
      <c r="A23" t="s">
        <v>410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4" x14ac:dyDescent="0.55000000000000004">
      <c r="A24" t="s">
        <v>404</v>
      </c>
      <c r="B24" t="s">
        <v>405</v>
      </c>
      <c r="C24" s="46" t="str">
        <f t="shared" si="0"/>
        <v>Ed Tarelli (Race Hub)</v>
      </c>
      <c r="D24" s="46"/>
    </row>
    <row r="25" spans="1:4" ht="14.4" x14ac:dyDescent="0.55000000000000004">
      <c r="A25" t="s">
        <v>98</v>
      </c>
      <c r="B25" t="s">
        <v>99</v>
      </c>
      <c r="C25" s="46" t="str">
        <f t="shared" si="0"/>
        <v>Lewis Cooper (RAF Tri)</v>
      </c>
    </row>
    <row r="26" spans="1:4" ht="14.4" x14ac:dyDescent="0.55000000000000004">
      <c r="A26" t="s">
        <v>100</v>
      </c>
      <c r="B26" t="s">
        <v>388</v>
      </c>
      <c r="C26" s="46" t="str">
        <f t="shared" si="0"/>
        <v>Alex Whitmore (Ratae)</v>
      </c>
    </row>
    <row r="27" spans="1:4" ht="14.4" x14ac:dyDescent="0.55000000000000004">
      <c r="A27" t="s">
        <v>101</v>
      </c>
      <c r="B27" t="s">
        <v>388</v>
      </c>
      <c r="C27" s="46" t="str">
        <f t="shared" si="0"/>
        <v>Brian Lincoln (Ratae)</v>
      </c>
    </row>
    <row r="28" spans="1:4" ht="14.4" x14ac:dyDescent="0.55000000000000004">
      <c r="A28" t="s">
        <v>102</v>
      </c>
      <c r="B28" t="s">
        <v>388</v>
      </c>
      <c r="C28" s="46" t="str">
        <f t="shared" si="0"/>
        <v>Chris Bonsor (Ratae)</v>
      </c>
    </row>
    <row r="29" spans="1:4" ht="14.4" x14ac:dyDescent="0.55000000000000004">
      <c r="A29" t="s">
        <v>103</v>
      </c>
      <c r="B29" t="s">
        <v>388</v>
      </c>
      <c r="C29" s="46" t="str">
        <f t="shared" si="0"/>
        <v>Chris Spray (Ratae)</v>
      </c>
    </row>
    <row r="30" spans="1:4" ht="14.4" x14ac:dyDescent="0.55000000000000004">
      <c r="A30" t="s">
        <v>407</v>
      </c>
      <c r="B30" t="s">
        <v>388</v>
      </c>
      <c r="C30" s="46" t="str">
        <f t="shared" si="0"/>
        <v>Debbie Cooper (Ratae)</v>
      </c>
      <c r="D30" t="s">
        <v>14</v>
      </c>
    </row>
    <row r="31" spans="1:4" ht="14.4" x14ac:dyDescent="0.55000000000000004">
      <c r="A31" t="s">
        <v>104</v>
      </c>
      <c r="B31" t="s">
        <v>388</v>
      </c>
      <c r="C31" s="46" t="str">
        <f t="shared" si="0"/>
        <v>Ed Watson (Ratae)</v>
      </c>
    </row>
    <row r="32" spans="1:4" ht="14.4" x14ac:dyDescent="0.55000000000000004">
      <c r="A32" t="s">
        <v>403</v>
      </c>
      <c r="B32" t="s">
        <v>388</v>
      </c>
      <c r="C32" s="46" t="str">
        <f t="shared" si="0"/>
        <v>Jonathon Clarke (Ratae)</v>
      </c>
      <c r="D32" s="46"/>
    </row>
    <row r="33" spans="1:4" ht="14.4" x14ac:dyDescent="0.55000000000000004">
      <c r="A33" t="s">
        <v>408</v>
      </c>
      <c r="B33" t="s">
        <v>388</v>
      </c>
      <c r="C33" s="46" t="str">
        <f t="shared" si="0"/>
        <v>Lucy Sturgess (Ratae)</v>
      </c>
      <c r="D33" t="s">
        <v>14</v>
      </c>
    </row>
    <row r="34" spans="1:4" ht="14.4" x14ac:dyDescent="0.55000000000000004">
      <c r="A34" t="s">
        <v>105</v>
      </c>
      <c r="B34" t="s">
        <v>388</v>
      </c>
      <c r="C34" s="46" t="str">
        <f t="shared" si="0"/>
        <v>Mark Marmoy (Ratae)</v>
      </c>
    </row>
    <row r="35" spans="1:4" ht="14.4" x14ac:dyDescent="0.55000000000000004">
      <c r="A35" t="s">
        <v>106</v>
      </c>
      <c r="B35" t="s">
        <v>388</v>
      </c>
      <c r="C35" s="46" t="str">
        <f t="shared" si="0"/>
        <v>Mark Newton (Ratae)</v>
      </c>
    </row>
    <row r="36" spans="1:4" ht="14.4" x14ac:dyDescent="0.55000000000000004">
      <c r="A36" t="s">
        <v>107</v>
      </c>
      <c r="B36" t="s">
        <v>388</v>
      </c>
      <c r="C36" s="46" t="str">
        <f t="shared" si="0"/>
        <v>Marshall Briggs (Ratae)</v>
      </c>
    </row>
    <row r="37" spans="1:4" ht="14.4" x14ac:dyDescent="0.55000000000000004">
      <c r="A37" t="s">
        <v>108</v>
      </c>
      <c r="B37" t="s">
        <v>388</v>
      </c>
      <c r="C37" s="46" t="str">
        <f t="shared" si="0"/>
        <v>Paul Eden (Ratae)</v>
      </c>
    </row>
    <row r="38" spans="1:4" ht="14.4" x14ac:dyDescent="0.55000000000000004">
      <c r="A38" t="s">
        <v>109</v>
      </c>
      <c r="B38" t="s">
        <v>388</v>
      </c>
      <c r="C38" s="46" t="str">
        <f t="shared" si="0"/>
        <v>Sadie Murphy (Ratae)</v>
      </c>
      <c r="D38" t="s">
        <v>14</v>
      </c>
    </row>
    <row r="39" spans="1:4" ht="14.4" x14ac:dyDescent="0.55000000000000004">
      <c r="A39" t="s">
        <v>110</v>
      </c>
      <c r="B39" t="s">
        <v>388</v>
      </c>
      <c r="C39" s="46" t="str">
        <f t="shared" si="0"/>
        <v>Steve Pearce (Ratae)</v>
      </c>
    </row>
    <row r="40" spans="1:4" ht="14.4" x14ac:dyDescent="0.55000000000000004">
      <c r="A40" t="s">
        <v>111</v>
      </c>
      <c r="B40" t="s">
        <v>112</v>
      </c>
      <c r="C40" s="46" t="str">
        <f t="shared" si="0"/>
        <v>Adam Wells (RFW)</v>
      </c>
    </row>
    <row r="41" spans="1:4" ht="14.4" x14ac:dyDescent="0.55000000000000004">
      <c r="A41" t="s">
        <v>113</v>
      </c>
      <c r="B41" t="s">
        <v>112</v>
      </c>
      <c r="C41" s="46" t="str">
        <f t="shared" si="0"/>
        <v>Alex Borrowman (RFW)</v>
      </c>
    </row>
    <row r="42" spans="1:4" ht="14.4" x14ac:dyDescent="0.55000000000000004">
      <c r="A42" t="s">
        <v>397</v>
      </c>
      <c r="B42" t="s">
        <v>112</v>
      </c>
      <c r="C42" s="46" t="str">
        <f t="shared" si="0"/>
        <v>Anne Gilhespy (RFW)</v>
      </c>
      <c r="D42" t="s">
        <v>14</v>
      </c>
    </row>
    <row r="43" spans="1:4" ht="14.4" x14ac:dyDescent="0.55000000000000004">
      <c r="A43" t="s">
        <v>114</v>
      </c>
      <c r="B43" t="s">
        <v>112</v>
      </c>
      <c r="C43" s="46" t="str">
        <f t="shared" si="0"/>
        <v>Chris Fowler (RFW)</v>
      </c>
    </row>
    <row r="44" spans="1:4" ht="14.4" x14ac:dyDescent="0.55000000000000004">
      <c r="A44" t="s">
        <v>398</v>
      </c>
      <c r="B44" t="s">
        <v>112</v>
      </c>
      <c r="C44" s="46" t="str">
        <f t="shared" si="0"/>
        <v>Dan Hempkin (RFW)</v>
      </c>
    </row>
    <row r="45" spans="1:4" ht="14.4" x14ac:dyDescent="0.55000000000000004">
      <c r="A45" t="s">
        <v>399</v>
      </c>
      <c r="B45" t="s">
        <v>112</v>
      </c>
      <c r="C45" s="46" t="str">
        <f t="shared" si="0"/>
        <v>David Hill (RFW)</v>
      </c>
    </row>
    <row r="46" spans="1:4" ht="14.4" x14ac:dyDescent="0.55000000000000004">
      <c r="A46" t="s">
        <v>115</v>
      </c>
      <c r="B46" t="s">
        <v>112</v>
      </c>
      <c r="C46" s="46" t="str">
        <f t="shared" si="0"/>
        <v>Ethan Mitchell-Clarke (RFW)</v>
      </c>
    </row>
    <row r="47" spans="1:4" ht="14.4" x14ac:dyDescent="0.55000000000000004">
      <c r="A47" t="s">
        <v>400</v>
      </c>
      <c r="B47" t="s">
        <v>112</v>
      </c>
      <c r="C47" s="46" t="str">
        <f t="shared" si="0"/>
        <v>Giles Cooper (RFW)</v>
      </c>
    </row>
    <row r="48" spans="1:4" ht="14.4" x14ac:dyDescent="0.55000000000000004">
      <c r="A48" t="s">
        <v>401</v>
      </c>
      <c r="B48" t="s">
        <v>112</v>
      </c>
      <c r="C48" s="46" t="str">
        <f t="shared" si="0"/>
        <v>Gregg Payne (RFW)</v>
      </c>
    </row>
    <row r="49" spans="1:4" ht="14.4" x14ac:dyDescent="0.55000000000000004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4" x14ac:dyDescent="0.55000000000000004">
      <c r="A50" t="s">
        <v>117</v>
      </c>
      <c r="B50" t="s">
        <v>112</v>
      </c>
      <c r="C50" s="46" t="str">
        <f t="shared" si="0"/>
        <v>Michael Carter (RFW)</v>
      </c>
    </row>
    <row r="51" spans="1:4" ht="14.4" x14ac:dyDescent="0.55000000000000004">
      <c r="A51" t="s">
        <v>108</v>
      </c>
      <c r="B51" t="s">
        <v>112</v>
      </c>
      <c r="C51" s="46" t="str">
        <f t="shared" si="0"/>
        <v>Paul Eden (RFW)</v>
      </c>
    </row>
    <row r="52" spans="1:4" ht="14.4" x14ac:dyDescent="0.55000000000000004">
      <c r="A52" t="s">
        <v>391</v>
      </c>
      <c r="B52" t="s">
        <v>112</v>
      </c>
      <c r="C52" s="46" t="str">
        <f t="shared" si="0"/>
        <v>Paul Russell (RFW)</v>
      </c>
    </row>
    <row r="53" spans="1:4" ht="14.4" x14ac:dyDescent="0.55000000000000004">
      <c r="A53" t="s">
        <v>402</v>
      </c>
      <c r="B53" t="s">
        <v>112</v>
      </c>
      <c r="C53" s="46" t="str">
        <f t="shared" si="0"/>
        <v>Paul Ryan (RFW)</v>
      </c>
    </row>
    <row r="54" spans="1:4" ht="14.4" x14ac:dyDescent="0.55000000000000004">
      <c r="A54" t="s">
        <v>118</v>
      </c>
      <c r="B54" t="s">
        <v>112</v>
      </c>
      <c r="C54" s="46" t="str">
        <f t="shared" si="0"/>
        <v>Phil Wilkinson (RFW)</v>
      </c>
    </row>
    <row r="55" spans="1:4" ht="14.4" x14ac:dyDescent="0.55000000000000004">
      <c r="A55" t="s">
        <v>119</v>
      </c>
      <c r="B55" t="s">
        <v>120</v>
      </c>
      <c r="C55" s="46" t="str">
        <f t="shared" si="0"/>
        <v>Adrian James (Rugby RCC)</v>
      </c>
    </row>
    <row r="56" spans="1:4" ht="14.4" x14ac:dyDescent="0.55000000000000004">
      <c r="A56" t="s">
        <v>121</v>
      </c>
      <c r="B56" t="s">
        <v>122</v>
      </c>
      <c r="C56" s="46" t="str">
        <f t="shared" si="0"/>
        <v>Carl Shaw (Speedhub)</v>
      </c>
    </row>
    <row r="57" spans="1:4" ht="14.4" x14ac:dyDescent="0.55000000000000004">
      <c r="A57" t="s">
        <v>123</v>
      </c>
      <c r="B57" t="s">
        <v>124</v>
      </c>
      <c r="C57" s="46" t="str">
        <f t="shared" si="0"/>
        <v>Oliver Searle (St Ives CC)</v>
      </c>
    </row>
    <row r="61" spans="1:4" ht="14.4" x14ac:dyDescent="0.55000000000000004">
      <c r="C61" s="46" t="str">
        <f>IF(ISBLANK(B61), IF(ISBLANK(A61),"",A61), _xlfn.CONCAT(A61," (",B61,")"))</f>
        <v/>
      </c>
    </row>
    <row r="62" spans="1:4" ht="14.4" x14ac:dyDescent="0.55000000000000004">
      <c r="C62" s="46" t="str">
        <f t="shared" ref="C62:C88" si="1">IF(ISBLANK(B62), IF(ISBLANK(A62),"",A62), _xlfn.CONCAT(A62," (",B62,")"))</f>
        <v/>
      </c>
    </row>
    <row r="63" spans="1:4" ht="14.4" x14ac:dyDescent="0.55000000000000004">
      <c r="C63" s="46" t="str">
        <f t="shared" si="1"/>
        <v/>
      </c>
    </row>
    <row r="64" spans="1:4" ht="14.4" x14ac:dyDescent="0.55000000000000004">
      <c r="C64" s="46" t="str">
        <f t="shared" si="1"/>
        <v/>
      </c>
    </row>
    <row r="65" spans="3:3" ht="14.4" x14ac:dyDescent="0.55000000000000004">
      <c r="C65" s="46" t="str">
        <f t="shared" si="1"/>
        <v/>
      </c>
    </row>
    <row r="66" spans="3:3" ht="14.4" x14ac:dyDescent="0.55000000000000004">
      <c r="C66" s="46" t="str">
        <f t="shared" si="1"/>
        <v/>
      </c>
    </row>
    <row r="67" spans="3:3" ht="14.4" x14ac:dyDescent="0.55000000000000004">
      <c r="C67" s="46" t="str">
        <f t="shared" si="1"/>
        <v/>
      </c>
    </row>
    <row r="68" spans="3:3" ht="14.4" x14ac:dyDescent="0.55000000000000004">
      <c r="C68" s="46" t="str">
        <f t="shared" si="1"/>
        <v/>
      </c>
    </row>
    <row r="69" spans="3:3" ht="14.4" x14ac:dyDescent="0.55000000000000004">
      <c r="C69" s="46" t="str">
        <f t="shared" si="1"/>
        <v/>
      </c>
    </row>
    <row r="70" spans="3:3" ht="14.4" x14ac:dyDescent="0.55000000000000004">
      <c r="C70" s="46" t="str">
        <f t="shared" si="1"/>
        <v/>
      </c>
    </row>
    <row r="71" spans="3:3" ht="14.4" x14ac:dyDescent="0.55000000000000004">
      <c r="C71" s="46" t="str">
        <f t="shared" si="1"/>
        <v/>
      </c>
    </row>
    <row r="72" spans="3:3" ht="14.4" x14ac:dyDescent="0.55000000000000004">
      <c r="C72" s="46" t="str">
        <f t="shared" si="1"/>
        <v/>
      </c>
    </row>
    <row r="73" spans="3:3" ht="14.4" x14ac:dyDescent="0.55000000000000004">
      <c r="C73" s="46" t="str">
        <f t="shared" si="1"/>
        <v/>
      </c>
    </row>
    <row r="74" spans="3:3" ht="14.4" x14ac:dyDescent="0.55000000000000004">
      <c r="C74" s="46" t="str">
        <f t="shared" si="1"/>
        <v/>
      </c>
    </row>
    <row r="75" spans="3:3" ht="14.4" x14ac:dyDescent="0.55000000000000004">
      <c r="C75" s="46" t="str">
        <f t="shared" si="1"/>
        <v/>
      </c>
    </row>
    <row r="76" spans="3:3" ht="14.4" x14ac:dyDescent="0.55000000000000004">
      <c r="C76" s="46" t="str">
        <f t="shared" si="1"/>
        <v/>
      </c>
    </row>
    <row r="77" spans="3:3" ht="14.4" x14ac:dyDescent="0.55000000000000004">
      <c r="C77" s="46" t="str">
        <f t="shared" si="1"/>
        <v/>
      </c>
    </row>
    <row r="78" spans="3:3" ht="14.4" x14ac:dyDescent="0.55000000000000004">
      <c r="C78" s="46" t="str">
        <f t="shared" si="1"/>
        <v/>
      </c>
    </row>
    <row r="79" spans="3:3" ht="14.4" x14ac:dyDescent="0.55000000000000004">
      <c r="C79" s="46" t="str">
        <f t="shared" si="1"/>
        <v/>
      </c>
    </row>
    <row r="80" spans="3:3" ht="14.4" x14ac:dyDescent="0.55000000000000004">
      <c r="C80" s="46" t="str">
        <f t="shared" si="1"/>
        <v/>
      </c>
    </row>
    <row r="81" spans="3:3" ht="14.4" x14ac:dyDescent="0.55000000000000004">
      <c r="C81" s="46" t="str">
        <f t="shared" si="1"/>
        <v/>
      </c>
    </row>
    <row r="82" spans="3:3" ht="14.4" x14ac:dyDescent="0.55000000000000004">
      <c r="C82" s="46" t="str">
        <f t="shared" si="1"/>
        <v/>
      </c>
    </row>
    <row r="83" spans="3:3" ht="14.4" x14ac:dyDescent="0.55000000000000004">
      <c r="C83" s="46" t="str">
        <f t="shared" si="1"/>
        <v/>
      </c>
    </row>
    <row r="84" spans="3:3" ht="14.4" x14ac:dyDescent="0.55000000000000004">
      <c r="C84" s="46" t="str">
        <f t="shared" si="1"/>
        <v/>
      </c>
    </row>
    <row r="85" spans="3:3" ht="14.4" x14ac:dyDescent="0.55000000000000004">
      <c r="C85" s="46" t="str">
        <f t="shared" si="1"/>
        <v/>
      </c>
    </row>
    <row r="86" spans="3:3" ht="14.4" x14ac:dyDescent="0.55000000000000004">
      <c r="C86" s="46" t="str">
        <f t="shared" si="1"/>
        <v/>
      </c>
    </row>
    <row r="87" spans="3:3" ht="14.4" x14ac:dyDescent="0.55000000000000004">
      <c r="C87" s="46" t="str">
        <f t="shared" si="1"/>
        <v/>
      </c>
    </row>
    <row r="88" spans="3:3" ht="14.4" x14ac:dyDescent="0.55000000000000004">
      <c r="C88" s="46" t="str">
        <f t="shared" si="1"/>
        <v/>
      </c>
    </row>
    <row r="89" spans="3:3" s="9" customFormat="1" x14ac:dyDescent="0.4"/>
    <row r="91" spans="3:3" ht="14.4" x14ac:dyDescent="0.55000000000000004">
      <c r="C91" s="45"/>
    </row>
    <row r="92" spans="3:3" ht="14.4" x14ac:dyDescent="0.55000000000000004">
      <c r="C92" s="45"/>
    </row>
    <row r="93" spans="3:3" ht="14.4" x14ac:dyDescent="0.55000000000000004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09375" defaultRowHeight="12.3" x14ac:dyDescent="0.4"/>
  <cols>
    <col min="1" max="1" width="20.21875" bestFit="1" customWidth="1"/>
    <col min="2" max="2" width="23.88671875" bestFit="1" customWidth="1"/>
    <col min="3" max="4" width="4.6640625" customWidth="1"/>
    <col min="5" max="5" width="7.21875" customWidth="1"/>
    <col min="6" max="6" width="11" customWidth="1"/>
    <col min="7" max="7" width="11.054687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 t="s">
        <v>457</v>
      </c>
      <c r="B2" s="41">
        <v>558</v>
      </c>
      <c r="C2" s="17"/>
      <c r="D2" s="18">
        <v>43</v>
      </c>
      <c r="E2" s="18">
        <v>1</v>
      </c>
      <c r="F2" s="18" t="s">
        <v>474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5">
      <c r="A3" s="40" t="s">
        <v>458</v>
      </c>
      <c r="B3" s="41">
        <v>1194</v>
      </c>
      <c r="C3" s="17"/>
      <c r="D3" s="18">
        <v>33</v>
      </c>
      <c r="E3" s="18">
        <v>41</v>
      </c>
      <c r="F3" s="18" t="s">
        <v>474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5">
      <c r="A4" s="40" t="s">
        <v>459</v>
      </c>
      <c r="B4" s="41">
        <v>1298</v>
      </c>
      <c r="C4" s="17"/>
      <c r="D4" s="18">
        <v>35</v>
      </c>
      <c r="E4" s="18">
        <v>37</v>
      </c>
      <c r="F4" s="18" t="s">
        <v>474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5">
      <c r="A5" s="40" t="s">
        <v>460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5">
      <c r="A6" s="40" t="s">
        <v>461</v>
      </c>
      <c r="B6" s="41">
        <v>1355</v>
      </c>
      <c r="C6" s="17"/>
      <c r="D6" s="18">
        <v>26</v>
      </c>
      <c r="E6" s="18">
        <v>29</v>
      </c>
      <c r="F6" s="18" t="s">
        <v>474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5">
      <c r="A7" s="40" t="s">
        <v>462</v>
      </c>
      <c r="B7" s="41">
        <v>1407</v>
      </c>
      <c r="C7" s="17"/>
      <c r="D7" s="18">
        <v>28</v>
      </c>
      <c r="E7" s="18">
        <v>22</v>
      </c>
      <c r="F7" s="18" t="s">
        <v>474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5">
      <c r="A8" s="40" t="s">
        <v>463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5">
      <c r="A9" s="40" t="s">
        <v>464</v>
      </c>
      <c r="B9" s="41">
        <v>1107</v>
      </c>
      <c r="C9" s="17"/>
      <c r="D9" s="18">
        <v>29</v>
      </c>
      <c r="E9" s="18">
        <v>43</v>
      </c>
      <c r="F9" s="18" t="s">
        <v>474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5">
      <c r="A10" s="40" t="s">
        <v>465</v>
      </c>
      <c r="B10" s="41">
        <v>1403</v>
      </c>
      <c r="C10" s="17"/>
      <c r="D10" s="18">
        <v>31</v>
      </c>
      <c r="E10" s="18">
        <v>7</v>
      </c>
      <c r="F10" s="18" t="s">
        <v>474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5">
      <c r="A11" s="40" t="s">
        <v>466</v>
      </c>
      <c r="B11" s="41">
        <v>1385</v>
      </c>
      <c r="C11" s="17"/>
      <c r="D11" s="18"/>
      <c r="E11" s="18"/>
      <c r="F11" s="18" t="s">
        <v>474</v>
      </c>
      <c r="G11" s="18" t="s">
        <v>475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5">
      <c r="A12" s="40" t="s">
        <v>467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5">
      <c r="A13" s="40" t="s">
        <v>468</v>
      </c>
      <c r="B13" s="41">
        <v>704</v>
      </c>
      <c r="C13" s="17"/>
      <c r="D13" s="18">
        <v>31</v>
      </c>
      <c r="E13" s="18">
        <v>30</v>
      </c>
      <c r="F13" s="18" t="s">
        <v>474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5">
      <c r="A14" s="40" t="s">
        <v>469</v>
      </c>
      <c r="B14" s="41">
        <v>1162</v>
      </c>
      <c r="C14" s="17"/>
      <c r="D14" s="18"/>
      <c r="E14" s="18"/>
      <c r="F14" s="18" t="s">
        <v>474</v>
      </c>
      <c r="G14" s="18" t="s">
        <v>475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5">
      <c r="A15" s="40" t="s">
        <v>470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5">
      <c r="A16" s="40" t="s">
        <v>471</v>
      </c>
      <c r="B16" s="41">
        <v>295</v>
      </c>
      <c r="C16" s="17"/>
      <c r="D16" s="18">
        <v>32</v>
      </c>
      <c r="E16" s="18">
        <v>12</v>
      </c>
      <c r="F16" s="18" t="s">
        <v>474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5">
      <c r="A17" s="40" t="s">
        <v>472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5">
      <c r="A18" s="40" t="s">
        <v>473</v>
      </c>
      <c r="B18" s="41">
        <v>38</v>
      </c>
      <c r="C18" s="17"/>
      <c r="D18" s="18">
        <v>28</v>
      </c>
      <c r="E18" s="18">
        <v>41</v>
      </c>
      <c r="F18" s="18" t="s">
        <v>474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5">
      <c r="A19" s="40" t="s">
        <v>478</v>
      </c>
      <c r="B19" s="41" t="s">
        <v>478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5">
      <c r="A20" s="40" t="s">
        <v>476</v>
      </c>
      <c r="B20" s="41">
        <v>245</v>
      </c>
      <c r="C20" s="17"/>
      <c r="D20" s="18">
        <v>32</v>
      </c>
      <c r="E20" s="18">
        <v>2</v>
      </c>
      <c r="F20" s="18" t="s">
        <v>474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5">
      <c r="A21" s="40" t="s">
        <v>477</v>
      </c>
      <c r="B21" s="41" t="s">
        <v>477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5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5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5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5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5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5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5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5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5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5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5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5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abSelected="1" zoomScaleNormal="100" workbookViewId="0">
      <selection activeCell="B21" sqref="B21"/>
    </sheetView>
  </sheetViews>
  <sheetFormatPr defaultColWidth="9.109375" defaultRowHeight="12.3" x14ac:dyDescent="0.4"/>
  <cols>
    <col min="1" max="1" width="20.21875" bestFit="1" customWidth="1"/>
    <col min="2" max="2" width="23.88671875" bestFit="1" customWidth="1"/>
    <col min="3" max="4" width="4.6640625" customWidth="1"/>
    <col min="5" max="5" width="6.2773437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 t="s">
        <v>457</v>
      </c>
      <c r="B2" s="41">
        <v>558</v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 t="s">
        <v>479</v>
      </c>
      <c r="B3" s="41">
        <v>1404</v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5">
      <c r="A4" s="40" t="s">
        <v>459</v>
      </c>
      <c r="B4" s="41">
        <v>1298</v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0</v>
      </c>
      <c r="J4" t="str">
        <f t="shared" si="1"/>
        <v/>
      </c>
    </row>
    <row r="5" spans="1:10" ht="15" x14ac:dyDescent="0.5">
      <c r="A5" s="40" t="s">
        <v>480</v>
      </c>
      <c r="B5" s="41">
        <v>1055</v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0</v>
      </c>
      <c r="J5" t="str">
        <f t="shared" si="1"/>
        <v/>
      </c>
    </row>
    <row r="6" spans="1:10" ht="15" x14ac:dyDescent="0.5">
      <c r="A6" s="40" t="s">
        <v>481</v>
      </c>
      <c r="B6" s="41">
        <v>1152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5">
      <c r="A7" s="40" t="s">
        <v>462</v>
      </c>
      <c r="B7" s="41">
        <v>1407</v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0</v>
      </c>
      <c r="J7" t="str">
        <f t="shared" si="1"/>
        <v/>
      </c>
    </row>
    <row r="8" spans="1:10" ht="15" x14ac:dyDescent="0.5">
      <c r="A8" s="40" t="s">
        <v>463</v>
      </c>
      <c r="B8" s="41">
        <v>1418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0</v>
      </c>
      <c r="J8" t="str">
        <f t="shared" si="1"/>
        <v/>
      </c>
    </row>
    <row r="9" spans="1:10" ht="15" x14ac:dyDescent="0.5">
      <c r="A9" s="40" t="s">
        <v>482</v>
      </c>
      <c r="B9" s="41">
        <v>1112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0</v>
      </c>
      <c r="J9" t="str">
        <f t="shared" si="1"/>
        <v/>
      </c>
    </row>
    <row r="10" spans="1:10" ht="15" x14ac:dyDescent="0.5">
      <c r="A10" s="40" t="s">
        <v>465</v>
      </c>
      <c r="B10" s="41">
        <v>1403</v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5">
      <c r="A11" s="40" t="s">
        <v>460</v>
      </c>
      <c r="B11" s="41">
        <v>35</v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0</v>
      </c>
      <c r="J11" t="str">
        <f t="shared" si="1"/>
        <v/>
      </c>
    </row>
    <row r="12" spans="1:10" ht="15" x14ac:dyDescent="0.5">
      <c r="A12" s="40" t="s">
        <v>467</v>
      </c>
      <c r="B12" s="41">
        <v>616</v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5">
      <c r="A13" s="40" t="s">
        <v>468</v>
      </c>
      <c r="B13" s="41">
        <v>704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0</v>
      </c>
      <c r="J13" t="str">
        <f t="shared" si="1"/>
        <v/>
      </c>
    </row>
    <row r="14" spans="1:10" ht="15" x14ac:dyDescent="0.5">
      <c r="A14" s="40" t="s">
        <v>483</v>
      </c>
      <c r="B14" s="41">
        <v>1193</v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0</v>
      </c>
      <c r="J14" t="str">
        <f t="shared" si="1"/>
        <v/>
      </c>
    </row>
    <row r="15" spans="1:10" ht="15" x14ac:dyDescent="0.5">
      <c r="A15" s="40" t="s">
        <v>476</v>
      </c>
      <c r="B15" s="41">
        <v>245</v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5">
      <c r="A16" s="40" t="s">
        <v>471</v>
      </c>
      <c r="B16" s="41">
        <v>295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0</v>
      </c>
      <c r="J16" t="str">
        <f t="shared" si="1"/>
        <v/>
      </c>
    </row>
    <row r="17" spans="1:10" ht="15" x14ac:dyDescent="0.5">
      <c r="A17" s="40" t="s">
        <v>484</v>
      </c>
      <c r="B17" s="41">
        <v>989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0</v>
      </c>
      <c r="J17" t="str">
        <f t="shared" si="1"/>
        <v/>
      </c>
    </row>
    <row r="18" spans="1:10" ht="15" x14ac:dyDescent="0.5">
      <c r="A18" s="40" t="s">
        <v>473</v>
      </c>
      <c r="B18" s="41">
        <v>38</v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0</v>
      </c>
      <c r="J18" t="str">
        <f t="shared" si="1"/>
        <v/>
      </c>
    </row>
    <row r="19" spans="1:10" ht="15" x14ac:dyDescent="0.5">
      <c r="A19" s="40" t="s">
        <v>485</v>
      </c>
      <c r="B19" s="41">
        <v>1419</v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0</v>
      </c>
      <c r="J19" t="str">
        <f t="shared" si="1"/>
        <v/>
      </c>
    </row>
    <row r="20" spans="1:10" ht="15" x14ac:dyDescent="0.5">
      <c r="A20" s="40" t="s">
        <v>487</v>
      </c>
      <c r="B20" s="41">
        <v>564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0</v>
      </c>
      <c r="J20" t="str">
        <f t="shared" si="1"/>
        <v/>
      </c>
    </row>
    <row r="21" spans="1:10" ht="15" x14ac:dyDescent="0.5">
      <c r="A21" s="40" t="s">
        <v>488</v>
      </c>
      <c r="B21" s="41" t="s">
        <v>488</v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0</v>
      </c>
      <c r="J21" t="str">
        <f t="shared" si="1"/>
        <v>X</v>
      </c>
    </row>
    <row r="22" spans="1:10" ht="15" x14ac:dyDescent="0.5">
      <c r="A22" s="40"/>
      <c r="B22" s="41" t="str">
        <f t="shared" ref="B2:B33" si="2"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5">
      <c r="A23" s="40"/>
      <c r="B23" s="41" t="str">
        <f t="shared" si="2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5">
      <c r="A24" s="40"/>
      <c r="B24" s="41" t="str">
        <f t="shared" si="2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5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5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5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5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5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5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5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5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5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5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5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5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5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5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5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5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5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5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5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5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5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5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5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5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5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5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5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5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5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5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5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5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5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5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5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5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5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5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5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5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5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09375" defaultRowHeight="12.3" x14ac:dyDescent="0.4"/>
  <cols>
    <col min="1" max="1" width="20.21875" bestFit="1" customWidth="1"/>
    <col min="2" max="2" width="23.88671875" bestFit="1" customWidth="1"/>
    <col min="3" max="4" width="4.6640625" customWidth="1"/>
    <col min="5" max="5" width="6.27734375" bestFit="1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09375" defaultRowHeight="12.3" x14ac:dyDescent="0.4"/>
  <cols>
    <col min="1" max="1" width="20.21875" bestFit="1" customWidth="1"/>
    <col min="2" max="2" width="23.88671875" bestFit="1" customWidth="1"/>
    <col min="3" max="4" width="4.6640625" customWidth="1"/>
    <col min="5" max="5" width="6.27734375" bestFit="1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09375" defaultRowHeight="12.3" x14ac:dyDescent="0.4"/>
  <cols>
    <col min="1" max="1" width="20.21875" bestFit="1" customWidth="1"/>
    <col min="2" max="2" width="23.88671875" bestFit="1" customWidth="1"/>
    <col min="3" max="5" width="4.6640625" customWidth="1"/>
    <col min="6" max="7" width="11" customWidth="1"/>
    <col min="8" max="8" width="25.10937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5">
      <c r="H102" s="24"/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09375" defaultRowHeight="12.3" x14ac:dyDescent="0.4"/>
  <cols>
    <col min="1" max="1" width="20.38671875" bestFit="1" customWidth="1"/>
    <col min="2" max="2" width="23.88671875" bestFit="1" customWidth="1"/>
    <col min="3" max="5" width="4.664062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09375" defaultRowHeight="12.3" x14ac:dyDescent="0.4"/>
  <cols>
    <col min="1" max="1" width="20.38671875" bestFit="1" customWidth="1"/>
    <col min="2" max="2" width="23.88671875" bestFit="1" customWidth="1"/>
    <col min="3" max="5" width="4.6640625" customWidth="1"/>
    <col min="6" max="7" width="11" customWidth="1"/>
    <col min="8" max="8" width="44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09375" defaultRowHeight="12.3" x14ac:dyDescent="0.4"/>
  <cols>
    <col min="1" max="1" width="20.21875" bestFit="1" customWidth="1"/>
    <col min="2" max="2" width="23.88671875" bestFit="1" customWidth="1"/>
    <col min="3" max="5" width="4.664062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09375" defaultRowHeight="12.3" x14ac:dyDescent="0.4"/>
  <cols>
    <col min="1" max="1" width="20.21875" bestFit="1" customWidth="1"/>
    <col min="2" max="2" width="23.88671875" bestFit="1" customWidth="1"/>
    <col min="3" max="5" width="4.664062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09375" defaultRowHeight="12.3" x14ac:dyDescent="0.4"/>
  <cols>
    <col min="1" max="1" width="20.21875" bestFit="1" customWidth="1"/>
    <col min="2" max="2" width="23.88671875" bestFit="1" customWidth="1"/>
    <col min="3" max="4" width="4.6640625" customWidth="1"/>
    <col min="5" max="5" width="8.10937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09375" defaultRowHeight="12.3" x14ac:dyDescent="0.4"/>
  <cols>
    <col min="1" max="1" width="20.21875" bestFit="1" customWidth="1"/>
    <col min="2" max="2" width="23.88671875" bestFit="1" customWidth="1"/>
    <col min="3" max="5" width="4.6640625" customWidth="1"/>
    <col min="6" max="7" width="11" customWidth="1"/>
    <col min="8" max="8" width="25.109375" customWidth="1"/>
    <col min="9" max="9" width="14.6640625" style="23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09375" defaultRowHeight="12.3" x14ac:dyDescent="0.4"/>
  <cols>
    <col min="1" max="1" width="20.38671875" bestFit="1" customWidth="1"/>
    <col min="2" max="2" width="23.88671875" bestFit="1" customWidth="1"/>
    <col min="3" max="5" width="4.664062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09375" defaultRowHeight="12.3" x14ac:dyDescent="0.4"/>
  <cols>
    <col min="1" max="1" width="20.94140625" bestFit="1" customWidth="1"/>
    <col min="2" max="2" width="24.0546875" bestFit="1" customWidth="1"/>
    <col min="3" max="5" width="4.664062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09375" defaultRowHeight="12.3" x14ac:dyDescent="0.4"/>
  <cols>
    <col min="1" max="1" width="20.21875" bestFit="1" customWidth="1"/>
    <col min="2" max="2" width="23.88671875" bestFit="1" customWidth="1"/>
    <col min="3" max="5" width="4.664062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09375" defaultRowHeight="12.3" x14ac:dyDescent="0.4"/>
  <cols>
    <col min="1" max="1" width="20.21875" bestFit="1" customWidth="1"/>
    <col min="2" max="2" width="23.88671875" bestFit="1" customWidth="1"/>
    <col min="3" max="5" width="4.6640625" customWidth="1"/>
    <col min="6" max="7" width="11" customWidth="1"/>
    <col min="8" max="8" width="28.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09375" defaultRowHeight="12.3" x14ac:dyDescent="0.4"/>
  <cols>
    <col min="1" max="1" width="20.21875" bestFit="1" customWidth="1"/>
    <col min="2" max="2" width="23.88671875" bestFit="1" customWidth="1"/>
    <col min="3" max="5" width="4.664062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09375" defaultRowHeight="12.3" x14ac:dyDescent="0.4"/>
  <cols>
    <col min="1" max="1" width="20.21875" bestFit="1" customWidth="1"/>
    <col min="2" max="2" width="23.88671875" bestFit="1" customWidth="1"/>
    <col min="3" max="5" width="4.6640625" customWidth="1"/>
    <col min="6" max="7" width="11" customWidth="1"/>
    <col min="8" max="8" width="29.441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09375" defaultRowHeight="12.3" x14ac:dyDescent="0.4"/>
  <cols>
    <col min="1" max="1" width="20.38671875" bestFit="1" customWidth="1"/>
    <col min="2" max="2" width="23.88671875" bestFit="1" customWidth="1"/>
    <col min="3" max="5" width="4.664062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09375" defaultRowHeight="12.3" x14ac:dyDescent="0.4"/>
  <cols>
    <col min="1" max="1" width="20.38671875" bestFit="1" customWidth="1"/>
    <col min="2" max="2" width="23.88671875" bestFit="1" customWidth="1"/>
    <col min="3" max="5" width="4.6640625" customWidth="1"/>
    <col min="6" max="7" width="11" customWidth="1"/>
    <col min="8" max="8" width="32.88671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09375" defaultRowHeight="12.3" x14ac:dyDescent="0.4"/>
  <cols>
    <col min="1" max="1" width="20.38671875" bestFit="1" customWidth="1"/>
    <col min="2" max="2" width="23.88671875" bestFit="1" customWidth="1"/>
    <col min="3" max="4" width="4.6640625" customWidth="1"/>
    <col min="5" max="5" width="6.44140625" bestFit="1" customWidth="1"/>
    <col min="6" max="7" width="11" customWidth="1"/>
    <col min="8" max="8" width="30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09375" defaultRowHeight="12.3" x14ac:dyDescent="0.4"/>
  <cols>
    <col min="1" max="1" width="20.38671875" bestFit="1" customWidth="1"/>
    <col min="2" max="2" width="23.88671875" bestFit="1" customWidth="1"/>
    <col min="3" max="5" width="4.6640625" customWidth="1"/>
    <col min="6" max="7" width="11" customWidth="1"/>
    <col min="8" max="8" width="37.77734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09375" defaultRowHeight="12.3" x14ac:dyDescent="0.4"/>
  <cols>
    <col min="1" max="1" width="20.38671875" bestFit="1" customWidth="1"/>
    <col min="2" max="2" width="23.88671875" bestFit="1" customWidth="1"/>
    <col min="3" max="5" width="4.6640625" customWidth="1"/>
    <col min="6" max="7" width="18.21875" customWidth="1"/>
    <col min="8" max="8" width="36.554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09375" defaultRowHeight="12.3" x14ac:dyDescent="0.4"/>
  <cols>
    <col min="1" max="1" width="20.38671875" bestFit="1" customWidth="1"/>
    <col min="2" max="2" width="23.88671875" bestFit="1" customWidth="1"/>
    <col min="3" max="4" width="4.6640625" customWidth="1"/>
    <col min="5" max="5" width="12.554687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09375" defaultRowHeight="12.3" x14ac:dyDescent="0.4"/>
  <cols>
    <col min="1" max="1" width="20.38671875" bestFit="1" customWidth="1"/>
    <col min="2" max="2" width="23.88671875" bestFit="1" customWidth="1"/>
    <col min="3" max="5" width="4.6640625" customWidth="1"/>
    <col min="6" max="7" width="11" customWidth="1"/>
    <col min="8" max="8" width="27.88671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09375" defaultRowHeight="12.3" x14ac:dyDescent="0.4"/>
  <cols>
    <col min="1" max="1" width="20.38671875" bestFit="1" customWidth="1"/>
    <col min="2" max="2" width="23.88671875" bestFit="1" customWidth="1"/>
    <col min="3" max="5" width="4.664062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09375" defaultRowHeight="12.3" x14ac:dyDescent="0.4"/>
  <cols>
    <col min="1" max="1" width="20.38671875" bestFit="1" customWidth="1"/>
    <col min="2" max="2" width="23.88671875" bestFit="1" customWidth="1"/>
    <col min="3" max="5" width="4.664062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4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09375" defaultRowHeight="12.3" x14ac:dyDescent="0.4"/>
  <cols>
    <col min="1" max="1" width="20.38671875" bestFit="1" customWidth="1"/>
    <col min="2" max="2" width="23.88671875" bestFit="1" customWidth="1"/>
    <col min="3" max="5" width="4.664062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4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09375" defaultRowHeight="12.3" x14ac:dyDescent="0.4"/>
  <cols>
    <col min="1" max="1" width="20.38671875" bestFit="1" customWidth="1"/>
    <col min="2" max="2" width="23.88671875" bestFit="1" customWidth="1"/>
    <col min="3" max="5" width="4.6640625" customWidth="1"/>
    <col min="6" max="7" width="11" customWidth="1"/>
    <col min="8" max="8" width="25.1093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5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5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5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5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5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5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5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5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5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5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5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5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5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5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5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5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5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5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5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5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5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5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5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5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5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5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5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5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5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5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5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5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5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5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5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5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5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5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5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5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5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5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5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5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5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5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5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5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5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5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5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5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5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5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5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5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5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5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5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5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5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5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5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5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5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5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5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5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5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5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5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5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5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5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5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5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5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5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5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5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5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5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5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5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5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5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5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5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5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5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5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5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5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5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5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5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5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5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5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5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5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4">
      <c r="I102" s="22"/>
    </row>
    <row r="103" spans="1:10" x14ac:dyDescent="0.4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4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2026-03-28T14:47:39Z</dcterms:modified>
</cp:coreProperties>
</file>