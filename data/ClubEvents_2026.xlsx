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2A2A60B-90EF-4F28-9421-17498513909F}" xr6:coauthVersionLast="47" xr6:coauthVersionMax="47" xr10:uidLastSave="{00000000-0000-0000-0000-000000000000}"/>
  <bookViews>
    <workbookView xWindow="-83" yWindow="83" windowWidth="14566" windowHeight="17280" firstSheet="19" activeTab="42" xr2:uid="{C6EFFE21-4431-4F26-81EF-7BFBA2735BF4}"/>
    <workbookView xWindow="14317" yWindow="0" windowWidth="14565" windowHeight="17363" firstSheet="18" activeTab="20" xr2:uid="{D2AA3429-87FD-4A97-8557-1FEC094071F7}"/>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B9" i="40" s="1"/>
  <c r="C123" i="18"/>
  <c r="C124" i="18"/>
  <c r="B30" i="40" s="1"/>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8" i="46"/>
  <c r="B26" i="37"/>
  <c r="B10" i="35"/>
  <c r="B3" i="33"/>
  <c r="B32" i="34"/>
  <c r="B4" i="35"/>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c r="H32" i="46"/>
  <c r="B33" i="46"/>
  <c r="B58" i="38"/>
  <c r="B34" i="46"/>
  <c r="B23" i="37"/>
  <c r="B30" i="46"/>
  <c r="B29" i="46"/>
  <c r="B41" i="46"/>
  <c r="B47" i="32"/>
  <c r="B31" i="33"/>
  <c r="J31" i="33"/>
  <c r="H31" i="33"/>
  <c r="B10" i="33"/>
  <c r="J10" i="33"/>
  <c r="H10" i="33"/>
  <c r="B38" i="32"/>
  <c r="B20" i="33"/>
  <c r="B8" i="35"/>
  <c r="B12" i="35"/>
  <c r="K12" i="35"/>
  <c r="I12" i="35"/>
  <c r="B33" i="35"/>
  <c r="K33" i="35"/>
  <c r="I33" i="35"/>
  <c r="B4" i="33"/>
  <c r="B23" i="32"/>
  <c r="B12" i="33"/>
  <c r="B22" i="33"/>
  <c r="B25" i="33"/>
  <c r="B14" i="33"/>
  <c r="B5" i="33"/>
  <c r="J5" i="33"/>
  <c r="H5" i="33"/>
  <c r="B18" i="33"/>
  <c r="B43" i="32"/>
  <c r="B3" i="32"/>
  <c r="B11" i="33"/>
  <c r="B17" i="32"/>
  <c r="B9" i="33"/>
  <c r="B8" i="33"/>
  <c r="B19" i="32"/>
  <c r="B48" i="32"/>
  <c r="B30" i="33"/>
  <c r="B28" i="33"/>
  <c r="B37" i="32"/>
  <c r="B2" i="32"/>
  <c r="B32" i="33"/>
  <c r="B21" i="32"/>
  <c r="B25" i="32"/>
  <c r="B33" i="33"/>
  <c r="B40" i="32"/>
  <c r="B20" i="32"/>
  <c r="B13" i="33"/>
  <c r="B16" i="36"/>
  <c r="B3" i="36"/>
  <c r="B24" i="36"/>
  <c r="K24" i="36"/>
  <c r="I24" i="36"/>
  <c r="B25" i="36"/>
  <c r="B15" i="36"/>
  <c r="K15" i="36"/>
  <c r="I15" i="36"/>
  <c r="B18" i="36"/>
  <c r="B25" i="35"/>
  <c r="B24" i="35"/>
  <c r="B10" i="36"/>
  <c r="K10" i="36"/>
  <c r="I10" i="36"/>
  <c r="B21" i="36"/>
  <c r="B2" i="36"/>
  <c r="B26" i="35"/>
  <c r="B9" i="36"/>
  <c r="B31" i="35"/>
  <c r="B7" i="35"/>
  <c r="B6" i="35"/>
  <c r="B5" i="35"/>
  <c r="B26" i="36"/>
  <c r="K26" i="36"/>
  <c r="I26" i="36"/>
  <c r="B23" i="36"/>
  <c r="B22" i="36"/>
  <c r="B4" i="36"/>
  <c r="B11" i="36"/>
  <c r="K11" i="36"/>
  <c r="I11" i="36"/>
  <c r="B8" i="36"/>
  <c r="K8" i="36"/>
  <c r="I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J2" i="34"/>
  <c r="H2" i="34"/>
  <c r="B16" i="34"/>
  <c r="B41" i="34"/>
  <c r="B30" i="34"/>
  <c r="B28" i="34"/>
  <c r="B26" i="34"/>
  <c r="B33" i="34"/>
  <c r="B4" i="34"/>
  <c r="J4" i="34"/>
  <c r="H4" i="34"/>
  <c r="B40" i="34"/>
  <c r="J40" i="34"/>
  <c r="H40" i="34"/>
  <c r="B35" i="34"/>
  <c r="B27" i="34"/>
  <c r="B7" i="33"/>
  <c r="B36" i="32"/>
  <c r="B27" i="33"/>
  <c r="B26" i="33"/>
  <c r="B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J35" i="32"/>
  <c r="H35" i="32"/>
  <c r="B14" i="32"/>
  <c r="B28" i="32"/>
  <c r="B29" i="32"/>
  <c r="B45" i="32"/>
  <c r="B13" i="32"/>
  <c r="J13" i="32"/>
  <c r="H13" i="32" s="1"/>
  <c r="B12" i="32"/>
  <c r="J12" i="32"/>
  <c r="H12" i="32"/>
  <c r="B15" i="32"/>
  <c r="B41" i="32"/>
  <c r="B9" i="32"/>
  <c r="B7" i="32"/>
  <c r="B22" i="32"/>
  <c r="B33" i="32"/>
  <c r="B26" i="32"/>
  <c r="J26" i="32"/>
  <c r="H26" i="32"/>
  <c r="B30" i="32"/>
  <c r="J30" i="32"/>
  <c r="H30" i="32"/>
  <c r="B46" i="32"/>
  <c r="J46" i="32"/>
  <c r="H46" i="32"/>
  <c r="B11" i="32"/>
  <c r="J11" i="32"/>
  <c r="H11" i="32"/>
  <c r="B10" i="32"/>
  <c r="B5" i="32"/>
  <c r="B4" i="32"/>
  <c r="B44" i="32"/>
  <c r="B24" i="32"/>
  <c r="B39" i="32"/>
  <c r="B31" i="32"/>
  <c r="B8" i="32"/>
  <c r="B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B47" i="36"/>
  <c r="B52" i="36"/>
  <c r="B2" i="37"/>
  <c r="B3" i="37"/>
  <c r="B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B19" i="46"/>
  <c r="J19" i="46" s="1"/>
  <c r="H19" i="46" s="1"/>
  <c r="B20" i="46"/>
  <c r="B21" i="46"/>
  <c r="B22" i="46"/>
  <c r="J22" i="46"/>
  <c r="H22" i="46"/>
  <c r="B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B55" i="38"/>
  <c r="B53" i="38"/>
  <c r="B24" i="38"/>
  <c r="B23" i="38"/>
  <c r="B18" i="38"/>
  <c r="B3" i="38"/>
  <c r="B29" i="37"/>
  <c r="B28" i="46"/>
  <c r="J28" i="46"/>
  <c r="H28" i="46"/>
  <c r="B35" i="46"/>
  <c r="J35" i="46"/>
  <c r="H35" i="46"/>
  <c r="B36" i="46"/>
  <c r="B37" i="46"/>
  <c r="B38" i="46"/>
  <c r="B2" i="33"/>
  <c r="B6" i="36"/>
  <c r="B11" i="35"/>
  <c r="B13" i="36"/>
  <c r="B17" i="33"/>
  <c r="B34" i="32"/>
  <c r="J34" i="32"/>
  <c r="H34" i="32"/>
  <c r="B29" i="36"/>
  <c r="B27" i="35"/>
  <c r="B13" i="35"/>
  <c r="B30" i="35"/>
  <c r="B14" i="34"/>
  <c r="B29" i="33"/>
  <c r="B49" i="32"/>
  <c r="B29" i="35"/>
  <c r="B51" i="32"/>
  <c r="B5" i="36"/>
  <c r="B39" i="35"/>
  <c r="B2" i="35"/>
  <c r="B20" i="34"/>
  <c r="B24" i="33"/>
  <c r="B6" i="32"/>
  <c r="J6" i="32"/>
  <c r="H6" i="32"/>
  <c r="B19" i="33"/>
  <c r="J19" i="33"/>
  <c r="H19" i="33"/>
  <c r="B9" i="34"/>
  <c r="J9" i="34"/>
  <c r="H9" i="34"/>
  <c r="B32" i="32"/>
  <c r="B38" i="35"/>
  <c r="B14" i="36"/>
  <c r="B15" i="35"/>
  <c r="K58" i="38"/>
  <c r="I58" i="38" s="1"/>
  <c r="J29" i="37"/>
  <c r="H29" i="37"/>
  <c r="K3" i="38"/>
  <c r="I3" i="38"/>
  <c r="K18" i="38"/>
  <c r="I18" i="38" s="1"/>
  <c r="K23" i="38"/>
  <c r="I23" i="38"/>
  <c r="K24" i="38"/>
  <c r="I24" i="38"/>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8" i="46"/>
  <c r="H18" i="46"/>
  <c r="J101" i="20" l="1"/>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H14" i="41"/>
  <c r="J14" i="41"/>
  <c r="J13" i="41"/>
  <c r="H13" i="41"/>
  <c r="H12" i="41"/>
  <c r="J12" i="41"/>
  <c r="H11" i="41"/>
  <c r="J11" i="41"/>
  <c r="H10" i="41"/>
  <c r="J10" i="41"/>
  <c r="J9" i="41"/>
  <c r="H9" i="41"/>
  <c r="H8" i="41"/>
  <c r="J8" i="41"/>
  <c r="J7" i="41"/>
  <c r="H7" i="41"/>
  <c r="J6" i="41"/>
  <c r="H6" i="41"/>
  <c r="J5" i="41"/>
  <c r="H5" i="41"/>
  <c r="H4" i="41"/>
  <c r="J4" i="41"/>
  <c r="J3" i="41"/>
  <c r="H3" i="41"/>
  <c r="J2" i="41"/>
  <c r="H2" i="4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c r="J9" i="32"/>
  <c r="H9" i="32" s="1"/>
  <c r="J7" i="32"/>
  <c r="H7" i="32"/>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c r="H42" i="42"/>
  <c r="J42" i="42"/>
  <c r="H41" i="42"/>
  <c r="J41" i="42"/>
  <c r="J40" i="42"/>
  <c r="H40" i="42"/>
  <c r="J39" i="42"/>
  <c r="H39" i="42"/>
  <c r="J38" i="42"/>
  <c r="H38" i="42"/>
  <c r="H37" i="42"/>
  <c r="J37" i="42"/>
  <c r="J36" i="42"/>
  <c r="H36" i="42"/>
  <c r="H35" i="42"/>
  <c r="J35" i="42"/>
  <c r="H34" i="42"/>
  <c r="J34" i="42"/>
  <c r="H33" i="42"/>
  <c r="J33" i="42"/>
  <c r="H32" i="42"/>
  <c r="J32" i="42"/>
  <c r="H31" i="42"/>
  <c r="J31" i="42"/>
  <c r="H30" i="42"/>
  <c r="J30" i="42"/>
  <c r="H29" i="42"/>
  <c r="J29" i="42"/>
  <c r="H28" i="42"/>
  <c r="J28" i="42"/>
  <c r="J27" i="42"/>
  <c r="H27" i="42"/>
  <c r="H26" i="42"/>
  <c r="J26" i="42"/>
  <c r="H25" i="42"/>
  <c r="J25" i="42"/>
  <c r="H24" i="42"/>
  <c r="J24" i="42"/>
  <c r="H23" i="42"/>
  <c r="J23" i="42"/>
  <c r="H22" i="42"/>
  <c r="J22" i="42"/>
  <c r="H21" i="42"/>
  <c r="J21" i="42"/>
  <c r="J20" i="42"/>
  <c r="H20" i="42"/>
  <c r="H19" i="42"/>
  <c r="J19" i="42"/>
  <c r="J18" i="42"/>
  <c r="H18" i="42"/>
  <c r="H17" i="42"/>
  <c r="J17" i="42"/>
  <c r="J16" i="42"/>
  <c r="H16" i="42"/>
  <c r="J15" i="42"/>
  <c r="H15" i="42"/>
  <c r="J14" i="42"/>
  <c r="H14" i="42"/>
  <c r="H13" i="42"/>
  <c r="J13" i="42"/>
  <c r="H12" i="42"/>
  <c r="J12" i="42"/>
  <c r="J11" i="42"/>
  <c r="H11" i="42"/>
  <c r="H10" i="42"/>
  <c r="J10" i="42"/>
  <c r="H9" i="42"/>
  <c r="J9" i="42"/>
  <c r="H8" i="42"/>
  <c r="J8" i="42"/>
  <c r="H7" i="42"/>
  <c r="J7" i="42"/>
  <c r="H6" i="42"/>
  <c r="J6" i="42"/>
  <c r="H5" i="42"/>
  <c r="J5" i="42"/>
  <c r="H4" i="42"/>
  <c r="J4" i="42"/>
  <c r="J3" i="42"/>
  <c r="H3" i="42"/>
  <c r="J2" i="42"/>
  <c r="H2" i="42"/>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H34" i="41"/>
  <c r="J34" i="41"/>
  <c r="H33" i="41"/>
  <c r="J33" i="41"/>
  <c r="J32" i="41"/>
  <c r="H32" i="41"/>
  <c r="H31" i="41"/>
  <c r="J31" i="41"/>
  <c r="H30" i="41"/>
  <c r="J30" i="41"/>
  <c r="J29" i="41"/>
  <c r="H29" i="41"/>
  <c r="J28" i="41"/>
  <c r="H28" i="41"/>
  <c r="H27" i="41"/>
  <c r="J27" i="41"/>
  <c r="J26" i="41"/>
  <c r="H26" i="41"/>
  <c r="H25" i="41"/>
  <c r="J25" i="41"/>
  <c r="J24" i="41"/>
  <c r="H24" i="41"/>
  <c r="J23" i="41"/>
  <c r="H23" i="41"/>
  <c r="J22" i="41"/>
  <c r="H22" i="41"/>
  <c r="J21" i="41"/>
  <c r="H21" i="41"/>
  <c r="H20" i="41"/>
  <c r="J20" i="41"/>
  <c r="H19" i="41"/>
  <c r="J19" i="41"/>
  <c r="H18" i="41"/>
  <c r="J18" i="41"/>
  <c r="J17" i="41"/>
  <c r="H17" i="41"/>
  <c r="J16" i="41"/>
  <c r="H16" i="41"/>
  <c r="J15" i="41"/>
  <c r="H15" i="4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H45" i="40"/>
  <c r="J45" i="40"/>
  <c r="J44" i="40"/>
  <c r="H44" i="40"/>
  <c r="J43" i="40"/>
  <c r="H43" i="40" s="1"/>
  <c r="J42" i="40"/>
  <c r="H42" i="40" s="1"/>
  <c r="J41" i="40"/>
  <c r="H41" i="40" s="1"/>
  <c r="J40" i="40"/>
  <c r="H40" i="40"/>
  <c r="J39" i="40"/>
  <c r="H39" i="40" s="1"/>
  <c r="J38" i="40"/>
  <c r="H38" i="40" s="1"/>
  <c r="J37" i="40"/>
  <c r="H37" i="40" s="1"/>
  <c r="J36" i="40"/>
  <c r="H36" i="40"/>
  <c r="J35" i="40"/>
  <c r="H35" i="40" s="1"/>
  <c r="J34" i="40"/>
  <c r="H34" i="40" s="1"/>
  <c r="J33" i="40"/>
  <c r="H33" i="40"/>
  <c r="J32" i="40"/>
  <c r="H32" i="40"/>
  <c r="J31" i="40"/>
  <c r="H31" i="40" s="1"/>
  <c r="J30" i="40"/>
  <c r="H30" i="40" s="1"/>
  <c r="J29" i="40"/>
  <c r="H29" i="40"/>
  <c r="J28" i="40"/>
  <c r="H28" i="40" s="1"/>
  <c r="J27" i="40"/>
  <c r="H27" i="40" s="1"/>
  <c r="J26" i="40"/>
  <c r="H26" i="40" s="1"/>
  <c r="J25" i="40"/>
  <c r="H25" i="40" s="1"/>
  <c r="J24" i="40"/>
  <c r="H24" i="40" s="1"/>
  <c r="J23" i="40"/>
  <c r="H23" i="40" s="1"/>
  <c r="J22" i="40"/>
  <c r="H22" i="40"/>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c r="J38" i="39"/>
  <c r="H38" i="39" s="1"/>
  <c r="J37" i="39"/>
  <c r="H37" i="39" s="1"/>
  <c r="J36" i="39"/>
  <c r="H36" i="39" s="1"/>
  <c r="J35" i="39"/>
  <c r="H35" i="39"/>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c r="J21" i="34"/>
  <c r="H21" i="34" s="1"/>
  <c r="J18" i="34"/>
  <c r="H18" i="34" s="1"/>
  <c r="J11" i="34"/>
  <c r="H11" i="34" s="1"/>
  <c r="J39" i="34"/>
  <c r="H39" i="34"/>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<sst xmlns="http://schemas.openxmlformats.org/spreadsheetml/2006/main" count="18045" uniqueCount="789">
  <si>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</si>
  <si>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</si>
  <si>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</si>
  <si>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</si>
  <si>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</si>
  <si>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</si>
  <si>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</si>
  <si>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</si>
  <si>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</si>
  <si>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</si>
  <si>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</si>
  <si>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</si>
  <si>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</si>
  <si>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</si>
  <si>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</si>
  <si>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</si>
  <si>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</si>
  <si>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</si>
  <si>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</si>
  <si>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</si>
  <si>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</si>
  <si>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</si>
  <si>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</si>
  <si>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</si>
  <si>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</si>
  <si>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</si>
  <si>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</si>
  <si>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</si>
  <si>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</si>
  <si>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</si>
  <si>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</si>
  <si>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</si>
  <si>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</si>
  <si>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</si>
  <si>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</si>
  <si>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</si>
  <si>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</si>
  <si>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</si>
  <si>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</si>
  <si>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</si>
  <si>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</si>
  <si>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</si>
  <si>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</si>
  <si>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</si>
  <si>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</si>
  <si>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</si>
  <si>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</si>
  <si>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</si>
  <si>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</si>
  <si>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</si>
  <si>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</si>
  <si>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</si>
  <si>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</si>
  <si>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</si>
  <si>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</si>
  <si>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</si>
  <si>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</si>
  <si>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</si>
  <si>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</si>
  <si>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</si>
  <si>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</si>
  <si>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</si>
  <si>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</si>
  <si>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</si>
  <si>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</si>
  <si>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</si>
  <si>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</si>
  <si>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</si>
  <si>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</si>
  <si>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</si>
  <si>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</si>
  <si>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</si>
  <si>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</si>
  <si>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</si>
  <si>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</si>
  <si>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</si>
  <si>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</si>
  <si>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</si>
  <si>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</si>
  <si>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</si>
  <si>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</si>
  <si>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</si>
  <si>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</si>
  <si>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</si>
  <si>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</si>
  <si>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</si>
  <si>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</si>
  <si>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</si>
  <si>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</si>
  <si>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</si>
  <si>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</si>
  <si>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</si>
  <si>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</si>
  <si>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</si>
  <si>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</si>
  <si>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</si>
  <si>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</si>
  <si>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</si>
  <si>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</si>
  <si>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</si>
  <si>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</si>
  <si>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</si>
  <si>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</si>
  <si>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</si>
  <si>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</si>
  <si>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</si>
  <si>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</si>
  <si>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</si>
  <si>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</si>
  <si>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</si>
  <si>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</si>
  <si>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</si>
  <si>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</si>
  <si>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</si>
  <si>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</si>
  <si>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</si>
  <si>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</si>
  <si>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</si>
  <si>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</si>
  <si>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</si>
  <si>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</si>
  <si>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</si>
  <si>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</si>
  <si>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</si>
  <si>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</si>
  <si>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</si>
  <si>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</si>
  <si>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</si>
  <si>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</si>
  <si>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</si>
  <si>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</si>
  <si>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</si>
  <si>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</si>
  <si>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</si>
  <si>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</si>
  <si>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</si>
  <si>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</si>
  <si>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</si>
  <si>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</si>
  <si>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</si>
  <si>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</si>
  <si>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</si>
  <si>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</si>
  <si>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</si>
  <si>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</si>
  <si>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</si>
  <si>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</si>
  <si>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</si>
  <si>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</si>
  <si>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</si>
  <si>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</si>
  <si>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</si>
  <si>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</si>
  <si>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</si>
  <si>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</si>
  <si>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</si>
  <si>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</si>
  <si>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</si>
  <si>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</si>
  <si>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</si>
  <si>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</si>
  <si>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</si>
  <si>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</si>
  <si>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</si>
  <si>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</si>
  <si>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</si>
  <si>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</si>
  <si>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</si>
  <si>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</si>
  <si>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</si>
  <si>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</si>
  <si>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</si>
  <si>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</si>
  <si>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</si>
  <si>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</si>
  <si>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</si>
  <si>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</si>
  <si>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</si>
  <si>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</si>
  <si>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</si>
  <si>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</si>
  <si>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</si>
  <si>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</si>
  <si>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</si>
  <si>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</si>
  <si>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</si>
  <si>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</si>
  <si>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</si>
  <si>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</si>
  <si>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</si>
  <si>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</si>
  <si>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</si>
  <si>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</si>
  <si>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</si>
  <si>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</si>
  <si>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</si>
  <si>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</si>
  <si>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</si>
  <si>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</si>
  <si>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</si>
  <si>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</si>
  <si>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</si>
  <si>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</si>
  <si>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</si>
  <si>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</si>
  <si>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</si>
  <si>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</si>
  <si>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</si>
  <si>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</si>
  <si>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</si>
  <si>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</si>
  <si>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</si>
  <si>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</si>
  <si>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</si>
  <si>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</si>
  <si>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</si>
  <si>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</si>
  <si>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</si>
  <si>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</si>
  <si>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</si>
  <si>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</si>
  <si>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</si>
  <si>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</si>
  <si>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</si>
  <si>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</si>
  <si>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</si>
  <si>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</si>
  <si>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</si>
  <si>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</si>
  <si>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</si>
  <si>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</si>
  <si>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</si>
  <si>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</si>
  <si>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</si>
  <si>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</si>
  <si>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</si>
  <si>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</si>
  <si>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</si>
  <si>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</si>
  <si>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</si>
  <si>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</si>
  <si>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</si>
  <si>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</si>
  <si>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</si>
  <si>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</si>
  <si>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</si>
  <si>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</si>
  <si>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</si>
  <si>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</si>
  <si>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</si>
  <si>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</si>
  <si>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</si>
  <si>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</si>
  <si>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</si>
  <si>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</si>
  <si>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</si>
  <si>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</si>
  <si>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</si>
  <si>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</si>
  <si>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</si>
  <si>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</si>
  <si>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</si>
  <si>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</si>
  <si>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</si>
  <si>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</si>
  <si>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</si>
  <si>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</si>
  <si>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</si>
  <si>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</si>
  <si>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</si>
  <si>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</si>
  <si>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</si>
  <si>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</si>
  <si>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</si>
  <si>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</si>
  <si>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</si>
  <si>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</si>
  <si>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</si>
  <si>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</si>
  <si>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</si>
  <si>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</si>
  <si>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</si>
  <si>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</si>
  <si>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</si>
  <si>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</si>
  <si>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</si>
  <si>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</si>
  <si>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</si>
  <si>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</si>
  <si>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</si>
  <si>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</si>
  <si>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</si>
  <si>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</si>
  <si>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</si>
  <si>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</si>
  <si>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</si>
  <si>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</si>
  <si>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</si>
  <si>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</si>
  <si>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</si>
  <si>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</si>
  <si>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</si>
  <si>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</si>
  <si>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</si>
  <si>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</si>
  <si>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</si>
  <si>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</si>
  <si>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</si>
  <si>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</si>
  <si>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</si>
  <si>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</si>
  <si>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</si>
  <si>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</si>
  <si>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</si>
  <si>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</si>
  <si>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</si>
  <si>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</si>
  <si>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</si>
  <si>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</si>
  <si>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</si>
  <si>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</si>
  <si>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</si>
  <si>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</si>
  <si>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</si>
  <si>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</si>
  <si>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</si>
  <si>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</si>
  <si>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</si>
  <si>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</si>
  <si>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</si>
  <si>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</si>
  <si>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</si>
  <si>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</si>
  <si>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</si>
  <si>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</si>
  <si>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</si>
  <si>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</si>
  <si>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</si>
  <si>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</si>
  <si>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</si>
  <si>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</si>
  <si>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</si>
  <si>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</si>
  <si>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</si>
  <si>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</si>
  <si>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</si>
  <si>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</si>
  <si>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</si>
  <si>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</si>
  <si>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</si>
  <si>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</si>
  <si>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</si>
  <si>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</si>
  <si>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</si>
  <si>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</si>
  <si>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</si>
  <si>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</si>
  <si>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</si>
  <si>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</si>
  <si>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</si>
  <si>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</si>
  <si>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</si>
  <si>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</si>
  <si>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</si>
  <si>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</si>
  <si>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</si>
  <si>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</si>
  <si>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</si>
  <si>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</si>
  <si>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</si>
  <si>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</si>
  <si>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</si>
  <si>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</si>
  <si>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</si>
  <si>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</si>
  <si>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</si>
  <si>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</si>
  <si>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</si>
  <si>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</si>
  <si>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</si>
  <si>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</si>
  <si>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</si>
  <si>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</si>
  <si>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</si>
  <si>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</si>
  <si>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</si>
  <si>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</si>
  <si>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</si>
  <si>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</si>
  <si>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</si>
  <si>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</si>
  <si>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</si>
  <si>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</si>
  <si>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</si>
  <si>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</si>
  <si>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</si>
  <si>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</si>
  <si>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</si>
  <si>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</si>
  <si>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</si>
  <si>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</si>
  <si>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</si>
  <si>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</si>
  <si>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</si>
  <si>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</si>
  <si>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</si>
  <si>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</si>
  <si>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</si>
  <si>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</si>
  <si>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</si>
  <si>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</si>
  <si>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</si>
  <si>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</si>
  <si>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</si>
  <si>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</si>
  <si>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</si>
  <si>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</si>
  <si>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</si>
  <si>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</si>
  <si>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</si>
  <si>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</si>
  <si>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</si>
  <si>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</si>
  <si>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</si>
  <si>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</si>
  <si>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</si>
  <si>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</si>
  <si>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</si>
  <si>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</si>
  <si>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</si>
  <si>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</si>
  <si>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</si>
  <si>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</si>
  <si>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</si>
  <si>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</si>
  <si>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</si>
  <si>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</si>
  <si>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</si>
  <si>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</si>
  <si>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</si>
  <si>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</si>
  <si>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</si>
  <si>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</si>
  <si>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</si>
  <si>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</si>
  <si>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</si>
  <si>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</si>
  <si>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</si>
  <si>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</si>
  <si>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</si>
  <si>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</si>
  <si>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</si>
  <si>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</si>
  <si>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</si>
  <si>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</si>
  <si>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</si>
  <si>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</si>
  <si>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</si>
  <si>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</si>
  <si>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</si>
  <si>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</si>
  <si>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</si>
  <si>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</si>
  <si>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</si>
  <si>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</si>
  <si>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</si>
  <si>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</si>
  <si>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</si>
  <si>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</si>
  <si>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</si>
  <si>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</si>
  <si>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</si>
  <si>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</si>
  <si>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</si>
  <si>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</si>
  <si>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</si>
  <si>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</si>
  <si>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</si>
  <si>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</si>
  <si>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</si>
  <si>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</si>
  <si>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</si>
  <si>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</si>
  <si>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</si>
  <si>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</si>
  <si>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</si>
  <si>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</si>
  <si>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</si>
  <si>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</si>
  <si>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</si>
  <si>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</si>
  <si>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</si>
  <si>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</si>
  <si>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</si>
  <si>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</si>
  <si>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</si>
  <si>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</si>
  <si>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</si>
  <si>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</si>
  <si>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</si>
  <si>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</si>
  <si>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</si>
  <si>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</si>
  <si>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</si>
  <si>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</si>
  <si>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</si>
  <si>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</si>
  <si>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</si>
  <si>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</si>
  <si>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</si>
  <si>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</si>
  <si>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</si>
  <si>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</si>
  <si>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</si>
  <si>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</si>
  <si>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</si>
  <si>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</si>
  <si>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</si>
  <si>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</si>
  <si>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</si>
  <si>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</si>
  <si>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</si>
  <si>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</si>
  <si>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</si>
  <si>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</si>
  <si>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</si>
  <si>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</si>
  <si>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</si>
  <si>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</si>
  <si>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</si>
  <si>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</si>
  <si>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</si>
  <si>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</si>
  <si>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</si>
  <si>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</si>
  <si>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</si>
  <si>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</si>
  <si>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</si>
  <si>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</si>
  <si>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</si>
  <si>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</si>
  <si>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</si>
  <si>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</si>
  <si>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</si>
  <si>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</si>
  <si>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</si>
  <si>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</si>
  <si>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</si>
  <si>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</si>
  <si>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</si>
  <si>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</si>
  <si>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</si>
  <si>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</si>
  <si>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</si>
  <si>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</si>
  <si>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</si>
  <si>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</si>
  <si>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</si>
  <si>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</si>
  <si>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</si>
  <si>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</si>
  <si>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</si>
  <si>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</si>
  <si>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</si>
  <si>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</si>
  <si>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</si>
  <si>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</si>
  <si>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</si>
  <si>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</si>
  <si>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</si>
  <si>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</si>
  <si>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</si>
  <si>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</si>
  <si>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</si>
  <si>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</si>
  <si>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</si>
  <si>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</si>
  <si>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</si>
  <si>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</si>
  <si>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</si>
  <si>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</si>
  <si>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</si>
  <si>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</si>
  <si>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</si>
  <si>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</si>
  <si>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</si>
  <si>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</si>
  <si>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</si>
  <si>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</si>
  <si>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</si>
  <si>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</si>
  <si>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</si>
  <si>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</si>
  <si>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</si>
  <si>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</si>
  <si>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</si>
  <si>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</si>
  <si>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</si>
  <si>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</si>
  <si>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</si>
  <si>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</si>
  <si>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</si>
  <si>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</si>
  <si>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</si>
  <si>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</si>
  <si>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</si>
  <si>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</si>
  <si>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</si>
  <si>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</si>
  <si>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</si>
  <si>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</si>
  <si>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</si>
  <si>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</si>
  <si>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</si>
  <si>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</si>
  <si>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</si>
  <si>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</si>
  <si>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</si>
  <si>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</si>
  <si>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</si>
  <si>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</si>
  <si>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</si>
  <si>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</si>
  <si>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</si>
  <si>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</si>
  <si>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</si>
  <si>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</si>
  <si>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</si>
  <si>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</si>
  <si>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</si>
  <si>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</si>
  <si>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</si>
  <si>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</si>
  <si>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</si>
  <si>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</si>
  <si>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</si>
  <si>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</si>
  <si>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</si>
  <si>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</si>
  <si>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</si>
  <si>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</si>
  <si>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</si>
  <si>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</si>
  <si>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</si>
  <si>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</si>
  <si>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</si>
  <si>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</si>
  <si>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</si>
  <si>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</si>
  <si>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</si>
  <si>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</si>
  <si>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</si>
  <si>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</si>
  <si>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</si>
  <si>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</si>
  <si>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</si>
  <si>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</si>
  <si>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</si>
  <si>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</si>
  <si>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</si>
  <si>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</si>
  <si>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</si>
  <si>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</si>
  <si>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</si>
  <si>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</si>
  <si>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</si>
  <si>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</si>
  <si>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</si>
  <si>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</si>
  <si>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</si>
  <si>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</si>
  <si>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</si>
  <si>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</si>
  <si>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</si>
  <si>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</si>
  <si>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</si>
  <si>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</si>
  <si>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</si>
  <si>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</si>
  <si>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</si>
  <si>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</si>
  <si>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</si>
  <si>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</si>
  <si>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</si>
  <si>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</si>
  <si>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</si>
  <si>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</si>
  <si>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</si>
  <si>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</si>
  <si>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</si>
  <si>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</si>
  <si>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</si>
  <si>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</si>
  <si>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</si>
  <si>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</si>
  <si>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</si>
  <si>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</si>
  <si>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</si>
  <si>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</si>
  <si>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</si>
  <si>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</si>
  <si>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</si>
  <si>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</si>
  <si>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</si>
  <si>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</si>
  <si>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</si>
  <si>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</si>
  <si>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</si>
  <si>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</si>
  <si>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</si>
  <si>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</si>
  <si>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</si>
  <si>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</si>
  <si>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</si>
  <si>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</si>
  <si>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</si>
  <si>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</si>
  <si>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</si>
  <si>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</si>
  <si>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</si>
  <si>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</si>
  <si>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</si>
  <si>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</si>
  <si>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</si>
  <si>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</si>
  <si>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</si>
  <si>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</si>
  <si>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</si>
  <si>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</si>
  <si>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</si>
  <si>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</si>
  <si>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</si>
  <si>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</si>
  <si>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</si>
  <si>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</si>
  <si>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</si>
  <si>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</si>
  <si>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</si>
  <si>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</si>
  <si>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</si>
  <si>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</si>
  <si>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</si>
  <si>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</si>
  <si>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</si>
  <si>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</si>
  <si>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</si>
  <si>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</si>
  <si>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</si>
  <si>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</si>
  <si>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</si>
  <si>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</si>
  <si>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</si>
  <si>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</si>
  <si>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</si>
  <si>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</si>
  <si>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</si>
  <si>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</si>
  <si>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</si>
  <si>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</si>
  <si>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</si>
  <si>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</si>
  <si>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</si>
  <si>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</si>
  <si>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</si>
  <si>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</si>
  <si>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</si>
  <si>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</si>
  <si>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</si>
  <si>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</si>
  <si>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</si>
  <si>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</si>
  <si>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</si>
  <si>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</si>
  <si>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</si>
  <si>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</si>
  <si>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</si>
  <si>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</si>
  <si>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</si>
  <si>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</si>
  <si>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</si>
  <si>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</si>
  <si>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</si>
  <si>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</si>
  <si>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Steve Latham</t>
  </si>
  <si>
    <t>Oliver Voice</t>
  </si>
  <si>
    <t>Antony Brown</t>
  </si>
  <si>
    <t>Nick Gallimore</t>
  </si>
  <si>
    <t>Sarah Hollis</t>
  </si>
  <si>
    <t>Neil McDonald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</si>
</sst>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 workbookViewId="1"/>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 workbookViewId="1"/>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600</v>
      </c>
      <c r="C25" s="70" t="s">
        <v>599</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776</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707</v>
      </c>
      <c r="C38" s="70" t="s">
        <v>709</v>
      </c>
      <c r="D38" s="70" t="s">
        <v>23</v>
      </c>
      <c r="E38" s="70" t="b">
        <v>0</v>
      </c>
      <c r="F38" s="70" t="s">
        <v>35</v>
      </c>
      <c r="G38" s="70"/>
      <c r="H38" s="71">
        <v>46236</v>
      </c>
      <c r="J38" s="1"/>
    </row>
    <row r="39" spans="1:10" ht="14.25">
      <c r="A39" s="70">
        <v>1189</v>
      </c>
      <c r="B39" s="70" t="s">
        <v>707</v>
      </c>
      <c r="C39" s="70" t="s">
        <v>708</v>
      </c>
      <c r="D39" s="70" t="s">
        <v>23</v>
      </c>
      <c r="E39" s="70" t="b">
        <v>0</v>
      </c>
      <c r="F39" s="70" t="s">
        <v>35</v>
      </c>
      <c r="G39" s="70"/>
      <c r="H39" s="71">
        <v>46236</v>
      </c>
      <c r="J39" s="1"/>
    </row>
    <row r="40" spans="1:10" ht="14.25">
      <c r="A40" s="70">
        <v>735</v>
      </c>
      <c r="B40" s="70" t="s">
        <v>707</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775</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621</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706</v>
      </c>
      <c r="C110" s="70" t="s">
        <v>705</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774</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773</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772</v>
      </c>
      <c r="C172" s="70" t="s">
        <v>34</v>
      </c>
      <c r="D172" s="70" t="s">
        <v>23</v>
      </c>
      <c r="E172" s="70" t="b">
        <v>0</v>
      </c>
      <c r="F172" s="70" t="s">
        <v>27</v>
      </c>
      <c r="G172" s="70">
        <v>8</v>
      </c>
      <c r="H172" s="71">
        <v>46236</v>
      </c>
      <c r="J172" s="1"/>
    </row>
    <row r="173" spans="1:10" ht="14.25">
      <c r="A173" s="70">
        <v>1433</v>
      </c>
      <c r="B173" s="70" t="s">
        <v>772</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704</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 workbookViewId="1"/>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 workbookViewId="1"/>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 workbookViewId="1"/>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 workbookViewId="1"/>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 workbookViewId="1"/>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 workbookViewId="1"/>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 workbookViewId="1"/>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 workbookViewId="1"/>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 workbookViewId="1"/>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 workbookViewId="1"/>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600</v>
      </c>
      <c r="C25" s="63" t="s">
        <v>599</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 workbookViewId="1"/>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600</v>
      </c>
      <c r="C25" s="67" t="s">
        <v>599</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707</v>
      </c>
      <c r="C37" s="67" t="s">
        <v>709</v>
      </c>
      <c r="D37" s="67" t="s">
        <v>23</v>
      </c>
      <c r="E37" s="67" t="b">
        <v>0</v>
      </c>
      <c r="F37" s="67" t="s">
        <v>35</v>
      </c>
      <c r="H37" s="68">
        <v>46216</v>
      </c>
    </row>
    <row r="38" spans="1:8">
      <c r="A38" s="67">
        <v>1189</v>
      </c>
      <c r="B38" s="67" t="s">
        <v>707</v>
      </c>
      <c r="C38" s="67" t="s">
        <v>708</v>
      </c>
      <c r="D38" s="67" t="s">
        <v>23</v>
      </c>
      <c r="E38" s="67" t="b">
        <v>0</v>
      </c>
      <c r="F38" s="67" t="s">
        <v>35</v>
      </c>
      <c r="H38" s="68">
        <v>46216</v>
      </c>
    </row>
    <row r="39" spans="1:8">
      <c r="A39" s="67">
        <v>735</v>
      </c>
      <c r="B39" s="67" t="s">
        <v>707</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621</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706</v>
      </c>
      <c r="C108" s="67" t="s">
        <v>705</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704</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 workbookViewId="1"/>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600</v>
      </c>
      <c r="C25" s="70" t="s">
        <v>599</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776</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707</v>
      </c>
      <c r="C38" s="70" t="s">
        <v>709</v>
      </c>
      <c r="D38" s="70" t="s">
        <v>23</v>
      </c>
      <c r="E38" s="70" t="b">
        <v>0</v>
      </c>
      <c r="F38" s="70" t="s">
        <v>35</v>
      </c>
      <c r="H38" s="71">
        <v>46236</v>
      </c>
    </row>
    <row r="39" spans="1:8">
      <c r="A39" s="70">
        <v>1189</v>
      </c>
      <c r="B39" s="70" t="s">
        <v>707</v>
      </c>
      <c r="C39" s="70" t="s">
        <v>708</v>
      </c>
      <c r="D39" s="70" t="s">
        <v>23</v>
      </c>
      <c r="E39" s="70" t="b">
        <v>0</v>
      </c>
      <c r="F39" s="70" t="s">
        <v>35</v>
      </c>
      <c r="H39" s="71">
        <v>46236</v>
      </c>
    </row>
    <row r="40" spans="1:8">
      <c r="A40" s="70">
        <v>735</v>
      </c>
      <c r="B40" s="70" t="s">
        <v>707</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775</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621</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706</v>
      </c>
      <c r="C110" s="70" t="s">
        <v>705</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774</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773</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772</v>
      </c>
      <c r="C172" s="70" t="s">
        <v>34</v>
      </c>
      <c r="D172" s="70" t="s">
        <v>23</v>
      </c>
      <c r="E172" s="70" t="b">
        <v>0</v>
      </c>
      <c r="F172" s="70" t="s">
        <v>27</v>
      </c>
      <c r="G172" s="70">
        <v>8</v>
      </c>
      <c r="H172" s="71">
        <v>46236</v>
      </c>
    </row>
    <row r="173" spans="1:8">
      <c r="A173" s="70">
        <v>1433</v>
      </c>
      <c r="B173" s="70" t="s">
        <v>772</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704</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 workbookViewId="1"/>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 workbookViewId="1"/>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 workbookViewId="1"/>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5" workbookViewId="0">
      <selection activeCell="B124" sqref="B124"/>
    </sheetView>
    <sheetView tabSelected="1" topLeftCell="A99" workbookViewId="1">
      <selection activeCell="A124" sqref="A12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751</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753</v>
      </c>
      <c r="B25" t="s">
        <v>397</v>
      </c>
      <c r="C25" s="36" t="str">
        <f t="shared" si="0"/>
        <v>Steve Evans (HCRC)</v>
      </c>
    </row>
    <row r="26" spans="1:4" ht="14.25">
      <c r="A26" t="s">
        <v>484</v>
      </c>
      <c r="B26" t="s">
        <v>391</v>
      </c>
      <c r="C26" s="36" t="str">
        <f t="shared" si="0"/>
        <v>Andy King (KCC)</v>
      </c>
    </row>
    <row r="27" spans="1:4" ht="14.25">
      <c r="A27" s="62"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2"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777</v>
      </c>
      <c r="B74" t="s">
        <v>394</v>
      </c>
      <c r="C74" s="36" t="str">
        <f t="shared" si="2"/>
        <v>Nikki Allen (Ratae)</v>
      </c>
      <c r="D74" t="s">
        <v>372</v>
      </c>
    </row>
    <row r="75" spans="1:4" ht="14.25">
      <c r="A75" t="s">
        <v>513</v>
      </c>
      <c r="B75" t="s">
        <v>394</v>
      </c>
      <c r="C75" s="36" t="str">
        <f t="shared" si="2"/>
        <v>Paul Eden (Ratae)</v>
      </c>
    </row>
    <row r="76" spans="1:4" ht="14.25">
      <c r="A76" t="s">
        <v>661</v>
      </c>
      <c r="B76" t="s">
        <v>394</v>
      </c>
      <c r="C76" s="36" t="str">
        <f t="shared" si="2"/>
        <v>Peter Kott (Ratae)</v>
      </c>
    </row>
    <row r="77" spans="1:4" ht="14.25">
      <c r="A77" t="s">
        <v>514</v>
      </c>
      <c r="B77" t="s">
        <v>394</v>
      </c>
      <c r="C77" s="36" t="str">
        <f t="shared" si="2"/>
        <v>Sadie Murphy (Ratae)</v>
      </c>
      <c r="D77" t="s">
        <v>372</v>
      </c>
    </row>
    <row r="78" spans="1:4" ht="14.25">
      <c r="A78" s="62" t="s">
        <v>778</v>
      </c>
      <c r="B78" t="s">
        <v>394</v>
      </c>
      <c r="C78" s="36" t="str">
        <f t="shared" si="2"/>
        <v>Sally Richards (Ratae)</v>
      </c>
      <c r="D78" t="s">
        <v>372</v>
      </c>
    </row>
    <row r="79" spans="1:4" ht="14.25">
      <c r="A79" t="s">
        <v>515</v>
      </c>
      <c r="B79" t="s">
        <v>394</v>
      </c>
      <c r="C79" s="36" t="str">
        <f t="shared" si="2"/>
        <v>Steve Pearce (Ratae)</v>
      </c>
    </row>
    <row r="80" spans="1:4" ht="14.25">
      <c r="A80" t="s">
        <v>639</v>
      </c>
      <c r="B80" t="s">
        <v>394</v>
      </c>
      <c r="C80" s="36" t="str">
        <f t="shared" si="2"/>
        <v>Sue Bonsor (Ratae)</v>
      </c>
      <c r="D80" t="s">
        <v>372</v>
      </c>
    </row>
    <row r="81" spans="1:4" ht="14.25">
      <c r="A81" t="s">
        <v>516</v>
      </c>
      <c r="B81" t="s">
        <v>385</v>
      </c>
      <c r="C81" s="36" t="str">
        <f t="shared" si="2"/>
        <v>Adam Wells (RFW)</v>
      </c>
    </row>
    <row r="82" spans="1:4" ht="14.25">
      <c r="A82" t="s">
        <v>592</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632</v>
      </c>
      <c r="B87" t="s">
        <v>385</v>
      </c>
      <c r="C87" s="36" t="str">
        <f t="shared" si="2"/>
        <v>Ethan Mitchell-Clarke (Team Bottrill Nopinz) (RFW)</v>
      </c>
    </row>
    <row r="88" spans="1:4" ht="14.25">
      <c r="A88" t="s">
        <v>521</v>
      </c>
      <c r="B88" t="s">
        <v>385</v>
      </c>
      <c r="C88" s="36" t="str">
        <f t="shared" si="2"/>
        <v>Giles Cooper (RFW)</v>
      </c>
    </row>
    <row r="89" spans="1:4" ht="14.25">
      <c r="A89" t="s">
        <v>587</v>
      </c>
      <c r="B89" t="s">
        <v>385</v>
      </c>
      <c r="C89" s="36" t="str">
        <f t="shared" si="2"/>
        <v>Graeme Hall (RFW)</v>
      </c>
    </row>
    <row r="90" spans="1:4" ht="14.25">
      <c r="A90" t="s">
        <v>522</v>
      </c>
      <c r="B90" t="s">
        <v>385</v>
      </c>
      <c r="C90" s="36" t="str">
        <f t="shared" si="2"/>
        <v>Gregg Payne (RFW)</v>
      </c>
    </row>
    <row r="91" spans="1:4" ht="14.25">
      <c r="A91" t="s">
        <v>591</v>
      </c>
      <c r="B91" t="s">
        <v>385</v>
      </c>
      <c r="C91" s="36" t="str">
        <f t="shared" si="2"/>
        <v>Hudson Hendry (Ride Revolution) (RFW)</v>
      </c>
    </row>
    <row r="92" spans="1:4" ht="14.25">
      <c r="A92" t="s">
        <v>593</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633</v>
      </c>
      <c r="B100" t="s">
        <v>385</v>
      </c>
      <c r="C100" s="36" t="str">
        <f t="shared" ref="C100:C120" si="3">IF(ISBLANK(B100),IF(ISBLANK(A100),"",A100),_xlfn.CONCAT(A100," (",B100,")"))</f>
        <v>Pete Bradshaw (RFW)</v>
      </c>
    </row>
    <row r="101" spans="1:3" ht="14.25">
      <c r="A101" t="s">
        <v>528</v>
      </c>
      <c r="B101" t="s">
        <v>385</v>
      </c>
      <c r="C101" s="36" t="str">
        <f t="shared" si="3"/>
        <v>Phil Wilkinson (RFW)</v>
      </c>
    </row>
    <row r="102" spans="1:3" ht="14.25">
      <c r="A102" t="s">
        <v>589</v>
      </c>
      <c r="B102" t="s">
        <v>385</v>
      </c>
      <c r="C102" s="36" t="str">
        <f t="shared" si="3"/>
        <v>Steve Coombs (RFW)</v>
      </c>
    </row>
    <row r="103" spans="1:3" ht="14.25">
      <c r="A103" t="s">
        <v>590</v>
      </c>
      <c r="B103" t="s">
        <v>385</v>
      </c>
      <c r="C103" s="36" t="str">
        <f t="shared" si="3"/>
        <v>Steve Wickham (RFW)</v>
      </c>
    </row>
    <row r="104" spans="1:3" ht="14.25">
      <c r="A104" t="s">
        <v>530</v>
      </c>
      <c r="B104" t="s">
        <v>531</v>
      </c>
      <c r="C104" s="36" t="str">
        <f t="shared" si="3"/>
        <v>Adrian James (Rugby RCC)</v>
      </c>
    </row>
    <row r="105" spans="1:3" ht="14.25">
      <c r="A105" t="s">
        <v>750</v>
      </c>
      <c r="B105" t="s">
        <v>531</v>
      </c>
      <c r="C105" s="36" t="str">
        <f t="shared" si="3"/>
        <v>Angus Gordon (Rugby RCC)</v>
      </c>
    </row>
    <row r="106" spans="1:3" ht="14.25">
      <c r="A106" t="s">
        <v>747</v>
      </c>
      <c r="B106" t="s">
        <v>748</v>
      </c>
      <c r="C106" s="36" t="str">
        <f t="shared" si="3"/>
        <v>Tom Swain (Rugby Tri)</v>
      </c>
    </row>
    <row r="107" spans="1:3" ht="14.25">
      <c r="A107" t="s">
        <v>532</v>
      </c>
      <c r="B107" t="s">
        <v>533</v>
      </c>
      <c r="C107" s="36" t="str">
        <f t="shared" si="3"/>
        <v>Carl Shaw (Speedhub)</v>
      </c>
    </row>
    <row r="108" spans="1:3" ht="14.25">
      <c r="A108" t="s">
        <v>693</v>
      </c>
      <c r="B108" t="s">
        <v>533</v>
      </c>
      <c r="C108" s="36" t="str">
        <f t="shared" si="3"/>
        <v>Tom Swan (Speedhub)</v>
      </c>
    </row>
    <row r="109" spans="1:3" ht="14.25">
      <c r="A109" t="s">
        <v>760</v>
      </c>
      <c r="B109" t="s">
        <v>761</v>
      </c>
      <c r="C109" s="36" t="str">
        <f t="shared" si="3"/>
        <v>Andy Logie (SSVC)</v>
      </c>
    </row>
    <row r="110" spans="1:3" ht="14.25">
      <c r="A110" t="s">
        <v>764</v>
      </c>
      <c r="B110" t="s">
        <v>761</v>
      </c>
      <c r="C110" s="36" t="str">
        <f t="shared" si="3"/>
        <v>Simon Thomas (SSVC)</v>
      </c>
    </row>
    <row r="111" spans="1:3" ht="14.25">
      <c r="A111" t="s">
        <v>534</v>
      </c>
      <c r="B111" t="s">
        <v>535</v>
      </c>
      <c r="C111" s="36" t="str">
        <f t="shared" si="3"/>
        <v>Oliver Searle (St Ives CC)</v>
      </c>
    </row>
    <row r="112" spans="1:3" ht="14.25">
      <c r="A112" t="s">
        <v>694</v>
      </c>
      <c r="B112" t="s">
        <v>695</v>
      </c>
      <c r="C112" s="36" t="str">
        <f t="shared" si="3"/>
        <v>Tom Scott-Collins (Velo Elite)</v>
      </c>
    </row>
    <row r="113" spans="1:4" ht="14.25">
      <c r="A113" t="s">
        <v>698</v>
      </c>
      <c r="B113" t="s">
        <v>699</v>
      </c>
      <c r="C113" s="36" t="str">
        <f t="shared" si="3"/>
        <v>Paul Akroyd (VTTA E.Mids)</v>
      </c>
    </row>
    <row r="114" spans="1:4" ht="14.25">
      <c r="A114" t="s">
        <v>755</v>
      </c>
      <c r="B114" t="s">
        <v>756</v>
      </c>
      <c r="C114" s="36" t="str">
        <f t="shared" si="3"/>
        <v>Julian Church (Worcester St. Johns CC)</v>
      </c>
    </row>
    <row r="115" spans="1:4" ht="14.25">
      <c r="A115" t="s">
        <v>757</v>
      </c>
      <c r="B115" t="s">
        <v>756</v>
      </c>
      <c r="C115" s="36" t="str">
        <f t="shared" si="3"/>
        <v>Oliver Church (Worcester St. Johns CC)</v>
      </c>
    </row>
    <row r="116" spans="1:4" ht="14.25">
      <c r="A116" t="s">
        <v>630</v>
      </c>
      <c r="B116" t="s">
        <v>388</v>
      </c>
      <c r="C116" s="36" t="str">
        <f t="shared" si="3"/>
        <v>Ed Tarelli (Race Hub) (WVCC)</v>
      </c>
      <c r="D116" s="36"/>
    </row>
    <row r="117" spans="1:4" ht="14.25">
      <c r="A117" t="s">
        <v>629</v>
      </c>
      <c r="B117" t="s">
        <v>388</v>
      </c>
      <c r="C117" s="36" t="str">
        <f t="shared" si="3"/>
        <v>Jamie Kershaw (Beeston CC) (WVCC)</v>
      </c>
    </row>
    <row r="118" spans="1:4" ht="14.25">
      <c r="A118" t="s">
        <v>631</v>
      </c>
      <c r="B118" t="s">
        <v>388</v>
      </c>
      <c r="C118" s="36" t="str">
        <f t="shared" si="3"/>
        <v>Jennifer Clegg (Team Bottrill Nopinz) (WVCC)</v>
      </c>
      <c r="D118" t="s">
        <v>372</v>
      </c>
    </row>
    <row r="119" spans="1:4" ht="14.25">
      <c r="A119" t="s">
        <v>627</v>
      </c>
      <c r="B119" t="s">
        <v>388</v>
      </c>
      <c r="C119" s="36" t="str">
        <f t="shared" si="3"/>
        <v>Leah Cuthbertson (G Fox) (WVCC)</v>
      </c>
      <c r="D119" t="s">
        <v>372</v>
      </c>
    </row>
    <row r="120" spans="1:4" ht="14.25">
      <c r="A120" t="s">
        <v>628</v>
      </c>
      <c r="B120" t="s">
        <v>388</v>
      </c>
      <c r="C120" s="36" t="str">
        <f t="shared" si="3"/>
        <v>Ruby Isaac (CAMS Majaco) (WVCC)</v>
      </c>
      <c r="D120" t="s">
        <v>372</v>
      </c>
    </row>
    <row r="121" spans="1:4" ht="14.25">
      <c r="A121" t="s">
        <v>779</v>
      </c>
      <c r="B121" t="s">
        <v>780</v>
      </c>
      <c r="C121" s="36" t="str">
        <f t="shared" ref="C121:C160" si="4">IF(ISBLANK(B121),IF(ISBLANK(A121),"",A121),_xlfn.CONCAT(A121," (",B121,")"))</f>
        <v>Joseph Hyde (Numplumz)</v>
      </c>
    </row>
    <row r="122" spans="1:4" ht="14.25">
      <c r="A122" t="s">
        <v>781</v>
      </c>
      <c r="B122" t="s">
        <v>782</v>
      </c>
      <c r="C122" s="36" t="str">
        <f t="shared" si="4"/>
        <v>Peter Cowler (Wellingborough AC)</v>
      </c>
    </row>
    <row r="123" spans="1:4" ht="14.25">
      <c r="A123" t="s">
        <v>785</v>
      </c>
      <c r="B123" t="s">
        <v>391</v>
      </c>
      <c r="C123" s="36" t="str">
        <f t="shared" si="4"/>
        <v>Antony Brown (KCC)</v>
      </c>
    </row>
    <row r="124" spans="1:4" ht="14.25">
      <c r="A124" t="s">
        <v>786</v>
      </c>
      <c r="B124" t="s">
        <v>391</v>
      </c>
      <c r="C124" s="36" t="str">
        <f t="shared" si="4"/>
        <v>Nick Gallimore (KCC)</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 workbookViewId="1"/>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 workbookViewId="1"/>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 workbookViewId="1"/>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 workbookViewId="1"/>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 workbookViewId="1"/>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 workbookViewId="1"/>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622</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 workbookViewId="1"/>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 workbookViewId="1"/>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 workbookViewId="1"/>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 workbookViewId="1"/>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751</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 workbookViewId="1"/>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16" sqref="A16"/>
    </sheetView>
    <sheetView workbookViewId="1"/>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778</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747</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749</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opLeftCell="B14" workbookViewId="0">
      <selection activeCell="H36" sqref="H36"/>
    </sheetView>
    <sheetView workbookViewId="1"/>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750</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751</v>
      </c>
      <c r="B16" s="47" t="str">
        <f t="shared" si="0"/>
        <v>David Alexander (Coalville Wheelers)</v>
      </c>
      <c r="C16" s="47" t="s">
        <v>676</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753</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752</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754</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755</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757</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758</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759</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760</v>
      </c>
      <c r="B53" s="47" t="str">
        <f t="shared" si="3"/>
        <v>Andy Logie (SSVC)</v>
      </c>
      <c r="C53" s="47" t="s">
        <v>762</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763</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764</v>
      </c>
      <c r="B55" s="47" t="str">
        <f t="shared" si="3"/>
        <v>Simon Thomas (SSVC)</v>
      </c>
      <c r="C55" s="47" t="s">
        <v>765</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766</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767</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768</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769</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770</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771</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F1" sqref="F1:F1048576"/>
    </sheetView>
    <sheetView workbookViewId="1"/>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622</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777</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582</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580</v>
      </c>
      <c r="B9" s="47" t="str">
        <f t="shared" si="0"/>
        <v>Geoff Stanbridge (Ratae)</v>
      </c>
      <c r="C9" s="48"/>
      <c r="D9" s="49"/>
      <c r="E9" s="49"/>
      <c r="F9" s="65" t="s">
        <v>545</v>
      </c>
      <c r="G9" s="49" t="s">
        <v>558</v>
      </c>
      <c r="H9" s="50" t="str">
        <f>IF($B9="","",IF($J9="X",B9,CONCATENATE(VLOOKUP(B9,Competitors!$A$2:$I$650,3,FALSE)," ",VLOOKUP(B9,Competitors!$A$2:$I$650,2,FALSE))))</f>
        <v>Geoff Stanbridge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737</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778</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595</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596</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698</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620</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692</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626</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tabSelected="1" workbookViewId="0">
      <selection activeCell="F44" sqref="F44"/>
    </sheetView>
    <sheetView topLeftCell="A4" workbookViewId="1"/>
  </sheetViews>
  <sheetFormatPr defaultColWidth="9.1328125" defaultRowHeight="12.75"/>
  <cols>
    <col min="1" max="1" width="28.06640625" bestFit="1" customWidth="1"/>
    <col min="2" max="2" width="39.79687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582</v>
      </c>
      <c r="B2" s="47">
        <f t="shared" ref="B2:B33" si="0">IF(A2="","",_xlfn.XLOOKUP(A2,ClubNames,ClubNumbers,_xlfn.XLOOKUP(A2,RoundRobinRiderNames,RoundRobinRiderDecoratedNames,A2)))</f>
        <v>1370</v>
      </c>
      <c r="C2" s="59"/>
      <c r="D2" s="59"/>
      <c r="E2" s="59"/>
      <c r="F2" s="65" t="s">
        <v>545</v>
      </c>
      <c r="G2" s="59"/>
      <c r="H2" s="50" t="str">
        <f>IF($B2="","",IF($J2="X",B2,CONCATENATE(VLOOKUP(B2,Competitors!$A$2:$I$650,3, FALSE)," ",VLOOKUP(B2,Competitors!$A$2:$I$650,2,FALSE))))</f>
        <v>Ian Aldridge</v>
      </c>
      <c r="I2" s="51">
        <f t="shared" ref="I2:I65" si="1">IF(LEFT($F2,1)="D",UPPER($F2),(C2*3600+D2*60+E2)/86400)</f>
        <v>0</v>
      </c>
      <c r="J2" t="str">
        <f t="shared" ref="J2:J65" si="2">IF(OR(B2="",ISNUMBER(B2)),"","X")</f>
        <v/>
      </c>
    </row>
    <row r="3" spans="1:10" ht="15">
      <c r="A3" s="46" t="s">
        <v>415</v>
      </c>
      <c r="B3" s="47">
        <f t="shared" si="0"/>
        <v>699</v>
      </c>
      <c r="C3" s="59"/>
      <c r="D3" s="59"/>
      <c r="E3" s="59"/>
      <c r="F3" s="49"/>
      <c r="G3" s="59"/>
      <c r="H3" s="50" t="str">
        <f>IF($B3="","",IF($J3="X",B3,CONCATENATE(VLOOKUP(B3,Competitors!$A$2:$I$650,3,FALSE)," ",VLOOKUP(B3,Competitors!$A$2:$I$650,2,FALSE))))</f>
        <v>Jonathan Durnin</v>
      </c>
      <c r="I3" s="51">
        <f t="shared" si="1"/>
        <v>0</v>
      </c>
      <c r="J3" t="str">
        <f t="shared" si="2"/>
        <v/>
      </c>
    </row>
    <row r="4" spans="1:10" ht="15">
      <c r="A4" s="46" t="s">
        <v>444</v>
      </c>
      <c r="B4" s="47">
        <f t="shared" si="0"/>
        <v>1193</v>
      </c>
      <c r="C4" s="59"/>
      <c r="D4" s="59"/>
      <c r="E4" s="59"/>
      <c r="F4" s="49" t="s">
        <v>545</v>
      </c>
      <c r="G4" s="59"/>
      <c r="H4" s="50" t="str">
        <f>IF($B4="","",IF($J4="X",B4,CONCATENATE(VLOOKUP(B4,Competitors!$A$2:$I$650,3,FALSE)," ",VLOOKUP(B4,Competitors!$A$2:$I$650,2,FALSE))))</f>
        <v>Richard Hardwicke</v>
      </c>
      <c r="I4" s="51">
        <f t="shared" si="1"/>
        <v>0</v>
      </c>
      <c r="J4" t="str">
        <f t="shared" si="2"/>
        <v/>
      </c>
    </row>
    <row r="5" spans="1:10" ht="15">
      <c r="A5" s="46" t="s">
        <v>524</v>
      </c>
      <c r="B5" s="47" t="str">
        <f t="shared" si="0"/>
        <v>Lynne Wilkinson-Scofield (RFW)</v>
      </c>
      <c r="C5" s="59"/>
      <c r="D5" s="59"/>
      <c r="E5" s="59"/>
      <c r="F5" s="49"/>
      <c r="G5" s="59"/>
      <c r="H5" s="50" t="str">
        <f>IF($B5="","",IF($J5="X",B5,CONCATENATE(VLOOKUP(B5,Competitors!$A$2:$I$650,3,FALSE)," ",VLOOKUP(B5,Competitors!$A$2:$I$650,2,FALSE))))</f>
        <v>Lynne Wilkinson-Scofield (RFW)</v>
      </c>
      <c r="I5" s="51">
        <f t="shared" si="1"/>
        <v>0</v>
      </c>
      <c r="J5" t="str">
        <f t="shared" si="2"/>
        <v>X</v>
      </c>
    </row>
    <row r="6" spans="1:10" ht="15">
      <c r="A6" s="46" t="s">
        <v>779</v>
      </c>
      <c r="B6" s="47" t="str">
        <f t="shared" si="0"/>
        <v>Joseph Hyde (Numplumz)</v>
      </c>
      <c r="C6" s="59"/>
      <c r="D6" s="59"/>
      <c r="E6" s="59"/>
      <c r="F6" s="49" t="s">
        <v>545</v>
      </c>
      <c r="G6" s="59"/>
      <c r="H6" s="50" t="str">
        <f>IF($B6="","",IF($J6="X",B6,CONCATENATE(VLOOKUP(B6,Competitors!$A$2:$I$650,3,FALSE)," ",VLOOKUP(B6,Competitors!$A$2:$I$650,2,FALSE))))</f>
        <v>Joseph Hyde (Numplumz)</v>
      </c>
      <c r="I6" s="51">
        <f t="shared" si="1"/>
        <v>0</v>
      </c>
      <c r="J6" t="str">
        <f t="shared" si="2"/>
        <v>X</v>
      </c>
    </row>
    <row r="7" spans="1:10" ht="15">
      <c r="A7" s="46" t="s">
        <v>622</v>
      </c>
      <c r="B7" s="47">
        <f t="shared" si="0"/>
        <v>990</v>
      </c>
      <c r="C7" s="59"/>
      <c r="D7" s="59"/>
      <c r="E7" s="59"/>
      <c r="F7" s="65" t="s">
        <v>545</v>
      </c>
      <c r="G7" s="59"/>
      <c r="H7" s="50" t="str">
        <f>IF($B7="","",IF($J7="X",B7,CONCATENATE(VLOOKUP(B7,Competitors!$A$2:$I$650,3,FALSE)," ",VLOOKUP(B7,Competitors!$A$2:$I$650,2,FALSE))))</f>
        <v>Jen Hulme</v>
      </c>
      <c r="I7" s="51">
        <f t="shared" si="1"/>
        <v>0</v>
      </c>
      <c r="J7" t="str">
        <f t="shared" si="2"/>
        <v/>
      </c>
    </row>
    <row r="8" spans="1:10" ht="15">
      <c r="A8" s="46" t="s">
        <v>445</v>
      </c>
      <c r="B8" s="47">
        <f t="shared" si="0"/>
        <v>1386</v>
      </c>
      <c r="C8" s="59"/>
      <c r="D8" s="59"/>
      <c r="E8" s="59"/>
      <c r="F8" s="65" t="s">
        <v>545</v>
      </c>
      <c r="G8" s="59"/>
      <c r="H8" s="50" t="str">
        <f>IF($B8="","",IF($J8="X",B8,CONCATENATE(VLOOKUP(B8,Competitors!$A$2:$I$650,3,FALSE)," ",VLOOKUP(B8,Competitors!$A$2:$I$650,2,FALSE))))</f>
        <v>Mea Moore</v>
      </c>
      <c r="I8" s="51">
        <f t="shared" si="1"/>
        <v>0</v>
      </c>
      <c r="J8" t="str">
        <f t="shared" si="2"/>
        <v/>
      </c>
    </row>
    <row r="9" spans="1:10" ht="15">
      <c r="A9" s="46" t="s">
        <v>781</v>
      </c>
      <c r="B9" s="47" t="str">
        <f t="shared" si="0"/>
        <v>Peter Cowler (Wellingborough AC)</v>
      </c>
      <c r="C9" s="59"/>
      <c r="D9" s="59"/>
      <c r="E9" s="59"/>
      <c r="F9" s="65" t="s">
        <v>545</v>
      </c>
      <c r="G9" s="59"/>
      <c r="H9" s="50" t="str">
        <f>IF($B9="","",IF($J9="X",B9,CONCATENATE(VLOOKUP(B9,Competitors!$A$2:$I$650,3,FALSE)," ",VLOOKUP(B9,Competitors!$A$2:$I$650,2,FALSE))))</f>
        <v>Peter Cowler (Wellingborough AC)</v>
      </c>
      <c r="I9" s="51">
        <f t="shared" si="1"/>
        <v>0</v>
      </c>
      <c r="J9" t="str">
        <f t="shared" si="2"/>
        <v>X</v>
      </c>
    </row>
    <row r="10" spans="1:10" ht="15">
      <c r="A10" s="46" t="s">
        <v>411</v>
      </c>
      <c r="B10" s="47">
        <f t="shared" si="0"/>
        <v>747</v>
      </c>
      <c r="C10" s="59"/>
      <c r="D10" s="59"/>
      <c r="E10" s="59"/>
      <c r="F10" s="65"/>
      <c r="G10" s="59"/>
      <c r="H10" s="50" t="str">
        <f>IF($B10="","",IF($J10="X",B10,CONCATENATE(VLOOKUP(B10,Competitors!$A$2:$I$650,3, FALSE)," ",VLOOKUP(B10,Competitors!$A$2:$I$650,2,FALSE))))</f>
        <v>James Moore</v>
      </c>
      <c r="I10" s="51">
        <f t="shared" si="1"/>
        <v>0</v>
      </c>
      <c r="J10" t="str">
        <f t="shared" si="2"/>
        <v/>
      </c>
    </row>
    <row r="11" spans="1:10" ht="15">
      <c r="A11" s="46" t="s">
        <v>660</v>
      </c>
      <c r="B11" s="47" t="str">
        <f t="shared" si="0"/>
        <v>Brigitte Gaillard (Ratae)</v>
      </c>
      <c r="C11" s="59"/>
      <c r="D11" s="59"/>
      <c r="E11" s="59"/>
      <c r="F11" s="65" t="s">
        <v>545</v>
      </c>
      <c r="G11" s="59"/>
      <c r="H11" s="50" t="str">
        <f>IF($B11="","",IF($J11="X",B11,CONCATENATE(VLOOKUP(B11,Competitors!$A$2:$I$650,3,FALSE)," ",VLOOKUP(B11,Competitors!$A$2:$I$650,2,FALSE))))</f>
        <v>Brigitte Gaillard (Ratae)</v>
      </c>
      <c r="I11" s="51">
        <f t="shared" si="1"/>
        <v>0</v>
      </c>
      <c r="J11" t="str">
        <f t="shared" si="2"/>
        <v>X</v>
      </c>
    </row>
    <row r="12" spans="1:10" ht="15">
      <c r="A12" s="46" t="s">
        <v>580</v>
      </c>
      <c r="B12" s="47" t="str">
        <f t="shared" si="0"/>
        <v>Geoff Stanbridge (Ratae)</v>
      </c>
      <c r="C12" s="59"/>
      <c r="D12" s="59"/>
      <c r="E12" s="59"/>
      <c r="F12" s="65" t="s">
        <v>545</v>
      </c>
      <c r="G12" s="59"/>
      <c r="H12" s="50" t="str">
        <f>IF($B12="","",IF($J12="X",B12,CONCATENATE(VLOOKUP(B12,Competitors!$A$2:$I$650,3,FALSE)," ",VLOOKUP(B12,Competitors!$A$2:$I$650,2,FALSE))))</f>
        <v>Geoff Stanbridge (Ratae)</v>
      </c>
      <c r="I12" s="51">
        <f t="shared" si="1"/>
        <v>0</v>
      </c>
      <c r="J12" t="str">
        <f t="shared" si="2"/>
        <v>X</v>
      </c>
    </row>
    <row r="13" spans="1:10" ht="15">
      <c r="A13" s="46" t="s">
        <v>432</v>
      </c>
      <c r="B13" s="47">
        <f t="shared" si="0"/>
        <v>1403</v>
      </c>
      <c r="C13" s="59"/>
      <c r="D13" s="59"/>
      <c r="E13" s="59"/>
      <c r="F13" s="65"/>
      <c r="G13" s="59"/>
      <c r="H13" s="50" t="str">
        <f>IF($B13="","",IF($J13="X",B13,CONCATENATE(VLOOKUP(B13,Competitors!$A$2:$I$650,3,FALSE)," ",VLOOKUP(B13,Competitors!$A$2:$I$650,2,FALSE))))</f>
        <v>Toby Lenehan</v>
      </c>
      <c r="I13" s="51">
        <f t="shared" si="1"/>
        <v>0</v>
      </c>
      <c r="J13" t="str">
        <f t="shared" si="2"/>
        <v/>
      </c>
    </row>
    <row r="14" spans="1:10" ht="15">
      <c r="A14" s="46" t="s">
        <v>460</v>
      </c>
      <c r="B14" s="47">
        <f t="shared" si="0"/>
        <v>742</v>
      </c>
      <c r="C14" s="59"/>
      <c r="D14" s="59"/>
      <c r="E14" s="59"/>
      <c r="F14" s="65" t="s">
        <v>545</v>
      </c>
      <c r="G14" s="59"/>
      <c r="H14" s="50" t="str">
        <f>IF($B14="","",IF($J14="X",B14,CONCATENATE(VLOOKUP(B14,Competitors!$A$2:$I$650,3,FALSE)," ",VLOOKUP(B14,Competitors!$A$2:$I$650,2,FALSE))))</f>
        <v>Claire Moore</v>
      </c>
      <c r="I14" s="51">
        <f t="shared" si="1"/>
        <v>0</v>
      </c>
      <c r="J14" t="str">
        <f t="shared" si="2"/>
        <v/>
      </c>
    </row>
    <row r="15" spans="1:10" ht="15">
      <c r="A15" s="46" t="s">
        <v>436</v>
      </c>
      <c r="B15" s="47">
        <f t="shared" si="0"/>
        <v>846</v>
      </c>
      <c r="C15" s="59"/>
      <c r="D15" s="59"/>
      <c r="E15" s="59"/>
      <c r="F15" s="49"/>
      <c r="G15" s="59"/>
      <c r="H15" s="50" t="str">
        <f>IF($B15="","",IF($J15="X",B15,CONCATENATE(VLOOKUP(B15,Competitors!$A$2:$I$650,3,FALSE)," ",VLOOKUP(B15,Competitors!$A$2:$I$650,2,FALSE))))</f>
        <v>Roger Kockelbergh</v>
      </c>
      <c r="I15" s="51">
        <f t="shared" si="1"/>
        <v>0</v>
      </c>
      <c r="J15" t="str">
        <f t="shared" si="2"/>
        <v/>
      </c>
    </row>
    <row r="16" spans="1:10" ht="15">
      <c r="A16" s="46" t="s">
        <v>783</v>
      </c>
      <c r="B16" s="47" t="str">
        <f t="shared" si="0"/>
        <v>Steve Latham</v>
      </c>
      <c r="C16" s="59"/>
      <c r="D16" s="59"/>
      <c r="E16" s="59"/>
      <c r="F16" s="65" t="s">
        <v>545</v>
      </c>
      <c r="G16" s="59"/>
      <c r="H16" s="50" t="str">
        <f>IF($B16="","",IF($J16="X",B16,CONCATENATE(VLOOKUP(B16,Competitors!$A$2:$I$650,3,FALSE)," ",VLOOKUP(B16,Competitors!$A$2:$I$650,2,FALSE))))</f>
        <v>Steve Latham</v>
      </c>
      <c r="I16" s="51">
        <f t="shared" si="1"/>
        <v>0</v>
      </c>
      <c r="J16" t="str">
        <f t="shared" si="2"/>
        <v>X</v>
      </c>
    </row>
    <row r="17" spans="1:10" ht="15">
      <c r="A17" s="46" t="s">
        <v>502</v>
      </c>
      <c r="B17" s="47" t="str">
        <f t="shared" si="0"/>
        <v>Chris Bonsor (Ratae)</v>
      </c>
      <c r="C17" s="59"/>
      <c r="D17" s="59"/>
      <c r="E17" s="59"/>
      <c r="F17" s="65"/>
      <c r="G17" s="59"/>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c r="E18" s="59"/>
      <c r="F18" s="65" t="s">
        <v>545</v>
      </c>
      <c r="G18" s="59"/>
      <c r="H18" s="50" t="str">
        <f>IF($B18="","",IF($J18="X",B18,CONCATENATE(VLOOKUP(B18,Competitors!$A$2:$I$650,3,FALSE)," ",VLOOKUP(B18,Competitors!$A$2:$I$650,2,FALSE))))</f>
        <v>Vic Barnett</v>
      </c>
      <c r="I18" s="51">
        <f t="shared" si="1"/>
        <v>0</v>
      </c>
      <c r="J18" t="str">
        <f t="shared" si="2"/>
        <v/>
      </c>
    </row>
    <row r="19" spans="1:10" ht="15">
      <c r="A19" s="46" t="s">
        <v>447</v>
      </c>
      <c r="B19" s="47">
        <f t="shared" si="0"/>
        <v>1379</v>
      </c>
      <c r="C19" s="59"/>
      <c r="D19" s="59"/>
      <c r="E19" s="59"/>
      <c r="F19" s="65" t="s">
        <v>545</v>
      </c>
      <c r="G19" s="59"/>
      <c r="H19" s="50" t="str">
        <f>IF($B19="","",IF($J19="X",B19,CONCATENATE(VLOOKUP(B19,Competitors!$A$2:$I$650,3,FALSE)," ",VLOOKUP(B19,Competitors!$A$2:$I$650,2,FALSE))))</f>
        <v>Michaela Latham</v>
      </c>
      <c r="I19" s="51">
        <f t="shared" si="1"/>
        <v>0</v>
      </c>
      <c r="J19" t="str">
        <f t="shared" si="2"/>
        <v/>
      </c>
    </row>
    <row r="20" spans="1:10" ht="15">
      <c r="A20" s="46" t="s">
        <v>438</v>
      </c>
      <c r="B20" s="47">
        <f t="shared" si="0"/>
        <v>1195</v>
      </c>
      <c r="C20" s="59"/>
      <c r="D20" s="59"/>
      <c r="E20" s="59"/>
      <c r="F20" s="65"/>
      <c r="G20" s="59"/>
      <c r="H20" s="50" t="str">
        <f>IF($B20="","",IF($J20="X",B20,CONCATENATE(VLOOKUP(B20,Competitors!$A$2:$I$650,3,FALSE)," ",VLOOKUP(B20,Competitors!$A$2:$I$650,2,FALSE))))</f>
        <v>Charlie Hardwicke</v>
      </c>
      <c r="I20" s="51">
        <f t="shared" si="1"/>
        <v>0</v>
      </c>
      <c r="J20" t="str">
        <f t="shared" si="2"/>
        <v/>
      </c>
    </row>
    <row r="21" spans="1:10" ht="15">
      <c r="A21" s="46" t="s">
        <v>459</v>
      </c>
      <c r="B21" s="47">
        <f t="shared" si="0"/>
        <v>715</v>
      </c>
      <c r="C21" s="59"/>
      <c r="D21" s="59"/>
      <c r="E21" s="59"/>
      <c r="F21" s="65"/>
      <c r="G21" s="59"/>
      <c r="H21" s="50" t="str">
        <f>IF($B21="","",IF($J21="X",B21,CONCATENATE(VLOOKUP(B21,Competitors!$A$2:$I$650,3,FALSE)," ",VLOOKUP(B21,Competitors!$A$2:$I$650,2,FALSE))))</f>
        <v>Steven Coulam</v>
      </c>
      <c r="I21" s="51">
        <f t="shared" si="1"/>
        <v>0</v>
      </c>
      <c r="J21" t="str">
        <f t="shared" si="2"/>
        <v/>
      </c>
    </row>
    <row r="22" spans="1:10" ht="15">
      <c r="A22" s="46" t="s">
        <v>421</v>
      </c>
      <c r="B22" s="47">
        <f t="shared" si="0"/>
        <v>1192</v>
      </c>
      <c r="C22" s="59"/>
      <c r="D22" s="59"/>
      <c r="E22" s="59"/>
      <c r="F22" s="65"/>
      <c r="G22" s="59"/>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c r="E23" s="59"/>
      <c r="F23" s="65" t="s">
        <v>545</v>
      </c>
      <c r="G23" s="59"/>
      <c r="H23" s="50" t="str">
        <f>IF($B23="","",IF($J23="X",B23,CONCATENATE(VLOOKUP(B23,Competitors!$A$2:$I$650,3,FALSE)," ",VLOOKUP(B23,Competitors!$A$2:$I$650,2,FALSE))))</f>
        <v>Paul Eden (Ratae)</v>
      </c>
      <c r="I23" s="51">
        <f t="shared" si="1"/>
        <v>0</v>
      </c>
      <c r="J23" t="str">
        <f t="shared" si="2"/>
        <v>X</v>
      </c>
    </row>
    <row r="24" spans="1:10" ht="15">
      <c r="A24" s="46" t="s">
        <v>784</v>
      </c>
      <c r="B24" s="47">
        <f t="shared" si="0"/>
        <v>1428</v>
      </c>
      <c r="C24" s="59"/>
      <c r="D24" s="59"/>
      <c r="E24" s="59"/>
      <c r="F24" s="65" t="s">
        <v>545</v>
      </c>
      <c r="G24" s="59"/>
      <c r="H24" s="50" t="str">
        <f>IF($B24="","",IF($J24="X",B24,CONCATENATE(VLOOKUP(B24,Competitors!$A$2:$I$650,3,FALSE)," ",VLOOKUP(B24,Competitors!$A$2:$I$650,2,FALSE))))</f>
        <v>Oliver Voice</v>
      </c>
      <c r="I24" s="51">
        <f t="shared" si="1"/>
        <v>0</v>
      </c>
      <c r="J24" t="str">
        <f t="shared" si="2"/>
        <v/>
      </c>
    </row>
    <row r="25" spans="1:10" ht="15">
      <c r="A25" s="46" t="s">
        <v>591</v>
      </c>
      <c r="B25" s="47" t="str">
        <f t="shared" si="0"/>
        <v>Hudson Hendry (Ride Revolution) (RFW)</v>
      </c>
      <c r="C25" s="59"/>
      <c r="D25" s="59"/>
      <c r="E25" s="59"/>
      <c r="F25" s="65"/>
      <c r="G25" s="59"/>
      <c r="H25" s="50" t="str">
        <f>IF($B25="","",IF($J25="X",B25,CONCATENATE(VLOOKUP(B25,Competitors!$A$2:$I$650,3,FALSE)," ",VLOOKUP(B25,Competitors!$A$2:$I$650,2,FALSE))))</f>
        <v>Hudson Hendry (Ride Revolution) (RFW)</v>
      </c>
      <c r="I25" s="51">
        <f t="shared" si="1"/>
        <v>0</v>
      </c>
      <c r="J25" t="str">
        <f t="shared" si="2"/>
        <v>X</v>
      </c>
    </row>
    <row r="26" spans="1:10" ht="15">
      <c r="A26" s="46" t="s">
        <v>480</v>
      </c>
      <c r="B26" s="47">
        <f t="shared" si="0"/>
        <v>1348</v>
      </c>
      <c r="C26" s="59"/>
      <c r="D26" s="59"/>
      <c r="E26" s="59"/>
      <c r="F26" s="65" t="s">
        <v>545</v>
      </c>
      <c r="G26" s="59"/>
      <c r="H26" s="50" t="str">
        <f>IF($B26="","",IF($J26="X",B26,CONCATENATE(VLOOKUP(B26,Competitors!$A$2:$I$650,3,FALSE)," ",VLOOKUP(B26,Competitors!$A$2:$I$650,2,FALSE))))</f>
        <v>Lydia Baxter</v>
      </c>
      <c r="I26" s="51">
        <f t="shared" si="1"/>
        <v>0</v>
      </c>
      <c r="J26" t="str">
        <f t="shared" si="2"/>
        <v/>
      </c>
    </row>
    <row r="27" spans="1:10" ht="15">
      <c r="A27" s="46" t="s">
        <v>785</v>
      </c>
      <c r="B27" s="47" t="str">
        <f t="shared" si="0"/>
        <v>Antony Brown (KCC)</v>
      </c>
      <c r="C27" s="59"/>
      <c r="D27" s="59"/>
      <c r="E27" s="59"/>
      <c r="F27" s="49"/>
      <c r="G27" s="59"/>
      <c r="H27" s="50" t="str">
        <f>IF($B27="","",IF($J27="X",B27,CONCATENATE(VLOOKUP(B27,Competitors!$A$2:$I$650,3,FALSE)," ",VLOOKUP(B27,Competitors!$A$2:$I$650,2,FALSE))))</f>
        <v>Antony Brown (KCC)</v>
      </c>
      <c r="I27" s="51">
        <f t="shared" si="1"/>
        <v>0</v>
      </c>
      <c r="J27" t="str">
        <f t="shared" si="2"/>
        <v>X</v>
      </c>
    </row>
    <row r="28" spans="1:10" ht="15">
      <c r="A28" s="46" t="s">
        <v>579</v>
      </c>
      <c r="B28" s="47">
        <f t="shared" si="0"/>
        <v>1048</v>
      </c>
      <c r="C28" s="59"/>
      <c r="D28" s="59"/>
      <c r="E28" s="59"/>
      <c r="F28" s="65" t="s">
        <v>545</v>
      </c>
      <c r="G28" s="59"/>
      <c r="H28" s="50" t="str">
        <f>IF($B28="","",IF($J28="X",B28,CONCATENATE(VLOOKUP(B28,Competitors!$A$2:$I$650,3,FALSE)," ",VLOOKUP(B28,Competitors!$A$2:$I$650,2,FALSE))))</f>
        <v>Andy Smith</v>
      </c>
      <c r="I28" s="51">
        <f t="shared" si="1"/>
        <v>0</v>
      </c>
      <c r="J28" t="str">
        <f t="shared" si="2"/>
        <v/>
      </c>
    </row>
    <row r="29" spans="1:10" ht="15">
      <c r="A29" s="46" t="s">
        <v>692</v>
      </c>
      <c r="B29" s="47" t="str">
        <f t="shared" si="0"/>
        <v>Steve Walsh (LFCC)</v>
      </c>
      <c r="C29" s="59"/>
      <c r="D29" s="59"/>
      <c r="E29" s="59"/>
      <c r="F29" s="65" t="s">
        <v>545</v>
      </c>
      <c r="G29" s="59"/>
      <c r="H29" s="50" t="str">
        <f>IF($B29="","",IF($J29="X",B29,CONCATENATE(VLOOKUP(B29,Competitors!$A$2:$I$650,3,FALSE)," ",VLOOKUP(B29,Competitors!$A$2:$I$650,2,FALSE))))</f>
        <v>Steve Walsh (LFCC)</v>
      </c>
      <c r="I29" s="51">
        <f t="shared" si="1"/>
        <v>0</v>
      </c>
      <c r="J29" t="str">
        <f t="shared" si="2"/>
        <v>X</v>
      </c>
    </row>
    <row r="30" spans="1:10" ht="15">
      <c r="A30" s="46" t="s">
        <v>786</v>
      </c>
      <c r="B30" s="47" t="str">
        <f t="shared" si="0"/>
        <v>Nick Gallimore (KCC)</v>
      </c>
      <c r="C30" s="59"/>
      <c r="D30" s="59"/>
      <c r="E30" s="59"/>
      <c r="F30" s="65"/>
      <c r="G30" s="59"/>
      <c r="H30" s="50" t="str">
        <f>IF($B30="","",IF($J30="X",B30,CONCATENATE(VLOOKUP(B30,Competitors!$A$2:$I$650,3,FALSE)," ",VLOOKUP(B30,Competitors!$A$2:$I$650,2,FALSE))))</f>
        <v>Nick Gallimore (KCC)</v>
      </c>
      <c r="I30" s="51">
        <f t="shared" si="1"/>
        <v>0</v>
      </c>
      <c r="J30" t="str">
        <f t="shared" si="2"/>
        <v>X</v>
      </c>
    </row>
    <row r="31" spans="1:10" ht="15">
      <c r="A31" s="46" t="s">
        <v>430</v>
      </c>
      <c r="B31" s="47">
        <f t="shared" si="0"/>
        <v>1107</v>
      </c>
      <c r="C31" s="59"/>
      <c r="D31" s="59"/>
      <c r="E31" s="59"/>
      <c r="F31" s="65" t="s">
        <v>545</v>
      </c>
      <c r="G31" s="59"/>
      <c r="H31" s="50" t="str">
        <f>IF($B31="","",IF($J31="X",B31,CONCATENATE(VLOOKUP(B31,Competitors!$A$2:$I$650,3,FALSE)," ",VLOOKUP(B31,Competitors!$A$2:$I$650,2,FALSE))))</f>
        <v>Milly Pinnock</v>
      </c>
      <c r="I31" s="51">
        <f t="shared" si="1"/>
        <v>0</v>
      </c>
      <c r="J31" t="str">
        <f t="shared" si="2"/>
        <v/>
      </c>
    </row>
    <row r="32" spans="1:10" ht="15">
      <c r="A32" s="46" t="s">
        <v>419</v>
      </c>
      <c r="B32" s="47">
        <f t="shared" si="0"/>
        <v>1355</v>
      </c>
      <c r="C32" s="59"/>
      <c r="D32" s="59"/>
      <c r="E32" s="59"/>
      <c r="F32" s="65" t="s">
        <v>545</v>
      </c>
      <c r="G32" s="59"/>
      <c r="H32" s="50" t="str">
        <f>IF($B32="","",IF($J32="X",B32,CONCATENATE(VLOOKUP(B32,Competitors!$A$2:$I$650,3,FALSE)," ",VLOOKUP(B32,Competitors!$A$2:$I$650,2,FALSE))))</f>
        <v>Aubrey Elmer</v>
      </c>
      <c r="I32" s="51">
        <f t="shared" si="1"/>
        <v>0</v>
      </c>
      <c r="J32" t="str">
        <f t="shared" si="2"/>
        <v/>
      </c>
    </row>
    <row r="33" spans="1:10" ht="15">
      <c r="A33" s="46" t="s">
        <v>448</v>
      </c>
      <c r="B33" s="47">
        <f t="shared" si="0"/>
        <v>1194</v>
      </c>
      <c r="C33" s="59"/>
      <c r="D33" s="59"/>
      <c r="E33" s="59"/>
      <c r="F33" s="49" t="s">
        <v>545</v>
      </c>
      <c r="G33" s="59"/>
      <c r="H33" s="50" t="str">
        <f>IF($B33="","",IF($J33="X",B33,CONCATENATE(VLOOKUP(B33,Competitors!$A$2:$I$650,3,FALSE)," ",VLOOKUP(B33,Competitors!$A$2:$I$650,2,FALSE))))</f>
        <v>Alex Hardwicke</v>
      </c>
      <c r="I33" s="51">
        <f t="shared" si="1"/>
        <v>0</v>
      </c>
      <c r="J33" t="str">
        <f t="shared" si="2"/>
        <v/>
      </c>
    </row>
    <row r="34" spans="1:10" ht="15">
      <c r="A34" s="46" t="s">
        <v>414</v>
      </c>
      <c r="B34" s="47">
        <f t="shared" ref="B34:B97" si="3">IF(A34="","",_xlfn.XLOOKUP(A34,ClubNames,ClubNumbers,_xlfn.XLOOKUP(A34,RoundRobinRiderNames,RoundRobinRiderDecoratedNames,A34)))</f>
        <v>989</v>
      </c>
      <c r="C34" s="59"/>
      <c r="D34" s="59"/>
      <c r="E34" s="59"/>
      <c r="F34" s="65" t="s">
        <v>545</v>
      </c>
      <c r="G34" s="59"/>
      <c r="H34" s="50" t="str">
        <f>IF($B34="","",IF($J34="X",B34,CONCATENATE(VLOOKUP(B34,Competitors!$A$2:$I$650,3,FALSE)," ",VLOOKUP(B34,Competitors!$A$2:$I$650,2,FALSE))))</f>
        <v>Jason Williams</v>
      </c>
      <c r="I34" s="51">
        <f t="shared" si="1"/>
        <v>0</v>
      </c>
      <c r="J34" t="str">
        <f t="shared" si="2"/>
        <v/>
      </c>
    </row>
    <row r="35" spans="1:10" ht="15">
      <c r="A35" s="46" t="s">
        <v>737</v>
      </c>
      <c r="B35" s="47" t="str">
        <f t="shared" si="3"/>
        <v>Eric Fullerton (LFCC)</v>
      </c>
      <c r="C35" s="59"/>
      <c r="D35" s="59"/>
      <c r="E35" s="59"/>
      <c r="F35" s="49" t="s">
        <v>545</v>
      </c>
      <c r="G35" s="59"/>
      <c r="H35" s="50" t="str">
        <f>IF($B35="","",IF($J35="X",B35,CONCATENATE(VLOOKUP(B35,Competitors!$A$2:$I$650,3,FALSE)," ",VLOOKUP(B35,Competitors!$A$2:$I$650,2,FALSE))))</f>
        <v>Eric Fullerton (LFCC)</v>
      </c>
      <c r="I35" s="51">
        <f t="shared" si="1"/>
        <v>0</v>
      </c>
      <c r="J35" t="str">
        <f t="shared" si="2"/>
        <v>X</v>
      </c>
    </row>
    <row r="36" spans="1:10" ht="15">
      <c r="A36" s="46" t="s">
        <v>422</v>
      </c>
      <c r="B36" s="47">
        <f t="shared" si="3"/>
        <v>415</v>
      </c>
      <c r="C36" s="59"/>
      <c r="D36" s="59"/>
      <c r="E36" s="59"/>
      <c r="F36" s="65"/>
      <c r="G36" s="59"/>
      <c r="H36" s="50" t="str">
        <f>IF($B36="","",IF($J36="X",B36,CONCATENATE(VLOOKUP(B36,Competitors!$A$2:$I$650,3,FALSE)," ",VLOOKUP(B36,Competitors!$A$2:$I$650,2,FALSE))))</f>
        <v>Nik Kershaw</v>
      </c>
      <c r="I36" s="51">
        <f t="shared" si="1"/>
        <v>0</v>
      </c>
      <c r="J36" t="str">
        <f t="shared" si="2"/>
        <v/>
      </c>
    </row>
    <row r="37" spans="1:10" ht="15">
      <c r="A37" s="46" t="s">
        <v>595</v>
      </c>
      <c r="B37" s="47" t="str">
        <f t="shared" si="3"/>
        <v>Evan Collett (G Fox) (KCC)</v>
      </c>
      <c r="C37" s="59"/>
      <c r="D37" s="59"/>
      <c r="E37" s="59"/>
      <c r="F37" s="49"/>
      <c r="G37" s="59"/>
      <c r="H37" s="50" t="str">
        <f>IF($B37="","",IF($J37="X",B37,CONCATENATE(VLOOKUP(B37,Competitors!$A$2:$I$650,3,FALSE)," ",VLOOKUP(B37,Competitors!$A$2:$I$650,2,FALSE))))</f>
        <v>Evan Collett (G Fox) (KCC)</v>
      </c>
      <c r="I37" s="51">
        <f t="shared" si="1"/>
        <v>0</v>
      </c>
      <c r="J37" t="str">
        <f t="shared" si="2"/>
        <v>X</v>
      </c>
    </row>
    <row r="38" spans="1:10" ht="15">
      <c r="A38" s="46" t="s">
        <v>624</v>
      </c>
      <c r="B38" s="47" t="str">
        <f t="shared" si="3"/>
        <v>Ian Bird (KCC)</v>
      </c>
      <c r="C38" s="59"/>
      <c r="D38" s="59"/>
      <c r="E38" s="59"/>
      <c r="F38" s="65"/>
      <c r="G38" s="59"/>
      <c r="H38" s="50" t="str">
        <f>IF($B38="","",IF($J38="X",B38,CONCATENATE(VLOOKUP(B38,Competitors!$A$2:$I$650,3,FALSE)," ",VLOOKUP(B38,Competitors!$A$2:$I$650,2,FALSE))))</f>
        <v>Ian Bird (KCC)</v>
      </c>
      <c r="I38" s="51">
        <f t="shared" si="1"/>
        <v>0</v>
      </c>
      <c r="J38" t="str">
        <f t="shared" si="2"/>
        <v>X</v>
      </c>
    </row>
    <row r="39" spans="1:10" ht="15">
      <c r="A39" s="46" t="s">
        <v>510</v>
      </c>
      <c r="B39" s="47" t="str">
        <f t="shared" si="3"/>
        <v>Mark Newton (Ratae)</v>
      </c>
      <c r="C39" s="59"/>
      <c r="D39" s="59"/>
      <c r="E39" s="59"/>
      <c r="F39" s="49"/>
      <c r="G39" s="59"/>
      <c r="H39" s="50" t="str">
        <f>IF($B39="","",IF($J39="X",B39,CONCATENATE(VLOOKUP(B39,Competitors!$A$2:$I$650,3,FALSE)," ",VLOOKUP(B39,Competitors!$A$2:$I$650,2,FALSE))))</f>
        <v>Mark Newton (Ratae)</v>
      </c>
      <c r="I39" s="51">
        <f t="shared" si="1"/>
        <v>0</v>
      </c>
      <c r="J39" t="str">
        <f t="shared" si="2"/>
        <v>X</v>
      </c>
    </row>
    <row r="40" spans="1:10" ht="15">
      <c r="A40" s="46" t="s">
        <v>423</v>
      </c>
      <c r="B40" s="47">
        <f t="shared" si="3"/>
        <v>1407</v>
      </c>
      <c r="C40" s="59"/>
      <c r="D40" s="59"/>
      <c r="E40" s="59"/>
      <c r="F40" s="49" t="s">
        <v>545</v>
      </c>
      <c r="G40" s="59"/>
      <c r="H40" s="50" t="str">
        <f>IF($B40="","",IF($J40="X",B40,CONCATENATE(VLOOKUP(B40,Competitors!$A$2:$I$650,3,FALSE)," ",VLOOKUP(B40,Competitors!$A$2:$I$650,2,FALSE))))</f>
        <v>Colin Dobson</v>
      </c>
      <c r="I40" s="51">
        <f t="shared" si="1"/>
        <v>0</v>
      </c>
      <c r="J40" t="str">
        <f t="shared" si="2"/>
        <v/>
      </c>
    </row>
    <row r="41" spans="1:10" ht="15">
      <c r="A41" s="46" t="s">
        <v>787</v>
      </c>
      <c r="B41" s="47" t="str">
        <f t="shared" si="3"/>
        <v>Sarah Hollis</v>
      </c>
      <c r="C41" s="59"/>
      <c r="D41" s="59"/>
      <c r="E41" s="59"/>
      <c r="F41" s="49" t="s">
        <v>545</v>
      </c>
      <c r="G41" s="59"/>
      <c r="H41" s="50" t="str">
        <f>IF($B41="","",IF($J41="X",B41,CONCATENATE(VLOOKUP(B41,Competitors!$A$2:$I$650,3,FALSE)," ",VLOOKUP(B41,Competitors!$A$2:$I$650,2,FALSE))))</f>
        <v>Sarah Hollis</v>
      </c>
      <c r="I41" s="51">
        <f t="shared" si="1"/>
        <v>0</v>
      </c>
      <c r="J41" t="str">
        <f t="shared" si="2"/>
        <v>X</v>
      </c>
    </row>
    <row r="42" spans="1:10" ht="15">
      <c r="A42" s="46" t="s">
        <v>635</v>
      </c>
      <c r="B42" s="47">
        <f t="shared" si="3"/>
        <v>1415</v>
      </c>
      <c r="C42" s="59"/>
      <c r="D42" s="59"/>
      <c r="E42" s="59"/>
      <c r="F42" s="49" t="s">
        <v>545</v>
      </c>
      <c r="G42" s="59"/>
      <c r="H42" s="50" t="str">
        <f>IF($B42="","",IF($J42="X",B42,CONCATENATE(VLOOKUP(B42,Competitors!$A$2:$I$650,3,FALSE)," ",VLOOKUP(B42,Competitors!$A$2:$I$650,2,FALSE))))</f>
        <v>James Aldridge</v>
      </c>
      <c r="I42" s="51">
        <f t="shared" si="1"/>
        <v>0</v>
      </c>
      <c r="J42" t="str">
        <f t="shared" si="2"/>
        <v/>
      </c>
    </row>
    <row r="43" spans="1:10" ht="15">
      <c r="A43" s="46" t="s">
        <v>788</v>
      </c>
      <c r="B43" s="47" t="str">
        <f t="shared" si="3"/>
        <v>Neil McDonald</v>
      </c>
      <c r="C43" s="59"/>
      <c r="D43" s="59"/>
      <c r="E43" s="59"/>
      <c r="F43" s="49" t="s">
        <v>545</v>
      </c>
      <c r="G43" s="59"/>
      <c r="H43" s="50" t="str">
        <f>IF($B43="","",IF($J43="X",B43,CONCATENATE(VLOOKUP(B43,Competitors!$A$2:$I$650,3,FALSE)," ",VLOOKUP(B43,Competitors!$A$2:$I$650,2,FALSE))))</f>
        <v>Neil McDonald</v>
      </c>
      <c r="I43" s="51">
        <f t="shared" si="1"/>
        <v>0</v>
      </c>
      <c r="J43" t="str">
        <f t="shared" si="2"/>
        <v>X</v>
      </c>
    </row>
    <row r="44" spans="1:10" ht="15">
      <c r="A44" s="46"/>
      <c r="B44" s="47" t="str">
        <f t="shared" si="3"/>
        <v/>
      </c>
      <c r="C44" s="59"/>
      <c r="D44" s="59"/>
      <c r="E44" s="59"/>
      <c r="F44" s="49"/>
      <c r="G44" s="59"/>
      <c r="H44" s="50" t="str">
        <f>IF($B44="","",IF($J44="X",B44,CONCATENATE(VLOOKUP(B44,Competitors!$A$2:$I$650,3,FALSE)," ",VLOOKUP(B44,Competitors!$A$2:$I$650,2,FALSE))))</f>
        <v/>
      </c>
      <c r="I44" s="51">
        <f t="shared" si="1"/>
        <v>0</v>
      </c>
      <c r="J44" t="str">
        <f t="shared" si="2"/>
        <v/>
      </c>
    </row>
    <row r="45" spans="1:10" ht="15">
      <c r="A45" s="46"/>
      <c r="B45" s="47" t="str">
        <f t="shared" si="3"/>
        <v/>
      </c>
      <c r="C45" s="59"/>
      <c r="D45" s="59"/>
      <c r="E45" s="59"/>
      <c r="F45" s="49"/>
      <c r="G45" s="59"/>
      <c r="H45" s="50" t="str">
        <f>IF($B45="","",IF($J45="X",B45,CONCATENATE(VLOOKUP(B45,Competitors!$A$2:$I$650,3,FALSE)," ",VLOOKUP(B45,Competitors!$A$2:$I$650,2,FALSE))))</f>
        <v/>
      </c>
      <c r="I45" s="51">
        <f t="shared" si="1"/>
        <v>0</v>
      </c>
      <c r="J45" t="str">
        <f t="shared" si="2"/>
        <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 workbookViewId="1"/>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 workbookViewId="1"/>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2026-08-12T20:40:07Z</dcterms:modified>
</cp:coreProperties>
</file>