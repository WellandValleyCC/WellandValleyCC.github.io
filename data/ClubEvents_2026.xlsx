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881E83AA-548F-418E-893F-9B140A53F0E4}" xr6:coauthVersionLast="47" xr6:coauthVersionMax="47" xr10:uidLastSave="{00000000-0000-0000-0000-000000000000}"/>
  <bookViews>
    <workbookView xWindow="-83" yWindow="0" windowWidth="14566" windowHeight="17363" firstSheet="17" activeTab="17" xr2:uid="{D2AA3429-87FD-4A97-8557-1FEC094071F7}"/>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8" i="18"/>
  <c r="C106" i="18"/>
  <c r="C105" i="18"/>
  <c r="C25" i="18"/>
  <c r="C114" i="18"/>
  <c r="C115" i="18"/>
  <c r="C109" i="18"/>
  <c r="C110" i="18"/>
  <c r="C74" i="18"/>
  <c r="C121" i="18"/>
  <c r="C122" i="18"/>
  <c r="B9" i="40" s="1"/>
  <c r="C123" i="18"/>
  <c r="C124" i="18"/>
  <c r="B30" i="40" s="1"/>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6" i="18"/>
  <c r="C44" i="18"/>
  <c r="C108" i="18"/>
  <c r="C7" i="18"/>
  <c r="C6" i="18"/>
  <c r="C112" i="18"/>
  <c r="C113"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5" i="18"/>
  <c r="I48" i="29"/>
  <c r="C91" i="18"/>
  <c r="I47" i="29"/>
  <c r="I46" i="29"/>
  <c r="C96"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80" i="18"/>
  <c r="C43" i="18"/>
  <c r="C35" i="18"/>
  <c r="C100" i="18"/>
  <c r="C118" i="18"/>
  <c r="C117" i="18"/>
  <c r="C120" i="18"/>
  <c r="C119" i="18"/>
  <c r="C28" i="18"/>
  <c r="C31" i="18"/>
  <c r="C92" i="18"/>
  <c r="C103" i="18"/>
  <c r="C102" i="18"/>
  <c r="C30" i="18"/>
  <c r="C89" i="18"/>
  <c r="C111" i="18"/>
  <c r="C107" i="18"/>
  <c r="C104" i="18"/>
  <c r="C101" i="18"/>
  <c r="C99" i="18"/>
  <c r="C98" i="18"/>
  <c r="C97" i="18"/>
  <c r="C95" i="18"/>
  <c r="C94" i="18"/>
  <c r="C93" i="18"/>
  <c r="C90" i="18"/>
  <c r="C88" i="18"/>
  <c r="C87" i="18"/>
  <c r="C86" i="18"/>
  <c r="C85" i="18"/>
  <c r="C84" i="18"/>
  <c r="C83" i="18"/>
  <c r="C82" i="18"/>
  <c r="C81" i="18"/>
  <c r="C79" i="18"/>
  <c r="C77" i="18"/>
  <c r="C73" i="18"/>
  <c r="C72" i="18"/>
  <c r="C70" i="18"/>
  <c r="C69" i="18"/>
  <c r="C66" i="18"/>
  <c r="C63" i="18"/>
  <c r="C62" i="18"/>
  <c r="C61" i="18"/>
  <c r="C57" i="18"/>
  <c r="C56" i="18"/>
  <c r="C116"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8" i="46"/>
  <c r="B26" i="37"/>
  <c r="B10" i="35"/>
  <c r="B3" i="33"/>
  <c r="B32" i="34"/>
  <c r="B4" i="35"/>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c r="H32" i="46"/>
  <c r="B33" i="46"/>
  <c r="B58" i="38"/>
  <c r="B34" i="46"/>
  <c r="B23" i="37"/>
  <c r="B30" i="46"/>
  <c r="B29" i="46"/>
  <c r="B41" i="46"/>
  <c r="B47" i="32"/>
  <c r="B31" i="33"/>
  <c r="J31" i="33"/>
  <c r="H31" i="33"/>
  <c r="B10" i="33"/>
  <c r="J10" i="33"/>
  <c r="H10" i="33"/>
  <c r="B38" i="32"/>
  <c r="B20" i="33"/>
  <c r="B8" i="35"/>
  <c r="B12" i="35"/>
  <c r="K12" i="35"/>
  <c r="I12" i="35"/>
  <c r="B33" i="35"/>
  <c r="K33" i="35"/>
  <c r="I33" i="35"/>
  <c r="B4" i="33"/>
  <c r="B23" i="32"/>
  <c r="B12" i="33"/>
  <c r="B22" i="33"/>
  <c r="B25" i="33"/>
  <c r="B14" i="33"/>
  <c r="B5" i="33"/>
  <c r="J5" i="33"/>
  <c r="H5" i="33"/>
  <c r="B18" i="33"/>
  <c r="B43" i="32"/>
  <c r="B3" i="32"/>
  <c r="B11" i="33"/>
  <c r="B17" i="32"/>
  <c r="B9" i="33"/>
  <c r="B8" i="33"/>
  <c r="B19" i="32"/>
  <c r="B48" i="32"/>
  <c r="B30" i="33"/>
  <c r="B28" i="33"/>
  <c r="B37" i="32"/>
  <c r="B2" i="32"/>
  <c r="B32" i="33"/>
  <c r="B21" i="32"/>
  <c r="B25" i="32"/>
  <c r="B33" i="33"/>
  <c r="B40" i="32"/>
  <c r="B20" i="32"/>
  <c r="B13" i="33"/>
  <c r="B16" i="36"/>
  <c r="B3" i="36"/>
  <c r="B24" i="36"/>
  <c r="K24" i="36"/>
  <c r="I24" i="36"/>
  <c r="B25" i="36"/>
  <c r="B15" i="36"/>
  <c r="K15" i="36"/>
  <c r="I15" i="36"/>
  <c r="B18" i="36"/>
  <c r="B25" i="35"/>
  <c r="B24" i="35"/>
  <c r="B10" i="36"/>
  <c r="K10" i="36"/>
  <c r="I10" i="36"/>
  <c r="B21" i="36"/>
  <c r="B2" i="36"/>
  <c r="B26" i="35"/>
  <c r="B9" i="36"/>
  <c r="B31" i="35"/>
  <c r="B7" i="35"/>
  <c r="B6" i="35"/>
  <c r="B5" i="35"/>
  <c r="B26" i="36"/>
  <c r="K26" i="36"/>
  <c r="I26" i="36"/>
  <c r="B23" i="36"/>
  <c r="B22" i="36"/>
  <c r="B4" i="36"/>
  <c r="B11" i="36"/>
  <c r="K11" i="36"/>
  <c r="I11" i="36"/>
  <c r="B8" i="36"/>
  <c r="K8" i="36"/>
  <c r="I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J2" i="34"/>
  <c r="H2" i="34"/>
  <c r="B16" i="34"/>
  <c r="B41" i="34"/>
  <c r="B30" i="34"/>
  <c r="B28" i="34"/>
  <c r="B26" i="34"/>
  <c r="B33" i="34"/>
  <c r="B4" i="34"/>
  <c r="J4" i="34"/>
  <c r="H4" i="34"/>
  <c r="B40" i="34"/>
  <c r="J40" i="34"/>
  <c r="H40" i="34"/>
  <c r="B35" i="34"/>
  <c r="B27" i="34"/>
  <c r="B7" i="33"/>
  <c r="B36" i="32"/>
  <c r="B27" i="33"/>
  <c r="B26" i="33"/>
  <c r="B16" i="32"/>
  <c r="B42" i="32"/>
  <c r="B15" i="33"/>
  <c r="J15" i="33"/>
  <c r="H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J35" i="32"/>
  <c r="H35" i="32"/>
  <c r="B14" i="32"/>
  <c r="B28" i="32"/>
  <c r="B29" i="32"/>
  <c r="B45" i="32"/>
  <c r="B13" i="32"/>
  <c r="J13" i="32"/>
  <c r="H13" i="32" s="1"/>
  <c r="B12" i="32"/>
  <c r="J12" i="32"/>
  <c r="H12" i="32"/>
  <c r="B15" i="32"/>
  <c r="B41" i="32"/>
  <c r="B9" i="32"/>
  <c r="B7" i="32"/>
  <c r="B22" i="32"/>
  <c r="B33" i="32"/>
  <c r="B26" i="32"/>
  <c r="J26" i="32"/>
  <c r="H26" i="32"/>
  <c r="B30" i="32"/>
  <c r="J30" i="32"/>
  <c r="H30" i="32"/>
  <c r="B46" i="32"/>
  <c r="J46" i="32"/>
  <c r="H46" i="32"/>
  <c r="B11" i="32"/>
  <c r="J11" i="32"/>
  <c r="H11" i="32"/>
  <c r="B10" i="32"/>
  <c r="B5" i="32"/>
  <c r="B4" i="32"/>
  <c r="B44" i="32"/>
  <c r="B24" i="32"/>
  <c r="B39" i="32"/>
  <c r="B31" i="32"/>
  <c r="B8" i="32"/>
  <c r="B18" i="32"/>
  <c r="B27" i="32"/>
  <c r="J27" i="32"/>
  <c r="H27" i="32"/>
  <c r="B9" i="35"/>
  <c r="B19" i="34"/>
  <c r="B19" i="36"/>
  <c r="K19" i="36"/>
  <c r="I19" i="36"/>
  <c r="B28" i="36"/>
  <c r="K28" i="36"/>
  <c r="I28" i="36"/>
  <c r="B42" i="36"/>
  <c r="K42" i="36"/>
  <c r="I42" i="36"/>
  <c r="B12" i="36"/>
  <c r="K12" i="36"/>
  <c r="I12" i="36"/>
  <c r="B45" i="36"/>
  <c r="K45" i="36"/>
  <c r="I45" i="36"/>
  <c r="B43" i="36"/>
  <c r="K43" i="36"/>
  <c r="I43" i="36"/>
  <c r="B48" i="36"/>
  <c r="K48" i="36"/>
  <c r="I48" i="36"/>
  <c r="B49" i="36"/>
  <c r="K49" i="36"/>
  <c r="I49" i="36"/>
  <c r="B44" i="36"/>
  <c r="K44" i="36"/>
  <c r="I44" i="36"/>
  <c r="B39" i="36"/>
  <c r="K39" i="36"/>
  <c r="I39" i="36"/>
  <c r="B46" i="36"/>
  <c r="K46" i="36"/>
  <c r="I46" i="36"/>
  <c r="B51" i="36"/>
  <c r="K51" i="36"/>
  <c r="I51" i="36"/>
  <c r="B50" i="36"/>
  <c r="K50" i="36"/>
  <c r="I50" i="36"/>
  <c r="B40" i="36"/>
  <c r="K40" i="36"/>
  <c r="I40" i="36"/>
  <c r="B32" i="36"/>
  <c r="K32" i="36"/>
  <c r="I32" i="36"/>
  <c r="B33" i="36"/>
  <c r="B34" i="36"/>
  <c r="K34" i="36"/>
  <c r="I34" i="36"/>
  <c r="B36" i="36"/>
  <c r="K36" i="36"/>
  <c r="I36" i="36"/>
  <c r="B37" i="36"/>
  <c r="K37" i="36"/>
  <c r="I37" i="36"/>
  <c r="B38" i="36"/>
  <c r="K38" i="36"/>
  <c r="I38" i="36"/>
  <c r="B41" i="36"/>
  <c r="B47" i="36"/>
  <c r="B52" i="36"/>
  <c r="B2" i="37"/>
  <c r="B3" i="37"/>
  <c r="B4" i="37"/>
  <c r="B5" i="37"/>
  <c r="J5" i="37"/>
  <c r="H5" i="37"/>
  <c r="B6" i="37"/>
  <c r="B7" i="37"/>
  <c r="J7" i="37"/>
  <c r="H7" i="37"/>
  <c r="B8" i="37"/>
  <c r="J8" i="37"/>
  <c r="H8" i="37"/>
  <c r="B9" i="37"/>
  <c r="J9" i="37"/>
  <c r="H9" i="37"/>
  <c r="B10" i="37"/>
  <c r="J10" i="37"/>
  <c r="H10" i="37"/>
  <c r="B11" i="37"/>
  <c r="J11" i="37"/>
  <c r="H11" i="37"/>
  <c r="B12" i="37"/>
  <c r="J12" i="37"/>
  <c r="H12" i="37"/>
  <c r="B13" i="37"/>
  <c r="J13" i="37"/>
  <c r="H13" i="37"/>
  <c r="B14" i="37"/>
  <c r="J14" i="37"/>
  <c r="H14" i="37"/>
  <c r="B15" i="37"/>
  <c r="J15" i="37"/>
  <c r="H15" i="37"/>
  <c r="B16" i="37"/>
  <c r="J16" i="37"/>
  <c r="H16" i="37"/>
  <c r="B17" i="37"/>
  <c r="J17" i="37"/>
  <c r="H17" i="37"/>
  <c r="B18" i="37"/>
  <c r="J18" i="37"/>
  <c r="H18" i="37"/>
  <c r="B19" i="37"/>
  <c r="B20" i="37"/>
  <c r="J20" i="37"/>
  <c r="H20" i="37"/>
  <c r="B21" i="37"/>
  <c r="J21" i="37"/>
  <c r="H21" i="37"/>
  <c r="B22" i="37"/>
  <c r="J22" i="37"/>
  <c r="H22" i="37"/>
  <c r="B2" i="38"/>
  <c r="B15" i="38"/>
  <c r="K15" i="38"/>
  <c r="I15" i="38"/>
  <c r="B8" i="38"/>
  <c r="B11" i="38"/>
  <c r="K11" i="38"/>
  <c r="I11" i="38"/>
  <c r="B13" i="38"/>
  <c r="K13" i="38"/>
  <c r="I13" i="38"/>
  <c r="B14" i="38"/>
  <c r="B9" i="38"/>
  <c r="B10" i="38"/>
  <c r="K10" i="38"/>
  <c r="I10" i="38"/>
  <c r="B12" i="38"/>
  <c r="K12" i="38"/>
  <c r="I12" i="38"/>
  <c r="B19" i="38"/>
  <c r="K19" i="38"/>
  <c r="I19" i="38"/>
  <c r="B20" i="38"/>
  <c r="K20" i="38"/>
  <c r="I20" i="38"/>
  <c r="B41" i="38"/>
  <c r="K41" i="38"/>
  <c r="I41" i="38"/>
  <c r="B21" i="38"/>
  <c r="K21" i="38"/>
  <c r="I21" i="38"/>
  <c r="B4" i="38"/>
  <c r="B30" i="38"/>
  <c r="B40" i="38"/>
  <c r="K40" i="38"/>
  <c r="I40" i="38"/>
  <c r="B29" i="38"/>
  <c r="K29" i="38"/>
  <c r="I29" i="38"/>
  <c r="B35" i="38"/>
  <c r="K35" i="38"/>
  <c r="I35" i="38"/>
  <c r="B34" i="38"/>
  <c r="B39" i="38"/>
  <c r="K39" i="38"/>
  <c r="I39" i="38"/>
  <c r="B31" i="38"/>
  <c r="K31" i="38"/>
  <c r="I31" i="38"/>
  <c r="B5" i="38"/>
  <c r="K5" i="38"/>
  <c r="I5" i="38"/>
  <c r="B38" i="38"/>
  <c r="K38" i="38"/>
  <c r="I38" i="38"/>
  <c r="B25" i="38"/>
  <c r="B33" i="38"/>
  <c r="K33" i="38"/>
  <c r="I33" i="38"/>
  <c r="B37" i="38"/>
  <c r="K37" i="38"/>
  <c r="I37" i="38"/>
  <c r="B28" i="38"/>
  <c r="B26" i="38"/>
  <c r="K26" i="38"/>
  <c r="I26" i="38"/>
  <c r="B42" i="38"/>
  <c r="K42" i="38"/>
  <c r="I42" i="38"/>
  <c r="B22" i="38"/>
  <c r="K22" i="38"/>
  <c r="I22" i="38"/>
  <c r="B27" i="38"/>
  <c r="B6" i="38"/>
  <c r="B32" i="38"/>
  <c r="B2" i="46"/>
  <c r="B3" i="46"/>
  <c r="B4" i="46"/>
  <c r="B5" i="46"/>
  <c r="J5" i="46"/>
  <c r="H5" i="46"/>
  <c r="B6" i="46"/>
  <c r="B7" i="46"/>
  <c r="J7" i="46"/>
  <c r="H7" i="46"/>
  <c r="B9" i="46"/>
  <c r="B10" i="46"/>
  <c r="B11" i="46"/>
  <c r="B12" i="46"/>
  <c r="B13" i="46"/>
  <c r="J13" i="46"/>
  <c r="H13" i="46"/>
  <c r="B14" i="46"/>
  <c r="B15" i="46"/>
  <c r="B16" i="46"/>
  <c r="B17" i="46"/>
  <c r="B19" i="46"/>
  <c r="J19" i="46" s="1"/>
  <c r="H19" i="46" s="1"/>
  <c r="B20" i="46"/>
  <c r="B21" i="46"/>
  <c r="B22" i="46"/>
  <c r="J22" i="46"/>
  <c r="H22" i="46"/>
  <c r="B23" i="46"/>
  <c r="B24" i="46"/>
  <c r="J24" i="46"/>
  <c r="H24" i="46"/>
  <c r="B25" i="46"/>
  <c r="J25" i="46"/>
  <c r="H25" i="46"/>
  <c r="B26" i="46"/>
  <c r="J26" i="46"/>
  <c r="H26" i="46"/>
  <c r="B27" i="46"/>
  <c r="J27" i="46"/>
  <c r="H27" i="46"/>
  <c r="B39" i="46"/>
  <c r="J39" i="46"/>
  <c r="H39" i="46"/>
  <c r="B40" i="46"/>
  <c r="J40" i="46"/>
  <c r="H40" i="46"/>
  <c r="B3" i="35"/>
  <c r="B16" i="38"/>
  <c r="K16" i="38"/>
  <c r="I16" i="38"/>
  <c r="B28" i="37"/>
  <c r="J28" i="37"/>
  <c r="H28" i="37"/>
  <c r="B28" i="35"/>
  <c r="K28" i="35"/>
  <c r="I28" i="35"/>
  <c r="B42" i="35"/>
  <c r="B30" i="37"/>
  <c r="J30" i="37"/>
  <c r="H30" i="37"/>
  <c r="B41" i="35"/>
  <c r="B18" i="35"/>
  <c r="K18" i="35"/>
  <c r="I18" i="35"/>
  <c r="B17" i="35"/>
  <c r="B55" i="38"/>
  <c r="B53" i="38"/>
  <c r="B24" i="38"/>
  <c r="B23" i="38"/>
  <c r="B18" i="38"/>
  <c r="K18" i="38" s="1"/>
  <c r="I18" i="38" s="1"/>
  <c r="B3" i="38"/>
  <c r="B29" i="37"/>
  <c r="B28" i="46"/>
  <c r="J28" i="46"/>
  <c r="H28" i="46"/>
  <c r="B35" i="46"/>
  <c r="J35" i="46"/>
  <c r="H35" i="46"/>
  <c r="B36" i="46"/>
  <c r="B37" i="46"/>
  <c r="B38" i="46"/>
  <c r="B2" i="33"/>
  <c r="B6" i="36"/>
  <c r="B11" i="35"/>
  <c r="B13" i="36"/>
  <c r="B17" i="33"/>
  <c r="B34" i="32"/>
  <c r="J34" i="32"/>
  <c r="H34" i="32"/>
  <c r="B29" i="36"/>
  <c r="B27" i="35"/>
  <c r="B13" i="35"/>
  <c r="B30" i="35"/>
  <c r="B14" i="34"/>
  <c r="B29" i="33"/>
  <c r="B49" i="32"/>
  <c r="B29" i="35"/>
  <c r="B51" i="32"/>
  <c r="B5" i="36"/>
  <c r="B39" i="35"/>
  <c r="B2" i="35"/>
  <c r="B20" i="34"/>
  <c r="B24" i="33"/>
  <c r="B6" i="32"/>
  <c r="J6" i="32"/>
  <c r="H6" i="32"/>
  <c r="B19" i="33"/>
  <c r="J19" i="33"/>
  <c r="H19" i="33"/>
  <c r="B9" i="34"/>
  <c r="J9" i="34"/>
  <c r="H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8" i="46"/>
  <c r="H18" i="46"/>
  <c r="K24" i="38" l="1"/>
  <c r="I24" i="38"/>
  <c r="K23" i="38"/>
  <c r="I23" i="38"/>
  <c r="K3" i="38"/>
  <c r="I3" i="38"/>
  <c r="J29" i="37"/>
  <c r="H29" i="37"/>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H14" i="41"/>
  <c r="J14" i="41"/>
  <c r="J13" i="41"/>
  <c r="H13" i="41"/>
  <c r="H12" i="41"/>
  <c r="J12" i="41"/>
  <c r="H11" i="41"/>
  <c r="J11" i="41"/>
  <c r="H10" i="41"/>
  <c r="J10" i="41"/>
  <c r="J9" i="41"/>
  <c r="H9" i="41"/>
  <c r="H8" i="41"/>
  <c r="J8" i="41"/>
  <c r="J7" i="41"/>
  <c r="H7" i="41"/>
  <c r="J6" i="41"/>
  <c r="H6" i="41"/>
  <c r="J5" i="41"/>
  <c r="H5" i="41"/>
  <c r="H4" i="41"/>
  <c r="J4" i="41"/>
  <c r="J3" i="41"/>
  <c r="H3" i="41"/>
  <c r="J2" i="41"/>
  <c r="H2" i="4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c r="J9" i="32"/>
  <c r="H9" i="32" s="1"/>
  <c r="J7" i="32"/>
  <c r="H7" i="32"/>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c r="J45" i="42"/>
  <c r="H45" i="42"/>
  <c r="J44" i="42"/>
  <c r="H44" i="42"/>
  <c r="J43" i="42"/>
  <c r="H43" i="42"/>
  <c r="H42" i="42"/>
  <c r="J42" i="42"/>
  <c r="H41" i="42"/>
  <c r="J41" i="42"/>
  <c r="J40" i="42"/>
  <c r="H40" i="42"/>
  <c r="J39" i="42"/>
  <c r="H39" i="42"/>
  <c r="J38" i="42"/>
  <c r="H38" i="42"/>
  <c r="H37" i="42"/>
  <c r="J37" i="42"/>
  <c r="J36" i="42"/>
  <c r="H36" i="42"/>
  <c r="H35" i="42"/>
  <c r="J35" i="42"/>
  <c r="H34" i="42"/>
  <c r="J34" i="42"/>
  <c r="H33" i="42"/>
  <c r="J33" i="42"/>
  <c r="H32" i="42"/>
  <c r="J32" i="42"/>
  <c r="H31" i="42"/>
  <c r="J31" i="42"/>
  <c r="H30" i="42"/>
  <c r="J30" i="42"/>
  <c r="H29" i="42"/>
  <c r="J29" i="42"/>
  <c r="H28" i="42"/>
  <c r="J28" i="42"/>
  <c r="J27" i="42"/>
  <c r="H27" i="42"/>
  <c r="H26" i="42"/>
  <c r="J26" i="42"/>
  <c r="H25" i="42"/>
  <c r="J25" i="42"/>
  <c r="H24" i="42"/>
  <c r="J24" i="42"/>
  <c r="H23" i="42"/>
  <c r="J23" i="42"/>
  <c r="H22" i="42"/>
  <c r="J22" i="42"/>
  <c r="H21" i="42"/>
  <c r="J21" i="42"/>
  <c r="J20" i="42"/>
  <c r="H20" i="42"/>
  <c r="H19" i="42"/>
  <c r="J19" i="42"/>
  <c r="J18" i="42"/>
  <c r="H18" i="42"/>
  <c r="H17" i="42"/>
  <c r="J17" i="42"/>
  <c r="J16" i="42"/>
  <c r="H16" i="42"/>
  <c r="J15" i="42"/>
  <c r="H15" i="42"/>
  <c r="J14" i="42"/>
  <c r="H14" i="42"/>
  <c r="H13" i="42"/>
  <c r="J13" i="42"/>
  <c r="H12" i="42"/>
  <c r="J12" i="42"/>
  <c r="J11" i="42"/>
  <c r="H11" i="42"/>
  <c r="H10" i="42"/>
  <c r="J10" i="42"/>
  <c r="H9" i="42"/>
  <c r="J9" i="42"/>
  <c r="H8" i="42"/>
  <c r="J8" i="42"/>
  <c r="H7" i="42"/>
  <c r="J7" i="42"/>
  <c r="H6" i="42"/>
  <c r="J6" i="42"/>
  <c r="H5" i="42"/>
  <c r="J5" i="42"/>
  <c r="H4" i="42"/>
  <c r="J4" i="42"/>
  <c r="J3" i="42"/>
  <c r="H3" i="42"/>
  <c r="J2" i="42"/>
  <c r="H2" i="42"/>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H34" i="41"/>
  <c r="J34" i="41"/>
  <c r="H33" i="41"/>
  <c r="J33" i="41"/>
  <c r="J32" i="41"/>
  <c r="H32" i="41"/>
  <c r="H31" i="41"/>
  <c r="J31" i="41"/>
  <c r="H30" i="41"/>
  <c r="J30" i="41"/>
  <c r="J29" i="41"/>
  <c r="H29" i="41"/>
  <c r="J28" i="41"/>
  <c r="H28" i="41"/>
  <c r="H27" i="41"/>
  <c r="J27" i="41"/>
  <c r="J26" i="41"/>
  <c r="H26" i="41"/>
  <c r="H25" i="41"/>
  <c r="J25" i="41"/>
  <c r="J24" i="41"/>
  <c r="H24" i="41"/>
  <c r="J23" i="41"/>
  <c r="H23" i="41"/>
  <c r="J22" i="41"/>
  <c r="H22" i="41"/>
  <c r="J21" i="41"/>
  <c r="H21" i="41"/>
  <c r="H20" i="41"/>
  <c r="J20" i="41"/>
  <c r="H19" i="41"/>
  <c r="J19" i="41"/>
  <c r="H18" i="41"/>
  <c r="J18" i="41"/>
  <c r="J17" i="41"/>
  <c r="H17" i="41"/>
  <c r="J16" i="41"/>
  <c r="H16" i="41"/>
  <c r="J15" i="41"/>
  <c r="H15" i="4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c r="J43" i="40"/>
  <c r="H43" i="40" s="1"/>
  <c r="J42" i="40"/>
  <c r="H42" i="40" s="1"/>
  <c r="J41" i="40"/>
  <c r="H41" i="40" s="1"/>
  <c r="J40" i="40"/>
  <c r="H40" i="40"/>
  <c r="J39" i="40"/>
  <c r="H39" i="40" s="1"/>
  <c r="J38" i="40"/>
  <c r="H38" i="40" s="1"/>
  <c r="J37" i="40"/>
  <c r="H37" i="40" s="1"/>
  <c r="J36" i="40"/>
  <c r="H36" i="40"/>
  <c r="J35" i="40"/>
  <c r="H35" i="40" s="1"/>
  <c r="J34" i="40"/>
  <c r="H34" i="40" s="1"/>
  <c r="J33" i="40"/>
  <c r="H33" i="40"/>
  <c r="J32" i="40"/>
  <c r="H32" i="40"/>
  <c r="J31" i="40"/>
  <c r="H31" i="40" s="1"/>
  <c r="J30" i="40"/>
  <c r="H30" i="40" s="1"/>
  <c r="J29" i="40"/>
  <c r="H29" i="40"/>
  <c r="J28" i="40"/>
  <c r="H28" i="40" s="1"/>
  <c r="J27" i="40"/>
  <c r="H27" i="40" s="1"/>
  <c r="J26" i="40"/>
  <c r="H26" i="40" s="1"/>
  <c r="J25" i="40"/>
  <c r="H25" i="40" s="1"/>
  <c r="J24" i="40"/>
  <c r="H24" i="40" s="1"/>
  <c r="J23" i="40"/>
  <c r="H23" i="40" s="1"/>
  <c r="J22" i="40"/>
  <c r="H22" i="40"/>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c r="J21" i="34"/>
  <c r="H21" i="34" s="1"/>
  <c r="J18" i="34"/>
  <c r="H18" i="34" s="1"/>
  <c r="J11" i="34"/>
  <c r="H11" i="34" s="1"/>
  <c r="J39" i="34"/>
  <c r="H39" i="34"/>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<sst xmlns="http://schemas.openxmlformats.org/spreadsheetml/2006/main" count="18053" uniqueCount="789">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</sst>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599</v>
      </c>
      <c r="C25" s="70" t="s">
        <v>598</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774</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705</v>
      </c>
      <c r="C38" s="70" t="s">
        <v>707</v>
      </c>
      <c r="D38" s="70" t="s">
        <v>23</v>
      </c>
      <c r="E38" s="70" t="b">
        <v>0</v>
      </c>
      <c r="F38" s="70" t="s">
        <v>35</v>
      </c>
      <c r="G38" s="70"/>
      <c r="H38" s="71">
        <v>46236</v>
      </c>
      <c r="J38" s="1"/>
    </row>
    <row r="39" spans="1:10" ht="14.25">
      <c r="A39" s="70">
        <v>1189</v>
      </c>
      <c r="B39" s="70" t="s">
        <v>705</v>
      </c>
      <c r="C39" s="70" t="s">
        <v>706</v>
      </c>
      <c r="D39" s="70" t="s">
        <v>23</v>
      </c>
      <c r="E39" s="70" t="b">
        <v>0</v>
      </c>
      <c r="F39" s="70" t="s">
        <v>35</v>
      </c>
      <c r="G39" s="70"/>
      <c r="H39" s="71">
        <v>46236</v>
      </c>
      <c r="J39" s="1"/>
    </row>
    <row r="40" spans="1:10" ht="14.25">
      <c r="A40" s="70">
        <v>735</v>
      </c>
      <c r="B40" s="70" t="s">
        <v>705</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773</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619</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704</v>
      </c>
      <c r="C110" s="70" t="s">
        <v>703</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772</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771</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770</v>
      </c>
      <c r="C172" s="70" t="s">
        <v>34</v>
      </c>
      <c r="D172" s="70" t="s">
        <v>23</v>
      </c>
      <c r="E172" s="70" t="b">
        <v>0</v>
      </c>
      <c r="F172" s="70" t="s">
        <v>27</v>
      </c>
      <c r="G172" s="70">
        <v>8</v>
      </c>
      <c r="H172" s="71">
        <v>46236</v>
      </c>
      <c r="J172" s="1"/>
    </row>
    <row r="173" spans="1:10" ht="14.25">
      <c r="A173" s="70">
        <v>1433</v>
      </c>
      <c r="B173" s="70" t="s">
        <v>770</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702</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599</v>
      </c>
      <c r="C25" s="63" t="s">
        <v>598</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599</v>
      </c>
      <c r="C25" s="67" t="s">
        <v>598</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705</v>
      </c>
      <c r="C37" s="67" t="s">
        <v>707</v>
      </c>
      <c r="D37" s="67" t="s">
        <v>23</v>
      </c>
      <c r="E37" s="67" t="b">
        <v>0</v>
      </c>
      <c r="F37" s="67" t="s">
        <v>35</v>
      </c>
      <c r="H37" s="68">
        <v>46216</v>
      </c>
    </row>
    <row r="38" spans="1:8">
      <c r="A38" s="67">
        <v>1189</v>
      </c>
      <c r="B38" s="67" t="s">
        <v>705</v>
      </c>
      <c r="C38" s="67" t="s">
        <v>706</v>
      </c>
      <c r="D38" s="67" t="s">
        <v>23</v>
      </c>
      <c r="E38" s="67" t="b">
        <v>0</v>
      </c>
      <c r="F38" s="67" t="s">
        <v>35</v>
      </c>
      <c r="H38" s="68">
        <v>46216</v>
      </c>
    </row>
    <row r="39" spans="1:8">
      <c r="A39" s="67">
        <v>735</v>
      </c>
      <c r="B39" s="67" t="s">
        <v>705</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619</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704</v>
      </c>
      <c r="C108" s="67" t="s">
        <v>703</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702</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599</v>
      </c>
      <c r="C25" s="70" t="s">
        <v>598</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774</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705</v>
      </c>
      <c r="C38" s="70" t="s">
        <v>707</v>
      </c>
      <c r="D38" s="70" t="s">
        <v>23</v>
      </c>
      <c r="E38" s="70" t="b">
        <v>0</v>
      </c>
      <c r="F38" s="70" t="s">
        <v>35</v>
      </c>
      <c r="H38" s="71">
        <v>46236</v>
      </c>
    </row>
    <row r="39" spans="1:8">
      <c r="A39" s="70">
        <v>1189</v>
      </c>
      <c r="B39" s="70" t="s">
        <v>705</v>
      </c>
      <c r="C39" s="70" t="s">
        <v>706</v>
      </c>
      <c r="D39" s="70" t="s">
        <v>23</v>
      </c>
      <c r="E39" s="70" t="b">
        <v>0</v>
      </c>
      <c r="F39" s="70" t="s">
        <v>35</v>
      </c>
      <c r="H39" s="71">
        <v>46236</v>
      </c>
    </row>
    <row r="40" spans="1:8">
      <c r="A40" s="70">
        <v>735</v>
      </c>
      <c r="B40" s="70" t="s">
        <v>705</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773</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619</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704</v>
      </c>
      <c r="C110" s="70" t="s">
        <v>703</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772</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771</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770</v>
      </c>
      <c r="C172" s="70" t="s">
        <v>34</v>
      </c>
      <c r="D172" s="70" t="s">
        <v>23</v>
      </c>
      <c r="E172" s="70" t="b">
        <v>0</v>
      </c>
      <c r="F172" s="70" t="s">
        <v>27</v>
      </c>
      <c r="G172" s="70">
        <v>8</v>
      </c>
      <c r="H172" s="71">
        <v>46236</v>
      </c>
    </row>
    <row r="173" spans="1:8">
      <c r="A173" s="70">
        <v>1433</v>
      </c>
      <c r="B173" s="70" t="s">
        <v>770</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702</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abSelected="1"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election activeCell="F23" sqref="F23"/>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734</v>
      </c>
      <c r="M1" s="25" t="s">
        <v>366</v>
      </c>
      <c r="N1" s="25" t="s">
        <v>367</v>
      </c>
      <c r="O1" s="21" t="s">
        <v>368</v>
      </c>
      <c r="P1" s="26" t="s">
        <v>369</v>
      </c>
      <c r="Q1" s="21" t="s">
        <v>597</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596</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596</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596</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596</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596</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596</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596</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596</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596</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596</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596</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596</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596</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596</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596</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596</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596</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596</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596</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596</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596</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596</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596</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596</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596</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596</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596</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620</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64" workbookViewId="0">
      <selection activeCell="A64" sqref="A64"/>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639</v>
      </c>
      <c r="B4" t="s">
        <v>640</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694</v>
      </c>
      <c r="B6" t="s">
        <v>689</v>
      </c>
      <c r="C6" s="36" t="str">
        <f t="shared" si="0"/>
        <v>Ali Nurgat (BOB CC)</v>
      </c>
    </row>
    <row r="7" spans="1:8" ht="14.25">
      <c r="A7" t="s">
        <v>593</v>
      </c>
      <c r="B7" t="s">
        <v>689</v>
      </c>
      <c r="C7" s="36" t="str">
        <f t="shared" si="0"/>
        <v>Mohammed Nurgat (BOB CC)</v>
      </c>
    </row>
    <row r="8" spans="1:8" ht="14.25">
      <c r="A8" t="s">
        <v>638</v>
      </c>
      <c r="B8" t="s">
        <v>689</v>
      </c>
      <c r="C8" s="36" t="str">
        <f t="shared" si="0"/>
        <v>Shareeq S. Shaikh (BOB CC)</v>
      </c>
    </row>
    <row r="9" spans="1:8" ht="14.25">
      <c r="A9" t="s">
        <v>744</v>
      </c>
      <c r="B9" t="s">
        <v>475</v>
      </c>
      <c r="C9" s="36" t="str">
        <f t="shared" si="0"/>
        <v>Andrea Winkless (Coalville Wheelers)</v>
      </c>
      <c r="D9" t="s">
        <v>372</v>
      </c>
    </row>
    <row r="10" spans="1:8" ht="14.25">
      <c r="A10" t="s">
        <v>749</v>
      </c>
      <c r="B10" t="s">
        <v>475</v>
      </c>
      <c r="C10" s="36" t="str">
        <f t="shared" si="0"/>
        <v>David Alexander (Coalville Wheelers)</v>
      </c>
    </row>
    <row r="11" spans="1:8" ht="14.25">
      <c r="A11" t="s">
        <v>643</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718</v>
      </c>
      <c r="B14" t="s">
        <v>478</v>
      </c>
      <c r="C14" s="36" t="str">
        <f t="shared" si="0"/>
        <v>Alex Williamson (Cov Tri)</v>
      </c>
    </row>
    <row r="15" spans="1:8" ht="14.25">
      <c r="A15" t="s">
        <v>719</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644</v>
      </c>
      <c r="B19" t="s">
        <v>642</v>
      </c>
      <c r="C19" s="36" t="str">
        <f t="shared" si="0"/>
        <v>Muhammad Sheikh (Gapped RT)</v>
      </c>
    </row>
    <row r="20" spans="1:4" ht="14.25">
      <c r="A20" t="s">
        <v>641</v>
      </c>
      <c r="B20" t="s">
        <v>642</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699</v>
      </c>
      <c r="B23" t="s">
        <v>397</v>
      </c>
      <c r="C23" s="36" t="str">
        <f t="shared" si="0"/>
        <v>Joe Murray (M.I. Racing) (HCRC)</v>
      </c>
    </row>
    <row r="24" spans="1:4" ht="14.25">
      <c r="A24" t="s">
        <v>700</v>
      </c>
      <c r="B24" t="s">
        <v>397</v>
      </c>
      <c r="C24" s="36" t="str">
        <f t="shared" si="0"/>
        <v>Mick Wills (M.I. Racing) (HCRC)</v>
      </c>
    </row>
    <row r="25" spans="1:4" ht="14.25">
      <c r="A25" t="s">
        <v>751</v>
      </c>
      <c r="B25" t="s">
        <v>397</v>
      </c>
      <c r="C25" s="36" t="str">
        <f t="shared" si="0"/>
        <v>Steve Evans (HCRC)</v>
      </c>
    </row>
    <row r="26" spans="1:4" ht="14.25">
      <c r="A26" t="s">
        <v>484</v>
      </c>
      <c r="B26" t="s">
        <v>391</v>
      </c>
      <c r="C26" s="36" t="str">
        <f t="shared" si="0"/>
        <v>Andy King (KCC)</v>
      </c>
    </row>
    <row r="27" spans="1:4" ht="14.25">
      <c r="A27" s="62" t="s">
        <v>594</v>
      </c>
      <c r="B27" t="s">
        <v>391</v>
      </c>
      <c r="C27" s="36" t="str">
        <f t="shared" si="0"/>
        <v>Evan Collett (G Fox) (KCC)</v>
      </c>
    </row>
    <row r="28" spans="1:4" ht="14.25">
      <c r="A28" t="s">
        <v>622</v>
      </c>
      <c r="B28" t="s">
        <v>391</v>
      </c>
      <c r="C28" s="36" t="str">
        <f t="shared" si="0"/>
        <v>Ian Bird (KCC)</v>
      </c>
    </row>
    <row r="29" spans="1:4" ht="14.25">
      <c r="A29" t="s">
        <v>485</v>
      </c>
      <c r="B29" t="s">
        <v>391</v>
      </c>
      <c r="C29" s="36" t="str">
        <f t="shared" si="0"/>
        <v>Josh Brown (KCC)</v>
      </c>
    </row>
    <row r="30" spans="1:4" ht="14.25">
      <c r="A30" t="s">
        <v>587</v>
      </c>
      <c r="B30" t="s">
        <v>391</v>
      </c>
      <c r="C30" s="36" t="str">
        <f t="shared" si="0"/>
        <v>Maria Cayford (KCC)</v>
      </c>
      <c r="D30" t="s">
        <v>372</v>
      </c>
    </row>
    <row r="31" spans="1:4" ht="14.25">
      <c r="A31" t="s">
        <v>621</v>
      </c>
      <c r="B31" t="s">
        <v>391</v>
      </c>
      <c r="C31" s="36" t="str">
        <f t="shared" si="0"/>
        <v>Michael Wheeler (KCC)</v>
      </c>
    </row>
    <row r="32" spans="1:4" ht="14.25">
      <c r="A32" t="s">
        <v>736</v>
      </c>
      <c r="B32" t="s">
        <v>400</v>
      </c>
      <c r="C32" s="36" t="str">
        <f t="shared" si="0"/>
        <v>Dave Tomlinson (LFCC)</v>
      </c>
    </row>
    <row r="33" spans="1:4" ht="14.25">
      <c r="A33" t="s">
        <v>735</v>
      </c>
      <c r="B33" t="s">
        <v>400</v>
      </c>
      <c r="C33" s="36" t="str">
        <f t="shared" si="0"/>
        <v>Eric Fullerton (LFCC)</v>
      </c>
    </row>
    <row r="34" spans="1:4" ht="14.25">
      <c r="A34" t="s">
        <v>741</v>
      </c>
      <c r="B34" t="s">
        <v>400</v>
      </c>
      <c r="C34" s="36" t="str">
        <f t="shared" si="0"/>
        <v>Harriet Hughes (Beeston RC) (LFCC)</v>
      </c>
      <c r="D34" t="s">
        <v>372</v>
      </c>
    </row>
    <row r="35" spans="1:4" ht="14.25">
      <c r="A35" t="s">
        <v>634</v>
      </c>
      <c r="B35" t="s">
        <v>400</v>
      </c>
      <c r="C35" s="36" t="str">
        <f t="shared" si="0"/>
        <v>Jeff Jones (LFCC)</v>
      </c>
    </row>
    <row r="36" spans="1:4" ht="14.25">
      <c r="A36" t="s">
        <v>720</v>
      </c>
      <c r="B36" t="s">
        <v>400</v>
      </c>
      <c r="C36" s="36" t="str">
        <f t="shared" ref="C36:C67" si="1">IF(ISBLANK(B36),IF(ISBLANK(A36),"",A36),_xlfn.CONCAT(A36," (",B36,")"))</f>
        <v>Josh Jones (LFCC)</v>
      </c>
    </row>
    <row r="37" spans="1:4" ht="14.25">
      <c r="A37" t="s">
        <v>635</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738</v>
      </c>
      <c r="B41" t="s">
        <v>400</v>
      </c>
      <c r="C41" s="36" t="str">
        <f t="shared" si="1"/>
        <v>Pietro Saman (LFCC)</v>
      </c>
    </row>
    <row r="42" spans="1:4" ht="14.25">
      <c r="A42" t="s">
        <v>489</v>
      </c>
      <c r="B42" t="s">
        <v>400</v>
      </c>
      <c r="C42" s="36" t="str">
        <f t="shared" si="1"/>
        <v>Sam Nettel (LFCC)</v>
      </c>
    </row>
    <row r="43" spans="1:4" ht="14.25">
      <c r="A43" t="s">
        <v>636</v>
      </c>
      <c r="B43" t="s">
        <v>400</v>
      </c>
      <c r="C43" s="36" t="str">
        <f t="shared" si="1"/>
        <v>Simon Jones (LFCC)</v>
      </c>
    </row>
    <row r="44" spans="1:4" ht="14.25">
      <c r="A44" t="s">
        <v>690</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721</v>
      </c>
      <c r="B47" t="s">
        <v>701</v>
      </c>
      <c r="C47" s="36" t="str">
        <f t="shared" si="1"/>
        <v>David Mead (M.I. Racing)</v>
      </c>
    </row>
    <row r="48" spans="1:4" ht="14.25">
      <c r="A48" t="s">
        <v>717</v>
      </c>
      <c r="B48" t="s">
        <v>701</v>
      </c>
      <c r="C48" s="36" t="str">
        <f t="shared" si="1"/>
        <v>Mark Wise (M.I. Racing)</v>
      </c>
    </row>
    <row r="49" spans="1:4" ht="14.25">
      <c r="A49" t="s">
        <v>730</v>
      </c>
      <c r="B49" t="s">
        <v>701</v>
      </c>
      <c r="C49" s="36" t="str">
        <f t="shared" si="1"/>
        <v>Simon Law (M.I. Racing)</v>
      </c>
    </row>
    <row r="50" spans="1:4" ht="14.25">
      <c r="A50" t="s">
        <v>698</v>
      </c>
      <c r="B50" t="s">
        <v>701</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740</v>
      </c>
      <c r="B54" t="s">
        <v>494</v>
      </c>
      <c r="C54" s="36" t="str">
        <f t="shared" si="1"/>
        <v>Juraj Rys (MOCC)</v>
      </c>
    </row>
    <row r="55" spans="1:4" ht="14.25">
      <c r="A55" t="s">
        <v>695</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658</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786</v>
      </c>
      <c r="B64" s="62" t="s">
        <v>394</v>
      </c>
      <c r="C64" s="36" t="str">
        <f t="shared" si="1"/>
        <v>Geoff Stanbridge (Fenland Clarion) (Ratae)</v>
      </c>
    </row>
    <row r="65" spans="1:4" ht="14.25">
      <c r="A65" t="s">
        <v>742</v>
      </c>
      <c r="B65" t="s">
        <v>394</v>
      </c>
      <c r="C65" s="36" t="str">
        <f t="shared" si="1"/>
        <v>Jim Smith (Ratae)</v>
      </c>
    </row>
    <row r="66" spans="1:4" ht="14.25">
      <c r="A66" t="s">
        <v>506</v>
      </c>
      <c r="B66" t="s">
        <v>394</v>
      </c>
      <c r="C66" s="36" t="str">
        <f t="shared" si="1"/>
        <v>Jonathon Clarke (Ratae)</v>
      </c>
      <c r="D66" s="36"/>
    </row>
    <row r="67" spans="1:4" ht="14.25">
      <c r="A67" t="s">
        <v>645</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775</v>
      </c>
      <c r="B74" t="s">
        <v>394</v>
      </c>
      <c r="C74" s="36" t="str">
        <f t="shared" si="2"/>
        <v>Nikki Allen (Ratae)</v>
      </c>
      <c r="D74" t="s">
        <v>372</v>
      </c>
    </row>
    <row r="75" spans="1:4" ht="14.25">
      <c r="A75" t="s">
        <v>513</v>
      </c>
      <c r="B75" t="s">
        <v>394</v>
      </c>
      <c r="C75" s="36" t="str">
        <f t="shared" si="2"/>
        <v>Paul Eden (Ratae)</v>
      </c>
    </row>
    <row r="76" spans="1:4" ht="14.25">
      <c r="A76" t="s">
        <v>659</v>
      </c>
      <c r="B76" t="s">
        <v>394</v>
      </c>
      <c r="C76" s="36" t="str">
        <f t="shared" si="2"/>
        <v>Peter Kott (Ratae)</v>
      </c>
    </row>
    <row r="77" spans="1:4" ht="14.25">
      <c r="A77" t="s">
        <v>514</v>
      </c>
      <c r="B77" t="s">
        <v>394</v>
      </c>
      <c r="C77" s="36" t="str">
        <f t="shared" si="2"/>
        <v>Sadie Murphy (Ratae)</v>
      </c>
      <c r="D77" t="s">
        <v>372</v>
      </c>
    </row>
    <row r="78" spans="1:4" ht="14.25">
      <c r="A78" s="62" t="s">
        <v>776</v>
      </c>
      <c r="B78" t="s">
        <v>394</v>
      </c>
      <c r="C78" s="36" t="str">
        <f t="shared" si="2"/>
        <v>Sally Richards (Ratae)</v>
      </c>
      <c r="D78" t="s">
        <v>372</v>
      </c>
    </row>
    <row r="79" spans="1:4" ht="14.25">
      <c r="A79" t="s">
        <v>515</v>
      </c>
      <c r="B79" t="s">
        <v>394</v>
      </c>
      <c r="C79" s="36" t="str">
        <f t="shared" si="2"/>
        <v>Steve Pearce (Ratae)</v>
      </c>
    </row>
    <row r="80" spans="1:4" ht="14.25">
      <c r="A80" t="s">
        <v>637</v>
      </c>
      <c r="B80" t="s">
        <v>394</v>
      </c>
      <c r="C80" s="36" t="str">
        <f t="shared" si="2"/>
        <v>Sue Bonsor (Ratae)</v>
      </c>
      <c r="D80" t="s">
        <v>372</v>
      </c>
    </row>
    <row r="81" spans="1:4" ht="14.25">
      <c r="A81" t="s">
        <v>516</v>
      </c>
      <c r="B81" t="s">
        <v>385</v>
      </c>
      <c r="C81" s="36" t="str">
        <f t="shared" si="2"/>
        <v>Adam Wells (RFW)</v>
      </c>
    </row>
    <row r="82" spans="1:4" ht="14.25">
      <c r="A82" t="s">
        <v>591</v>
      </c>
      <c r="B82" t="s">
        <v>385</v>
      </c>
      <c r="C82" s="36" t="str">
        <f t="shared" si="2"/>
        <v>Alex Barrowman (RFW)</v>
      </c>
    </row>
    <row r="83" spans="1:4" ht="14.25">
      <c r="A83" t="s">
        <v>517</v>
      </c>
      <c r="B83" t="s">
        <v>385</v>
      </c>
      <c r="C83" s="36" t="str">
        <f t="shared" si="2"/>
        <v>Anne Gilhespy (RFW)</v>
      </c>
      <c r="D83" t="s">
        <v>372</v>
      </c>
    </row>
    <row r="84" spans="1:4" ht="14.25">
      <c r="A84" t="s">
        <v>518</v>
      </c>
      <c r="B84" t="s">
        <v>385</v>
      </c>
      <c r="C84" s="36" t="str">
        <f t="shared" si="2"/>
        <v>Chris Fowler (RFW)</v>
      </c>
    </row>
    <row r="85" spans="1:4" ht="14.25">
      <c r="A85" t="s">
        <v>519</v>
      </c>
      <c r="B85" t="s">
        <v>385</v>
      </c>
      <c r="C85" s="36" t="str">
        <f t="shared" si="2"/>
        <v>Dan Hempkin (RFW)</v>
      </c>
    </row>
    <row r="86" spans="1:4" ht="14.25">
      <c r="A86" t="s">
        <v>520</v>
      </c>
      <c r="B86" t="s">
        <v>385</v>
      </c>
      <c r="C86" s="36" t="str">
        <f t="shared" si="2"/>
        <v>David Hill (RFW)</v>
      </c>
    </row>
    <row r="87" spans="1:4" ht="14.25">
      <c r="A87" t="s">
        <v>630</v>
      </c>
      <c r="B87" t="s">
        <v>385</v>
      </c>
      <c r="C87" s="36" t="str">
        <f t="shared" si="2"/>
        <v>Ethan Mitchell-Clarke (Team Bottrill Nopinz) (RFW)</v>
      </c>
    </row>
    <row r="88" spans="1:4" ht="14.25">
      <c r="A88" t="s">
        <v>521</v>
      </c>
      <c r="B88" t="s">
        <v>385</v>
      </c>
      <c r="C88" s="36" t="str">
        <f t="shared" si="2"/>
        <v>Giles Cooper (RFW)</v>
      </c>
    </row>
    <row r="89" spans="1:4" ht="14.25">
      <c r="A89" t="s">
        <v>586</v>
      </c>
      <c r="B89" t="s">
        <v>385</v>
      </c>
      <c r="C89" s="36" t="str">
        <f t="shared" si="2"/>
        <v>Graeme Hall (RFW)</v>
      </c>
    </row>
    <row r="90" spans="1:4" ht="14.25">
      <c r="A90" t="s">
        <v>522</v>
      </c>
      <c r="B90" t="s">
        <v>385</v>
      </c>
      <c r="C90" s="36" t="str">
        <f t="shared" si="2"/>
        <v>Gregg Payne (RFW)</v>
      </c>
    </row>
    <row r="91" spans="1:4" ht="14.25">
      <c r="A91" t="s">
        <v>590</v>
      </c>
      <c r="B91" t="s">
        <v>385</v>
      </c>
      <c r="C91" s="36" t="str">
        <f t="shared" si="2"/>
        <v>Hudson Hendry (Ride Revolution) (RFW)</v>
      </c>
    </row>
    <row r="92" spans="1:4" ht="14.25">
      <c r="A92" t="s">
        <v>592</v>
      </c>
      <c r="B92" t="s">
        <v>385</v>
      </c>
      <c r="C92" s="36" t="str">
        <f t="shared" si="2"/>
        <v>Laurence Noble (RFW)</v>
      </c>
    </row>
    <row r="93" spans="1:4" ht="14.25">
      <c r="A93" t="s">
        <v>523</v>
      </c>
      <c r="B93" t="s">
        <v>385</v>
      </c>
      <c r="C93" s="36" t="str">
        <f t="shared" si="2"/>
        <v>Lynne Scofield (RFW)</v>
      </c>
      <c r="D93" t="s">
        <v>372</v>
      </c>
    </row>
    <row r="94" spans="1:4" ht="14.25">
      <c r="A94" t="s">
        <v>524</v>
      </c>
      <c r="B94" t="s">
        <v>385</v>
      </c>
      <c r="C94" s="36" t="str">
        <f t="shared" si="2"/>
        <v>Lynne Wilkinson-Scofield (RFW)</v>
      </c>
      <c r="D94" t="s">
        <v>372</v>
      </c>
    </row>
    <row r="95" spans="1:4" ht="14.25">
      <c r="A95" t="s">
        <v>525</v>
      </c>
      <c r="B95" t="s">
        <v>385</v>
      </c>
      <c r="C95" s="36" t="str">
        <f t="shared" si="2"/>
        <v>Michael Carter (RFW)</v>
      </c>
    </row>
    <row r="96" spans="1:4" ht="14.25">
      <c r="A96" s="62" t="s">
        <v>576</v>
      </c>
      <c r="B96" t="s">
        <v>385</v>
      </c>
      <c r="C96" s="36" t="str">
        <f t="shared" si="2"/>
        <v>Mike Deely (G Fox) (RFW)</v>
      </c>
    </row>
    <row r="97" spans="1:3" ht="14.25">
      <c r="A97" t="s">
        <v>513</v>
      </c>
      <c r="B97" t="s">
        <v>385</v>
      </c>
      <c r="C97" s="36" t="str">
        <f t="shared" si="2"/>
        <v>Paul Eden (RFW)</v>
      </c>
    </row>
    <row r="98" spans="1:3" ht="14.25">
      <c r="A98" t="s">
        <v>526</v>
      </c>
      <c r="B98" t="s">
        <v>385</v>
      </c>
      <c r="C98" s="36" t="str">
        <f t="shared" si="2"/>
        <v>Paul Russell (RFW)</v>
      </c>
    </row>
    <row r="99" spans="1:3" ht="14.25">
      <c r="A99" t="s">
        <v>527</v>
      </c>
      <c r="B99" t="s">
        <v>385</v>
      </c>
      <c r="C99" s="36" t="str">
        <f t="shared" si="2"/>
        <v>Paul Ryan (RFW)</v>
      </c>
    </row>
    <row r="100" spans="1:3" ht="14.25">
      <c r="A100" t="s">
        <v>631</v>
      </c>
      <c r="B100" t="s">
        <v>385</v>
      </c>
      <c r="C100" s="36" t="str">
        <f t="shared" ref="C100:C120" si="3">IF(ISBLANK(B100),IF(ISBLANK(A100),"",A100),_xlfn.CONCAT(A100," (",B100,")"))</f>
        <v>Pete Bradshaw (RFW)</v>
      </c>
    </row>
    <row r="101" spans="1:3" ht="14.25">
      <c r="A101" t="s">
        <v>528</v>
      </c>
      <c r="B101" t="s">
        <v>385</v>
      </c>
      <c r="C101" s="36" t="str">
        <f t="shared" si="3"/>
        <v>Phil Wilkinson (RFW)</v>
      </c>
    </row>
    <row r="102" spans="1:3" ht="14.25">
      <c r="A102" t="s">
        <v>588</v>
      </c>
      <c r="B102" t="s">
        <v>385</v>
      </c>
      <c r="C102" s="36" t="str">
        <f t="shared" si="3"/>
        <v>Steve Coombs (RFW)</v>
      </c>
    </row>
    <row r="103" spans="1:3" ht="14.25">
      <c r="A103" t="s">
        <v>589</v>
      </c>
      <c r="B103" t="s">
        <v>385</v>
      </c>
      <c r="C103" s="36" t="str">
        <f t="shared" si="3"/>
        <v>Steve Wickham (RFW)</v>
      </c>
    </row>
    <row r="104" spans="1:3" ht="14.25">
      <c r="A104" t="s">
        <v>530</v>
      </c>
      <c r="B104" t="s">
        <v>531</v>
      </c>
      <c r="C104" s="36" t="str">
        <f t="shared" si="3"/>
        <v>Adrian James (Rugby RCC)</v>
      </c>
    </row>
    <row r="105" spans="1:3" ht="14.25">
      <c r="A105" t="s">
        <v>748</v>
      </c>
      <c r="B105" t="s">
        <v>531</v>
      </c>
      <c r="C105" s="36" t="str">
        <f t="shared" si="3"/>
        <v>Angus Gordon (Rugby RCC)</v>
      </c>
    </row>
    <row r="106" spans="1:3" ht="14.25">
      <c r="A106" t="s">
        <v>745</v>
      </c>
      <c r="B106" t="s">
        <v>746</v>
      </c>
      <c r="C106" s="36" t="str">
        <f t="shared" si="3"/>
        <v>Tom Swain (Rugby Tri)</v>
      </c>
    </row>
    <row r="107" spans="1:3" ht="14.25">
      <c r="A107" t="s">
        <v>532</v>
      </c>
      <c r="B107" t="s">
        <v>533</v>
      </c>
      <c r="C107" s="36" t="str">
        <f t="shared" si="3"/>
        <v>Carl Shaw (Speedhub)</v>
      </c>
    </row>
    <row r="108" spans="1:3" ht="14.25">
      <c r="A108" t="s">
        <v>691</v>
      </c>
      <c r="B108" t="s">
        <v>533</v>
      </c>
      <c r="C108" s="36" t="str">
        <f t="shared" si="3"/>
        <v>Tom Swan (Speedhub)</v>
      </c>
    </row>
    <row r="109" spans="1:3" ht="14.25">
      <c r="A109" t="s">
        <v>758</v>
      </c>
      <c r="B109" t="s">
        <v>759</v>
      </c>
      <c r="C109" s="36" t="str">
        <f t="shared" si="3"/>
        <v>Andy Logie (SSVC)</v>
      </c>
    </row>
    <row r="110" spans="1:3" ht="14.25">
      <c r="A110" t="s">
        <v>762</v>
      </c>
      <c r="B110" t="s">
        <v>759</v>
      </c>
      <c r="C110" s="36" t="str">
        <f t="shared" si="3"/>
        <v>Simon Thomas (SSVC)</v>
      </c>
    </row>
    <row r="111" spans="1:3" ht="14.25">
      <c r="A111" t="s">
        <v>534</v>
      </c>
      <c r="B111" t="s">
        <v>535</v>
      </c>
      <c r="C111" s="36" t="str">
        <f t="shared" si="3"/>
        <v>Oliver Searle (St Ives CC)</v>
      </c>
    </row>
    <row r="112" spans="1:3" ht="14.25">
      <c r="A112" t="s">
        <v>692</v>
      </c>
      <c r="B112" t="s">
        <v>693</v>
      </c>
      <c r="C112" s="36" t="str">
        <f t="shared" si="3"/>
        <v>Tom Scott-Collins (Velo Elite)</v>
      </c>
    </row>
    <row r="113" spans="1:4" ht="14.25">
      <c r="A113" t="s">
        <v>696</v>
      </c>
      <c r="B113" t="s">
        <v>697</v>
      </c>
      <c r="C113" s="36" t="str">
        <f t="shared" si="3"/>
        <v>Paul Akroyd (VTTA E.Mids)</v>
      </c>
    </row>
    <row r="114" spans="1:4" ht="14.25">
      <c r="A114" t="s">
        <v>753</v>
      </c>
      <c r="B114" t="s">
        <v>754</v>
      </c>
      <c r="C114" s="36" t="str">
        <f t="shared" si="3"/>
        <v>Julian Church (Worcester St. Johns CC)</v>
      </c>
    </row>
    <row r="115" spans="1:4" ht="14.25">
      <c r="A115" t="s">
        <v>755</v>
      </c>
      <c r="B115" t="s">
        <v>754</v>
      </c>
      <c r="C115" s="36" t="str">
        <f t="shared" si="3"/>
        <v>Oliver Church (Worcester St. Johns CC)</v>
      </c>
    </row>
    <row r="116" spans="1:4" ht="14.25">
      <c r="A116" t="s">
        <v>628</v>
      </c>
      <c r="B116" t="s">
        <v>388</v>
      </c>
      <c r="C116" s="36" t="str">
        <f t="shared" si="3"/>
        <v>Ed Tarelli (Race Hub) (WVCC)</v>
      </c>
      <c r="D116" s="36"/>
    </row>
    <row r="117" spans="1:4" ht="14.25">
      <c r="A117" t="s">
        <v>627</v>
      </c>
      <c r="B117" t="s">
        <v>388</v>
      </c>
      <c r="C117" s="36" t="str">
        <f t="shared" si="3"/>
        <v>Jamie Kershaw (Beeston CC) (WVCC)</v>
      </c>
    </row>
    <row r="118" spans="1:4" ht="14.25">
      <c r="A118" t="s">
        <v>629</v>
      </c>
      <c r="B118" t="s">
        <v>388</v>
      </c>
      <c r="C118" s="36" t="str">
        <f t="shared" si="3"/>
        <v>Jennifer Clegg (Team Bottrill Nopinz) (WVCC)</v>
      </c>
      <c r="D118" t="s">
        <v>372</v>
      </c>
    </row>
    <row r="119" spans="1:4" ht="14.25">
      <c r="A119" t="s">
        <v>625</v>
      </c>
      <c r="B119" t="s">
        <v>388</v>
      </c>
      <c r="C119" s="36" t="str">
        <f t="shared" si="3"/>
        <v>Leah Cuthbertson (G Fox) (WVCC)</v>
      </c>
      <c r="D119" t="s">
        <v>372</v>
      </c>
    </row>
    <row r="120" spans="1:4" ht="14.25">
      <c r="A120" t="s">
        <v>626</v>
      </c>
      <c r="B120" t="s">
        <v>388</v>
      </c>
      <c r="C120" s="36" t="str">
        <f t="shared" si="3"/>
        <v>Ruby Isaac (CAMS Majaco) (WVCC)</v>
      </c>
      <c r="D120" t="s">
        <v>372</v>
      </c>
    </row>
    <row r="121" spans="1:4" ht="14.25">
      <c r="A121" t="s">
        <v>777</v>
      </c>
      <c r="B121" t="s">
        <v>778</v>
      </c>
      <c r="C121" s="36" t="str">
        <f t="shared" ref="C121:C160" si="4">IF(ISBLANK(B121),IF(ISBLANK(A121),"",A121),_xlfn.CONCAT(A121," (",B121,")"))</f>
        <v>Joseph Hyde (Numplumz)</v>
      </c>
    </row>
    <row r="122" spans="1:4" ht="14.25">
      <c r="A122" t="s">
        <v>779</v>
      </c>
      <c r="B122" t="s">
        <v>780</v>
      </c>
      <c r="C122" s="36" t="str">
        <f t="shared" si="4"/>
        <v>Peter Cowler (Wellingborough AC)</v>
      </c>
    </row>
    <row r="123" spans="1:4" ht="14.25">
      <c r="A123" t="s">
        <v>782</v>
      </c>
      <c r="B123" t="s">
        <v>391</v>
      </c>
      <c r="C123" s="36" t="str">
        <f t="shared" si="4"/>
        <v>Antony Brown (KCC)</v>
      </c>
    </row>
    <row r="124" spans="1:4" ht="14.25">
      <c r="A124" t="s">
        <v>783</v>
      </c>
      <c r="B124" t="s">
        <v>391</v>
      </c>
      <c r="C124" s="36" t="str">
        <f t="shared" si="4"/>
        <v>Nick Gallimore (KCC)</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20">
    <sortCondition ref="B2:B120"/>
    <sortCondition ref="A2:A12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620</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620</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616</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617</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620</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602</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620</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615</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614</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576</v>
      </c>
      <c r="B39" s="47" t="s">
        <v>611</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602</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9" sqref="A19"/>
    </sheetView>
  </sheetViews>
  <sheetFormatPr defaultColWidth="9.1328125" defaultRowHeight="12.75"/>
  <cols>
    <col min="1" max="1" width="20.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620</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786</v>
      </c>
      <c r="B19" s="47" t="s">
        <v>787</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580</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581</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582</v>
      </c>
      <c r="B36" s="47" t="s">
        <v>582</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583</v>
      </c>
      <c r="B37" s="47" t="s">
        <v>583</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576</v>
      </c>
      <c r="B46" s="47" t="s">
        <v>611</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585</v>
      </c>
      <c r="B50" s="47" t="s">
        <v>585</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584</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602</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603</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589</v>
      </c>
      <c r="B9" s="47" t="s">
        <v>604</v>
      </c>
      <c r="C9" s="48"/>
      <c r="D9" s="49">
        <v>73</v>
      </c>
      <c r="E9" s="49">
        <v>45</v>
      </c>
      <c r="F9" s="49" t="s">
        <v>596</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596</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605</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588</v>
      </c>
      <c r="B14" s="47" t="s">
        <v>606</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587</v>
      </c>
      <c r="B17" s="47" t="s">
        <v>607</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608</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592</v>
      </c>
      <c r="B20" s="47" t="s">
        <v>609</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586</v>
      </c>
      <c r="B22" s="47" t="s">
        <v>610</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611</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601</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591</v>
      </c>
      <c r="B28" s="47" t="s">
        <v>612</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600</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613</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620</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581</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584</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618</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578</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595</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696</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623</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624</v>
      </c>
      <c r="B50" s="47" t="s">
        <v>624</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A2" sqref="A2"/>
    </sheetView>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786</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620</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621</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587</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696</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622</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594</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630</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581</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633</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588</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592</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632</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618</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594</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631</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591</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595</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25" sqref="A25"/>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634</v>
      </c>
      <c r="B2" s="47" t="str">
        <f t="shared" ref="B2:B33" si="0">IF(A2="","",_xlfn.XLOOKUP(A2,ClubNames,ClubNumbers,_xlfn.XLOOKUP(A2,RoundRobinRiderNames,RoundRobinRiderDecoratedNames,A2)))</f>
        <v>Jeff Jones (LFCC)</v>
      </c>
      <c r="C2" s="47" t="s">
        <v>660</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635</v>
      </c>
      <c r="B3" s="47" t="str">
        <f t="shared" si="0"/>
        <v>Joshua Jones (LFCC)</v>
      </c>
      <c r="C3" s="47" t="s">
        <v>661</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636</v>
      </c>
      <c r="B4" s="47" t="str">
        <f t="shared" si="0"/>
        <v>Simon Jones (LFCC)</v>
      </c>
      <c r="C4" s="47" t="s">
        <v>662</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620</v>
      </c>
      <c r="B5" s="47">
        <f t="shared" si="0"/>
        <v>990</v>
      </c>
      <c r="C5" s="47" t="s">
        <v>663</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664</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695</v>
      </c>
      <c r="B7" s="47" t="str">
        <f t="shared" si="0"/>
        <v>Laura Ayres (MOCC)</v>
      </c>
      <c r="C7" s="47" t="s">
        <v>665</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637</v>
      </c>
      <c r="B8" s="47" t="str">
        <f t="shared" si="0"/>
        <v>Sue Bonsor (Ratae)</v>
      </c>
      <c r="C8" s="47" t="s">
        <v>666</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667</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668</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669</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670</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671</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672</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638</v>
      </c>
      <c r="B15" s="47" t="str">
        <f t="shared" si="0"/>
        <v>Shareeq S. Shaikh (BOB CC)</v>
      </c>
      <c r="C15" s="47" t="s">
        <v>673</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639</v>
      </c>
      <c r="B16" s="47" t="str">
        <f t="shared" si="0"/>
        <v>Marc Fairclough (Beeston RC)</v>
      </c>
      <c r="C16" s="47" t="s">
        <v>674</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641</v>
      </c>
      <c r="B17" s="47" t="str">
        <f t="shared" si="0"/>
        <v>Umair Nurgat (Gapped RT)</v>
      </c>
      <c r="C17" s="47" t="s">
        <v>675</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643</v>
      </c>
      <c r="B18" s="47" t="str">
        <f t="shared" si="0"/>
        <v>James Dexter (Coalville Wheelers)</v>
      </c>
      <c r="C18" s="47" t="s">
        <v>676</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644</v>
      </c>
      <c r="B19" s="47" t="str">
        <f t="shared" si="0"/>
        <v>Muhammad Sheikh (Gapped RT)</v>
      </c>
      <c r="C19" s="47" t="s">
        <v>677</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678</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645</v>
      </c>
      <c r="B21" s="47" t="str">
        <f t="shared" si="0"/>
        <v>Karl Williams (Ratae)</v>
      </c>
      <c r="C21" s="47" t="s">
        <v>679</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680</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681</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682</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786</v>
      </c>
      <c r="B25" s="47" t="str">
        <f t="shared" si="0"/>
        <v>Geoff Stanbridge (Fenland Clarion) (Ratae)</v>
      </c>
      <c r="C25" s="47" t="s">
        <v>683</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646</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647</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690</v>
      </c>
      <c r="B28" s="47" t="str">
        <f t="shared" si="0"/>
        <v>Steve Walsh (LFCC)</v>
      </c>
      <c r="C28" s="47" t="s">
        <v>648</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649</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650</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651</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652</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653</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691</v>
      </c>
      <c r="B34" s="47" t="str">
        <f t="shared" ref="B34:B97" si="3">IF(A34="","",_xlfn.XLOOKUP(A34,ClubNames,ClubNumbers,_xlfn.XLOOKUP(A34,RoundRobinRiderNames,RoundRobinRiderDecoratedNames,A34)))</f>
        <v>Tom Swan (Speedhub)</v>
      </c>
      <c r="C34" s="47" t="s">
        <v>654</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692</v>
      </c>
      <c r="B35" s="47" t="str">
        <f t="shared" si="3"/>
        <v>Tom Scott-Collins (Velo Elite)</v>
      </c>
      <c r="C35" s="47" t="s">
        <v>655</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593</v>
      </c>
      <c r="B36" s="47" t="str">
        <f t="shared" si="3"/>
        <v>Mohammed Nurgat (BOB CC)</v>
      </c>
      <c r="C36" s="47" t="s">
        <v>656</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694</v>
      </c>
      <c r="B37" s="47" t="str">
        <f t="shared" si="3"/>
        <v>Ali Nurgat (BOB CC)</v>
      </c>
      <c r="C37" s="47" t="s">
        <v>657</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684</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685</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686</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658</v>
      </c>
      <c r="B41" s="47" t="str">
        <f t="shared" si="3"/>
        <v>Brigitte Gaillard (Ratae)</v>
      </c>
      <c r="C41" s="47" t="s">
        <v>687</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659</v>
      </c>
      <c r="B42" s="47" t="str">
        <f t="shared" si="3"/>
        <v>Peter Kott (Ratae)</v>
      </c>
      <c r="C42" s="47" t="s">
        <v>688</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election activeCell="A6" sqref="A6"/>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709</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716</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710</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620</v>
      </c>
      <c r="B5" s="47">
        <f t="shared" si="0"/>
        <v>990</v>
      </c>
      <c r="C5" s="47" t="s">
        <v>711</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786</v>
      </c>
      <c r="B6" s="47" t="str">
        <f t="shared" si="0"/>
        <v>Geoff Stanbridge (Fenland Clarion) (Ratae)</v>
      </c>
      <c r="C6" s="47" t="s">
        <v>712</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658</v>
      </c>
      <c r="B7" s="47" t="str">
        <f t="shared" si="0"/>
        <v>Brigitte Gaillard (Ratae)</v>
      </c>
      <c r="C7" s="47" t="s">
        <v>708</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690</v>
      </c>
      <c r="B8" s="47" t="str">
        <f t="shared" si="0"/>
        <v>Steve Walsh (LFCC)</v>
      </c>
      <c r="C8" s="47" t="s">
        <v>713</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714</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699</v>
      </c>
      <c r="B10" s="47" t="str">
        <f t="shared" si="0"/>
        <v>Joe Murray (M.I. Racing) (HCRC)</v>
      </c>
      <c r="C10" s="47" t="s">
        <v>715</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669</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733</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670</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671</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672</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673</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674</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675</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676</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677</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678</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595</v>
      </c>
      <c r="B22" s="47">
        <f t="shared" si="0"/>
        <v>1390</v>
      </c>
      <c r="C22" s="47" t="s">
        <v>679</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698</v>
      </c>
      <c r="B23" s="47" t="str">
        <f t="shared" si="0"/>
        <v>Zoe Shepherd (M.I. Racing)</v>
      </c>
      <c r="C23" s="47" t="s">
        <v>680</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681</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696</v>
      </c>
      <c r="B25" s="47" t="str">
        <f t="shared" si="0"/>
        <v>Paul Akroyd (VTTA E.Mids)</v>
      </c>
      <c r="C25" s="47" t="s">
        <v>682</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683</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646</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647</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648</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649</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618</v>
      </c>
      <c r="B31" s="47">
        <f t="shared" si="0"/>
        <v>1391</v>
      </c>
      <c r="C31" s="47" t="s">
        <v>650</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651</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652</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653</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634</v>
      </c>
      <c r="B35" s="47" t="str">
        <f t="shared" si="3"/>
        <v>Jeff Jones (LFCC)</v>
      </c>
      <c r="C35" s="47" t="s">
        <v>654</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720</v>
      </c>
      <c r="B36" s="47" t="str">
        <f t="shared" si="3"/>
        <v>Josh Jones (LFCC)</v>
      </c>
      <c r="C36" s="47" t="s">
        <v>655</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636</v>
      </c>
      <c r="B37" s="47" t="str">
        <f t="shared" si="3"/>
        <v>Simon Jones (LFCC)</v>
      </c>
      <c r="C37" s="47" t="s">
        <v>656</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657</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684</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685</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721</v>
      </c>
      <c r="B41" s="47" t="str">
        <f t="shared" si="3"/>
        <v>David Mead (M.I. Racing)</v>
      </c>
      <c r="C41" s="47" t="s">
        <v>686</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687</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688</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722</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717</v>
      </c>
      <c r="B45" s="47" t="str">
        <f t="shared" si="3"/>
        <v>Mark Wise (M.I. Racing)</v>
      </c>
      <c r="C45" s="47" t="s">
        <v>723</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724</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749</v>
      </c>
      <c r="B47" s="47" t="str">
        <f t="shared" si="3"/>
        <v>David Alexander (Coalville Wheelers)</v>
      </c>
      <c r="C47" s="47" t="s">
        <v>725</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726</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727</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719</v>
      </c>
      <c r="B50" s="47" t="str">
        <f t="shared" si="3"/>
        <v>David Melhuish (Cov Tri)</v>
      </c>
      <c r="C50" s="47" t="s">
        <v>728</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718</v>
      </c>
      <c r="B51" s="47" t="str">
        <f t="shared" si="3"/>
        <v>Alex Williamson (Cov Tri)</v>
      </c>
      <c r="C51" s="47" t="s">
        <v>729</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730</v>
      </c>
      <c r="B52" s="47" t="str">
        <f t="shared" si="3"/>
        <v>Simon Law (M.I. Racing)</v>
      </c>
      <c r="C52" s="47" t="s">
        <v>731</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732</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735</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738</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736</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737</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696</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618</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741</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595</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739</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596</v>
      </c>
      <c r="G25" s="49" t="s">
        <v>554</v>
      </c>
      <c r="H25" s="50" t="str">
        <f>IF($B25="","",IF($J25="X",B25,CONCATENATE(VLOOKUP(B25,Competitors!$A$2:$I$650,3,FALSE)," ",VLOOKUP(B25,Competitors!$A$2:$I$650,2,FALSE))))</f>
        <v>Ethan Marsh</v>
      </c>
      <c r="I25" s="51">
        <f t="shared" si="1"/>
        <v>0</v>
      </c>
      <c r="J25" t="str">
        <f t="shared" si="2"/>
        <v/>
      </c>
    </row>
    <row r="26" spans="1:10" ht="15">
      <c r="A26" s="46" t="s">
        <v>634</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636</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720</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740</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658</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A37" sqref="A37"/>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742</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594</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634</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636</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720</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743</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744</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776</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620</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735</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745</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692</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633</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581</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747</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690</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641</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786</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694</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620</v>
      </c>
      <c r="B2" s="47">
        <f t="shared" ref="B2:B42" si="0">IF(A2="","",_xlfn.XLOOKUP(A2,ClubNames,ClubNumbers,_xlfn.XLOOKUP(A2,RoundRobinRiderNames,RoundRobinRiderDecoratedNames,A2)))</f>
        <v>990</v>
      </c>
      <c r="C2" s="47" t="s">
        <v>709</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748</v>
      </c>
      <c r="B3" s="47" t="str">
        <f t="shared" si="0"/>
        <v>Angus Gordon (Rugby RCC)</v>
      </c>
      <c r="C3" s="47" t="s">
        <v>716</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710</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711</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712</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708</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713</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714</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581</v>
      </c>
      <c r="B10" s="47">
        <f t="shared" si="0"/>
        <v>1370</v>
      </c>
      <c r="C10" s="47" t="s">
        <v>715</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669</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670</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671</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672</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673</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749</v>
      </c>
      <c r="B16" s="47" t="str">
        <f t="shared" si="0"/>
        <v>David Alexander (Coalville Wheelers)</v>
      </c>
      <c r="C16" s="47" t="s">
        <v>674</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675</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751</v>
      </c>
      <c r="B18" s="47" t="str">
        <f t="shared" si="0"/>
        <v>Steve Evans (HCRC)</v>
      </c>
      <c r="C18" s="47" t="s">
        <v>676</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677</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750</v>
      </c>
      <c r="B20" s="47" t="str">
        <f t="shared" si="0"/>
        <v>Esme Shipman</v>
      </c>
      <c r="C20" s="47" t="s">
        <v>678</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679</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752</v>
      </c>
      <c r="B22" s="47">
        <f t="shared" si="0"/>
        <v>1357</v>
      </c>
      <c r="C22" s="47" t="s">
        <v>680</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753</v>
      </c>
      <c r="B23" s="47" t="str">
        <f t="shared" si="0"/>
        <v>Julian Church (Worcester St. Johns CC)</v>
      </c>
      <c r="C23" s="47" t="s">
        <v>681</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755</v>
      </c>
      <c r="B24" s="47" t="str">
        <f t="shared" si="0"/>
        <v>Oliver Church (Worcester St. Johns CC)</v>
      </c>
      <c r="C24" s="47" t="s">
        <v>682</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683</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646</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647</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595</v>
      </c>
      <c r="B28" s="47">
        <f t="shared" si="0"/>
        <v>1390</v>
      </c>
      <c r="C28" s="47" t="s">
        <v>648</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649</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594</v>
      </c>
      <c r="B30" s="47" t="str">
        <f t="shared" si="0"/>
        <v>Evan Collett (G Fox) (KCC)</v>
      </c>
      <c r="C30" s="47" t="s">
        <v>650</v>
      </c>
      <c r="D30" s="48"/>
      <c r="E30" s="49">
        <v>24</v>
      </c>
      <c r="F30" s="49">
        <v>6</v>
      </c>
      <c r="G30" s="49"/>
      <c r="H30" s="49"/>
      <c r="I30" s="50" t="str">
        <f>IF($B30="","",IF($K30="X",B30,CONCATENATE(VLOOKUP(B30,Competitors!$A$2:$I$650,3,FALSE)," ",VLOOKUP(B30,Competitors!$A$2:$I$650,2,FALSE))))</f>
        <v>Evan Collett (G Fox) (KCC)</v>
      </c>
      <c r="J30" s="51">
        <f t="shared" si="1"/>
        <v>1.6736111111111111E-2</v>
      </c>
      <c r="K30" t="str">
        <f t="shared" si="2"/>
        <v>X</v>
      </c>
    </row>
    <row r="31" spans="1:11" ht="15">
      <c r="A31" s="46" t="s">
        <v>419</v>
      </c>
      <c r="B31" s="47">
        <f t="shared" si="0"/>
        <v>1355</v>
      </c>
      <c r="C31" s="47" t="s">
        <v>651</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652</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653</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654</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696</v>
      </c>
      <c r="B35" s="47" t="str">
        <f t="shared" si="0"/>
        <v>Paul Akroyd (VTTA E.Mids)</v>
      </c>
      <c r="C35" s="47" t="s">
        <v>655</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656</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690</v>
      </c>
      <c r="B37" s="47" t="str">
        <f t="shared" si="0"/>
        <v>Steve Walsh (LFCC)</v>
      </c>
      <c r="C37" s="47" t="s">
        <v>657</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684</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685</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686</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658</v>
      </c>
      <c r="B41" s="47" t="str">
        <f t="shared" si="0"/>
        <v>Brigitte Gaillard (Ratae)</v>
      </c>
      <c r="C41" s="47" t="s">
        <v>687</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688</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722</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723</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634</v>
      </c>
      <c r="B45" s="47" t="str">
        <f t="shared" si="3"/>
        <v>Jeff Jones (LFCC)</v>
      </c>
      <c r="C45" s="47" t="s">
        <v>724</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636</v>
      </c>
      <c r="B46" s="47" t="str">
        <f t="shared" si="3"/>
        <v>Simon Jones (LFCC)</v>
      </c>
      <c r="C46" s="47" t="s">
        <v>725</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720</v>
      </c>
      <c r="B47" s="47" t="str">
        <f t="shared" si="3"/>
        <v>Josh Jones (LFCC)</v>
      </c>
      <c r="C47" s="47" t="s">
        <v>726</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727</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756</v>
      </c>
      <c r="B49" s="47" t="str">
        <f t="shared" si="3"/>
        <v>Amy Whitmore</v>
      </c>
      <c r="C49" s="47" t="s">
        <v>728</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757</v>
      </c>
      <c r="B50" s="47" t="str">
        <f t="shared" si="3"/>
        <v>Alice Watson</v>
      </c>
      <c r="C50" s="47" t="s">
        <v>729</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731</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732</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758</v>
      </c>
      <c r="B53" s="47" t="str">
        <f t="shared" si="3"/>
        <v>Andy Logie (SSVC)</v>
      </c>
      <c r="C53" s="47" t="s">
        <v>760</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761</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762</v>
      </c>
      <c r="B55" s="47" t="str">
        <f t="shared" si="3"/>
        <v>Simon Thomas (SSVC)</v>
      </c>
      <c r="C55" s="47" t="s">
        <v>763</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764</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765</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766</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767</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721</v>
      </c>
      <c r="B60" s="47" t="str">
        <f t="shared" si="3"/>
        <v>David Mead (M.I. Racing)</v>
      </c>
      <c r="C60" s="47" t="s">
        <v>768</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769</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election activeCell="A9" sqref="A9"/>
    </sheetView>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620</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775</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581</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786</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735</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776</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579</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594</v>
      </c>
      <c r="B25" s="47" t="str">
        <f t="shared" si="0"/>
        <v>Evan Collett (G Fox) (KCC)</v>
      </c>
      <c r="C25" s="48"/>
      <c r="D25" s="49">
        <v>25</v>
      </c>
      <c r="E25" s="49">
        <v>26</v>
      </c>
      <c r="F25" s="65" t="s">
        <v>545</v>
      </c>
      <c r="G25" s="49"/>
      <c r="H25" s="50" t="str">
        <f>IF($B25="","",IF($J25="X",B25,CONCATENATE(VLOOKUP(B25,Competitors!$A$2:$I$650,3,FALSE)," ",VLOOKUP(B25,Competitors!$A$2:$I$650,2,FALSE))))</f>
        <v>Evan Collett (G Fox)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595</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696</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618</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690</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624</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topLeftCell="A4" workbookViewId="0">
      <selection activeCell="A12" sqref="A12"/>
    </sheetView>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581</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777</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620</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779</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658</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786</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781</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590</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782</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579</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690</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783</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735</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t="s">
        <v>788</v>
      </c>
      <c r="F36" s="65"/>
      <c r="G36" s="59"/>
      <c r="H36" s="50" t="str">
        <f>IF($B36="","",IF($J36="X",B36,CONCATENATE(VLOOKUP(B36,Competitors!$A$2:$I$650,3,FALSE)," ",VLOOKUP(B36,Competitors!$A$2:$I$650,2,FALSE))))</f>
        <v>Nik Kershaw</v>
      </c>
      <c r="I36" s="51" t="e">
        <f t="shared" si="1"/>
        <v>#VALUE!</v>
      </c>
      <c r="J36" t="str">
        <f t="shared" si="2"/>
        <v/>
      </c>
    </row>
    <row r="37" spans="1:10" ht="15">
      <c r="A37" s="46" t="s">
        <v>594</v>
      </c>
      <c r="B37" s="47" t="str">
        <f t="shared" si="3"/>
        <v>Evan Collett (G Fox) (KCC)</v>
      </c>
      <c r="C37" s="59"/>
      <c r="D37" s="59">
        <v>25</v>
      </c>
      <c r="E37" s="59">
        <v>31</v>
      </c>
      <c r="F37" s="49"/>
      <c r="G37" s="59"/>
      <c r="H37" s="50" t="str">
        <f>IF($B37="","",IF($J37="X",B37,CONCATENATE(VLOOKUP(B37,Competitors!$A$2:$I$650,3,FALSE)," ",VLOOKUP(B37,Competitors!$A$2:$I$650,2,FALSE))))</f>
        <v>Evan Collett (G Fox) (KCC)</v>
      </c>
      <c r="I37" s="51">
        <f t="shared" si="1"/>
        <v>1.7719907407407406E-2</v>
      </c>
      <c r="J37" t="str">
        <f t="shared" si="2"/>
        <v>X</v>
      </c>
    </row>
    <row r="38" spans="1:10" ht="15">
      <c r="A38" s="46" t="s">
        <v>622</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784</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633</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785</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2026-08-13T19:49:20Z</dcterms:modified>
</cp:coreProperties>
</file>