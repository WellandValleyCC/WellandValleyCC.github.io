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464B1F0-2B69-4B3D-A62C-67508F065EF2}" xr6:coauthVersionLast="47" xr6:coauthVersionMax="47" xr10:uidLastSave="{00000000-0000-0000-0000-000000000000}"/>
  <bookViews>
    <workbookView xWindow="0" yWindow="0" windowWidth="28800" windowHeight="17280" firstSheet="14"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2" i="18"/>
  <c r="C45" i="18"/>
  <c r="C60" i="18"/>
  <c r="C35" i="18"/>
  <c r="C89" i="18"/>
  <c r="C7" i="18"/>
  <c r="C6" i="18"/>
  <c r="C91" i="18"/>
  <c r="C97" i="18"/>
  <c r="C9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59" i="18"/>
  <c r="B23" i="33"/>
  <c r="J23" i="33"/>
  <c r="H23" i="33"/>
  <c r="I48" i="29"/>
  <c r="C74" i="18"/>
  <c r="I47" i="29"/>
  <c r="I46" i="29"/>
  <c r="C79" i="18"/>
  <c r="B44" i="34"/>
  <c r="I45" i="29"/>
  <c r="I44" i="29"/>
  <c r="I43" i="29"/>
  <c r="I42" i="29"/>
  <c r="I41" i="29"/>
  <c r="I40" i="29"/>
  <c r="I39" i="29"/>
  <c r="I38" i="29"/>
  <c r="I37" i="29"/>
  <c r="I36" i="29"/>
  <c r="I35" i="29"/>
  <c r="I34" i="29"/>
  <c r="I33" i="29"/>
  <c r="I32" i="29"/>
  <c r="I31" i="29"/>
  <c r="I30" i="29"/>
  <c r="I29" i="29"/>
  <c r="I28" i="29"/>
  <c r="I27" i="29"/>
  <c r="I26" i="29"/>
  <c r="I25" i="29"/>
  <c r="I24" i="29"/>
  <c r="C56" i="18"/>
  <c r="B34" i="34"/>
  <c r="I23" i="29"/>
  <c r="I22" i="29"/>
  <c r="C44" i="18"/>
  <c r="B11" i="35"/>
  <c r="I21" i="29"/>
  <c r="I20" i="29"/>
  <c r="I19" i="29"/>
  <c r="C50" i="18"/>
  <c r="I18" i="29"/>
  <c r="I17" i="29"/>
  <c r="I16" i="29"/>
  <c r="I15" i="29"/>
  <c r="I14" i="29"/>
  <c r="I13" i="29"/>
  <c r="I12" i="29"/>
  <c r="I11" i="29"/>
  <c r="I10" i="29"/>
  <c r="C46" i="18"/>
  <c r="I9" i="29"/>
  <c r="I8" i="29"/>
  <c r="I7" i="29"/>
  <c r="I6" i="29"/>
  <c r="I5" i="29"/>
  <c r="I4" i="29"/>
  <c r="I3" i="29"/>
  <c r="C53"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c r="C63" i="18"/>
  <c r="B8" i="35"/>
  <c r="C34" i="18"/>
  <c r="B4" i="35"/>
  <c r="C28" i="18"/>
  <c r="B2" i="35"/>
  <c r="C83" i="18"/>
  <c r="B32" i="34"/>
  <c r="C94" i="18"/>
  <c r="C93" i="18"/>
  <c r="C96" i="18"/>
  <c r="C95" i="18"/>
  <c r="C23" i="18"/>
  <c r="C26" i="18"/>
  <c r="C75" i="18"/>
  <c r="C86" i="18"/>
  <c r="C85" i="18"/>
  <c r="C25" i="18"/>
  <c r="C72" i="18"/>
  <c r="C90" i="18"/>
  <c r="C88" i="18"/>
  <c r="C87" i="18"/>
  <c r="C84" i="18"/>
  <c r="C82" i="18"/>
  <c r="C81" i="18"/>
  <c r="C80" i="18"/>
  <c r="C78" i="18"/>
  <c r="C77" i="18"/>
  <c r="C76" i="18"/>
  <c r="C73" i="18"/>
  <c r="C71" i="18"/>
  <c r="C70" i="18"/>
  <c r="C69" i="18"/>
  <c r="C68" i="18"/>
  <c r="C67" i="18"/>
  <c r="C66" i="18"/>
  <c r="C65" i="18"/>
  <c r="C64" i="18"/>
  <c r="C62" i="18"/>
  <c r="B12" i="35"/>
  <c r="C61" i="18"/>
  <c r="C58" i="18"/>
  <c r="C57" i="18"/>
  <c r="B13" i="35"/>
  <c r="C55" i="18"/>
  <c r="C54" i="18"/>
  <c r="B14" i="35"/>
  <c r="C51" i="18"/>
  <c r="B33" i="35"/>
  <c r="C49" i="18"/>
  <c r="C48" i="18"/>
  <c r="C47" i="18"/>
  <c r="C43" i="18"/>
  <c r="B38" i="35"/>
  <c r="C42" i="18"/>
  <c r="C92" i="18"/>
  <c r="C41" i="18"/>
  <c r="C40" i="18"/>
  <c r="C39" i="18"/>
  <c r="C38" i="18"/>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J42" i="32"/>
  <c r="H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0" i="32"/>
  <c r="H40" i="32"/>
  <c r="J43" i="32"/>
  <c r="H43" i="32"/>
  <c r="J31" i="33"/>
  <c r="H31" i="33"/>
  <c r="J10" i="33"/>
  <c r="H10" i="33"/>
  <c r="J38" i="32"/>
  <c r="H38" i="32"/>
  <c r="J25" i="32"/>
  <c r="H25" i="32"/>
  <c r="J20" i="32"/>
  <c r="H20" i="32"/>
  <c r="J3" i="32"/>
  <c r="H3" i="32"/>
  <c r="J2" i="32"/>
  <c r="H2" i="32"/>
  <c r="J49" i="32"/>
  <c r="H49" i="32"/>
  <c r="J24" i="33"/>
  <c r="H24" i="33"/>
  <c r="J19" i="33"/>
  <c r="H19" i="33"/>
  <c r="J21" i="33"/>
  <c r="H21" i="33"/>
  <c r="J3" i="33"/>
  <c r="H3" i="33"/>
  <c r="J5" i="33"/>
  <c r="H5" i="33"/>
  <c r="J12" i="33"/>
  <c r="H12" i="33"/>
  <c r="J22" i="33"/>
  <c r="H22" i="33"/>
  <c r="J30" i="33"/>
  <c r="H30" i="33"/>
  <c r="J2" i="33"/>
  <c r="H2" i="33"/>
  <c r="J6" i="32"/>
  <c r="H6" i="32"/>
  <c r="J26" i="33"/>
  <c r="H26" i="33"/>
  <c r="J14" i="32"/>
  <c r="H14" i="32"/>
  <c r="J29" i="32"/>
  <c r="H29" i="32"/>
  <c r="J45" i="32"/>
  <c r="H45" i="32"/>
  <c r="J12" i="32"/>
  <c r="H12" i="32"/>
  <c r="J22" i="32"/>
  <c r="H22" i="32"/>
  <c r="J10" i="32"/>
  <c r="H10" i="32"/>
  <c r="J4" i="32"/>
  <c r="H4" i="32"/>
  <c r="B9" i="35"/>
  <c r="K9" i="35"/>
  <c r="I9" i="35"/>
  <c r="B19" i="34"/>
  <c r="J19" i="34"/>
  <c r="H19" i="34"/>
  <c r="J9" i="33"/>
  <c r="H9" i="33"/>
  <c r="J18" i="33"/>
  <c r="H18" i="33"/>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H71" i="32"/>
  <c r="J71" i="32"/>
  <c r="J70" i="32"/>
  <c r="H70" i="32"/>
  <c r="J69" i="32"/>
  <c r="H69" i="32"/>
  <c r="H68" i="32"/>
  <c r="J68" i="32"/>
  <c r="J67" i="32"/>
  <c r="H67" i="32"/>
  <c r="J66" i="32"/>
  <c r="H66"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K101" i="35"/>
  <c r="I101" i="35"/>
  <c r="I100" i="35"/>
  <c r="K100" i="35"/>
  <c r="I99" i="35"/>
  <c r="K99" i="35"/>
  <c r="I98" i="35"/>
  <c r="K98" i="35"/>
  <c r="I97" i="35"/>
  <c r="K97" i="35"/>
  <c r="K96" i="35"/>
  <c r="I96" i="35"/>
  <c r="K95" i="35"/>
  <c r="I95" i="35"/>
  <c r="I94" i="35"/>
  <c r="K94" i="35"/>
  <c r="I93" i="35"/>
  <c r="K93" i="35"/>
  <c r="K92" i="35"/>
  <c r="I92" i="35"/>
  <c r="K91" i="35"/>
  <c r="I91" i="35"/>
  <c r="K90" i="35"/>
  <c r="I90" i="35"/>
  <c r="I89" i="35"/>
  <c r="K89" i="35"/>
  <c r="K88" i="35"/>
  <c r="I88" i="35"/>
  <c r="K87" i="35"/>
  <c r="I87" i="35"/>
  <c r="K86" i="35"/>
  <c r="I86" i="35"/>
  <c r="I85" i="35"/>
  <c r="K85" i="35"/>
  <c r="I84" i="35"/>
  <c r="K84" i="35"/>
  <c r="K83" i="35"/>
  <c r="I83" i="35"/>
  <c r="K82" i="35"/>
  <c r="I82" i="35"/>
  <c r="K81" i="35"/>
  <c r="I81" i="35"/>
  <c r="K80" i="35"/>
  <c r="I80" i="35"/>
  <c r="I79" i="35"/>
  <c r="K79" i="35"/>
  <c r="I78" i="35"/>
  <c r="K78" i="35"/>
  <c r="I77" i="35"/>
  <c r="K77" i="35"/>
  <c r="I76" i="35"/>
  <c r="K76" i="35"/>
  <c r="K75" i="35"/>
  <c r="I75" i="35"/>
  <c r="I74" i="35"/>
  <c r="K74" i="35"/>
  <c r="K73" i="35"/>
  <c r="I73" i="35"/>
  <c r="I72" i="35"/>
  <c r="K72" i="35"/>
  <c r="I71" i="35"/>
  <c r="K71" i="35"/>
  <c r="I70" i="35"/>
  <c r="K70" i="35"/>
  <c r="K69" i="35"/>
  <c r="I69" i="35"/>
  <c r="I68" i="35"/>
  <c r="K68" i="35"/>
  <c r="K67" i="35"/>
  <c r="I67" i="35"/>
  <c r="I66" i="35"/>
  <c r="K66" i="35"/>
  <c r="I65" i="35"/>
  <c r="K65" i="35"/>
  <c r="I64" i="35"/>
  <c r="K64" i="35"/>
  <c r="I63" i="35"/>
  <c r="K63" i="35"/>
  <c r="I62" i="35"/>
  <c r="K62" i="35"/>
  <c r="I61" i="35"/>
  <c r="K61" i="35"/>
  <c r="I60" i="35"/>
  <c r="K60" i="35"/>
  <c r="K59" i="35"/>
  <c r="I59" i="35"/>
  <c r="I58" i="35"/>
  <c r="K58" i="35"/>
  <c r="K57" i="35"/>
  <c r="I57" i="35"/>
  <c r="K56" i="35"/>
  <c r="I56" i="35"/>
  <c r="K55" i="35"/>
  <c r="I55" i="35"/>
  <c r="I54" i="35"/>
  <c r="K54" i="35"/>
  <c r="I53" i="35"/>
  <c r="K53" i="35"/>
  <c r="K52" i="35"/>
  <c r="I52" i="35"/>
  <c r="I51" i="35"/>
  <c r="K51" i="35"/>
  <c r="I50" i="35"/>
  <c r="K50" i="35"/>
  <c r="K49" i="35"/>
  <c r="I49" i="35"/>
  <c r="I48" i="35"/>
  <c r="K48" i="35"/>
  <c r="I47" i="35"/>
  <c r="K47" i="35"/>
  <c r="I46" i="35"/>
  <c r="K46" i="35"/>
  <c r="K45" i="35"/>
  <c r="I45" i="35"/>
  <c r="I44" i="35"/>
  <c r="K44" i="35"/>
  <c r="K43" i="35"/>
  <c r="I43" i="35"/>
  <c r="K42" i="35"/>
  <c r="I42" i="35"/>
  <c r="K41" i="35"/>
  <c r="I41" i="35"/>
  <c r="K38" i="35"/>
  <c r="I38" i="35"/>
  <c r="K37" i="35"/>
  <c r="I37" i="35"/>
  <c r="K36" i="35"/>
  <c r="I36" i="35"/>
  <c r="K35" i="35"/>
  <c r="I35" i="35"/>
  <c r="K34" i="35"/>
  <c r="I34" i="35"/>
  <c r="K33" i="35"/>
  <c r="I33" i="35"/>
  <c r="K28" i="35"/>
  <c r="I28" i="35"/>
  <c r="K16" i="35"/>
  <c r="I16" i="35"/>
  <c r="K15" i="35"/>
  <c r="I15" i="35"/>
  <c r="K14" i="35"/>
  <c r="I14" i="35"/>
  <c r="K13" i="35"/>
  <c r="I13" i="35"/>
  <c r="K12" i="35"/>
  <c r="I12" i="35"/>
  <c r="K8" i="35"/>
  <c r="I8" i="35"/>
  <c r="K4" i="35"/>
  <c r="I4" i="35"/>
  <c r="K2" i="35"/>
  <c r="I2" i="35"/>
  <c r="J32" i="34"/>
  <c r="H32" i="34"/>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K39" i="35" l="1"/>
  <c r="I39" i="35"/>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31" i="34"/>
  <c r="H31" i="34" s="1"/>
  <c r="J101" i="29"/>
  <c r="H101" i="29"/>
  <c r="H86" i="29"/>
  <c r="J86" i="29"/>
  <c r="H59" i="29"/>
  <c r="J59" i="29"/>
  <c r="J58" i="29"/>
  <c r="H58" i="29"/>
  <c r="J57" i="29"/>
  <c r="H57" i="29"/>
  <c r="H56" i="29"/>
  <c r="J56" i="29"/>
  <c r="H55" i="29"/>
  <c r="J55" i="29"/>
  <c r="J54" i="29"/>
  <c r="H54" i="29"/>
  <c r="H53" i="29"/>
  <c r="J53" i="29"/>
  <c r="J44" i="34"/>
  <c r="H44" i="34" s="1"/>
  <c r="J34" i="34"/>
  <c r="H34" i="34" s="1"/>
  <c r="K11" i="35"/>
  <c r="I11" i="35" s="1"/>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47" i="32"/>
  <c r="H47" i="32"/>
  <c r="J29" i="33"/>
  <c r="H29" i="33"/>
  <c r="J37" i="32"/>
  <c r="H37" i="32" s="1"/>
  <c r="J32" i="32"/>
  <c r="H32" i="32"/>
  <c r="J17" i="32"/>
  <c r="H17" i="32"/>
  <c r="J21" i="32"/>
  <c r="H21" i="32"/>
  <c r="J14" i="33"/>
  <c r="H14" i="33"/>
  <c r="K40" i="35"/>
  <c r="I40" i="35" s="1"/>
  <c r="K32" i="35"/>
  <c r="I32" i="35"/>
  <c r="K31" i="35"/>
  <c r="I31" i="35" s="1"/>
  <c r="K30" i="35"/>
  <c r="I30" i="35" s="1"/>
  <c r="K29" i="35"/>
  <c r="I29" i="35"/>
  <c r="K27" i="35"/>
  <c r="I27" i="35"/>
  <c r="K26" i="35"/>
  <c r="I26" i="35"/>
  <c r="K25" i="35"/>
  <c r="I25" i="35" s="1"/>
  <c r="K24" i="35"/>
  <c r="I24" i="35" s="1"/>
  <c r="K23" i="35"/>
  <c r="I23" i="35" s="1"/>
  <c r="K22" i="35"/>
  <c r="I22" i="35" s="1"/>
  <c r="K21" i="35"/>
  <c r="I21" i="35" s="1"/>
  <c r="K20" i="35"/>
  <c r="I20" i="35" s="1"/>
  <c r="K19" i="35"/>
  <c r="I19" i="35" s="1"/>
  <c r="K18" i="35"/>
  <c r="I18" i="35"/>
  <c r="K17" i="35"/>
  <c r="I17" i="35"/>
  <c r="K10" i="35"/>
  <c r="I10" i="35"/>
  <c r="K7" i="35"/>
  <c r="I7" i="35" s="1"/>
  <c r="K6" i="35"/>
  <c r="I6" i="35"/>
  <c r="K5" i="35"/>
  <c r="I5" i="35" s="1"/>
  <c r="K3" i="35"/>
  <c r="I3" i="35" s="1"/>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J20" i="34"/>
  <c r="H20" i="34" s="1"/>
  <c r="J14" i="34"/>
  <c r="H14" i="34" s="1"/>
  <c r="J9" i="34"/>
  <c r="H9" i="34" s="1"/>
  <c r="J37" i="34"/>
  <c r="H37" i="34" s="1"/>
  <c r="J8" i="34"/>
  <c r="H8" i="34" s="1"/>
  <c r="J10" i="34"/>
  <c r="H10" i="34" s="1"/>
  <c r="J7" i="34"/>
  <c r="H7" i="34" s="1"/>
  <c r="J23" i="34"/>
  <c r="H23" i="34" s="1"/>
  <c r="J29" i="34"/>
  <c r="H29" i="34" s="1"/>
  <c r="J36" i="34"/>
  <c r="H36" i="34"/>
  <c r="J43" i="34"/>
  <c r="H43" i="34"/>
  <c r="J22" i="34"/>
  <c r="H22" i="34"/>
  <c r="J42" i="34"/>
  <c r="H42" i="34" s="1"/>
  <c r="J21" i="34"/>
  <c r="H21" i="34" s="1"/>
  <c r="J18" i="34"/>
  <c r="H18" i="34" s="1"/>
  <c r="J11" i="34"/>
  <c r="H11" i="34" s="1"/>
  <c r="J39" i="34"/>
  <c r="H39" i="34" s="1"/>
  <c r="J6" i="34"/>
  <c r="H6" i="34" s="1"/>
  <c r="J12" i="34"/>
  <c r="H12" i="34" s="1"/>
  <c r="J25" i="34"/>
  <c r="H25" i="34" s="1"/>
  <c r="J24" i="34"/>
  <c r="H24" i="34" s="1"/>
  <c r="J17" i="34"/>
  <c r="H17" i="34"/>
  <c r="J38" i="34"/>
  <c r="H38" i="34" s="1"/>
  <c r="J13" i="34"/>
  <c r="H13" i="34" s="1"/>
  <c r="J15" i="34"/>
  <c r="H15" i="34" s="1"/>
  <c r="H45" i="34"/>
  <c r="J45" i="34"/>
  <c r="J3" i="34"/>
  <c r="H3" i="34" s="1"/>
  <c r="J5" i="34"/>
  <c r="H5" i="34" s="1"/>
  <c r="J2" i="34"/>
  <c r="H2" i="34" s="1"/>
  <c r="J16" i="34"/>
  <c r="H16" i="34" s="1"/>
  <c r="J41" i="34"/>
  <c r="H41" i="34" s="1"/>
  <c r="J30" i="34"/>
  <c r="H30" i="34"/>
  <c r="J28" i="34"/>
  <c r="H28" i="34"/>
  <c r="J26" i="34"/>
  <c r="H26" i="34" s="1"/>
  <c r="J33" i="34"/>
  <c r="H33" i="34" s="1"/>
  <c r="J4" i="34"/>
  <c r="H4" i="34" s="1"/>
  <c r="J40" i="34"/>
  <c r="H40" i="34" s="1"/>
  <c r="J35" i="34"/>
  <c r="H35" i="34" s="1"/>
  <c r="J27" i="34"/>
  <c r="H27"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23" i="32"/>
  <c r="H23" i="32"/>
  <c r="J17" i="33"/>
  <c r="H17" i="33" s="1"/>
  <c r="J48" i="32"/>
  <c r="H48" i="32" s="1"/>
  <c r="J33" i="33"/>
  <c r="H33" i="33" s="1"/>
  <c r="J13" i="33"/>
  <c r="H13" i="33" s="1"/>
  <c r="J25" i="33"/>
  <c r="H25" i="33" s="1"/>
  <c r="J20" i="33"/>
  <c r="H20" i="33" s="1"/>
  <c r="J16" i="33"/>
  <c r="H16" i="33" s="1"/>
  <c r="J28" i="33"/>
  <c r="H28" i="33" s="1"/>
  <c r="J6" i="33"/>
  <c r="H6" i="33" s="1"/>
  <c r="J11" i="33"/>
  <c r="H11" i="33" s="1"/>
  <c r="J34" i="32"/>
  <c r="H34" i="32" s="1"/>
  <c r="J51" i="32"/>
  <c r="H51" i="32" s="1"/>
  <c r="J8" i="33"/>
  <c r="H8" i="33" s="1"/>
  <c r="J32" i="33"/>
  <c r="H32" i="33" s="1"/>
  <c r="J50" i="32"/>
  <c r="H50" i="32" s="1"/>
  <c r="J7" i="33"/>
  <c r="H7" i="33" s="1"/>
  <c r="J36" i="32"/>
  <c r="H36" i="32" s="1"/>
  <c r="J27" i="33"/>
  <c r="H27" i="33" s="1"/>
  <c r="J16" i="32"/>
  <c r="H16" i="32" s="1"/>
  <c r="J28" i="32"/>
  <c r="H28" i="32" s="1"/>
  <c r="J13" i="32"/>
  <c r="H13" i="32"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<sst xmlns="http://schemas.openxmlformats.org/spreadsheetml/2006/main" count="15491" uniqueCount="705">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</sst>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604</v>
      </c>
      <c r="C25" t="s">
        <v>603</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627</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604</v>
      </c>
      <c r="C25" s="64" t="s">
        <v>603</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BF19" sqref="BF19"/>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602</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601</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628</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abSelected="1" workbookViewId="0">
      <selection activeCell="A42" sqref="A4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648</v>
      </c>
      <c r="B4" t="s">
        <v>649</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703</v>
      </c>
      <c r="B6" t="s">
        <v>698</v>
      </c>
      <c r="C6" s="36" t="str">
        <f t="shared" si="0"/>
        <v>Ali Nurgat (BOB CC)</v>
      </c>
    </row>
    <row r="7" spans="1:8" ht="14.25">
      <c r="A7" t="s">
        <v>597</v>
      </c>
      <c r="B7" t="s">
        <v>698</v>
      </c>
      <c r="C7" s="36" t="str">
        <f t="shared" si="0"/>
        <v>Mohammed Nurgat (BOB CC)</v>
      </c>
    </row>
    <row r="8" spans="1:8" ht="14.25">
      <c r="A8" t="s">
        <v>647</v>
      </c>
      <c r="B8" t="s">
        <v>698</v>
      </c>
      <c r="C8" s="36" t="str">
        <f t="shared" si="0"/>
        <v>Shareeq S. Shaikh (BOB CC)</v>
      </c>
    </row>
    <row r="9" spans="1:8" ht="14.25">
      <c r="A9" t="s">
        <v>652</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653</v>
      </c>
      <c r="B15" t="s">
        <v>651</v>
      </c>
      <c r="C15" s="36" t="str">
        <f t="shared" si="0"/>
        <v>Muhammad Sheikh (Gapped RT)</v>
      </c>
    </row>
    <row r="16" spans="1:8" ht="14.25">
      <c r="A16" t="s">
        <v>650</v>
      </c>
      <c r="B16" t="s">
        <v>651</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484</v>
      </c>
      <c r="B19" t="s">
        <v>397</v>
      </c>
      <c r="C19" s="36" t="str">
        <f t="shared" si="0"/>
        <v>Joe Murray (M I Racing) (HCRC)</v>
      </c>
    </row>
    <row r="20" spans="1:4" ht="14.25">
      <c r="A20" t="s">
        <v>485</v>
      </c>
      <c r="B20" t="s">
        <v>397</v>
      </c>
      <c r="C20" s="36" t="str">
        <f t="shared" si="0"/>
        <v>Mick Wills (M I Racing) (HCRC)</v>
      </c>
    </row>
    <row r="21" spans="1:4" ht="14.25">
      <c r="A21" t="s">
        <v>486</v>
      </c>
      <c r="B21" t="s">
        <v>391</v>
      </c>
      <c r="C21" s="36" t="str">
        <f t="shared" si="0"/>
        <v>Andy King (KCC)</v>
      </c>
    </row>
    <row r="22" spans="1:4" ht="14.25">
      <c r="A22" t="s">
        <v>598</v>
      </c>
      <c r="B22" t="s">
        <v>391</v>
      </c>
      <c r="C22" s="36" t="str">
        <f t="shared" si="0"/>
        <v>Evan Collett (G Fox) (KCC)</v>
      </c>
    </row>
    <row r="23" spans="1:4" ht="14.25">
      <c r="A23" t="s">
        <v>630</v>
      </c>
      <c r="B23" t="s">
        <v>391</v>
      </c>
      <c r="C23" s="36" t="str">
        <f t="shared" si="0"/>
        <v>Ian Bird (KCC)</v>
      </c>
    </row>
    <row r="24" spans="1:4" ht="14.25">
      <c r="A24" t="s">
        <v>487</v>
      </c>
      <c r="B24" t="s">
        <v>391</v>
      </c>
      <c r="C24" s="36" t="str">
        <f t="shared" si="0"/>
        <v>Josh Brown (KCC)</v>
      </c>
    </row>
    <row r="25" spans="1:4" ht="14.25">
      <c r="A25" t="s">
        <v>591</v>
      </c>
      <c r="B25" t="s">
        <v>391</v>
      </c>
      <c r="C25" s="36" t="str">
        <f t="shared" si="0"/>
        <v>Maria Cayford (KCC)</v>
      </c>
      <c r="D25" t="s">
        <v>372</v>
      </c>
    </row>
    <row r="26" spans="1:4" ht="14.25">
      <c r="A26" t="s">
        <v>629</v>
      </c>
      <c r="B26" t="s">
        <v>391</v>
      </c>
      <c r="C26" s="36" t="str">
        <f t="shared" si="0"/>
        <v>Michael Wheeler (KCC)</v>
      </c>
    </row>
    <row r="27" spans="1:4" ht="14.25">
      <c r="A27" t="s">
        <v>488</v>
      </c>
      <c r="B27" t="s">
        <v>400</v>
      </c>
      <c r="C27" s="36" t="str">
        <f t="shared" si="0"/>
        <v>Harriet Hughes (LFCC)</v>
      </c>
      <c r="D27" t="s">
        <v>372</v>
      </c>
    </row>
    <row r="28" spans="1:4" ht="14.25">
      <c r="A28" t="s">
        <v>643</v>
      </c>
      <c r="B28" t="s">
        <v>400</v>
      </c>
      <c r="C28" s="36" t="str">
        <f t="shared" si="0"/>
        <v>Jeff Jones (LFCC)</v>
      </c>
    </row>
    <row r="29" spans="1:4" ht="14.25">
      <c r="A29" t="s">
        <v>644</v>
      </c>
      <c r="B29" t="s">
        <v>400</v>
      </c>
      <c r="C29" s="36" t="str">
        <f t="shared" si="0"/>
        <v>Joshua Jones (LFCC)</v>
      </c>
    </row>
    <row r="30" spans="1:4" ht="14.25">
      <c r="A30" t="s">
        <v>489</v>
      </c>
      <c r="B30" t="s">
        <v>400</v>
      </c>
      <c r="C30" s="36" t="str">
        <f t="shared" si="0"/>
        <v>Mat Mabe (LFCC)</v>
      </c>
    </row>
    <row r="31" spans="1:4" ht="14.25">
      <c r="A31" t="s">
        <v>490</v>
      </c>
      <c r="B31" t="s">
        <v>400</v>
      </c>
      <c r="C31" s="36" t="str">
        <f t="shared" si="0"/>
        <v>Matt Finch (LFCC)</v>
      </c>
    </row>
    <row r="32" spans="1:4" ht="14.25">
      <c r="A32" t="s">
        <v>491</v>
      </c>
      <c r="B32" t="s">
        <v>400</v>
      </c>
      <c r="C32" s="36" t="str">
        <f t="shared" si="0"/>
        <v>Morris Mabe (LFCC)</v>
      </c>
    </row>
    <row r="33" spans="1:4" ht="14.25">
      <c r="A33" t="s">
        <v>492</v>
      </c>
      <c r="B33" t="s">
        <v>400</v>
      </c>
      <c r="C33" s="36" t="str">
        <f t="shared" si="0"/>
        <v>Sam Nettel (LFCC)</v>
      </c>
    </row>
    <row r="34" spans="1:4" ht="14.25">
      <c r="A34" t="s">
        <v>645</v>
      </c>
      <c r="B34" t="s">
        <v>400</v>
      </c>
      <c r="C34" s="36" t="str">
        <f t="shared" si="0"/>
        <v>Simon Jones (LFCC)</v>
      </c>
    </row>
    <row r="35" spans="1:4" ht="14.25">
      <c r="A35" t="s">
        <v>699</v>
      </c>
      <c r="B35" t="s">
        <v>400</v>
      </c>
      <c r="C35" s="36" t="str">
        <f t="shared" si="0"/>
        <v>Steve Walsh (LFCC)</v>
      </c>
    </row>
    <row r="36" spans="1:4" ht="14.25">
      <c r="A36" t="s">
        <v>493</v>
      </c>
      <c r="B36" t="s">
        <v>400</v>
      </c>
      <c r="C36" s="36" t="str">
        <f t="shared" ref="C36:C67" si="1">IF(ISBLANK(B36),IF(ISBLANK(A36),"",A36),_xlfn.CONCAT(A36," (",B36,")"))</f>
        <v>Talles Medevives (LFCC)</v>
      </c>
    </row>
    <row r="37" spans="1:4" ht="14.25">
      <c r="A37" t="s">
        <v>494</v>
      </c>
      <c r="B37" t="s">
        <v>495</v>
      </c>
      <c r="C37" s="36" t="str">
        <f t="shared" si="1"/>
        <v>Dean Tacey (LRC)</v>
      </c>
    </row>
    <row r="38" spans="1:4" ht="14.25">
      <c r="A38" t="s">
        <v>496</v>
      </c>
      <c r="B38" t="s">
        <v>497</v>
      </c>
      <c r="C38" s="36" t="str">
        <f t="shared" si="1"/>
        <v>Chris Booth (MOCC)</v>
      </c>
    </row>
    <row r="39" spans="1:4" ht="14.25">
      <c r="A39" t="s">
        <v>498</v>
      </c>
      <c r="B39" t="s">
        <v>497</v>
      </c>
      <c r="C39" s="36" t="str">
        <f t="shared" si="1"/>
        <v>David Cooper (MOCC)</v>
      </c>
    </row>
    <row r="40" spans="1:4" ht="14.25">
      <c r="A40" t="s">
        <v>499</v>
      </c>
      <c r="B40" t="s">
        <v>497</v>
      </c>
      <c r="C40" s="36" t="str">
        <f t="shared" si="1"/>
        <v>Jamie Haines (MOCC)</v>
      </c>
    </row>
    <row r="41" spans="1:4" ht="14.25">
      <c r="A41" t="s">
        <v>704</v>
      </c>
      <c r="B41" t="s">
        <v>497</v>
      </c>
      <c r="C41" s="36" t="str">
        <f t="shared" si="1"/>
        <v>Laura Ayres (MOCC)</v>
      </c>
      <c r="D41" t="s">
        <v>372</v>
      </c>
    </row>
    <row r="42" spans="1:4" ht="14.25">
      <c r="A42" t="s">
        <v>501</v>
      </c>
      <c r="B42" t="s">
        <v>502</v>
      </c>
      <c r="C42" s="36" t="str">
        <f t="shared" si="1"/>
        <v>Lewis Cooper (RAF Tri)</v>
      </c>
    </row>
    <row r="43" spans="1:4" ht="14.25">
      <c r="A43" t="s">
        <v>503</v>
      </c>
      <c r="B43" t="s">
        <v>394</v>
      </c>
      <c r="C43" s="36" t="str">
        <f t="shared" si="1"/>
        <v>Alex Whitmore (Ratae)</v>
      </c>
    </row>
    <row r="44" spans="1:4" ht="14.25">
      <c r="A44" t="s">
        <v>504</v>
      </c>
      <c r="B44" t="s">
        <v>394</v>
      </c>
      <c r="C44" s="36" t="str">
        <f t="shared" si="1"/>
        <v>Brian Lincoln (Ratae)</v>
      </c>
    </row>
    <row r="45" spans="1:4" ht="14.25">
      <c r="A45" t="s">
        <v>667</v>
      </c>
      <c r="B45" t="s">
        <v>394</v>
      </c>
      <c r="C45" s="36" t="str">
        <f t="shared" si="1"/>
        <v>Brigitte Gaillard (Ratae)</v>
      </c>
      <c r="D45" t="s">
        <v>372</v>
      </c>
    </row>
    <row r="46" spans="1:4" ht="14.25">
      <c r="A46" t="s">
        <v>505</v>
      </c>
      <c r="B46" t="s">
        <v>394</v>
      </c>
      <c r="C46" s="36" t="str">
        <f t="shared" si="1"/>
        <v>Chris Bonsor (Ratae)</v>
      </c>
    </row>
    <row r="47" spans="1:4" ht="14.25">
      <c r="A47" t="s">
        <v>506</v>
      </c>
      <c r="B47" t="s">
        <v>394</v>
      </c>
      <c r="C47" s="36" t="str">
        <f t="shared" si="1"/>
        <v>Chris Spray (Ratae)</v>
      </c>
    </row>
    <row r="48" spans="1:4" ht="14.25">
      <c r="A48" t="s">
        <v>507</v>
      </c>
      <c r="B48" t="s">
        <v>394</v>
      </c>
      <c r="C48" s="36" t="str">
        <f t="shared" si="1"/>
        <v>Debbie Cooper (Ratae)</v>
      </c>
      <c r="D48" t="s">
        <v>372</v>
      </c>
    </row>
    <row r="49" spans="1:4" ht="14.25">
      <c r="A49" t="s">
        <v>508</v>
      </c>
      <c r="B49" t="s">
        <v>394</v>
      </c>
      <c r="C49" s="36" t="str">
        <f t="shared" si="1"/>
        <v>Ed Watson (Ratae)</v>
      </c>
    </row>
    <row r="50" spans="1:4" ht="14.25">
      <c r="A50" t="s">
        <v>583</v>
      </c>
      <c r="B50" s="63" t="s">
        <v>394</v>
      </c>
      <c r="C50" s="36" t="str">
        <f t="shared" si="1"/>
        <v>Geoff Stanbridge (Ratae)</v>
      </c>
    </row>
    <row r="51" spans="1:4" ht="14.25">
      <c r="A51" t="s">
        <v>509</v>
      </c>
      <c r="B51" t="s">
        <v>394</v>
      </c>
      <c r="C51" s="36" t="str">
        <f t="shared" si="1"/>
        <v>Jonathon Clarke (Ratae)</v>
      </c>
      <c r="D51" s="36"/>
    </row>
    <row r="52" spans="1:4" ht="14.25">
      <c r="A52" t="s">
        <v>654</v>
      </c>
      <c r="B52" t="s">
        <v>394</v>
      </c>
      <c r="C52" s="36" t="str">
        <f t="shared" si="1"/>
        <v>Karl Williams (Ratae)</v>
      </c>
    </row>
    <row r="53" spans="1:4" ht="14.25">
      <c r="A53" t="s">
        <v>510</v>
      </c>
      <c r="B53" t="s">
        <v>394</v>
      </c>
      <c r="C53" s="36" t="str">
        <f t="shared" si="1"/>
        <v>Lesley Allden (Ratae)</v>
      </c>
      <c r="D53" t="s">
        <v>372</v>
      </c>
    </row>
    <row r="54" spans="1:4" ht="14.25">
      <c r="A54" t="s">
        <v>511</v>
      </c>
      <c r="B54" t="s">
        <v>394</v>
      </c>
      <c r="C54" s="36" t="str">
        <f t="shared" si="1"/>
        <v>Lucy Sturgess (Ratae)</v>
      </c>
      <c r="D54" t="s">
        <v>372</v>
      </c>
    </row>
    <row r="55" spans="1:4" ht="14.25">
      <c r="A55" t="s">
        <v>512</v>
      </c>
      <c r="B55" t="s">
        <v>394</v>
      </c>
      <c r="C55" s="36" t="str">
        <f t="shared" si="1"/>
        <v>Mark Marmoy (Ratae)</v>
      </c>
    </row>
    <row r="56" spans="1:4" ht="14.25">
      <c r="A56" t="s">
        <v>513</v>
      </c>
      <c r="B56" t="s">
        <v>394</v>
      </c>
      <c r="C56" s="36" t="str">
        <f t="shared" si="1"/>
        <v>Mark Newton (Ratae)</v>
      </c>
    </row>
    <row r="57" spans="1:4" ht="14.25">
      <c r="A57" t="s">
        <v>514</v>
      </c>
      <c r="B57" t="s">
        <v>394</v>
      </c>
      <c r="C57" s="36" t="str">
        <f t="shared" si="1"/>
        <v>Marshall Briggs (Ratae)</v>
      </c>
    </row>
    <row r="58" spans="1:4" ht="14.25">
      <c r="A58" t="s">
        <v>515</v>
      </c>
      <c r="B58" t="s">
        <v>394</v>
      </c>
      <c r="C58" s="36" t="str">
        <f t="shared" si="1"/>
        <v>Natalie Harris (Ratae)</v>
      </c>
      <c r="D58" t="s">
        <v>372</v>
      </c>
    </row>
    <row r="59" spans="1:4" ht="14.25">
      <c r="A59" t="s">
        <v>516</v>
      </c>
      <c r="B59" t="s">
        <v>394</v>
      </c>
      <c r="C59" s="36" t="str">
        <f t="shared" si="1"/>
        <v>Paul Eden (Ratae)</v>
      </c>
    </row>
    <row r="60" spans="1:4" ht="14.25">
      <c r="A60" t="s">
        <v>668</v>
      </c>
      <c r="B60" t="s">
        <v>394</v>
      </c>
      <c r="C60" s="36" t="str">
        <f t="shared" si="1"/>
        <v>Peter Kott (Ratae)</v>
      </c>
    </row>
    <row r="61" spans="1:4" ht="14.25">
      <c r="A61" t="s">
        <v>517</v>
      </c>
      <c r="B61" t="s">
        <v>394</v>
      </c>
      <c r="C61" s="36" t="str">
        <f t="shared" si="1"/>
        <v>Sadie Murphy (Ratae)</v>
      </c>
      <c r="D61" t="s">
        <v>372</v>
      </c>
    </row>
    <row r="62" spans="1:4" ht="14.25">
      <c r="A62" t="s">
        <v>518</v>
      </c>
      <c r="B62" t="s">
        <v>394</v>
      </c>
      <c r="C62" s="36" t="str">
        <f t="shared" si="1"/>
        <v>Steve Pearce (Ratae)</v>
      </c>
    </row>
    <row r="63" spans="1:4" ht="14.25">
      <c r="A63" t="s">
        <v>646</v>
      </c>
      <c r="B63" t="s">
        <v>394</v>
      </c>
      <c r="C63" s="36" t="str">
        <f t="shared" si="1"/>
        <v>Sue Bonsor (Ratae)</v>
      </c>
      <c r="D63" t="s">
        <v>372</v>
      </c>
    </row>
    <row r="64" spans="1:4" ht="14.25">
      <c r="A64" t="s">
        <v>519</v>
      </c>
      <c r="B64" t="s">
        <v>385</v>
      </c>
      <c r="C64" s="36" t="str">
        <f t="shared" si="1"/>
        <v>Adam Wells (RFW)</v>
      </c>
    </row>
    <row r="65" spans="1:4" ht="14.25">
      <c r="A65" t="s">
        <v>595</v>
      </c>
      <c r="B65" t="s">
        <v>385</v>
      </c>
      <c r="C65" s="36" t="str">
        <f t="shared" si="1"/>
        <v>Alex Barrowman (RFW)</v>
      </c>
    </row>
    <row r="66" spans="1:4" ht="14.25">
      <c r="A66" t="s">
        <v>520</v>
      </c>
      <c r="B66" t="s">
        <v>385</v>
      </c>
      <c r="C66" s="36" t="str">
        <f t="shared" si="1"/>
        <v>Anne Gilhespy (RFW)</v>
      </c>
      <c r="D66" t="s">
        <v>372</v>
      </c>
    </row>
    <row r="67" spans="1:4" ht="14.25">
      <c r="A67" t="s">
        <v>521</v>
      </c>
      <c r="B67" t="s">
        <v>385</v>
      </c>
      <c r="C67" s="36" t="str">
        <f t="shared" si="1"/>
        <v>Chris Fowler (RFW)</v>
      </c>
    </row>
    <row r="68" spans="1:4" ht="14.25">
      <c r="A68" t="s">
        <v>522</v>
      </c>
      <c r="B68" t="s">
        <v>385</v>
      </c>
      <c r="C68" s="36" t="str">
        <f t="shared" ref="C68:C96" si="2">IF(ISBLANK(B68),IF(ISBLANK(A68),"",A68),_xlfn.CONCAT(A68," (",B68,")"))</f>
        <v>Dan Hempkin (RFW)</v>
      </c>
    </row>
    <row r="69" spans="1:4" ht="14.25">
      <c r="A69" t="s">
        <v>523</v>
      </c>
      <c r="B69" t="s">
        <v>385</v>
      </c>
      <c r="C69" s="36" t="str">
        <f t="shared" si="2"/>
        <v>David Hill (RFW)</v>
      </c>
    </row>
    <row r="70" spans="1:4" ht="14.25">
      <c r="A70" t="s">
        <v>639</v>
      </c>
      <c r="B70" t="s">
        <v>385</v>
      </c>
      <c r="C70" s="36" t="str">
        <f t="shared" si="2"/>
        <v>Ethan Mitchell-Clarke (Team Bottrill Nopinz) (RFW)</v>
      </c>
    </row>
    <row r="71" spans="1:4" ht="14.25">
      <c r="A71" t="s">
        <v>524</v>
      </c>
      <c r="B71" t="s">
        <v>385</v>
      </c>
      <c r="C71" s="36" t="str">
        <f t="shared" si="2"/>
        <v>Giles Cooper (RFW)</v>
      </c>
    </row>
    <row r="72" spans="1:4" ht="14.25">
      <c r="A72" t="s">
        <v>590</v>
      </c>
      <c r="B72" t="s">
        <v>385</v>
      </c>
      <c r="C72" s="36" t="str">
        <f t="shared" si="2"/>
        <v>Graeme Hall (RFW)</v>
      </c>
    </row>
    <row r="73" spans="1:4" ht="14.25">
      <c r="A73" t="s">
        <v>525</v>
      </c>
      <c r="B73" t="s">
        <v>385</v>
      </c>
      <c r="C73" s="36" t="str">
        <f t="shared" si="2"/>
        <v>Gregg Payne (RFW)</v>
      </c>
    </row>
    <row r="74" spans="1:4" ht="14.25">
      <c r="A74" t="s">
        <v>594</v>
      </c>
      <c r="B74" t="s">
        <v>385</v>
      </c>
      <c r="C74" s="36" t="str">
        <f t="shared" si="2"/>
        <v>Hudson Hendry (Ride Revolution) (RFW)</v>
      </c>
    </row>
    <row r="75" spans="1:4" ht="14.25">
      <c r="A75" t="s">
        <v>596</v>
      </c>
      <c r="B75" t="s">
        <v>385</v>
      </c>
      <c r="C75" s="36" t="str">
        <f t="shared" si="2"/>
        <v>Laurence Noble (RFW)</v>
      </c>
    </row>
    <row r="76" spans="1:4" ht="14.25">
      <c r="A76" t="s">
        <v>526</v>
      </c>
      <c r="B76" t="s">
        <v>385</v>
      </c>
      <c r="C76" s="36" t="str">
        <f t="shared" si="2"/>
        <v>Lynne Scofield (RFW)</v>
      </c>
      <c r="D76" t="s">
        <v>372</v>
      </c>
    </row>
    <row r="77" spans="1:4" ht="14.25">
      <c r="A77" t="s">
        <v>527</v>
      </c>
      <c r="B77" t="s">
        <v>385</v>
      </c>
      <c r="C77" s="36" t="str">
        <f t="shared" si="2"/>
        <v>Lynne Wilkinson-Scofield (RFW)</v>
      </c>
      <c r="D77" t="s">
        <v>372</v>
      </c>
    </row>
    <row r="78" spans="1:4" ht="14.25">
      <c r="A78" t="s">
        <v>528</v>
      </c>
      <c r="B78" t="s">
        <v>385</v>
      </c>
      <c r="C78" s="36" t="str">
        <f t="shared" si="2"/>
        <v>Michael Carter (RFW)</v>
      </c>
    </row>
    <row r="79" spans="1:4" ht="14.25">
      <c r="A79" s="63" t="s">
        <v>579</v>
      </c>
      <c r="B79" t="s">
        <v>385</v>
      </c>
      <c r="C79" s="36" t="str">
        <f t="shared" si="2"/>
        <v>Mike Deely (G Fox) (RFW)</v>
      </c>
    </row>
    <row r="80" spans="1:4" ht="14.25">
      <c r="A80" t="s">
        <v>516</v>
      </c>
      <c r="B80" t="s">
        <v>385</v>
      </c>
      <c r="C80" s="36" t="str">
        <f t="shared" si="2"/>
        <v>Paul Eden (RFW)</v>
      </c>
    </row>
    <row r="81" spans="1:4" ht="14.25">
      <c r="A81" t="s">
        <v>529</v>
      </c>
      <c r="B81" t="s">
        <v>385</v>
      </c>
      <c r="C81" s="36" t="str">
        <f t="shared" si="2"/>
        <v>Paul Russell (RFW)</v>
      </c>
    </row>
    <row r="82" spans="1:4" ht="14.25">
      <c r="A82" t="s">
        <v>530</v>
      </c>
      <c r="B82" t="s">
        <v>385</v>
      </c>
      <c r="C82" s="36" t="str">
        <f t="shared" si="2"/>
        <v>Paul Ryan (RFW)</v>
      </c>
    </row>
    <row r="83" spans="1:4" ht="14.25">
      <c r="A83" t="s">
        <v>640</v>
      </c>
      <c r="B83" t="s">
        <v>385</v>
      </c>
      <c r="C83" s="36" t="str">
        <f t="shared" si="2"/>
        <v>Pete Bradshaw (RFW)</v>
      </c>
    </row>
    <row r="84" spans="1:4" ht="14.25">
      <c r="A84" t="s">
        <v>531</v>
      </c>
      <c r="B84" t="s">
        <v>385</v>
      </c>
      <c r="C84" s="36" t="str">
        <f t="shared" si="2"/>
        <v>Phil Wilkinson (RFW)</v>
      </c>
    </row>
    <row r="85" spans="1:4" ht="14.25">
      <c r="A85" t="s">
        <v>592</v>
      </c>
      <c r="B85" t="s">
        <v>385</v>
      </c>
      <c r="C85" s="36" t="str">
        <f t="shared" si="2"/>
        <v>Steve Coombs (RFW)</v>
      </c>
    </row>
    <row r="86" spans="1:4" ht="14.25">
      <c r="A86" t="s">
        <v>593</v>
      </c>
      <c r="B86" t="s">
        <v>385</v>
      </c>
      <c r="C86" s="36" t="str">
        <f t="shared" si="2"/>
        <v>Steve Wickham (RFW)</v>
      </c>
    </row>
    <row r="87" spans="1:4" ht="14.25">
      <c r="A87" t="s">
        <v>533</v>
      </c>
      <c r="B87" t="s">
        <v>534</v>
      </c>
      <c r="C87" s="36" t="str">
        <f t="shared" si="2"/>
        <v>Adrian James (Rugby RCC)</v>
      </c>
    </row>
    <row r="88" spans="1:4" ht="14.25">
      <c r="A88" t="s">
        <v>535</v>
      </c>
      <c r="B88" t="s">
        <v>536</v>
      </c>
      <c r="C88" s="36" t="str">
        <f t="shared" si="2"/>
        <v>Carl Shaw (Speedhub)</v>
      </c>
    </row>
    <row r="89" spans="1:4" ht="14.25">
      <c r="A89" t="s">
        <v>700</v>
      </c>
      <c r="B89" t="s">
        <v>536</v>
      </c>
      <c r="C89" s="36" t="str">
        <f t="shared" si="2"/>
        <v>Tom Swan (Speedhub)</v>
      </c>
    </row>
    <row r="90" spans="1:4" ht="14.25">
      <c r="A90" t="s">
        <v>537</v>
      </c>
      <c r="B90" t="s">
        <v>538</v>
      </c>
      <c r="C90" s="36" t="str">
        <f t="shared" si="2"/>
        <v>Oliver Searle (St Ives CC)</v>
      </c>
    </row>
    <row r="91" spans="1:4" ht="14.25">
      <c r="A91" t="s">
        <v>701</v>
      </c>
      <c r="B91" t="s">
        <v>702</v>
      </c>
      <c r="C91" s="36" t="str">
        <f t="shared" si="2"/>
        <v>Tom Scott-Collins (Velo Elite)</v>
      </c>
    </row>
    <row r="92" spans="1:4" ht="14.25">
      <c r="A92" t="s">
        <v>637</v>
      </c>
      <c r="B92" t="s">
        <v>388</v>
      </c>
      <c r="C92" s="36" t="str">
        <f t="shared" si="2"/>
        <v>Ed Tarelli (Race Hub) (WVCC)</v>
      </c>
      <c r="D92" s="36"/>
    </row>
    <row r="93" spans="1:4" ht="14.25">
      <c r="A93" t="s">
        <v>636</v>
      </c>
      <c r="B93" t="s">
        <v>388</v>
      </c>
      <c r="C93" s="36" t="str">
        <f t="shared" si="2"/>
        <v>Jamie Kershaw (Beeston CC) (WVCC)</v>
      </c>
    </row>
    <row r="94" spans="1:4" ht="14.25">
      <c r="A94" t="s">
        <v>638</v>
      </c>
      <c r="B94" t="s">
        <v>388</v>
      </c>
      <c r="C94" s="36" t="str">
        <f t="shared" si="2"/>
        <v>Jennifer Clegg (Team Bottrill Nopinz) (WVCC)</v>
      </c>
      <c r="D94" t="s">
        <v>372</v>
      </c>
    </row>
    <row r="95" spans="1:4" ht="14.25">
      <c r="A95" t="s">
        <v>634</v>
      </c>
      <c r="B95" t="s">
        <v>388</v>
      </c>
      <c r="C95" s="36" t="str">
        <f t="shared" si="2"/>
        <v>Leah Cuthbertson (G Fox) (WVCC)</v>
      </c>
      <c r="D95" t="s">
        <v>372</v>
      </c>
    </row>
    <row r="96" spans="1:4" ht="14.25">
      <c r="A96" t="s">
        <v>635</v>
      </c>
      <c r="B96" t="s">
        <v>388</v>
      </c>
      <c r="C96" s="36" t="str">
        <f t="shared" si="2"/>
        <v>Ruby Isaac (CAMS Majaco) (WVCC)</v>
      </c>
      <c r="D96" t="s">
        <v>372</v>
      </c>
    </row>
    <row r="97" spans="3:3" ht="14.25">
      <c r="C97" s="36" t="str">
        <f t="shared" ref="C97:C99" si="3">IF(ISBLANK(B97),IF(ISBLANK(A97),"",A97),_xlfn.CONCAT(A97," (",B97,")"))</f>
        <v/>
      </c>
    </row>
    <row r="98" spans="3:3" ht="14.25">
      <c r="C98" s="36" t="str">
        <f t="shared" si="3"/>
        <v/>
      </c>
    </row>
    <row r="99" spans="3:3" ht="14.25">
      <c r="C99" s="36" t="str">
        <f t="shared" si="3"/>
        <v/>
      </c>
    </row>
    <row r="100" spans="3:3" ht="14.25">
      <c r="C100" s="36" t="str">
        <f t="shared" ref="C100:C107" si="4">IF(ISBLANK(B100),IF(ISBLANK(A100),"",A100),_xlfn.CONCAT(A100," (",B100,")"))</f>
        <v/>
      </c>
    </row>
    <row r="101" spans="3:3" ht="14.25">
      <c r="C101" s="36" t="str">
        <f t="shared" si="4"/>
        <v/>
      </c>
    </row>
    <row r="102" spans="3:3" ht="14.25">
      <c r="C102" s="36" t="str">
        <f t="shared" si="4"/>
        <v/>
      </c>
    </row>
    <row r="103" spans="3:3" ht="14.25">
      <c r="C103" s="36" t="str">
        <f t="shared" si="4"/>
        <v/>
      </c>
    </row>
    <row r="104" spans="3:3" ht="14.25">
      <c r="C104" s="36" t="str">
        <f t="shared" si="4"/>
        <v/>
      </c>
    </row>
    <row r="105" spans="3:3" ht="14.25">
      <c r="C105" s="36" t="str">
        <f t="shared" si="4"/>
        <v/>
      </c>
    </row>
    <row r="106" spans="3:3" ht="14.25">
      <c r="C106" s="36" t="str">
        <f t="shared" si="4"/>
        <v/>
      </c>
    </row>
    <row r="107" spans="3:3" ht="14.25">
      <c r="C107" s="36" t="str">
        <f t="shared" si="4"/>
        <v/>
      </c>
    </row>
    <row r="108" spans="3:3" s="37" customFormat="1"/>
    <row r="110" spans="3:3" ht="14.25">
      <c r="C110" s="36"/>
    </row>
    <row r="111" spans="3:3" ht="14.25">
      <c r="C111" s="36"/>
    </row>
    <row r="112" spans="3:3" ht="14.25">
      <c r="C112" s="36"/>
    </row>
  </sheetData>
  <autoFilter ref="A1:D67" xr:uid="{00000000-0001-0000-1100-000000000000}"/>
  <sortState xmlns:xlrd2="http://schemas.microsoft.com/office/spreadsheetml/2017/richdata2" ref="A2:D96">
    <sortCondition ref="B2:B96"/>
    <sortCondition ref="A2:A96"/>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c r="D2" s="49">
        <v>43</v>
      </c>
      <c r="E2" s="49">
        <v>1</v>
      </c>
      <c r="F2" s="49" t="s">
        <v>548</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548</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548</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548</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548</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548</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548</v>
      </c>
      <c r="G10" s="49"/>
      <c r="H10" s="50" t="str">
        <f>IF($B10="","",IF($J10="X",B10,CONCATENATE(VLOOKUP(B10,Competitors!$A$2:$I$650,3, FALSE)," ",VLOOKUP(B10,Competitors!$A$2:$I$650,2,FALSE))))</f>
        <v>Toby Lenehan</v>
      </c>
      <c r="I10" s="51">
        <f t="shared" si="0"/>
        <v>2.1608796296296296E-2</v>
      </c>
      <c r="J10" t="str">
        <f t="shared" si="1"/>
        <v/>
      </c>
    </row>
    <row r="11" spans="1:10" ht="15">
      <c r="A11" s="46" t="s">
        <v>549</v>
      </c>
      <c r="B11" s="47">
        <v>1385</v>
      </c>
      <c r="C11" s="48"/>
      <c r="D11" s="49"/>
      <c r="E11" s="49"/>
      <c r="F11" s="49" t="s">
        <v>548</v>
      </c>
      <c r="G11" s="49" t="s">
        <v>550</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548</v>
      </c>
      <c r="G13" s="49"/>
      <c r="H13" s="50" t="str">
        <f>IF($B13="","",IF($J13="X",B13,CONCATENATE(VLOOKUP(B13,Competitors!$A$2:$I$650,3,FALSE)," ",VLOOKUP(B13,Competitors!$A$2:$I$650,2,FALSE))))</f>
        <v>Chris Dainty</v>
      </c>
      <c r="I13" s="51">
        <f t="shared" si="0"/>
        <v>2.1874999999999999E-2</v>
      </c>
      <c r="J13" t="str">
        <f t="shared" si="1"/>
        <v/>
      </c>
    </row>
    <row r="14" spans="1:10" ht="15">
      <c r="A14" s="46" t="s">
        <v>551</v>
      </c>
      <c r="B14" s="47">
        <v>1162</v>
      </c>
      <c r="C14" s="48"/>
      <c r="D14" s="49"/>
      <c r="E14" s="49"/>
      <c r="F14" s="49" t="s">
        <v>548</v>
      </c>
      <c r="G14" s="49" t="s">
        <v>550</v>
      </c>
      <c r="H14" s="50" t="str">
        <f>IF($B14="","",IF($J14="X",B14,CONCATENATE(VLOOKUP(B14,Competitors!$A$2:$I$650,3,FALSE)," ",VLOOKUP(B14,Competitors!$A$2:$I$650,2,FALSE))))</f>
        <v>Richard Krause</v>
      </c>
      <c r="I14" s="51">
        <f t="shared" si="0"/>
        <v>0</v>
      </c>
      <c r="J14" t="str">
        <f t="shared" si="1"/>
        <v/>
      </c>
    </row>
    <row r="15" spans="1:10" ht="15">
      <c r="A15" s="46" t="s">
        <v>552</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548</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548</v>
      </c>
      <c r="G18" s="49"/>
      <c r="H18" s="50" t="str">
        <f>IF($B18="","",IF($J18="X",B18,CONCATENATE(VLOOKUP(B18,Competitors!$A$2:$I$650,3,FALSE)," ",VLOOKUP(B18,Competitors!$A$2:$I$650,2,FALSE))))</f>
        <v>Phil Rayner</v>
      </c>
      <c r="I18" s="51">
        <f t="shared" si="0"/>
        <v>1.9918981481481482E-2</v>
      </c>
      <c r="J18" t="str">
        <f t="shared" si="1"/>
        <v/>
      </c>
    </row>
    <row r="19" spans="1:10" ht="15">
      <c r="A19" s="46" t="s">
        <v>553</v>
      </c>
      <c r="B19" s="47" t="s">
        <v>553</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548</v>
      </c>
      <c r="G20" s="49"/>
      <c r="H20" s="50" t="str">
        <f>IF($B20="","",IF($J20="X",B20,CONCATENATE(VLOOKUP(B20,Competitors!$A$2:$I$650,3,FALSE)," ",VLOOKUP(B20,Competitors!$A$2:$I$650,2,FALSE))))</f>
        <v>David Reay</v>
      </c>
      <c r="I20" s="51">
        <f t="shared" si="0"/>
        <v>2.224537037037037E-2</v>
      </c>
      <c r="J20" t="str">
        <f t="shared" si="1"/>
        <v/>
      </c>
    </row>
    <row r="21" spans="1:10" ht="15">
      <c r="A21" s="46" t="s">
        <v>554</v>
      </c>
      <c r="B21" s="47" t="s">
        <v>554</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Event_01</v>
      </c>
    </row>
    <row r="104" spans="1:10">
      <c r="B104" t="s">
        <v>556</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v>1</v>
      </c>
      <c r="D2" s="48">
        <v>35</v>
      </c>
      <c r="E2" s="48">
        <v>37</v>
      </c>
      <c r="F2" s="48" t="s">
        <v>548</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548</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548</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548</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548</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548</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548</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557</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548</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548</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548</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532</v>
      </c>
      <c r="B21" s="47" t="s">
        <v>532</v>
      </c>
      <c r="C21" s="48">
        <v>0</v>
      </c>
      <c r="D21" s="48">
        <v>48</v>
      </c>
      <c r="E21" s="48">
        <v>48</v>
      </c>
      <c r="F21" s="48" t="s">
        <v>548</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554</v>
      </c>
      <c r="B23" s="47" t="s">
        <v>554</v>
      </c>
      <c r="C23" s="48">
        <v>0</v>
      </c>
      <c r="D23" s="48">
        <v>55</v>
      </c>
      <c r="E23" s="48">
        <v>18</v>
      </c>
      <c r="F23" s="48" t="s">
        <v>548</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Event_02</v>
      </c>
    </row>
    <row r="104" spans="1:10">
      <c r="B104" t="s">
        <v>556</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c r="D2" s="48">
        <v>39</v>
      </c>
      <c r="E2" s="48">
        <v>2</v>
      </c>
      <c r="F2" s="48" t="s">
        <v>548</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548</v>
      </c>
      <c r="G3" s="48"/>
      <c r="H3" s="50" t="str">
        <f>IF($B3="","",IF($J3="X",B3,CONCATENATE(VLOOKUP(B3,Competitors!$A$2:$I$650,3,FALSE)," ",VLOOKUP(B3,Competitors!$A$2:$I$650,2,FALSE))))</f>
        <v>Ray Taylor</v>
      </c>
      <c r="I3" s="51">
        <f t="shared" si="0"/>
        <v>2.435185185185185E-2</v>
      </c>
      <c r="J3" t="str">
        <f t="shared" si="1"/>
        <v/>
      </c>
    </row>
    <row r="4" spans="1:10" ht="15">
      <c r="A4" s="46" t="s">
        <v>505</v>
      </c>
      <c r="B4" s="47" t="s">
        <v>558</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526</v>
      </c>
      <c r="B5" s="47" t="s">
        <v>559</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557</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560</v>
      </c>
      <c r="B8" s="47" t="s">
        <v>560</v>
      </c>
      <c r="C8" s="48"/>
      <c r="D8" s="48">
        <v>23</v>
      </c>
      <c r="E8" s="48">
        <v>0</v>
      </c>
      <c r="F8" s="48" t="s">
        <v>548</v>
      </c>
      <c r="G8" s="48"/>
      <c r="H8" s="50" t="str">
        <f>IF($B8="","",IF($J8="X",B8,CONCATENATE(VLOOKUP(B8,Competitors!$A$2:$I$650,3,FALSE)," ",VLOOKUP(B8,Competitors!$A$2:$I$650,2,FALSE))))</f>
        <v>Jonathan Robinson</v>
      </c>
      <c r="I8" s="51">
        <f t="shared" si="0"/>
        <v>1.5972222222222221E-2</v>
      </c>
      <c r="J8" t="str">
        <f t="shared" si="1"/>
        <v>X</v>
      </c>
    </row>
    <row r="9" spans="1:10" ht="15">
      <c r="A9" s="46" t="s">
        <v>552</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561</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561</v>
      </c>
      <c r="H12" s="50" t="str">
        <f>IF($B12="","",IF($J12="X",B12,CONCATENATE(VLOOKUP(B12,Competitors!$A$2:$I$650,3,FALSE)," ",VLOOKUP(B12,Competitors!$A$2:$I$650,2,FALSE))))</f>
        <v>Simon Ward</v>
      </c>
      <c r="I12" s="51">
        <f t="shared" si="0"/>
        <v>0</v>
      </c>
      <c r="J12" t="str">
        <f t="shared" si="1"/>
        <v/>
      </c>
    </row>
    <row r="13" spans="1:10" ht="15">
      <c r="A13" s="46" t="s">
        <v>531</v>
      </c>
      <c r="B13" s="47" t="s">
        <v>562</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518</v>
      </c>
      <c r="B14" s="47" t="s">
        <v>563</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548</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548</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549</v>
      </c>
      <c r="B20" s="47">
        <v>1385</v>
      </c>
      <c r="C20" s="48"/>
      <c r="D20" s="48"/>
      <c r="E20" s="48"/>
      <c r="F20" s="48"/>
      <c r="G20" s="48" t="s">
        <v>557</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548</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506</v>
      </c>
      <c r="B26" s="47" t="s">
        <v>564</v>
      </c>
      <c r="C26" s="48"/>
      <c r="D26" s="48"/>
      <c r="E26" s="48"/>
      <c r="F26" s="48"/>
      <c r="G26" s="48" t="s">
        <v>557</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557</v>
      </c>
      <c r="H27" s="50" t="str">
        <f>IF($B27="","",IF($J27="X",B27,CONCATENATE(VLOOKUP(B27,Competitors!$A$2:$I$650,3,FALSE)," ",VLOOKUP(B27,Competitors!$A$2:$I$650,2,FALSE))))</f>
        <v>John Abbott</v>
      </c>
      <c r="I27" s="51">
        <f t="shared" si="0"/>
        <v>0</v>
      </c>
      <c r="J27" t="str">
        <f t="shared" si="1"/>
        <v/>
      </c>
    </row>
    <row r="28" spans="1:10" ht="15">
      <c r="A28" s="46" t="s">
        <v>513</v>
      </c>
      <c r="B28" s="47" t="s">
        <v>565</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566</v>
      </c>
      <c r="C31" s="48"/>
      <c r="D31" s="48">
        <v>22</v>
      </c>
      <c r="E31" s="48">
        <v>49</v>
      </c>
      <c r="F31" s="48" t="s">
        <v>548</v>
      </c>
      <c r="G31" s="48"/>
      <c r="H31" s="50" t="str">
        <f>IF($B31="","",IF($J31="X",B31,CONCATENATE(VLOOKUP(B31,Competitors!$A$2:$I$650,3,FALSE)," ",VLOOKUP(B31,Competitors!$A$2:$I$650,2,FALSE))))</f>
        <v>Carl Dyson (Aerologic)</v>
      </c>
      <c r="I31" s="51">
        <f t="shared" si="0"/>
        <v>1.5844907407407408E-2</v>
      </c>
      <c r="J31" t="str">
        <f t="shared" si="1"/>
        <v>X</v>
      </c>
    </row>
    <row r="32" spans="1:10" ht="15">
      <c r="A32" s="46" t="s">
        <v>500</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504</v>
      </c>
      <c r="B35" s="47" t="s">
        <v>567</v>
      </c>
      <c r="C35" s="48"/>
      <c r="D35" s="48">
        <v>34</v>
      </c>
      <c r="E35" s="48">
        <v>29</v>
      </c>
      <c r="F35" s="48" t="s">
        <v>548</v>
      </c>
      <c r="G35" s="48"/>
      <c r="H35" s="50" t="str">
        <f>IF($B35="","",IF($J35="X",B35,CONCATENATE(VLOOKUP(B35,Competitors!$A$2:$I$650,3,FALSE)," ",VLOOKUP(B35,Competitors!$A$2:$I$650,2,FALSE))))</f>
        <v>Brian Lincoln (Ratae)</v>
      </c>
      <c r="I35" s="51">
        <f t="shared" si="0"/>
        <v>2.3946759259259258E-2</v>
      </c>
      <c r="J35" t="str">
        <f t="shared" si="1"/>
        <v>X</v>
      </c>
    </row>
    <row r="36" spans="1:10" ht="15">
      <c r="A36" s="46" t="s">
        <v>514</v>
      </c>
      <c r="B36" s="47" t="s">
        <v>568</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Event_03</v>
      </c>
    </row>
    <row r="104" spans="1:10">
      <c r="B104" t="s">
        <v>556</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54">
        <v>558</v>
      </c>
      <c r="C2" s="48"/>
      <c r="D2" s="48">
        <v>39</v>
      </c>
      <c r="E2" s="48">
        <v>9</v>
      </c>
      <c r="F2" s="48" t="s">
        <v>548</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548</v>
      </c>
      <c r="G3" s="48"/>
      <c r="H3" s="50" t="str">
        <f>IF($B3="","",IF($J3="X",B3,CONCATENATE(VLOOKUP(B3,Competitors!$A$2:$I$650,3,FALSE)," ",VLOOKUP(B3,Competitors!$A$2:$I$650,2,FALSE))))</f>
        <v>Ray Taylor</v>
      </c>
      <c r="I3" s="51">
        <f t="shared" si="0"/>
        <v>2.3796296296296298E-2</v>
      </c>
      <c r="J3" t="str">
        <f t="shared" si="1"/>
        <v/>
      </c>
    </row>
    <row r="4" spans="1:10" ht="15">
      <c r="A4" s="46" t="s">
        <v>505</v>
      </c>
      <c r="B4" s="54" t="s">
        <v>558</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628</v>
      </c>
      <c r="B5" s="54">
        <v>990</v>
      </c>
      <c r="C5" s="48"/>
      <c r="D5" s="48">
        <v>35</v>
      </c>
      <c r="E5" s="48">
        <v>3</v>
      </c>
      <c r="F5" s="48" t="s">
        <v>548</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548</v>
      </c>
      <c r="G6" s="48"/>
      <c r="H6" s="50" t="str">
        <f>IF($B6="","",IF($J6="X",B6,CONCATENATE(VLOOKUP(B6,Competitors!$A$2:$I$650,3,FALSE)," ",VLOOKUP(B6,Competitors!$A$2:$I$650,2,FALSE))))</f>
        <v>Jane Moore</v>
      </c>
      <c r="I6" s="51">
        <f t="shared" si="0"/>
        <v>2.2800925925925926E-2</v>
      </c>
      <c r="J6" t="str">
        <f t="shared" si="1"/>
        <v/>
      </c>
    </row>
    <row r="7" spans="1:10" ht="15">
      <c r="A7" s="46" t="s">
        <v>510</v>
      </c>
      <c r="B7" s="54" t="s">
        <v>569</v>
      </c>
      <c r="C7" s="48"/>
      <c r="D7" s="48">
        <v>33</v>
      </c>
      <c r="E7" s="48">
        <v>51</v>
      </c>
      <c r="F7" s="48" t="s">
        <v>548</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518</v>
      </c>
      <c r="B9" s="54" t="s">
        <v>563</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504</v>
      </c>
      <c r="B10" s="54" t="s">
        <v>567</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557</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548</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570</v>
      </c>
      <c r="B14" s="54" t="s">
        <v>570</v>
      </c>
      <c r="C14" s="48"/>
      <c r="D14" s="48">
        <v>38</v>
      </c>
      <c r="E14" s="48">
        <v>6</v>
      </c>
      <c r="F14" s="48" t="s">
        <v>548</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548</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548</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548</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548</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548</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557</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548</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548</v>
      </c>
      <c r="G36" s="48"/>
      <c r="H36" s="50" t="str">
        <f>IF($B36="","",IF($J36="X",B36,CONCATENATE(VLOOKUP(B36,Competitors!$A$2:$I$650,3,FALSE)," ",VLOOKUP(B36,Competitors!$A$2:$I$650,2,FALSE))))</f>
        <v>Jason Williams</v>
      </c>
      <c r="I36" s="51">
        <f t="shared" si="0"/>
        <v>1.8055555555555554E-2</v>
      </c>
      <c r="J36" t="str">
        <f t="shared" si="1"/>
        <v/>
      </c>
    </row>
    <row r="37" spans="1:10" ht="15">
      <c r="A37" s="46" t="s">
        <v>516</v>
      </c>
      <c r="B37" s="54" t="s">
        <v>571</v>
      </c>
      <c r="C37" s="48"/>
      <c r="D37" s="48">
        <v>34</v>
      </c>
      <c r="E37" s="48">
        <v>21</v>
      </c>
      <c r="F37" s="48" t="s">
        <v>548</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557</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Event_04</v>
      </c>
    </row>
    <row r="104" spans="1:10">
      <c r="B104" t="s">
        <v>556</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45" t="s">
        <v>462</v>
      </c>
      <c r="I1" s="45" t="s">
        <v>546</v>
      </c>
      <c r="J1" t="s">
        <v>547</v>
      </c>
    </row>
    <row r="2" spans="1:10" ht="15">
      <c r="A2" s="46" t="s">
        <v>454</v>
      </c>
      <c r="B2" s="47">
        <v>558</v>
      </c>
      <c r="C2" s="48"/>
      <c r="D2" s="48">
        <v>40</v>
      </c>
      <c r="E2" s="48">
        <v>54</v>
      </c>
      <c r="F2" s="48" t="s">
        <v>548</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548</v>
      </c>
      <c r="G3" s="48"/>
      <c r="H3" s="50" t="str">
        <f>IF($B3="","",IF($J3="X",B3,CONCATENATE(VLOOKUP(B3,Competitors!$A$2:$I$650,3,FALSE)," ",VLOOKUP(B3,Competitors!$A$2:$I$650,2,FALSE))))</f>
        <v>Jane Moore</v>
      </c>
      <c r="I3" s="51">
        <f t="shared" si="0"/>
        <v>2.4143518518518519E-2</v>
      </c>
      <c r="J3" t="str">
        <f t="shared" si="1"/>
        <v/>
      </c>
    </row>
    <row r="4" spans="1:10" ht="15">
      <c r="A4" s="46" t="s">
        <v>513</v>
      </c>
      <c r="B4" s="47" t="s">
        <v>565</v>
      </c>
      <c r="C4" s="48"/>
      <c r="D4" s="48">
        <v>30</v>
      </c>
      <c r="E4" s="48">
        <v>18</v>
      </c>
      <c r="F4" s="48" t="s">
        <v>548</v>
      </c>
      <c r="G4" s="48"/>
      <c r="H4" s="50" t="str">
        <f>IF($B4="","",IF($J4="X",B4,CONCATENATE(VLOOKUP(B4,Competitors!$A$2:$I$650,3,FALSE)," ",VLOOKUP(B4,Competitors!$A$2:$I$650,2,FALSE))))</f>
        <v>Mark Newton (Ratae)</v>
      </c>
      <c r="I4" s="51">
        <f t="shared" si="0"/>
        <v>2.1041666666666667E-2</v>
      </c>
      <c r="J4" t="str">
        <f t="shared" si="1"/>
        <v>X</v>
      </c>
    </row>
    <row r="5" spans="1:10" ht="15">
      <c r="A5" s="46" t="s">
        <v>628</v>
      </c>
      <c r="B5" s="47">
        <v>990</v>
      </c>
      <c r="C5" s="48"/>
      <c r="D5" s="48">
        <v>37</v>
      </c>
      <c r="E5" s="48">
        <v>24</v>
      </c>
      <c r="F5" s="48" t="s">
        <v>548</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504</v>
      </c>
      <c r="B7" s="47" t="s">
        <v>567</v>
      </c>
      <c r="C7" s="48"/>
      <c r="D7" s="48">
        <v>35</v>
      </c>
      <c r="E7" s="48">
        <v>55</v>
      </c>
      <c r="F7" s="48" t="s">
        <v>548</v>
      </c>
      <c r="G7" s="48"/>
      <c r="H7" s="50" t="str">
        <f>IF($B7="","",IF($J7="X",B7,CONCATENATE(VLOOKUP(B7,Competitors!$A$2:$I$650,3,FALSE)," ",VLOOKUP(B7,Competitors!$A$2:$I$650,2,FALSE))))</f>
        <v>Brian Lincoln (Ratae)</v>
      </c>
      <c r="I7" s="51">
        <f t="shared" si="0"/>
        <v>2.494212962962963E-2</v>
      </c>
      <c r="J7" t="str">
        <f t="shared" si="1"/>
        <v>X</v>
      </c>
    </row>
    <row r="8" spans="1:10" ht="15">
      <c r="A8" s="46" t="s">
        <v>505</v>
      </c>
      <c r="B8" s="47" t="s">
        <v>558</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514</v>
      </c>
      <c r="B9" s="47" t="s">
        <v>568</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548</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548</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548</v>
      </c>
      <c r="G15" s="48"/>
      <c r="H15" s="50" t="str">
        <f>IF($B15="","",IF($J15="X",B15,CONCATENATE(VLOOKUP(B15,Competitors!$A$2:$I$650,3,FALSE)," ",VLOOKUP(B15,Competitors!$A$2:$I$650,2,FALSE))))</f>
        <v>Milly Pinnock</v>
      </c>
      <c r="I15" s="51">
        <f t="shared" si="0"/>
        <v>2.0231481481481482E-2</v>
      </c>
      <c r="J15" t="str">
        <f t="shared" si="1"/>
        <v/>
      </c>
    </row>
    <row r="16" spans="1:10" ht="15">
      <c r="A16" s="46" t="s">
        <v>570</v>
      </c>
      <c r="B16" s="47" t="s">
        <v>570</v>
      </c>
      <c r="C16" s="48"/>
      <c r="D16" s="48">
        <v>31</v>
      </c>
      <c r="E16" s="48">
        <v>25</v>
      </c>
      <c r="F16" s="48" t="s">
        <v>548</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548</v>
      </c>
      <c r="G17" s="48"/>
      <c r="H17" s="50" t="str">
        <f>IF($B17="","",IF($J17="X",B17,CONCATENATE(VLOOKUP(B17,Competitors!$A$2:$I$650,3,FALSE)," ",VLOOKUP(B17,Competitors!$A$2:$I$650,2,FALSE))))</f>
        <v>Richard Hardwicke</v>
      </c>
      <c r="I17" s="51">
        <f t="shared" si="0"/>
        <v>2.1388888888888888E-2</v>
      </c>
      <c r="J17" t="str">
        <f t="shared" si="1"/>
        <v/>
      </c>
    </row>
    <row r="18" spans="1:10" ht="15">
      <c r="A18" s="46" t="s">
        <v>516</v>
      </c>
      <c r="B18" s="47" t="s">
        <v>571</v>
      </c>
      <c r="C18" s="48"/>
      <c r="D18" s="48">
        <v>35</v>
      </c>
      <c r="E18" s="48">
        <v>30</v>
      </c>
      <c r="F18" s="48" t="s">
        <v>548</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548</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548</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548</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548</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548</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548</v>
      </c>
      <c r="G30" s="48"/>
      <c r="H30" s="50" t="str">
        <f>IF($B30="","",IF($J30="X",B30,CONCATENATE(VLOOKUP(B30,Competitors!$A$2:$I$650,3,FALSE)," ",VLOOKUP(B30,Competitors!$A$2:$I$650,2,FALSE))))</f>
        <v>John Abbott</v>
      </c>
      <c r="I30" s="51">
        <f t="shared" si="0"/>
        <v>1.9965277777777776E-2</v>
      </c>
      <c r="J30" t="str">
        <f t="shared" si="1"/>
        <v/>
      </c>
    </row>
    <row r="31" spans="1:10" ht="15">
      <c r="A31" s="46" t="s">
        <v>531</v>
      </c>
      <c r="B31" s="47" t="s">
        <v>562</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555</v>
      </c>
      <c r="C103" t="str" cm="1">
        <f t="array" aca="1" ref="C103" ca="1">MID(CELL("filename",B1),FIND("]",CELL("filename",B1))+1,255)</f>
        <v>Event_05</v>
      </c>
    </row>
    <row r="104" spans="1:10">
      <c r="B104" t="s">
        <v>556</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449</v>
      </c>
      <c r="B2" s="47">
        <v>1298</v>
      </c>
      <c r="C2" s="48"/>
      <c r="D2" s="48"/>
      <c r="E2" s="48"/>
      <c r="F2" s="48" t="s">
        <v>548</v>
      </c>
      <c r="G2" s="48" t="s">
        <v>550</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624</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505</v>
      </c>
      <c r="B7" s="47" t="s">
        <v>558</v>
      </c>
      <c r="C7" s="48"/>
      <c r="D7" s="48"/>
      <c r="E7" s="48"/>
      <c r="F7" s="48"/>
      <c r="G7" s="48" t="s">
        <v>550</v>
      </c>
      <c r="H7" s="50" t="str">
        <f>IF($B7="","",IF($J7="X",B7,CONCATENATE(VLOOKUP(B7,Competitors!$A$2:$I$650,3,FALSE)," ",VLOOKUP(B7,Competitors!$A$2:$I$650,2,FALSE))))</f>
        <v>Chris Bonsor (Ratae)</v>
      </c>
      <c r="I7" s="51">
        <f t="shared" si="0"/>
        <v>0</v>
      </c>
      <c r="J7" t="str">
        <f t="shared" si="1"/>
        <v>X</v>
      </c>
    </row>
    <row r="8" spans="1:10" ht="15">
      <c r="A8" s="46" t="s">
        <v>474</v>
      </c>
      <c r="B8" s="47" t="s">
        <v>625</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550</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548</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548</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548</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548</v>
      </c>
      <c r="G13" s="48" t="s">
        <v>550</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548</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550</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548</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548</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572</v>
      </c>
      <c r="H25" s="50" t="str">
        <f>IF($B25="","",IF($J25="X",B25,CONCATENATE(VLOOKUP(B25,Competitors!$A$2:$I$650,3,FALSE)," ",VLOOKUP(B25,Competitors!$A$2:$I$650,2,FALSE))))</f>
        <v>Andy Poulton</v>
      </c>
      <c r="I25" s="51">
        <f t="shared" si="0"/>
        <v>0</v>
      </c>
      <c r="J25" t="str">
        <f t="shared" si="1"/>
        <v/>
      </c>
    </row>
    <row r="26" spans="1:10" ht="15">
      <c r="A26" s="46" t="s">
        <v>573</v>
      </c>
      <c r="B26" s="47" t="s">
        <v>573</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Event_06</v>
      </c>
    </row>
    <row r="104" spans="1:10">
      <c r="B104" t="s">
        <v>556</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628</v>
      </c>
      <c r="B2" s="47">
        <v>990</v>
      </c>
      <c r="C2" s="48"/>
      <c r="D2" s="48">
        <f>15+15</f>
        <v>30</v>
      </c>
      <c r="E2" s="48">
        <f>23+11</f>
        <v>34</v>
      </c>
      <c r="F2" s="48" t="s">
        <v>548</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548</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548</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548</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548</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548</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548</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548</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548</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548</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548</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548</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548</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572</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548</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548</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548</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548</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572</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548</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548</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555</v>
      </c>
      <c r="C103" t="str" cm="1">
        <f t="array" aca="1" ref="C103" ca="1">MID(CELL("filename",B1),FIND("]",CELL("filename",B1))+1,255)</f>
        <v>Event_07</v>
      </c>
    </row>
    <row r="104" spans="1:10">
      <c r="B104" t="s">
        <v>556</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452</v>
      </c>
      <c r="B2" s="47">
        <v>1244</v>
      </c>
      <c r="C2" s="48"/>
      <c r="D2" s="48">
        <v>30</v>
      </c>
      <c r="E2" s="48">
        <v>3</v>
      </c>
      <c r="F2" s="48" t="s">
        <v>548</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548</v>
      </c>
      <c r="G3" s="48"/>
      <c r="H3" s="50" t="str">
        <f>IF($B3="","",IF($J3="X",B3,CONCATENATE(VLOOKUP(B3,Competitors!$A$2:$I$650,3,FALSE)," ",VLOOKUP(B3,Competitors!$A$2:$I$650,2,FALSE))))</f>
        <v>Claire Moore</v>
      </c>
      <c r="I3" s="51">
        <f t="shared" si="0"/>
        <v>2.3379629629629629E-2</v>
      </c>
      <c r="J3" t="str">
        <f t="shared" si="1"/>
        <v/>
      </c>
    </row>
    <row r="4" spans="1:10" ht="15">
      <c r="A4" s="46" t="s">
        <v>628</v>
      </c>
      <c r="B4" s="47">
        <v>990</v>
      </c>
      <c r="C4" s="48"/>
      <c r="D4" s="48">
        <v>34</v>
      </c>
      <c r="E4" s="48">
        <v>52</v>
      </c>
      <c r="F4" s="48" t="s">
        <v>548</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548</v>
      </c>
      <c r="G5" s="48" t="s">
        <v>550</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548</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548</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548</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548</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548</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548</v>
      </c>
      <c r="G12" s="48" t="s">
        <v>550</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548</v>
      </c>
      <c r="G13" s="48" t="s">
        <v>550</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548</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550</v>
      </c>
      <c r="H17" s="50" t="str">
        <f>IF($B17="","",IF($J17="X",B17,CONCATENATE(VLOOKUP(B17,Competitors!$A$2:$I$650,3,FALSE)," ",VLOOKUP(B17,Competitors!$A$2:$I$650,2,FALSE))))</f>
        <v>Milly Pinnock</v>
      </c>
      <c r="I17" s="51">
        <f t="shared" si="0"/>
        <v>0</v>
      </c>
      <c r="J17" t="str">
        <f t="shared" si="1"/>
        <v/>
      </c>
    </row>
    <row r="18" spans="1:10" ht="15">
      <c r="A18" s="46" t="s">
        <v>513</v>
      </c>
      <c r="B18" s="47" t="s">
        <v>565</v>
      </c>
      <c r="C18" s="48"/>
      <c r="D18" s="48">
        <v>28</v>
      </c>
      <c r="E18" s="48">
        <v>2</v>
      </c>
      <c r="F18" s="48" t="s">
        <v>548</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548</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548</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548</v>
      </c>
      <c r="G27" s="48" t="s">
        <v>550</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548</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Event_08</v>
      </c>
    </row>
    <row r="104" spans="1:10">
      <c r="B104" t="s">
        <v>556</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56" t="s">
        <v>452</v>
      </c>
      <c r="B2" s="47">
        <v>1244</v>
      </c>
      <c r="C2" s="48">
        <v>1</v>
      </c>
      <c r="D2" s="48">
        <v>15</v>
      </c>
      <c r="E2" s="48">
        <v>5</v>
      </c>
      <c r="F2" s="48" t="s">
        <v>548</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548</v>
      </c>
      <c r="G4" s="48"/>
      <c r="H4" s="50" t="str">
        <f>IF($B4="","",IF($J4="X",B4,CONCATENATE(VLOOKUP(B4,Competitors!$A$2:$I$650,3,FALSE)," ",VLOOKUP(B4,Competitors!$A$2:$I$650,2,FALSE))))</f>
        <v>Michaela Latham</v>
      </c>
      <c r="I4" s="51">
        <f t="shared" si="0"/>
        <v>5.0752314814814813E-2</v>
      </c>
      <c r="J4" t="str">
        <f t="shared" si="1"/>
        <v/>
      </c>
    </row>
    <row r="5" spans="1:10" ht="15">
      <c r="A5" s="56" t="s">
        <v>527</v>
      </c>
      <c r="B5" s="47" t="s">
        <v>609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548</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574</v>
      </c>
      <c r="B8" s="47" t="s">
        <v>574</v>
      </c>
      <c r="C8" s="48"/>
      <c r="D8" s="48"/>
      <c r="E8" s="48"/>
      <c r="F8" s="48"/>
      <c r="G8" s="48" t="s">
        <v>557</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548</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548</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561</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548</v>
      </c>
      <c r="G14" s="48" t="s">
        <v>557</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518</v>
      </c>
      <c r="B18" s="47" t="s">
        <v>563</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548</v>
      </c>
      <c r="G22" s="48" t="s">
        <v>557</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548</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548</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575</v>
      </c>
      <c r="B30" s="47" t="s">
        <v>575</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531</v>
      </c>
      <c r="B31" s="47" t="s">
        <v>562</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Event_09</v>
      </c>
    </row>
    <row r="104" spans="1:10">
      <c r="B104" t="s">
        <v>556</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57" t="s">
        <v>628</v>
      </c>
      <c r="B2" s="47">
        <v>990</v>
      </c>
      <c r="C2" s="48"/>
      <c r="D2" s="48">
        <v>31</v>
      </c>
      <c r="E2" s="48">
        <v>1</v>
      </c>
      <c r="F2" s="48" t="s">
        <v>548</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548</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548</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548</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548</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548</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548</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548</v>
      </c>
      <c r="G9" s="48"/>
      <c r="H9" s="50" t="str">
        <f>IF($B9="","",IF($J9="X",B9,CONCATENATE(VLOOKUP(B9,Competitors!$A$2:$I$650,3,FALSE)," ",VLOOKUP(B9,Competitors!$A$2:$I$650,2,FALSE))))</f>
        <v>Richard Hardwicke</v>
      </c>
      <c r="I9" s="51">
        <f t="shared" si="0"/>
        <v>1.7858796296296296E-2</v>
      </c>
      <c r="J9" t="str">
        <f t="shared" si="1"/>
        <v/>
      </c>
    </row>
    <row r="10" spans="1:10" ht="15">
      <c r="A10" s="57" t="s">
        <v>505</v>
      </c>
      <c r="B10" s="47" t="s">
        <v>558</v>
      </c>
      <c r="C10" s="48"/>
      <c r="D10" s="48">
        <v>25</v>
      </c>
      <c r="E10" s="48">
        <v>39</v>
      </c>
      <c r="F10" s="48" t="s">
        <v>548</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548</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548</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548</v>
      </c>
      <c r="G13" s="48"/>
      <c r="H13" s="50" t="str">
        <f>IF($B13="","",IF($J13="X",B13,CONCATENATE(VLOOKUP(B13,Competitors!$A$2:$I$650,3,FALSE)," ",VLOOKUP(B13,Competitors!$A$2:$I$650,2,FALSE))))</f>
        <v>Michaela Latham</v>
      </c>
      <c r="I13" s="51">
        <f t="shared" si="0"/>
        <v>1.8842592592592591E-2</v>
      </c>
      <c r="J13" t="str">
        <f t="shared" si="1"/>
        <v/>
      </c>
    </row>
    <row r="14" spans="1:10" ht="15">
      <c r="A14" s="57" t="s">
        <v>576</v>
      </c>
      <c r="B14" s="47" t="s">
        <v>576</v>
      </c>
      <c r="C14" s="48"/>
      <c r="D14" s="48">
        <v>26</v>
      </c>
      <c r="E14" s="48">
        <v>56</v>
      </c>
      <c r="F14" s="48" t="s">
        <v>548</v>
      </c>
      <c r="G14" s="48"/>
      <c r="H14" s="50" t="str">
        <f>IF($B14="","",IF($J14="X",B14,CONCATENATE(VLOOKUP(B14,Competitors!$A$2:$I$650,3,FALSE)," ",VLOOKUP(B14,Competitors!$A$2:$I$650,2,FALSE))))</f>
        <v>Tom Keane</v>
      </c>
      <c r="I14" s="51">
        <f t="shared" si="0"/>
        <v>1.8703703703703705E-2</v>
      </c>
      <c r="J14" t="str">
        <f t="shared" si="1"/>
        <v>X</v>
      </c>
    </row>
    <row r="15" spans="1:10" ht="15">
      <c r="A15" s="57" t="s">
        <v>515</v>
      </c>
      <c r="B15" s="47" t="s">
        <v>623</v>
      </c>
      <c r="C15" s="48"/>
      <c r="D15" s="48">
        <v>28</v>
      </c>
      <c r="E15" s="48">
        <v>39</v>
      </c>
      <c r="F15" s="48" t="s">
        <v>548</v>
      </c>
      <c r="G15" s="48"/>
      <c r="H15" s="50" t="str">
        <f>IF($B15="","",IF($J15="X",B15,CONCATENATE(VLOOKUP(B15,Competitors!$A$2:$I$650,3,FALSE)," ",VLOOKUP(B15,Competitors!$A$2:$I$650,2,FALSE))))</f>
        <v>Natalie Harris (Ratae)</v>
      </c>
      <c r="I15" s="51">
        <f t="shared" si="0"/>
        <v>1.9895833333333335E-2</v>
      </c>
      <c r="J15" t="str">
        <f t="shared" si="1"/>
        <v>X</v>
      </c>
    </row>
    <row r="16" spans="1:10" ht="15">
      <c r="A16" s="57" t="s">
        <v>577</v>
      </c>
      <c r="B16" s="47">
        <v>1423</v>
      </c>
      <c r="C16" s="48"/>
      <c r="D16" s="48">
        <v>29</v>
      </c>
      <c r="E16" s="48">
        <v>0</v>
      </c>
      <c r="F16" s="48" t="s">
        <v>548</v>
      </c>
      <c r="G16" s="48"/>
      <c r="H16" s="50" t="str">
        <f>IF($B16="","",IF($J16="X",B16,CONCATENATE(VLOOKUP(B16,Competitors!$A$2:$I$650,3,FALSE)," ",VLOOKUP(B16,Competitors!$A$2:$I$650,2,FALSE))))</f>
        <v>Mark Vowles</v>
      </c>
      <c r="I16" s="51">
        <f t="shared" si="0"/>
        <v>2.013888888888889E-2</v>
      </c>
      <c r="J16" t="str">
        <f t="shared" si="1"/>
        <v/>
      </c>
    </row>
    <row r="17" spans="1:10" ht="15">
      <c r="A17" s="57" t="s">
        <v>578</v>
      </c>
      <c r="B17" s="47">
        <v>1422</v>
      </c>
      <c r="C17" s="48"/>
      <c r="D17" s="48"/>
      <c r="E17" s="48"/>
      <c r="F17" s="48" t="s">
        <v>548</v>
      </c>
      <c r="G17" s="48" t="s">
        <v>550</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548</v>
      </c>
      <c r="G19" s="48" t="s">
        <v>572</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548</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622</v>
      </c>
      <c r="C22" s="48"/>
      <c r="D22" s="48"/>
      <c r="E22" s="48"/>
      <c r="F22" s="48" t="s">
        <v>548</v>
      </c>
      <c r="G22" s="48" t="s">
        <v>550</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548</v>
      </c>
      <c r="G29" s="48"/>
      <c r="H29" s="50" t="str">
        <f>IF($B29="","",IF($J29="X",B29,CONCATENATE(VLOOKUP(B29,Competitors!$A$2:$I$650,3,FALSE)," ",VLOOKUP(B29,Competitors!$A$2:$I$650,2,FALSE))))</f>
        <v>Simon Ward</v>
      </c>
      <c r="I29" s="51">
        <f t="shared" si="0"/>
        <v>1.7673611111111112E-2</v>
      </c>
      <c r="J29" t="str">
        <f t="shared" si="1"/>
        <v/>
      </c>
    </row>
    <row r="30" spans="1:10" ht="15">
      <c r="A30" s="57" t="s">
        <v>504</v>
      </c>
      <c r="B30" s="47" t="s">
        <v>567</v>
      </c>
      <c r="C30" s="48"/>
      <c r="D30" s="48">
        <v>29</v>
      </c>
      <c r="E30" s="48">
        <v>11</v>
      </c>
      <c r="F30" s="48" t="s">
        <v>548</v>
      </c>
      <c r="G30" s="48"/>
      <c r="H30" s="50" t="str">
        <f>IF($B30="","",IF($J30="X",B30,CONCATENATE(VLOOKUP(B30,Competitors!$A$2:$I$650,3,FALSE)," ",VLOOKUP(B30,Competitors!$A$2:$I$650,2,FALSE))))</f>
        <v>Brian Lincoln (Ratae)</v>
      </c>
      <c r="I30" s="51">
        <f t="shared" si="0"/>
        <v>2.0266203703703703E-2</v>
      </c>
      <c r="J30" t="str">
        <f t="shared" si="1"/>
        <v>X</v>
      </c>
    </row>
    <row r="31" spans="1:10" ht="15">
      <c r="A31" s="57" t="s">
        <v>532</v>
      </c>
      <c r="B31" s="47" t="s">
        <v>532</v>
      </c>
      <c r="C31" s="48"/>
      <c r="D31" s="48"/>
      <c r="E31" s="48"/>
      <c r="F31" s="48" t="s">
        <v>548</v>
      </c>
      <c r="G31" s="48" t="s">
        <v>550</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548</v>
      </c>
      <c r="G32" s="48"/>
      <c r="H32" s="50" t="str">
        <f>IF($B32="","",IF($J32="X",B32,CONCATENATE(VLOOKUP(B32,Competitors!$A$2:$I$650,3,FALSE)," ",VLOOKUP(B32,Competitors!$A$2:$I$650,2,FALSE))))</f>
        <v>Jason Williams</v>
      </c>
      <c r="I32" s="51">
        <f t="shared" si="0"/>
        <v>1.636574074074074E-2</v>
      </c>
      <c r="J32" t="str">
        <f t="shared" si="1"/>
        <v/>
      </c>
    </row>
    <row r="33" spans="1:10" ht="15">
      <c r="A33" s="57" t="s">
        <v>518</v>
      </c>
      <c r="B33" s="47" t="s">
        <v>563</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548</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548</v>
      </c>
      <c r="G36" s="48"/>
      <c r="H36" s="50" t="str">
        <f>IF($B36="","",IF($J36="X",B36,CONCATENATE(VLOOKUP(B36,Competitors!$A$2:$I$650,3,FALSE)," ",VLOOKUP(B36,Competitors!$A$2:$I$650,2,FALSE))))</f>
        <v>Jamie Kershaw</v>
      </c>
      <c r="I36" s="51">
        <f t="shared" si="0"/>
        <v>1.6087962962962964E-2</v>
      </c>
      <c r="J36" t="str">
        <f t="shared" si="1"/>
        <v/>
      </c>
    </row>
    <row r="37" spans="1:10" ht="15">
      <c r="A37" s="57" t="s">
        <v>531</v>
      </c>
      <c r="B37" s="47" t="s">
        <v>562</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548</v>
      </c>
      <c r="G38" s="48"/>
      <c r="H38" s="50" t="str">
        <f>IF($B38="","",IF($J38="X",B38,CONCATENATE(VLOOKUP(B38,Competitors!$A$2:$I$650,3,FALSE)," ",VLOOKUP(B38,Competitors!$A$2:$I$650,2,FALSE))))</f>
        <v>Nik Kershaw</v>
      </c>
      <c r="I38" s="51">
        <f t="shared" si="0"/>
        <v>1.7025462962962964E-2</v>
      </c>
      <c r="J38" t="str">
        <f t="shared" si="1"/>
        <v/>
      </c>
    </row>
    <row r="39" spans="1:10" ht="15">
      <c r="A39" s="62" t="s">
        <v>579</v>
      </c>
      <c r="B39" s="47" t="s">
        <v>618</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527</v>
      </c>
      <c r="B43" s="47" t="s">
        <v>609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513</v>
      </c>
      <c r="B45" s="47" t="s">
        <v>565</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Event_10</v>
      </c>
    </row>
    <row r="104" spans="1:10">
      <c r="B104" t="s">
        <v>556</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628</v>
      </c>
      <c r="B2" s="47">
        <v>990</v>
      </c>
      <c r="C2" s="48"/>
      <c r="D2" s="48">
        <v>31</v>
      </c>
      <c r="E2" s="48">
        <v>8</v>
      </c>
      <c r="F2" s="48" t="s">
        <v>548</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510</v>
      </c>
      <c r="B3" s="47" t="s">
        <v>569</v>
      </c>
      <c r="C3" s="48"/>
      <c r="D3" s="48">
        <v>32</v>
      </c>
      <c r="E3" s="48">
        <v>9</v>
      </c>
      <c r="F3" s="48" t="s">
        <v>548</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548</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548</v>
      </c>
      <c r="G5" s="48"/>
      <c r="H5" s="50" t="str">
        <f>IF($B5="","",IF($J5="X",B5,CONCATENATE(VLOOKUP(B5,Competitors!$A$2:$I$650,3,FALSE)," ",VLOOKUP(B5,Competitors!$A$2:$I$650,2,FALSE))))</f>
        <v>Alex Hardwicke</v>
      </c>
      <c r="I5" s="51">
        <f t="shared" si="0"/>
        <v>1.9490740740740739E-2</v>
      </c>
      <c r="J5" t="str">
        <f t="shared" si="1"/>
        <v/>
      </c>
    </row>
    <row r="6" spans="1:10" ht="15">
      <c r="A6" s="46" t="s">
        <v>580</v>
      </c>
      <c r="B6" s="47">
        <v>935</v>
      </c>
      <c r="C6" s="48"/>
      <c r="D6" s="48">
        <v>34</v>
      </c>
      <c r="E6" s="48">
        <v>39</v>
      </c>
      <c r="F6" s="48" t="s">
        <v>548</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548</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548</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548</v>
      </c>
      <c r="G9" s="48"/>
      <c r="H9" s="50" t="str">
        <f>IF($B9="","",IF($J9="X",B9,CONCATENATE(VLOOKUP(B9,Competitors!$A$2:$I$650,3,FALSE)," ",VLOOKUP(B9,Competitors!$A$2:$I$650,2,FALSE))))</f>
        <v>Charlie Hardwicke</v>
      </c>
      <c r="I9" s="51">
        <f t="shared" si="0"/>
        <v>1.7523148148148149E-2</v>
      </c>
      <c r="J9" t="str">
        <f t="shared" si="1"/>
        <v/>
      </c>
    </row>
    <row r="10" spans="1:10" ht="15">
      <c r="A10" s="46" t="s">
        <v>505</v>
      </c>
      <c r="B10" s="47" t="s">
        <v>558</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548</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548</v>
      </c>
      <c r="G12" s="48"/>
      <c r="H12" s="50" t="str">
        <f>IF($B12="","",IF($J12="X",B12,CONCATENATE(VLOOKUP(B12,Competitors!$A$2:$I$650,3,FALSE)," ",VLOOKUP(B12,Competitors!$A$2:$I$650,2,FALSE))))</f>
        <v>Daniel McDonnell</v>
      </c>
      <c r="I12" s="51">
        <f t="shared" si="0"/>
        <v>1.6053240740740739E-2</v>
      </c>
      <c r="J12" t="str">
        <f t="shared" si="1"/>
        <v/>
      </c>
    </row>
    <row r="13" spans="1:10" ht="15">
      <c r="A13" s="46" t="s">
        <v>581</v>
      </c>
      <c r="B13" s="47">
        <v>741</v>
      </c>
      <c r="C13" s="48"/>
      <c r="D13" s="48">
        <v>23</v>
      </c>
      <c r="E13" s="48">
        <v>10</v>
      </c>
      <c r="F13" s="48" t="s">
        <v>548</v>
      </c>
      <c r="G13" s="48"/>
      <c r="H13" s="50" t="str">
        <f>IF($B13="","",IF($J13="X",B13,CONCATENATE(VLOOKUP(B13,Competitors!$A$2:$I$650,3,FALSE)," ",VLOOKUP(B13,Competitors!$A$2:$I$650,2,FALSE))))</f>
        <v>Rob Moore</v>
      </c>
      <c r="I13" s="51">
        <f t="shared" si="0"/>
        <v>1.6087962962962964E-2</v>
      </c>
      <c r="J13" t="str">
        <f t="shared" si="1"/>
        <v/>
      </c>
    </row>
    <row r="14" spans="1:10" ht="15">
      <c r="A14" s="46" t="s">
        <v>576</v>
      </c>
      <c r="B14" s="47" t="s">
        <v>576</v>
      </c>
      <c r="C14" s="48"/>
      <c r="D14" s="48">
        <v>27</v>
      </c>
      <c r="E14" s="48">
        <v>32</v>
      </c>
      <c r="F14" s="48" t="s">
        <v>548</v>
      </c>
      <c r="G14" s="48"/>
      <c r="H14" s="50" t="str">
        <f>IF($B14="","",IF($J14="X",B14,CONCATENATE(VLOOKUP(B14,Competitors!$A$2:$I$650,3,FALSE)," ",VLOOKUP(B14,Competitors!$A$2:$I$650,2,FALSE))))</f>
        <v>Tom Keane</v>
      </c>
      <c r="I14" s="51">
        <f t="shared" si="0"/>
        <v>1.9120370370370371E-2</v>
      </c>
      <c r="J14" t="str">
        <f t="shared" si="1"/>
        <v>X</v>
      </c>
    </row>
    <row r="15" spans="1:10" ht="15">
      <c r="A15" s="46" t="s">
        <v>552</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570</v>
      </c>
      <c r="B16" s="47" t="s">
        <v>570</v>
      </c>
      <c r="C16" s="48"/>
      <c r="D16" s="48">
        <v>27</v>
      </c>
      <c r="E16" s="48">
        <v>48</v>
      </c>
      <c r="F16" s="48" t="s">
        <v>548</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582</v>
      </c>
      <c r="B18" s="47">
        <v>1048</v>
      </c>
      <c r="C18" s="48"/>
      <c r="D18" s="48">
        <v>29</v>
      </c>
      <c r="E18" s="48">
        <v>34</v>
      </c>
      <c r="F18" s="48" t="s">
        <v>548</v>
      </c>
      <c r="G18" s="48"/>
      <c r="H18" s="50" t="str">
        <f>IF($B18="","",IF($J18="X",B18,CONCATENATE(VLOOKUP(B18,Competitors!$A$2:$I$650,3,FALSE)," ",VLOOKUP(B18,Competitors!$A$2:$I$650,2,FALSE))))</f>
        <v>Andy Smith</v>
      </c>
      <c r="I18" s="51">
        <f t="shared" si="0"/>
        <v>2.0532407407407409E-2</v>
      </c>
      <c r="J18" t="str">
        <f t="shared" si="1"/>
        <v/>
      </c>
    </row>
    <row r="19" spans="1:10" ht="15">
      <c r="A19" s="61" t="s">
        <v>583</v>
      </c>
      <c r="B19" s="47" t="s">
        <v>621</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504</v>
      </c>
      <c r="B22" s="47" t="s">
        <v>567</v>
      </c>
      <c r="C22" s="48"/>
      <c r="D22" s="48">
        <v>29</v>
      </c>
      <c r="E22" s="48">
        <v>1</v>
      </c>
      <c r="F22" s="48" t="s">
        <v>548</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513</v>
      </c>
      <c r="B24" s="47" t="s">
        <v>565</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584</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548</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548</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548</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548</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585</v>
      </c>
      <c r="B34" s="47">
        <v>1370</v>
      </c>
      <c r="C34" s="48"/>
      <c r="D34" s="48">
        <v>25</v>
      </c>
      <c r="E34" s="48">
        <v>19</v>
      </c>
      <c r="F34" s="48" t="s">
        <v>548</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548</v>
      </c>
      <c r="G35" s="48"/>
      <c r="H35" s="50" t="str">
        <f>IF($B35="","",IF($J35="X",B35,CONCATENATE(VLOOKUP(B35,Competitors!$A$2:$I$650,3,FALSE)," ",VLOOKUP(B35,Competitors!$A$2:$I$650,2,FALSE))))</f>
        <v>John Abbott</v>
      </c>
      <c r="I35" s="51">
        <f t="shared" si="0"/>
        <v>1.7141203703703704E-2</v>
      </c>
      <c r="J35" t="str">
        <f t="shared" si="1"/>
        <v/>
      </c>
    </row>
    <row r="36" spans="1:10" ht="15">
      <c r="A36" s="46" t="s">
        <v>586</v>
      </c>
      <c r="B36" s="47" t="s">
        <v>586</v>
      </c>
      <c r="C36" s="48"/>
      <c r="D36" s="48">
        <v>26</v>
      </c>
      <c r="E36" s="48">
        <v>19</v>
      </c>
      <c r="F36" s="48" t="s">
        <v>548</v>
      </c>
      <c r="G36" s="48"/>
      <c r="H36" s="50" t="str">
        <f>IF($B36="","",IF($J36="X",B36,CONCATENATE(VLOOKUP(B36,Competitors!$A$2:$I$650,3,FALSE)," ",VLOOKUP(B36,Competitors!$A$2:$I$650,2,FALSE))))</f>
        <v>Brian Harman</v>
      </c>
      <c r="I36" s="51">
        <f t="shared" si="0"/>
        <v>1.8275462962962962E-2</v>
      </c>
      <c r="J36" t="str">
        <f t="shared" si="1"/>
        <v>X</v>
      </c>
    </row>
    <row r="37" spans="1:10" ht="15">
      <c r="A37" s="46" t="s">
        <v>587</v>
      </c>
      <c r="B37" s="47" t="s">
        <v>587</v>
      </c>
      <c r="C37" s="48"/>
      <c r="D37" s="48"/>
      <c r="E37" s="48"/>
      <c r="F37" s="48"/>
      <c r="G37" s="48" t="s">
        <v>557</v>
      </c>
      <c r="H37" s="50" t="str">
        <f>IF($B37="","",IF($J37="X",B37,CONCATENATE(VLOOKUP(B37,Competitors!$A$2:$I$650,3,FALSE)," ",VLOOKUP(B37,Competitors!$A$2:$I$650,2,FALSE))))</f>
        <v>Jonathan Clarke</v>
      </c>
      <c r="I37" s="51">
        <f t="shared" si="0"/>
        <v>0</v>
      </c>
      <c r="J37" t="str">
        <f t="shared" si="1"/>
        <v>X</v>
      </c>
    </row>
    <row r="38" spans="1:10" ht="15">
      <c r="A38" s="46" t="s">
        <v>531</v>
      </c>
      <c r="B38" s="47" t="s">
        <v>562</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579</v>
      </c>
      <c r="B46" s="47" t="s">
        <v>618</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532</v>
      </c>
      <c r="B48" s="47" t="s">
        <v>532</v>
      </c>
      <c r="C48" s="48"/>
      <c r="D48" s="48">
        <v>20</v>
      </c>
      <c r="E48" s="48">
        <v>22</v>
      </c>
      <c r="F48" s="48" t="s">
        <v>548</v>
      </c>
      <c r="G48" s="48"/>
      <c r="H48" s="50" t="str">
        <f>IF($B48="","",IF($J48="X",B48,CONCATENATE(VLOOKUP(B48,Competitors!$A$2:$I$650,3,FALSE)," ",VLOOKUP(B48,Competitors!$A$2:$I$650,2,FALSE))))</f>
        <v>Hudson Hendry</v>
      </c>
      <c r="I48" s="51">
        <f t="shared" si="2"/>
        <v>1.4143518518518519E-2</v>
      </c>
      <c r="J48" t="str">
        <f t="shared" si="1"/>
        <v>X</v>
      </c>
    </row>
    <row r="49" spans="1:10" ht="15">
      <c r="A49" s="46" t="s">
        <v>516</v>
      </c>
      <c r="B49" s="47" t="s">
        <v>571</v>
      </c>
      <c r="C49" s="48"/>
      <c r="D49" s="48">
        <v>29</v>
      </c>
      <c r="E49" s="48">
        <v>58</v>
      </c>
      <c r="F49" s="48" t="s">
        <v>548</v>
      </c>
      <c r="G49" s="48"/>
      <c r="H49" s="50" t="str">
        <f>IF($B49="","",IF($J49="X",B49,CONCATENATE(VLOOKUP(B49,Competitors!$A$2:$I$650,3,FALSE)," ",VLOOKUP(B49,Competitors!$A$2:$I$650,2,FALSE))))</f>
        <v>Paul Eden (Ratae)</v>
      </c>
      <c r="I49" s="51">
        <f t="shared" si="2"/>
        <v>2.0810185185185185E-2</v>
      </c>
      <c r="J49" t="str">
        <f t="shared" si="1"/>
        <v>X</v>
      </c>
    </row>
    <row r="50" spans="1:10" ht="15">
      <c r="A50" s="46" t="s">
        <v>589</v>
      </c>
      <c r="B50" s="47" t="s">
        <v>589</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588</v>
      </c>
      <c r="B51" s="47">
        <v>1347</v>
      </c>
      <c r="C51" s="48"/>
      <c r="D51" s="48">
        <v>26</v>
      </c>
      <c r="E51" s="48">
        <v>5</v>
      </c>
      <c r="F51" s="48" t="s">
        <v>548</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Event_11</v>
      </c>
    </row>
    <row r="104" spans="1:10">
      <c r="B104" t="s">
        <v>556</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447</v>
      </c>
      <c r="B2" s="47">
        <v>1379</v>
      </c>
      <c r="C2" s="48"/>
      <c r="D2" s="49">
        <v>76</v>
      </c>
      <c r="E2" s="49">
        <v>10</v>
      </c>
      <c r="F2" s="49" t="s">
        <v>548</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548</v>
      </c>
      <c r="G3" s="49"/>
      <c r="H3" s="50" t="str">
        <f>IF($B3="","",IF($J3="X",B3,CONCATENATE(VLOOKUP(B3,Competitors!$A$2:$I$650,3,FALSE)," ",VLOOKUP(B3,Competitors!$A$2:$I$650,2,FALSE))))</f>
        <v>Richard Hardwicke</v>
      </c>
      <c r="I3" s="51">
        <f t="shared" si="0"/>
        <v>5.0289351851851849E-2</v>
      </c>
      <c r="J3" t="str">
        <f t="shared" si="1"/>
        <v/>
      </c>
    </row>
    <row r="4" spans="1:10" ht="15">
      <c r="A4" s="46" t="s">
        <v>527</v>
      </c>
      <c r="B4" s="47" t="s">
        <v>609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548</v>
      </c>
      <c r="G5" s="49"/>
      <c r="H5" s="50" t="str">
        <f>IF($B5="","",IF($J5="X",B5,CONCATENATE(VLOOKUP(B5,Competitors!$A$2:$I$650,3,FALSE)," ",VLOOKUP(B5,Competitors!$A$2:$I$650,2,FALSE))))</f>
        <v>Alex Hardwicke</v>
      </c>
      <c r="I5" s="51">
        <f t="shared" si="0"/>
        <v>5.4988425925925927E-2</v>
      </c>
      <c r="J5" t="str">
        <f t="shared" si="1"/>
        <v/>
      </c>
    </row>
    <row r="6" spans="1:10" ht="15">
      <c r="A6" s="46" t="s">
        <v>519</v>
      </c>
      <c r="B6" s="47" t="s">
        <v>610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548</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548</v>
      </c>
      <c r="G8" s="49"/>
      <c r="H8" s="50" t="str">
        <f>IF($B8="","",IF($J8="X",B8,CONCATENATE(VLOOKUP(B8,Competitors!$A$2:$I$650,3,FALSE)," ",VLOOKUP(B8,Competitors!$A$2:$I$650,2,FALSE))))</f>
        <v>Charlie Hardwicke</v>
      </c>
      <c r="I8" s="51">
        <f t="shared" si="0"/>
        <v>4.9826388888888892E-2</v>
      </c>
      <c r="J8" t="str">
        <f t="shared" si="1"/>
        <v/>
      </c>
    </row>
    <row r="9" spans="1:10" ht="15">
      <c r="A9" s="46" t="s">
        <v>593</v>
      </c>
      <c r="B9" s="47" t="s">
        <v>611</v>
      </c>
      <c r="C9" s="48"/>
      <c r="D9" s="49">
        <v>73</v>
      </c>
      <c r="E9" s="49">
        <v>45</v>
      </c>
      <c r="F9" s="49" t="s">
        <v>601</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601</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523</v>
      </c>
      <c r="B12" s="47" t="s">
        <v>612</v>
      </c>
      <c r="C12" s="48"/>
      <c r="D12" s="49">
        <v>72</v>
      </c>
      <c r="E12" s="49">
        <v>32</v>
      </c>
      <c r="F12" s="49" t="s">
        <v>548</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592</v>
      </c>
      <c r="B14" s="47" t="s">
        <v>613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548</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591</v>
      </c>
      <c r="B17" s="47" t="s">
        <v>614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530</v>
      </c>
      <c r="B18" s="47" t="s">
        <v>615</v>
      </c>
      <c r="C18" s="48"/>
      <c r="D18" s="49">
        <v>70</v>
      </c>
      <c r="E18" s="49">
        <v>45</v>
      </c>
      <c r="F18" s="49" t="s">
        <v>548</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557</v>
      </c>
      <c r="H19" s="50" t="str">
        <f>IF($B19="","",IF($J19="X",B19,CONCATENATE(VLOOKUP(B19,Competitors!$A$2:$I$650,3,FALSE)," ",VLOOKUP(B19,Competitors!$A$2:$I$650,2,FALSE))))</f>
        <v>Roger Kockelbergh</v>
      </c>
      <c r="I19" s="51">
        <f t="shared" si="0"/>
        <v>0</v>
      </c>
      <c r="J19" t="str">
        <f t="shared" si="1"/>
        <v/>
      </c>
    </row>
    <row r="20" spans="1:10" ht="15">
      <c r="A20" s="46" t="s">
        <v>596</v>
      </c>
      <c r="B20" s="47" t="s">
        <v>616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548</v>
      </c>
      <c r="G21" s="49"/>
      <c r="H21" s="50" t="str">
        <f>IF($B21="","",IF($J21="X",B21,CONCATENATE(VLOOKUP(B21,Competitors!$A$2:$I$650,3,FALSE)," ",VLOOKUP(B21,Competitors!$A$2:$I$650,2,FALSE))))</f>
        <v>Jason Williams</v>
      </c>
      <c r="I21" s="51">
        <f t="shared" si="0"/>
        <v>5.0763888888888886E-2</v>
      </c>
      <c r="J21" t="str">
        <f t="shared" si="1"/>
        <v/>
      </c>
    </row>
    <row r="22" spans="1:10" ht="15">
      <c r="A22" s="46" t="s">
        <v>590</v>
      </c>
      <c r="B22" s="47" t="s">
        <v>617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557</v>
      </c>
      <c r="H23" s="50" t="str">
        <f>IF($B23="","",IF($J23="X",B23,CONCATENATE(VLOOKUP(B23,Competitors!$A$2:$I$650,3,FALSE)," ",VLOOKUP(B23,Competitors!$A$2:$I$650,2,FALSE))))</f>
        <v>Gary Ashwell</v>
      </c>
      <c r="I23" s="51">
        <f t="shared" si="0"/>
        <v>0</v>
      </c>
      <c r="J23" t="str">
        <f t="shared" si="1"/>
        <v/>
      </c>
    </row>
    <row r="24" spans="1:10" ht="15">
      <c r="A24" s="46" t="s">
        <v>579</v>
      </c>
      <c r="B24" s="47" t="s">
        <v>618</v>
      </c>
      <c r="C24" s="48"/>
      <c r="D24" s="49"/>
      <c r="E24" s="49"/>
      <c r="F24" s="49"/>
      <c r="G24" s="49" t="s">
        <v>557</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550</v>
      </c>
      <c r="H25" s="50" t="str">
        <f>IF($B25="","",IF($J25="X",B25,CONCATENATE(VLOOKUP(B25,Competitors!$A$2:$I$650,3,FALSE)," ",VLOOKUP(B25,Competitors!$A$2:$I$650,2,FALSE))))</f>
        <v>Stuart Haycox</v>
      </c>
      <c r="I25" s="51">
        <f t="shared" si="0"/>
        <v>0</v>
      </c>
      <c r="J25" t="str">
        <f t="shared" si="1"/>
        <v/>
      </c>
    </row>
    <row r="26" spans="1:10" ht="15">
      <c r="A26" s="46" t="s">
        <v>528</v>
      </c>
      <c r="B26" s="47" t="s">
        <v>608</v>
      </c>
      <c r="C26" s="48"/>
      <c r="D26" s="49">
        <v>67</v>
      </c>
      <c r="E26" s="49">
        <v>14</v>
      </c>
      <c r="F26" s="49" t="s">
        <v>548</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595</v>
      </c>
      <c r="B28" s="47" t="s">
        <v>619</v>
      </c>
      <c r="C28" s="48"/>
      <c r="D28" s="49">
        <v>61</v>
      </c>
      <c r="E28" s="49">
        <v>34</v>
      </c>
      <c r="F28" s="49" t="s">
        <v>548</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607</v>
      </c>
      <c r="C30" s="48"/>
      <c r="D30" s="49">
        <v>63</v>
      </c>
      <c r="E30" s="49">
        <v>43</v>
      </c>
      <c r="F30" s="49" t="s">
        <v>548</v>
      </c>
      <c r="G30" s="49"/>
      <c r="H30" s="50" t="str">
        <f>IF($B30="","",IF($J30="X",B30,CONCATENATE(VLOOKUP(B30,Competitors!$A$2:$I$650,3,FALSE)," ",VLOOKUP(B30,Competitors!$A$2:$I$650,2,FALSE))))</f>
        <v>Andy King (KCC)</v>
      </c>
      <c r="I30" s="51">
        <f t="shared" si="0"/>
        <v>4.4247685185185189E-2</v>
      </c>
      <c r="J30" t="str">
        <f t="shared" si="1"/>
        <v>X</v>
      </c>
    </row>
    <row r="31" spans="1:10" ht="15">
      <c r="A31" s="46" t="s">
        <v>531</v>
      </c>
      <c r="B31" s="47" t="s">
        <v>562</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525</v>
      </c>
      <c r="B32" s="47" t="s">
        <v>620</v>
      </c>
      <c r="C32" s="48"/>
      <c r="D32" s="49">
        <v>69</v>
      </c>
      <c r="E32" s="49">
        <v>20</v>
      </c>
      <c r="F32" s="49" t="s">
        <v>548</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555</v>
      </c>
      <c r="C103" t="str" cm="1">
        <f t="array" aca="1" ref="C103" ca="1">MID(CELL("filename",B1),FIND("]",CELL("filename",B1))+1,255)</f>
        <v>Event_12</v>
      </c>
    </row>
    <row r="104" spans="1:10">
      <c r="B104" t="s">
        <v>556</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597</v>
      </c>
      <c r="B3" s="47" t="s">
        <v>597</v>
      </c>
      <c r="C3" s="48"/>
      <c r="D3" s="49"/>
      <c r="E3" s="49"/>
      <c r="F3" s="49" t="s">
        <v>548</v>
      </c>
      <c r="G3" s="49"/>
      <c r="H3" s="50" t="str">
        <f>IF($B3="","",IF($J3="X",B3,CONCATENATE(VLOOKUP(B3,Competitors!$A$2:$I$650,3,FALSE)," ",VLOOKUP(B3,Competitors!$A$2:$I$650,2,FALSE))))</f>
        <v>Mohammed Nurgat</v>
      </c>
      <c r="I3" s="51">
        <f t="shared" si="0"/>
        <v>0</v>
      </c>
      <c r="J3" t="str">
        <f t="shared" si="1"/>
        <v>X</v>
      </c>
    </row>
    <row r="4" spans="1:10" ht="15">
      <c r="A4" s="46" t="s">
        <v>513</v>
      </c>
      <c r="B4" s="47" t="s">
        <v>565</v>
      </c>
      <c r="C4" s="48"/>
      <c r="D4" s="49"/>
      <c r="E4" s="49"/>
      <c r="F4" s="49" t="s">
        <v>548</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548</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548</v>
      </c>
      <c r="G6" s="49"/>
      <c r="H6" s="50" t="str">
        <f>IF($B6="","",IF($J6="X",B6,CONCATENATE(VLOOKUP(B6,Competitors!$A$2:$I$650,3,FALSE)," ",VLOOKUP(B6,Competitors!$A$2:$I$650,2,FALSE))))</f>
        <v>Daniel McDonnell</v>
      </c>
      <c r="I6" s="51">
        <f t="shared" si="0"/>
        <v>0</v>
      </c>
      <c r="J6" t="str">
        <f t="shared" si="1"/>
        <v/>
      </c>
    </row>
    <row r="7" spans="1:10" ht="15">
      <c r="A7" s="46" t="s">
        <v>598</v>
      </c>
      <c r="B7" s="47" t="s">
        <v>605</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548</v>
      </c>
      <c r="G8" s="49"/>
      <c r="H8" s="50" t="str">
        <f>IF($B8="","",IF($J8="X",B8,CONCATENATE(VLOOKUP(B8,Competitors!$A$2:$I$650,3,FALSE)," ",VLOOKUP(B8,Competitors!$A$2:$I$650,2,FALSE))))</f>
        <v>Vic Barnett</v>
      </c>
      <c r="I8" s="51">
        <f t="shared" si="0"/>
        <v>0</v>
      </c>
      <c r="J8" t="str">
        <f t="shared" si="1"/>
        <v/>
      </c>
    </row>
    <row r="9" spans="1:10" ht="15">
      <c r="A9" s="46" t="s">
        <v>599</v>
      </c>
      <c r="B9" s="47">
        <v>1390</v>
      </c>
      <c r="C9" s="48"/>
      <c r="D9" s="49"/>
      <c r="E9" s="49"/>
      <c r="F9" s="49" t="s">
        <v>548</v>
      </c>
      <c r="G9" s="49"/>
      <c r="H9" s="50" t="str">
        <f>IF($B9="","",IF($J9="X",B9,CONCATENATE(VLOOKUP(B9,Competitors!$A$2:$I$650,3,FALSE)," ",VLOOKUP(B9,Competitors!$A$2:$I$650,2,FALSE))))</f>
        <v>Diego Patteri</v>
      </c>
      <c r="I9" s="51">
        <f t="shared" si="0"/>
        <v>0</v>
      </c>
      <c r="J9" t="str">
        <f t="shared" si="1"/>
        <v/>
      </c>
    </row>
    <row r="10" spans="1:10" ht="15">
      <c r="A10" s="46" t="s">
        <v>496</v>
      </c>
      <c r="B10" s="47" t="s">
        <v>606</v>
      </c>
      <c r="C10" s="48"/>
      <c r="D10" s="49"/>
      <c r="E10" s="49"/>
      <c r="F10" s="49" t="s">
        <v>548</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548</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548</v>
      </c>
      <c r="G12" s="49"/>
      <c r="H12" s="50" t="str">
        <f>IF($B12="","",IF($J12="X",B12,CONCATENATE(VLOOKUP(B12,Competitors!$A$2:$I$650,3,FALSE)," ",VLOOKUP(B12,Competitors!$A$2:$I$650,2,FALSE))))</f>
        <v>Aubrey Elmer</v>
      </c>
      <c r="I12" s="51">
        <f t="shared" si="0"/>
        <v>0</v>
      </c>
      <c r="J12" t="str">
        <f t="shared" si="1"/>
        <v/>
      </c>
    </row>
    <row r="13" spans="1:10" ht="15">
      <c r="A13" s="46" t="s">
        <v>505</v>
      </c>
      <c r="B13" s="47" t="s">
        <v>558</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607</v>
      </c>
      <c r="C14" s="48"/>
      <c r="D14" s="49"/>
      <c r="E14" s="49"/>
      <c r="F14" s="49" t="s">
        <v>548</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600</v>
      </c>
      <c r="B16" s="47" t="s">
        <v>600</v>
      </c>
      <c r="C16" s="48"/>
      <c r="D16" s="49"/>
      <c r="E16" s="49"/>
      <c r="F16" s="49" t="s">
        <v>548</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548</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548</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548</v>
      </c>
      <c r="G19" s="49"/>
      <c r="H19" s="50" t="str">
        <f>IF($B19="","",IF($J19="X",B19,CONCATENATE(VLOOKUP(B19,Competitors!$A$2:$I$650,3,FALSE)," ",VLOOKUP(B19,Competitors!$A$2:$I$650,2,FALSE))))</f>
        <v>Colin Dobson</v>
      </c>
      <c r="I19" s="51">
        <f t="shared" si="0"/>
        <v>0</v>
      </c>
      <c r="J19" t="str">
        <f t="shared" si="1"/>
        <v/>
      </c>
    </row>
    <row r="20" spans="1:10" ht="15">
      <c r="A20" s="46" t="s">
        <v>628</v>
      </c>
      <c r="B20" s="47">
        <v>990</v>
      </c>
      <c r="C20" s="48"/>
      <c r="D20" s="49"/>
      <c r="E20" s="49"/>
      <c r="F20" s="49" t="s">
        <v>548</v>
      </c>
      <c r="G20" s="49"/>
      <c r="H20" s="50" t="str">
        <f>IF($B20="","",IF($J20="X",B20,CONCATENATE(VLOOKUP(B20,Competitors!$A$2:$I$650,3,FALSE)," ",VLOOKUP(B20,Competitors!$A$2:$I$650,2,FALSE))))</f>
        <v>Jen Hulme</v>
      </c>
      <c r="I20" s="51">
        <f t="shared" si="0"/>
        <v>0</v>
      </c>
      <c r="J20" t="str">
        <f t="shared" si="1"/>
        <v/>
      </c>
    </row>
    <row r="21" spans="1:10" ht="15">
      <c r="A21" s="46" t="s">
        <v>528</v>
      </c>
      <c r="B21" s="47" t="s">
        <v>608</v>
      </c>
      <c r="C21" s="48"/>
      <c r="D21" s="49"/>
      <c r="E21" s="49"/>
      <c r="F21" s="49" t="s">
        <v>548</v>
      </c>
      <c r="G21" s="49"/>
      <c r="H21" s="50" t="str">
        <f>IF($B21="","",IF($J21="X",B21,CONCATENATE(VLOOKUP(B21,Competitors!$A$2:$I$650,3,FALSE)," ",VLOOKUP(B21,Competitors!$A$2:$I$650,2,FALSE))))</f>
        <v>Michael Carter (RFW)</v>
      </c>
      <c r="I21" s="51">
        <f t="shared" si="0"/>
        <v>0</v>
      </c>
      <c r="J21" t="str">
        <f t="shared" si="1"/>
        <v>X</v>
      </c>
    </row>
    <row r="22" spans="1:10" ht="15">
      <c r="A22" s="46" t="s">
        <v>518</v>
      </c>
      <c r="B22" s="47" t="s">
        <v>563</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548</v>
      </c>
      <c r="G24" s="49"/>
      <c r="H24" s="50" t="str">
        <f>IF($B24="","",IF($J24="X",B24,CONCATENATE(VLOOKUP(B24,Competitors!$A$2:$I$650,3,FALSE)," ",VLOOKUP(B24,Competitors!$A$2:$I$650,2,FALSE))))</f>
        <v>Alex Hardwicke</v>
      </c>
      <c r="I24" s="51">
        <f t="shared" si="0"/>
        <v>0</v>
      </c>
      <c r="J24" t="str">
        <f t="shared" si="1"/>
        <v/>
      </c>
    </row>
    <row r="25" spans="1:10" ht="15">
      <c r="A25" s="46" t="s">
        <v>527</v>
      </c>
      <c r="B25" s="47" t="s">
        <v>609</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Event_13</v>
      </c>
    </row>
    <row r="104" spans="1:10">
      <c r="B104" t="s">
        <v>556</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61" t="s">
        <v>628</v>
      </c>
      <c r="B2" s="47">
        <f t="shared" ref="B2:B33" si="0">IF(A2="","",_xlfn.XLOOKUP(A2,ClubNames,ClubNumbers,_xlfn.XLOOKUP(A2,RoundRobinRiderNames,RoundRobinRiderDecoratedNames,A2)))</f>
        <v>990</v>
      </c>
      <c r="C2" s="48"/>
      <c r="D2" s="49">
        <v>33</v>
      </c>
      <c r="E2" s="49">
        <v>30</v>
      </c>
      <c r="F2" s="49" t="s">
        <v>548</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585</v>
      </c>
      <c r="B3" s="47">
        <f t="shared" si="0"/>
        <v>1370</v>
      </c>
      <c r="C3" s="48"/>
      <c r="D3" s="49">
        <v>26</v>
      </c>
      <c r="E3" s="49">
        <v>0</v>
      </c>
      <c r="F3" s="49" t="s">
        <v>548</v>
      </c>
      <c r="G3" s="66"/>
      <c r="H3" s="50" t="str">
        <f>IF($B3="","",IF($J3="X",B3,CONCATENATE(VLOOKUP(B3,Competitors!$A$2:$I$650,3,FALSE)," ",VLOOKUP(B3,Competitors!$A$2:$I$650,2,FALSE))))</f>
        <v>Ian Aldridge</v>
      </c>
      <c r="I3" s="51">
        <f t="shared" si="1"/>
        <v>1.8055555555555554E-2</v>
      </c>
      <c r="J3" t="str">
        <f t="shared" si="2"/>
        <v/>
      </c>
    </row>
    <row r="4" spans="1:10" ht="15">
      <c r="A4" s="46" t="s">
        <v>504</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548</v>
      </c>
      <c r="G5" s="66"/>
      <c r="H5" s="50" t="str">
        <f>IF($B5="","",IF($J5="X",B5,CONCATENATE(VLOOKUP(B5,Competitors!$A$2:$I$650,3,FALSE)," ",VLOOKUP(B5,Competitors!$A$2:$I$650,2,FALSE))))</f>
        <v>Claire Moore</v>
      </c>
      <c r="I5" s="51">
        <f t="shared" si="1"/>
        <v>2.3055555555555555E-2</v>
      </c>
      <c r="J5" t="str">
        <f t="shared" si="2"/>
        <v/>
      </c>
    </row>
    <row r="6" spans="1:10" ht="15">
      <c r="A6" s="46" t="s">
        <v>527</v>
      </c>
      <c r="B6" s="47" t="str">
        <f>IF(A6="","",_xlfn.XLOOKUP(A6,ClubNames,ClubNumbers,_xlfn.XLOOKUP(A6,RoundRobinRiderNames,RoundRobinRiderDecoratedNames,A6)))</f>
        <v>Lynne Wilkinson-Scofield (RFW)</v>
      </c>
      <c r="C6" s="48"/>
      <c r="D6" s="49"/>
      <c r="E6" s="49"/>
      <c r="F6" s="49"/>
      <c r="G6" s="49" t="s">
        <v>557</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548</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548</v>
      </c>
      <c r="G8" s="66"/>
      <c r="H8" s="50" t="str">
        <f>IF($B8="","",IF($J8="X",B8,CONCATENATE(VLOOKUP(B8,Competitors!$A$2:$I$650,3,FALSE)," ",VLOOKUP(B8,Competitors!$A$2:$I$650,2,FALSE))))</f>
        <v>Vic Barnett</v>
      </c>
      <c r="I8" s="51">
        <f t="shared" si="1"/>
        <v>2.2002314814814815E-2</v>
      </c>
      <c r="J8" t="str">
        <f t="shared" si="2"/>
        <v/>
      </c>
    </row>
    <row r="9" spans="1:10" ht="15">
      <c r="A9" s="46" t="s">
        <v>588</v>
      </c>
      <c r="B9" s="47">
        <f t="shared" si="0"/>
        <v>1347</v>
      </c>
      <c r="C9" s="48"/>
      <c r="D9" s="49">
        <v>26</v>
      </c>
      <c r="E9" s="49">
        <v>38</v>
      </c>
      <c r="F9" s="49" t="s">
        <v>548</v>
      </c>
      <c r="G9" s="66"/>
      <c r="H9" s="50" t="str">
        <f>IF($B9="","",IF($J9="X",B9,CONCATENATE(VLOOKUP(B9,Competitors!$A$2:$I$650,3,FALSE)," ",VLOOKUP(B9,Competitors!$A$2:$I$650,2,FALSE))))</f>
        <v>Stuart Simpson-Smith</v>
      </c>
      <c r="I9" s="51">
        <f t="shared" si="1"/>
        <v>1.849537037037037E-2</v>
      </c>
      <c r="J9" t="str">
        <f t="shared" si="2"/>
        <v/>
      </c>
    </row>
    <row r="10" spans="1:10" ht="15">
      <c r="A10" s="46" t="s">
        <v>514</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505</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626</v>
      </c>
      <c r="B13" s="47">
        <f t="shared" si="0"/>
        <v>1391</v>
      </c>
      <c r="C13" s="48"/>
      <c r="D13" s="49">
        <v>24</v>
      </c>
      <c r="E13" s="49">
        <v>59</v>
      </c>
      <c r="F13" s="49" t="s">
        <v>548</v>
      </c>
      <c r="G13" s="66"/>
      <c r="H13" s="50" t="str">
        <f>IF($B13="","",IF($J13="X",B13,CONCATENATE(VLOOKUP(B13,Competitors!$A$2:$I$650,3,FALSE)," ",VLOOKUP(B13,Competitors!$A$2:$I$650,2,FALSE))))</f>
        <v>Leah Cuthbertson</v>
      </c>
      <c r="I13" s="51">
        <f t="shared" si="1"/>
        <v>1.7349537037037038E-2</v>
      </c>
      <c r="J13" t="str">
        <f t="shared" si="2"/>
        <v/>
      </c>
    </row>
    <row r="14" spans="1:10" ht="15">
      <c r="A14" s="46" t="s">
        <v>518</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548</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581</v>
      </c>
      <c r="B17" s="47">
        <f t="shared" si="0"/>
        <v>741</v>
      </c>
      <c r="C17" s="48"/>
      <c r="D17" s="49">
        <v>24</v>
      </c>
      <c r="E17" s="49">
        <v>8</v>
      </c>
      <c r="F17" s="49" t="s">
        <v>548</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548</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548</v>
      </c>
      <c r="G21" s="66"/>
      <c r="H21" s="50" t="str">
        <f>IF($B21="","",IF($J21="X",B21,CONCATENATE(VLOOKUP(B21,Competitors!$A$2:$I$650,3,FALSE)," ",VLOOKUP(B21,Competitors!$A$2:$I$650,2,FALSE))))</f>
        <v>Jamie Kershaw</v>
      </c>
      <c r="I21" s="51">
        <f t="shared" si="1"/>
        <v>1.6261574074074074E-2</v>
      </c>
      <c r="J21" t="str">
        <f t="shared" si="2"/>
        <v/>
      </c>
    </row>
    <row r="22" spans="1:10" ht="15">
      <c r="A22" s="61" t="s">
        <v>579</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582</v>
      </c>
      <c r="B23" s="47">
        <f t="shared" si="0"/>
        <v>1048</v>
      </c>
      <c r="C23" s="48"/>
      <c r="D23" s="49"/>
      <c r="E23" s="49"/>
      <c r="F23" s="49" t="s">
        <v>548</v>
      </c>
      <c r="G23" s="66" t="s">
        <v>557</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599</v>
      </c>
      <c r="B25" s="47">
        <f t="shared" si="0"/>
        <v>1390</v>
      </c>
      <c r="C25" s="48"/>
      <c r="D25" s="49">
        <v>24</v>
      </c>
      <c r="E25" s="49">
        <v>51</v>
      </c>
      <c r="F25" s="49" t="s">
        <v>548</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548</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548</v>
      </c>
      <c r="G28" s="66"/>
      <c r="H28" s="50" t="str">
        <f>IF($B28="","",IF($J28="X",B28,CONCATENATE(VLOOKUP(B28,Competitors!$A$2:$I$650,3,FALSE)," ",VLOOKUP(B28,Competitors!$A$2:$I$650,2,FALSE))))</f>
        <v>Nik Kershaw</v>
      </c>
      <c r="I28" s="51">
        <f t="shared" si="1"/>
        <v>1.804398148148148E-2</v>
      </c>
      <c r="J28" t="str">
        <f t="shared" si="2"/>
        <v/>
      </c>
    </row>
    <row r="29" spans="1:10" ht="15">
      <c r="A29" s="46" t="s">
        <v>513</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548</v>
      </c>
      <c r="G30" s="66" t="s">
        <v>561</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631</v>
      </c>
      <c r="B34" s="47" t="str">
        <f>IF(A34="","",_xlfn.XLOOKUP(A34,ClubNames,ClubNumbers,_xlfn.XLOOKUP(A34,RoundRobinRiderNames,RoundRobinRiderDecoratedNames,A34)))</f>
        <v>Paul Akroyd (VTTA E.Mids)</v>
      </c>
      <c r="C34" s="48"/>
      <c r="D34" s="49">
        <v>27</v>
      </c>
      <c r="E34" s="49">
        <v>2</v>
      </c>
      <c r="F34" s="49" t="s">
        <v>548</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557</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557</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548</v>
      </c>
      <c r="G37" s="66" t="s">
        <v>557</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548</v>
      </c>
      <c r="G38" s="66" t="s">
        <v>557</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548</v>
      </c>
      <c r="G39" s="66" t="s">
        <v>557</v>
      </c>
      <c r="H39" s="50" t="str">
        <f>IF($B39="","",IF($J39="X",B39,CONCATENATE(VLOOKUP(B39,Competitors!$A$2:$I$650,3,FALSE)," ",VLOOKUP(B39,Competitors!$A$2:$I$650,2,FALSE))))</f>
        <v>Charlie Hardwicke</v>
      </c>
      <c r="I39" s="51">
        <f t="shared" si="1"/>
        <v>0</v>
      </c>
      <c r="J39" t="str">
        <f t="shared" si="2"/>
        <v/>
      </c>
    </row>
    <row r="40" spans="1:10" ht="15">
      <c r="A40" s="46" t="s">
        <v>574</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531</v>
      </c>
      <c r="B45" s="47" t="str">
        <f t="shared" si="3"/>
        <v>Phil Wilkinson (RFW)</v>
      </c>
      <c r="C45" s="48"/>
      <c r="D45" s="49"/>
      <c r="E45" s="49"/>
      <c r="F45" s="49"/>
      <c r="G45" s="49" t="s">
        <v>557</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632</v>
      </c>
      <c r="B48" s="47">
        <f t="shared" si="3"/>
        <v>1416</v>
      </c>
      <c r="C48" s="48"/>
      <c r="D48" s="49">
        <v>24</v>
      </c>
      <c r="E48" s="49">
        <v>18</v>
      </c>
      <c r="F48" s="49" t="s">
        <v>548</v>
      </c>
      <c r="G48" s="49"/>
      <c r="H48" s="50" t="str">
        <f>IF($B48="","",IF($J48="X",B48,CONCATENATE(VLOOKUP(B48,Competitors!$A$2:$I$650,3,FALSE)," ",VLOOKUP(B48,Competitors!$A$2:$I$650,2,FALSE))))</f>
        <v>Henry Bellamy</v>
      </c>
      <c r="I48" s="51">
        <f t="shared" si="1"/>
        <v>1.6875000000000001E-2</v>
      </c>
      <c r="J48" t="str">
        <f t="shared" si="2"/>
        <v/>
      </c>
    </row>
    <row r="49" spans="1:10" ht="15">
      <c r="A49" s="46" t="s">
        <v>503</v>
      </c>
      <c r="B49" s="47" t="str">
        <f t="shared" si="3"/>
        <v>Alex Whitmore (Ratae)</v>
      </c>
      <c r="C49" s="48"/>
      <c r="D49" s="49">
        <v>22</v>
      </c>
      <c r="E49" s="49">
        <v>44</v>
      </c>
      <c r="F49" s="49" t="s">
        <v>548</v>
      </c>
      <c r="G49" s="49"/>
      <c r="H49" s="50" t="str">
        <f>IF($B49="","",IF($J49="X",B49,CONCATENATE(VLOOKUP(B49,Competitors!$A$2:$I$650,3,FALSE)," ",VLOOKUP(B49,Competitors!$A$2:$I$650,2,FALSE))))</f>
        <v>Alex Whitmore (Ratae)</v>
      </c>
      <c r="I49" s="51">
        <f t="shared" si="1"/>
        <v>1.5787037037037037E-2</v>
      </c>
      <c r="J49" t="str">
        <f t="shared" si="2"/>
        <v>X</v>
      </c>
    </row>
    <row r="50" spans="1:10" ht="15">
      <c r="A50" s="46" t="s">
        <v>633</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548</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Event_14</v>
      </c>
    </row>
    <row r="104" spans="1:10">
      <c r="B104" t="s">
        <v>556</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583</v>
      </c>
      <c r="B2" s="47" t="str">
        <f t="shared" ref="B2:B32" si="0">IF(A2="","",_xlfn.XLOOKUP(A2,ClubNames,ClubNumbers,_xlfn.XLOOKUP(A2,RoundRobinRiderNames,RoundRobinRiderDecoratedNames,A2)))</f>
        <v>Geoff Stanbridge (Ratae)</v>
      </c>
      <c r="C2" s="48"/>
      <c r="D2" s="49">
        <v>40</v>
      </c>
      <c r="E2" s="49">
        <v>37</v>
      </c>
      <c r="F2" s="49" t="s">
        <v>548</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548</v>
      </c>
      <c r="G3" s="49"/>
      <c r="H3" s="50" t="str">
        <f>IF($B3="","",IF($J3="X",B3,CONCATENATE(VLOOKUP(B3,Competitors!$A$2:$I$650,3,FALSE)," ",VLOOKUP(B3,Competitors!$A$2:$I$650,2,FALSE))))</f>
        <v>Mea Moore</v>
      </c>
      <c r="I3" s="51">
        <f t="shared" si="1"/>
        <v>2.0208333333333332E-2</v>
      </c>
      <c r="J3" t="str">
        <f t="shared" si="2"/>
        <v/>
      </c>
    </row>
    <row r="4" spans="1:10" ht="15">
      <c r="A4" s="46" t="s">
        <v>628</v>
      </c>
      <c r="B4" s="47">
        <f t="shared" si="0"/>
        <v>990</v>
      </c>
      <c r="C4" s="48"/>
      <c r="D4" s="49">
        <v>32</v>
      </c>
      <c r="E4" s="49">
        <v>57</v>
      </c>
      <c r="F4" s="49" t="s">
        <v>548</v>
      </c>
      <c r="G4" s="49"/>
      <c r="H4" s="50" t="str">
        <f>IF($B4="","",IF($J4="X",B4,CONCATENATE(VLOOKUP(B4,Competitors!$A$2:$I$650,3,FALSE)," ",VLOOKUP(B4,Competitors!$A$2:$I$650,2,FALSE))))</f>
        <v>Jen Hulme</v>
      </c>
      <c r="I4" s="51">
        <f t="shared" si="1"/>
        <v>2.2881944444444444E-2</v>
      </c>
      <c r="J4" t="str">
        <f t="shared" si="2"/>
        <v/>
      </c>
    </row>
    <row r="5" spans="1:10" ht="15">
      <c r="A5" s="46" t="s">
        <v>629</v>
      </c>
      <c r="B5" s="47" t="str">
        <f t="shared" si="0"/>
        <v>Michael Wheeler (KCC)</v>
      </c>
      <c r="C5" s="48"/>
      <c r="D5" s="49"/>
      <c r="E5" s="49"/>
      <c r="F5" s="49" t="s">
        <v>548</v>
      </c>
      <c r="G5" s="49" t="s">
        <v>557</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548</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548</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548</v>
      </c>
      <c r="G9" s="49"/>
      <c r="H9" s="50" t="str">
        <f>IF($B9="","",IF($J9="X",B9,CONCATENATE(VLOOKUP(B9,Competitors!$A$2:$I$650,3,FALSE)," ",VLOOKUP(B9,Competitors!$A$2:$I$650,2,FALSE))))</f>
        <v>Michaela Latham</v>
      </c>
      <c r="I9" s="51">
        <f t="shared" si="1"/>
        <v>2.0486111111111111E-2</v>
      </c>
      <c r="J9" t="str">
        <f t="shared" si="2"/>
        <v/>
      </c>
    </row>
    <row r="10" spans="1:10" ht="15">
      <c r="A10" s="46" t="s">
        <v>591</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527</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548</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548</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631</v>
      </c>
      <c r="B17" s="47" t="str">
        <f t="shared" si="0"/>
        <v>Paul Akroyd (VTTA E.Mids)</v>
      </c>
      <c r="C17" s="48"/>
      <c r="D17" s="49">
        <v>27</v>
      </c>
      <c r="E17" s="49">
        <v>25</v>
      </c>
      <c r="F17" s="49" t="s">
        <v>548</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548</v>
      </c>
      <c r="G18" s="49"/>
      <c r="H18" s="50" t="str">
        <f>IF($B18="","",IF($J18="X",B18,CONCATENATE(VLOOKUP(B18,Competitors!$A$2:$I$650,3,FALSE)," ",VLOOKUP(B18,Competitors!$A$2:$I$650,2,FALSE))))</f>
        <v>Richard Hardwicke</v>
      </c>
      <c r="I18" s="51">
        <f t="shared" si="1"/>
        <v>1.9953703703703703E-2</v>
      </c>
      <c r="J18" t="str">
        <f t="shared" si="2"/>
        <v/>
      </c>
    </row>
    <row r="19" spans="1:10" ht="15">
      <c r="A19" s="46" t="s">
        <v>630</v>
      </c>
      <c r="B19" s="47" t="str">
        <f t="shared" si="0"/>
        <v>Ian Bird (KCC)</v>
      </c>
      <c r="C19" s="48"/>
      <c r="D19" s="49">
        <v>28</v>
      </c>
      <c r="E19" s="49">
        <v>59</v>
      </c>
      <c r="F19" s="49" t="s">
        <v>548</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505</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513</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516</v>
      </c>
      <c r="B23" s="47" t="str">
        <f t="shared" si="0"/>
        <v>Paul Eden (Ratae)</v>
      </c>
      <c r="C23" s="48"/>
      <c r="D23" s="49">
        <v>32</v>
      </c>
      <c r="E23" s="49">
        <v>7</v>
      </c>
      <c r="F23" s="49" t="s">
        <v>548</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548</v>
      </c>
      <c r="G25" s="49"/>
      <c r="H25" s="50" t="str">
        <f>IF($B25="","",IF($J25="X",B25,CONCATENATE(VLOOKUP(B25,Competitors!$A$2:$I$650,3,FALSE)," ",VLOOKUP(B25,Competitors!$A$2:$I$650,2,FALSE))))</f>
        <v>John Abbott</v>
      </c>
      <c r="I25" s="51">
        <f t="shared" si="1"/>
        <v>1.8240740740740741E-2</v>
      </c>
      <c r="J25" t="str">
        <f t="shared" si="2"/>
        <v/>
      </c>
    </row>
    <row r="26" spans="1:10" ht="15">
      <c r="A26" s="46" t="s">
        <v>598</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581</v>
      </c>
      <c r="B28" s="47">
        <f t="shared" si="0"/>
        <v>741</v>
      </c>
      <c r="C28" s="48"/>
      <c r="D28" s="49">
        <v>24</v>
      </c>
      <c r="E28" s="49">
        <v>24</v>
      </c>
      <c r="F28" s="49" t="s">
        <v>548</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521</v>
      </c>
      <c r="B30" s="47" t="str">
        <f t="shared" si="0"/>
        <v>Chris Fowler (RFW)</v>
      </c>
      <c r="C30" s="48"/>
      <c r="D30" s="49">
        <v>23</v>
      </c>
      <c r="E30" s="49">
        <v>20</v>
      </c>
      <c r="F30" s="49" t="s">
        <v>548</v>
      </c>
      <c r="G30" s="49"/>
      <c r="H30" s="50" t="str">
        <f>IF($B30="","",IF($J30="X",B30,CONCATENATE(VLOOKUP(B30,Competitors!$A$2:$I$650,3,FALSE)," ",VLOOKUP(B30,Competitors!$A$2:$I$650,2,FALSE))))</f>
        <v>Chris Fowler (RFW)</v>
      </c>
      <c r="I30" s="51">
        <f t="shared" si="1"/>
        <v>1.6203703703703703E-2</v>
      </c>
      <c r="J30" t="str">
        <f t="shared" si="2"/>
        <v>X</v>
      </c>
    </row>
    <row r="31" spans="1:10" ht="15">
      <c r="A31" s="46" t="s">
        <v>531</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555</v>
      </c>
      <c r="C103" t="str" cm="1">
        <f t="array" aca="1" ref="C103" ca="1">MID(CELL("filename",B1),FIND("]",CELL("filename",B1))+1,255)</f>
        <v>Event_15</v>
      </c>
    </row>
    <row r="104" spans="1:10">
      <c r="B104" t="s">
        <v>556</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45" sqref="E45"/>
    </sheetView>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539</v>
      </c>
      <c r="B1" s="40" t="s">
        <v>540</v>
      </c>
      <c r="C1" s="41" t="s">
        <v>541</v>
      </c>
      <c r="D1" s="42" t="s">
        <v>542</v>
      </c>
      <c r="E1" s="43" t="s">
        <v>543</v>
      </c>
      <c r="F1" s="44" t="s">
        <v>544</v>
      </c>
      <c r="G1" s="44" t="s">
        <v>545</v>
      </c>
      <c r="H1" s="39" t="s">
        <v>462</v>
      </c>
      <c r="I1" s="45" t="s">
        <v>546</v>
      </c>
      <c r="J1" t="s">
        <v>547</v>
      </c>
    </row>
    <row r="2" spans="1:11" ht="15">
      <c r="A2" s="46" t="s">
        <v>460</v>
      </c>
      <c r="B2" s="47">
        <f t="shared" ref="B2:B45" si="0">IF(A2="","",_xlfn.XLOOKUP(A2,ClubNames,ClubNumbers,_xlfn.XLOOKUP(A2,RoundRobinRiderNames,RoundRobinRiderDecoratedNames,A2)))</f>
        <v>742</v>
      </c>
      <c r="C2" s="48"/>
      <c r="D2" s="49">
        <v>33</v>
      </c>
      <c r="E2" s="49">
        <v>53</v>
      </c>
      <c r="F2" s="49" t="s">
        <v>548</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548</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548</v>
      </c>
      <c r="G4" s="49"/>
      <c r="H4" s="50" t="str">
        <f>IF($B4="","",IF($J4="X",B4,CONCATENATE(VLOOKUP(B4,Competitors!$A$2:$I$650,3,FALSE)," ",VLOOKUP(B4,Competitors!$A$2:$I$650,2,FALSE))))</f>
        <v>Andy King (KCC)</v>
      </c>
      <c r="I4" s="51">
        <f t="shared" si="1"/>
        <v>1.7962962962962962E-2</v>
      </c>
      <c r="J4" t="str">
        <f t="shared" si="2"/>
        <v>X</v>
      </c>
      <c r="K4">
        <v>3</v>
      </c>
    </row>
    <row r="5" spans="1:11" ht="15">
      <c r="A5" s="46" t="s">
        <v>639</v>
      </c>
      <c r="B5" s="47" t="str">
        <f t="shared" si="0"/>
        <v>Ethan Mitchell-Clarke (Team Bottrill Nopinz) (RFW)</v>
      </c>
      <c r="C5" s="48"/>
      <c r="D5" s="49">
        <v>27</v>
      </c>
      <c r="E5" s="49">
        <v>59</v>
      </c>
      <c r="F5" s="49" t="s">
        <v>548</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519</v>
      </c>
      <c r="B6" s="47" t="str">
        <f t="shared" si="0"/>
        <v>Adam Wells (RFW)</v>
      </c>
      <c r="C6" s="48"/>
      <c r="D6" s="49">
        <v>26</v>
      </c>
      <c r="E6" s="49">
        <v>8</v>
      </c>
      <c r="F6" s="49" t="s">
        <v>548</v>
      </c>
      <c r="G6" s="49"/>
      <c r="H6" s="50" t="str">
        <f>IF($B6="","",IF($J6="X",B6,CONCATENATE(VLOOKUP(B6,Competitors!$A$2:$I$650,3,FALSE)," ",VLOOKUP(B6,Competitors!$A$2:$I$650,2,FALSE))))</f>
        <v>Adam Wells (RFW)</v>
      </c>
      <c r="I6" s="51">
        <f t="shared" si="1"/>
        <v>1.8148148148148149E-2</v>
      </c>
      <c r="J6" t="str">
        <f t="shared" si="2"/>
        <v>X</v>
      </c>
      <c r="K6">
        <v>5</v>
      </c>
    </row>
    <row r="7" spans="1:11" ht="15">
      <c r="A7" s="46" t="s">
        <v>585</v>
      </c>
      <c r="B7" s="47">
        <f t="shared" si="0"/>
        <v>1370</v>
      </c>
      <c r="C7" s="48"/>
      <c r="D7" s="49">
        <v>26</v>
      </c>
      <c r="E7" s="49">
        <v>19</v>
      </c>
      <c r="F7" s="49" t="s">
        <v>548</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642</v>
      </c>
      <c r="B9" s="47">
        <f t="shared" si="0"/>
        <v>1415</v>
      </c>
      <c r="C9" s="48"/>
      <c r="D9" s="49">
        <v>31</v>
      </c>
      <c r="E9" s="49">
        <v>22</v>
      </c>
      <c r="F9" s="49" t="s">
        <v>548</v>
      </c>
      <c r="G9" s="49"/>
      <c r="H9" s="50" t="str">
        <f>IF($B9="","",IF($J9="X",B9,CONCATENATE(VLOOKUP(B9,Competitors!$A$2:$I$650,3,FALSE)," ",VLOOKUP(B9,Competitors!$A$2:$I$650,2,FALSE))))</f>
        <v>James Aldridge</v>
      </c>
      <c r="I9" s="51">
        <f t="shared" si="1"/>
        <v>2.1782407407407407E-2</v>
      </c>
      <c r="J9" t="str">
        <f t="shared" si="2"/>
        <v/>
      </c>
      <c r="K9">
        <v>8</v>
      </c>
    </row>
    <row r="10" spans="1:11" ht="15">
      <c r="A10" s="46" t="s">
        <v>581</v>
      </c>
      <c r="B10" s="47">
        <f t="shared" si="0"/>
        <v>741</v>
      </c>
      <c r="C10" s="48"/>
      <c r="D10" s="49">
        <v>24</v>
      </c>
      <c r="E10" s="49">
        <v>54</v>
      </c>
      <c r="F10" s="49" t="s">
        <v>548</v>
      </c>
      <c r="G10" s="49"/>
      <c r="H10" s="50" t="str">
        <f>IF($B10="","",IF($J10="X",B10,CONCATENATE(VLOOKUP(B10,Competitors!$A$2:$I$650,3,FALSE)," ",VLOOKUP(B10,Competitors!$A$2:$I$650,2,FALSE))))</f>
        <v>Rob Moore</v>
      </c>
      <c r="I10" s="51">
        <f t="shared" si="1"/>
        <v>1.7291666666666667E-2</v>
      </c>
      <c r="J10" t="str">
        <f t="shared" si="2"/>
        <v/>
      </c>
      <c r="K10">
        <v>9</v>
      </c>
    </row>
    <row r="11" spans="1:11" ht="15">
      <c r="A11" s="46" t="s">
        <v>527</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548</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523</v>
      </c>
      <c r="B14" s="47" t="str">
        <f t="shared" si="0"/>
        <v>David Hill (RFW)</v>
      </c>
      <c r="C14" s="48"/>
      <c r="D14" s="49">
        <v>28</v>
      </c>
      <c r="E14" s="49">
        <v>46</v>
      </c>
      <c r="F14" s="49" t="s">
        <v>548</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516</v>
      </c>
      <c r="B15" s="47" t="str">
        <f t="shared" si="0"/>
        <v>Paul Eden (Ratae)</v>
      </c>
      <c r="C15" s="48"/>
      <c r="D15" s="49">
        <v>32</v>
      </c>
      <c r="E15" s="49">
        <v>30</v>
      </c>
      <c r="F15" s="49" t="s">
        <v>548</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592</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548</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505</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548</v>
      </c>
      <c r="G20" s="49"/>
      <c r="H20" s="50" t="str">
        <f>IF($B20="","",IF($J20="X",B20,CONCATENATE(VLOOKUP(B20,Competitors!$A$2:$I$650,3,FALSE)," ",VLOOKUP(B20,Competitors!$A$2:$I$650,2,FALSE))))</f>
        <v>Nik Kershaw</v>
      </c>
      <c r="I20" s="51">
        <f t="shared" si="1"/>
        <v>1.8553240740740742E-2</v>
      </c>
      <c r="J20" t="str">
        <f t="shared" si="2"/>
        <v/>
      </c>
      <c r="K20">
        <v>19</v>
      </c>
    </row>
    <row r="21" spans="1:11" ht="15">
      <c r="A21" s="46" t="s">
        <v>596</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548</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548</v>
      </c>
      <c r="G23" s="49"/>
      <c r="H23" s="50" t="str">
        <f>IF($B23="","",IF($J23="X",B23,CONCATENATE(VLOOKUP(B23,Competitors!$A$2:$I$650,3,FALSE)," ",VLOOKUP(B23,Competitors!$A$2:$I$650,2,FALSE))))</f>
        <v>Milly Pinnock</v>
      </c>
      <c r="I23" s="51">
        <f t="shared" si="1"/>
        <v>1.954861111111111E-2</v>
      </c>
      <c r="J23" t="str">
        <f t="shared" si="2"/>
        <v/>
      </c>
      <c r="K23">
        <v>22</v>
      </c>
    </row>
    <row r="24" spans="1:11" ht="15">
      <c r="A24" s="46" t="s">
        <v>641</v>
      </c>
      <c r="B24" s="47">
        <f t="shared" si="0"/>
        <v>567</v>
      </c>
      <c r="C24" s="48"/>
      <c r="D24" s="49">
        <v>28</v>
      </c>
      <c r="E24" s="49">
        <v>41</v>
      </c>
      <c r="F24" s="49" t="s">
        <v>548</v>
      </c>
      <c r="G24" s="49"/>
      <c r="H24" s="50" t="str">
        <f>IF($B24="","",IF($J24="X",B24,CONCATENATE(VLOOKUP(B24,Competitors!$A$2:$I$650,3,FALSE)," ",VLOOKUP(B24,Competitors!$A$2:$I$650,2,FALSE))))</f>
        <v>Lawrence Cox</v>
      </c>
      <c r="I24" s="51">
        <f t="shared" si="1"/>
        <v>1.9918981481481482E-2</v>
      </c>
      <c r="J24" t="str">
        <f t="shared" si="2"/>
        <v/>
      </c>
      <c r="K24">
        <v>23</v>
      </c>
    </row>
    <row r="25" spans="1:11" ht="15">
      <c r="A25" s="46" t="s">
        <v>626</v>
      </c>
      <c r="B25" s="47">
        <f t="shared" si="0"/>
        <v>1391</v>
      </c>
      <c r="C25" s="48"/>
      <c r="D25" s="49">
        <v>25</v>
      </c>
      <c r="E25" s="49">
        <v>59</v>
      </c>
      <c r="F25" s="49" t="s">
        <v>548</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518</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548</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548</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548</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598</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640</v>
      </c>
      <c r="B32" s="47" t="str">
        <f t="shared" si="0"/>
        <v>Pete Bradshaw (RFW)</v>
      </c>
      <c r="C32" s="48"/>
      <c r="D32" s="49">
        <v>25</v>
      </c>
      <c r="E32" s="49">
        <v>7</v>
      </c>
      <c r="F32" s="49" t="s">
        <v>548</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548</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513</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528</v>
      </c>
      <c r="B35" s="47" t="str">
        <f t="shared" si="0"/>
        <v>Michael Carter (RFW)</v>
      </c>
      <c r="C35" s="48"/>
      <c r="D35" s="49">
        <v>26</v>
      </c>
      <c r="E35" s="49">
        <v>33</v>
      </c>
      <c r="F35" s="49" t="s">
        <v>548</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595</v>
      </c>
      <c r="B37" s="47" t="str">
        <f t="shared" si="0"/>
        <v>Alex Barrowman (RFW)</v>
      </c>
      <c r="C37" s="48"/>
      <c r="D37" s="49">
        <v>24</v>
      </c>
      <c r="E37" s="49">
        <v>25</v>
      </c>
      <c r="F37" s="49" t="s">
        <v>548</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521</v>
      </c>
      <c r="B40" s="47" t="str">
        <f t="shared" si="0"/>
        <v>Chris Fowler (RFW)</v>
      </c>
      <c r="C40" s="48"/>
      <c r="D40" s="49">
        <v>24</v>
      </c>
      <c r="E40" s="49">
        <v>32</v>
      </c>
      <c r="F40" s="49" t="s">
        <v>548</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599</v>
      </c>
      <c r="B42" s="47">
        <f t="shared" si="0"/>
        <v>1390</v>
      </c>
      <c r="C42" s="48"/>
      <c r="D42" s="49">
        <v>26</v>
      </c>
      <c r="E42" s="49">
        <v>8</v>
      </c>
      <c r="F42" s="49" t="s">
        <v>548</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503</v>
      </c>
      <c r="B43" s="47" t="str">
        <f t="shared" si="0"/>
        <v>Alex Whitmore (Ratae)</v>
      </c>
      <c r="C43" s="48"/>
      <c r="D43" s="49">
        <v>23</v>
      </c>
      <c r="E43" s="49">
        <v>45</v>
      </c>
      <c r="F43" s="49" t="s">
        <v>548</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579</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555</v>
      </c>
      <c r="C103" t="str" cm="1">
        <f t="array" aca="1" ref="C103" ca="1">MID(CELL("filename",B1),FIND("]",CELL("filename",B1))+1,255)</f>
        <v>Event_16</v>
      </c>
    </row>
    <row r="104" spans="1:10">
      <c r="B104" t="s">
        <v>556</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8" sqref="A8"/>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539</v>
      </c>
      <c r="B1" s="40" t="s">
        <v>540</v>
      </c>
      <c r="C1" s="67"/>
      <c r="D1" s="41" t="s">
        <v>541</v>
      </c>
      <c r="E1" s="42" t="s">
        <v>542</v>
      </c>
      <c r="F1" s="43" t="s">
        <v>543</v>
      </c>
      <c r="G1" s="44" t="s">
        <v>544</v>
      </c>
      <c r="H1" s="44" t="s">
        <v>545</v>
      </c>
      <c r="I1" s="39" t="s">
        <v>462</v>
      </c>
      <c r="J1" s="45" t="s">
        <v>546</v>
      </c>
      <c r="K1" t="s">
        <v>547</v>
      </c>
    </row>
    <row r="2" spans="1:11" ht="15">
      <c r="A2" s="46" t="s">
        <v>643</v>
      </c>
      <c r="B2" s="47" t="str">
        <f t="shared" ref="B2:B33" si="0">IF(A2="","",_xlfn.XLOOKUP(A2,ClubNames,ClubNumbers,_xlfn.XLOOKUP(A2,RoundRobinRiderNames,RoundRobinRiderDecoratedNames,A2)))</f>
        <v>Jeff Jones (LFCC)</v>
      </c>
      <c r="C2" s="47" t="s">
        <v>669</v>
      </c>
      <c r="D2" s="48"/>
      <c r="E2" s="49"/>
      <c r="F2" s="49"/>
      <c r="G2" s="49"/>
      <c r="H2" s="49" t="s">
        <v>561</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644</v>
      </c>
      <c r="B3" s="47" t="str">
        <f t="shared" si="0"/>
        <v>Joshua Jones (LFCC)</v>
      </c>
      <c r="C3" s="47" t="s">
        <v>670</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645</v>
      </c>
      <c r="B4" s="47" t="str">
        <f t="shared" si="0"/>
        <v>Simon Jones (LFCC)</v>
      </c>
      <c r="C4" s="47" t="s">
        <v>671</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628</v>
      </c>
      <c r="B5" s="47">
        <f t="shared" si="0"/>
        <v>990</v>
      </c>
      <c r="C5" s="47" t="s">
        <v>672</v>
      </c>
      <c r="D5" s="48"/>
      <c r="E5" s="49">
        <v>20</v>
      </c>
      <c r="F5" s="49">
        <v>15</v>
      </c>
      <c r="G5" s="49" t="s">
        <v>548</v>
      </c>
      <c r="H5" s="49"/>
      <c r="I5" s="50" t="str">
        <f>IF($B5="","",IF($K5="X",B5,CONCATENATE(VLOOKUP(B5,Competitors!$A$2:$I$650,3,FALSE)," ",VLOOKUP(B5,Competitors!$A$2:$I$650,2,FALSE))))</f>
        <v>Jen Hulme</v>
      </c>
      <c r="J5" s="51">
        <f t="shared" si="1"/>
        <v>1.40625E-2</v>
      </c>
      <c r="K5" t="str">
        <f t="shared" si="2"/>
        <v/>
      </c>
    </row>
    <row r="6" spans="1:11" ht="15">
      <c r="A6" s="46" t="s">
        <v>490</v>
      </c>
      <c r="B6" s="47" t="str">
        <f t="shared" si="0"/>
        <v>Matt Finch (LFCC)</v>
      </c>
      <c r="C6" s="47" t="s">
        <v>673</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704</v>
      </c>
      <c r="B7" s="47" t="str">
        <f t="shared" si="0"/>
        <v>Laura Ayres (MOCC)</v>
      </c>
      <c r="C7" s="47" t="s">
        <v>674</v>
      </c>
      <c r="D7" s="48"/>
      <c r="E7" s="49">
        <v>17</v>
      </c>
      <c r="F7" s="49">
        <v>46</v>
      </c>
      <c r="G7" s="49" t="s">
        <v>548</v>
      </c>
      <c r="H7" s="49"/>
      <c r="I7" s="50" t="str">
        <f>IF($B7="","",IF($K7="X",B7,CONCATENATE(VLOOKUP(B7,Competitors!$A$2:$I$650,3,FALSE)," ",VLOOKUP(B7,Competitors!$A$2:$I$650,2,FALSE))))</f>
        <v>Laura Ayres (MOCC)</v>
      </c>
      <c r="J7" s="51">
        <f t="shared" si="1"/>
        <v>1.2337962962962964E-2</v>
      </c>
      <c r="K7" t="str">
        <f t="shared" si="2"/>
        <v>X</v>
      </c>
    </row>
    <row r="8" spans="1:11" ht="15">
      <c r="A8" s="46" t="s">
        <v>646</v>
      </c>
      <c r="B8" s="47" t="str">
        <f t="shared" si="0"/>
        <v>Sue Bonsor (Ratae)</v>
      </c>
      <c r="C8" s="47" t="s">
        <v>675</v>
      </c>
      <c r="D8" s="48"/>
      <c r="E8" s="49">
        <v>21</v>
      </c>
      <c r="F8" s="49">
        <v>6</v>
      </c>
      <c r="G8" s="49" t="s">
        <v>548</v>
      </c>
      <c r="H8" s="49"/>
      <c r="I8" s="50" t="str">
        <f>IF($B8="","",IF($K8="X",B8,CONCATENATE(VLOOKUP(B8,Competitors!$A$2:$I$650,3,FALSE)," ",VLOOKUP(B8,Competitors!$A$2:$I$650,2,FALSE))))</f>
        <v>Sue Bonsor (Ratae)</v>
      </c>
      <c r="J8" s="51">
        <f t="shared" si="1"/>
        <v>1.4652777777777778E-2</v>
      </c>
      <c r="K8" t="str">
        <f t="shared" si="2"/>
        <v>X</v>
      </c>
    </row>
    <row r="9" spans="1:11" ht="15">
      <c r="A9" s="46" t="s">
        <v>505</v>
      </c>
      <c r="B9" s="47" t="str">
        <f t="shared" si="0"/>
        <v>Chris Bonsor (Ratae)</v>
      </c>
      <c r="C9" s="47" t="s">
        <v>676</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582</v>
      </c>
      <c r="B10" s="47">
        <f t="shared" si="0"/>
        <v>1048</v>
      </c>
      <c r="C10" s="47" t="s">
        <v>677</v>
      </c>
      <c r="D10" s="48"/>
      <c r="E10" s="49">
        <v>18</v>
      </c>
      <c r="F10" s="49">
        <v>40</v>
      </c>
      <c r="G10" s="49" t="s">
        <v>548</v>
      </c>
      <c r="H10" s="49"/>
      <c r="I10" s="50" t="str">
        <f>IF($B10="","",IF($K10="X",B10,CONCATENATE(VLOOKUP(B10,Competitors!$A$2:$I$650,3,FALSE)," ",VLOOKUP(B10,Competitors!$A$2:$I$650,2,FALSE))))</f>
        <v>Andy Smith</v>
      </c>
      <c r="J10" s="51">
        <f t="shared" si="1"/>
        <v>1.2962962962962963E-2</v>
      </c>
      <c r="K10" t="str">
        <f t="shared" si="2"/>
        <v/>
      </c>
    </row>
    <row r="11" spans="1:11" ht="15">
      <c r="A11" s="46" t="s">
        <v>504</v>
      </c>
      <c r="B11" s="47" t="str">
        <f t="shared" si="0"/>
        <v>Brian Lincoln (Ratae)</v>
      </c>
      <c r="C11" s="47" t="s">
        <v>678</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518</v>
      </c>
      <c r="B12" s="47" t="str">
        <f t="shared" si="0"/>
        <v>Steve Pearce (Ratae)</v>
      </c>
      <c r="C12" s="47" t="s">
        <v>679</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514</v>
      </c>
      <c r="B13" s="47" t="str">
        <f t="shared" si="0"/>
        <v>Marshall Briggs (Ratae)</v>
      </c>
      <c r="C13" s="47" t="s">
        <v>680</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511</v>
      </c>
      <c r="B14" s="47" t="str">
        <f t="shared" si="0"/>
        <v>Lucy Sturgess (Ratae)</v>
      </c>
      <c r="C14" s="47" t="s">
        <v>681</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647</v>
      </c>
      <c r="B15" s="47" t="str">
        <f t="shared" si="0"/>
        <v>Shareeq S. Shaikh (BOB CC)</v>
      </c>
      <c r="C15" s="47" t="s">
        <v>682</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648</v>
      </c>
      <c r="B16" s="47" t="str">
        <f t="shared" si="0"/>
        <v>Marc Fairclough (Beeston RC)</v>
      </c>
      <c r="C16" s="47" t="s">
        <v>683</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650</v>
      </c>
      <c r="B17" s="47" t="str">
        <f t="shared" si="0"/>
        <v>Umair Nurgat (Gapped RT)</v>
      </c>
      <c r="C17" s="47" t="s">
        <v>684</v>
      </c>
      <c r="D17" s="48"/>
      <c r="E17" s="49">
        <v>16</v>
      </c>
      <c r="F17" s="49">
        <v>34</v>
      </c>
      <c r="G17" s="49" t="s">
        <v>548</v>
      </c>
      <c r="H17" s="49"/>
      <c r="I17" s="50" t="str">
        <f>IF($B17="","",IF($K17="X",B17,CONCATENATE(VLOOKUP(B17,Competitors!$A$2:$I$650,3,FALSE)," ",VLOOKUP(B17,Competitors!$A$2:$I$650,2,FALSE))))</f>
        <v>Umair Nurgat (Gapped RT)</v>
      </c>
      <c r="J17" s="51">
        <f t="shared" si="1"/>
        <v>1.150462962962963E-2</v>
      </c>
      <c r="K17" t="str">
        <f t="shared" si="2"/>
        <v>X</v>
      </c>
    </row>
    <row r="18" spans="1:11" ht="15">
      <c r="A18" s="46" t="s">
        <v>652</v>
      </c>
      <c r="B18" s="47" t="str">
        <f t="shared" si="0"/>
        <v>James Dexter (Coalville Wheelers)</v>
      </c>
      <c r="C18" s="47" t="s">
        <v>685</v>
      </c>
      <c r="D18" s="48"/>
      <c r="E18" s="49">
        <v>15</v>
      </c>
      <c r="F18" s="49">
        <v>26</v>
      </c>
      <c r="G18" s="49" t="s">
        <v>548</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653</v>
      </c>
      <c r="B19" s="47" t="str">
        <f t="shared" si="0"/>
        <v>Muhammad Sheikh (Gapped RT)</v>
      </c>
      <c r="C19" s="47" t="s">
        <v>686</v>
      </c>
      <c r="D19" s="48"/>
      <c r="E19" s="49">
        <v>17</v>
      </c>
      <c r="F19" s="49">
        <v>45</v>
      </c>
      <c r="G19" s="49" t="s">
        <v>548</v>
      </c>
      <c r="H19" s="49"/>
      <c r="I19" s="50" t="str">
        <f>IF($B19="","",IF($K19="X",B19,CONCATENATE(VLOOKUP(B19,Competitors!$A$2:$I$650,3,FALSE)," ",VLOOKUP(B19,Competitors!$A$2:$I$650,2,FALSE))))</f>
        <v>Muhammad Sheikh (Gapped RT)</v>
      </c>
      <c r="J19" s="51">
        <f t="shared" si="1"/>
        <v>1.2326388888888888E-2</v>
      </c>
      <c r="K19" t="str">
        <f t="shared" si="2"/>
        <v>X</v>
      </c>
    </row>
    <row r="20" spans="1:11" ht="15">
      <c r="A20" s="46" t="s">
        <v>510</v>
      </c>
      <c r="B20" s="47" t="str">
        <f t="shared" si="0"/>
        <v>Lesley Allden (Ratae)</v>
      </c>
      <c r="C20" s="47" t="s">
        <v>687</v>
      </c>
      <c r="D20" s="48"/>
      <c r="E20" s="49">
        <v>21</v>
      </c>
      <c r="F20" s="49">
        <v>2</v>
      </c>
      <c r="G20" s="49" t="s">
        <v>548</v>
      </c>
      <c r="H20" s="49"/>
      <c r="I20" s="50" t="str">
        <f>IF($B20="","",IF($K20="X",B20,CONCATENATE(VLOOKUP(B20,Competitors!$A$2:$I$650,3,FALSE)," ",VLOOKUP(B20,Competitors!$A$2:$I$650,2,FALSE))))</f>
        <v>Lesley Allden (Ratae)</v>
      </c>
      <c r="J20" s="51">
        <f t="shared" si="1"/>
        <v>1.4606481481481481E-2</v>
      </c>
      <c r="K20" t="str">
        <f t="shared" si="2"/>
        <v>X</v>
      </c>
    </row>
    <row r="21" spans="1:11" ht="15">
      <c r="A21" s="46" t="s">
        <v>654</v>
      </c>
      <c r="B21" s="47" t="str">
        <f t="shared" si="0"/>
        <v>Karl Williams (Ratae)</v>
      </c>
      <c r="C21" s="47" t="s">
        <v>688</v>
      </c>
      <c r="D21" s="48"/>
      <c r="E21" s="49">
        <v>17</v>
      </c>
      <c r="F21" s="49">
        <v>25</v>
      </c>
      <c r="G21" s="49" t="s">
        <v>548</v>
      </c>
      <c r="H21" s="49"/>
      <c r="I21" s="50" t="str">
        <f>IF($B21="","",IF($K21="X",B21,CONCATENATE(VLOOKUP(B21,Competitors!$A$2:$I$650,3,FALSE)," ",VLOOKUP(B21,Competitors!$A$2:$I$650,2,FALSE))))</f>
        <v>Karl Williams (Ratae)</v>
      </c>
      <c r="J21" s="51">
        <f t="shared" si="1"/>
        <v>1.2094907407407407E-2</v>
      </c>
      <c r="K21" t="str">
        <f t="shared" si="2"/>
        <v>X</v>
      </c>
    </row>
    <row r="22" spans="1:11" ht="15">
      <c r="A22" s="46" t="s">
        <v>496</v>
      </c>
      <c r="B22" s="47" t="str">
        <f t="shared" si="0"/>
        <v>Chris Booth (MOCC)</v>
      </c>
      <c r="C22" s="47" t="s">
        <v>689</v>
      </c>
      <c r="D22" s="48"/>
      <c r="E22" s="49">
        <v>15</v>
      </c>
      <c r="F22" s="49">
        <v>40</v>
      </c>
      <c r="G22" s="49" t="s">
        <v>548</v>
      </c>
      <c r="H22" s="49"/>
      <c r="I22" s="50" t="str">
        <f>IF($B22="","",IF($K22="X",B22,CONCATENATE(VLOOKUP(B22,Competitors!$A$2:$I$650,3,FALSE)," ",VLOOKUP(B22,Competitors!$A$2:$I$650,2,FALSE))))</f>
        <v>Chris Booth (MOCC)</v>
      </c>
      <c r="J22" s="51">
        <f t="shared" si="1"/>
        <v>1.087962962962963E-2</v>
      </c>
      <c r="K22" t="str">
        <f t="shared" si="2"/>
        <v>X</v>
      </c>
    </row>
    <row r="23" spans="1:11" ht="15">
      <c r="A23" s="46" t="s">
        <v>499</v>
      </c>
      <c r="B23" s="47" t="str">
        <f t="shared" si="0"/>
        <v>Jamie Haines (MOCC)</v>
      </c>
      <c r="C23" s="47" t="s">
        <v>690</v>
      </c>
      <c r="D23" s="48"/>
      <c r="E23" s="49">
        <v>14</v>
      </c>
      <c r="F23" s="49">
        <v>19</v>
      </c>
      <c r="G23" s="49" t="s">
        <v>548</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691</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583</v>
      </c>
      <c r="B25" s="47" t="str">
        <f t="shared" si="0"/>
        <v>Geoff Stanbridge (Ratae)</v>
      </c>
      <c r="C25" s="47" t="s">
        <v>692</v>
      </c>
      <c r="D25" s="48"/>
      <c r="E25" s="49">
        <v>24</v>
      </c>
      <c r="F25" s="49">
        <v>33</v>
      </c>
      <c r="G25" s="49" t="s">
        <v>548</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655</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656</v>
      </c>
      <c r="D27" s="48"/>
      <c r="E27" s="49">
        <v>15</v>
      </c>
      <c r="F27" s="49">
        <v>27</v>
      </c>
      <c r="G27" s="49" t="s">
        <v>548</v>
      </c>
      <c r="H27" s="49"/>
      <c r="I27" s="50" t="str">
        <f>IF($B27="","",IF($K27="X",B27,CONCATENATE(VLOOKUP(B27,Competitors!$A$2:$I$650,3,FALSE)," ",VLOOKUP(B27,Competitors!$A$2:$I$650,2,FALSE))))</f>
        <v>Aubrey Elmer</v>
      </c>
      <c r="J27" s="51">
        <f t="shared" si="1"/>
        <v>1.0729166666666666E-2</v>
      </c>
      <c r="K27" t="str">
        <f t="shared" si="2"/>
        <v/>
      </c>
    </row>
    <row r="28" spans="1:11" ht="15">
      <c r="A28" s="46" t="s">
        <v>699</v>
      </c>
      <c r="B28" s="47" t="str">
        <f t="shared" si="0"/>
        <v>Steve Walsh (LFCC)</v>
      </c>
      <c r="C28" s="47" t="s">
        <v>657</v>
      </c>
      <c r="D28" s="48"/>
      <c r="E28" s="49">
        <v>18</v>
      </c>
      <c r="F28" s="49">
        <v>22</v>
      </c>
      <c r="G28" s="49" t="s">
        <v>548</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658</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659</v>
      </c>
      <c r="D30" s="48"/>
      <c r="E30" s="49">
        <v>18</v>
      </c>
      <c r="F30" s="49">
        <v>50</v>
      </c>
      <c r="G30" s="49" t="s">
        <v>548</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660</v>
      </c>
      <c r="D31" s="48"/>
      <c r="E31" s="49">
        <v>17</v>
      </c>
      <c r="F31" s="49">
        <v>27</v>
      </c>
      <c r="G31" s="49" t="s">
        <v>548</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661</v>
      </c>
      <c r="D32" s="48"/>
      <c r="E32" s="49">
        <v>16</v>
      </c>
      <c r="F32" s="49">
        <v>28</v>
      </c>
      <c r="G32" s="49" t="s">
        <v>548</v>
      </c>
      <c r="H32" s="49"/>
      <c r="I32" s="50" t="str">
        <f>IF($B32="","",IF($K32="X",B32,CONCATENATE(VLOOKUP(B32,Competitors!$A$2:$I$650,3,FALSE)," ",VLOOKUP(B32,Competitors!$A$2:$I$650,2,FALSE))))</f>
        <v>Charlie Hardwicke</v>
      </c>
      <c r="J32" s="51">
        <f t="shared" si="1"/>
        <v>1.1435185185185185E-2</v>
      </c>
      <c r="K32" t="str">
        <f t="shared" si="2"/>
        <v/>
      </c>
    </row>
    <row r="33" spans="1:11" ht="15">
      <c r="A33" s="46" t="s">
        <v>509</v>
      </c>
      <c r="B33" s="47" t="str">
        <f t="shared" si="0"/>
        <v>Jonathon Clarke (Ratae)</v>
      </c>
      <c r="C33" s="47" t="s">
        <v>662</v>
      </c>
      <c r="D33" s="48"/>
      <c r="E33" s="49">
        <v>17</v>
      </c>
      <c r="F33" s="49">
        <v>10</v>
      </c>
      <c r="G33" s="49" t="s">
        <v>548</v>
      </c>
      <c r="H33" s="49"/>
      <c r="I33" s="50" t="str">
        <f>IF($B33="","",IF($K33="X",B33,CONCATENATE(VLOOKUP(B33,Competitors!$A$2:$I$650,3,FALSE)," ",VLOOKUP(B33,Competitors!$A$2:$I$650,2,FALSE))))</f>
        <v>Jonathon Clarke (Ratae)</v>
      </c>
      <c r="J33" s="51">
        <f t="shared" si="1"/>
        <v>1.1921296296296296E-2</v>
      </c>
      <c r="K33" t="str">
        <f t="shared" si="2"/>
        <v>X</v>
      </c>
    </row>
    <row r="34" spans="1:11" ht="15">
      <c r="A34" s="46" t="s">
        <v>700</v>
      </c>
      <c r="B34" s="47" t="str">
        <f t="shared" ref="B34:B97" si="3">IF(A34="","",_xlfn.XLOOKUP(A34,ClubNames,ClubNumbers,_xlfn.XLOOKUP(A34,RoundRobinRiderNames,RoundRobinRiderDecoratedNames,A34)))</f>
        <v>Tom Swan (Speedhub)</v>
      </c>
      <c r="C34" s="47" t="s">
        <v>663</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701</v>
      </c>
      <c r="B35" s="47" t="str">
        <f t="shared" si="3"/>
        <v>Tom Scott-Collins (Velo Elite)</v>
      </c>
      <c r="C35" s="47" t="s">
        <v>664</v>
      </c>
      <c r="D35" s="48"/>
      <c r="E35" s="49">
        <v>14</v>
      </c>
      <c r="F35" s="49">
        <v>43</v>
      </c>
      <c r="G35" s="49" t="s">
        <v>548</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597</v>
      </c>
      <c r="B36" s="47" t="str">
        <f t="shared" si="3"/>
        <v>Mohammed Nurgat (BOB CC)</v>
      </c>
      <c r="C36" s="47" t="s">
        <v>665</v>
      </c>
      <c r="D36" s="48"/>
      <c r="E36" s="49">
        <v>17</v>
      </c>
      <c r="F36" s="49">
        <v>22</v>
      </c>
      <c r="G36" s="49" t="s">
        <v>548</v>
      </c>
      <c r="H36" s="49"/>
      <c r="I36" s="50" t="str">
        <f>IF($B36="","",IF($K36="X",B36,CONCATENATE(VLOOKUP(B36,Competitors!$A$2:$I$650,3,FALSE)," ",VLOOKUP(B36,Competitors!$A$2:$I$650,2,FALSE))))</f>
        <v>Mohammed Nurgat (BOB CC)</v>
      </c>
      <c r="J36" s="51">
        <f t="shared" si="1"/>
        <v>1.2060185185185186E-2</v>
      </c>
      <c r="K36" t="str">
        <f t="shared" si="2"/>
        <v>X</v>
      </c>
    </row>
    <row r="37" spans="1:11" ht="15">
      <c r="A37" s="46" t="s">
        <v>703</v>
      </c>
      <c r="B37" s="47" t="str">
        <f t="shared" si="3"/>
        <v>Ali Nurgat (BOB CC)</v>
      </c>
      <c r="C37" s="47" t="s">
        <v>666</v>
      </c>
      <c r="D37" s="48"/>
      <c r="E37" s="49">
        <v>17</v>
      </c>
      <c r="F37" s="49">
        <v>26</v>
      </c>
      <c r="G37" s="49" t="s">
        <v>548</v>
      </c>
      <c r="H37" s="49"/>
      <c r="I37" s="50" t="str">
        <f>IF($B37="","",IF($K37="X",B37,CONCATENATE(VLOOKUP(B37,Competitors!$A$2:$I$650,3,FALSE)," ",VLOOKUP(B37,Competitors!$A$2:$I$650,2,FALSE))))</f>
        <v>Ali Nurgat (BOB CC)</v>
      </c>
      <c r="J37" s="51">
        <f t="shared" si="1"/>
        <v>1.2106481481481482E-2</v>
      </c>
      <c r="K37" t="str">
        <f t="shared" si="2"/>
        <v>X</v>
      </c>
    </row>
    <row r="38" spans="1:11" ht="15">
      <c r="A38" s="46" t="s">
        <v>503</v>
      </c>
      <c r="B38" s="47" t="str">
        <f t="shared" si="3"/>
        <v>Alex Whitmore (Ratae)</v>
      </c>
      <c r="C38" s="47" t="s">
        <v>693</v>
      </c>
      <c r="D38" s="48"/>
      <c r="E38" s="49">
        <v>14</v>
      </c>
      <c r="F38" s="49">
        <v>12</v>
      </c>
      <c r="G38" s="49" t="s">
        <v>548</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694</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695</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667</v>
      </c>
      <c r="B41" s="47" t="str">
        <f t="shared" si="3"/>
        <v>Brigitte Gaillard (Ratae)</v>
      </c>
      <c r="C41" s="47" t="s">
        <v>696</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668</v>
      </c>
      <c r="B42" s="47" t="str">
        <f t="shared" si="3"/>
        <v>Peter Kott (Ratae)</v>
      </c>
      <c r="C42" s="47" t="s">
        <v>697</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555</v>
      </c>
      <c r="D103" t="str" cm="1">
        <f t="array" aca="1" ref="D103" ca="1">MID(CELL("filename",B1),FIND("]",CELL("filename",B1))+1,255)</f>
        <v>Event_17</v>
      </c>
    </row>
    <row r="104" spans="1:11">
      <c r="B104" t="s">
        <v>556</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Event_18</v>
      </c>
    </row>
    <row r="104" spans="1:10">
      <c r="B104" t="s">
        <v>556</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Event_19</v>
      </c>
    </row>
    <row r="104" spans="1:10">
      <c r="B104" t="s">
        <v>556</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Event_20</v>
      </c>
    </row>
    <row r="104" spans="1:10">
      <c r="B104" t="s">
        <v>556</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Event_21</v>
      </c>
    </row>
    <row r="104" spans="1:10">
      <c r="B104" t="s">
        <v>556</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Event_22</v>
      </c>
    </row>
    <row r="104" spans="1:10">
      <c r="B104" t="s">
        <v>556</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Event_23</v>
      </c>
    </row>
    <row r="104" spans="1:10">
      <c r="B104" t="s">
        <v>556</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Event_24</v>
      </c>
    </row>
    <row r="104" spans="1:10">
      <c r="B104" t="s">
        <v>556</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Event_25</v>
      </c>
    </row>
    <row r="104" spans="1:10">
      <c r="B104" t="s">
        <v>556</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Event_26</v>
      </c>
    </row>
    <row r="104" spans="1:10">
      <c r="B104" t="s">
        <v>556</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Event_27</v>
      </c>
    </row>
    <row r="104" spans="1:10">
      <c r="B104" t="s">
        <v>556</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Event_28</v>
      </c>
    </row>
    <row r="104" spans="1:10">
      <c r="B104" t="s">
        <v>556</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2026-07-12T14:40:05Z</dcterms:modified>
</cp:coreProperties>
</file>