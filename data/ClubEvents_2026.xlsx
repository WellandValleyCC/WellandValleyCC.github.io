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B1C78679-70CF-40C0-9883-DE7760C20DD9}" xr6:coauthVersionLast="47" xr6:coauthVersionMax="47" xr10:uidLastSave="{00000000-0000-0000-0000-000000000000}"/>
  <bookViews>
    <workbookView xWindow="-98" yWindow="-98" windowWidth="28996" windowHeight="17475" firstSheet="18" activeTab="28"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NameLookup" sheetId="15" r:id="rId15"/>
    <sheet name="Calendar" sheetId="16" r:id="rId16"/>
    <sheet name="Leagues" sheetId="17" r:id="rId17"/>
    <sheet name="RoundRobinRiders" sheetId="18" r:id="rId18"/>
    <sheet name="Event_01" sheetId="19" r:id="rId19"/>
    <sheet name="Event_02" sheetId="20" r:id="rId20"/>
    <sheet name="Event_03" sheetId="21" r:id="rId21"/>
    <sheet name="Event_04" sheetId="22" r:id="rId22"/>
    <sheet name="Event_05" sheetId="23" r:id="rId23"/>
    <sheet name="Event_06" sheetId="24" r:id="rId24"/>
    <sheet name="Event_07" sheetId="25" r:id="rId25"/>
    <sheet name="Event_08" sheetId="26" r:id="rId26"/>
    <sheet name="Event_09" sheetId="27" r:id="rId27"/>
    <sheet name="Event_10" sheetId="28" r:id="rId28"/>
    <sheet name="Event_11" sheetId="29" r:id="rId29"/>
    <sheet name="Event_12" sheetId="30" r:id="rId30"/>
    <sheet name="Event_13" sheetId="31" r:id="rId31"/>
    <sheet name="Event_14" sheetId="32" r:id="rId32"/>
    <sheet name="Event_15" sheetId="33" r:id="rId33"/>
    <sheet name="Event_16" sheetId="34" r:id="rId34"/>
    <sheet name="Event_17" sheetId="35" r:id="rId35"/>
    <sheet name="Event_18" sheetId="36" r:id="rId36"/>
    <sheet name="Event_19" sheetId="37" r:id="rId37"/>
    <sheet name="Event_20" sheetId="38" r:id="rId38"/>
    <sheet name="Event_21" sheetId="39" r:id="rId39"/>
    <sheet name="Event_22" sheetId="40" r:id="rId40"/>
    <sheet name="Event_23" sheetId="41" r:id="rId41"/>
    <sheet name="Event_24" sheetId="42" r:id="rId42"/>
    <sheet name="Event_25" sheetId="43" r:id="rId43"/>
    <sheet name="Event_26" sheetId="44" r:id="rId44"/>
    <sheet name="Event_27" sheetId="45" r:id="rId45"/>
    <sheet name="Event_28" sheetId="46" r:id="rId46"/>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3" i="46" l="1"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B29" i="37"/>
  <c r="I28" i="37"/>
  <c r="B28" i="37"/>
  <c r="I27" i="37"/>
  <c r="B27" i="37"/>
  <c r="I26" i="37"/>
  <c r="B26" i="37"/>
  <c r="I25" i="37"/>
  <c r="B25" i="37"/>
  <c r="I24" i="37"/>
  <c r="B24" i="37"/>
  <c r="I23" i="37"/>
  <c r="B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C103" i="36" a="1"/>
  <c r="I101" i="36"/>
  <c r="B101" i="36"/>
  <c r="I100" i="36"/>
  <c r="B100" i="36"/>
  <c r="I99" i="36"/>
  <c r="B99" i="36"/>
  <c r="I98" i="36"/>
  <c r="B98" i="36"/>
  <c r="I97" i="36"/>
  <c r="B97" i="36"/>
  <c r="I96" i="36"/>
  <c r="B96" i="36"/>
  <c r="I95" i="36"/>
  <c r="B95" i="36"/>
  <c r="I94" i="36"/>
  <c r="B94" i="36"/>
  <c r="I93" i="36"/>
  <c r="B93" i="36"/>
  <c r="I92" i="36"/>
  <c r="B92" i="36"/>
  <c r="I91" i="36"/>
  <c r="B91" i="36"/>
  <c r="I90" i="36"/>
  <c r="B90" i="36"/>
  <c r="I89" i="36"/>
  <c r="B89" i="36"/>
  <c r="I88" i="36"/>
  <c r="B88" i="36"/>
  <c r="I87" i="36"/>
  <c r="B87" i="36"/>
  <c r="I86" i="36"/>
  <c r="B86" i="36"/>
  <c r="I85" i="36"/>
  <c r="B85" i="36"/>
  <c r="I84" i="36"/>
  <c r="B84" i="36"/>
  <c r="I83" i="36"/>
  <c r="B83" i="36"/>
  <c r="I82" i="36"/>
  <c r="B82" i="36"/>
  <c r="I81" i="36"/>
  <c r="B81" i="36"/>
  <c r="I80" i="36"/>
  <c r="B80" i="36"/>
  <c r="I79" i="36"/>
  <c r="B79" i="36"/>
  <c r="I78" i="36"/>
  <c r="B78" i="36"/>
  <c r="I77" i="36"/>
  <c r="B77" i="36"/>
  <c r="I76" i="36"/>
  <c r="B76" i="36"/>
  <c r="I75" i="36"/>
  <c r="B75" i="36"/>
  <c r="I74" i="36"/>
  <c r="B74" i="36"/>
  <c r="I73" i="36"/>
  <c r="B73" i="36"/>
  <c r="I72" i="36"/>
  <c r="B72" i="36"/>
  <c r="I71" i="36"/>
  <c r="B71" i="36"/>
  <c r="I70" i="36"/>
  <c r="B70" i="36"/>
  <c r="I69" i="36"/>
  <c r="B69" i="36"/>
  <c r="I68" i="36"/>
  <c r="B68" i="36"/>
  <c r="I67" i="36"/>
  <c r="B67" i="36"/>
  <c r="I66" i="36"/>
  <c r="B66" i="36"/>
  <c r="I65" i="36"/>
  <c r="B65" i="36"/>
  <c r="I64" i="36"/>
  <c r="B64" i="36"/>
  <c r="I63" i="36"/>
  <c r="B63" i="36"/>
  <c r="I62" i="36"/>
  <c r="B62" i="36"/>
  <c r="I61" i="36"/>
  <c r="B61" i="36"/>
  <c r="I60" i="36"/>
  <c r="B60" i="36"/>
  <c r="I59" i="36"/>
  <c r="B59" i="36"/>
  <c r="I58" i="36"/>
  <c r="B58" i="36"/>
  <c r="I57" i="36"/>
  <c r="B57" i="36"/>
  <c r="I56" i="36"/>
  <c r="B56" i="36"/>
  <c r="I55" i="36"/>
  <c r="B55" i="36"/>
  <c r="I54" i="36"/>
  <c r="B54" i="36"/>
  <c r="I53" i="36"/>
  <c r="B53" i="36"/>
  <c r="I52" i="36"/>
  <c r="B52" i="36"/>
  <c r="I51" i="36"/>
  <c r="B51" i="36"/>
  <c r="I50" i="36"/>
  <c r="B50" i="36"/>
  <c r="I49" i="36"/>
  <c r="B49" i="36"/>
  <c r="I48" i="36"/>
  <c r="B48" i="36"/>
  <c r="I47" i="36"/>
  <c r="B47" i="36"/>
  <c r="I46" i="36"/>
  <c r="B46" i="36"/>
  <c r="I45" i="36"/>
  <c r="B45" i="36"/>
  <c r="I44" i="36"/>
  <c r="B44" i="36"/>
  <c r="I43" i="36"/>
  <c r="B43" i="36"/>
  <c r="I42" i="36"/>
  <c r="B42" i="36"/>
  <c r="I41" i="36"/>
  <c r="B41" i="36"/>
  <c r="I40" i="36"/>
  <c r="B40" i="36"/>
  <c r="I39" i="36"/>
  <c r="B39" i="36"/>
  <c r="I38" i="36"/>
  <c r="B38" i="36"/>
  <c r="I37" i="36"/>
  <c r="B37" i="36"/>
  <c r="I36" i="36"/>
  <c r="B36" i="36"/>
  <c r="I35" i="36"/>
  <c r="B35" i="36"/>
  <c r="I34" i="36"/>
  <c r="B34" i="36"/>
  <c r="I33" i="36"/>
  <c r="B33" i="36"/>
  <c r="I32" i="36"/>
  <c r="B32" i="36"/>
  <c r="I31" i="36"/>
  <c r="B31" i="36"/>
  <c r="I30" i="36"/>
  <c r="B30" i="36"/>
  <c r="I29" i="36"/>
  <c r="B29" i="36"/>
  <c r="I28" i="36"/>
  <c r="B28" i="36"/>
  <c r="I27" i="36"/>
  <c r="B27" i="36"/>
  <c r="I26" i="36"/>
  <c r="B26" i="36"/>
  <c r="I25" i="36"/>
  <c r="B25" i="36"/>
  <c r="I24" i="36"/>
  <c r="B24" i="36"/>
  <c r="I23" i="36"/>
  <c r="B23" i="36"/>
  <c r="I22" i="36"/>
  <c r="B22" i="36"/>
  <c r="I21" i="36"/>
  <c r="B21" i="36"/>
  <c r="I20" i="36"/>
  <c r="B20" i="36"/>
  <c r="I19" i="36"/>
  <c r="B19" i="36"/>
  <c r="I18" i="36"/>
  <c r="B18" i="36"/>
  <c r="I17" i="36"/>
  <c r="B17" i="36"/>
  <c r="I16" i="36"/>
  <c r="B16" i="36"/>
  <c r="I15" i="36"/>
  <c r="B15" i="36"/>
  <c r="I14" i="36"/>
  <c r="B14" i="36"/>
  <c r="I13" i="36"/>
  <c r="B13" i="36"/>
  <c r="I12" i="36"/>
  <c r="B12" i="36"/>
  <c r="I11" i="36"/>
  <c r="B11" i="36"/>
  <c r="I10" i="36"/>
  <c r="B10" i="36"/>
  <c r="I9" i="36"/>
  <c r="B9" i="36"/>
  <c r="I8" i="36"/>
  <c r="B8" i="36"/>
  <c r="I7" i="36"/>
  <c r="B7" i="36"/>
  <c r="I6" i="36"/>
  <c r="B6" i="36"/>
  <c r="I5" i="36"/>
  <c r="B5" i="36"/>
  <c r="I4" i="36"/>
  <c r="B4" i="36"/>
  <c r="I3" i="36"/>
  <c r="B3" i="36"/>
  <c r="I2" i="36"/>
  <c r="B2" i="36"/>
  <c r="C103" i="35" a="1"/>
  <c r="I101" i="35"/>
  <c r="B101" i="35"/>
  <c r="I100" i="35"/>
  <c r="B100" i="35"/>
  <c r="I99" i="35"/>
  <c r="B99" i="35"/>
  <c r="I98" i="35"/>
  <c r="B98" i="35"/>
  <c r="I97" i="35"/>
  <c r="B97" i="35"/>
  <c r="I96" i="35"/>
  <c r="B96" i="35"/>
  <c r="I95" i="35"/>
  <c r="B95" i="35"/>
  <c r="I94" i="35"/>
  <c r="B94" i="35"/>
  <c r="I93" i="35"/>
  <c r="B93" i="35"/>
  <c r="I92" i="35"/>
  <c r="B92" i="35"/>
  <c r="I91" i="35"/>
  <c r="B91" i="35"/>
  <c r="I90" i="35"/>
  <c r="B90" i="35"/>
  <c r="I89" i="35"/>
  <c r="B89" i="35"/>
  <c r="I88" i="35"/>
  <c r="B88" i="35"/>
  <c r="I87" i="35"/>
  <c r="B87" i="35"/>
  <c r="I86" i="35"/>
  <c r="B86" i="35"/>
  <c r="I85" i="35"/>
  <c r="B85" i="35"/>
  <c r="I84" i="35"/>
  <c r="B84" i="35"/>
  <c r="I83" i="35"/>
  <c r="B83" i="35"/>
  <c r="I82" i="35"/>
  <c r="B82" i="35"/>
  <c r="I81" i="35"/>
  <c r="B81" i="35"/>
  <c r="I80" i="35"/>
  <c r="B80" i="35"/>
  <c r="I79" i="35"/>
  <c r="B79" i="35"/>
  <c r="I78" i="35"/>
  <c r="B78" i="35"/>
  <c r="I77" i="35"/>
  <c r="B77" i="35"/>
  <c r="I76" i="35"/>
  <c r="B76" i="35"/>
  <c r="I75" i="35"/>
  <c r="B75" i="35"/>
  <c r="I74" i="35"/>
  <c r="B74" i="35"/>
  <c r="I73" i="35"/>
  <c r="B73" i="35"/>
  <c r="I72" i="35"/>
  <c r="B72" i="35"/>
  <c r="I71" i="35"/>
  <c r="B71" i="35"/>
  <c r="I70" i="35"/>
  <c r="B70" i="35"/>
  <c r="I69" i="35"/>
  <c r="B69" i="35"/>
  <c r="I68" i="35"/>
  <c r="B68" i="35"/>
  <c r="I67" i="35"/>
  <c r="B67" i="35"/>
  <c r="I66" i="35"/>
  <c r="B66" i="35"/>
  <c r="I65" i="35"/>
  <c r="B65" i="35"/>
  <c r="I64" i="35"/>
  <c r="B64" i="35"/>
  <c r="I63" i="35"/>
  <c r="B63" i="35"/>
  <c r="I62" i="35"/>
  <c r="B62" i="35"/>
  <c r="I61" i="35"/>
  <c r="B61" i="35"/>
  <c r="I60" i="35"/>
  <c r="B60" i="35"/>
  <c r="I59" i="35"/>
  <c r="B59" i="35"/>
  <c r="I58" i="35"/>
  <c r="B58" i="35"/>
  <c r="I57" i="35"/>
  <c r="B57" i="35"/>
  <c r="I56" i="35"/>
  <c r="B56" i="35"/>
  <c r="I55" i="35"/>
  <c r="B55" i="35"/>
  <c r="I54" i="35"/>
  <c r="B54" i="35"/>
  <c r="I53" i="35"/>
  <c r="B53" i="35"/>
  <c r="I52" i="35"/>
  <c r="B52" i="35"/>
  <c r="I51" i="35"/>
  <c r="B51" i="35"/>
  <c r="I50" i="35"/>
  <c r="B50" i="35"/>
  <c r="I49" i="35"/>
  <c r="B49" i="35"/>
  <c r="I48" i="35"/>
  <c r="B48" i="35"/>
  <c r="I47" i="35"/>
  <c r="B47" i="35"/>
  <c r="I46" i="35"/>
  <c r="B46" i="35"/>
  <c r="I45" i="35"/>
  <c r="B45" i="35"/>
  <c r="I44" i="35"/>
  <c r="B44" i="35"/>
  <c r="I43" i="35"/>
  <c r="B43" i="35"/>
  <c r="I42" i="35"/>
  <c r="B42" i="35"/>
  <c r="I41" i="35"/>
  <c r="B41" i="35"/>
  <c r="I40" i="35"/>
  <c r="B40" i="35"/>
  <c r="I39" i="35"/>
  <c r="B39" i="35"/>
  <c r="I38" i="35"/>
  <c r="B38" i="35"/>
  <c r="I37" i="35"/>
  <c r="B37" i="35"/>
  <c r="I36" i="35"/>
  <c r="B36" i="35"/>
  <c r="I35" i="35"/>
  <c r="B35" i="35"/>
  <c r="I34" i="35"/>
  <c r="B34" i="35"/>
  <c r="I33" i="35"/>
  <c r="B33" i="35"/>
  <c r="I32" i="35"/>
  <c r="B32" i="35"/>
  <c r="I31" i="35"/>
  <c r="B31" i="35"/>
  <c r="I30" i="35"/>
  <c r="B30" i="35"/>
  <c r="I29" i="35"/>
  <c r="B29" i="35"/>
  <c r="I28" i="35"/>
  <c r="B28" i="35"/>
  <c r="I27" i="35"/>
  <c r="B27" i="35"/>
  <c r="I26" i="35"/>
  <c r="B26" i="35"/>
  <c r="I25" i="35"/>
  <c r="B25" i="35"/>
  <c r="I24" i="35"/>
  <c r="B24" i="35"/>
  <c r="I23" i="35"/>
  <c r="B23" i="35"/>
  <c r="I22" i="35"/>
  <c r="B22" i="35"/>
  <c r="I21" i="35"/>
  <c r="B21" i="35"/>
  <c r="I20" i="35"/>
  <c r="B20" i="35"/>
  <c r="I19" i="35"/>
  <c r="B19" i="35"/>
  <c r="I18" i="35"/>
  <c r="B18" i="35"/>
  <c r="I17" i="35"/>
  <c r="B17" i="35"/>
  <c r="I16" i="35"/>
  <c r="B16" i="35"/>
  <c r="I15" i="35"/>
  <c r="B15" i="35"/>
  <c r="I14" i="35"/>
  <c r="B14" i="35"/>
  <c r="I13" i="35"/>
  <c r="B13" i="35"/>
  <c r="I12" i="35"/>
  <c r="B12" i="35"/>
  <c r="I11" i="35"/>
  <c r="B11" i="35"/>
  <c r="I10" i="35"/>
  <c r="B10" i="35"/>
  <c r="I9" i="35"/>
  <c r="B9" i="35"/>
  <c r="I8" i="35"/>
  <c r="B8" i="35"/>
  <c r="I7" i="35"/>
  <c r="B7" i="35"/>
  <c r="I6" i="35"/>
  <c r="B6" i="35"/>
  <c r="I5" i="35"/>
  <c r="B5" i="35"/>
  <c r="I4" i="35"/>
  <c r="B4" i="35"/>
  <c r="I3" i="35"/>
  <c r="B3" i="35"/>
  <c r="I2" i="35"/>
  <c r="B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45" i="34"/>
  <c r="B45" i="34"/>
  <c r="I44" i="34"/>
  <c r="B44" i="34"/>
  <c r="I43" i="34"/>
  <c r="B43" i="34"/>
  <c r="I42" i="34"/>
  <c r="B42" i="34"/>
  <c r="I41" i="34"/>
  <c r="B41" i="34"/>
  <c r="I40" i="34"/>
  <c r="B40" i="34"/>
  <c r="I39" i="34"/>
  <c r="B39" i="34"/>
  <c r="I38" i="34"/>
  <c r="B38" i="34"/>
  <c r="I37" i="34"/>
  <c r="B37" i="34"/>
  <c r="I36" i="34"/>
  <c r="B36" i="34"/>
  <c r="I35" i="34"/>
  <c r="B35" i="34"/>
  <c r="I34" i="34"/>
  <c r="B34" i="34"/>
  <c r="I33" i="34"/>
  <c r="B33" i="34"/>
  <c r="I32" i="34"/>
  <c r="B32" i="34"/>
  <c r="I31" i="34"/>
  <c r="B31" i="34"/>
  <c r="I30" i="34"/>
  <c r="B30" i="34"/>
  <c r="I29" i="34"/>
  <c r="B29" i="34"/>
  <c r="I28" i="34"/>
  <c r="B28" i="34"/>
  <c r="I27" i="34"/>
  <c r="B27" i="34"/>
  <c r="I26" i="34"/>
  <c r="B26" i="34"/>
  <c r="I25" i="34"/>
  <c r="B25" i="34"/>
  <c r="I24" i="34"/>
  <c r="B24" i="34"/>
  <c r="I23" i="34"/>
  <c r="B23" i="34"/>
  <c r="I22" i="34"/>
  <c r="B22" i="34"/>
  <c r="I21" i="34"/>
  <c r="B21" i="34"/>
  <c r="I20" i="34"/>
  <c r="B20" i="34"/>
  <c r="I19" i="34"/>
  <c r="B19" i="34"/>
  <c r="I18" i="34"/>
  <c r="B18" i="34"/>
  <c r="I17" i="34"/>
  <c r="B17" i="34"/>
  <c r="I16" i="34"/>
  <c r="B16" i="34"/>
  <c r="I15" i="34"/>
  <c r="B15" i="34"/>
  <c r="I14" i="34"/>
  <c r="B14" i="34"/>
  <c r="I13" i="34"/>
  <c r="B13" i="34"/>
  <c r="I12" i="34"/>
  <c r="B12" i="34"/>
  <c r="I11" i="34"/>
  <c r="B11" i="34"/>
  <c r="I10" i="34"/>
  <c r="B10" i="34"/>
  <c r="I9" i="34"/>
  <c r="B9" i="34"/>
  <c r="I8" i="34"/>
  <c r="B8" i="34"/>
  <c r="I7" i="34"/>
  <c r="B7" i="34"/>
  <c r="I6" i="34"/>
  <c r="B6" i="34"/>
  <c r="I5" i="34"/>
  <c r="B5" i="34"/>
  <c r="I4" i="34"/>
  <c r="B4" i="34"/>
  <c r="I3" i="34"/>
  <c r="B3" i="34"/>
  <c r="I2" i="34"/>
  <c r="B2"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33" i="33"/>
  <c r="B33" i="33"/>
  <c r="I32" i="33"/>
  <c r="B32" i="33"/>
  <c r="I31" i="33"/>
  <c r="B31" i="33"/>
  <c r="I30" i="33"/>
  <c r="B30" i="33"/>
  <c r="I29" i="33"/>
  <c r="B29" i="33"/>
  <c r="I28" i="33"/>
  <c r="B28" i="33"/>
  <c r="I27" i="33"/>
  <c r="B27" i="33"/>
  <c r="I26" i="33"/>
  <c r="B26" i="33"/>
  <c r="I25" i="33"/>
  <c r="B25" i="33"/>
  <c r="I24" i="33"/>
  <c r="B24" i="33"/>
  <c r="I23" i="33"/>
  <c r="B23" i="33"/>
  <c r="I22" i="33"/>
  <c r="B22" i="33"/>
  <c r="I21" i="33"/>
  <c r="B21" i="33"/>
  <c r="I20" i="33"/>
  <c r="B20" i="33"/>
  <c r="I19" i="33"/>
  <c r="B19" i="33"/>
  <c r="I18" i="33"/>
  <c r="B18" i="33"/>
  <c r="I17" i="33"/>
  <c r="B17" i="33"/>
  <c r="I16" i="33"/>
  <c r="B16" i="33"/>
  <c r="I15" i="33"/>
  <c r="B15" i="33"/>
  <c r="I14" i="33"/>
  <c r="B14" i="33"/>
  <c r="I13" i="33"/>
  <c r="B13" i="33"/>
  <c r="I12" i="33"/>
  <c r="B12" i="33"/>
  <c r="I11" i="33"/>
  <c r="B11" i="33"/>
  <c r="I10" i="33"/>
  <c r="B10" i="33"/>
  <c r="I9" i="33"/>
  <c r="B9" i="33"/>
  <c r="I8" i="33"/>
  <c r="B8" i="33"/>
  <c r="I7" i="33"/>
  <c r="B7" i="33"/>
  <c r="I6" i="33"/>
  <c r="B6" i="33"/>
  <c r="I5" i="33"/>
  <c r="B5" i="33"/>
  <c r="I4" i="33"/>
  <c r="B4" i="33"/>
  <c r="I3" i="33"/>
  <c r="B3" i="33"/>
  <c r="I2" i="33"/>
  <c r="B2"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B51" i="32"/>
  <c r="I50" i="32"/>
  <c r="B50" i="32"/>
  <c r="I49" i="32"/>
  <c r="B49" i="32"/>
  <c r="I48" i="32"/>
  <c r="B48" i="32"/>
  <c r="I47" i="32"/>
  <c r="B47" i="32"/>
  <c r="I46" i="32"/>
  <c r="B46" i="32"/>
  <c r="I45" i="32"/>
  <c r="B45" i="32"/>
  <c r="I44" i="32"/>
  <c r="B44" i="32"/>
  <c r="I43" i="32"/>
  <c r="B43" i="32"/>
  <c r="I42" i="32"/>
  <c r="B42" i="32"/>
  <c r="I41" i="32"/>
  <c r="B41" i="32"/>
  <c r="I40" i="32"/>
  <c r="B40" i="32"/>
  <c r="I39" i="32"/>
  <c r="B39" i="32"/>
  <c r="I38" i="32"/>
  <c r="B38" i="32"/>
  <c r="I37" i="32"/>
  <c r="B37" i="32"/>
  <c r="I36" i="32"/>
  <c r="B36" i="32"/>
  <c r="I35" i="32"/>
  <c r="B35" i="32"/>
  <c r="I34" i="32"/>
  <c r="B34" i="32"/>
  <c r="I33" i="32"/>
  <c r="B33" i="32"/>
  <c r="I32" i="32"/>
  <c r="B32" i="32"/>
  <c r="I31" i="32"/>
  <c r="B31" i="32"/>
  <c r="I30" i="32"/>
  <c r="B30" i="32"/>
  <c r="I29" i="32"/>
  <c r="B29" i="32"/>
  <c r="I28" i="32"/>
  <c r="B28" i="32"/>
  <c r="I27" i="32"/>
  <c r="B27" i="32"/>
  <c r="I26" i="32"/>
  <c r="B26" i="32"/>
  <c r="I25" i="32"/>
  <c r="B25" i="32"/>
  <c r="I24" i="32"/>
  <c r="B24" i="32"/>
  <c r="I23" i="32"/>
  <c r="B23" i="32"/>
  <c r="I22" i="32"/>
  <c r="B22" i="32"/>
  <c r="I21" i="32"/>
  <c r="B21" i="32"/>
  <c r="I20" i="32"/>
  <c r="B20" i="32"/>
  <c r="I19" i="32"/>
  <c r="B19" i="32"/>
  <c r="I18" i="32"/>
  <c r="B18" i="32"/>
  <c r="I17" i="32"/>
  <c r="B17" i="32"/>
  <c r="I16" i="32"/>
  <c r="B16" i="32"/>
  <c r="I15" i="32"/>
  <c r="B15" i="32"/>
  <c r="I14" i="32"/>
  <c r="B14" i="32"/>
  <c r="I13" i="32"/>
  <c r="B13" i="32"/>
  <c r="I12" i="32"/>
  <c r="B12" i="32"/>
  <c r="I11" i="32"/>
  <c r="B11" i="32"/>
  <c r="I10" i="32"/>
  <c r="B10" i="32"/>
  <c r="I9" i="32"/>
  <c r="B9" i="32"/>
  <c r="I8" i="32"/>
  <c r="B8" i="32"/>
  <c r="I7" i="32"/>
  <c r="B7" i="32"/>
  <c r="I6" i="32"/>
  <c r="B6" i="32"/>
  <c r="I5" i="32"/>
  <c r="B5" i="32"/>
  <c r="I4" i="32"/>
  <c r="B4" i="32"/>
  <c r="I3" i="32"/>
  <c r="B3" i="32"/>
  <c r="I2" i="32"/>
  <c r="B2" i="32"/>
  <c r="C103" i="31" a="1"/>
  <c r="I101" i="31"/>
  <c r="B101" i="31"/>
  <c r="I100" i="31"/>
  <c r="B100" i="31"/>
  <c r="I99" i="31"/>
  <c r="B99" i="31"/>
  <c r="I98" i="31"/>
  <c r="B98" i="31"/>
  <c r="I97" i="31"/>
  <c r="B97" i="31"/>
  <c r="I96" i="31"/>
  <c r="B96" i="31"/>
  <c r="I95" i="31"/>
  <c r="B95" i="31"/>
  <c r="I94" i="31"/>
  <c r="B94" i="31"/>
  <c r="I93" i="31"/>
  <c r="B93" i="31"/>
  <c r="I92" i="31"/>
  <c r="B92" i="31"/>
  <c r="I91" i="31"/>
  <c r="B91" i="31"/>
  <c r="I90" i="31"/>
  <c r="B90" i="31"/>
  <c r="I89" i="31"/>
  <c r="B89" i="31"/>
  <c r="I88" i="31"/>
  <c r="B88" i="31"/>
  <c r="I87" i="31"/>
  <c r="B87" i="31"/>
  <c r="I86" i="31"/>
  <c r="B86" i="31"/>
  <c r="I85" i="31"/>
  <c r="B85" i="31"/>
  <c r="I84" i="31"/>
  <c r="B84" i="31"/>
  <c r="I83" i="31"/>
  <c r="B83" i="31"/>
  <c r="I82" i="31"/>
  <c r="B82" i="31"/>
  <c r="I81" i="31"/>
  <c r="B81" i="31"/>
  <c r="I80" i="31"/>
  <c r="B80" i="31"/>
  <c r="I79" i="31"/>
  <c r="B79" i="31"/>
  <c r="I78" i="31"/>
  <c r="B78" i="31"/>
  <c r="I77" i="31"/>
  <c r="B77" i="31"/>
  <c r="I76" i="31"/>
  <c r="B76" i="31"/>
  <c r="I75" i="31"/>
  <c r="B75" i="31"/>
  <c r="I74" i="31"/>
  <c r="B74" i="31"/>
  <c r="I73" i="31"/>
  <c r="B73" i="31"/>
  <c r="I72" i="31"/>
  <c r="B72" i="31"/>
  <c r="I71" i="31"/>
  <c r="B71" i="31"/>
  <c r="I70" i="31"/>
  <c r="B70" i="31"/>
  <c r="I69" i="31"/>
  <c r="B69" i="31"/>
  <c r="I68" i="31"/>
  <c r="B68" i="31"/>
  <c r="I67" i="31"/>
  <c r="B67" i="31"/>
  <c r="I66" i="31"/>
  <c r="B66" i="31"/>
  <c r="I65" i="31"/>
  <c r="B65" i="31"/>
  <c r="I64" i="31"/>
  <c r="B64" i="31"/>
  <c r="I63" i="31"/>
  <c r="B63" i="31"/>
  <c r="I62" i="31"/>
  <c r="B62" i="31"/>
  <c r="I61" i="31"/>
  <c r="B61" i="31"/>
  <c r="I60" i="31"/>
  <c r="B60" i="31"/>
  <c r="I59" i="31"/>
  <c r="B59" i="31"/>
  <c r="I58" i="31"/>
  <c r="B58" i="31"/>
  <c r="I57" i="31"/>
  <c r="B57" i="31"/>
  <c r="I56" i="31"/>
  <c r="B56" i="31"/>
  <c r="I55" i="31"/>
  <c r="B55" i="31"/>
  <c r="I54" i="31"/>
  <c r="B54" i="31"/>
  <c r="I53" i="31"/>
  <c r="B53" i="31"/>
  <c r="I52" i="31"/>
  <c r="B52" i="31"/>
  <c r="I51" i="31"/>
  <c r="B51" i="31"/>
  <c r="I50" i="31"/>
  <c r="B50" i="31"/>
  <c r="I49" i="31"/>
  <c r="B49" i="31"/>
  <c r="I48" i="31"/>
  <c r="B48" i="31"/>
  <c r="I47" i="31"/>
  <c r="B47" i="31"/>
  <c r="I46" i="31"/>
  <c r="B46" i="31"/>
  <c r="I45" i="31"/>
  <c r="B45" i="31"/>
  <c r="I44" i="31"/>
  <c r="B44" i="31"/>
  <c r="I43" i="31"/>
  <c r="B43" i="31"/>
  <c r="I42" i="31"/>
  <c r="B42" i="31"/>
  <c r="I41" i="31"/>
  <c r="B41" i="31"/>
  <c r="I40" i="31"/>
  <c r="B40" i="31"/>
  <c r="I39" i="31"/>
  <c r="B39" i="31"/>
  <c r="I38" i="31"/>
  <c r="B38" i="31"/>
  <c r="I37" i="31"/>
  <c r="B37" i="31"/>
  <c r="I36" i="31"/>
  <c r="B36" i="31"/>
  <c r="I35" i="31"/>
  <c r="B35" i="31"/>
  <c r="I34" i="31"/>
  <c r="B34" i="31"/>
  <c r="I33" i="31"/>
  <c r="B33" i="31"/>
  <c r="I32" i="31"/>
  <c r="B32" i="31"/>
  <c r="I31" i="31"/>
  <c r="B31" i="31"/>
  <c r="I30" i="31"/>
  <c r="B30" i="31"/>
  <c r="I29" i="31"/>
  <c r="B29" i="31"/>
  <c r="I28" i="31"/>
  <c r="B28" i="31"/>
  <c r="I27" i="31"/>
  <c r="B27" i="31"/>
  <c r="I26" i="31"/>
  <c r="B26" i="31"/>
  <c r="I25" i="31"/>
  <c r="B25" i="31"/>
  <c r="I24" i="31"/>
  <c r="B24" i="31"/>
  <c r="I23" i="31"/>
  <c r="B23" i="31"/>
  <c r="I22" i="31"/>
  <c r="B22" i="31"/>
  <c r="I21" i="31"/>
  <c r="B21" i="31"/>
  <c r="I20" i="31"/>
  <c r="B20" i="31"/>
  <c r="I19" i="31"/>
  <c r="B19" i="31"/>
  <c r="I18" i="31"/>
  <c r="B18" i="31"/>
  <c r="I17" i="31"/>
  <c r="B17" i="31"/>
  <c r="I16" i="31"/>
  <c r="B16" i="31"/>
  <c r="I15" i="31"/>
  <c r="B15" i="31"/>
  <c r="I14" i="31"/>
  <c r="B14" i="31"/>
  <c r="I13" i="31"/>
  <c r="B13" i="31"/>
  <c r="I12" i="31"/>
  <c r="B12" i="31"/>
  <c r="I11" i="31"/>
  <c r="B11" i="31"/>
  <c r="I10" i="31"/>
  <c r="B10" i="31"/>
  <c r="I9" i="31"/>
  <c r="B9" i="31"/>
  <c r="I8" i="31"/>
  <c r="B8" i="31"/>
  <c r="I7" i="31"/>
  <c r="B7" i="31"/>
  <c r="I6" i="31"/>
  <c r="B6" i="31"/>
  <c r="I5" i="31"/>
  <c r="B5" i="31"/>
  <c r="I4" i="31"/>
  <c r="B4" i="31"/>
  <c r="I3" i="31"/>
  <c r="B3" i="31"/>
  <c r="I2" i="31"/>
  <c r="B2" i="31"/>
  <c r="C103" i="30" a="1"/>
  <c r="I101" i="30"/>
  <c r="B101" i="30"/>
  <c r="I100" i="30"/>
  <c r="B100" i="30"/>
  <c r="I99" i="30"/>
  <c r="B99" i="30"/>
  <c r="I98" i="30"/>
  <c r="B98" i="30"/>
  <c r="I97" i="30"/>
  <c r="B97" i="30"/>
  <c r="I96" i="30"/>
  <c r="B96" i="30"/>
  <c r="I95" i="30"/>
  <c r="B95" i="30"/>
  <c r="I94" i="30"/>
  <c r="B94" i="30"/>
  <c r="I93" i="30"/>
  <c r="B93" i="30"/>
  <c r="I92" i="30"/>
  <c r="B92" i="30"/>
  <c r="I91" i="30"/>
  <c r="B91" i="30"/>
  <c r="I90" i="30"/>
  <c r="B90" i="30"/>
  <c r="I89" i="30"/>
  <c r="B89" i="30"/>
  <c r="I88" i="30"/>
  <c r="B88" i="30"/>
  <c r="I87" i="30"/>
  <c r="B87" i="30"/>
  <c r="I86" i="30"/>
  <c r="B86" i="30"/>
  <c r="I85" i="30"/>
  <c r="B85" i="30"/>
  <c r="I84" i="30"/>
  <c r="B84" i="30"/>
  <c r="I83" i="30"/>
  <c r="B83" i="30"/>
  <c r="I82" i="30"/>
  <c r="B82" i="30"/>
  <c r="I81" i="30"/>
  <c r="B81" i="30"/>
  <c r="I80" i="30"/>
  <c r="B80" i="30"/>
  <c r="I79" i="30"/>
  <c r="B79" i="30"/>
  <c r="I78" i="30"/>
  <c r="B78" i="30"/>
  <c r="I77" i="30"/>
  <c r="B77" i="30"/>
  <c r="I76" i="30"/>
  <c r="B76" i="30"/>
  <c r="I75" i="30"/>
  <c r="B75" i="30"/>
  <c r="I74" i="30"/>
  <c r="B74" i="30"/>
  <c r="I73" i="30"/>
  <c r="B73" i="30"/>
  <c r="I72" i="30"/>
  <c r="B72" i="30"/>
  <c r="I71" i="30"/>
  <c r="B71" i="30"/>
  <c r="I70" i="30"/>
  <c r="B70" i="30"/>
  <c r="I69" i="30"/>
  <c r="B69" i="30"/>
  <c r="I68" i="30"/>
  <c r="B68" i="30"/>
  <c r="I67" i="30"/>
  <c r="B67" i="30"/>
  <c r="I66" i="30"/>
  <c r="B66" i="30"/>
  <c r="I65" i="30"/>
  <c r="B65" i="30"/>
  <c r="I64" i="30"/>
  <c r="B64" i="30"/>
  <c r="I63" i="30"/>
  <c r="B63" i="30"/>
  <c r="I62" i="30"/>
  <c r="B62" i="30"/>
  <c r="I61" i="30"/>
  <c r="B61" i="30"/>
  <c r="I60" i="30"/>
  <c r="B60" i="30"/>
  <c r="I59" i="30"/>
  <c r="B59" i="30"/>
  <c r="I58" i="30"/>
  <c r="B58" i="30"/>
  <c r="I57" i="30"/>
  <c r="B57" i="30"/>
  <c r="I56" i="30"/>
  <c r="B56" i="30"/>
  <c r="I55" i="30"/>
  <c r="B55" i="30"/>
  <c r="I54" i="30"/>
  <c r="B54" i="30"/>
  <c r="I53" i="30"/>
  <c r="B53" i="30"/>
  <c r="I52" i="30"/>
  <c r="B52" i="30"/>
  <c r="I51" i="30"/>
  <c r="B51" i="30"/>
  <c r="I50" i="30"/>
  <c r="B50" i="30"/>
  <c r="I49" i="30"/>
  <c r="B49" i="30"/>
  <c r="I48" i="30"/>
  <c r="B48" i="30"/>
  <c r="I47" i="30"/>
  <c r="B47" i="30"/>
  <c r="I46" i="30"/>
  <c r="B46" i="30"/>
  <c r="I45" i="30"/>
  <c r="B45" i="30"/>
  <c r="I44" i="30"/>
  <c r="B44" i="30"/>
  <c r="I43" i="30"/>
  <c r="B43" i="30"/>
  <c r="I42" i="30"/>
  <c r="B42" i="30"/>
  <c r="I41" i="30"/>
  <c r="B41" i="30"/>
  <c r="I40" i="30"/>
  <c r="B40" i="30"/>
  <c r="I39" i="30"/>
  <c r="B39" i="30"/>
  <c r="I38" i="30"/>
  <c r="B38" i="30"/>
  <c r="I37" i="30"/>
  <c r="B37" i="30"/>
  <c r="I36" i="30"/>
  <c r="B36" i="30"/>
  <c r="I35" i="30"/>
  <c r="B35" i="30"/>
  <c r="I34" i="30"/>
  <c r="B34" i="30"/>
  <c r="I33" i="30"/>
  <c r="B33" i="30"/>
  <c r="I32" i="30"/>
  <c r="B32" i="30"/>
  <c r="I31" i="30"/>
  <c r="B31" i="30"/>
  <c r="I30" i="30"/>
  <c r="B30" i="30"/>
  <c r="I29" i="30"/>
  <c r="B29" i="30"/>
  <c r="I28" i="30"/>
  <c r="B28" i="30"/>
  <c r="I27" i="30"/>
  <c r="B27" i="30"/>
  <c r="I26" i="30"/>
  <c r="B26" i="30"/>
  <c r="I25" i="30"/>
  <c r="B25" i="30"/>
  <c r="I24" i="30"/>
  <c r="B24" i="30"/>
  <c r="I23" i="30"/>
  <c r="B23" i="30"/>
  <c r="I22" i="30"/>
  <c r="B22" i="30"/>
  <c r="I21" i="30"/>
  <c r="B21" i="30"/>
  <c r="I20" i="30"/>
  <c r="B20" i="30"/>
  <c r="I19" i="30"/>
  <c r="B19" i="30"/>
  <c r="I18" i="30"/>
  <c r="B18" i="30"/>
  <c r="I17" i="30"/>
  <c r="B17" i="30"/>
  <c r="I16" i="30"/>
  <c r="B16" i="30"/>
  <c r="I15" i="30"/>
  <c r="B15" i="30"/>
  <c r="I14" i="30"/>
  <c r="B14" i="30"/>
  <c r="I13" i="30"/>
  <c r="B13" i="30"/>
  <c r="I12" i="30"/>
  <c r="B12" i="30"/>
  <c r="I11" i="30"/>
  <c r="B11" i="30"/>
  <c r="I10" i="30"/>
  <c r="B10" i="30"/>
  <c r="I9" i="30"/>
  <c r="B9" i="30"/>
  <c r="I8" i="30"/>
  <c r="B8" i="30"/>
  <c r="I7" i="30"/>
  <c r="B7" i="30"/>
  <c r="I6" i="30"/>
  <c r="B6" i="30"/>
  <c r="I5" i="30"/>
  <c r="B5" i="30"/>
  <c r="I4" i="30"/>
  <c r="B4" i="30"/>
  <c r="I3" i="30"/>
  <c r="B3" i="30"/>
  <c r="I2" i="30"/>
  <c r="B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B52" i="29"/>
  <c r="I51" i="29"/>
  <c r="B51" i="29"/>
  <c r="I50" i="29"/>
  <c r="B50" i="29"/>
  <c r="I49" i="29"/>
  <c r="B49" i="29"/>
  <c r="I48" i="29"/>
  <c r="B48" i="29"/>
  <c r="I47" i="29"/>
  <c r="B47" i="29"/>
  <c r="I46" i="29"/>
  <c r="B46" i="29"/>
  <c r="I45" i="29"/>
  <c r="B45" i="29"/>
  <c r="I44" i="29"/>
  <c r="B44" i="29"/>
  <c r="I43" i="29"/>
  <c r="B43" i="29"/>
  <c r="I42" i="29"/>
  <c r="B42" i="29"/>
  <c r="I41" i="29"/>
  <c r="B41" i="29"/>
  <c r="I40" i="29"/>
  <c r="B40" i="29"/>
  <c r="I39" i="29"/>
  <c r="B39" i="29"/>
  <c r="I38" i="29"/>
  <c r="I37" i="29"/>
  <c r="B37" i="29"/>
  <c r="I36" i="29"/>
  <c r="B36" i="29"/>
  <c r="I35" i="29"/>
  <c r="B35" i="29"/>
  <c r="I34" i="29"/>
  <c r="B34" i="29"/>
  <c r="I33" i="29"/>
  <c r="B33" i="29"/>
  <c r="I32" i="29"/>
  <c r="B32" i="29"/>
  <c r="I31" i="29"/>
  <c r="B31" i="29"/>
  <c r="I30" i="29"/>
  <c r="B30" i="29"/>
  <c r="I29" i="29"/>
  <c r="B29" i="29"/>
  <c r="I28" i="29"/>
  <c r="B28" i="29"/>
  <c r="I27" i="29"/>
  <c r="B27" i="29"/>
  <c r="I26" i="29"/>
  <c r="B26" i="29"/>
  <c r="I25" i="29"/>
  <c r="B25" i="29"/>
  <c r="I24" i="29"/>
  <c r="B24" i="29"/>
  <c r="I23" i="29"/>
  <c r="B23" i="29"/>
  <c r="I22" i="29"/>
  <c r="B22" i="29"/>
  <c r="I21" i="29"/>
  <c r="B21" i="29"/>
  <c r="I20" i="29"/>
  <c r="B20" i="29"/>
  <c r="I19" i="29"/>
  <c r="B19" i="29"/>
  <c r="I18" i="29"/>
  <c r="B18" i="29"/>
  <c r="I17" i="29"/>
  <c r="B17" i="29"/>
  <c r="I16" i="29"/>
  <c r="B16" i="29"/>
  <c r="I15" i="29"/>
  <c r="B15" i="29"/>
  <c r="I14" i="29"/>
  <c r="B14" i="29"/>
  <c r="I13" i="29"/>
  <c r="B13" i="29"/>
  <c r="I12" i="29"/>
  <c r="B12" i="29"/>
  <c r="I11" i="29"/>
  <c r="B11" i="29"/>
  <c r="I10" i="29"/>
  <c r="B10" i="29"/>
  <c r="I9" i="29"/>
  <c r="B9" i="29"/>
  <c r="I8" i="29"/>
  <c r="B8" i="29"/>
  <c r="I7" i="29"/>
  <c r="B7" i="29"/>
  <c r="I6" i="29"/>
  <c r="B6" i="29"/>
  <c r="I5" i="29"/>
  <c r="B5" i="29"/>
  <c r="I4" i="29"/>
  <c r="B4" i="29"/>
  <c r="I3" i="29"/>
  <c r="B3" i="29"/>
  <c r="I2" i="29"/>
  <c r="B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89" i="18"/>
  <c r="C88" i="18"/>
  <c r="C87" i="18"/>
  <c r="C86" i="18"/>
  <c r="C85" i="18"/>
  <c r="C84" i="18"/>
  <c r="C83" i="18"/>
  <c r="C82" i="18"/>
  <c r="C81" i="18"/>
  <c r="C80" i="18"/>
  <c r="C79" i="18"/>
  <c r="C78" i="18"/>
  <c r="C77" i="18"/>
  <c r="C76" i="18"/>
  <c r="C75" i="18"/>
  <c r="C74" i="18"/>
  <c r="C73" i="18"/>
  <c r="C72" i="18"/>
  <c r="C71" i="18"/>
  <c r="C70" i="18"/>
  <c r="C69" i="18"/>
  <c r="C68" i="18"/>
  <c r="C67" i="18"/>
  <c r="C36" i="18"/>
  <c r="C66" i="18"/>
  <c r="C65" i="18"/>
  <c r="C64" i="18"/>
  <c r="C63" i="18"/>
  <c r="C62" i="18"/>
  <c r="C61" i="18"/>
  <c r="C60" i="18"/>
  <c r="C59" i="18"/>
  <c r="C58" i="18"/>
  <c r="C57" i="18"/>
  <c r="C56" i="18"/>
  <c r="C55" i="18"/>
  <c r="C54" i="18"/>
  <c r="C53" i="18"/>
  <c r="C52" i="18"/>
  <c r="C51" i="18"/>
  <c r="C50" i="18"/>
  <c r="C49" i="18"/>
  <c r="C48" i="18"/>
  <c r="C47" i="18"/>
  <c r="C46" i="18"/>
  <c r="C45" i="18"/>
  <c r="C44" i="18"/>
  <c r="C43" i="18"/>
  <c r="C42" i="18"/>
  <c r="C41" i="18"/>
  <c r="C40" i="18"/>
  <c r="C39" i="18"/>
  <c r="C38" i="18"/>
  <c r="C37" i="18"/>
  <c r="C35" i="18"/>
  <c r="C34" i="18"/>
  <c r="C33" i="18"/>
  <c r="C32" i="18"/>
  <c r="C31" i="18"/>
  <c r="C30" i="18"/>
  <c r="C29" i="18"/>
  <c r="C28" i="18"/>
  <c r="C27" i="18"/>
  <c r="C26" i="18"/>
  <c r="C25" i="18"/>
  <c r="C24" i="18"/>
  <c r="C23" i="18"/>
  <c r="C22" i="18"/>
  <c r="C21" i="18"/>
  <c r="C20" i="18"/>
  <c r="C19" i="18"/>
  <c r="C18" i="18"/>
  <c r="C17" i="18"/>
  <c r="C16" i="18"/>
  <c r="C15" i="18"/>
  <c r="C14" i="18"/>
  <c r="C13" i="18"/>
  <c r="C12" i="18"/>
  <c r="C11" i="18"/>
  <c r="C10" i="18"/>
  <c r="C9" i="18"/>
  <c r="C8" i="18"/>
  <c r="C7" i="18"/>
  <c r="C6" i="18"/>
  <c r="C5" i="18"/>
  <c r="C4"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A2" i="15"/>
  <c r="M28" i="16"/>
  <c r="L28" i="16"/>
  <c r="K28" i="16"/>
  <c r="J28" i="16"/>
  <c r="H28" i="16"/>
  <c r="M27" i="16"/>
  <c r="L27" i="16"/>
  <c r="K27" i="16"/>
  <c r="J27" i="16"/>
  <c r="H27" i="16"/>
  <c r="L26" i="16"/>
  <c r="K26" i="16"/>
  <c r="J26" i="16"/>
  <c r="H26" i="16"/>
  <c r="L25" i="16"/>
  <c r="K25" i="16"/>
  <c r="J25" i="16"/>
  <c r="H25" i="16"/>
  <c r="L24" i="16"/>
  <c r="H24" i="16"/>
  <c r="L23" i="16"/>
  <c r="K23" i="16"/>
  <c r="J23" i="16"/>
  <c r="H23" i="16"/>
  <c r="L22" i="16"/>
  <c r="K22" i="16"/>
  <c r="J22" i="16"/>
  <c r="H22" i="16"/>
  <c r="L21" i="16"/>
  <c r="K21" i="16"/>
  <c r="J21" i="16"/>
  <c r="H21" i="16"/>
  <c r="L20" i="16"/>
  <c r="K20" i="16"/>
  <c r="J20" i="16"/>
  <c r="H20" i="16"/>
  <c r="L19" i="16"/>
  <c r="K19" i="16"/>
  <c r="J19" i="16"/>
  <c r="H19" i="16"/>
  <c r="L18" i="16"/>
  <c r="K18" i="16"/>
  <c r="J18" i="16"/>
  <c r="H18" i="16"/>
  <c r="L17" i="16"/>
  <c r="K17" i="16"/>
  <c r="J17" i="16"/>
  <c r="H17" i="16"/>
  <c r="L16" i="16"/>
  <c r="K16" i="16"/>
  <c r="J16" i="16"/>
  <c r="H16" i="16"/>
  <c r="L15" i="16"/>
  <c r="K15" i="16"/>
  <c r="J15" i="16"/>
  <c r="H15" i="16"/>
  <c r="L14" i="16"/>
  <c r="K14" i="16"/>
  <c r="H14" i="16"/>
  <c r="M13" i="16"/>
  <c r="L13" i="16"/>
  <c r="K13" i="16"/>
  <c r="J13" i="16"/>
  <c r="H13" i="16"/>
  <c r="M12" i="16"/>
  <c r="L12" i="16"/>
  <c r="K12" i="16"/>
  <c r="J12" i="16"/>
  <c r="H12" i="16"/>
  <c r="M11" i="16"/>
  <c r="L11" i="16"/>
  <c r="K11" i="16"/>
  <c r="J11" i="16"/>
  <c r="H11" i="16"/>
  <c r="M10" i="16"/>
  <c r="L10" i="16"/>
  <c r="K10" i="16"/>
  <c r="J10" i="16"/>
  <c r="H10" i="16"/>
  <c r="M9" i="16"/>
  <c r="L9" i="16"/>
  <c r="K9" i="16"/>
  <c r="J9" i="16"/>
  <c r="H9" i="16"/>
  <c r="M8" i="16"/>
  <c r="L8" i="16"/>
  <c r="H8" i="16"/>
  <c r="F8" i="16"/>
  <c r="M7" i="16"/>
  <c r="L7" i="16"/>
  <c r="K7" i="16"/>
  <c r="J7" i="16"/>
  <c r="H7" i="16"/>
  <c r="M6" i="16"/>
  <c r="L6" i="16"/>
  <c r="K6" i="16"/>
  <c r="J6" i="16"/>
  <c r="H6" i="16"/>
  <c r="M5" i="16"/>
  <c r="L5" i="16"/>
  <c r="K5" i="16"/>
  <c r="J5" i="16"/>
  <c r="H5" i="16"/>
  <c r="M4" i="16"/>
  <c r="L4" i="16"/>
  <c r="K4" i="16"/>
  <c r="J4" i="16"/>
  <c r="H4" i="16"/>
  <c r="L3" i="16"/>
  <c r="K3" i="16"/>
  <c r="J3" i="16"/>
  <c r="H3" i="16"/>
  <c r="A3" i="16"/>
  <c r="N2" i="16"/>
  <c r="L2" i="16"/>
  <c r="K2" i="16"/>
  <c r="J2" i="16"/>
  <c r="H2" i="16"/>
  <c r="B38" i="29"/>
  <c r="H89" i="40"/>
  <c r="H87" i="40"/>
  <c r="J48" i="45"/>
  <c r="H94" i="31"/>
  <c r="H33" i="39"/>
  <c r="J79" i="37"/>
  <c r="J64" i="31"/>
  <c r="J40" i="42"/>
  <c r="J87" i="40"/>
  <c r="J33" i="39"/>
  <c r="J25" i="36"/>
  <c r="H75" i="34"/>
  <c r="J17" i="33"/>
  <c r="J10" i="30"/>
  <c r="H10" i="30"/>
  <c r="J85" i="20"/>
  <c r="H64" i="31"/>
  <c r="J56" i="28"/>
  <c r="J101" i="46"/>
  <c r="H101" i="46"/>
  <c r="J100" i="46"/>
  <c r="H100" i="46"/>
  <c r="J99" i="46"/>
  <c r="H99" i="46"/>
  <c r="J98" i="46"/>
  <c r="H98" i="46"/>
  <c r="J97" i="46"/>
  <c r="H97" i="46"/>
  <c r="J96" i="46"/>
  <c r="H96" i="46"/>
  <c r="J95" i="46"/>
  <c r="H95" i="46"/>
  <c r="J94" i="46"/>
  <c r="H94" i="46"/>
  <c r="J93" i="46"/>
  <c r="H93" i="46"/>
  <c r="J92" i="46"/>
  <c r="H92" i="46"/>
  <c r="J91" i="46"/>
  <c r="H91" i="46"/>
  <c r="J90" i="46"/>
  <c r="H90" i="46"/>
  <c r="J89" i="46"/>
  <c r="H89" i="46"/>
  <c r="J88" i="46"/>
  <c r="H88" i="46"/>
  <c r="J87" i="46"/>
  <c r="H87" i="46"/>
  <c r="J86" i="46"/>
  <c r="H86" i="46"/>
  <c r="J85" i="46"/>
  <c r="H85" i="46"/>
  <c r="J84" i="46"/>
  <c r="H84" i="46"/>
  <c r="J83" i="46"/>
  <c r="H83" i="46"/>
  <c r="J82" i="46"/>
  <c r="H82" i="46"/>
  <c r="J81" i="46"/>
  <c r="H81" i="46"/>
  <c r="J80" i="46"/>
  <c r="H80" i="46"/>
  <c r="J79" i="46"/>
  <c r="H79" i="46"/>
  <c r="J78" i="46"/>
  <c r="H78" i="46"/>
  <c r="J77" i="46"/>
  <c r="H77" i="46"/>
  <c r="J76" i="46"/>
  <c r="H76" i="46"/>
  <c r="J75" i="46"/>
  <c r="H75" i="46"/>
  <c r="J74" i="46"/>
  <c r="H74" i="46"/>
  <c r="J73" i="46"/>
  <c r="H73" i="46"/>
  <c r="J72" i="46"/>
  <c r="H72" i="46"/>
  <c r="J71" i="46"/>
  <c r="H71" i="46"/>
  <c r="J70" i="46"/>
  <c r="H70" i="46"/>
  <c r="J69" i="46"/>
  <c r="H69" i="46"/>
  <c r="J68" i="46"/>
  <c r="H68" i="46"/>
  <c r="J67" i="46"/>
  <c r="H67" i="46"/>
  <c r="J66" i="46"/>
  <c r="H66" i="46"/>
  <c r="J65" i="46"/>
  <c r="H65" i="46"/>
  <c r="J64" i="46"/>
  <c r="H64" i="46"/>
  <c r="J63" i="46"/>
  <c r="H63" i="46"/>
  <c r="J62" i="46"/>
  <c r="H62" i="46"/>
  <c r="J61" i="46"/>
  <c r="H61" i="46"/>
  <c r="J60" i="46"/>
  <c r="H60" i="46"/>
  <c r="J59" i="46"/>
  <c r="H59" i="46"/>
  <c r="J58" i="46"/>
  <c r="H58" i="46"/>
  <c r="J57" i="46"/>
  <c r="H57" i="46"/>
  <c r="J56" i="46"/>
  <c r="H56" i="46"/>
  <c r="J55" i="46"/>
  <c r="H55" i="46"/>
  <c r="J54" i="46"/>
  <c r="H54" i="46"/>
  <c r="J53" i="46"/>
  <c r="H53" i="46"/>
  <c r="J52" i="46"/>
  <c r="H52" i="46"/>
  <c r="J51" i="46"/>
  <c r="H51" i="46"/>
  <c r="J50" i="46"/>
  <c r="H50" i="46"/>
  <c r="J49" i="46"/>
  <c r="H49" i="46"/>
  <c r="J48" i="46"/>
  <c r="H48" i="46"/>
  <c r="J47" i="46"/>
  <c r="H47" i="46"/>
  <c r="J46" i="46"/>
  <c r="H46" i="46"/>
  <c r="J45" i="46"/>
  <c r="H45" i="46"/>
  <c r="J44" i="46"/>
  <c r="H44" i="46"/>
  <c r="J43" i="46"/>
  <c r="H43" i="46"/>
  <c r="J42" i="46"/>
  <c r="H42" i="46"/>
  <c r="J41" i="46"/>
  <c r="H41" i="46"/>
  <c r="J40" i="46"/>
  <c r="H40" i="46"/>
  <c r="J39" i="46"/>
  <c r="H39" i="46"/>
  <c r="J38" i="46"/>
  <c r="H38" i="46"/>
  <c r="J37" i="46"/>
  <c r="H37" i="46"/>
  <c r="J36" i="46"/>
  <c r="H36" i="46"/>
  <c r="J35" i="46"/>
  <c r="H35" i="46"/>
  <c r="J34" i="46"/>
  <c r="H34" i="46"/>
  <c r="J33" i="46"/>
  <c r="H33" i="46"/>
  <c r="J32" i="46"/>
  <c r="H32" i="46"/>
  <c r="J31" i="46"/>
  <c r="H31" i="46"/>
  <c r="J30" i="46"/>
  <c r="H30" i="46"/>
  <c r="J29" i="46"/>
  <c r="H29" i="46"/>
  <c r="J28" i="46"/>
  <c r="H28" i="46"/>
  <c r="J27" i="46"/>
  <c r="H27" i="46"/>
  <c r="J26" i="46"/>
  <c r="H26" i="46"/>
  <c r="J25" i="46"/>
  <c r="H25" i="46"/>
  <c r="J24" i="46"/>
  <c r="H24" i="46"/>
  <c r="J23" i="46"/>
  <c r="H23" i="46"/>
  <c r="J22" i="46"/>
  <c r="H22" i="46"/>
  <c r="J21" i="46"/>
  <c r="H21" i="46"/>
  <c r="J20" i="46"/>
  <c r="H20" i="46"/>
  <c r="J19" i="46"/>
  <c r="H19" i="46"/>
  <c r="J18" i="46"/>
  <c r="H18" i="46"/>
  <c r="J17" i="46"/>
  <c r="H17" i="46"/>
  <c r="J16" i="46"/>
  <c r="H16" i="46"/>
  <c r="J15" i="46"/>
  <c r="H15" i="46"/>
  <c r="J14" i="46"/>
  <c r="H14" i="46"/>
  <c r="J13" i="46"/>
  <c r="H13" i="46"/>
  <c r="J12" i="46"/>
  <c r="H12" i="46"/>
  <c r="J11" i="46"/>
  <c r="H11" i="46"/>
  <c r="J10" i="46"/>
  <c r="H10" i="46"/>
  <c r="J9" i="46"/>
  <c r="H9" i="46"/>
  <c r="J8" i="46"/>
  <c r="H8" i="46"/>
  <c r="J7" i="46"/>
  <c r="H7" i="46"/>
  <c r="J6" i="46"/>
  <c r="H6" i="46"/>
  <c r="J5" i="46"/>
  <c r="H5" i="46"/>
  <c r="J4" i="46"/>
  <c r="H4" i="46"/>
  <c r="J3" i="46"/>
  <c r="H3" i="46"/>
  <c r="J2" i="46"/>
  <c r="H2" i="46"/>
  <c r="J101" i="45"/>
  <c r="H101" i="45"/>
  <c r="J100" i="45"/>
  <c r="H100" i="45"/>
  <c r="J99" i="45"/>
  <c r="H99" i="45"/>
  <c r="J98" i="45"/>
  <c r="H98" i="45"/>
  <c r="J97" i="45"/>
  <c r="H97" i="45"/>
  <c r="J96" i="45"/>
  <c r="H96" i="45"/>
  <c r="J95" i="45"/>
  <c r="H95" i="45"/>
  <c r="J94" i="45"/>
  <c r="H94" i="45"/>
  <c r="J93" i="45"/>
  <c r="H93" i="45"/>
  <c r="J92" i="45"/>
  <c r="H92" i="45"/>
  <c r="J91" i="45"/>
  <c r="H91" i="45"/>
  <c r="J90" i="45"/>
  <c r="H90" i="45"/>
  <c r="J89" i="45"/>
  <c r="H89" i="45"/>
  <c r="J88" i="45"/>
  <c r="H88" i="45"/>
  <c r="J87" i="45"/>
  <c r="H87" i="45"/>
  <c r="J86" i="45"/>
  <c r="H86" i="45"/>
  <c r="J85" i="45"/>
  <c r="H85" i="45"/>
  <c r="J84" i="45"/>
  <c r="H84" i="45"/>
  <c r="J83" i="45"/>
  <c r="H83" i="45"/>
  <c r="J82" i="45"/>
  <c r="H82" i="45"/>
  <c r="J81" i="45"/>
  <c r="H81" i="45"/>
  <c r="J80" i="45"/>
  <c r="H80" i="45"/>
  <c r="J79" i="45"/>
  <c r="H79" i="45"/>
  <c r="J78" i="45"/>
  <c r="H78" i="45"/>
  <c r="J77" i="45"/>
  <c r="H77" i="45"/>
  <c r="J76" i="45"/>
  <c r="H76" i="45"/>
  <c r="J75" i="45"/>
  <c r="H75" i="45"/>
  <c r="J74" i="45"/>
  <c r="H74" i="45"/>
  <c r="J73" i="45"/>
  <c r="H73" i="45"/>
  <c r="J72" i="45"/>
  <c r="H72" i="45"/>
  <c r="H70" i="45"/>
  <c r="J69" i="45"/>
  <c r="H69" i="45"/>
  <c r="J68" i="45"/>
  <c r="J67" i="45"/>
  <c r="H67" i="45"/>
  <c r="H66" i="45"/>
  <c r="J65" i="45"/>
  <c r="J64" i="45"/>
  <c r="J63" i="45"/>
  <c r="H63" i="45"/>
  <c r="J61" i="45"/>
  <c r="H61" i="45"/>
  <c r="J60" i="45"/>
  <c r="J59" i="45"/>
  <c r="J57" i="45"/>
  <c r="H57" i="45"/>
  <c r="J55" i="45"/>
  <c r="H55" i="45"/>
  <c r="J53" i="45"/>
  <c r="H53" i="45"/>
  <c r="J51" i="45"/>
  <c r="H51" i="45"/>
  <c r="J49" i="45"/>
  <c r="H49" i="45"/>
  <c r="J98" i="43"/>
  <c r="J96" i="43"/>
  <c r="H96" i="43"/>
  <c r="J95" i="43"/>
  <c r="I13" i="25"/>
  <c r="J101" i="24"/>
  <c r="H101" i="24"/>
  <c r="J100" i="24"/>
  <c r="H100" i="24"/>
  <c r="J99" i="24"/>
  <c r="H99" i="24"/>
  <c r="J98" i="24"/>
  <c r="H98" i="24"/>
  <c r="J97" i="24"/>
  <c r="H97" i="24"/>
  <c r="J96" i="24"/>
  <c r="H96" i="24"/>
  <c r="J95" i="24"/>
  <c r="H95" i="24"/>
  <c r="J94" i="24"/>
  <c r="H94" i="24"/>
  <c r="J93" i="24"/>
  <c r="H93" i="24"/>
  <c r="J92" i="24"/>
  <c r="H92" i="24"/>
  <c r="J91" i="24"/>
  <c r="H91" i="24"/>
  <c r="J90" i="24"/>
  <c r="H90" i="24"/>
  <c r="J89" i="24"/>
  <c r="H89" i="24"/>
  <c r="J88" i="24"/>
  <c r="H88" i="24"/>
  <c r="J87" i="24"/>
  <c r="H87" i="24"/>
  <c r="J86" i="24"/>
  <c r="H86" i="24"/>
  <c r="J85" i="24"/>
  <c r="H85" i="24"/>
  <c r="J84" i="24"/>
  <c r="H84" i="24"/>
  <c r="J83" i="24"/>
  <c r="H83" i="24"/>
  <c r="J82" i="24"/>
  <c r="H82" i="24"/>
  <c r="J81" i="24"/>
  <c r="H81" i="24"/>
  <c r="J80" i="24"/>
  <c r="H80" i="24"/>
  <c r="J79" i="24"/>
  <c r="H79" i="24"/>
  <c r="J78" i="24"/>
  <c r="H78" i="24"/>
  <c r="J77" i="24"/>
  <c r="H77" i="24"/>
  <c r="J76" i="24"/>
  <c r="H76" i="24"/>
  <c r="J75" i="24"/>
  <c r="H75" i="24"/>
  <c r="J74" i="24"/>
  <c r="H74" i="24"/>
  <c r="J73" i="24"/>
  <c r="H73" i="24"/>
  <c r="J72" i="24"/>
  <c r="H72" i="24"/>
  <c r="J71" i="24"/>
  <c r="H71" i="24"/>
  <c r="J70" i="24"/>
  <c r="H70" i="24"/>
  <c r="J69" i="24"/>
  <c r="H69" i="24"/>
  <c r="J68" i="24"/>
  <c r="H68" i="24"/>
  <c r="J67" i="24"/>
  <c r="H67" i="24"/>
  <c r="J66" i="24"/>
  <c r="H66" i="24"/>
  <c r="J65" i="24"/>
  <c r="H65" i="24"/>
  <c r="J64" i="24"/>
  <c r="H64" i="24"/>
  <c r="J63" i="24"/>
  <c r="H63" i="24"/>
  <c r="J62" i="24"/>
  <c r="H62" i="24"/>
  <c r="J61" i="24"/>
  <c r="H61" i="24"/>
  <c r="J60" i="24"/>
  <c r="H60" i="24"/>
  <c r="J59" i="24"/>
  <c r="H59" i="24"/>
  <c r="J58" i="24"/>
  <c r="H58" i="24"/>
  <c r="J57" i="24"/>
  <c r="H57" i="24"/>
  <c r="J56" i="24"/>
  <c r="H56" i="24"/>
  <c r="J55" i="24"/>
  <c r="H55" i="24"/>
  <c r="J54" i="24"/>
  <c r="H54" i="24"/>
  <c r="J53" i="24"/>
  <c r="H53" i="24"/>
  <c r="J52" i="24"/>
  <c r="H52" i="24"/>
  <c r="J51" i="24"/>
  <c r="H51" i="24"/>
  <c r="J50" i="24"/>
  <c r="H50" i="24"/>
  <c r="J49" i="24"/>
  <c r="H49" i="24"/>
  <c r="J48" i="24"/>
  <c r="H48" i="24"/>
  <c r="J47" i="24"/>
  <c r="H47" i="24"/>
  <c r="J46" i="24"/>
  <c r="H46" i="24"/>
  <c r="J45" i="24"/>
  <c r="H45" i="24"/>
  <c r="J44" i="24"/>
  <c r="H44" i="24"/>
  <c r="J43" i="24"/>
  <c r="H43" i="24"/>
  <c r="J42" i="24"/>
  <c r="H42" i="24"/>
  <c r="J41" i="24"/>
  <c r="H41" i="24"/>
  <c r="J40" i="24"/>
  <c r="H40" i="24"/>
  <c r="J39" i="24"/>
  <c r="H39" i="24"/>
  <c r="J38" i="24"/>
  <c r="H38" i="24"/>
  <c r="J37" i="24"/>
  <c r="H37" i="24"/>
  <c r="J36" i="24"/>
  <c r="H36" i="24"/>
  <c r="J35" i="24"/>
  <c r="H35" i="24"/>
  <c r="J34" i="24"/>
  <c r="H34" i="24"/>
  <c r="J33" i="24"/>
  <c r="H33" i="24"/>
  <c r="J32" i="24"/>
  <c r="H32" i="24"/>
  <c r="J31" i="24"/>
  <c r="H31" i="24"/>
  <c r="J30" i="24"/>
  <c r="H30" i="24"/>
  <c r="J29" i="24"/>
  <c r="H29" i="24"/>
  <c r="J28" i="24"/>
  <c r="H28" i="24"/>
  <c r="J27" i="24"/>
  <c r="H27" i="24"/>
  <c r="H48" i="45"/>
  <c r="J47" i="45"/>
  <c r="H47" i="45"/>
  <c r="J46" i="45"/>
  <c r="H46" i="45"/>
  <c r="J45" i="45"/>
  <c r="H45" i="45"/>
  <c r="J44" i="45"/>
  <c r="H44" i="45"/>
  <c r="J43" i="45"/>
  <c r="H43" i="45"/>
  <c r="J42" i="45"/>
  <c r="H42" i="45"/>
  <c r="J41" i="45"/>
  <c r="H41" i="45"/>
  <c r="J40" i="45"/>
  <c r="H40" i="45"/>
  <c r="J39" i="45"/>
  <c r="H39" i="45"/>
  <c r="J38" i="45"/>
  <c r="H38" i="45"/>
  <c r="J37" i="45"/>
  <c r="H37" i="45"/>
  <c r="J36" i="45"/>
  <c r="H36" i="45"/>
  <c r="J35" i="45"/>
  <c r="H35" i="45"/>
  <c r="J34" i="45"/>
  <c r="H34" i="45"/>
  <c r="J33" i="45"/>
  <c r="H33" i="45"/>
  <c r="J32" i="45"/>
  <c r="H32" i="45"/>
  <c r="J31" i="45"/>
  <c r="H31" i="45"/>
  <c r="J30" i="45"/>
  <c r="H30" i="45"/>
  <c r="J29" i="45"/>
  <c r="H29" i="45"/>
  <c r="J28" i="45"/>
  <c r="H28" i="45"/>
  <c r="J27" i="45"/>
  <c r="H27" i="45"/>
  <c r="J26" i="45"/>
  <c r="H26" i="45"/>
  <c r="J25" i="45"/>
  <c r="H25" i="45"/>
  <c r="J24" i="45"/>
  <c r="H24" i="45"/>
  <c r="J23" i="45"/>
  <c r="H23" i="45"/>
  <c r="J22" i="45"/>
  <c r="H22" i="45"/>
  <c r="J21" i="45"/>
  <c r="H21" i="45"/>
  <c r="J20" i="45"/>
  <c r="H20" i="45"/>
  <c r="J19" i="45"/>
  <c r="H19" i="45"/>
  <c r="J18" i="45"/>
  <c r="H18" i="45"/>
  <c r="J17" i="45"/>
  <c r="H17" i="45"/>
  <c r="J16" i="45"/>
  <c r="H16" i="45"/>
  <c r="J15" i="45"/>
  <c r="H15" i="45"/>
  <c r="J14" i="45"/>
  <c r="H14" i="45"/>
  <c r="J13" i="45"/>
  <c r="H13" i="45"/>
  <c r="J12" i="45"/>
  <c r="H12" i="45"/>
  <c r="J11" i="45"/>
  <c r="H11" i="45"/>
  <c r="J10" i="45"/>
  <c r="H10" i="45"/>
  <c r="J9" i="45"/>
  <c r="H9" i="45"/>
  <c r="J8" i="45"/>
  <c r="H8" i="45"/>
  <c r="J7" i="45"/>
  <c r="H7" i="45"/>
  <c r="J6" i="45"/>
  <c r="H6" i="45"/>
  <c r="J5" i="45"/>
  <c r="H5" i="45"/>
  <c r="J4" i="45"/>
  <c r="H4" i="45"/>
  <c r="J3" i="45"/>
  <c r="H3" i="45"/>
  <c r="J2" i="45"/>
  <c r="H2" i="45"/>
  <c r="J101" i="44"/>
  <c r="H101" i="44"/>
  <c r="J100" i="44"/>
  <c r="H100" i="44"/>
  <c r="J99" i="44"/>
  <c r="H99" i="44"/>
  <c r="J98" i="44"/>
  <c r="H98" i="44"/>
  <c r="J97" i="44"/>
  <c r="H97" i="44"/>
  <c r="J96" i="44"/>
  <c r="H96" i="44"/>
  <c r="J95" i="44"/>
  <c r="H95" i="44"/>
  <c r="J94" i="44"/>
  <c r="H94" i="44"/>
  <c r="J93" i="44"/>
  <c r="H93" i="44"/>
  <c r="J92" i="44"/>
  <c r="H92" i="44"/>
  <c r="J91" i="44"/>
  <c r="H91" i="44"/>
  <c r="J90" i="44"/>
  <c r="H90" i="44"/>
  <c r="J89" i="44"/>
  <c r="H89" i="44"/>
  <c r="J88" i="44"/>
  <c r="H88" i="44"/>
  <c r="J87" i="44"/>
  <c r="H87" i="44"/>
  <c r="J86" i="44"/>
  <c r="H86" i="44"/>
  <c r="J85" i="44"/>
  <c r="H85" i="44"/>
  <c r="J84" i="44"/>
  <c r="H84" i="44"/>
  <c r="J83" i="44"/>
  <c r="H83" i="44"/>
  <c r="J82" i="44"/>
  <c r="H82" i="44"/>
  <c r="J81" i="44"/>
  <c r="H81" i="44"/>
  <c r="J80" i="44"/>
  <c r="H80" i="44"/>
  <c r="J79" i="44"/>
  <c r="H79" i="44"/>
  <c r="J78" i="44"/>
  <c r="H78" i="44"/>
  <c r="J77" i="44"/>
  <c r="H77" i="44"/>
  <c r="J76" i="44"/>
  <c r="H76" i="44"/>
  <c r="J75" i="44"/>
  <c r="H75" i="44"/>
  <c r="J74" i="44"/>
  <c r="H74" i="44"/>
  <c r="J73" i="44"/>
  <c r="H73" i="44"/>
  <c r="J72" i="44"/>
  <c r="H72" i="44"/>
  <c r="J71" i="44"/>
  <c r="H71" i="44"/>
  <c r="J70" i="44"/>
  <c r="H70" i="44"/>
  <c r="J69" i="44"/>
  <c r="H69" i="44"/>
  <c r="J68" i="44"/>
  <c r="H68" i="44"/>
  <c r="J67" i="44"/>
  <c r="H67" i="44"/>
  <c r="J66" i="44"/>
  <c r="H66" i="44"/>
  <c r="J65" i="44"/>
  <c r="H65" i="44"/>
  <c r="J64" i="44"/>
  <c r="H64" i="44"/>
  <c r="J63" i="44"/>
  <c r="H63" i="44"/>
  <c r="J62" i="44"/>
  <c r="H62" i="44"/>
  <c r="J61" i="44"/>
  <c r="H61" i="44"/>
  <c r="J60" i="44"/>
  <c r="H60" i="44"/>
  <c r="J59" i="44"/>
  <c r="H59" i="44"/>
  <c r="J58" i="44"/>
  <c r="H58" i="44"/>
  <c r="J57" i="44"/>
  <c r="H57" i="44"/>
  <c r="J56" i="44"/>
  <c r="H56" i="44"/>
  <c r="J55" i="44"/>
  <c r="H55" i="44"/>
  <c r="J54" i="44"/>
  <c r="H54" i="44"/>
  <c r="J53" i="44"/>
  <c r="H53" i="44"/>
  <c r="J52" i="44"/>
  <c r="H52" i="44"/>
  <c r="J51" i="44"/>
  <c r="H51" i="44"/>
  <c r="J50" i="44"/>
  <c r="H50" i="44"/>
  <c r="J49" i="44"/>
  <c r="H49" i="44"/>
  <c r="J48" i="44"/>
  <c r="H48" i="44"/>
  <c r="J47" i="44"/>
  <c r="H47" i="44"/>
  <c r="J46" i="44"/>
  <c r="H46" i="44"/>
  <c r="J45" i="44"/>
  <c r="H45" i="44"/>
  <c r="J44" i="44"/>
  <c r="H44" i="44"/>
  <c r="J43" i="44"/>
  <c r="H43" i="44"/>
  <c r="J42" i="44"/>
  <c r="H42" i="44"/>
  <c r="J41" i="44"/>
  <c r="H41" i="44"/>
  <c r="J40" i="44"/>
  <c r="H40" i="44"/>
  <c r="J39" i="44"/>
  <c r="H39" i="44"/>
  <c r="J38" i="44"/>
  <c r="H38" i="44"/>
  <c r="J37" i="44"/>
  <c r="H37" i="44"/>
  <c r="J36" i="44"/>
  <c r="H36" i="44"/>
  <c r="J35" i="44"/>
  <c r="H35" i="44"/>
  <c r="J34" i="44"/>
  <c r="H34" i="44"/>
  <c r="J33" i="44"/>
  <c r="H33" i="44"/>
  <c r="J32" i="44"/>
  <c r="H32" i="44"/>
  <c r="J31" i="44"/>
  <c r="H31" i="44"/>
  <c r="J30" i="44"/>
  <c r="H30" i="44"/>
  <c r="J29" i="44"/>
  <c r="H29" i="44"/>
  <c r="J28" i="44"/>
  <c r="H28" i="44"/>
  <c r="J27" i="44"/>
  <c r="H27" i="44"/>
  <c r="J26" i="44"/>
  <c r="H26" i="44"/>
  <c r="J25" i="44"/>
  <c r="H25" i="44"/>
  <c r="J24" i="44"/>
  <c r="H24" i="44"/>
  <c r="J23" i="44"/>
  <c r="H23" i="44"/>
  <c r="J22" i="44"/>
  <c r="H22" i="44"/>
  <c r="J21" i="44"/>
  <c r="H21" i="44"/>
  <c r="J20" i="44"/>
  <c r="H20" i="44"/>
  <c r="J19" i="44"/>
  <c r="H19" i="44"/>
  <c r="J18" i="44"/>
  <c r="H18" i="44"/>
  <c r="J17" i="44"/>
  <c r="H17" i="44"/>
  <c r="J16" i="44"/>
  <c r="H16" i="44"/>
  <c r="J15" i="44"/>
  <c r="H15" i="44"/>
  <c r="J14" i="44"/>
  <c r="H14" i="44"/>
  <c r="J13" i="44"/>
  <c r="H13" i="44"/>
  <c r="J12" i="44"/>
  <c r="H12" i="44"/>
  <c r="J11" i="44"/>
  <c r="H11" i="44"/>
  <c r="J10" i="44"/>
  <c r="H10" i="44"/>
  <c r="J9" i="44"/>
  <c r="H9" i="44"/>
  <c r="J8" i="44"/>
  <c r="H8" i="44"/>
  <c r="J7" i="44"/>
  <c r="H7" i="44"/>
  <c r="J6" i="44"/>
  <c r="H6" i="44"/>
  <c r="J5" i="44"/>
  <c r="H5" i="44"/>
  <c r="J4" i="44"/>
  <c r="H4" i="44"/>
  <c r="J3" i="44"/>
  <c r="H3" i="44"/>
  <c r="J2" i="44"/>
  <c r="H2" i="44"/>
  <c r="J101" i="43"/>
  <c r="H101" i="43"/>
  <c r="J100" i="43"/>
  <c r="H100" i="43"/>
  <c r="J99" i="43"/>
  <c r="H99" i="43"/>
  <c r="J97" i="43"/>
  <c r="H95" i="43"/>
  <c r="I16" i="25"/>
  <c r="I3" i="25"/>
  <c r="J94" i="43"/>
  <c r="H94" i="43"/>
  <c r="J93" i="43"/>
  <c r="H93" i="43"/>
  <c r="J92" i="43"/>
  <c r="H92" i="43"/>
  <c r="J91" i="43"/>
  <c r="H91" i="43"/>
  <c r="J90" i="43"/>
  <c r="H90" i="43"/>
  <c r="J89" i="43"/>
  <c r="H89" i="43"/>
  <c r="J88" i="43"/>
  <c r="H88" i="43"/>
  <c r="J87" i="43"/>
  <c r="H87" i="43"/>
  <c r="J86" i="43"/>
  <c r="H86" i="43"/>
  <c r="J85" i="43"/>
  <c r="H85" i="43"/>
  <c r="J84" i="43"/>
  <c r="H84" i="43"/>
  <c r="J83" i="43"/>
  <c r="H83" i="43"/>
  <c r="J82" i="43"/>
  <c r="H82" i="43"/>
  <c r="J81" i="43"/>
  <c r="H81" i="43"/>
  <c r="J80" i="43"/>
  <c r="H80" i="43"/>
  <c r="J79" i="43"/>
  <c r="H79" i="43"/>
  <c r="J78" i="43"/>
  <c r="H78" i="43"/>
  <c r="J77" i="43"/>
  <c r="H77" i="43"/>
  <c r="J76" i="43"/>
  <c r="H76" i="43"/>
  <c r="J75" i="43"/>
  <c r="H75" i="43"/>
  <c r="J74" i="43"/>
  <c r="H74" i="43"/>
  <c r="J73" i="43"/>
  <c r="H73" i="43"/>
  <c r="J72" i="43"/>
  <c r="H72" i="43"/>
  <c r="J71" i="43"/>
  <c r="H71" i="43"/>
  <c r="J70" i="43"/>
  <c r="H70" i="43"/>
  <c r="J69" i="43"/>
  <c r="H69" i="43"/>
  <c r="J68" i="43"/>
  <c r="H68" i="43"/>
  <c r="J67" i="43"/>
  <c r="H67" i="43"/>
  <c r="J66" i="43"/>
  <c r="H66" i="43"/>
  <c r="J65" i="43"/>
  <c r="H65" i="43"/>
  <c r="J64" i="43"/>
  <c r="H64" i="43"/>
  <c r="J63" i="43"/>
  <c r="H63" i="43"/>
  <c r="J62" i="43"/>
  <c r="H62" i="43"/>
  <c r="J61" i="43"/>
  <c r="H61" i="43"/>
  <c r="J60" i="43"/>
  <c r="H60" i="43"/>
  <c r="J59" i="43"/>
  <c r="H59" i="43"/>
  <c r="J58" i="43"/>
  <c r="H58" i="43"/>
  <c r="J57" i="43"/>
  <c r="H57" i="43"/>
  <c r="J56" i="43"/>
  <c r="H56" i="43"/>
  <c r="J55" i="43"/>
  <c r="H55" i="43"/>
  <c r="J54" i="43"/>
  <c r="H54" i="43"/>
  <c r="J53" i="43"/>
  <c r="H53" i="43"/>
  <c r="J52" i="43"/>
  <c r="H52" i="43"/>
  <c r="J51" i="43"/>
  <c r="H51" i="43"/>
  <c r="J50" i="43"/>
  <c r="H50" i="43"/>
  <c r="J49" i="43"/>
  <c r="H49" i="43"/>
  <c r="J48" i="43"/>
  <c r="H48" i="43"/>
  <c r="J47" i="43"/>
  <c r="H47" i="43"/>
  <c r="J46" i="43"/>
  <c r="H46" i="43"/>
  <c r="J45" i="43"/>
  <c r="H45" i="43"/>
  <c r="J44" i="43"/>
  <c r="H44" i="43"/>
  <c r="J43" i="43"/>
  <c r="H43" i="43"/>
  <c r="J42" i="43"/>
  <c r="H42" i="43"/>
  <c r="J41" i="43"/>
  <c r="H41" i="43"/>
  <c r="J40" i="43"/>
  <c r="H40" i="43"/>
  <c r="J39" i="43"/>
  <c r="H39" i="43"/>
  <c r="J38" i="43"/>
  <c r="H38" i="43"/>
  <c r="J37" i="43"/>
  <c r="H37" i="43"/>
  <c r="J36" i="43"/>
  <c r="H36" i="43"/>
  <c r="J35" i="43"/>
  <c r="H35" i="43"/>
  <c r="J34" i="43"/>
  <c r="H34" i="43"/>
  <c r="J33" i="43"/>
  <c r="H33" i="43"/>
  <c r="J32" i="43"/>
  <c r="H32" i="43"/>
  <c r="J31" i="43"/>
  <c r="H31" i="43"/>
  <c r="J30" i="43"/>
  <c r="H30" i="43"/>
  <c r="J29" i="43"/>
  <c r="H29" i="43"/>
  <c r="J28" i="43"/>
  <c r="H28" i="43"/>
  <c r="J27" i="43"/>
  <c r="H27" i="43"/>
  <c r="J26" i="43"/>
  <c r="H26" i="43"/>
  <c r="J25" i="43"/>
  <c r="H25" i="43"/>
  <c r="J24" i="43"/>
  <c r="H24" i="43"/>
  <c r="J23" i="43"/>
  <c r="H23" i="43"/>
  <c r="J22" i="43"/>
  <c r="H22" i="43"/>
  <c r="J21" i="43"/>
  <c r="H21" i="43"/>
  <c r="J20" i="43"/>
  <c r="H20" i="43"/>
  <c r="J19" i="43"/>
  <c r="H19" i="43"/>
  <c r="J18" i="43"/>
  <c r="H18" i="43"/>
  <c r="J17" i="43"/>
  <c r="H17" i="43"/>
  <c r="J16" i="43"/>
  <c r="H16" i="43"/>
  <c r="J15" i="43"/>
  <c r="H15" i="43"/>
  <c r="J14" i="43"/>
  <c r="H14" i="43"/>
  <c r="J13" i="43"/>
  <c r="H13" i="43"/>
  <c r="J12" i="43"/>
  <c r="H12" i="43"/>
  <c r="J11" i="43"/>
  <c r="H11" i="43"/>
  <c r="J10" i="43"/>
  <c r="H10" i="43"/>
  <c r="J9" i="43"/>
  <c r="H9" i="43"/>
  <c r="J8" i="43"/>
  <c r="H8" i="43"/>
  <c r="J7" i="43"/>
  <c r="H7" i="43"/>
  <c r="J6" i="43"/>
  <c r="H6" i="43"/>
  <c r="J5" i="43"/>
  <c r="H5" i="43"/>
  <c r="J4" i="43"/>
  <c r="H4" i="43"/>
  <c r="J3" i="43"/>
  <c r="H3" i="43"/>
  <c r="J2" i="43"/>
  <c r="H2" i="43"/>
  <c r="J101" i="42"/>
  <c r="H101" i="42"/>
  <c r="J100" i="42"/>
  <c r="H100" i="42"/>
  <c r="J99" i="42"/>
  <c r="H99" i="42"/>
  <c r="J98" i="42"/>
  <c r="H98" i="42"/>
  <c r="J97" i="42"/>
  <c r="H97" i="42"/>
  <c r="J96" i="42"/>
  <c r="H96" i="42"/>
  <c r="J95" i="42"/>
  <c r="H95" i="42"/>
  <c r="J94" i="42"/>
  <c r="H94" i="42"/>
  <c r="J93" i="42"/>
  <c r="H93" i="42"/>
  <c r="J92" i="42"/>
  <c r="H92" i="42"/>
  <c r="J91" i="42"/>
  <c r="H91" i="42"/>
  <c r="J90" i="42"/>
  <c r="H90" i="42"/>
  <c r="J89" i="42"/>
  <c r="H89" i="42"/>
  <c r="J88" i="42"/>
  <c r="H88" i="42"/>
  <c r="J87" i="42"/>
  <c r="H87" i="42"/>
  <c r="J86" i="42"/>
  <c r="H86" i="42"/>
  <c r="J85" i="42"/>
  <c r="H85" i="42"/>
  <c r="J84" i="42"/>
  <c r="H84" i="42"/>
  <c r="J83" i="42"/>
  <c r="H83" i="42"/>
  <c r="J82" i="42"/>
  <c r="H82" i="42"/>
  <c r="J81" i="42"/>
  <c r="H81" i="42"/>
  <c r="J80" i="42"/>
  <c r="H80" i="42"/>
  <c r="J79" i="42"/>
  <c r="H79" i="42"/>
  <c r="J78" i="42"/>
  <c r="H78" i="42"/>
  <c r="J77" i="42"/>
  <c r="H77" i="42"/>
  <c r="J76" i="42"/>
  <c r="H76" i="42"/>
  <c r="J75" i="42"/>
  <c r="H75" i="42"/>
  <c r="J74" i="42"/>
  <c r="H74" i="42"/>
  <c r="J73" i="42"/>
  <c r="H73" i="42"/>
  <c r="J72" i="42"/>
  <c r="H72" i="42"/>
  <c r="J71" i="42"/>
  <c r="H71" i="42"/>
  <c r="J70" i="42"/>
  <c r="H70" i="42"/>
  <c r="J69" i="42"/>
  <c r="H69" i="42"/>
  <c r="J68" i="42"/>
  <c r="H68" i="42"/>
  <c r="J67" i="42"/>
  <c r="H67" i="42"/>
  <c r="J66" i="42"/>
  <c r="H66" i="42"/>
  <c r="J65" i="42"/>
  <c r="H65" i="42"/>
  <c r="J64" i="42"/>
  <c r="H64" i="42"/>
  <c r="J63" i="42"/>
  <c r="H63" i="42"/>
  <c r="J62" i="42"/>
  <c r="H62" i="42"/>
  <c r="J61" i="42"/>
  <c r="H61" i="42"/>
  <c r="J60" i="42"/>
  <c r="H60" i="42"/>
  <c r="J59" i="42"/>
  <c r="H59" i="42"/>
  <c r="J58" i="42"/>
  <c r="H58" i="42"/>
  <c r="J57" i="42"/>
  <c r="H57" i="42"/>
  <c r="J56" i="42"/>
  <c r="H56" i="42"/>
  <c r="J55" i="42"/>
  <c r="H55" i="42"/>
  <c r="J54" i="42"/>
  <c r="H54" i="42"/>
  <c r="J53" i="42"/>
  <c r="H53" i="42"/>
  <c r="J52" i="42"/>
  <c r="H52" i="42"/>
  <c r="J51" i="42"/>
  <c r="H51" i="42"/>
  <c r="J50" i="42"/>
  <c r="H50" i="42"/>
  <c r="J49" i="42"/>
  <c r="H49" i="42"/>
  <c r="J48" i="42"/>
  <c r="H48" i="42"/>
  <c r="J47" i="42"/>
  <c r="H47" i="42"/>
  <c r="J46" i="42"/>
  <c r="H46" i="42"/>
  <c r="J45" i="42"/>
  <c r="H45" i="42"/>
  <c r="J44" i="42"/>
  <c r="H44" i="42"/>
  <c r="J43" i="42"/>
  <c r="H43" i="42"/>
  <c r="J42" i="42"/>
  <c r="H42" i="42"/>
  <c r="J41" i="42"/>
  <c r="H41" i="42"/>
  <c r="J55" i="41"/>
  <c r="H55" i="41"/>
  <c r="J54" i="41"/>
  <c r="H54" i="41"/>
  <c r="J53" i="41"/>
  <c r="H53" i="41"/>
  <c r="J52" i="41"/>
  <c r="H52" i="41"/>
  <c r="J51" i="41"/>
  <c r="H51" i="41"/>
  <c r="J50" i="41"/>
  <c r="H50" i="41"/>
  <c r="J49" i="41"/>
  <c r="H49" i="41"/>
  <c r="J48" i="41"/>
  <c r="H48" i="41"/>
  <c r="J47" i="41"/>
  <c r="H47" i="41"/>
  <c r="J46" i="41"/>
  <c r="H46" i="41"/>
  <c r="J45" i="41"/>
  <c r="H45" i="41"/>
  <c r="J44" i="41"/>
  <c r="H44" i="41"/>
  <c r="J43" i="41"/>
  <c r="H43" i="41"/>
  <c r="J42" i="41"/>
  <c r="H42" i="41"/>
  <c r="J41" i="41"/>
  <c r="H41" i="41"/>
  <c r="J40" i="41"/>
  <c r="H40" i="41"/>
  <c r="J39" i="41"/>
  <c r="H39" i="41"/>
  <c r="J38" i="41"/>
  <c r="H38" i="41"/>
  <c r="J37" i="41"/>
  <c r="H37" i="41"/>
  <c r="J36" i="41"/>
  <c r="H36" i="41"/>
  <c r="J35" i="41"/>
  <c r="H35" i="41"/>
  <c r="J34" i="41"/>
  <c r="H34" i="41"/>
  <c r="J33" i="41"/>
  <c r="H33" i="41"/>
  <c r="J32" i="41"/>
  <c r="H32" i="41"/>
  <c r="J31" i="41"/>
  <c r="H31" i="41"/>
  <c r="J30" i="41"/>
  <c r="H30" i="41"/>
  <c r="H29" i="41"/>
  <c r="J28" i="41"/>
  <c r="H28" i="41"/>
  <c r="J27" i="41"/>
  <c r="H26" i="41"/>
  <c r="J25" i="41"/>
  <c r="H25" i="41"/>
  <c r="J24" i="41"/>
  <c r="J23" i="41"/>
  <c r="J22" i="41"/>
  <c r="H22" i="41"/>
  <c r="J20" i="41"/>
  <c r="H20" i="41"/>
  <c r="J19" i="41"/>
  <c r="H19" i="41"/>
  <c r="J18" i="41"/>
  <c r="J17" i="41"/>
  <c r="J16" i="41"/>
  <c r="H16" i="41"/>
  <c r="J13" i="41"/>
  <c r="H13" i="41"/>
  <c r="J11" i="41"/>
  <c r="J9" i="41"/>
  <c r="H9" i="41"/>
  <c r="J7" i="41"/>
  <c r="H7" i="41"/>
  <c r="J6" i="41"/>
  <c r="J5" i="41"/>
  <c r="H5" i="41"/>
  <c r="J3" i="41"/>
  <c r="J2" i="41"/>
  <c r="H2" i="41"/>
  <c r="H97" i="40"/>
  <c r="H96" i="40"/>
  <c r="H95" i="40"/>
  <c r="H94" i="40"/>
  <c r="J93" i="40"/>
  <c r="H93" i="40"/>
  <c r="J91" i="40"/>
  <c r="H91" i="40"/>
  <c r="J89" i="40"/>
  <c r="J88" i="40"/>
  <c r="H88" i="40"/>
  <c r="I29" i="25"/>
  <c r="I11" i="25"/>
  <c r="H40" i="42"/>
  <c r="J39" i="42"/>
  <c r="H39" i="42"/>
  <c r="J38" i="42"/>
  <c r="H38" i="42"/>
  <c r="J37" i="42"/>
  <c r="H37" i="42"/>
  <c r="J36" i="42"/>
  <c r="H36" i="42"/>
  <c r="J35" i="42"/>
  <c r="H35" i="42"/>
  <c r="J34" i="42"/>
  <c r="H34" i="42"/>
  <c r="J33" i="42"/>
  <c r="H33" i="42"/>
  <c r="J32" i="42"/>
  <c r="H32" i="42"/>
  <c r="J31" i="42"/>
  <c r="H31" i="42"/>
  <c r="J30" i="42"/>
  <c r="H30" i="42"/>
  <c r="J29" i="42"/>
  <c r="H29" i="42"/>
  <c r="J28" i="42"/>
  <c r="H28" i="42"/>
  <c r="J27" i="42"/>
  <c r="H27" i="42"/>
  <c r="J26" i="42"/>
  <c r="H26" i="42"/>
  <c r="J25" i="42"/>
  <c r="H25" i="42"/>
  <c r="J24" i="42"/>
  <c r="H24" i="42"/>
  <c r="J23" i="42"/>
  <c r="H23" i="42"/>
  <c r="J22" i="42"/>
  <c r="H22" i="42"/>
  <c r="J21" i="42"/>
  <c r="H21" i="42"/>
  <c r="J20" i="42"/>
  <c r="H20" i="42"/>
  <c r="J19" i="42"/>
  <c r="H19" i="42"/>
  <c r="J18" i="42"/>
  <c r="H18" i="42"/>
  <c r="J17" i="42"/>
  <c r="H17" i="42"/>
  <c r="J16" i="42"/>
  <c r="H16" i="42"/>
  <c r="J15" i="42"/>
  <c r="H15" i="42"/>
  <c r="J14" i="42"/>
  <c r="H14" i="42"/>
  <c r="J13" i="42"/>
  <c r="H13" i="42"/>
  <c r="J12" i="42"/>
  <c r="H12" i="42"/>
  <c r="J11" i="42"/>
  <c r="H11" i="42"/>
  <c r="J10" i="42"/>
  <c r="H10" i="42"/>
  <c r="J9" i="42"/>
  <c r="H9" i="42"/>
  <c r="J8" i="42"/>
  <c r="H8" i="42"/>
  <c r="J7" i="42"/>
  <c r="H7" i="42"/>
  <c r="J6" i="42"/>
  <c r="H6" i="42"/>
  <c r="J5" i="42"/>
  <c r="H5" i="42"/>
  <c r="J4" i="42"/>
  <c r="H4" i="42"/>
  <c r="J3" i="42"/>
  <c r="H3" i="42"/>
  <c r="J2" i="42"/>
  <c r="H2" i="42"/>
  <c r="J101" i="41"/>
  <c r="H101" i="41"/>
  <c r="J100" i="41"/>
  <c r="H100" i="41"/>
  <c r="J99" i="41"/>
  <c r="H99" i="41"/>
  <c r="J98" i="41"/>
  <c r="H98" i="41"/>
  <c r="J97" i="41"/>
  <c r="H97" i="41"/>
  <c r="J96" i="41"/>
  <c r="H96" i="41"/>
  <c r="J95" i="41"/>
  <c r="H95" i="41"/>
  <c r="J94" i="41"/>
  <c r="H94" i="41"/>
  <c r="J93" i="41"/>
  <c r="H93" i="41"/>
  <c r="J92" i="41"/>
  <c r="H92" i="41"/>
  <c r="J91" i="41"/>
  <c r="H91" i="41"/>
  <c r="J90" i="41"/>
  <c r="H90" i="41"/>
  <c r="J89" i="41"/>
  <c r="H89" i="41"/>
  <c r="J88" i="41"/>
  <c r="H88" i="41"/>
  <c r="J87" i="41"/>
  <c r="H87" i="41"/>
  <c r="J86" i="41"/>
  <c r="H86" i="41"/>
  <c r="J85" i="41"/>
  <c r="H85" i="41"/>
  <c r="J84" i="41"/>
  <c r="H84" i="41"/>
  <c r="J83" i="41"/>
  <c r="H83" i="41"/>
  <c r="J82" i="41"/>
  <c r="H82" i="41"/>
  <c r="J81" i="41"/>
  <c r="H81" i="41"/>
  <c r="J80" i="41"/>
  <c r="H80" i="41"/>
  <c r="J79" i="41"/>
  <c r="H79" i="41"/>
  <c r="J78" i="41"/>
  <c r="H78" i="41"/>
  <c r="J77" i="41"/>
  <c r="H77" i="41"/>
  <c r="J76" i="41"/>
  <c r="H76" i="41"/>
  <c r="J75" i="41"/>
  <c r="H75" i="41"/>
  <c r="J74" i="41"/>
  <c r="H74" i="41"/>
  <c r="J73" i="41"/>
  <c r="H73" i="41"/>
  <c r="J72" i="41"/>
  <c r="H72" i="41"/>
  <c r="J71" i="41"/>
  <c r="H71" i="41"/>
  <c r="J70" i="41"/>
  <c r="H70" i="41"/>
  <c r="J69" i="41"/>
  <c r="H69" i="41"/>
  <c r="J68" i="41"/>
  <c r="H68" i="41"/>
  <c r="J67" i="41"/>
  <c r="H67" i="41"/>
  <c r="J66" i="41"/>
  <c r="H66" i="41"/>
  <c r="J65" i="41"/>
  <c r="H65" i="41"/>
  <c r="J64" i="41"/>
  <c r="H64" i="41"/>
  <c r="J63" i="41"/>
  <c r="H63" i="41"/>
  <c r="J62" i="41"/>
  <c r="H62" i="41"/>
  <c r="J61" i="41"/>
  <c r="H61" i="41"/>
  <c r="J60" i="41"/>
  <c r="H60" i="41"/>
  <c r="J59" i="41"/>
  <c r="H59" i="41"/>
  <c r="J58" i="41"/>
  <c r="H58" i="41"/>
  <c r="J57" i="41"/>
  <c r="H57" i="41"/>
  <c r="J56" i="41"/>
  <c r="H56" i="41"/>
  <c r="J29" i="41"/>
  <c r="H27" i="41"/>
  <c r="J26" i="41"/>
  <c r="H24" i="41"/>
  <c r="H23" i="41"/>
  <c r="J21" i="41"/>
  <c r="H21" i="41"/>
  <c r="H18" i="41"/>
  <c r="H17" i="41"/>
  <c r="J15" i="41"/>
  <c r="H15" i="41"/>
  <c r="J14" i="41"/>
  <c r="H14" i="41"/>
  <c r="J12" i="41"/>
  <c r="H12" i="41"/>
  <c r="H11" i="41"/>
  <c r="J10" i="41"/>
  <c r="H10" i="41"/>
  <c r="J8" i="41"/>
  <c r="H8" i="41"/>
  <c r="H6" i="41"/>
  <c r="J4" i="41"/>
  <c r="H4" i="41"/>
  <c r="H3" i="41"/>
  <c r="J101" i="40"/>
  <c r="H101" i="40"/>
  <c r="J100" i="40"/>
  <c r="H100" i="40"/>
  <c r="J99" i="40"/>
  <c r="H99" i="40"/>
  <c r="J98" i="40"/>
  <c r="H98" i="40"/>
  <c r="J97" i="40"/>
  <c r="J96" i="40"/>
  <c r="J95" i="40"/>
  <c r="J94" i="40"/>
  <c r="J92" i="40"/>
  <c r="H92" i="40"/>
  <c r="J90" i="40"/>
  <c r="H90" i="40"/>
  <c r="I28" i="25"/>
  <c r="I10" i="25"/>
  <c r="J101" i="22"/>
  <c r="H101" i="22"/>
  <c r="J100" i="22"/>
  <c r="H100" i="22"/>
  <c r="J99" i="22"/>
  <c r="H99" i="22"/>
  <c r="J98" i="22"/>
  <c r="H98" i="22"/>
  <c r="J97" i="22"/>
  <c r="H97" i="22"/>
  <c r="J96" i="22"/>
  <c r="H96" i="22"/>
  <c r="J95" i="22"/>
  <c r="H95" i="22"/>
  <c r="J94" i="22"/>
  <c r="H94" i="22"/>
  <c r="J93" i="22"/>
  <c r="H93" i="22"/>
  <c r="J92" i="22"/>
  <c r="H92" i="22"/>
  <c r="J91" i="22"/>
  <c r="H91" i="22"/>
  <c r="J90" i="22"/>
  <c r="H90" i="22"/>
  <c r="J89" i="22"/>
  <c r="H89" i="22"/>
  <c r="J88" i="22"/>
  <c r="H88" i="22"/>
  <c r="J87" i="22"/>
  <c r="H87" i="22"/>
  <c r="J86" i="22"/>
  <c r="H86" i="22"/>
  <c r="J85" i="22"/>
  <c r="H85" i="22"/>
  <c r="J84" i="22"/>
  <c r="H84" i="22"/>
  <c r="J83" i="22"/>
  <c r="H83" i="22"/>
  <c r="J82" i="22"/>
  <c r="H82" i="22"/>
  <c r="J81" i="22"/>
  <c r="H81" i="22"/>
  <c r="J80" i="22"/>
  <c r="H80" i="22"/>
  <c r="J79" i="22"/>
  <c r="H79" i="22"/>
  <c r="J78" i="22"/>
  <c r="H78" i="22"/>
  <c r="J77" i="22"/>
  <c r="H77" i="22"/>
  <c r="J76" i="22"/>
  <c r="H76" i="22"/>
  <c r="J75" i="22"/>
  <c r="H75" i="22"/>
  <c r="J74" i="22"/>
  <c r="H74" i="22"/>
  <c r="J73" i="22"/>
  <c r="H73" i="22"/>
  <c r="J72" i="22"/>
  <c r="H72" i="22"/>
  <c r="J71" i="22"/>
  <c r="H71" i="22"/>
  <c r="J70" i="22"/>
  <c r="H70" i="22"/>
  <c r="J69" i="22"/>
  <c r="H69" i="22"/>
  <c r="J68" i="22"/>
  <c r="H68" i="22"/>
  <c r="J67" i="22"/>
  <c r="H67" i="22"/>
  <c r="J66" i="22"/>
  <c r="H66" i="22"/>
  <c r="J65" i="22"/>
  <c r="H65" i="22"/>
  <c r="J64" i="22"/>
  <c r="H64" i="22"/>
  <c r="J63" i="22"/>
  <c r="H63" i="22"/>
  <c r="J62" i="22"/>
  <c r="H62" i="22"/>
  <c r="J61" i="22"/>
  <c r="H61" i="22"/>
  <c r="J60" i="22"/>
  <c r="H60" i="22"/>
  <c r="J59" i="22"/>
  <c r="H59" i="22"/>
  <c r="J58" i="22"/>
  <c r="H58" i="22"/>
  <c r="J57" i="22"/>
  <c r="H57" i="22"/>
  <c r="J86" i="40"/>
  <c r="H86" i="40"/>
  <c r="J85" i="40"/>
  <c r="H85" i="40"/>
  <c r="J84" i="40"/>
  <c r="H84" i="40"/>
  <c r="J83" i="40"/>
  <c r="H83" i="40"/>
  <c r="J82" i="40"/>
  <c r="H82" i="40"/>
  <c r="J81" i="40"/>
  <c r="H81" i="40"/>
  <c r="J80" i="40"/>
  <c r="H80" i="40"/>
  <c r="J79" i="40"/>
  <c r="H79" i="40"/>
  <c r="J78" i="40"/>
  <c r="H78" i="40"/>
  <c r="J77" i="40"/>
  <c r="H77" i="40"/>
  <c r="J76" i="40"/>
  <c r="H76" i="40"/>
  <c r="J75" i="40"/>
  <c r="H75" i="40"/>
  <c r="J74" i="40"/>
  <c r="H74" i="40"/>
  <c r="J73" i="40"/>
  <c r="H73" i="40"/>
  <c r="J72" i="40"/>
  <c r="H72" i="40"/>
  <c r="J71" i="40"/>
  <c r="H71" i="40"/>
  <c r="J70" i="40"/>
  <c r="H70" i="40"/>
  <c r="J69" i="40"/>
  <c r="H69" i="40"/>
  <c r="J68" i="40"/>
  <c r="H68" i="40"/>
  <c r="J67" i="40"/>
  <c r="H67" i="40"/>
  <c r="J66" i="40"/>
  <c r="H66" i="40"/>
  <c r="J65" i="40"/>
  <c r="H65" i="40"/>
  <c r="J64" i="40"/>
  <c r="H64" i="40"/>
  <c r="J63" i="40"/>
  <c r="H63" i="40"/>
  <c r="J62" i="40"/>
  <c r="H62" i="40"/>
  <c r="J61" i="40"/>
  <c r="H61" i="40"/>
  <c r="J60" i="40"/>
  <c r="H60" i="40"/>
  <c r="J59" i="40"/>
  <c r="H59" i="40"/>
  <c r="J58" i="40"/>
  <c r="H58" i="40"/>
  <c r="J57" i="40"/>
  <c r="H57" i="40"/>
  <c r="J56" i="40"/>
  <c r="H56" i="40"/>
  <c r="J55" i="40"/>
  <c r="H55" i="40"/>
  <c r="J54" i="40"/>
  <c r="H54" i="40"/>
  <c r="J53" i="40"/>
  <c r="H53" i="40"/>
  <c r="J52" i="40"/>
  <c r="H52" i="40"/>
  <c r="J51" i="40"/>
  <c r="H51" i="40"/>
  <c r="J50" i="40"/>
  <c r="H50" i="40"/>
  <c r="J49" i="40"/>
  <c r="H49" i="40"/>
  <c r="J48" i="40"/>
  <c r="H48" i="40"/>
  <c r="J47" i="40"/>
  <c r="H47" i="40"/>
  <c r="J46" i="40"/>
  <c r="H46" i="40"/>
  <c r="J45" i="40"/>
  <c r="H45" i="40"/>
  <c r="J44" i="40"/>
  <c r="H44" i="40"/>
  <c r="J43" i="40"/>
  <c r="H43" i="40"/>
  <c r="J42" i="40"/>
  <c r="H42" i="40"/>
  <c r="J41" i="40"/>
  <c r="H41" i="40"/>
  <c r="J40" i="40"/>
  <c r="H40" i="40"/>
  <c r="J39" i="40"/>
  <c r="H39" i="40"/>
  <c r="J38" i="40"/>
  <c r="H38" i="40"/>
  <c r="J37" i="40"/>
  <c r="H37" i="40"/>
  <c r="J36" i="40"/>
  <c r="H36" i="40"/>
  <c r="J35" i="40"/>
  <c r="H35" i="40"/>
  <c r="J34" i="40"/>
  <c r="H34" i="40"/>
  <c r="J33" i="40"/>
  <c r="H33" i="40"/>
  <c r="J32" i="40"/>
  <c r="H32" i="40"/>
  <c r="J31" i="40"/>
  <c r="H31" i="40"/>
  <c r="J30" i="40"/>
  <c r="H30" i="40"/>
  <c r="J29" i="40"/>
  <c r="H29" i="40"/>
  <c r="J28" i="40"/>
  <c r="H28" i="40"/>
  <c r="J27" i="40"/>
  <c r="H27" i="40"/>
  <c r="J26" i="40"/>
  <c r="H26" i="40"/>
  <c r="J25" i="40"/>
  <c r="H25" i="40"/>
  <c r="J24" i="40"/>
  <c r="H24" i="40"/>
  <c r="J23" i="40"/>
  <c r="H23" i="40"/>
  <c r="J22" i="40"/>
  <c r="H22" i="40"/>
  <c r="J21" i="40"/>
  <c r="H21" i="40"/>
  <c r="J20" i="40"/>
  <c r="H20" i="40"/>
  <c r="J19" i="40"/>
  <c r="H19" i="40"/>
  <c r="J18" i="40"/>
  <c r="H18" i="40"/>
  <c r="J17" i="40"/>
  <c r="H17" i="40"/>
  <c r="J16" i="40"/>
  <c r="H16" i="40"/>
  <c r="J15" i="40"/>
  <c r="H15" i="40"/>
  <c r="J14" i="40"/>
  <c r="H14" i="40"/>
  <c r="J13" i="40"/>
  <c r="H13" i="40"/>
  <c r="J12" i="40"/>
  <c r="H12" i="40"/>
  <c r="J11" i="40"/>
  <c r="H11" i="40"/>
  <c r="J10" i="40"/>
  <c r="H10" i="40"/>
  <c r="J9" i="40"/>
  <c r="H9" i="40"/>
  <c r="J8" i="40"/>
  <c r="H8" i="40"/>
  <c r="J7" i="40"/>
  <c r="H7" i="40"/>
  <c r="J6" i="40"/>
  <c r="H6" i="40"/>
  <c r="J5" i="40"/>
  <c r="H5" i="40"/>
  <c r="J4" i="40"/>
  <c r="H4" i="40"/>
  <c r="J3" i="40"/>
  <c r="H3" i="40"/>
  <c r="J2" i="40"/>
  <c r="H2" i="40"/>
  <c r="J101" i="39"/>
  <c r="H101" i="39"/>
  <c r="J100" i="39"/>
  <c r="H100" i="39"/>
  <c r="J99" i="39"/>
  <c r="H99" i="39"/>
  <c r="J98" i="39"/>
  <c r="H98" i="39"/>
  <c r="J97" i="39"/>
  <c r="H97" i="39"/>
  <c r="J96" i="39"/>
  <c r="H96" i="39"/>
  <c r="J95" i="39"/>
  <c r="H95" i="39"/>
  <c r="J94" i="39"/>
  <c r="H94" i="39"/>
  <c r="J93" i="39"/>
  <c r="H93" i="39"/>
  <c r="J92" i="39"/>
  <c r="H92" i="39"/>
  <c r="J91" i="39"/>
  <c r="H91" i="39"/>
  <c r="J90" i="39"/>
  <c r="H90" i="39"/>
  <c r="J89" i="39"/>
  <c r="H89" i="39"/>
  <c r="J88" i="39"/>
  <c r="H88" i="39"/>
  <c r="J87" i="39"/>
  <c r="H87" i="39"/>
  <c r="J86" i="39"/>
  <c r="H86" i="39"/>
  <c r="J85" i="39"/>
  <c r="H85" i="39"/>
  <c r="J84" i="39"/>
  <c r="H84" i="39"/>
  <c r="J83" i="39"/>
  <c r="H83" i="39"/>
  <c r="J82" i="39"/>
  <c r="H82" i="39"/>
  <c r="J81" i="39"/>
  <c r="H81" i="39"/>
  <c r="J80" i="39"/>
  <c r="H80" i="39"/>
  <c r="J79" i="39"/>
  <c r="H79" i="39"/>
  <c r="J78" i="39"/>
  <c r="H78" i="39"/>
  <c r="J77" i="39"/>
  <c r="H77" i="39"/>
  <c r="J76" i="39"/>
  <c r="H76" i="39"/>
  <c r="J75" i="39"/>
  <c r="H75" i="39"/>
  <c r="J74" i="39"/>
  <c r="H74" i="39"/>
  <c r="J73" i="39"/>
  <c r="H73" i="39"/>
  <c r="J72" i="39"/>
  <c r="H72" i="39"/>
  <c r="J71" i="39"/>
  <c r="H71" i="39"/>
  <c r="J70" i="39"/>
  <c r="H70" i="39"/>
  <c r="J69" i="39"/>
  <c r="H69" i="39"/>
  <c r="J68" i="39"/>
  <c r="H68" i="39"/>
  <c r="J67" i="39"/>
  <c r="H67" i="39"/>
  <c r="J66" i="39"/>
  <c r="H66" i="39"/>
  <c r="J65" i="39"/>
  <c r="H65" i="39"/>
  <c r="J64" i="39"/>
  <c r="H64" i="39"/>
  <c r="J63" i="39"/>
  <c r="H63" i="39"/>
  <c r="J62" i="39"/>
  <c r="H62" i="39"/>
  <c r="J61" i="39"/>
  <c r="H61" i="39"/>
  <c r="J60" i="39"/>
  <c r="H60" i="39"/>
  <c r="J59" i="39"/>
  <c r="H59" i="39"/>
  <c r="J58" i="39"/>
  <c r="H58" i="39"/>
  <c r="J57" i="39"/>
  <c r="H57" i="39"/>
  <c r="J56" i="39"/>
  <c r="H56" i="39"/>
  <c r="J55" i="39"/>
  <c r="H55" i="39"/>
  <c r="J54" i="39"/>
  <c r="H54" i="39"/>
  <c r="J53" i="39"/>
  <c r="H53" i="39"/>
  <c r="J52" i="39"/>
  <c r="H52" i="39"/>
  <c r="J51" i="39"/>
  <c r="H51" i="39"/>
  <c r="J50" i="39"/>
  <c r="H50" i="39"/>
  <c r="J49" i="39"/>
  <c r="H49" i="39"/>
  <c r="J48" i="39"/>
  <c r="H48" i="39"/>
  <c r="J47" i="39"/>
  <c r="H47" i="39"/>
  <c r="J46" i="39"/>
  <c r="H46" i="39"/>
  <c r="J45" i="39"/>
  <c r="H45" i="39"/>
  <c r="J44" i="39"/>
  <c r="H44" i="39"/>
  <c r="J43" i="39"/>
  <c r="H43" i="39"/>
  <c r="J42" i="39"/>
  <c r="H42" i="39"/>
  <c r="J41" i="39"/>
  <c r="H41" i="39"/>
  <c r="J40" i="39"/>
  <c r="H40" i="39"/>
  <c r="J39" i="39"/>
  <c r="H39" i="39"/>
  <c r="J38" i="39"/>
  <c r="H38" i="39"/>
  <c r="J37" i="39"/>
  <c r="H37" i="39"/>
  <c r="J36" i="39"/>
  <c r="H36" i="39"/>
  <c r="J35" i="39"/>
  <c r="H35" i="39"/>
  <c r="J34" i="39"/>
  <c r="H34" i="39"/>
  <c r="H36" i="38"/>
  <c r="J35" i="38"/>
  <c r="H35" i="38"/>
  <c r="J32" i="38"/>
  <c r="H32" i="38"/>
  <c r="J31" i="38"/>
  <c r="H31" i="38"/>
  <c r="J29" i="38"/>
  <c r="H29" i="38"/>
  <c r="J27" i="38"/>
  <c r="H27" i="38"/>
  <c r="J25" i="38"/>
  <c r="J24" i="38"/>
  <c r="H24" i="38"/>
  <c r="J22" i="38"/>
  <c r="H22" i="38"/>
  <c r="J20" i="38"/>
  <c r="J19" i="38"/>
  <c r="H19" i="38"/>
  <c r="J17" i="38"/>
  <c r="H17" i="38"/>
  <c r="J15" i="38"/>
  <c r="H15" i="38"/>
  <c r="J13" i="38"/>
  <c r="H13" i="38"/>
  <c r="H12" i="38"/>
  <c r="J10" i="38"/>
  <c r="J9" i="38"/>
  <c r="H9" i="38"/>
  <c r="J8" i="38"/>
  <c r="H8" i="38"/>
  <c r="J6" i="38"/>
  <c r="J5" i="38"/>
  <c r="H5" i="38"/>
  <c r="J101" i="37"/>
  <c r="H101" i="37"/>
  <c r="J100" i="37"/>
  <c r="J99" i="37"/>
  <c r="J98" i="37"/>
  <c r="J97" i="37"/>
  <c r="H97" i="37"/>
  <c r="J95" i="37"/>
  <c r="J94" i="37"/>
  <c r="J93" i="37"/>
  <c r="H93" i="37"/>
  <c r="J91" i="37"/>
  <c r="H91" i="37"/>
  <c r="J89" i="37"/>
  <c r="J88" i="37"/>
  <c r="H88" i="37"/>
  <c r="J86" i="37"/>
  <c r="H86" i="37"/>
  <c r="J84" i="37"/>
  <c r="H84" i="37"/>
  <c r="J83" i="37"/>
  <c r="H83" i="37"/>
  <c r="J81" i="37"/>
  <c r="H81" i="37"/>
  <c r="J41" i="36"/>
  <c r="J40" i="36"/>
  <c r="H40" i="36"/>
  <c r="J39" i="36"/>
  <c r="J36" i="36"/>
  <c r="H35" i="36"/>
  <c r="J34" i="36"/>
  <c r="H34" i="36"/>
  <c r="J33" i="36"/>
  <c r="H33" i="36"/>
  <c r="J32" i="36"/>
  <c r="H32" i="36"/>
  <c r="J31" i="36"/>
  <c r="H29" i="36"/>
  <c r="H28" i="36"/>
  <c r="J27" i="36"/>
  <c r="H27" i="36"/>
  <c r="J26" i="36"/>
  <c r="H73" i="34"/>
  <c r="J69" i="31"/>
  <c r="H41" i="27"/>
  <c r="J40" i="27"/>
  <c r="H40" i="27"/>
  <c r="H39" i="27"/>
  <c r="H38" i="27"/>
  <c r="H36" i="27"/>
  <c r="H35" i="27"/>
  <c r="I15" i="25"/>
  <c r="I2" i="25"/>
  <c r="J32" i="39"/>
  <c r="H32" i="39"/>
  <c r="J31" i="39"/>
  <c r="H31" i="39"/>
  <c r="J30" i="39"/>
  <c r="H30" i="39"/>
  <c r="J29" i="39"/>
  <c r="H29" i="39"/>
  <c r="J28" i="39"/>
  <c r="H28" i="39"/>
  <c r="J27" i="39"/>
  <c r="H27" i="39"/>
  <c r="J26" i="39"/>
  <c r="H26" i="39"/>
  <c r="J25" i="39"/>
  <c r="H25" i="39"/>
  <c r="J24" i="39"/>
  <c r="H24" i="39"/>
  <c r="J23" i="39"/>
  <c r="H23" i="39"/>
  <c r="J22" i="39"/>
  <c r="H22" i="39"/>
  <c r="J21" i="39"/>
  <c r="H21" i="39"/>
  <c r="J20" i="39"/>
  <c r="H20" i="39"/>
  <c r="J19" i="39"/>
  <c r="H19" i="39"/>
  <c r="J18" i="39"/>
  <c r="H18" i="39"/>
  <c r="J17" i="39"/>
  <c r="H17" i="39"/>
  <c r="J16" i="39"/>
  <c r="H16" i="39"/>
  <c r="J15" i="39"/>
  <c r="H15" i="39"/>
  <c r="J14" i="39"/>
  <c r="H14" i="39"/>
  <c r="J13" i="39"/>
  <c r="H13" i="39"/>
  <c r="J12" i="39"/>
  <c r="H12" i="39"/>
  <c r="J11" i="39"/>
  <c r="H11" i="39"/>
  <c r="J10" i="39"/>
  <c r="H10" i="39"/>
  <c r="J9" i="39"/>
  <c r="H9" i="39"/>
  <c r="J8" i="39"/>
  <c r="H8" i="39"/>
  <c r="J7" i="39"/>
  <c r="H7" i="39"/>
  <c r="J6" i="39"/>
  <c r="H6" i="39"/>
  <c r="J5" i="39"/>
  <c r="H5" i="39"/>
  <c r="J4" i="39"/>
  <c r="H4" i="39"/>
  <c r="J3" i="39"/>
  <c r="H3" i="39"/>
  <c r="J2" i="39"/>
  <c r="H2" i="39"/>
  <c r="J101" i="38"/>
  <c r="H101" i="38"/>
  <c r="J100" i="38"/>
  <c r="H100" i="38"/>
  <c r="J99" i="38"/>
  <c r="H99" i="38"/>
  <c r="J98" i="38"/>
  <c r="H98" i="38"/>
  <c r="J97" i="38"/>
  <c r="H97" i="38"/>
  <c r="J96" i="38"/>
  <c r="H96" i="38"/>
  <c r="J95" i="38"/>
  <c r="H95" i="38"/>
  <c r="J94" i="38"/>
  <c r="H94" i="38"/>
  <c r="J93" i="38"/>
  <c r="H93" i="38"/>
  <c r="J92" i="38"/>
  <c r="H92" i="38"/>
  <c r="J91" i="38"/>
  <c r="H91" i="38"/>
  <c r="J90" i="38"/>
  <c r="H90" i="38"/>
  <c r="J89" i="38"/>
  <c r="H89" i="38"/>
  <c r="J88" i="38"/>
  <c r="H88" i="38"/>
  <c r="J87" i="38"/>
  <c r="H87" i="38"/>
  <c r="J86" i="38"/>
  <c r="H86" i="38"/>
  <c r="J85" i="38"/>
  <c r="H85" i="38"/>
  <c r="J84" i="38"/>
  <c r="H84" i="38"/>
  <c r="J83" i="38"/>
  <c r="H83" i="38"/>
  <c r="J82" i="38"/>
  <c r="H82" i="38"/>
  <c r="J81" i="38"/>
  <c r="H81" i="38"/>
  <c r="J80" i="38"/>
  <c r="H80" i="38"/>
  <c r="J79" i="38"/>
  <c r="H79" i="38"/>
  <c r="J78" i="38"/>
  <c r="H78" i="38"/>
  <c r="J77" i="38"/>
  <c r="H77" i="38"/>
  <c r="J76" i="38"/>
  <c r="H76" i="38"/>
  <c r="J75" i="38"/>
  <c r="H75" i="38"/>
  <c r="J74" i="38"/>
  <c r="H74" i="38"/>
  <c r="J73" i="38"/>
  <c r="H73" i="38"/>
  <c r="J72" i="38"/>
  <c r="H72" i="38"/>
  <c r="J71" i="38"/>
  <c r="H71" i="38"/>
  <c r="J70" i="38"/>
  <c r="H70" i="38"/>
  <c r="J69" i="38"/>
  <c r="H69" i="38"/>
  <c r="J68" i="38"/>
  <c r="H68" i="38"/>
  <c r="J67" i="38"/>
  <c r="H67" i="38"/>
  <c r="J66" i="38"/>
  <c r="H66" i="38"/>
  <c r="J65" i="38"/>
  <c r="H65" i="38"/>
  <c r="J64" i="38"/>
  <c r="H64" i="38"/>
  <c r="J63" i="38"/>
  <c r="H63" i="38"/>
  <c r="J62" i="38"/>
  <c r="H62" i="38"/>
  <c r="J61" i="38"/>
  <c r="H61" i="38"/>
  <c r="J60" i="38"/>
  <c r="H60" i="38"/>
  <c r="J59" i="38"/>
  <c r="H59" i="38"/>
  <c r="J58" i="38"/>
  <c r="H58" i="38"/>
  <c r="J57" i="38"/>
  <c r="H57" i="38"/>
  <c r="J56" i="38"/>
  <c r="H56" i="38"/>
  <c r="J55" i="38"/>
  <c r="H55" i="38"/>
  <c r="J54" i="38"/>
  <c r="H54" i="38"/>
  <c r="J53" i="38"/>
  <c r="H53" i="38"/>
  <c r="J52" i="38"/>
  <c r="H52" i="38"/>
  <c r="J51" i="38"/>
  <c r="H51" i="38"/>
  <c r="J50" i="38"/>
  <c r="H50" i="38"/>
  <c r="J49" i="38"/>
  <c r="H49" i="38"/>
  <c r="J48" i="38"/>
  <c r="H48" i="38"/>
  <c r="J47" i="38"/>
  <c r="H47" i="38"/>
  <c r="J46" i="38"/>
  <c r="H46" i="38"/>
  <c r="J45" i="38"/>
  <c r="H45" i="38"/>
  <c r="J44" i="38"/>
  <c r="H44" i="38"/>
  <c r="J43" i="38"/>
  <c r="H43" i="38"/>
  <c r="J42" i="38"/>
  <c r="H42" i="38"/>
  <c r="J41" i="38"/>
  <c r="H41" i="38"/>
  <c r="J40" i="38"/>
  <c r="H40" i="38"/>
  <c r="J39" i="38"/>
  <c r="H39" i="38"/>
  <c r="J38" i="38"/>
  <c r="H38" i="38"/>
  <c r="J37" i="38"/>
  <c r="H37" i="38"/>
  <c r="J36" i="38"/>
  <c r="J34" i="38"/>
  <c r="H34" i="38"/>
  <c r="J33" i="38"/>
  <c r="H33" i="38"/>
  <c r="J30" i="38"/>
  <c r="H30" i="38"/>
  <c r="J28" i="38"/>
  <c r="H28" i="38"/>
  <c r="J26" i="38"/>
  <c r="H26" i="38"/>
  <c r="H25" i="38"/>
  <c r="J23" i="38"/>
  <c r="H23" i="38"/>
  <c r="J21" i="38"/>
  <c r="H21" i="38"/>
  <c r="H20" i="38"/>
  <c r="J18" i="38"/>
  <c r="H18" i="38"/>
  <c r="J16" i="38"/>
  <c r="H16" i="38"/>
  <c r="J14" i="38"/>
  <c r="H14" i="38"/>
  <c r="J12" i="38"/>
  <c r="J11" i="38"/>
  <c r="H11" i="38"/>
  <c r="H10" i="38"/>
  <c r="J7" i="38"/>
  <c r="H7" i="38"/>
  <c r="H6" i="38"/>
  <c r="J4" i="38"/>
  <c r="H4" i="38"/>
  <c r="J3" i="38"/>
  <c r="H3" i="38"/>
  <c r="J2" i="38"/>
  <c r="H2" i="38"/>
  <c r="H100" i="37"/>
  <c r="H99" i="37"/>
  <c r="H98" i="37"/>
  <c r="J96" i="37"/>
  <c r="H96" i="37"/>
  <c r="H95" i="37"/>
  <c r="H94" i="37"/>
  <c r="J92" i="37"/>
  <c r="H92" i="37"/>
  <c r="J90" i="37"/>
  <c r="H90" i="37"/>
  <c r="H89" i="37"/>
  <c r="J87" i="37"/>
  <c r="H87" i="37"/>
  <c r="J85" i="37"/>
  <c r="H85" i="37"/>
  <c r="J82" i="37"/>
  <c r="H82" i="37"/>
  <c r="J80" i="37"/>
  <c r="H80" i="37"/>
  <c r="H42" i="36"/>
  <c r="H38" i="36"/>
  <c r="H26" i="36"/>
  <c r="J101" i="25"/>
  <c r="H101" i="25"/>
  <c r="J100" i="25"/>
  <c r="H100" i="25"/>
  <c r="J99" i="25"/>
  <c r="H99" i="25"/>
  <c r="J98" i="25"/>
  <c r="H98" i="25"/>
  <c r="J97" i="25"/>
  <c r="H97" i="25"/>
  <c r="J96" i="25"/>
  <c r="H96" i="25"/>
  <c r="J95" i="25"/>
  <c r="H95" i="25"/>
  <c r="J94" i="25"/>
  <c r="H94" i="25"/>
  <c r="J93" i="25"/>
  <c r="H93" i="25"/>
  <c r="J92" i="25"/>
  <c r="H92" i="25"/>
  <c r="J91" i="25"/>
  <c r="H91" i="25"/>
  <c r="J90" i="25"/>
  <c r="H90" i="25"/>
  <c r="J89" i="25"/>
  <c r="H89" i="25"/>
  <c r="J88" i="25"/>
  <c r="H88" i="25"/>
  <c r="J87" i="25"/>
  <c r="H87" i="25"/>
  <c r="J86" i="25"/>
  <c r="H86" i="25"/>
  <c r="J85" i="25"/>
  <c r="H85" i="25"/>
  <c r="J84" i="25"/>
  <c r="H84" i="25"/>
  <c r="J83" i="25"/>
  <c r="H83" i="25"/>
  <c r="J82" i="25"/>
  <c r="H82" i="25"/>
  <c r="J81" i="25"/>
  <c r="H81" i="25"/>
  <c r="J80" i="25"/>
  <c r="H80" i="25"/>
  <c r="J79" i="25"/>
  <c r="H79" i="25"/>
  <c r="J78" i="25"/>
  <c r="H78" i="25"/>
  <c r="J77" i="25"/>
  <c r="H77" i="25"/>
  <c r="J76" i="25"/>
  <c r="H76" i="25"/>
  <c r="J75" i="25"/>
  <c r="H75" i="25"/>
  <c r="J74" i="25"/>
  <c r="H74" i="25"/>
  <c r="J73" i="25"/>
  <c r="H73" i="25"/>
  <c r="J72" i="25"/>
  <c r="H72" i="25"/>
  <c r="J71" i="25"/>
  <c r="H71" i="25"/>
  <c r="J70" i="25"/>
  <c r="H70" i="25"/>
  <c r="J69" i="25"/>
  <c r="H69" i="25"/>
  <c r="J68" i="25"/>
  <c r="H68" i="25"/>
  <c r="J67" i="25"/>
  <c r="H67" i="25"/>
  <c r="J66" i="25"/>
  <c r="H66" i="25"/>
  <c r="J65" i="25"/>
  <c r="H65" i="25"/>
  <c r="J64" i="25"/>
  <c r="H64" i="25"/>
  <c r="J63" i="25"/>
  <c r="H63" i="25"/>
  <c r="J62" i="25"/>
  <c r="H62" i="25"/>
  <c r="J61" i="25"/>
  <c r="H61" i="25"/>
  <c r="J60" i="25"/>
  <c r="H60" i="25"/>
  <c r="J59" i="25"/>
  <c r="H59" i="25"/>
  <c r="J58" i="25"/>
  <c r="H58" i="25"/>
  <c r="J57" i="25"/>
  <c r="H57" i="25"/>
  <c r="J56" i="25"/>
  <c r="H56" i="25"/>
  <c r="J55" i="25"/>
  <c r="H55" i="25"/>
  <c r="J54" i="25"/>
  <c r="H54" i="25"/>
  <c r="J53" i="25"/>
  <c r="H53" i="25"/>
  <c r="J52" i="25"/>
  <c r="H52" i="25"/>
  <c r="J51" i="25"/>
  <c r="H51" i="25"/>
  <c r="J50" i="25"/>
  <c r="H50" i="25"/>
  <c r="J49" i="25"/>
  <c r="H49" i="25"/>
  <c r="I30" i="25"/>
  <c r="I12" i="25"/>
  <c r="H79" i="37"/>
  <c r="J78" i="37"/>
  <c r="H78" i="37"/>
  <c r="J77" i="37"/>
  <c r="H77" i="37"/>
  <c r="J76" i="37"/>
  <c r="H76" i="37"/>
  <c r="J75" i="37"/>
  <c r="H75" i="37"/>
  <c r="J74" i="37"/>
  <c r="H74" i="37"/>
  <c r="J73" i="37"/>
  <c r="H73" i="37"/>
  <c r="J72" i="37"/>
  <c r="H72" i="37"/>
  <c r="J71" i="37"/>
  <c r="H71" i="37"/>
  <c r="J70" i="37"/>
  <c r="H70" i="37"/>
  <c r="J69" i="37"/>
  <c r="H69" i="37"/>
  <c r="J68" i="37"/>
  <c r="H68" i="37"/>
  <c r="J67" i="37"/>
  <c r="H67" i="37"/>
  <c r="J66" i="37"/>
  <c r="H66" i="37"/>
  <c r="J65" i="37"/>
  <c r="H65" i="37"/>
  <c r="J64" i="37"/>
  <c r="H64" i="37"/>
  <c r="J63" i="37"/>
  <c r="H63" i="37"/>
  <c r="J62" i="37"/>
  <c r="H62" i="37"/>
  <c r="J61" i="37"/>
  <c r="H61" i="37"/>
  <c r="J60" i="37"/>
  <c r="H60" i="37"/>
  <c r="J59" i="37"/>
  <c r="H59" i="37"/>
  <c r="J58" i="37"/>
  <c r="H58" i="37"/>
  <c r="J57" i="37"/>
  <c r="H57" i="37"/>
  <c r="J56" i="37"/>
  <c r="H56" i="37"/>
  <c r="J55" i="37"/>
  <c r="H55" i="37"/>
  <c r="J54" i="37"/>
  <c r="H54" i="37"/>
  <c r="J53" i="37"/>
  <c r="H53" i="37"/>
  <c r="J52" i="37"/>
  <c r="H52" i="37"/>
  <c r="J51" i="37"/>
  <c r="H51" i="37"/>
  <c r="J50" i="37"/>
  <c r="H50" i="37"/>
  <c r="J49" i="37"/>
  <c r="H49" i="37"/>
  <c r="J48" i="37"/>
  <c r="H48" i="37"/>
  <c r="J47" i="37"/>
  <c r="H47" i="37"/>
  <c r="J46" i="37"/>
  <c r="H46" i="37"/>
  <c r="J45" i="37"/>
  <c r="H45" i="37"/>
  <c r="J44" i="37"/>
  <c r="H44" i="37"/>
  <c r="J43" i="37"/>
  <c r="H43" i="37"/>
  <c r="J42" i="37"/>
  <c r="H42" i="37"/>
  <c r="J41" i="37"/>
  <c r="H41" i="37"/>
  <c r="J40" i="37"/>
  <c r="H40" i="37"/>
  <c r="J39" i="37"/>
  <c r="H39" i="37"/>
  <c r="J38" i="37"/>
  <c r="H38" i="37"/>
  <c r="J37" i="37"/>
  <c r="H37" i="37"/>
  <c r="J36" i="37"/>
  <c r="H36" i="37"/>
  <c r="J35" i="37"/>
  <c r="H35" i="37"/>
  <c r="J34" i="37"/>
  <c r="H34" i="37"/>
  <c r="J33" i="37"/>
  <c r="H33" i="37"/>
  <c r="J32" i="37"/>
  <c r="H32" i="37"/>
  <c r="J31" i="37"/>
  <c r="H31" i="37"/>
  <c r="J30" i="37"/>
  <c r="H30" i="37"/>
  <c r="J29" i="37"/>
  <c r="H29" i="37"/>
  <c r="J28" i="37"/>
  <c r="H28" i="37"/>
  <c r="J27" i="37"/>
  <c r="H27" i="37"/>
  <c r="J26" i="37"/>
  <c r="H26" i="37"/>
  <c r="J25" i="37"/>
  <c r="H25" i="37"/>
  <c r="J24" i="37"/>
  <c r="H24" i="37"/>
  <c r="J23" i="37"/>
  <c r="H23" i="37"/>
  <c r="J22" i="37"/>
  <c r="H22" i="37"/>
  <c r="J21" i="37"/>
  <c r="H21" i="37"/>
  <c r="J20" i="37"/>
  <c r="H20" i="37"/>
  <c r="J19" i="37"/>
  <c r="H19" i="37"/>
  <c r="J18" i="37"/>
  <c r="H18" i="37"/>
  <c r="J17" i="37"/>
  <c r="H17" i="37"/>
  <c r="J16" i="37"/>
  <c r="H16" i="37"/>
  <c r="J15" i="37"/>
  <c r="H15" i="37"/>
  <c r="J14" i="37"/>
  <c r="H14" i="37"/>
  <c r="J13" i="37"/>
  <c r="H13" i="37"/>
  <c r="J12" i="37"/>
  <c r="H12" i="37"/>
  <c r="J11" i="37"/>
  <c r="H11" i="37"/>
  <c r="J10" i="37"/>
  <c r="H10" i="37"/>
  <c r="J9" i="37"/>
  <c r="H9" i="37"/>
  <c r="J8" i="37"/>
  <c r="H8" i="37"/>
  <c r="J7" i="37"/>
  <c r="H7" i="37"/>
  <c r="J6" i="37"/>
  <c r="H6" i="37"/>
  <c r="J5" i="37"/>
  <c r="H5" i="37"/>
  <c r="J4" i="37"/>
  <c r="H4" i="37"/>
  <c r="J3" i="37"/>
  <c r="H3" i="37"/>
  <c r="J2" i="37"/>
  <c r="H2" i="37"/>
  <c r="J101" i="36"/>
  <c r="H101" i="36"/>
  <c r="J100" i="36"/>
  <c r="H100" i="36"/>
  <c r="J99" i="36"/>
  <c r="H99" i="36"/>
  <c r="J98" i="36"/>
  <c r="H98" i="36"/>
  <c r="J97" i="36"/>
  <c r="H97" i="36"/>
  <c r="J96" i="36"/>
  <c r="H96" i="36"/>
  <c r="J95" i="36"/>
  <c r="H95" i="36"/>
  <c r="J94" i="36"/>
  <c r="H94" i="36"/>
  <c r="J93" i="36"/>
  <c r="H93" i="36"/>
  <c r="J92" i="36"/>
  <c r="H92" i="36"/>
  <c r="J91" i="36"/>
  <c r="H91" i="36"/>
  <c r="J90" i="36"/>
  <c r="H90" i="36"/>
  <c r="J89" i="36"/>
  <c r="H89" i="36"/>
  <c r="J88" i="36"/>
  <c r="H88" i="36"/>
  <c r="J87" i="36"/>
  <c r="H87" i="36"/>
  <c r="J86" i="36"/>
  <c r="H86" i="36"/>
  <c r="J85" i="36"/>
  <c r="H85" i="36"/>
  <c r="J84" i="36"/>
  <c r="H84" i="36"/>
  <c r="J83" i="36"/>
  <c r="H83" i="36"/>
  <c r="J82" i="36"/>
  <c r="H82" i="36"/>
  <c r="J81" i="36"/>
  <c r="H81" i="36"/>
  <c r="J80" i="36"/>
  <c r="H80" i="36"/>
  <c r="J79" i="36"/>
  <c r="H79" i="36"/>
  <c r="J78" i="36"/>
  <c r="H78" i="36"/>
  <c r="J77" i="36"/>
  <c r="H77" i="36"/>
  <c r="J76" i="36"/>
  <c r="H76" i="36"/>
  <c r="J75" i="36"/>
  <c r="H75" i="36"/>
  <c r="J74" i="36"/>
  <c r="H74" i="36"/>
  <c r="J73" i="36"/>
  <c r="H73" i="36"/>
  <c r="J72" i="36"/>
  <c r="H72" i="36"/>
  <c r="J71" i="36"/>
  <c r="H71" i="36"/>
  <c r="J70" i="36"/>
  <c r="H70" i="36"/>
  <c r="J69" i="36"/>
  <c r="H69" i="36"/>
  <c r="J68" i="36"/>
  <c r="H68" i="36"/>
  <c r="J67" i="36"/>
  <c r="H67" i="36"/>
  <c r="J66" i="36"/>
  <c r="H66" i="36"/>
  <c r="J65" i="36"/>
  <c r="H65" i="36"/>
  <c r="J64" i="36"/>
  <c r="H64" i="36"/>
  <c r="J63" i="36"/>
  <c r="H63" i="36"/>
  <c r="J62" i="36"/>
  <c r="H62" i="36"/>
  <c r="J61" i="36"/>
  <c r="H61" i="36"/>
  <c r="J60" i="36"/>
  <c r="H60" i="36"/>
  <c r="J59" i="36"/>
  <c r="H59" i="36"/>
  <c r="J58" i="36"/>
  <c r="H58" i="36"/>
  <c r="J57" i="36"/>
  <c r="H57" i="36"/>
  <c r="J56" i="36"/>
  <c r="H56" i="36"/>
  <c r="J55" i="36"/>
  <c r="H55" i="36"/>
  <c r="J54" i="36"/>
  <c r="H54" i="36"/>
  <c r="J53" i="36"/>
  <c r="H53" i="36"/>
  <c r="J52" i="36"/>
  <c r="H52" i="36"/>
  <c r="J51" i="36"/>
  <c r="H51" i="36"/>
  <c r="J50" i="36"/>
  <c r="H50" i="36"/>
  <c r="J49" i="36"/>
  <c r="H49" i="36"/>
  <c r="J48" i="36"/>
  <c r="H48" i="36"/>
  <c r="J47" i="36"/>
  <c r="H47" i="36"/>
  <c r="J46" i="36"/>
  <c r="H46" i="36"/>
  <c r="J45" i="36"/>
  <c r="H45" i="36"/>
  <c r="J44" i="36"/>
  <c r="H44" i="36"/>
  <c r="J43" i="36"/>
  <c r="H43" i="36"/>
  <c r="J42" i="36"/>
  <c r="H41" i="36"/>
  <c r="H39" i="36"/>
  <c r="J38" i="36"/>
  <c r="J37" i="36"/>
  <c r="H37" i="36"/>
  <c r="H36" i="36"/>
  <c r="J35" i="36"/>
  <c r="H31" i="36"/>
  <c r="J30" i="36"/>
  <c r="H30" i="36"/>
  <c r="J29" i="36"/>
  <c r="J28" i="36"/>
  <c r="H76" i="34"/>
  <c r="J74" i="34"/>
  <c r="H74" i="34"/>
  <c r="J71" i="31"/>
  <c r="J70" i="31"/>
  <c r="J68" i="31"/>
  <c r="H68" i="31"/>
  <c r="J65" i="31"/>
  <c r="H65" i="31"/>
  <c r="H25" i="36"/>
  <c r="J24" i="36"/>
  <c r="H24" i="36"/>
  <c r="J23" i="36"/>
  <c r="H23" i="36"/>
  <c r="J22" i="36"/>
  <c r="H22" i="36"/>
  <c r="J21" i="36"/>
  <c r="H21" i="36"/>
  <c r="J20" i="36"/>
  <c r="H20" i="36"/>
  <c r="J19" i="36"/>
  <c r="H19" i="36"/>
  <c r="J18" i="36"/>
  <c r="H18" i="36"/>
  <c r="J17" i="36"/>
  <c r="H17" i="36"/>
  <c r="J16" i="36"/>
  <c r="H16" i="36"/>
  <c r="J15" i="36"/>
  <c r="H15" i="36"/>
  <c r="J14" i="36"/>
  <c r="H14" i="36"/>
  <c r="J13" i="36"/>
  <c r="H13" i="36"/>
  <c r="J12" i="36"/>
  <c r="H12" i="36"/>
  <c r="J11" i="36"/>
  <c r="H11" i="36"/>
  <c r="J10" i="36"/>
  <c r="H10" i="36"/>
  <c r="J9" i="36"/>
  <c r="H9" i="36"/>
  <c r="J8" i="36"/>
  <c r="H8" i="36"/>
  <c r="J7" i="36"/>
  <c r="H7" i="36"/>
  <c r="J6" i="36"/>
  <c r="H6" i="36"/>
  <c r="J5" i="36"/>
  <c r="H5" i="36"/>
  <c r="J4" i="36"/>
  <c r="H4" i="36"/>
  <c r="J3" i="36"/>
  <c r="H3" i="36"/>
  <c r="J2" i="36"/>
  <c r="H2" i="36"/>
  <c r="J101" i="35"/>
  <c r="H101" i="35"/>
  <c r="J100" i="35"/>
  <c r="H100" i="35"/>
  <c r="J99" i="35"/>
  <c r="H99" i="35"/>
  <c r="J98" i="35"/>
  <c r="H98" i="35"/>
  <c r="J97" i="35"/>
  <c r="H97" i="35"/>
  <c r="J96" i="35"/>
  <c r="H96" i="35"/>
  <c r="J95" i="35"/>
  <c r="H95" i="35"/>
  <c r="J94" i="35"/>
  <c r="H94" i="35"/>
  <c r="J93" i="35"/>
  <c r="H93" i="35"/>
  <c r="J92" i="35"/>
  <c r="H92" i="35"/>
  <c r="J91" i="35"/>
  <c r="H91" i="35"/>
  <c r="J90" i="35"/>
  <c r="H90" i="35"/>
  <c r="J89" i="35"/>
  <c r="H89" i="35"/>
  <c r="J88" i="35"/>
  <c r="H88" i="35"/>
  <c r="J87" i="35"/>
  <c r="H87" i="35"/>
  <c r="J86" i="35"/>
  <c r="H86" i="35"/>
  <c r="J85" i="35"/>
  <c r="H85" i="35"/>
  <c r="J84" i="35"/>
  <c r="H84" i="35"/>
  <c r="J83" i="35"/>
  <c r="H83" i="35"/>
  <c r="J82" i="35"/>
  <c r="H82" i="35"/>
  <c r="J81" i="35"/>
  <c r="H81" i="35"/>
  <c r="J80" i="35"/>
  <c r="H80" i="35"/>
  <c r="J79" i="35"/>
  <c r="H79" i="35"/>
  <c r="J78" i="35"/>
  <c r="H78" i="35"/>
  <c r="J77" i="35"/>
  <c r="H77" i="35"/>
  <c r="J76" i="35"/>
  <c r="H76" i="35"/>
  <c r="J75" i="35"/>
  <c r="H75" i="35"/>
  <c r="J74" i="35"/>
  <c r="H74" i="35"/>
  <c r="J73" i="35"/>
  <c r="H73" i="35"/>
  <c r="J72" i="35"/>
  <c r="H72" i="35"/>
  <c r="J71" i="35"/>
  <c r="H71" i="35"/>
  <c r="J70" i="35"/>
  <c r="H70" i="35"/>
  <c r="J69" i="35"/>
  <c r="H69" i="35"/>
  <c r="J68" i="35"/>
  <c r="H68" i="35"/>
  <c r="J67" i="35"/>
  <c r="H67" i="35"/>
  <c r="J66" i="35"/>
  <c r="H66" i="35"/>
  <c r="J65" i="35"/>
  <c r="H65" i="35"/>
  <c r="J64" i="35"/>
  <c r="H64" i="35"/>
  <c r="J63" i="35"/>
  <c r="H63" i="35"/>
  <c r="J62" i="35"/>
  <c r="H62" i="35"/>
  <c r="J61" i="35"/>
  <c r="H61" i="35"/>
  <c r="J60" i="35"/>
  <c r="H60" i="35"/>
  <c r="J59" i="35"/>
  <c r="H59" i="35"/>
  <c r="J58" i="35"/>
  <c r="H58" i="35"/>
  <c r="J57" i="35"/>
  <c r="H57" i="35"/>
  <c r="J56" i="35"/>
  <c r="H56" i="35"/>
  <c r="J55" i="35"/>
  <c r="H55" i="35"/>
  <c r="J54" i="35"/>
  <c r="H54" i="35"/>
  <c r="J53" i="35"/>
  <c r="H53" i="35"/>
  <c r="J52" i="35"/>
  <c r="H52" i="35"/>
  <c r="J51" i="35"/>
  <c r="H51" i="35"/>
  <c r="J50" i="35"/>
  <c r="H50" i="35"/>
  <c r="J49" i="35"/>
  <c r="H49" i="35"/>
  <c r="J48" i="35"/>
  <c r="H48" i="35"/>
  <c r="J47" i="35"/>
  <c r="H47" i="35"/>
  <c r="J46" i="35"/>
  <c r="H46" i="35"/>
  <c r="J45" i="35"/>
  <c r="H45" i="35"/>
  <c r="J44" i="35"/>
  <c r="H44" i="35"/>
  <c r="J43" i="35"/>
  <c r="H43" i="35"/>
  <c r="J42" i="35"/>
  <c r="H42" i="35"/>
  <c r="J41" i="35"/>
  <c r="H41" i="35"/>
  <c r="J40" i="35"/>
  <c r="H40" i="35"/>
  <c r="J39" i="35"/>
  <c r="H39" i="35"/>
  <c r="J38" i="35"/>
  <c r="H38" i="35"/>
  <c r="J37" i="35"/>
  <c r="H37" i="35"/>
  <c r="J36" i="35"/>
  <c r="H36" i="35"/>
  <c r="J35" i="35"/>
  <c r="H35" i="35"/>
  <c r="J34" i="35"/>
  <c r="H34" i="35"/>
  <c r="J33" i="35"/>
  <c r="H33" i="35"/>
  <c r="J32" i="35"/>
  <c r="H32" i="35"/>
  <c r="J31" i="35"/>
  <c r="H31" i="35"/>
  <c r="J30" i="35"/>
  <c r="H30" i="35"/>
  <c r="J29" i="35"/>
  <c r="H29" i="35"/>
  <c r="J28" i="35"/>
  <c r="H28" i="35"/>
  <c r="J27" i="35"/>
  <c r="H27" i="35"/>
  <c r="J26" i="35"/>
  <c r="H26" i="35"/>
  <c r="J25" i="35"/>
  <c r="H25" i="35"/>
  <c r="J24" i="35"/>
  <c r="H24" i="35"/>
  <c r="J23" i="35"/>
  <c r="H23" i="35"/>
  <c r="J22" i="35"/>
  <c r="H22" i="35"/>
  <c r="J21" i="35"/>
  <c r="H21" i="35"/>
  <c r="J20" i="35"/>
  <c r="H20" i="35"/>
  <c r="J19" i="35"/>
  <c r="H19" i="35"/>
  <c r="J18" i="35"/>
  <c r="H18" i="35"/>
  <c r="J17" i="35"/>
  <c r="H17" i="35"/>
  <c r="J16" i="35"/>
  <c r="H16" i="35"/>
  <c r="J15" i="35"/>
  <c r="H15" i="35"/>
  <c r="J14" i="35"/>
  <c r="H14" i="35"/>
  <c r="J13" i="35"/>
  <c r="H13" i="35"/>
  <c r="J12" i="35"/>
  <c r="H12" i="35"/>
  <c r="J11" i="35"/>
  <c r="H11" i="35"/>
  <c r="J10" i="35"/>
  <c r="H10" i="35"/>
  <c r="J9" i="35"/>
  <c r="H9" i="35"/>
  <c r="J8" i="35"/>
  <c r="H8" i="35"/>
  <c r="J7" i="35"/>
  <c r="H7" i="35"/>
  <c r="J6" i="35"/>
  <c r="H6" i="35"/>
  <c r="J5" i="35"/>
  <c r="H5" i="35"/>
  <c r="J4" i="35"/>
  <c r="H4" i="35"/>
  <c r="J3" i="35"/>
  <c r="H3" i="35"/>
  <c r="J2" i="35"/>
  <c r="H2" i="35"/>
  <c r="J101" i="34"/>
  <c r="H101" i="34"/>
  <c r="J100" i="34"/>
  <c r="H100" i="34"/>
  <c r="J99" i="34"/>
  <c r="H99" i="34"/>
  <c r="J98" i="34"/>
  <c r="H98" i="34"/>
  <c r="J97" i="34"/>
  <c r="H97" i="34"/>
  <c r="J96" i="34"/>
  <c r="H96" i="34"/>
  <c r="J95" i="34"/>
  <c r="H95" i="34"/>
  <c r="J94" i="34"/>
  <c r="H94" i="34"/>
  <c r="J93" i="34"/>
  <c r="H93" i="34"/>
  <c r="J92" i="34"/>
  <c r="H92" i="34"/>
  <c r="J91" i="34"/>
  <c r="H91" i="34"/>
  <c r="J90" i="34"/>
  <c r="H90" i="34"/>
  <c r="J89" i="34"/>
  <c r="H89" i="34"/>
  <c r="J88" i="34"/>
  <c r="H88" i="34"/>
  <c r="J87" i="34"/>
  <c r="H87" i="34"/>
  <c r="J86" i="34"/>
  <c r="H86" i="34"/>
  <c r="J85" i="34"/>
  <c r="H85" i="34"/>
  <c r="J84" i="34"/>
  <c r="H84" i="34"/>
  <c r="J83" i="34"/>
  <c r="H83" i="34"/>
  <c r="J82" i="34"/>
  <c r="H82" i="34"/>
  <c r="J81" i="34"/>
  <c r="H81" i="34"/>
  <c r="J80" i="34"/>
  <c r="H80" i="34"/>
  <c r="J79" i="34"/>
  <c r="H79" i="34"/>
  <c r="J78" i="34"/>
  <c r="H78" i="34"/>
  <c r="J77" i="34"/>
  <c r="H77" i="34"/>
  <c r="J76" i="34"/>
  <c r="J75" i="34"/>
  <c r="J73" i="34"/>
  <c r="J72" i="34"/>
  <c r="H72" i="34"/>
  <c r="H71" i="31"/>
  <c r="H70" i="31"/>
  <c r="J66" i="31"/>
  <c r="H66" i="31"/>
  <c r="I22" i="25"/>
  <c r="J71" i="34"/>
  <c r="H71" i="34"/>
  <c r="J70" i="34"/>
  <c r="H70" i="34"/>
  <c r="J69" i="34"/>
  <c r="H69" i="34"/>
  <c r="J68" i="34"/>
  <c r="H68" i="34"/>
  <c r="J67" i="34"/>
  <c r="H67" i="34"/>
  <c r="J66" i="34"/>
  <c r="H66" i="34"/>
  <c r="J65" i="34"/>
  <c r="H65" i="34"/>
  <c r="J64" i="34"/>
  <c r="H64" i="34"/>
  <c r="J63" i="34"/>
  <c r="H63" i="34"/>
  <c r="J62" i="34"/>
  <c r="H62" i="34"/>
  <c r="J61" i="34"/>
  <c r="H61" i="34"/>
  <c r="J60" i="34"/>
  <c r="H60" i="34"/>
  <c r="J59" i="34"/>
  <c r="H59" i="34"/>
  <c r="J58" i="34"/>
  <c r="H58" i="34"/>
  <c r="J57" i="34"/>
  <c r="H57" i="34"/>
  <c r="J56" i="34"/>
  <c r="H56" i="34"/>
  <c r="J55" i="34"/>
  <c r="H55" i="34"/>
  <c r="J54" i="34"/>
  <c r="H54" i="34"/>
  <c r="J53" i="34"/>
  <c r="H53" i="34"/>
  <c r="J52" i="34"/>
  <c r="H52" i="34"/>
  <c r="J51" i="34"/>
  <c r="H51" i="34"/>
  <c r="J50" i="34"/>
  <c r="H50" i="34"/>
  <c r="J49" i="34"/>
  <c r="H49" i="34"/>
  <c r="J48" i="34"/>
  <c r="H48" i="34"/>
  <c r="J47" i="34"/>
  <c r="H47" i="34"/>
  <c r="J46" i="34"/>
  <c r="H46" i="34"/>
  <c r="J45" i="34"/>
  <c r="H45" i="34"/>
  <c r="J44" i="34"/>
  <c r="H44" i="34"/>
  <c r="J43" i="34"/>
  <c r="H43" i="34"/>
  <c r="J42" i="34"/>
  <c r="H42" i="34"/>
  <c r="J41" i="34"/>
  <c r="H41" i="34"/>
  <c r="J40" i="34"/>
  <c r="H40" i="34"/>
  <c r="J39" i="34"/>
  <c r="H39" i="34"/>
  <c r="J38" i="34"/>
  <c r="H38" i="34"/>
  <c r="J37" i="34"/>
  <c r="H37" i="34"/>
  <c r="J36" i="34"/>
  <c r="H36" i="34"/>
  <c r="J35" i="34"/>
  <c r="H35" i="34"/>
  <c r="J34" i="34"/>
  <c r="H34" i="34"/>
  <c r="J33" i="34"/>
  <c r="H33" i="34"/>
  <c r="J32" i="34"/>
  <c r="H32" i="34"/>
  <c r="J31" i="34"/>
  <c r="H31" i="34"/>
  <c r="J30" i="34"/>
  <c r="H30" i="34"/>
  <c r="J29" i="34"/>
  <c r="H29" i="34"/>
  <c r="J28" i="34"/>
  <c r="H28" i="34"/>
  <c r="J27" i="34"/>
  <c r="H27" i="34"/>
  <c r="J26" i="34"/>
  <c r="H26" i="34"/>
  <c r="J25" i="34"/>
  <c r="H25" i="34"/>
  <c r="J24" i="34"/>
  <c r="H24" i="34"/>
  <c r="J23" i="34"/>
  <c r="H23" i="34"/>
  <c r="J22" i="34"/>
  <c r="H22" i="34"/>
  <c r="J21" i="34"/>
  <c r="H21" i="34"/>
  <c r="J20" i="34"/>
  <c r="H20" i="34"/>
  <c r="J19" i="34"/>
  <c r="H19" i="34"/>
  <c r="J18" i="34"/>
  <c r="H18" i="34"/>
  <c r="J17" i="34"/>
  <c r="H17" i="34"/>
  <c r="J16" i="34"/>
  <c r="H16" i="34"/>
  <c r="J15" i="34"/>
  <c r="H15" i="34"/>
  <c r="J14" i="34"/>
  <c r="H14" i="34"/>
  <c r="J13" i="34"/>
  <c r="H13" i="34"/>
  <c r="J12" i="34"/>
  <c r="H12" i="34"/>
  <c r="J11" i="34"/>
  <c r="H11" i="34"/>
  <c r="J10" i="34"/>
  <c r="H10" i="34"/>
  <c r="J9" i="34"/>
  <c r="H9" i="34"/>
  <c r="J8" i="34"/>
  <c r="H8" i="34"/>
  <c r="J7" i="34"/>
  <c r="H7" i="34"/>
  <c r="J6" i="34"/>
  <c r="H6" i="34"/>
  <c r="J5" i="34"/>
  <c r="H5" i="34"/>
  <c r="J4" i="34"/>
  <c r="H4" i="34"/>
  <c r="J3" i="34"/>
  <c r="H3" i="34"/>
  <c r="J2" i="34"/>
  <c r="H2" i="34"/>
  <c r="J101" i="33"/>
  <c r="H101" i="33"/>
  <c r="J100" i="33"/>
  <c r="H100" i="33"/>
  <c r="J99" i="33"/>
  <c r="H99" i="33"/>
  <c r="J98" i="33"/>
  <c r="H98" i="33"/>
  <c r="J97" i="33"/>
  <c r="H97" i="33"/>
  <c r="J96" i="33"/>
  <c r="H96" i="33"/>
  <c r="J95" i="33"/>
  <c r="H95" i="33"/>
  <c r="J94" i="33"/>
  <c r="H94" i="33"/>
  <c r="J93" i="33"/>
  <c r="H93" i="33"/>
  <c r="J92" i="33"/>
  <c r="H92" i="33"/>
  <c r="J91" i="33"/>
  <c r="H91" i="33"/>
  <c r="J90" i="33"/>
  <c r="H90" i="33"/>
  <c r="J89" i="33"/>
  <c r="H89" i="33"/>
  <c r="J88" i="33"/>
  <c r="H88" i="33"/>
  <c r="J87" i="33"/>
  <c r="H87" i="33"/>
  <c r="J86" i="33"/>
  <c r="H86" i="33"/>
  <c r="J85" i="33"/>
  <c r="H85" i="33"/>
  <c r="J84" i="33"/>
  <c r="H84" i="33"/>
  <c r="J83" i="33"/>
  <c r="H83" i="33"/>
  <c r="J82" i="33"/>
  <c r="H82" i="33"/>
  <c r="J81" i="33"/>
  <c r="H81" i="33"/>
  <c r="J80" i="33"/>
  <c r="H80" i="33"/>
  <c r="J79" i="33"/>
  <c r="H79" i="33"/>
  <c r="J78" i="33"/>
  <c r="H78" i="33"/>
  <c r="J77" i="33"/>
  <c r="H77" i="33"/>
  <c r="J76" i="33"/>
  <c r="H76" i="33"/>
  <c r="J75" i="33"/>
  <c r="H75" i="33"/>
  <c r="J74" i="33"/>
  <c r="H74" i="33"/>
  <c r="J73" i="33"/>
  <c r="H73" i="33"/>
  <c r="J72" i="33"/>
  <c r="H72" i="33"/>
  <c r="J71" i="33"/>
  <c r="H71" i="33"/>
  <c r="J70" i="33"/>
  <c r="H70" i="33"/>
  <c r="J69" i="33"/>
  <c r="H69" i="33"/>
  <c r="J68" i="33"/>
  <c r="H68" i="33"/>
  <c r="J67" i="33"/>
  <c r="H67" i="33"/>
  <c r="J66" i="33"/>
  <c r="H66" i="33"/>
  <c r="J65" i="33"/>
  <c r="H65" i="33"/>
  <c r="J64" i="33"/>
  <c r="H64" i="33"/>
  <c r="J63" i="33"/>
  <c r="H63" i="33"/>
  <c r="J62" i="33"/>
  <c r="H62" i="33"/>
  <c r="J61" i="33"/>
  <c r="H61" i="33"/>
  <c r="J60" i="33"/>
  <c r="H60" i="33"/>
  <c r="J59" i="33"/>
  <c r="H59" i="33"/>
  <c r="J58" i="33"/>
  <c r="H58" i="33"/>
  <c r="J57" i="33"/>
  <c r="H57" i="33"/>
  <c r="J56" i="33"/>
  <c r="H56" i="33"/>
  <c r="J55" i="33"/>
  <c r="H55" i="33"/>
  <c r="J54" i="33"/>
  <c r="H54" i="33"/>
  <c r="J53" i="33"/>
  <c r="H53" i="33"/>
  <c r="J52" i="33"/>
  <c r="H52" i="33"/>
  <c r="J51" i="33"/>
  <c r="H51" i="33"/>
  <c r="J50" i="33"/>
  <c r="H50" i="33"/>
  <c r="J49" i="33"/>
  <c r="H49" i="33"/>
  <c r="J48" i="33"/>
  <c r="H48" i="33"/>
  <c r="J47" i="33"/>
  <c r="H47" i="33"/>
  <c r="J46" i="33"/>
  <c r="H46" i="33"/>
  <c r="J45" i="33"/>
  <c r="H45" i="33"/>
  <c r="J44" i="33"/>
  <c r="H44" i="33"/>
  <c r="J43" i="33"/>
  <c r="H43" i="33"/>
  <c r="J42" i="33"/>
  <c r="H42" i="33"/>
  <c r="J41" i="33"/>
  <c r="H41" i="33"/>
  <c r="J40" i="33"/>
  <c r="H40" i="33"/>
  <c r="J39" i="33"/>
  <c r="H39" i="33"/>
  <c r="J38" i="33"/>
  <c r="H38" i="33"/>
  <c r="J37" i="33"/>
  <c r="H37" i="33"/>
  <c r="J36" i="33"/>
  <c r="H36" i="33"/>
  <c r="J35" i="33"/>
  <c r="H35" i="33"/>
  <c r="J34" i="33"/>
  <c r="H34" i="33"/>
  <c r="J33" i="33"/>
  <c r="H33" i="33"/>
  <c r="J32" i="33"/>
  <c r="H32" i="33"/>
  <c r="J31" i="33"/>
  <c r="H31" i="33"/>
  <c r="J30" i="33"/>
  <c r="H30" i="33"/>
  <c r="J29" i="33"/>
  <c r="H29" i="33"/>
  <c r="J28" i="33"/>
  <c r="H28" i="33"/>
  <c r="J27" i="33"/>
  <c r="H27" i="33"/>
  <c r="J26" i="33"/>
  <c r="H26" i="33"/>
  <c r="J25" i="33"/>
  <c r="H25" i="33"/>
  <c r="J24" i="33"/>
  <c r="H24" i="33"/>
  <c r="J23" i="33"/>
  <c r="H23" i="33"/>
  <c r="J22" i="33"/>
  <c r="H22" i="33"/>
  <c r="J21" i="33"/>
  <c r="H21" i="33"/>
  <c r="J20" i="33"/>
  <c r="H20" i="33"/>
  <c r="J19" i="33"/>
  <c r="H19" i="33"/>
  <c r="J18" i="33"/>
  <c r="H18" i="33"/>
  <c r="H92" i="31"/>
  <c r="H90" i="31"/>
  <c r="J88" i="31"/>
  <c r="J87" i="31"/>
  <c r="J85" i="31"/>
  <c r="H85" i="31"/>
  <c r="J83" i="31"/>
  <c r="H83" i="31"/>
  <c r="J81" i="31"/>
  <c r="H81" i="31"/>
  <c r="J79" i="31"/>
  <c r="H79" i="31"/>
  <c r="J78" i="31"/>
  <c r="H78" i="31"/>
  <c r="J77" i="31"/>
  <c r="H77" i="31"/>
  <c r="J75" i="31"/>
  <c r="H75" i="31"/>
  <c r="J73" i="31"/>
  <c r="H73" i="31"/>
  <c r="H72" i="31"/>
  <c r="H69" i="31"/>
  <c r="H67" i="31"/>
  <c r="I20" i="25"/>
  <c r="H17" i="33"/>
  <c r="J16" i="33"/>
  <c r="H16" i="33"/>
  <c r="J15" i="33"/>
  <c r="H15" i="33"/>
  <c r="J14" i="33"/>
  <c r="H14" i="33"/>
  <c r="J13" i="33"/>
  <c r="H13" i="33"/>
  <c r="J12" i="33"/>
  <c r="H12" i="33"/>
  <c r="J11" i="33"/>
  <c r="H11" i="33"/>
  <c r="J10" i="33"/>
  <c r="H10" i="33"/>
  <c r="J9" i="33"/>
  <c r="H9" i="33"/>
  <c r="J8" i="33"/>
  <c r="H8" i="33"/>
  <c r="J7" i="33"/>
  <c r="H7" i="33"/>
  <c r="J6" i="33"/>
  <c r="H6" i="33"/>
  <c r="J5" i="33"/>
  <c r="H5" i="33"/>
  <c r="J4" i="33"/>
  <c r="H4" i="33"/>
  <c r="J3" i="33"/>
  <c r="H3" i="33"/>
  <c r="J2" i="33"/>
  <c r="H2" i="33"/>
  <c r="J101" i="32"/>
  <c r="H101" i="32"/>
  <c r="J100" i="32"/>
  <c r="H100" i="32"/>
  <c r="J99" i="32"/>
  <c r="H99" i="32"/>
  <c r="J98" i="32"/>
  <c r="H98" i="32"/>
  <c r="J97" i="32"/>
  <c r="H97" i="32"/>
  <c r="J96" i="32"/>
  <c r="H96" i="32"/>
  <c r="J95" i="32"/>
  <c r="H95" i="32"/>
  <c r="J94" i="32"/>
  <c r="H94" i="32"/>
  <c r="J93" i="32"/>
  <c r="H93" i="32"/>
  <c r="J92" i="32"/>
  <c r="H92" i="32"/>
  <c r="J91" i="32"/>
  <c r="H91" i="32"/>
  <c r="J90" i="32"/>
  <c r="H90" i="32"/>
  <c r="J89" i="32"/>
  <c r="H89" i="32"/>
  <c r="J88" i="32"/>
  <c r="H88" i="32"/>
  <c r="J87" i="32"/>
  <c r="H87" i="32"/>
  <c r="J86" i="32"/>
  <c r="H86" i="32"/>
  <c r="J85" i="32"/>
  <c r="H85" i="32"/>
  <c r="J84" i="32"/>
  <c r="H84" i="32"/>
  <c r="J83" i="32"/>
  <c r="H83" i="32"/>
  <c r="J82" i="32"/>
  <c r="H82" i="32"/>
  <c r="J81" i="32"/>
  <c r="H81" i="32"/>
  <c r="J80" i="32"/>
  <c r="H80" i="32"/>
  <c r="J79" i="32"/>
  <c r="H79" i="32"/>
  <c r="J78" i="32"/>
  <c r="H78" i="32"/>
  <c r="J77" i="32"/>
  <c r="H77" i="32"/>
  <c r="J76" i="32"/>
  <c r="H76" i="32"/>
  <c r="J75" i="32"/>
  <c r="H75" i="32"/>
  <c r="J74" i="32"/>
  <c r="H74" i="32"/>
  <c r="J73" i="32"/>
  <c r="H73" i="32"/>
  <c r="J72" i="32"/>
  <c r="H72" i="32"/>
  <c r="J71" i="32"/>
  <c r="H71" i="32"/>
  <c r="J70" i="32"/>
  <c r="H70" i="32"/>
  <c r="J69" i="32"/>
  <c r="H69" i="32"/>
  <c r="J68" i="32"/>
  <c r="H68" i="32"/>
  <c r="J67" i="32"/>
  <c r="H67" i="32"/>
  <c r="J66" i="32"/>
  <c r="H66" i="32"/>
  <c r="J65" i="32"/>
  <c r="H65" i="32"/>
  <c r="J64" i="32"/>
  <c r="H64" i="32"/>
  <c r="J63" i="32"/>
  <c r="H63" i="32"/>
  <c r="J62" i="32"/>
  <c r="H62" i="32"/>
  <c r="J61" i="32"/>
  <c r="H61" i="32"/>
  <c r="J60" i="32"/>
  <c r="H60" i="32"/>
  <c r="J59" i="32"/>
  <c r="H59" i="32"/>
  <c r="J58" i="32"/>
  <c r="H58" i="32"/>
  <c r="J57" i="32"/>
  <c r="H57" i="32"/>
  <c r="J56" i="32"/>
  <c r="H56" i="32"/>
  <c r="J55" i="32"/>
  <c r="H55" i="32"/>
  <c r="J54" i="32"/>
  <c r="H54" i="32"/>
  <c r="J53" i="32"/>
  <c r="H53" i="32"/>
  <c r="J52" i="32"/>
  <c r="H52" i="32"/>
  <c r="J51" i="32"/>
  <c r="H51" i="32"/>
  <c r="J50" i="32"/>
  <c r="H50" i="32"/>
  <c r="J49" i="32"/>
  <c r="H49" i="32"/>
  <c r="J48" i="32"/>
  <c r="H48" i="32"/>
  <c r="J47" i="32"/>
  <c r="H47" i="32"/>
  <c r="J46" i="32"/>
  <c r="H46" i="32"/>
  <c r="J45" i="32"/>
  <c r="H45" i="32"/>
  <c r="J44" i="32"/>
  <c r="H44" i="32"/>
  <c r="J43" i="32"/>
  <c r="H43" i="32"/>
  <c r="J42" i="32"/>
  <c r="H42" i="32"/>
  <c r="J41" i="32"/>
  <c r="H41" i="32"/>
  <c r="J40" i="32"/>
  <c r="H40" i="32"/>
  <c r="J39" i="32"/>
  <c r="H39" i="32"/>
  <c r="J38" i="32"/>
  <c r="H38" i="32"/>
  <c r="J37" i="32"/>
  <c r="H37" i="32"/>
  <c r="J36" i="32"/>
  <c r="H36" i="32"/>
  <c r="J35" i="32"/>
  <c r="H35" i="32"/>
  <c r="J34" i="32"/>
  <c r="H34" i="32"/>
  <c r="J33" i="32"/>
  <c r="H33" i="32"/>
  <c r="J32" i="32"/>
  <c r="H32" i="32"/>
  <c r="J31" i="32"/>
  <c r="H31" i="32"/>
  <c r="J30" i="32"/>
  <c r="H30" i="32"/>
  <c r="J29" i="32"/>
  <c r="H29" i="32"/>
  <c r="J28" i="32"/>
  <c r="H28" i="32"/>
  <c r="J27" i="32"/>
  <c r="H27" i="32"/>
  <c r="J26" i="32"/>
  <c r="H26" i="32"/>
  <c r="J25" i="32"/>
  <c r="H25" i="32"/>
  <c r="J24" i="32"/>
  <c r="H24" i="32"/>
  <c r="J23" i="32"/>
  <c r="H23" i="32"/>
  <c r="J22" i="32"/>
  <c r="H22" i="32"/>
  <c r="J21" i="32"/>
  <c r="H21" i="32"/>
  <c r="J20" i="32"/>
  <c r="H20" i="32"/>
  <c r="J19" i="32"/>
  <c r="H19" i="32"/>
  <c r="J18" i="32"/>
  <c r="H18" i="32"/>
  <c r="J17" i="32"/>
  <c r="H17" i="32"/>
  <c r="J16" i="32"/>
  <c r="H16" i="32"/>
  <c r="J15" i="32"/>
  <c r="H15" i="32"/>
  <c r="J14" i="32"/>
  <c r="H14" i="32"/>
  <c r="J13" i="32"/>
  <c r="H13" i="32"/>
  <c r="J12" i="32"/>
  <c r="H12" i="32"/>
  <c r="J11" i="32"/>
  <c r="H11" i="32"/>
  <c r="J10" i="32"/>
  <c r="H10" i="32"/>
  <c r="J9" i="32"/>
  <c r="H9" i="32"/>
  <c r="J8" i="32"/>
  <c r="H8" i="32"/>
  <c r="J7" i="32"/>
  <c r="H7" i="32"/>
  <c r="J6" i="32"/>
  <c r="H6" i="32"/>
  <c r="J5" i="32"/>
  <c r="H5" i="32"/>
  <c r="J4" i="32"/>
  <c r="H4" i="32"/>
  <c r="J3" i="32"/>
  <c r="H3" i="32"/>
  <c r="J2" i="32"/>
  <c r="H2" i="32"/>
  <c r="J101" i="31"/>
  <c r="H101" i="31"/>
  <c r="J100" i="31"/>
  <c r="H100" i="31"/>
  <c r="J99" i="31"/>
  <c r="H99" i="31"/>
  <c r="J98" i="31"/>
  <c r="H98" i="31"/>
  <c r="J97" i="31"/>
  <c r="H97" i="31"/>
  <c r="J96" i="31"/>
  <c r="H96" i="31"/>
  <c r="J95" i="31"/>
  <c r="H95" i="31"/>
  <c r="J94" i="31"/>
  <c r="J93" i="31"/>
  <c r="H93" i="31"/>
  <c r="J92" i="31"/>
  <c r="J91" i="31"/>
  <c r="H91" i="31"/>
  <c r="J90" i="31"/>
  <c r="J89" i="31"/>
  <c r="H89" i="31"/>
  <c r="H88" i="31"/>
  <c r="H87" i="31"/>
  <c r="J86" i="31"/>
  <c r="H86" i="31"/>
  <c r="J84" i="31"/>
  <c r="H84" i="31"/>
  <c r="J82" i="31"/>
  <c r="H82" i="31"/>
  <c r="J80" i="31"/>
  <c r="H80" i="31"/>
  <c r="J76" i="31"/>
  <c r="H76" i="31"/>
  <c r="J74" i="31"/>
  <c r="H74" i="31"/>
  <c r="J72" i="31"/>
  <c r="J67" i="31"/>
  <c r="I17" i="25"/>
  <c r="J63" i="31"/>
  <c r="H63" i="31"/>
  <c r="J62" i="31"/>
  <c r="H62" i="31"/>
  <c r="J61" i="31"/>
  <c r="H61" i="31"/>
  <c r="J60" i="31"/>
  <c r="H60" i="31"/>
  <c r="J59" i="31"/>
  <c r="H59" i="31"/>
  <c r="J58" i="31"/>
  <c r="H58" i="31"/>
  <c r="J57" i="31"/>
  <c r="H57" i="31"/>
  <c r="J56" i="31"/>
  <c r="H56" i="31"/>
  <c r="J55" i="31"/>
  <c r="H55" i="31"/>
  <c r="J54" i="31"/>
  <c r="H54" i="31"/>
  <c r="J53" i="31"/>
  <c r="H53" i="31"/>
  <c r="J52" i="31"/>
  <c r="H52" i="31"/>
  <c r="J51" i="31"/>
  <c r="H51" i="31"/>
  <c r="J50" i="31"/>
  <c r="H50" i="31"/>
  <c r="J49" i="31"/>
  <c r="H49" i="31"/>
  <c r="J48" i="31"/>
  <c r="H48" i="31"/>
  <c r="J47" i="31"/>
  <c r="H47" i="31"/>
  <c r="J46" i="31"/>
  <c r="H46" i="31"/>
  <c r="J45" i="31"/>
  <c r="H45" i="31"/>
  <c r="J44" i="31"/>
  <c r="H44" i="31"/>
  <c r="J43" i="31"/>
  <c r="H43" i="31"/>
  <c r="J42" i="31"/>
  <c r="H42" i="31"/>
  <c r="J41" i="31"/>
  <c r="H41" i="31"/>
  <c r="J40" i="31"/>
  <c r="H40" i="31"/>
  <c r="J39" i="31"/>
  <c r="H39" i="31"/>
  <c r="J38" i="31"/>
  <c r="H38" i="31"/>
  <c r="J37" i="31"/>
  <c r="H37" i="31"/>
  <c r="J36" i="31"/>
  <c r="H36" i="31"/>
  <c r="J35" i="31"/>
  <c r="H35" i="31"/>
  <c r="J34" i="31"/>
  <c r="H34" i="31"/>
  <c r="J33" i="31"/>
  <c r="H33" i="31"/>
  <c r="J32" i="31"/>
  <c r="H32" i="31"/>
  <c r="J31" i="31"/>
  <c r="H31" i="31"/>
  <c r="J30" i="31"/>
  <c r="H30" i="31"/>
  <c r="J29" i="31"/>
  <c r="H29" i="31"/>
  <c r="J28" i="31"/>
  <c r="H28" i="31"/>
  <c r="J27" i="31"/>
  <c r="H27" i="31"/>
  <c r="J26" i="31"/>
  <c r="H26" i="31"/>
  <c r="J25" i="31"/>
  <c r="H25" i="31"/>
  <c r="J24" i="31"/>
  <c r="H24" i="31"/>
  <c r="J23" i="31"/>
  <c r="H23" i="31"/>
  <c r="J22" i="31"/>
  <c r="H22" i="31"/>
  <c r="J21" i="31"/>
  <c r="H21" i="31"/>
  <c r="J20" i="31"/>
  <c r="H20" i="31"/>
  <c r="J19" i="31"/>
  <c r="H19" i="31"/>
  <c r="J18" i="31"/>
  <c r="H18" i="31"/>
  <c r="J17" i="31"/>
  <c r="H17" i="31"/>
  <c r="J16" i="31"/>
  <c r="H16" i="31"/>
  <c r="J15" i="31"/>
  <c r="H15" i="31"/>
  <c r="J14" i="31"/>
  <c r="H14" i="31"/>
  <c r="J13" i="31"/>
  <c r="H13" i="31"/>
  <c r="J12" i="31"/>
  <c r="H12" i="31"/>
  <c r="J11" i="31"/>
  <c r="H11" i="31"/>
  <c r="J10" i="31"/>
  <c r="H10" i="31"/>
  <c r="J9" i="31"/>
  <c r="H9" i="31"/>
  <c r="J8" i="31"/>
  <c r="H8" i="31"/>
  <c r="J7" i="31"/>
  <c r="H7" i="31"/>
  <c r="J6" i="31"/>
  <c r="H6" i="31"/>
  <c r="J5" i="31"/>
  <c r="H5" i="31"/>
  <c r="J4" i="31"/>
  <c r="H4" i="31"/>
  <c r="J3" i="31"/>
  <c r="H3" i="31"/>
  <c r="J2" i="31"/>
  <c r="H2" i="31"/>
  <c r="J101"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71" i="30"/>
  <c r="H71" i="30"/>
  <c r="J70" i="30"/>
  <c r="H70" i="30"/>
  <c r="J69" i="30"/>
  <c r="H69" i="30"/>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H55" i="30"/>
  <c r="J54" i="30"/>
  <c r="H54" i="30"/>
  <c r="J53" i="30"/>
  <c r="H53" i="30"/>
  <c r="J52" i="30"/>
  <c r="H52" i="30"/>
  <c r="J51" i="30"/>
  <c r="H51" i="30"/>
  <c r="J50" i="30"/>
  <c r="H50" i="30"/>
  <c r="J49" i="30"/>
  <c r="H49" i="30"/>
  <c r="J48" i="30"/>
  <c r="H48" i="30"/>
  <c r="J47" i="30"/>
  <c r="H47" i="30"/>
  <c r="J46" i="30"/>
  <c r="H46" i="30"/>
  <c r="J45" i="30"/>
  <c r="H45" i="30"/>
  <c r="J44" i="30"/>
  <c r="H44" i="30"/>
  <c r="J43" i="30"/>
  <c r="H43" i="30"/>
  <c r="J42" i="30"/>
  <c r="H42" i="30"/>
  <c r="J41" i="30"/>
  <c r="H41" i="30"/>
  <c r="J40" i="30"/>
  <c r="H40" i="30"/>
  <c r="J39" i="30"/>
  <c r="H39" i="30"/>
  <c r="J38" i="30"/>
  <c r="H38" i="30"/>
  <c r="J37" i="30"/>
  <c r="H37" i="30"/>
  <c r="J36" i="30"/>
  <c r="H36" i="30"/>
  <c r="J35" i="30"/>
  <c r="H35" i="30"/>
  <c r="J34" i="30"/>
  <c r="H34" i="30"/>
  <c r="J33" i="30"/>
  <c r="H33" i="30"/>
  <c r="J32" i="30"/>
  <c r="H32" i="30"/>
  <c r="J31" i="30"/>
  <c r="H31" i="30"/>
  <c r="J30" i="30"/>
  <c r="H30" i="30"/>
  <c r="J29" i="30"/>
  <c r="H29" i="30"/>
  <c r="J28" i="30"/>
  <c r="H28" i="30"/>
  <c r="J27" i="30"/>
  <c r="H27" i="30"/>
  <c r="J26" i="30"/>
  <c r="H26" i="30"/>
  <c r="J25" i="30"/>
  <c r="H25" i="30"/>
  <c r="J24" i="30"/>
  <c r="H24" i="30"/>
  <c r="J23" i="30"/>
  <c r="H23" i="30"/>
  <c r="J22" i="30"/>
  <c r="H22" i="30"/>
  <c r="J21" i="30"/>
  <c r="H21" i="30"/>
  <c r="J20" i="30"/>
  <c r="H20" i="30"/>
  <c r="J19" i="30"/>
  <c r="H19" i="30"/>
  <c r="J18" i="30"/>
  <c r="H18" i="30"/>
  <c r="J17" i="30"/>
  <c r="H17" i="30"/>
  <c r="J16" i="30"/>
  <c r="H16" i="30"/>
  <c r="J15" i="30"/>
  <c r="H15" i="30"/>
  <c r="J14" i="30"/>
  <c r="H14" i="30"/>
  <c r="J13" i="30"/>
  <c r="H13" i="30"/>
  <c r="J12" i="30"/>
  <c r="H12" i="30"/>
  <c r="J11" i="30"/>
  <c r="H11" i="30"/>
  <c r="J96" i="28"/>
  <c r="H96" i="28"/>
  <c r="J95" i="28"/>
  <c r="H95" i="28"/>
  <c r="H94" i="28"/>
  <c r="H92" i="28"/>
  <c r="H91" i="28"/>
  <c r="H90" i="28"/>
  <c r="H89" i="28"/>
  <c r="J87" i="28"/>
  <c r="H87" i="28"/>
  <c r="J85" i="28"/>
  <c r="H85" i="28"/>
  <c r="J83" i="28"/>
  <c r="J82" i="28"/>
  <c r="H82" i="28"/>
  <c r="J79" i="28"/>
  <c r="H79" i="28"/>
  <c r="H76" i="28"/>
  <c r="J71" i="28"/>
  <c r="H71" i="28"/>
  <c r="J69" i="28"/>
  <c r="H69" i="28"/>
  <c r="J68" i="28"/>
  <c r="J67" i="28"/>
  <c r="H67" i="28"/>
  <c r="J61" i="28"/>
  <c r="H61" i="28"/>
  <c r="H60" i="28"/>
  <c r="J59" i="28"/>
  <c r="H59" i="28"/>
  <c r="I27" i="25"/>
  <c r="I6" i="25"/>
  <c r="J9" i="30"/>
  <c r="H9" i="30"/>
  <c r="J8" i="30"/>
  <c r="H8" i="30"/>
  <c r="J7" i="30"/>
  <c r="H7" i="30"/>
  <c r="J6" i="30"/>
  <c r="H6" i="30"/>
  <c r="J5" i="30"/>
  <c r="H5" i="30"/>
  <c r="J4" i="30"/>
  <c r="H4" i="30"/>
  <c r="J3" i="30"/>
  <c r="H3" i="30"/>
  <c r="J2" i="30"/>
  <c r="H2" i="30"/>
  <c r="J101" i="29"/>
  <c r="H101" i="29"/>
  <c r="J100" i="29"/>
  <c r="H100" i="29"/>
  <c r="J99" i="29"/>
  <c r="H99" i="29"/>
  <c r="J98" i="29"/>
  <c r="H98" i="29"/>
  <c r="J97" i="29"/>
  <c r="H97" i="29"/>
  <c r="J96" i="29"/>
  <c r="H96" i="29"/>
  <c r="J95" i="29"/>
  <c r="H95" i="29"/>
  <c r="J94" i="29"/>
  <c r="H94" i="29"/>
  <c r="J93" i="29"/>
  <c r="H93" i="29"/>
  <c r="J92" i="29"/>
  <c r="H92" i="29"/>
  <c r="J91" i="29"/>
  <c r="H91" i="29"/>
  <c r="J90" i="29"/>
  <c r="H90" i="29"/>
  <c r="J89" i="29"/>
  <c r="H89" i="29"/>
  <c r="J88" i="29"/>
  <c r="H88" i="29"/>
  <c r="J87" i="29"/>
  <c r="H87" i="29"/>
  <c r="J86" i="29"/>
  <c r="H86" i="29"/>
  <c r="J85" i="29"/>
  <c r="H85" i="29"/>
  <c r="J84" i="29"/>
  <c r="H84" i="29"/>
  <c r="J83" i="29"/>
  <c r="H83" i="29"/>
  <c r="J82" i="29"/>
  <c r="H82" i="29"/>
  <c r="J81" i="29"/>
  <c r="H81" i="29"/>
  <c r="J80" i="29"/>
  <c r="H80" i="29"/>
  <c r="J79" i="29"/>
  <c r="H79" i="29"/>
  <c r="J78" i="29"/>
  <c r="H78" i="29"/>
  <c r="J77" i="29"/>
  <c r="H77" i="29"/>
  <c r="J76" i="29"/>
  <c r="H76" i="29"/>
  <c r="J75" i="29"/>
  <c r="H75" i="29"/>
  <c r="J74" i="29"/>
  <c r="H74" i="29"/>
  <c r="J73" i="29"/>
  <c r="H73" i="29"/>
  <c r="J72" i="29"/>
  <c r="H72" i="29"/>
  <c r="J71" i="29"/>
  <c r="H71" i="29"/>
  <c r="J70" i="29"/>
  <c r="H70" i="29"/>
  <c r="J69" i="29"/>
  <c r="H69" i="29"/>
  <c r="J68" i="29"/>
  <c r="H68" i="29"/>
  <c r="J67" i="29"/>
  <c r="H67" i="29"/>
  <c r="J66" i="29"/>
  <c r="H66" i="29"/>
  <c r="J65" i="29"/>
  <c r="H65" i="29"/>
  <c r="J64" i="29"/>
  <c r="H64" i="29"/>
  <c r="J63" i="29"/>
  <c r="H63" i="29"/>
  <c r="J62" i="29"/>
  <c r="H62" i="29"/>
  <c r="J61" i="29"/>
  <c r="H61" i="29"/>
  <c r="J60" i="29"/>
  <c r="H60" i="29"/>
  <c r="J59" i="29"/>
  <c r="H59" i="29"/>
  <c r="J58" i="29"/>
  <c r="H58" i="29"/>
  <c r="J57" i="29"/>
  <c r="H57" i="29"/>
  <c r="J56" i="29"/>
  <c r="H56" i="29"/>
  <c r="J55" i="29"/>
  <c r="H55" i="29"/>
  <c r="J54" i="29"/>
  <c r="H54" i="29"/>
  <c r="J53" i="29"/>
  <c r="H53" i="29"/>
  <c r="J52" i="29"/>
  <c r="H52" i="29"/>
  <c r="J51" i="29"/>
  <c r="H51" i="29"/>
  <c r="J50" i="29"/>
  <c r="H50" i="29"/>
  <c r="J49" i="29"/>
  <c r="H49" i="29"/>
  <c r="J48" i="29"/>
  <c r="H48" i="29"/>
  <c r="J47" i="29"/>
  <c r="J46" i="29"/>
  <c r="J45" i="29"/>
  <c r="H45" i="29"/>
  <c r="J44" i="29"/>
  <c r="H44" i="29"/>
  <c r="J43" i="29"/>
  <c r="H43" i="29"/>
  <c r="J42" i="29"/>
  <c r="J41" i="29"/>
  <c r="H41" i="29"/>
  <c r="J40" i="29"/>
  <c r="H40" i="29"/>
  <c r="J39" i="29"/>
  <c r="H39" i="29"/>
  <c r="J38" i="29"/>
  <c r="H38" i="29"/>
  <c r="J37" i="29"/>
  <c r="H37" i="29"/>
  <c r="J36" i="29"/>
  <c r="H36" i="29"/>
  <c r="J35" i="29"/>
  <c r="H35" i="29"/>
  <c r="J34" i="29"/>
  <c r="J33" i="29"/>
  <c r="J32" i="29"/>
  <c r="J31" i="29"/>
  <c r="J30" i="29"/>
  <c r="J29" i="29"/>
  <c r="J28" i="29"/>
  <c r="J27" i="29"/>
  <c r="J26" i="29"/>
  <c r="J25" i="29"/>
  <c r="J24" i="29"/>
  <c r="J23" i="29"/>
  <c r="J22" i="29"/>
  <c r="J21" i="29"/>
  <c r="J20" i="29"/>
  <c r="J19" i="29"/>
  <c r="J18" i="29"/>
  <c r="J17" i="29"/>
  <c r="J16" i="29"/>
  <c r="J15" i="29"/>
  <c r="J14" i="29"/>
  <c r="J13" i="29"/>
  <c r="J12" i="29"/>
  <c r="J11" i="29"/>
  <c r="J10" i="29"/>
  <c r="J9" i="29"/>
  <c r="J8" i="29"/>
  <c r="J7" i="29"/>
  <c r="J6" i="29"/>
  <c r="J5" i="29"/>
  <c r="J4" i="29"/>
  <c r="J3" i="29"/>
  <c r="J2" i="29"/>
  <c r="J101" i="28"/>
  <c r="H101" i="28"/>
  <c r="J100" i="28"/>
  <c r="H100" i="28"/>
  <c r="J99" i="28"/>
  <c r="H99" i="28"/>
  <c r="J98" i="28"/>
  <c r="H98" i="28"/>
  <c r="J97" i="28"/>
  <c r="H97" i="28"/>
  <c r="J94" i="28"/>
  <c r="J93" i="28"/>
  <c r="H93" i="28"/>
  <c r="J92" i="28"/>
  <c r="J91" i="28"/>
  <c r="J90" i="28"/>
  <c r="J89" i="28"/>
  <c r="J88" i="28"/>
  <c r="H88" i="28"/>
  <c r="J86" i="28"/>
  <c r="H86" i="28"/>
  <c r="J84" i="28"/>
  <c r="H84" i="28"/>
  <c r="H83" i="28"/>
  <c r="J81" i="28"/>
  <c r="H81" i="28"/>
  <c r="J80" i="28"/>
  <c r="H80" i="28"/>
  <c r="J78" i="28"/>
  <c r="H78" i="28"/>
  <c r="J77" i="28"/>
  <c r="H77" i="28"/>
  <c r="J76" i="28"/>
  <c r="J75" i="28"/>
  <c r="H75" i="28"/>
  <c r="J74" i="28"/>
  <c r="H74" i="28"/>
  <c r="J73" i="28"/>
  <c r="H73" i="28"/>
  <c r="J72" i="28"/>
  <c r="H72" i="28"/>
  <c r="J70" i="28"/>
  <c r="H70" i="28"/>
  <c r="H68" i="28"/>
  <c r="J66" i="28"/>
  <c r="H66" i="28"/>
  <c r="J65" i="28"/>
  <c r="H65" i="28"/>
  <c r="J64" i="28"/>
  <c r="H64" i="28"/>
  <c r="J63" i="28"/>
  <c r="H63" i="28"/>
  <c r="J62" i="28"/>
  <c r="H62" i="28"/>
  <c r="J60" i="28"/>
  <c r="J58" i="28"/>
  <c r="H58" i="28"/>
  <c r="J57" i="28"/>
  <c r="H57" i="28"/>
  <c r="I18" i="25"/>
  <c r="H56" i="28"/>
  <c r="J55" i="28"/>
  <c r="H55" i="28"/>
  <c r="J54" i="28"/>
  <c r="H54" i="28"/>
  <c r="J53" i="28"/>
  <c r="H53" i="28"/>
  <c r="J52" i="28"/>
  <c r="H52" i="28"/>
  <c r="J51" i="28"/>
  <c r="H51" i="28"/>
  <c r="J50" i="28"/>
  <c r="H50" i="28"/>
  <c r="J49" i="28"/>
  <c r="H49" i="28"/>
  <c r="J48" i="28"/>
  <c r="H48" i="28"/>
  <c r="J47" i="28"/>
  <c r="H47" i="28"/>
  <c r="I21" i="25"/>
  <c r="J101" i="26"/>
  <c r="H101" i="26"/>
  <c r="J100" i="26"/>
  <c r="H100" i="26"/>
  <c r="J99" i="26"/>
  <c r="H99" i="26"/>
  <c r="J98" i="26"/>
  <c r="H98" i="26"/>
  <c r="J97" i="26"/>
  <c r="H97" i="26"/>
  <c r="J96" i="26"/>
  <c r="H96" i="26"/>
  <c r="J95" i="26"/>
  <c r="H95" i="26"/>
  <c r="J94" i="26"/>
  <c r="H94" i="26"/>
  <c r="J93" i="26"/>
  <c r="H93" i="26"/>
  <c r="J92" i="26"/>
  <c r="H92" i="26"/>
  <c r="J91" i="26"/>
  <c r="H91" i="26"/>
  <c r="J90" i="26"/>
  <c r="H90" i="26"/>
  <c r="J89" i="26"/>
  <c r="H89" i="26"/>
  <c r="J88" i="26"/>
  <c r="H88" i="26"/>
  <c r="J87" i="26"/>
  <c r="H87" i="26"/>
  <c r="J86" i="26"/>
  <c r="H86" i="26"/>
  <c r="J85" i="26"/>
  <c r="H85" i="26"/>
  <c r="J84" i="26"/>
  <c r="H84" i="26"/>
  <c r="J83" i="26"/>
  <c r="H83" i="26"/>
  <c r="J82" i="26"/>
  <c r="H82" i="26"/>
  <c r="J81" i="26"/>
  <c r="H81" i="26"/>
  <c r="J80" i="26"/>
  <c r="H80" i="26"/>
  <c r="J79" i="26"/>
  <c r="H79" i="26"/>
  <c r="J78" i="26"/>
  <c r="H78" i="26"/>
  <c r="J77" i="26"/>
  <c r="H77" i="26"/>
  <c r="J76" i="26"/>
  <c r="H76" i="26"/>
  <c r="J75" i="26"/>
  <c r="H75" i="26"/>
  <c r="J74" i="26"/>
  <c r="H74" i="26"/>
  <c r="J73" i="26"/>
  <c r="H73" i="26"/>
  <c r="J72" i="26"/>
  <c r="H72" i="26"/>
  <c r="J71" i="26"/>
  <c r="H71" i="26"/>
  <c r="J70" i="26"/>
  <c r="H70" i="26"/>
  <c r="J69" i="26"/>
  <c r="H69" i="26"/>
  <c r="J68" i="26"/>
  <c r="H68" i="26"/>
  <c r="J67" i="26"/>
  <c r="H67" i="26"/>
  <c r="J66" i="26"/>
  <c r="H66" i="26"/>
  <c r="J65" i="26"/>
  <c r="H65" i="26"/>
  <c r="J64" i="26"/>
  <c r="H64" i="26"/>
  <c r="J63" i="26"/>
  <c r="H63" i="26"/>
  <c r="J62" i="26"/>
  <c r="H62" i="26"/>
  <c r="J61" i="26"/>
  <c r="H61" i="26"/>
  <c r="J60" i="26"/>
  <c r="H60" i="26"/>
  <c r="J59" i="26"/>
  <c r="H59" i="26"/>
  <c r="J58" i="26"/>
  <c r="H58" i="26"/>
  <c r="J57" i="26"/>
  <c r="H57" i="26"/>
  <c r="J56" i="26"/>
  <c r="H56" i="26"/>
  <c r="J55" i="26"/>
  <c r="H55" i="26"/>
  <c r="J54" i="26"/>
  <c r="H54" i="26"/>
  <c r="J53" i="26"/>
  <c r="H53" i="26"/>
  <c r="J52" i="26"/>
  <c r="H52" i="26"/>
  <c r="J51" i="26"/>
  <c r="H51" i="26"/>
  <c r="J50" i="26"/>
  <c r="H50" i="26"/>
  <c r="J49" i="26"/>
  <c r="H49" i="26"/>
  <c r="J48" i="26"/>
  <c r="H48" i="26"/>
  <c r="J47" i="26"/>
  <c r="H47" i="26"/>
  <c r="J46" i="26"/>
  <c r="H46" i="26"/>
  <c r="J45" i="26"/>
  <c r="H45" i="26"/>
  <c r="J44" i="26"/>
  <c r="H44" i="26"/>
  <c r="J43" i="26"/>
  <c r="H43" i="26"/>
  <c r="J42" i="26"/>
  <c r="H42" i="26"/>
  <c r="J41" i="26"/>
  <c r="H41" i="26"/>
  <c r="J40" i="26"/>
  <c r="H40" i="26"/>
  <c r="J39" i="26"/>
  <c r="H39" i="26"/>
  <c r="J38" i="26"/>
  <c r="H38" i="26"/>
  <c r="J37" i="26"/>
  <c r="H37" i="26"/>
  <c r="J36" i="26"/>
  <c r="H36" i="26"/>
  <c r="J35" i="26"/>
  <c r="H35" i="26"/>
  <c r="J34" i="26"/>
  <c r="H34" i="26"/>
  <c r="J33" i="26"/>
  <c r="H33" i="26"/>
  <c r="J32" i="26"/>
  <c r="H32" i="26"/>
  <c r="I14" i="25"/>
  <c r="J48" i="25"/>
  <c r="H48" i="25"/>
  <c r="J47" i="25"/>
  <c r="H47" i="25"/>
  <c r="J46" i="25"/>
  <c r="H46" i="25"/>
  <c r="J45" i="25"/>
  <c r="H45" i="25"/>
  <c r="J44" i="25"/>
  <c r="H44" i="25"/>
  <c r="J43" i="25"/>
  <c r="H43" i="25"/>
  <c r="J42" i="25"/>
  <c r="H42" i="25"/>
  <c r="J41" i="25"/>
  <c r="H41" i="25"/>
  <c r="J40" i="25"/>
  <c r="H40" i="25"/>
  <c r="J39" i="25"/>
  <c r="H39" i="25"/>
  <c r="J38" i="25"/>
  <c r="H38" i="25"/>
  <c r="J37" i="25"/>
  <c r="H37" i="25"/>
  <c r="J36" i="25"/>
  <c r="H36" i="25"/>
  <c r="I35" i="25"/>
  <c r="I34" i="25"/>
  <c r="I33" i="25"/>
  <c r="I31" i="25"/>
  <c r="I9" i="25"/>
  <c r="J101" i="23"/>
  <c r="H101" i="23"/>
  <c r="J100" i="23"/>
  <c r="H100" i="23"/>
  <c r="J99" i="23"/>
  <c r="H99" i="23"/>
  <c r="J98" i="23"/>
  <c r="H98" i="23"/>
  <c r="J97" i="23"/>
  <c r="H97" i="23"/>
  <c r="J96" i="23"/>
  <c r="H96" i="23"/>
  <c r="J95" i="23"/>
  <c r="H95" i="23"/>
  <c r="J94" i="23"/>
  <c r="H94" i="23"/>
  <c r="J93" i="23"/>
  <c r="H93" i="23"/>
  <c r="J92" i="23"/>
  <c r="H92" i="23"/>
  <c r="J91" i="23"/>
  <c r="H91" i="23"/>
  <c r="J90" i="23"/>
  <c r="H90" i="23"/>
  <c r="J89" i="23"/>
  <c r="H89" i="23"/>
  <c r="J88" i="23"/>
  <c r="H88" i="23"/>
  <c r="J87" i="23"/>
  <c r="H87" i="23"/>
  <c r="J86" i="23"/>
  <c r="H86" i="23"/>
  <c r="J85" i="23"/>
  <c r="H85" i="23"/>
  <c r="J84" i="23"/>
  <c r="H84" i="23"/>
  <c r="J83" i="23"/>
  <c r="H83" i="23"/>
  <c r="J82" i="23"/>
  <c r="H82" i="23"/>
  <c r="J81" i="23"/>
  <c r="H81" i="23"/>
  <c r="J80" i="23"/>
  <c r="H80" i="23"/>
  <c r="J79" i="23"/>
  <c r="H79" i="23"/>
  <c r="J78" i="23"/>
  <c r="H78" i="23"/>
  <c r="J77" i="23"/>
  <c r="H77" i="23"/>
  <c r="J76" i="23"/>
  <c r="H76" i="23"/>
  <c r="J75" i="23"/>
  <c r="H75" i="23"/>
  <c r="J74" i="23"/>
  <c r="H74" i="23"/>
  <c r="J73" i="23"/>
  <c r="H73" i="23"/>
  <c r="J72" i="23"/>
  <c r="H72" i="23"/>
  <c r="J71" i="23"/>
  <c r="H71" i="23"/>
  <c r="J70" i="23"/>
  <c r="H70" i="23"/>
  <c r="J69" i="23"/>
  <c r="H69" i="23"/>
  <c r="J68" i="23"/>
  <c r="H68" i="23"/>
  <c r="J67" i="23"/>
  <c r="H67" i="23"/>
  <c r="J66" i="23"/>
  <c r="H66" i="23"/>
  <c r="J65" i="23"/>
  <c r="H65" i="23"/>
  <c r="J64" i="23"/>
  <c r="H64" i="23"/>
  <c r="J63" i="23"/>
  <c r="H63" i="23"/>
  <c r="J62" i="23"/>
  <c r="H62" i="23"/>
  <c r="J61" i="23"/>
  <c r="H61" i="23"/>
  <c r="J60" i="23"/>
  <c r="H60" i="23"/>
  <c r="J59" i="23"/>
  <c r="H59" i="23"/>
  <c r="J58" i="23"/>
  <c r="H58" i="23"/>
  <c r="J57" i="23"/>
  <c r="H57" i="23"/>
  <c r="J56" i="23"/>
  <c r="H56" i="23"/>
  <c r="J55" i="23"/>
  <c r="H55" i="23"/>
  <c r="J54" i="23"/>
  <c r="H54" i="23"/>
  <c r="J53" i="23"/>
  <c r="H53" i="23"/>
  <c r="J52" i="23"/>
  <c r="H52" i="23"/>
  <c r="J51" i="23"/>
  <c r="H51" i="23"/>
  <c r="J50" i="23"/>
  <c r="H50" i="23"/>
  <c r="J49" i="23"/>
  <c r="H49" i="23"/>
  <c r="J48" i="23"/>
  <c r="H48" i="23"/>
  <c r="J47" i="23"/>
  <c r="H47" i="23"/>
  <c r="J46" i="23"/>
  <c r="H46" i="23"/>
  <c r="J45" i="23"/>
  <c r="H45" i="23"/>
  <c r="J44" i="23"/>
  <c r="H44" i="23"/>
  <c r="J43" i="23"/>
  <c r="H43" i="23"/>
  <c r="J42" i="23"/>
  <c r="H42" i="23"/>
  <c r="J41" i="23"/>
  <c r="H41" i="23"/>
  <c r="J40" i="23"/>
  <c r="H40" i="23"/>
  <c r="J39" i="23"/>
  <c r="H39" i="23"/>
  <c r="J38" i="23"/>
  <c r="H38" i="23"/>
  <c r="J37" i="23"/>
  <c r="H37" i="23"/>
  <c r="J36" i="23"/>
  <c r="H36" i="23"/>
  <c r="J35" i="23"/>
  <c r="H35" i="23"/>
  <c r="J34" i="23"/>
  <c r="H34" i="23"/>
  <c r="J33" i="23"/>
  <c r="H33" i="23"/>
  <c r="J32" i="23"/>
  <c r="H32" i="23"/>
  <c r="J56" i="22"/>
  <c r="H56" i="22"/>
  <c r="J55" i="22"/>
  <c r="H55" i="22"/>
  <c r="J54" i="22"/>
  <c r="H54" i="22"/>
  <c r="J53" i="22"/>
  <c r="H53" i="22"/>
  <c r="J52" i="22"/>
  <c r="H52" i="22"/>
  <c r="J51" i="22"/>
  <c r="H51" i="22"/>
  <c r="J50" i="22"/>
  <c r="H50" i="22"/>
  <c r="J49" i="22"/>
  <c r="H49" i="22"/>
  <c r="J48" i="22"/>
  <c r="H48" i="22"/>
  <c r="J47" i="22"/>
  <c r="H47" i="22"/>
  <c r="J46" i="22"/>
  <c r="H46" i="22"/>
  <c r="J45" i="22"/>
  <c r="H45" i="22"/>
  <c r="J44" i="22"/>
  <c r="H44" i="22"/>
  <c r="J43" i="22"/>
  <c r="H43" i="22"/>
  <c r="J42" i="22"/>
  <c r="H42" i="22"/>
  <c r="J41" i="22"/>
  <c r="H41" i="22"/>
  <c r="J40" i="22"/>
  <c r="H40" i="22"/>
  <c r="J39" i="22"/>
  <c r="H39" i="22"/>
  <c r="J101" i="21"/>
  <c r="H101" i="21"/>
  <c r="J100" i="21"/>
  <c r="H100" i="21"/>
  <c r="J99" i="21"/>
  <c r="H99" i="21"/>
  <c r="J98" i="21"/>
  <c r="H98" i="21"/>
  <c r="J97" i="21"/>
  <c r="H97" i="21"/>
  <c r="J96" i="21"/>
  <c r="H96" i="21"/>
  <c r="J95" i="21"/>
  <c r="H95" i="21"/>
  <c r="J94" i="21"/>
  <c r="H94" i="21"/>
  <c r="J93" i="21"/>
  <c r="H93" i="21"/>
  <c r="J92" i="21"/>
  <c r="H92" i="21"/>
  <c r="J91" i="21"/>
  <c r="H91" i="21"/>
  <c r="J90" i="21"/>
  <c r="H90" i="21"/>
  <c r="J89" i="21"/>
  <c r="H89" i="21"/>
  <c r="J88" i="21"/>
  <c r="H88" i="21"/>
  <c r="J87" i="21"/>
  <c r="H87" i="21"/>
  <c r="J86" i="21"/>
  <c r="H86" i="21"/>
  <c r="J85" i="21"/>
  <c r="H85" i="21"/>
  <c r="J84" i="21"/>
  <c r="H84" i="21"/>
  <c r="J83" i="21"/>
  <c r="H83" i="21"/>
  <c r="J82" i="21"/>
  <c r="H82" i="21"/>
  <c r="J81" i="21"/>
  <c r="H81" i="21"/>
  <c r="J80" i="21"/>
  <c r="H80" i="21"/>
  <c r="J79" i="21"/>
  <c r="H79" i="21"/>
  <c r="J78" i="21"/>
  <c r="H78" i="21"/>
  <c r="J77" i="21"/>
  <c r="H77" i="21"/>
  <c r="J76" i="21"/>
  <c r="H76" i="21"/>
  <c r="J75" i="21"/>
  <c r="H75" i="21"/>
  <c r="J74" i="21"/>
  <c r="H74" i="21"/>
  <c r="J73" i="21"/>
  <c r="H73" i="21"/>
  <c r="J72" i="21"/>
  <c r="H72" i="21"/>
  <c r="J71" i="21"/>
  <c r="H71" i="21"/>
  <c r="J70" i="21"/>
  <c r="H70" i="21"/>
  <c r="J69" i="21"/>
  <c r="H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J55" i="21"/>
  <c r="H55" i="21"/>
  <c r="J54" i="21"/>
  <c r="H54" i="21"/>
  <c r="J53" i="21"/>
  <c r="H53" i="21"/>
  <c r="J52" i="21"/>
  <c r="H52" i="21"/>
  <c r="J51" i="21"/>
  <c r="H51" i="21"/>
  <c r="J50" i="21"/>
  <c r="H50" i="21"/>
  <c r="J49" i="21"/>
  <c r="H49" i="21"/>
  <c r="J48" i="21"/>
  <c r="H48" i="21"/>
  <c r="J47" i="21"/>
  <c r="H47" i="21"/>
  <c r="J46" i="21"/>
  <c r="H46" i="21"/>
  <c r="J45" i="21"/>
  <c r="H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J95" i="20"/>
  <c r="H95" i="20"/>
  <c r="J94" i="20"/>
  <c r="H94" i="20"/>
  <c r="J93" i="20"/>
  <c r="H93" i="20"/>
  <c r="J92" i="20"/>
  <c r="H92" i="20"/>
  <c r="J91" i="20"/>
  <c r="H91" i="20"/>
  <c r="J90" i="20"/>
  <c r="H90" i="20"/>
  <c r="J89" i="20"/>
  <c r="H89" i="20"/>
  <c r="J88" i="20"/>
  <c r="H88" i="20"/>
  <c r="J87" i="20"/>
  <c r="H87" i="20"/>
  <c r="J86" i="20"/>
  <c r="H86" i="20"/>
  <c r="I24" i="25"/>
  <c r="I5" i="25"/>
  <c r="H85" i="20"/>
  <c r="J84" i="20"/>
  <c r="H84" i="20"/>
  <c r="J83" i="20"/>
  <c r="H83" i="20"/>
  <c r="J82" i="20"/>
  <c r="H82" i="20"/>
  <c r="J81" i="20"/>
  <c r="H81" i="20"/>
  <c r="J80" i="20"/>
  <c r="H80" i="20"/>
  <c r="J79" i="20"/>
  <c r="H79" i="20"/>
  <c r="J78" i="20"/>
  <c r="H78" i="20"/>
  <c r="J77" i="20"/>
  <c r="H77" i="20"/>
  <c r="J76" i="20"/>
  <c r="H76" i="20"/>
  <c r="J75" i="20"/>
  <c r="H75" i="20"/>
  <c r="J74" i="20"/>
  <c r="H74" i="20"/>
  <c r="J73" i="20"/>
  <c r="H73" i="20"/>
  <c r="J72" i="20"/>
  <c r="H72" i="20"/>
  <c r="J71" i="20"/>
  <c r="H71" i="20"/>
  <c r="J70" i="20"/>
  <c r="H70" i="20"/>
  <c r="J69" i="20"/>
  <c r="H69" i="20"/>
  <c r="J68" i="20"/>
  <c r="H68" i="20"/>
  <c r="J67" i="20"/>
  <c r="H67" i="20"/>
  <c r="J66" i="20"/>
  <c r="H66" i="20"/>
  <c r="J65" i="20"/>
  <c r="H65" i="20"/>
  <c r="J64" i="20"/>
  <c r="H64" i="20"/>
  <c r="J63" i="20"/>
  <c r="H63" i="20"/>
  <c r="J62" i="20"/>
  <c r="H62" i="20"/>
  <c r="J61" i="20"/>
  <c r="H61" i="20"/>
  <c r="J60" i="20"/>
  <c r="H60" i="20"/>
  <c r="J59" i="20"/>
  <c r="H59" i="20"/>
  <c r="J58" i="20"/>
  <c r="H58" i="20"/>
  <c r="J57" i="20"/>
  <c r="H57" i="20"/>
  <c r="J56" i="20"/>
  <c r="H56" i="20"/>
  <c r="J55" i="20"/>
  <c r="H55" i="20"/>
  <c r="J54" i="20"/>
  <c r="H54" i="20"/>
  <c r="J53" i="20"/>
  <c r="H53" i="20"/>
  <c r="J52" i="20"/>
  <c r="H52" i="20"/>
  <c r="J51" i="20"/>
  <c r="H51" i="20"/>
  <c r="J50" i="20"/>
  <c r="H50" i="20"/>
  <c r="J49" i="20"/>
  <c r="H49" i="20"/>
  <c r="J48" i="20"/>
  <c r="H48" i="20"/>
  <c r="J47" i="20"/>
  <c r="H47" i="20"/>
  <c r="J46" i="20"/>
  <c r="H46" i="20"/>
  <c r="J45" i="20"/>
  <c r="H45" i="20"/>
  <c r="J44" i="20"/>
  <c r="H44" i="20"/>
  <c r="J43" i="20"/>
  <c r="H43" i="20"/>
  <c r="J42" i="20"/>
  <c r="H42" i="20"/>
  <c r="J41" i="20"/>
  <c r="H41" i="20"/>
  <c r="J40" i="20"/>
  <c r="H40" i="20"/>
  <c r="J39" i="20"/>
  <c r="H39" i="20"/>
  <c r="J38" i="20"/>
  <c r="H38" i="20"/>
  <c r="J37" i="20"/>
  <c r="H37" i="20"/>
  <c r="J36" i="20"/>
  <c r="H36" i="20"/>
  <c r="J35" i="20"/>
  <c r="H35" i="20"/>
  <c r="J34" i="20"/>
  <c r="H34" i="20"/>
  <c r="J33" i="20"/>
  <c r="H33" i="20"/>
  <c r="J32" i="20"/>
  <c r="H32" i="20"/>
  <c r="J31" i="20"/>
  <c r="H31" i="20"/>
  <c r="J30" i="20"/>
  <c r="H30" i="20"/>
  <c r="J29" i="20"/>
  <c r="H29" i="20"/>
  <c r="J28" i="20"/>
  <c r="H28" i="20"/>
  <c r="J27" i="20"/>
  <c r="H27" i="20"/>
  <c r="J26" i="20"/>
  <c r="H26" i="20"/>
  <c r="J25" i="20"/>
  <c r="H25" i="20"/>
  <c r="J24" i="20"/>
  <c r="H24" i="20"/>
  <c r="C104" i="19"/>
  <c r="J101" i="19"/>
  <c r="H101" i="19"/>
  <c r="J100" i="19"/>
  <c r="H100" i="19"/>
  <c r="J99" i="19"/>
  <c r="H99" i="19"/>
  <c r="J98" i="19"/>
  <c r="H98" i="19"/>
  <c r="J97" i="19"/>
  <c r="H97" i="19"/>
  <c r="J96" i="19"/>
  <c r="H96" i="19"/>
  <c r="J95" i="19"/>
  <c r="H95" i="19"/>
  <c r="J94" i="19"/>
  <c r="H94" i="19"/>
  <c r="J93" i="19"/>
  <c r="H93" i="19"/>
  <c r="J92" i="19"/>
  <c r="H92" i="19"/>
  <c r="J91" i="19"/>
  <c r="H91" i="19"/>
  <c r="J90" i="19"/>
  <c r="H90" i="19"/>
  <c r="J89" i="19"/>
  <c r="H89" i="19"/>
  <c r="J88" i="19"/>
  <c r="H88" i="19"/>
  <c r="J87" i="19"/>
  <c r="H87" i="19"/>
  <c r="J86" i="19"/>
  <c r="H86" i="19"/>
  <c r="J85" i="19"/>
  <c r="H85" i="19"/>
  <c r="J84" i="19"/>
  <c r="H84" i="19"/>
  <c r="J83" i="19"/>
  <c r="H83" i="19"/>
  <c r="J82" i="19"/>
  <c r="H82" i="19"/>
  <c r="J81" i="19"/>
  <c r="H81" i="19"/>
  <c r="J80" i="19"/>
  <c r="H80" i="19"/>
  <c r="J79" i="19"/>
  <c r="H79" i="19"/>
  <c r="J78" i="19"/>
  <c r="H78" i="19"/>
  <c r="J77" i="19"/>
  <c r="H77" i="19"/>
  <c r="J76" i="19"/>
  <c r="H76" i="19"/>
  <c r="J75" i="19"/>
  <c r="H75" i="19"/>
  <c r="J74" i="19"/>
  <c r="H74" i="19"/>
  <c r="J73" i="19"/>
  <c r="H73" i="19"/>
  <c r="J72" i="19"/>
  <c r="H72" i="19"/>
  <c r="J71" i="19"/>
  <c r="H71" i="19"/>
  <c r="J70" i="19"/>
  <c r="H70" i="19"/>
  <c r="J69" i="19"/>
  <c r="H69" i="19"/>
  <c r="J68" i="19"/>
  <c r="H68" i="19"/>
  <c r="J67" i="19"/>
  <c r="H67" i="19"/>
  <c r="J66" i="19"/>
  <c r="H66" i="19"/>
  <c r="J65" i="19"/>
  <c r="H65" i="19"/>
  <c r="J64" i="19"/>
  <c r="H64" i="19"/>
  <c r="J63" i="19"/>
  <c r="H63" i="19"/>
  <c r="J62" i="19"/>
  <c r="H62" i="19"/>
  <c r="J61" i="19"/>
  <c r="H61" i="19"/>
  <c r="J60" i="19"/>
  <c r="H60" i="19"/>
  <c r="J59" i="19"/>
  <c r="H59" i="19"/>
  <c r="J58" i="19"/>
  <c r="H58" i="19"/>
  <c r="J57" i="19"/>
  <c r="H57" i="19"/>
  <c r="J56" i="19"/>
  <c r="H56" i="19"/>
  <c r="J55" i="19"/>
  <c r="H55" i="19"/>
  <c r="J54" i="19"/>
  <c r="H54" i="19"/>
  <c r="J53" i="19"/>
  <c r="H53" i="19"/>
  <c r="J52" i="19"/>
  <c r="H52" i="19"/>
  <c r="J51" i="19"/>
  <c r="H51" i="19"/>
  <c r="J50" i="19"/>
  <c r="H50" i="19"/>
  <c r="J49" i="19"/>
  <c r="H49" i="19"/>
  <c r="J48" i="19"/>
  <c r="H48" i="19"/>
  <c r="J47" i="19"/>
  <c r="H47" i="19"/>
  <c r="J46" i="19"/>
  <c r="H46" i="19"/>
  <c r="J45" i="19"/>
  <c r="H45" i="19"/>
  <c r="J44" i="19"/>
  <c r="H44" i="19"/>
  <c r="J43" i="19"/>
  <c r="H43" i="19"/>
  <c r="J42" i="19"/>
  <c r="H42" i="19"/>
  <c r="J41" i="19"/>
  <c r="H41" i="19"/>
  <c r="J40" i="19"/>
  <c r="H40" i="19"/>
  <c r="J39" i="19"/>
  <c r="H39" i="19"/>
  <c r="J38" i="19"/>
  <c r="H38" i="19"/>
  <c r="J37" i="19"/>
  <c r="H37" i="19"/>
  <c r="J36" i="19"/>
  <c r="H36" i="19"/>
  <c r="J35" i="19"/>
  <c r="H35" i="19"/>
  <c r="J34" i="19"/>
  <c r="H34" i="19"/>
  <c r="J33" i="19"/>
  <c r="H33" i="19"/>
  <c r="J32" i="19"/>
  <c r="H32" i="19"/>
  <c r="J31" i="19"/>
  <c r="H31" i="19"/>
  <c r="J30" i="19"/>
  <c r="H30" i="19"/>
  <c r="J29" i="19"/>
  <c r="H29" i="19"/>
  <c r="J28" i="19"/>
  <c r="H28" i="19"/>
  <c r="J27" i="19"/>
  <c r="H27" i="19"/>
  <c r="J26" i="19"/>
  <c r="H26" i="19"/>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B228" i="15"/>
  <c r="B227" i="15"/>
  <c r="J101" i="27"/>
  <c r="H101" i="27"/>
  <c r="J100" i="27"/>
  <c r="H100" i="27"/>
  <c r="J99" i="27"/>
  <c r="H99" i="27"/>
  <c r="J98" i="27"/>
  <c r="H98" i="27"/>
  <c r="J97" i="27"/>
  <c r="H97" i="27"/>
  <c r="J96" i="27"/>
  <c r="H96" i="27"/>
  <c r="J95" i="27"/>
  <c r="H95" i="27"/>
  <c r="J94" i="27"/>
  <c r="H94" i="27"/>
  <c r="J93" i="27"/>
  <c r="H93" i="27"/>
  <c r="J92" i="27"/>
  <c r="H92" i="27"/>
  <c r="J91" i="27"/>
  <c r="H91" i="27"/>
  <c r="J90" i="27"/>
  <c r="H90" i="27"/>
  <c r="J89" i="27"/>
  <c r="H89" i="27"/>
  <c r="J88" i="27"/>
  <c r="H88" i="27"/>
  <c r="J87" i="27"/>
  <c r="H87" i="27"/>
  <c r="J86" i="27"/>
  <c r="H86" i="27"/>
  <c r="J85" i="27"/>
  <c r="H85" i="27"/>
  <c r="J84" i="27"/>
  <c r="H84" i="27"/>
  <c r="J83" i="27"/>
  <c r="H83" i="27"/>
  <c r="J82" i="27"/>
  <c r="H82" i="27"/>
  <c r="J81" i="27"/>
  <c r="H81" i="27"/>
  <c r="J80" i="27"/>
  <c r="H80" i="27"/>
  <c r="J79" i="27"/>
  <c r="H79" i="27"/>
  <c r="J78" i="27"/>
  <c r="H78" i="27"/>
  <c r="J77" i="27"/>
  <c r="H77" i="27"/>
  <c r="J76" i="27"/>
  <c r="H76" i="27"/>
  <c r="J75" i="27"/>
  <c r="H75" i="27"/>
  <c r="J74" i="27"/>
  <c r="H74" i="27"/>
  <c r="J73" i="27"/>
  <c r="H73" i="27"/>
  <c r="J72" i="27"/>
  <c r="H72" i="27"/>
  <c r="J71" i="27"/>
  <c r="H71" i="27"/>
  <c r="J70" i="27"/>
  <c r="H70" i="27"/>
  <c r="J69" i="27"/>
  <c r="H69" i="27"/>
  <c r="J68" i="27"/>
  <c r="H68" i="27"/>
  <c r="J67" i="27"/>
  <c r="H67" i="27"/>
  <c r="J66" i="27"/>
  <c r="H66" i="27"/>
  <c r="J65" i="27"/>
  <c r="H65" i="27"/>
  <c r="J64" i="27"/>
  <c r="H64" i="27"/>
  <c r="J63" i="27"/>
  <c r="H63" i="27"/>
  <c r="J62" i="27"/>
  <c r="H62" i="27"/>
  <c r="J61" i="27"/>
  <c r="H61" i="27"/>
  <c r="J60" i="27"/>
  <c r="H60" i="27"/>
  <c r="J59" i="27"/>
  <c r="H59" i="27"/>
  <c r="J58" i="27"/>
  <c r="H58" i="27"/>
  <c r="J57" i="27"/>
  <c r="H57" i="27"/>
  <c r="J56" i="27"/>
  <c r="H56" i="27"/>
  <c r="J55" i="27"/>
  <c r="H55" i="27"/>
  <c r="J54" i="27"/>
  <c r="H54" i="27"/>
  <c r="J53" i="27"/>
  <c r="H53" i="27"/>
  <c r="J52" i="27"/>
  <c r="H52" i="27"/>
  <c r="J51" i="27"/>
  <c r="H51" i="27"/>
  <c r="J50" i="27"/>
  <c r="H50" i="27"/>
  <c r="J49" i="27"/>
  <c r="H49" i="27"/>
  <c r="J48" i="27"/>
  <c r="H48" i="27"/>
  <c r="J47" i="27"/>
  <c r="H47" i="27"/>
  <c r="J46" i="27"/>
  <c r="H46" i="27"/>
  <c r="J45" i="27"/>
  <c r="H45" i="27"/>
  <c r="J44" i="27"/>
  <c r="H44" i="27"/>
  <c r="J43" i="27"/>
  <c r="H43" i="27"/>
  <c r="J42" i="27"/>
  <c r="H42" i="27"/>
  <c r="J41" i="27"/>
  <c r="J39" i="27"/>
  <c r="J38" i="27"/>
  <c r="J37" i="27"/>
  <c r="H37" i="27"/>
  <c r="J36" i="27"/>
  <c r="J35" i="27"/>
  <c r="J34" i="27"/>
  <c r="H34" i="27"/>
  <c r="J33" i="27"/>
  <c r="H33" i="27"/>
  <c r="I26" i="25"/>
  <c r="I8" i="25"/>
  <c r="J25" i="19"/>
  <c r="H25" i="19"/>
  <c r="J24" i="19"/>
  <c r="H24" i="19"/>
  <c r="J23" i="19"/>
  <c r="H23" i="19"/>
  <c r="J22" i="19"/>
  <c r="H22" i="19"/>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B239" i="15"/>
  <c r="B238" i="15"/>
  <c r="B237" i="15"/>
  <c r="B236" i="15"/>
  <c r="B235" i="15"/>
  <c r="B234" i="15"/>
  <c r="B233" i="15"/>
  <c r="B232" i="15"/>
  <c r="B231" i="15"/>
  <c r="B230" i="15"/>
  <c r="B229" i="15"/>
  <c r="B226" i="15"/>
  <c r="I23" i="25"/>
  <c r="I4" i="25"/>
  <c r="B225" i="15"/>
  <c r="B224" i="15"/>
  <c r="B223" i="15"/>
  <c r="B222" i="15"/>
  <c r="B221" i="15"/>
  <c r="B220" i="15"/>
  <c r="B219" i="15"/>
  <c r="B218" i="15"/>
  <c r="B217" i="15"/>
  <c r="B216" i="15"/>
  <c r="B215" i="15"/>
  <c r="B214" i="15"/>
  <c r="B213" i="15"/>
  <c r="B212" i="15"/>
  <c r="B211" i="15"/>
  <c r="B210" i="15"/>
  <c r="B209" i="15"/>
  <c r="B208" i="15"/>
  <c r="B207" i="15"/>
  <c r="B206" i="15"/>
  <c r="B205" i="15"/>
  <c r="B204" i="15"/>
  <c r="B203" i="15"/>
  <c r="B202" i="15"/>
  <c r="B201" i="15"/>
  <c r="B200" i="15"/>
  <c r="B199" i="15"/>
  <c r="B198" i="15"/>
  <c r="B197" i="15"/>
  <c r="B196" i="15"/>
  <c r="B195" i="15"/>
  <c r="B194" i="15"/>
  <c r="B193" i="15"/>
  <c r="B192" i="15"/>
  <c r="B191" i="15"/>
  <c r="B190" i="15"/>
  <c r="B189" i="15"/>
  <c r="B188" i="15"/>
  <c r="B187" i="15"/>
  <c r="B186" i="15"/>
  <c r="B185" i="15"/>
  <c r="B184" i="15"/>
  <c r="B183" i="15"/>
  <c r="B182" i="15"/>
  <c r="B181" i="15"/>
  <c r="B180" i="15"/>
  <c r="B179" i="15"/>
  <c r="B178" i="15"/>
  <c r="B177" i="15"/>
  <c r="B176" i="15"/>
  <c r="B175" i="15"/>
  <c r="B174" i="15"/>
  <c r="B173" i="15"/>
  <c r="B172" i="15"/>
  <c r="B171" i="15"/>
  <c r="B170" i="15"/>
  <c r="B169" i="15"/>
  <c r="B168" i="15"/>
  <c r="B167" i="15"/>
  <c r="B166" i="15"/>
  <c r="B165" i="15"/>
  <c r="B164" i="15"/>
  <c r="B163" i="15"/>
  <c r="B162" i="15"/>
  <c r="B161" i="15"/>
  <c r="B160" i="15"/>
  <c r="B159" i="15"/>
  <c r="B158" i="15"/>
  <c r="B157" i="15"/>
  <c r="B156" i="15"/>
  <c r="B155" i="15"/>
  <c r="B154" i="15"/>
  <c r="B153" i="15"/>
  <c r="B152" i="15"/>
  <c r="B151" i="15"/>
  <c r="B150" i="15"/>
  <c r="B149" i="15"/>
  <c r="B148" i="15"/>
  <c r="B147" i="15"/>
  <c r="B146" i="15"/>
  <c r="B145" i="15"/>
  <c r="B144" i="15"/>
  <c r="B143" i="15"/>
  <c r="B142" i="15"/>
  <c r="B141" i="15"/>
  <c r="B140" i="15"/>
  <c r="B139" i="15"/>
  <c r="B138" i="15"/>
  <c r="B137" i="15"/>
  <c r="B136" i="15"/>
  <c r="B135" i="15"/>
  <c r="B134" i="15"/>
  <c r="B133" i="15"/>
  <c r="B132" i="15"/>
  <c r="B131" i="15"/>
  <c r="B130" i="15"/>
  <c r="B129" i="15"/>
  <c r="B128" i="15"/>
  <c r="B127" i="15"/>
  <c r="B126" i="15"/>
  <c r="B125" i="15"/>
  <c r="B124" i="15"/>
  <c r="B123" i="15"/>
  <c r="B122" i="15"/>
  <c r="B121" i="15"/>
  <c r="B120" i="15"/>
  <c r="B119" i="15"/>
  <c r="B118" i="15"/>
  <c r="B117" i="15"/>
  <c r="B116" i="15"/>
  <c r="B115" i="15"/>
  <c r="B114" i="15"/>
  <c r="B113" i="15"/>
  <c r="B112" i="15"/>
  <c r="B111" i="15"/>
  <c r="B110" i="15"/>
  <c r="B109" i="15"/>
  <c r="B108" i="15"/>
  <c r="B107" i="15"/>
  <c r="B106" i="15"/>
  <c r="B105" i="15"/>
  <c r="B104" i="15"/>
  <c r="B103" i="15"/>
  <c r="B102" i="15"/>
  <c r="B101" i="15"/>
  <c r="B100" i="15"/>
  <c r="B99" i="15"/>
  <c r="B98" i="15"/>
  <c r="B97" i="15"/>
  <c r="B96" i="15"/>
  <c r="B95" i="15"/>
  <c r="B94" i="15"/>
  <c r="B93" i="15"/>
  <c r="B92" i="15"/>
  <c r="B91" i="15"/>
  <c r="B90" i="15"/>
  <c r="B89" i="15"/>
  <c r="B88" i="15"/>
  <c r="B87" i="15"/>
  <c r="B86" i="15"/>
  <c r="B85" i="15"/>
  <c r="B84" i="15"/>
  <c r="B83" i="15"/>
  <c r="B82" i="15"/>
  <c r="B81" i="15"/>
  <c r="B80" i="15"/>
  <c r="B79" i="15"/>
  <c r="B78" i="15"/>
  <c r="B77" i="15"/>
  <c r="B76" i="15"/>
  <c r="B75" i="15"/>
  <c r="B74" i="15"/>
  <c r="B73" i="15"/>
  <c r="B72" i="15"/>
  <c r="B71" i="15"/>
  <c r="B70" i="15"/>
  <c r="B69" i="15"/>
  <c r="B68" i="15"/>
  <c r="B67" i="15"/>
  <c r="B66" i="15"/>
  <c r="B65" i="15"/>
  <c r="B64" i="15"/>
  <c r="B63" i="15"/>
  <c r="B62" i="15"/>
  <c r="B61" i="15"/>
  <c r="B60" i="15"/>
  <c r="B59" i="15"/>
  <c r="B58" i="15"/>
  <c r="B57" i="15"/>
  <c r="B56" i="15"/>
  <c r="B55" i="15"/>
  <c r="B54" i="15"/>
  <c r="B53" i="15"/>
  <c r="B52" i="15"/>
  <c r="B51" i="15"/>
  <c r="B50" i="15"/>
  <c r="B49" i="15"/>
  <c r="B48" i="15"/>
  <c r="B47" i="15"/>
  <c r="B46" i="15"/>
  <c r="B45" i="15"/>
  <c r="B44" i="15"/>
  <c r="B43" i="15"/>
  <c r="B42" i="15"/>
  <c r="B41" i="15"/>
  <c r="B40" i="15"/>
  <c r="B39" i="15"/>
  <c r="B38" i="15"/>
  <c r="B37" i="15"/>
  <c r="B36" i="15"/>
  <c r="B35" i="15"/>
  <c r="B34" i="15"/>
  <c r="B33" i="15"/>
  <c r="B32" i="15"/>
  <c r="B31" i="15"/>
  <c r="B30" i="15"/>
  <c r="B29" i="15"/>
  <c r="B28" i="15"/>
  <c r="B27" i="15"/>
  <c r="B26" i="15"/>
  <c r="B25" i="15"/>
  <c r="B24" i="15"/>
  <c r="B23" i="15"/>
  <c r="B22" i="15"/>
  <c r="B21" i="15"/>
  <c r="B20" i="15"/>
  <c r="B19" i="15"/>
  <c r="B18" i="15"/>
  <c r="B17" i="15"/>
  <c r="B16" i="15"/>
  <c r="B15" i="15"/>
  <c r="B14" i="15"/>
  <c r="B13" i="15"/>
  <c r="B12" i="15"/>
  <c r="B11" i="15"/>
  <c r="B10" i="15"/>
  <c r="B9" i="15"/>
  <c r="B8" i="15"/>
  <c r="B7" i="15"/>
  <c r="B6" i="15"/>
  <c r="B5" i="15"/>
  <c r="B4" i="15"/>
  <c r="B3" i="15"/>
  <c r="B2" i="15"/>
  <c r="K8" i="16"/>
  <c r="J8" i="16"/>
  <c r="A4" i="16"/>
  <c r="N3" i="16"/>
  <c r="J71" i="45"/>
  <c r="H71" i="45"/>
  <c r="J70" i="45"/>
  <c r="H68" i="45"/>
  <c r="J66" i="45"/>
  <c r="H65" i="45"/>
  <c r="H64" i="45"/>
  <c r="J62" i="45"/>
  <c r="H62" i="45"/>
  <c r="H60" i="45"/>
  <c r="H59" i="45"/>
  <c r="J58" i="45"/>
  <c r="H58" i="45"/>
  <c r="J56" i="45"/>
  <c r="H56" i="45"/>
  <c r="J54" i="45"/>
  <c r="H54" i="45"/>
  <c r="J52" i="45"/>
  <c r="H52" i="45"/>
  <c r="J50" i="45"/>
  <c r="H50" i="45"/>
  <c r="H98" i="43"/>
  <c r="H97" i="43"/>
  <c r="I25" i="25"/>
  <c r="I7" i="25"/>
  <c r="H42" i="29"/>
  <c r="H26" i="29"/>
  <c r="H33" i="29"/>
  <c r="H25" i="29"/>
  <c r="H2" i="29"/>
  <c r="H32" i="29"/>
  <c r="H28" i="29"/>
  <c r="H23" i="29"/>
  <c r="H4" i="29"/>
  <c r="H21" i="29"/>
  <c r="H12" i="29"/>
  <c r="H22" i="29"/>
  <c r="H24" i="29"/>
  <c r="H18" i="29"/>
  <c r="H16" i="29"/>
  <c r="H29" i="29"/>
  <c r="H20" i="29"/>
  <c r="H19" i="29"/>
  <c r="H47" i="29"/>
  <c r="H46" i="29"/>
  <c r="H34" i="29"/>
  <c r="H30" i="29"/>
  <c r="H27" i="29"/>
  <c r="H15" i="29"/>
  <c r="H14" i="29"/>
  <c r="H31" i="29"/>
  <c r="H17" i="29"/>
  <c r="H10" i="29"/>
  <c r="H9" i="29"/>
  <c r="H7" i="29"/>
  <c r="H3" i="29"/>
  <c r="H13" i="29"/>
  <c r="H6" i="29"/>
  <c r="H8" i="29"/>
  <c r="H11" i="29"/>
  <c r="H5" i="29"/>
  <c r="B24" i="23"/>
  <c r="B4" i="25"/>
  <c r="B23" i="25"/>
  <c r="B13" i="26"/>
  <c r="B26" i="26"/>
  <c r="B22" i="27"/>
  <c r="B6" i="28"/>
  <c r="B25" i="28"/>
  <c r="A2" i="17"/>
  <c r="A3" i="17"/>
  <c r="A4" i="17"/>
  <c r="A5" i="17"/>
  <c r="A6" i="17"/>
  <c r="A7" i="17"/>
  <c r="A8" i="17"/>
  <c r="A9" i="17"/>
  <c r="A10" i="17"/>
  <c r="A11" i="17"/>
  <c r="A12" i="17"/>
  <c r="A13" i="17"/>
  <c r="A14" i="17"/>
  <c r="A15" i="17"/>
  <c r="A16" i="17"/>
  <c r="A17" i="17"/>
  <c r="A18" i="17"/>
  <c r="A19" i="17"/>
  <c r="A20" i="17"/>
  <c r="A21" i="17"/>
  <c r="A22" i="17"/>
  <c r="A23" i="17"/>
  <c r="A24" i="17"/>
  <c r="A25" i="17"/>
  <c r="A26" i="17"/>
  <c r="A27" i="17"/>
  <c r="A28" i="17"/>
  <c r="A29" i="17"/>
  <c r="A30" i="17"/>
  <c r="A31" i="17"/>
  <c r="A32" i="17"/>
  <c r="A33" i="17"/>
  <c r="A34" i="17"/>
  <c r="A35" i="17"/>
  <c r="A36" i="17"/>
  <c r="A37" i="17"/>
  <c r="A38" i="17"/>
  <c r="A39" i="17"/>
  <c r="A40" i="17"/>
  <c r="A41" i="17"/>
  <c r="A42" i="17"/>
  <c r="A43" i="17"/>
  <c r="A44" i="17"/>
  <c r="A45" i="17"/>
  <c r="A46" i="17"/>
  <c r="A47" i="17"/>
  <c r="A48" i="17"/>
  <c r="A49" i="17"/>
  <c r="A50" i="17"/>
  <c r="A51" i="17"/>
  <c r="A52" i="17"/>
  <c r="A53" i="17"/>
  <c r="A54" i="17"/>
  <c r="B23" i="23"/>
  <c r="B18" i="24"/>
  <c r="B8" i="25"/>
  <c r="B26" i="25"/>
  <c r="B17" i="26"/>
  <c r="B18" i="26"/>
  <c r="B12" i="27"/>
  <c r="B32" i="27"/>
  <c r="B18" i="28"/>
  <c r="B19" i="28"/>
  <c r="B27" i="28"/>
  <c r="B26" i="23"/>
  <c r="B5" i="25"/>
  <c r="B24" i="25"/>
  <c r="B12" i="26"/>
  <c r="B24" i="26"/>
  <c r="B17" i="27"/>
  <c r="B18" i="27"/>
  <c r="B5" i="28"/>
  <c r="B24" i="28"/>
  <c r="B32" i="21"/>
  <c r="B17" i="23"/>
  <c r="B18" i="23"/>
  <c r="B30" i="23"/>
  <c r="B31" i="23"/>
  <c r="B2" i="24"/>
  <c r="B3" i="24"/>
  <c r="B4" i="24"/>
  <c r="B5" i="24"/>
  <c r="B6" i="24"/>
  <c r="B7" i="24"/>
  <c r="B8" i="24"/>
  <c r="B9" i="24"/>
  <c r="B10" i="24"/>
  <c r="B11" i="23"/>
  <c r="B13" i="24"/>
  <c r="B9" i="25"/>
  <c r="B31" i="25"/>
  <c r="B32" i="25"/>
  <c r="B33" i="25"/>
  <c r="B34" i="25"/>
  <c r="B35" i="25"/>
  <c r="B12" i="23"/>
  <c r="B15" i="24"/>
  <c r="B14" i="25"/>
  <c r="B7" i="26"/>
  <c r="B29" i="26"/>
  <c r="B30" i="26"/>
  <c r="B31" i="26"/>
  <c r="B2" i="27"/>
  <c r="B16" i="23"/>
  <c r="B19" i="24"/>
  <c r="B21" i="25"/>
  <c r="B9" i="26"/>
  <c r="B27" i="26"/>
  <c r="B16" i="27"/>
  <c r="B4" i="28"/>
  <c r="B46" i="28"/>
  <c r="B20" i="23"/>
  <c r="B20" i="24"/>
  <c r="B18" i="25"/>
  <c r="B5" i="26"/>
  <c r="B25" i="26"/>
  <c r="B23" i="27"/>
  <c r="B11" i="28"/>
  <c r="B36" i="28"/>
  <c r="B45" i="28"/>
  <c r="B10" i="23"/>
  <c r="B12" i="24"/>
  <c r="B6" i="25"/>
  <c r="B27" i="25"/>
  <c r="B23" i="26"/>
  <c r="B15" i="27"/>
  <c r="B3" i="28"/>
  <c r="B44" i="28"/>
  <c r="B13" i="23"/>
  <c r="B17" i="24"/>
  <c r="B17" i="25"/>
  <c r="B6" i="26"/>
  <c r="B4" i="27"/>
  <c r="B5" i="27"/>
  <c r="B21" i="27"/>
  <c r="B9" i="28"/>
  <c r="B10" i="28"/>
  <c r="B35" i="28"/>
  <c r="B21" i="23"/>
  <c r="B24" i="24"/>
  <c r="B20" i="25"/>
  <c r="B10" i="26"/>
  <c r="B6" i="27"/>
  <c r="B24" i="27"/>
  <c r="B12" i="28"/>
  <c r="B34" i="28"/>
  <c r="B43" i="28"/>
  <c r="B15" i="23"/>
  <c r="B22" i="24"/>
  <c r="B22" i="25"/>
  <c r="B11" i="26"/>
  <c r="B3" i="27"/>
  <c r="B20" i="27"/>
  <c r="B7" i="28"/>
  <c r="B42" i="28"/>
  <c r="B14" i="23"/>
  <c r="B16" i="24"/>
  <c r="B19" i="25"/>
  <c r="B8" i="26"/>
  <c r="B28" i="26"/>
  <c r="B19" i="27"/>
  <c r="B8" i="28"/>
  <c r="B39" i="28"/>
  <c r="B3" i="23"/>
  <c r="B4" i="23"/>
  <c r="B27" i="23"/>
  <c r="B25" i="24"/>
  <c r="B12" i="25"/>
  <c r="B30" i="25"/>
  <c r="B19" i="26"/>
  <c r="B10" i="27"/>
  <c r="B28" i="27"/>
  <c r="B14" i="28"/>
  <c r="B15" i="28"/>
  <c r="B41" i="28"/>
  <c r="B2" i="23"/>
  <c r="B29" i="23"/>
  <c r="B2" i="25"/>
  <c r="B15" i="25"/>
  <c r="B3" i="26"/>
  <c r="B21" i="26"/>
  <c r="B13" i="27"/>
  <c r="B30" i="27"/>
  <c r="B31" i="27"/>
  <c r="B21" i="28"/>
  <c r="B22" i="28"/>
  <c r="B38" i="28"/>
  <c r="B25" i="23"/>
  <c r="B21" i="24"/>
  <c r="B10" i="25"/>
  <c r="B28" i="25"/>
  <c r="B15" i="26"/>
  <c r="B8" i="27"/>
  <c r="B26" i="27"/>
  <c r="B23" i="28"/>
  <c r="B40" i="28"/>
  <c r="B22" i="23"/>
  <c r="B23" i="24"/>
  <c r="B11" i="25"/>
  <c r="B29" i="25"/>
  <c r="B16" i="26"/>
  <c r="B9" i="27"/>
  <c r="B27" i="27"/>
  <c r="B20" i="28"/>
  <c r="B32" i="28"/>
  <c r="B33" i="28"/>
  <c r="B37" i="28"/>
  <c r="B6" i="23"/>
  <c r="B7" i="23"/>
  <c r="B8" i="23"/>
  <c r="B9" i="23"/>
  <c r="B11" i="24"/>
  <c r="B3" i="25"/>
  <c r="B16" i="25"/>
  <c r="B4" i="26"/>
  <c r="B22" i="26"/>
  <c r="B14" i="27"/>
  <c r="B2" i="28"/>
  <c r="B17" i="28"/>
  <c r="B29" i="28"/>
  <c r="B5" i="23"/>
  <c r="B28" i="23"/>
  <c r="B26" i="24"/>
  <c r="B13" i="25"/>
  <c r="B2" i="26"/>
  <c r="B20" i="26"/>
  <c r="B11" i="27"/>
  <c r="B29" i="27"/>
  <c r="B16" i="28"/>
  <c r="B28" i="28"/>
  <c r="B31" i="28"/>
  <c r="B19" i="23"/>
  <c r="B14" i="24"/>
  <c r="B7" i="25"/>
  <c r="B25" i="25"/>
  <c r="B14" i="26"/>
  <c r="B7" i="27"/>
  <c r="B25" i="27"/>
  <c r="B13" i="28"/>
  <c r="B26" i="28"/>
  <c r="B30" i="28"/>
  <c r="N4" i="16"/>
  <c r="A5" i="16"/>
  <c r="C104" i="20"/>
  <c r="J24" i="23"/>
  <c r="J4" i="25"/>
  <c r="J23" i="25"/>
  <c r="J13" i="26"/>
  <c r="J26" i="26"/>
  <c r="J22" i="27"/>
  <c r="J6" i="28"/>
  <c r="J25" i="28"/>
  <c r="J23" i="23"/>
  <c r="J18" i="24"/>
  <c r="J8" i="25"/>
  <c r="J26" i="25"/>
  <c r="J17" i="26"/>
  <c r="J18" i="26"/>
  <c r="J12" i="27"/>
  <c r="J32" i="27"/>
  <c r="J18" i="28"/>
  <c r="J19" i="28"/>
  <c r="J27" i="28"/>
  <c r="J26" i="23"/>
  <c r="J5" i="25"/>
  <c r="J24" i="25"/>
  <c r="J12" i="26"/>
  <c r="J24" i="26"/>
  <c r="J17" i="27"/>
  <c r="J18" i="27"/>
  <c r="J5" i="28"/>
  <c r="J24" i="28"/>
  <c r="J32" i="21"/>
  <c r="J17" i="23"/>
  <c r="J18" i="23"/>
  <c r="J30" i="23"/>
  <c r="J31" i="23"/>
  <c r="J2" i="24"/>
  <c r="J3" i="24"/>
  <c r="J4" i="24"/>
  <c r="J5" i="24"/>
  <c r="J6" i="24"/>
  <c r="J7" i="24"/>
  <c r="J8" i="24"/>
  <c r="J9" i="24"/>
  <c r="J10" i="24"/>
  <c r="J11" i="23"/>
  <c r="J13" i="24"/>
  <c r="J9" i="25"/>
  <c r="J31" i="25"/>
  <c r="J32" i="25"/>
  <c r="J33" i="25"/>
  <c r="J34" i="25"/>
  <c r="J35" i="25"/>
  <c r="J12" i="23"/>
  <c r="J15" i="24"/>
  <c r="J14" i="25"/>
  <c r="J7" i="26"/>
  <c r="J29" i="26"/>
  <c r="J30" i="26"/>
  <c r="J31" i="26"/>
  <c r="J2" i="27"/>
  <c r="J16" i="23"/>
  <c r="J19" i="24"/>
  <c r="J21" i="25"/>
  <c r="J9" i="26"/>
  <c r="J27" i="26"/>
  <c r="J16" i="27"/>
  <c r="J4" i="28"/>
  <c r="J46" i="28"/>
  <c r="J20" i="23"/>
  <c r="J20" i="24"/>
  <c r="J18" i="25"/>
  <c r="J5" i="26"/>
  <c r="J25" i="26"/>
  <c r="J23" i="27"/>
  <c r="J11" i="28"/>
  <c r="J36" i="28"/>
  <c r="J45" i="28"/>
  <c r="J10" i="23"/>
  <c r="J12" i="24"/>
  <c r="J6" i="25"/>
  <c r="J27" i="25"/>
  <c r="J23" i="26"/>
  <c r="J15" i="27"/>
  <c r="J3" i="28"/>
  <c r="J44" i="28"/>
  <c r="J13" i="23"/>
  <c r="J17" i="24"/>
  <c r="J17" i="25"/>
  <c r="J6" i="26"/>
  <c r="J4" i="27"/>
  <c r="J5" i="27"/>
  <c r="J21" i="27"/>
  <c r="J9" i="28"/>
  <c r="J10" i="28"/>
  <c r="J35" i="28"/>
  <c r="J21" i="23"/>
  <c r="J24" i="24"/>
  <c r="J20" i="25"/>
  <c r="J10" i="26"/>
  <c r="J6" i="27"/>
  <c r="J24" i="27"/>
  <c r="J12" i="28"/>
  <c r="J34" i="28"/>
  <c r="J43" i="28"/>
  <c r="J15" i="23"/>
  <c r="J22" i="24"/>
  <c r="J22" i="25"/>
  <c r="J11" i="26"/>
  <c r="J3" i="27"/>
  <c r="J20" i="27"/>
  <c r="J7" i="28"/>
  <c r="J42" i="28"/>
  <c r="J14" i="23"/>
  <c r="J16" i="24"/>
  <c r="J19" i="25"/>
  <c r="J8" i="26"/>
  <c r="J28" i="26"/>
  <c r="J19" i="27"/>
  <c r="J8" i="28"/>
  <c r="J39" i="28"/>
  <c r="J3" i="23"/>
  <c r="J4" i="23"/>
  <c r="J27" i="23"/>
  <c r="J25" i="24"/>
  <c r="J12" i="25"/>
  <c r="J30" i="25"/>
  <c r="J19" i="26"/>
  <c r="J10" i="27"/>
  <c r="J28" i="27"/>
  <c r="J14" i="28"/>
  <c r="J15" i="28"/>
  <c r="J41" i="28"/>
  <c r="J2" i="23"/>
  <c r="J29" i="23"/>
  <c r="J2" i="25"/>
  <c r="J15" i="25"/>
  <c r="J3" i="26"/>
  <c r="J21" i="26"/>
  <c r="J13" i="27"/>
  <c r="J30" i="27"/>
  <c r="J31" i="27"/>
  <c r="J21" i="28"/>
  <c r="J22" i="28"/>
  <c r="J38" i="28"/>
  <c r="J25" i="23"/>
  <c r="J21" i="24"/>
  <c r="J10" i="25"/>
  <c r="J28" i="25"/>
  <c r="J15" i="26"/>
  <c r="J8" i="27"/>
  <c r="J26" i="27"/>
  <c r="J23" i="28"/>
  <c r="J40" i="28"/>
  <c r="J22" i="23"/>
  <c r="J23" i="24"/>
  <c r="J11" i="25"/>
  <c r="J29" i="25"/>
  <c r="J16" i="26"/>
  <c r="J9" i="27"/>
  <c r="J27" i="27"/>
  <c r="J20" i="28"/>
  <c r="J32" i="28"/>
  <c r="J33" i="28"/>
  <c r="J37" i="28"/>
  <c r="J6" i="23"/>
  <c r="J7" i="23"/>
  <c r="J8" i="23"/>
  <c r="J9" i="23"/>
  <c r="J11" i="24"/>
  <c r="J3" i="25"/>
  <c r="J16" i="25"/>
  <c r="J4" i="26"/>
  <c r="J22" i="26"/>
  <c r="J14" i="27"/>
  <c r="J2" i="28"/>
  <c r="J17" i="28"/>
  <c r="J29" i="28"/>
  <c r="J5" i="23"/>
  <c r="J28" i="23"/>
  <c r="J26" i="24"/>
  <c r="J13" i="25"/>
  <c r="J2" i="26"/>
  <c r="J20" i="26"/>
  <c r="J11" i="27"/>
  <c r="J29" i="27"/>
  <c r="J16" i="28"/>
  <c r="J28" i="28"/>
  <c r="J31" i="28"/>
  <c r="J19" i="23"/>
  <c r="J14" i="24"/>
  <c r="J7" i="25"/>
  <c r="J25" i="25"/>
  <c r="J14" i="26"/>
  <c r="J7" i="27"/>
  <c r="J25" i="27"/>
  <c r="J13" i="28"/>
  <c r="J26" i="28"/>
  <c r="J30" i="28"/>
  <c r="N5" i="16"/>
  <c r="A6" i="16"/>
  <c r="C104" i="21"/>
  <c r="H41" i="28"/>
  <c r="H30" i="23"/>
  <c r="H14" i="25"/>
  <c r="H21" i="26"/>
  <c r="H8" i="28"/>
  <c r="H13" i="27"/>
  <c r="N6" i="16"/>
  <c r="A7" i="16"/>
  <c r="H24" i="25"/>
  <c r="H18" i="27"/>
  <c r="H18" i="23"/>
  <c r="H31" i="23"/>
  <c r="H2" i="24"/>
  <c r="H3" i="24"/>
  <c r="H4" i="24"/>
  <c r="H5" i="24"/>
  <c r="H6" i="24"/>
  <c r="H7" i="24"/>
  <c r="H8" i="24"/>
  <c r="H9" i="24"/>
  <c r="H10" i="24"/>
  <c r="H12" i="23"/>
  <c r="H15" i="24"/>
  <c r="H39" i="28"/>
  <c r="H3" i="23"/>
  <c r="H27" i="23"/>
  <c r="H19" i="26"/>
  <c r="H10" i="27"/>
  <c r="H2" i="23"/>
  <c r="H2" i="25"/>
  <c r="H15" i="25"/>
  <c r="H3" i="26"/>
  <c r="C104" i="23"/>
  <c r="H17" i="26"/>
  <c r="H12" i="27"/>
  <c r="H11" i="23"/>
  <c r="H13" i="24"/>
  <c r="H9" i="25"/>
  <c r="H31" i="25"/>
  <c r="H32" i="25"/>
  <c r="H33" i="25"/>
  <c r="H34" i="25"/>
  <c r="H35" i="25"/>
  <c r="H7" i="26"/>
  <c r="H29" i="26"/>
  <c r="H30" i="26"/>
  <c r="H31" i="26"/>
  <c r="H2" i="27"/>
  <c r="H16" i="23"/>
  <c r="H19" i="24"/>
  <c r="H21" i="25"/>
  <c r="H9" i="26"/>
  <c r="H27" i="26"/>
  <c r="H3" i="27"/>
  <c r="H42" i="28"/>
  <c r="H8" i="26"/>
  <c r="H28" i="26"/>
  <c r="H19" i="27"/>
  <c r="H12" i="25"/>
  <c r="H30" i="25"/>
  <c r="H29" i="23"/>
  <c r="H22" i="27"/>
  <c r="H32" i="21"/>
  <c r="H16" i="27"/>
  <c r="H4" i="28"/>
  <c r="H46" i="28"/>
  <c r="H20" i="23"/>
  <c r="H20" i="24"/>
  <c r="H18" i="25"/>
  <c r="H5" i="26"/>
  <c r="H25" i="26"/>
  <c r="H23" i="27"/>
  <c r="H11" i="28"/>
  <c r="H36" i="28"/>
  <c r="H45" i="28"/>
  <c r="H10" i="23"/>
  <c r="H12" i="24"/>
  <c r="H6" i="25"/>
  <c r="H27" i="25"/>
  <c r="H23" i="26"/>
  <c r="H15" i="27"/>
  <c r="H3" i="28"/>
  <c r="H44" i="28"/>
  <c r="H13" i="23"/>
  <c r="H35" i="28"/>
  <c r="H21" i="23"/>
  <c r="H20" i="25"/>
  <c r="H34" i="28"/>
  <c r="H43" i="28"/>
  <c r="H15" i="23"/>
  <c r="H22" i="24"/>
  <c r="H22" i="25"/>
  <c r="H11" i="26"/>
  <c r="H20" i="27"/>
  <c r="H7" i="28"/>
  <c r="H14" i="23"/>
  <c r="H16" i="24"/>
  <c r="H19" i="25"/>
  <c r="H4" i="23"/>
  <c r="H4" i="25"/>
  <c r="H26" i="26"/>
  <c r="H23" i="23"/>
  <c r="H26" i="25"/>
  <c r="H32" i="27"/>
  <c r="H19" i="28"/>
  <c r="H27" i="28"/>
  <c r="H17" i="27"/>
  <c r="H17" i="24"/>
  <c r="H17" i="25"/>
  <c r="H6" i="26"/>
  <c r="H4" i="27"/>
  <c r="H5" i="27"/>
  <c r="H21" i="27"/>
  <c r="H9" i="28"/>
  <c r="H10" i="28"/>
  <c r="H24" i="24"/>
  <c r="H10" i="26"/>
  <c r="H6" i="27"/>
  <c r="H24" i="27"/>
  <c r="H12" i="28"/>
  <c r="H25" i="24"/>
  <c r="H8" i="25"/>
  <c r="H12" i="26"/>
  <c r="H5" i="28"/>
  <c r="H28" i="27"/>
  <c r="H14" i="28"/>
  <c r="H15" i="28"/>
  <c r="H30" i="27"/>
  <c r="H31" i="27"/>
  <c r="H21" i="28"/>
  <c r="H22" i="28"/>
  <c r="H38" i="28"/>
  <c r="H25" i="23"/>
  <c r="H21" i="24"/>
  <c r="H10" i="25"/>
  <c r="H28" i="25"/>
  <c r="H15" i="26"/>
  <c r="H27" i="27"/>
  <c r="H37" i="28"/>
  <c r="H9" i="23"/>
  <c r="H3" i="25"/>
  <c r="H24" i="23"/>
  <c r="H23" i="25"/>
  <c r="H13" i="26"/>
  <c r="H25" i="28"/>
  <c r="H18" i="28"/>
  <c r="H26" i="23"/>
  <c r="H8" i="27"/>
  <c r="H26" i="27"/>
  <c r="H23" i="28"/>
  <c r="H40" i="28"/>
  <c r="H22" i="23"/>
  <c r="H23" i="24"/>
  <c r="H11" i="25"/>
  <c r="H29" i="25"/>
  <c r="H16" i="26"/>
  <c r="H9" i="27"/>
  <c r="H20" i="28"/>
  <c r="H32" i="28"/>
  <c r="H33" i="28"/>
  <c r="H6" i="23"/>
  <c r="H7" i="23"/>
  <c r="H8" i="23"/>
  <c r="H11" i="24"/>
  <c r="H18" i="24"/>
  <c r="H5" i="25"/>
  <c r="H24" i="26"/>
  <c r="H17" i="23"/>
  <c r="H16" i="25"/>
  <c r="H4" i="26"/>
  <c r="H22" i="26"/>
  <c r="H14" i="27"/>
  <c r="H2" i="28"/>
  <c r="H17" i="28"/>
  <c r="H29" i="28"/>
  <c r="H5" i="23"/>
  <c r="H28" i="23"/>
  <c r="H26" i="24"/>
  <c r="H13" i="25"/>
  <c r="H2" i="26"/>
  <c r="H20" i="26"/>
  <c r="H11" i="27"/>
  <c r="H29" i="27"/>
  <c r="H16" i="28"/>
  <c r="H28" i="28"/>
  <c r="H31" i="28"/>
  <c r="H19" i="23"/>
  <c r="H14" i="24"/>
  <c r="H7" i="25"/>
  <c r="H25" i="25"/>
  <c r="H14" i="26"/>
  <c r="H7" i="27"/>
  <c r="H25" i="27"/>
  <c r="H13" i="28"/>
  <c r="H26" i="28"/>
  <c r="H30" i="28"/>
  <c r="H6" i="28"/>
  <c r="H24" i="28"/>
  <c r="C104" i="22"/>
  <c r="H18" i="26"/>
  <c r="N7" i="16"/>
  <c r="A8" i="16"/>
  <c r="N8" i="16"/>
  <c r="A9" i="16"/>
  <c r="N9" i="16"/>
  <c r="A10" i="16"/>
  <c r="N10" i="16"/>
  <c r="A11" i="16"/>
  <c r="N11" i="16"/>
  <c r="A12" i="16"/>
  <c r="N12" i="16"/>
  <c r="A13" i="16"/>
  <c r="N13" i="16"/>
  <c r="A14" i="16"/>
  <c r="N14" i="16"/>
  <c r="A15" i="16"/>
  <c r="N15" i="16"/>
  <c r="A16" i="16"/>
  <c r="N16" i="16"/>
  <c r="A17" i="16"/>
  <c r="N17" i="16"/>
  <c r="A18" i="16"/>
  <c r="N18" i="16"/>
  <c r="A19" i="16"/>
  <c r="N19" i="16"/>
  <c r="A20" i="16"/>
  <c r="N20" i="16"/>
  <c r="A21" i="16"/>
  <c r="N21" i="16"/>
  <c r="A22" i="16"/>
  <c r="N22" i="16"/>
  <c r="A23" i="16"/>
  <c r="N23" i="16"/>
  <c r="A24" i="16"/>
  <c r="N24" i="16"/>
  <c r="A25" i="16"/>
  <c r="N25" i="16"/>
  <c r="A26" i="16"/>
  <c r="N26" i="16"/>
  <c r="A27" i="16"/>
  <c r="N27" i="16"/>
  <c r="A28" i="16"/>
  <c r="N28" i="16"/>
  <c r="C104" i="26"/>
  <c r="C104" i="28"/>
  <c r="C104" i="30"/>
  <c r="C104" i="31"/>
  <c r="C104" i="32"/>
  <c r="C104" i="33"/>
  <c r="C104" i="34"/>
  <c r="C104" i="35"/>
  <c r="C104" i="36"/>
  <c r="C104" i="39"/>
  <c r="C104" i="37"/>
  <c r="C104" i="42"/>
  <c r="C104" i="41"/>
  <c r="C104" i="38"/>
  <c r="C104" i="25"/>
  <c r="C104" i="40"/>
  <c r="C104" i="24"/>
  <c r="C104" i="44"/>
  <c r="C104" i="46"/>
  <c r="C104" i="29"/>
  <c r="C104" i="45"/>
  <c r="C104" i="43"/>
  <c r="C104" i="2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<sst xmlns="http://schemas.openxmlformats.org/spreadsheetml/2006/main" count="14217" uniqueCount="595">
  <si>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</si>
  <si>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</si>
  <si>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</si>
  <si>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</si>
  <si>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</si>
  <si>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</si>
  <si>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</si>
  <si>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</si>
  <si>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</si>
  <si>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</si>
  <si>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</si>
  <si>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</si>
  <si>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</si>
  <si>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</si>
  <si>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</si>
  <si>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</si>
  <si>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</si>
  <si>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</si>
  <si>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</si>
  <si>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</si>
  <si>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</si>
  <si>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</si>
  <si>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</si>
  <si>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</si>
  <si>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</si>
  <si>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</si>
  <si>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</si>
  <si>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</si>
  <si>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</si>
  <si>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</si>
  <si>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</si>
  <si>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</si>
  <si>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</si>
  <si>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</si>
  <si>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</si>
  <si>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</si>
  <si>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</si>
  <si>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</si>
  <si>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</si>
  <si>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</si>
  <si>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</si>
  <si>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</si>
  <si>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</si>
  <si>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</si>
  <si>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</si>
  <si>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</si>
  <si>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</si>
  <si>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</si>
  <si>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</si>
  <si>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</si>
  <si>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</si>
  <si>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</si>
  <si>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</si>
  <si>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</si>
  <si>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</si>
  <si>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</si>
  <si>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</si>
  <si>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</si>
  <si>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</si>
  <si>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</si>
  <si>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</si>
  <si>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</si>
  <si>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</si>
  <si>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</si>
  <si>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</si>
  <si>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</si>
  <si>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</si>
  <si>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</si>
  <si>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</si>
  <si>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</si>
  <si>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</si>
  <si>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</si>
  <si>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</si>
  <si>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</si>
  <si>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</si>
  <si>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</si>
  <si>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</si>
  <si>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</si>
  <si>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</si>
  <si>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</si>
  <si>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</si>
  <si>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</si>
  <si>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</si>
  <si>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</si>
  <si>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</si>
  <si>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</si>
  <si>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</si>
  <si>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</si>
  <si>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</si>
  <si>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</si>
  <si>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</si>
  <si>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</si>
  <si>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</si>
  <si>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</si>
  <si>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</si>
  <si>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</si>
  <si>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</si>
  <si>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</si>
  <si>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</si>
  <si>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</si>
  <si>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</si>
  <si>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</si>
  <si>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</si>
  <si>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</si>
  <si>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</si>
  <si>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</si>
  <si>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</si>
  <si>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</si>
  <si>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</si>
  <si>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</si>
  <si>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</si>
  <si>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</si>
  <si>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</si>
  <si>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</si>
  <si>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</si>
  <si>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</si>
  <si>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</si>
  <si>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</si>
  <si>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</si>
  <si>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</si>
  <si>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</si>
  <si>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</si>
  <si>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</si>
  <si>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</si>
  <si>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</si>
  <si>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</si>
  <si>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</si>
  <si>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</si>
  <si>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</si>
  <si>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</si>
  <si>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</si>
  <si>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</si>
  <si>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</si>
  <si>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</si>
  <si>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</si>
  <si>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</si>
  <si>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</si>
  <si>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</si>
  <si>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</si>
  <si>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</si>
  <si>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</si>
  <si>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</si>
  <si>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</si>
  <si>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</si>
  <si>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</si>
  <si>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</si>
  <si>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</si>
  <si>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</si>
  <si>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</si>
  <si>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</si>
  <si>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</si>
  <si>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</si>
  <si>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</si>
  <si>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</si>
  <si>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</si>
  <si>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</si>
  <si>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</si>
  <si>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</si>
  <si>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</si>
  <si>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</si>
  <si>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</si>
  <si>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</si>
  <si>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</si>
  <si>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</si>
  <si>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</si>
  <si>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</si>
  <si>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</si>
  <si>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</si>
  <si>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</si>
  <si>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</si>
  <si>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</si>
  <si>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</si>
  <si>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</si>
  <si>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</si>
  <si>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</si>
  <si>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</si>
  <si>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</si>
  <si>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</si>
  <si>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</si>
  <si>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</si>
  <si>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</si>
  <si>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</si>
  <si>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</si>
  <si>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</si>
  <si>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</si>
  <si>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</si>
  <si>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</si>
  <si>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</si>
  <si>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</si>
  <si>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</si>
  <si>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</si>
  <si>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</si>
  <si>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</si>
  <si>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</si>
  <si>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</si>
  <si>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</si>
  <si>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</si>
  <si>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</si>
  <si>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</si>
  <si>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</si>
  <si>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</si>
  <si>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</si>
  <si>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</si>
  <si>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</si>
  <si>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</si>
  <si>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</si>
  <si>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</si>
  <si>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</si>
  <si>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</si>
  <si>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</si>
  <si>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</si>
  <si>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</si>
  <si>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</si>
  <si>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</si>
  <si>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</si>
  <si>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</si>
  <si>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</si>
  <si>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</si>
  <si>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</si>
  <si>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</si>
  <si>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</si>
  <si>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</si>
  <si>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</si>
  <si>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</si>
  <si>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</si>
  <si>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</si>
  <si>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</si>
  <si>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</si>
  <si>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</si>
  <si>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</si>
  <si>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</si>
  <si>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</si>
  <si>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</si>
  <si>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</si>
  <si>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</si>
  <si>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</si>
  <si>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</si>
  <si>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</si>
  <si>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</si>
  <si>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</si>
  <si>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</si>
  <si>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</si>
  <si>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</si>
  <si>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</si>
  <si>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</si>
  <si>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</si>
  <si>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</si>
  <si>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</si>
  <si>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</si>
  <si>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</si>
  <si>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</si>
  <si>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</si>
  <si>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</si>
  <si>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</si>
  <si>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</si>
  <si>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</si>
  <si>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</si>
  <si>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</si>
  <si>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</si>
  <si>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</si>
  <si>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</si>
  <si>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</si>
  <si>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</si>
  <si>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</si>
  <si>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</si>
  <si>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</si>
  <si>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</si>
  <si>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</si>
  <si>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</si>
  <si>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</si>
  <si>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</si>
  <si>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</si>
  <si>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</si>
  <si>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</si>
  <si>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</si>
  <si>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</si>
  <si>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</si>
  <si>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</si>
  <si>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</si>
  <si>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</si>
  <si>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</si>
  <si>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</si>
  <si>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</si>
  <si>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</si>
  <si>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</si>
  <si>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</si>
  <si>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</si>
  <si>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</si>
  <si>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</si>
  <si>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</si>
  <si>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</si>
  <si>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</si>
  <si>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</si>
  <si>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</si>
  <si>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</si>
  <si>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</si>
  <si>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</si>
  <si>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</si>
  <si>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</si>
  <si>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</si>
  <si>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</si>
  <si>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</si>
  <si>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</si>
  <si>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</si>
  <si>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</si>
  <si>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</si>
  <si>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</si>
  <si>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</si>
  <si>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</si>
  <si>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</si>
  <si>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</si>
  <si>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</si>
  <si>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</si>
  <si>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</si>
  <si>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</si>
  <si>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</si>
  <si>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</si>
  <si>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</si>
  <si>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</si>
  <si>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</si>
  <si>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</si>
  <si>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</si>
  <si>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</si>
  <si>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</si>
  <si>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</si>
  <si>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</si>
  <si>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</si>
  <si>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</si>
  <si>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</si>
  <si>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</si>
  <si>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</si>
  <si>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</si>
  <si>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</si>
  <si>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</si>
  <si>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</si>
  <si>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</si>
  <si>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</si>
  <si>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</si>
  <si>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</si>
  <si>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</si>
  <si>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</si>
  <si>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</si>
  <si>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</si>
  <si>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</si>
  <si>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</si>
  <si>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</si>
  <si>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</si>
  <si>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</si>
  <si>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</si>
  <si>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</si>
  <si>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</si>
  <si>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</si>
  <si>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</si>
  <si>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</si>
  <si>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</si>
  <si>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</si>
  <si>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</si>
  <si>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</si>
  <si>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</si>
  <si>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</si>
  <si>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</si>
  <si>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</si>
  <si>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</si>
  <si>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</si>
  <si>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</si>
  <si>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</si>
  <si>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</si>
  <si>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</si>
  <si>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</si>
  <si>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</si>
  <si>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</si>
  <si>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</si>
  <si>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</si>
  <si>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</si>
  <si>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</si>
  <si>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</si>
  <si>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</si>
  <si>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</si>
  <si>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</si>
  <si>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</si>
  <si>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</si>
  <si>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</si>
  <si>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</si>
  <si>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</si>
  <si>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</si>
  <si>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</si>
  <si>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</si>
  <si>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</si>
  <si>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</si>
  <si>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</si>
  <si>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</si>
  <si>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</si>
  <si>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</si>
  <si>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</si>
  <si>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</si>
  <si>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</si>
  <si>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</si>
  <si>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</si>
  <si>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</si>
  <si>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</si>
  <si>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</si>
  <si>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</si>
  <si>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</si>
  <si>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</si>
  <si>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</si>
  <si>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</si>
  <si>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</si>
  <si>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</si>
  <si>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</si>
  <si>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</si>
  <si>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</si>
  <si>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</si>
  <si>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</si>
  <si>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</si>
  <si>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</si>
  <si>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</si>
  <si>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</si>
  <si>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</si>
  <si>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</si>
  <si>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</si>
  <si>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</si>
  <si>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</si>
  <si>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</si>
  <si>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</si>
  <si>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</si>
  <si>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</si>
  <si>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</si>
  <si>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</si>
  <si>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</si>
  <si>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</si>
  <si>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</si>
  <si>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</si>
  <si>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</si>
  <si>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</si>
  <si>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</si>
  <si>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</si>
  <si>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</si>
  <si>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</si>
  <si>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</si>
  <si>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</si>
  <si>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</si>
  <si>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</si>
  <si>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</si>
  <si>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</si>
  <si>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</si>
  <si>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</si>
  <si>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</si>
  <si>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</si>
  <si>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</si>
  <si>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</si>
  <si>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</si>
  <si>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</si>
  <si>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</si>
  <si>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</si>
  <si>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</si>
  <si>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</si>
  <si>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</si>
  <si>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</si>
  <si>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</si>
  <si>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</si>
  <si>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</si>
  <si>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</si>
  <si>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</si>
  <si>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</si>
  <si>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</si>
  <si>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</si>
  <si>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</si>
  <si>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</si>
  <si>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</si>
  <si>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</si>
  <si>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</si>
  <si>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</si>
  <si>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</si>
  <si>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</si>
  <si>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</si>
  <si>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</si>
  <si>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</si>
  <si>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</si>
  <si>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</si>
  <si>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</si>
  <si>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</si>
  <si>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</si>
  <si>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</si>
  <si>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</si>
  <si>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</si>
  <si>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</si>
  <si>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</si>
  <si>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</si>
  <si>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</si>
  <si>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</si>
  <si>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</si>
  <si>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</si>
  <si>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</si>
  <si>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</si>
  <si>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</si>
  <si>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</si>
  <si>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</si>
  <si>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</si>
  <si>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</si>
  <si>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</si>
  <si>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</si>
  <si>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</si>
  <si>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</si>
  <si>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</si>
  <si>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</si>
  <si>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</si>
  <si>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</si>
  <si>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</si>
  <si>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</si>
  <si>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</si>
  <si>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</si>
  <si>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</si>
  <si>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</si>
  <si>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</si>
  <si>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</si>
  <si>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</si>
  <si>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</si>
  <si>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</si>
  <si>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</si>
  <si>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</si>
  <si>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</si>
  <si>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</si>
  <si>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</si>
  <si>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</si>
  <si>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</si>
  <si>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</si>
  <si>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</si>
  <si>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</si>
  <si>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</si>
  <si>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</si>
  <si>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</si>
  <si>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</si>
  <si>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</si>
  <si>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</si>
  <si>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</si>
  <si>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</si>
  <si>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</si>
  <si>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</si>
  <si>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</si>
  <si>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Ride Revolution</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</si>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</sst>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4" x14ac:knownFonts="1">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14" fontId="3" fillId="0" borderId="0" xfId="0" applyNumberFormat="1" applyFont="1"/>
    <xf numFmtId="0" fontId="2" fillId="0" borderId="0" xfId="9"/>
    <xf numFmtId="14" fontId="2" fillId="0" borderId="0" xfId="9" applyNumberFormat="1"/>
    <xf numFmtId="0" fontId="2" fillId="0" borderId="0" xfId="10"/>
    <xf numFmtId="14" fontId="2" fillId="0" borderId="0" xfId="10" applyNumberFormat="1"/>
    <xf numFmtId="0" fontId="2" fillId="0" borderId="0" xfId="11"/>
    <xf numFmtId="14" fontId="2" fillId="0" borderId="0" xfId="11" applyNumberFormat="1"/>
    <xf numFmtId="0" fontId="2" fillId="0" borderId="0" xfId="12"/>
    <xf numFmtId="14" fontId="2" fillId="0" borderId="0" xfId="12" applyNumberFormat="1"/>
    <xf numFmtId="0" fontId="2" fillId="0" borderId="0" xfId="13"/>
    <xf numFmtId="14" fontId="2" fillId="0" borderId="0" xfId="13" applyNumberFormat="1"/>
    <xf numFmtId="0" fontId="2" fillId="0" borderId="0" xfId="14"/>
    <xf numFmtId="14" fontId="2" fillId="0" borderId="0" xfId="14" applyNumberFormat="1"/>
    <xf numFmtId="0" fontId="2" fillId="0" borderId="0" xfId="2"/>
    <xf numFmtId="14" fontId="2" fillId="0" borderId="0" xfId="2" applyNumberFormat="1"/>
    <xf numFmtId="0" fontId="1" fillId="0" borderId="0" xfId="5"/>
    <xf numFmtId="0" fontId="1" fillId="0" borderId="0" xfId="5" applyAlignment="1">
      <alignment horizontal="center"/>
    </xf>
    <xf numFmtId="164" fontId="1" fillId="0" borderId="0" xfId="5" applyNumberForma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xf numFmtId="0" fontId="12" fillId="4" borderId="0" xfId="0" applyFont="1" applyFill="1"/>
    <xf numFmtId="0" fontId="13" fillId="4" borderId="1" xfId="0" applyFont="1" applyFill="1" applyBorder="1" applyAlignment="1">
      <alignment horizontal="center" vertical="center" wrapText="1"/>
    </xf>
    <xf numFmtId="0" fontId="12" fillId="0" borderId="0" xfId="0" applyFont="1"/>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theme" Target="theme/theme1.xml" /><Relationship Id="rId50" Type="http://schemas.openxmlformats.org/officeDocument/2006/relationships/sheetMetadata" Target="metadata.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sharedStrings" Target="sharedStrings.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52"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styles" Target="styles.xml" /><Relationship Id="rId8" Type="http://schemas.openxmlformats.org/officeDocument/2006/relationships/worksheet" Target="worksheets/sheet8.xml" /><Relationship Id="rId51" Type="http://schemas.microsoft.com/office/2017/10/relationships/person" Target="persons/person.xml" /></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7.xml.rels><?xml version="1.0" encoding="UTF-8" standalone="yes"?>
<Relationships xmlns="http://schemas.openxmlformats.org/package/2006/relationships"><Relationship Id="rId3" Type="http://schemas.openxmlformats.org/officeDocument/2006/relationships/comments" Target="../comments9.xml" /><Relationship Id="rId2" Type="http://schemas.openxmlformats.org/officeDocument/2006/relationships/vmlDrawing" Target="../drawings/vmlDrawing9.vml" /><Relationship Id="rId1" Type="http://schemas.openxmlformats.org/officeDocument/2006/relationships/printerSettings" Target="../printerSettings/printerSettings1.bin" /><Relationship Id="rId4" Type="http://schemas.microsoft.com/office/2017/10/relationships/threadedComment" Target="../threadedComments/threadedComment9.xml" /></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1.xml" /><Relationship Id="rId2" Type="http://schemas.openxmlformats.org/officeDocument/2006/relationships/comments" Target="../comments11.xml" /><Relationship Id="rId1" Type="http://schemas.openxmlformats.org/officeDocument/2006/relationships/vmlDrawing" Target="../drawings/vmlDrawing11.v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5.xml" /><Relationship Id="rId2" Type="http://schemas.openxmlformats.org/officeDocument/2006/relationships/comments" Target="../comments15.xml" /><Relationship Id="rId1" Type="http://schemas.openxmlformats.org/officeDocument/2006/relationships/vmlDrawing" Target="../drawings/vmlDrawing15.v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election activeCell="A2" sqref="A2:H218"/>
    </sheetView>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x14ac:dyDescent="0.15">
      <c r="A1" t="s">
        <v>13</v>
      </c>
      <c r="B1" t="s">
        <v>14</v>
      </c>
      <c r="C1" t="s">
        <v>15</v>
      </c>
      <c r="D1" t="s">
        <v>16</v>
      </c>
      <c r="E1" t="s">
        <v>17</v>
      </c>
      <c r="F1" t="s">
        <v>18</v>
      </c>
      <c r="G1" t="s">
        <v>19</v>
      </c>
      <c r="H1" t="s">
        <v>20</v>
      </c>
    </row>
    <row r="2" spans="1:10" ht="15" x14ac:dyDescent="0.2">
      <c r="A2">
        <v>1327</v>
      </c>
      <c r="B2" t="s">
        <v>21</v>
      </c>
      <c r="C2" t="s">
        <v>22</v>
      </c>
      <c r="D2" t="s">
        <v>23</v>
      </c>
      <c r="E2" t="s">
        <v>24</v>
      </c>
      <c r="F2" t="s">
        <v>25</v>
      </c>
      <c r="H2" s="3">
        <v>46181</v>
      </c>
      <c r="J2" s="1"/>
    </row>
    <row r="3" spans="1:10" ht="15" x14ac:dyDescent="0.2">
      <c r="A3">
        <v>1237</v>
      </c>
      <c r="B3" t="s">
        <v>21</v>
      </c>
      <c r="C3" t="s">
        <v>26</v>
      </c>
      <c r="D3" t="s">
        <v>23</v>
      </c>
      <c r="E3" t="s">
        <v>24</v>
      </c>
      <c r="F3" t="s">
        <v>27</v>
      </c>
      <c r="G3">
        <v>1</v>
      </c>
      <c r="H3" s="3">
        <v>46181</v>
      </c>
      <c r="J3" s="1"/>
    </row>
    <row r="4" spans="1:10" ht="15" x14ac:dyDescent="0.2">
      <c r="A4">
        <v>819</v>
      </c>
      <c r="B4" t="s">
        <v>28</v>
      </c>
      <c r="C4" t="s">
        <v>29</v>
      </c>
      <c r="D4" t="s">
        <v>23</v>
      </c>
      <c r="E4" t="s">
        <v>30</v>
      </c>
      <c r="F4" t="s">
        <v>27</v>
      </c>
      <c r="G4">
        <v>23</v>
      </c>
      <c r="H4" s="3">
        <v>46181</v>
      </c>
      <c r="J4" s="1"/>
    </row>
    <row r="5" spans="1:10" ht="15" x14ac:dyDescent="0.2">
      <c r="A5">
        <v>2</v>
      </c>
      <c r="B5" t="s">
        <v>31</v>
      </c>
      <c r="C5" t="s">
        <v>32</v>
      </c>
      <c r="D5" t="s">
        <v>23</v>
      </c>
      <c r="E5" t="s">
        <v>24</v>
      </c>
      <c r="F5" t="s">
        <v>27</v>
      </c>
      <c r="G5">
        <v>21</v>
      </c>
      <c r="H5" s="3">
        <v>46181</v>
      </c>
      <c r="J5" s="1"/>
    </row>
    <row r="6" spans="1:10" ht="15" x14ac:dyDescent="0.2">
      <c r="A6">
        <v>1370</v>
      </c>
      <c r="B6" t="s">
        <v>33</v>
      </c>
      <c r="C6" t="s">
        <v>34</v>
      </c>
      <c r="D6" t="s">
        <v>23</v>
      </c>
      <c r="E6" t="s">
        <v>24</v>
      </c>
      <c r="F6" t="s">
        <v>27</v>
      </c>
      <c r="G6">
        <v>4</v>
      </c>
      <c r="H6" s="3">
        <v>46181</v>
      </c>
      <c r="J6" s="1"/>
    </row>
    <row r="7" spans="1:10" ht="15" x14ac:dyDescent="0.2">
      <c r="A7">
        <v>1415</v>
      </c>
      <c r="B7" t="s">
        <v>33</v>
      </c>
      <c r="C7" t="s">
        <v>22</v>
      </c>
      <c r="D7" t="s">
        <v>23</v>
      </c>
      <c r="E7" t="s">
        <v>24</v>
      </c>
      <c r="F7" t="s">
        <v>35</v>
      </c>
      <c r="H7" s="3">
        <v>46181</v>
      </c>
      <c r="J7" s="1"/>
    </row>
    <row r="8" spans="1:10" ht="15" x14ac:dyDescent="0.2">
      <c r="A8">
        <v>1286</v>
      </c>
      <c r="B8" t="s">
        <v>36</v>
      </c>
      <c r="C8" t="s">
        <v>34</v>
      </c>
      <c r="D8" t="s">
        <v>23</v>
      </c>
      <c r="E8" t="s">
        <v>24</v>
      </c>
      <c r="F8" t="s">
        <v>27</v>
      </c>
      <c r="G8">
        <v>13</v>
      </c>
      <c r="H8" s="3">
        <v>46181</v>
      </c>
      <c r="J8" s="1"/>
    </row>
    <row r="9" spans="1:10" ht="15" x14ac:dyDescent="0.2">
      <c r="A9">
        <v>1381</v>
      </c>
      <c r="B9" t="s">
        <v>36</v>
      </c>
      <c r="C9" t="s">
        <v>37</v>
      </c>
      <c r="D9" t="s">
        <v>23</v>
      </c>
      <c r="E9" t="s">
        <v>24</v>
      </c>
      <c r="F9" t="s">
        <v>25</v>
      </c>
      <c r="H9" s="3">
        <v>46181</v>
      </c>
      <c r="J9" s="1"/>
    </row>
    <row r="10" spans="1:10" ht="15" x14ac:dyDescent="0.2">
      <c r="A10">
        <v>1112</v>
      </c>
      <c r="B10" t="s">
        <v>38</v>
      </c>
      <c r="C10" t="s">
        <v>39</v>
      </c>
      <c r="D10" t="s">
        <v>23</v>
      </c>
      <c r="E10" t="s">
        <v>24</v>
      </c>
      <c r="F10" t="s">
        <v>27</v>
      </c>
      <c r="G10">
        <v>16</v>
      </c>
      <c r="H10" s="3">
        <v>46181</v>
      </c>
      <c r="J10" s="1"/>
    </row>
    <row r="11" spans="1:10" ht="15" x14ac:dyDescent="0.2">
      <c r="A11">
        <v>1135</v>
      </c>
      <c r="B11" t="s">
        <v>40</v>
      </c>
      <c r="C11" t="s">
        <v>41</v>
      </c>
      <c r="D11" t="s">
        <v>23</v>
      </c>
      <c r="E11" t="s">
        <v>24</v>
      </c>
      <c r="F11" t="s">
        <v>27</v>
      </c>
      <c r="G11">
        <v>1</v>
      </c>
      <c r="H11" s="3">
        <v>46181</v>
      </c>
      <c r="J11" s="1"/>
    </row>
    <row r="12" spans="1:10" ht="15" x14ac:dyDescent="0.2">
      <c r="A12">
        <v>982</v>
      </c>
      <c r="B12" t="s">
        <v>42</v>
      </c>
      <c r="C12" t="s">
        <v>32</v>
      </c>
      <c r="D12" t="s">
        <v>23</v>
      </c>
      <c r="E12" t="s">
        <v>24</v>
      </c>
      <c r="F12" t="s">
        <v>27</v>
      </c>
      <c r="G12">
        <v>22</v>
      </c>
      <c r="H12" s="3">
        <v>46181</v>
      </c>
      <c r="J12" s="1"/>
    </row>
    <row r="13" spans="1:10" ht="15" x14ac:dyDescent="0.2">
      <c r="A13">
        <v>1328</v>
      </c>
      <c r="B13" t="s">
        <v>43</v>
      </c>
      <c r="C13" t="s">
        <v>44</v>
      </c>
      <c r="D13" t="s">
        <v>23</v>
      </c>
      <c r="E13" t="s">
        <v>24</v>
      </c>
      <c r="F13" t="s">
        <v>27</v>
      </c>
      <c r="G13">
        <v>4</v>
      </c>
      <c r="H13" s="3">
        <v>46181</v>
      </c>
      <c r="J13" s="1"/>
    </row>
    <row r="14" spans="1:10" ht="15" x14ac:dyDescent="0.2">
      <c r="A14">
        <v>369</v>
      </c>
      <c r="B14" t="s">
        <v>45</v>
      </c>
      <c r="C14" t="s">
        <v>46</v>
      </c>
      <c r="D14" t="s">
        <v>23</v>
      </c>
      <c r="E14" t="s">
        <v>24</v>
      </c>
      <c r="F14" t="s">
        <v>27</v>
      </c>
      <c r="G14">
        <v>8</v>
      </c>
      <c r="H14" s="3">
        <v>46181</v>
      </c>
      <c r="J14" s="1"/>
    </row>
    <row r="15" spans="1:10" ht="15" x14ac:dyDescent="0.2">
      <c r="A15">
        <v>7</v>
      </c>
      <c r="B15" t="s">
        <v>45</v>
      </c>
      <c r="C15" t="s">
        <v>47</v>
      </c>
      <c r="D15" t="s">
        <v>48</v>
      </c>
      <c r="E15" t="s">
        <v>24</v>
      </c>
      <c r="F15" t="s">
        <v>27</v>
      </c>
      <c r="G15">
        <v>32</v>
      </c>
      <c r="H15" s="3">
        <v>46181</v>
      </c>
      <c r="J15" s="1"/>
    </row>
    <row r="16" spans="1:10" ht="15" x14ac:dyDescent="0.2">
      <c r="A16">
        <v>473</v>
      </c>
      <c r="B16" t="s">
        <v>45</v>
      </c>
      <c r="C16" t="s">
        <v>49</v>
      </c>
      <c r="D16" t="s">
        <v>48</v>
      </c>
      <c r="E16" t="s">
        <v>24</v>
      </c>
      <c r="F16" t="s">
        <v>27</v>
      </c>
      <c r="G16">
        <v>33</v>
      </c>
      <c r="H16" s="3">
        <v>46181</v>
      </c>
      <c r="J16" s="1"/>
    </row>
    <row r="17" spans="1:10" ht="15" x14ac:dyDescent="0.2">
      <c r="A17">
        <v>1384</v>
      </c>
      <c r="B17" t="s">
        <v>50</v>
      </c>
      <c r="C17" t="s">
        <v>51</v>
      </c>
      <c r="D17" t="s">
        <v>23</v>
      </c>
      <c r="E17" t="s">
        <v>24</v>
      </c>
      <c r="F17" t="s">
        <v>27</v>
      </c>
      <c r="G17">
        <v>30</v>
      </c>
      <c r="H17" s="3">
        <v>46181</v>
      </c>
      <c r="J17" s="1"/>
    </row>
    <row r="18" spans="1:10" ht="15" x14ac:dyDescent="0.2">
      <c r="A18">
        <v>1348</v>
      </c>
      <c r="B18" t="s">
        <v>52</v>
      </c>
      <c r="C18" t="s">
        <v>53</v>
      </c>
      <c r="D18" t="s">
        <v>54</v>
      </c>
      <c r="E18" t="s">
        <v>30</v>
      </c>
      <c r="F18" t="s">
        <v>25</v>
      </c>
      <c r="H18" s="3">
        <v>46181</v>
      </c>
      <c r="J18" s="1"/>
    </row>
    <row r="19" spans="1:10" ht="15" x14ac:dyDescent="0.2">
      <c r="A19">
        <v>1275</v>
      </c>
      <c r="B19" t="s">
        <v>52</v>
      </c>
      <c r="C19" t="s">
        <v>55</v>
      </c>
      <c r="D19" t="s">
        <v>23</v>
      </c>
      <c r="E19" t="s">
        <v>30</v>
      </c>
      <c r="F19" t="s">
        <v>35</v>
      </c>
      <c r="H19" s="3">
        <v>46181</v>
      </c>
      <c r="J19" s="1"/>
    </row>
    <row r="20" spans="1:10" ht="15" x14ac:dyDescent="0.2">
      <c r="A20">
        <v>68</v>
      </c>
      <c r="B20" t="s">
        <v>56</v>
      </c>
      <c r="C20" t="s">
        <v>57</v>
      </c>
      <c r="D20" t="s">
        <v>48</v>
      </c>
      <c r="E20" t="s">
        <v>24</v>
      </c>
      <c r="F20" t="s">
        <v>27</v>
      </c>
      <c r="G20">
        <v>35</v>
      </c>
      <c r="H20" s="3">
        <v>46181</v>
      </c>
      <c r="J20" s="1"/>
    </row>
    <row r="21" spans="1:10" ht="15" x14ac:dyDescent="0.2">
      <c r="A21">
        <v>1035</v>
      </c>
      <c r="B21" t="s">
        <v>58</v>
      </c>
      <c r="C21" t="s">
        <v>59</v>
      </c>
      <c r="D21" t="s">
        <v>23</v>
      </c>
      <c r="E21" t="s">
        <v>24</v>
      </c>
      <c r="F21" t="s">
        <v>27</v>
      </c>
      <c r="G21">
        <v>6</v>
      </c>
      <c r="H21" s="3">
        <v>46181</v>
      </c>
      <c r="J21" s="1"/>
    </row>
    <row r="22" spans="1:10" ht="15" x14ac:dyDescent="0.2">
      <c r="A22">
        <v>1416</v>
      </c>
      <c r="B22" t="s">
        <v>60</v>
      </c>
      <c r="C22" t="s">
        <v>61</v>
      </c>
      <c r="D22" t="s">
        <v>23</v>
      </c>
      <c r="E22" t="s">
        <v>24</v>
      </c>
      <c r="F22" t="s">
        <v>25</v>
      </c>
      <c r="H22" s="3">
        <v>46181</v>
      </c>
      <c r="J22" s="1"/>
    </row>
    <row r="23" spans="1:10" ht="15" x14ac:dyDescent="0.2">
      <c r="A23">
        <v>1326</v>
      </c>
      <c r="B23" t="s">
        <v>62</v>
      </c>
      <c r="C23" t="s">
        <v>63</v>
      </c>
      <c r="D23" t="s">
        <v>23</v>
      </c>
      <c r="E23" t="s">
        <v>30</v>
      </c>
      <c r="F23" t="s">
        <v>25</v>
      </c>
      <c r="H23" s="3">
        <v>46181</v>
      </c>
      <c r="J23" s="1"/>
    </row>
    <row r="24" spans="1:10" ht="15" x14ac:dyDescent="0.2">
      <c r="A24">
        <v>477</v>
      </c>
      <c r="B24" t="s">
        <v>64</v>
      </c>
      <c r="C24" t="s">
        <v>65</v>
      </c>
      <c r="D24" t="s">
        <v>23</v>
      </c>
      <c r="E24" t="s">
        <v>30</v>
      </c>
      <c r="F24" t="s">
        <v>27</v>
      </c>
      <c r="G24">
        <v>34</v>
      </c>
      <c r="H24" s="3">
        <v>46181</v>
      </c>
      <c r="J24" s="1"/>
    </row>
    <row r="25" spans="1:10" ht="15" x14ac:dyDescent="0.2">
      <c r="A25">
        <v>10</v>
      </c>
      <c r="B25" t="s">
        <v>64</v>
      </c>
      <c r="C25" t="s">
        <v>66</v>
      </c>
      <c r="D25" t="s">
        <v>48</v>
      </c>
      <c r="E25" t="s">
        <v>24</v>
      </c>
      <c r="F25" t="s">
        <v>27</v>
      </c>
      <c r="G25">
        <v>35</v>
      </c>
      <c r="H25" s="3">
        <v>46181</v>
      </c>
      <c r="J25" s="1"/>
    </row>
    <row r="26" spans="1:10" ht="15" x14ac:dyDescent="0.2">
      <c r="A26">
        <v>1414</v>
      </c>
      <c r="B26" t="s">
        <v>67</v>
      </c>
      <c r="C26" t="s">
        <v>36</v>
      </c>
      <c r="D26" t="s">
        <v>23</v>
      </c>
      <c r="E26" t="s">
        <v>24</v>
      </c>
      <c r="F26" t="s">
        <v>27</v>
      </c>
      <c r="G26">
        <v>13</v>
      </c>
      <c r="H26" s="3">
        <v>46181</v>
      </c>
      <c r="J26" s="1"/>
    </row>
    <row r="27" spans="1:10" ht="15" x14ac:dyDescent="0.2">
      <c r="A27">
        <v>1029</v>
      </c>
      <c r="B27" t="s">
        <v>68</v>
      </c>
      <c r="C27" t="s">
        <v>69</v>
      </c>
      <c r="D27" t="s">
        <v>23</v>
      </c>
      <c r="E27" t="s">
        <v>24</v>
      </c>
      <c r="F27" t="s">
        <v>27</v>
      </c>
      <c r="G27">
        <v>28</v>
      </c>
      <c r="H27" s="3">
        <v>46181</v>
      </c>
      <c r="J27" s="1"/>
    </row>
    <row r="28" spans="1:10" ht="15" x14ac:dyDescent="0.2">
      <c r="A28">
        <v>13</v>
      </c>
      <c r="B28" t="s">
        <v>70</v>
      </c>
      <c r="C28" t="s">
        <v>51</v>
      </c>
      <c r="D28" t="s">
        <v>23</v>
      </c>
      <c r="E28" t="s">
        <v>24</v>
      </c>
      <c r="F28" t="s">
        <v>27</v>
      </c>
      <c r="G28">
        <v>28</v>
      </c>
      <c r="H28" s="3">
        <v>46181</v>
      </c>
      <c r="J28" s="1"/>
    </row>
    <row r="29" spans="1:10" ht="15" x14ac:dyDescent="0.2">
      <c r="A29">
        <v>1255</v>
      </c>
      <c r="B29" t="s">
        <v>71</v>
      </c>
      <c r="C29" t="s">
        <v>72</v>
      </c>
      <c r="D29" t="s">
        <v>23</v>
      </c>
      <c r="E29" t="s">
        <v>30</v>
      </c>
      <c r="F29" t="s">
        <v>27</v>
      </c>
      <c r="G29">
        <v>13</v>
      </c>
      <c r="H29" s="3">
        <v>46181</v>
      </c>
      <c r="J29" s="1"/>
    </row>
    <row r="30" spans="1:10" ht="15" x14ac:dyDescent="0.2">
      <c r="A30">
        <v>1405</v>
      </c>
      <c r="B30" t="s">
        <v>73</v>
      </c>
      <c r="C30" t="s">
        <v>74</v>
      </c>
      <c r="D30" t="s">
        <v>23</v>
      </c>
      <c r="E30" t="s">
        <v>30</v>
      </c>
      <c r="F30" t="s">
        <v>35</v>
      </c>
      <c r="H30" s="3">
        <v>46181</v>
      </c>
      <c r="J30" s="1"/>
    </row>
    <row r="31" spans="1:10" ht="15" x14ac:dyDescent="0.2">
      <c r="A31">
        <v>1421</v>
      </c>
      <c r="B31" t="s">
        <v>75</v>
      </c>
      <c r="C31" t="s">
        <v>76</v>
      </c>
      <c r="D31" t="s">
        <v>23</v>
      </c>
      <c r="E31" t="s">
        <v>30</v>
      </c>
      <c r="F31" t="s">
        <v>27</v>
      </c>
      <c r="G31">
        <v>12</v>
      </c>
      <c r="H31" s="3">
        <v>46181</v>
      </c>
      <c r="J31" s="1"/>
    </row>
    <row r="32" spans="1:10" ht="15" x14ac:dyDescent="0.2">
      <c r="A32">
        <v>1418</v>
      </c>
      <c r="B32" t="s">
        <v>75</v>
      </c>
      <c r="C32" t="s">
        <v>22</v>
      </c>
      <c r="D32" t="s">
        <v>23</v>
      </c>
      <c r="E32" t="s">
        <v>24</v>
      </c>
      <c r="F32" t="s">
        <v>25</v>
      </c>
      <c r="H32" s="3">
        <v>46181</v>
      </c>
      <c r="J32" s="1"/>
    </row>
    <row r="33" spans="1:10" ht="15" x14ac:dyDescent="0.2">
      <c r="A33">
        <v>919</v>
      </c>
      <c r="B33" t="s">
        <v>77</v>
      </c>
      <c r="C33" t="s">
        <v>51</v>
      </c>
      <c r="D33" t="s">
        <v>23</v>
      </c>
      <c r="E33" t="s">
        <v>24</v>
      </c>
      <c r="F33" t="s">
        <v>27</v>
      </c>
      <c r="G33">
        <v>16</v>
      </c>
      <c r="H33" s="3">
        <v>46181</v>
      </c>
      <c r="J33" s="1"/>
    </row>
    <row r="34" spans="1:10" ht="15" x14ac:dyDescent="0.2">
      <c r="A34">
        <v>1319</v>
      </c>
      <c r="B34" t="s">
        <v>78</v>
      </c>
      <c r="C34" t="s">
        <v>32</v>
      </c>
      <c r="D34" t="s">
        <v>23</v>
      </c>
      <c r="E34" t="s">
        <v>24</v>
      </c>
      <c r="F34" t="s">
        <v>27</v>
      </c>
      <c r="G34">
        <v>9</v>
      </c>
      <c r="H34" s="3">
        <v>46181</v>
      </c>
      <c r="J34" s="1"/>
    </row>
    <row r="35" spans="1:10" ht="15" x14ac:dyDescent="0.2">
      <c r="A35">
        <v>1389</v>
      </c>
      <c r="B35" t="s">
        <v>79</v>
      </c>
      <c r="C35" t="s">
        <v>80</v>
      </c>
      <c r="D35" t="s">
        <v>23</v>
      </c>
      <c r="E35" t="s">
        <v>24</v>
      </c>
      <c r="F35" t="s">
        <v>25</v>
      </c>
      <c r="H35" s="3">
        <v>46181</v>
      </c>
      <c r="J35" s="1"/>
    </row>
    <row r="36" spans="1:10" ht="15" x14ac:dyDescent="0.2">
      <c r="A36">
        <v>940</v>
      </c>
      <c r="B36" t="s">
        <v>81</v>
      </c>
      <c r="C36" t="s">
        <v>82</v>
      </c>
      <c r="D36" t="s">
        <v>23</v>
      </c>
      <c r="E36" t="s">
        <v>30</v>
      </c>
      <c r="F36" t="s">
        <v>27</v>
      </c>
      <c r="G36">
        <v>9</v>
      </c>
      <c r="H36" s="3">
        <v>46181</v>
      </c>
      <c r="J36" s="1"/>
    </row>
    <row r="37" spans="1:10" ht="15" x14ac:dyDescent="0.2">
      <c r="A37">
        <v>806</v>
      </c>
      <c r="B37" t="s">
        <v>81</v>
      </c>
      <c r="C37" t="s">
        <v>83</v>
      </c>
      <c r="D37" t="s">
        <v>23</v>
      </c>
      <c r="E37" t="s">
        <v>24</v>
      </c>
      <c r="F37" t="s">
        <v>27</v>
      </c>
      <c r="G37">
        <v>11</v>
      </c>
      <c r="H37" s="3">
        <v>46181</v>
      </c>
      <c r="J37" s="1"/>
    </row>
    <row r="38" spans="1:10" ht="15" x14ac:dyDescent="0.2">
      <c r="A38">
        <v>482</v>
      </c>
      <c r="B38" t="s">
        <v>84</v>
      </c>
      <c r="C38" t="s">
        <v>85</v>
      </c>
      <c r="D38" t="s">
        <v>23</v>
      </c>
      <c r="E38" t="s">
        <v>24</v>
      </c>
      <c r="F38" t="s">
        <v>27</v>
      </c>
      <c r="G38">
        <v>13</v>
      </c>
      <c r="H38" s="3">
        <v>46181</v>
      </c>
      <c r="J38" s="1"/>
    </row>
    <row r="39" spans="1:10" ht="15" x14ac:dyDescent="0.2">
      <c r="A39">
        <v>674</v>
      </c>
      <c r="B39" t="s">
        <v>86</v>
      </c>
      <c r="C39" t="s">
        <v>87</v>
      </c>
      <c r="D39" t="s">
        <v>54</v>
      </c>
      <c r="E39" t="s">
        <v>30</v>
      </c>
      <c r="F39" t="s">
        <v>27</v>
      </c>
      <c r="G39">
        <v>23</v>
      </c>
      <c r="H39" s="3">
        <v>46181</v>
      </c>
      <c r="J39" s="1"/>
    </row>
    <row r="40" spans="1:10" ht="15" x14ac:dyDescent="0.2">
      <c r="A40">
        <v>1061</v>
      </c>
      <c r="B40" t="s">
        <v>88</v>
      </c>
      <c r="C40" t="s">
        <v>89</v>
      </c>
      <c r="D40" t="s">
        <v>23</v>
      </c>
      <c r="E40" t="s">
        <v>24</v>
      </c>
      <c r="F40" t="s">
        <v>27</v>
      </c>
      <c r="G40">
        <v>19</v>
      </c>
      <c r="H40" s="3">
        <v>46181</v>
      </c>
      <c r="J40" s="1"/>
    </row>
    <row r="41" spans="1:10" ht="15" x14ac:dyDescent="0.2">
      <c r="A41">
        <v>763</v>
      </c>
      <c r="B41" t="s">
        <v>90</v>
      </c>
      <c r="C41" t="s">
        <v>59</v>
      </c>
      <c r="D41" t="s">
        <v>23</v>
      </c>
      <c r="E41" t="s">
        <v>24</v>
      </c>
      <c r="F41" t="s">
        <v>27</v>
      </c>
      <c r="G41">
        <v>17</v>
      </c>
      <c r="H41" s="3">
        <v>46181</v>
      </c>
      <c r="J41" s="1"/>
    </row>
    <row r="42" spans="1:10" ht="15" x14ac:dyDescent="0.2">
      <c r="A42">
        <v>1227</v>
      </c>
      <c r="B42" t="s">
        <v>91</v>
      </c>
      <c r="C42" t="s">
        <v>92</v>
      </c>
      <c r="D42" t="s">
        <v>23</v>
      </c>
      <c r="E42" t="s">
        <v>30</v>
      </c>
      <c r="F42" t="s">
        <v>27</v>
      </c>
      <c r="G42">
        <v>8</v>
      </c>
      <c r="H42" s="3">
        <v>46181</v>
      </c>
      <c r="J42" s="1"/>
    </row>
    <row r="43" spans="1:10" ht="15" x14ac:dyDescent="0.2">
      <c r="A43">
        <v>715</v>
      </c>
      <c r="B43" t="s">
        <v>93</v>
      </c>
      <c r="C43" t="s">
        <v>94</v>
      </c>
      <c r="D43" t="s">
        <v>23</v>
      </c>
      <c r="E43" t="s">
        <v>24</v>
      </c>
      <c r="F43" t="s">
        <v>27</v>
      </c>
      <c r="G43">
        <v>5</v>
      </c>
      <c r="H43" s="3">
        <v>46181</v>
      </c>
      <c r="J43" s="1"/>
    </row>
    <row r="44" spans="1:10" ht="15" x14ac:dyDescent="0.2">
      <c r="A44">
        <v>567</v>
      </c>
      <c r="B44" t="s">
        <v>95</v>
      </c>
      <c r="C44" t="s">
        <v>96</v>
      </c>
      <c r="D44" t="s">
        <v>23</v>
      </c>
      <c r="E44" t="s">
        <v>24</v>
      </c>
      <c r="F44" t="s">
        <v>27</v>
      </c>
      <c r="G44">
        <v>7</v>
      </c>
      <c r="H44" s="3">
        <v>46181</v>
      </c>
      <c r="J44" s="1"/>
    </row>
    <row r="45" spans="1:10" ht="15" x14ac:dyDescent="0.2">
      <c r="A45">
        <v>1391</v>
      </c>
      <c r="B45" t="s">
        <v>97</v>
      </c>
      <c r="C45" t="s">
        <v>98</v>
      </c>
      <c r="D45" t="s">
        <v>23</v>
      </c>
      <c r="E45" t="s">
        <v>30</v>
      </c>
      <c r="F45" t="s">
        <v>25</v>
      </c>
      <c r="H45" s="3">
        <v>46181</v>
      </c>
      <c r="J45" s="1"/>
    </row>
    <row r="46" spans="1:10" ht="15" x14ac:dyDescent="0.2">
      <c r="A46">
        <v>704</v>
      </c>
      <c r="B46" t="s">
        <v>99</v>
      </c>
      <c r="C46" t="s">
        <v>100</v>
      </c>
      <c r="D46" t="s">
        <v>23</v>
      </c>
      <c r="E46" t="s">
        <v>24</v>
      </c>
      <c r="F46" t="s">
        <v>27</v>
      </c>
      <c r="G46">
        <v>21</v>
      </c>
      <c r="H46" s="3">
        <v>46181</v>
      </c>
      <c r="J46" s="1"/>
    </row>
    <row r="47" spans="1:10" ht="15" x14ac:dyDescent="0.2">
      <c r="A47">
        <v>1283</v>
      </c>
      <c r="B47" t="s">
        <v>101</v>
      </c>
      <c r="C47" t="s">
        <v>102</v>
      </c>
      <c r="D47" t="s">
        <v>23</v>
      </c>
      <c r="E47" t="s">
        <v>24</v>
      </c>
      <c r="F47" t="s">
        <v>27</v>
      </c>
      <c r="G47">
        <v>18</v>
      </c>
      <c r="H47" s="3">
        <v>46181</v>
      </c>
      <c r="J47" s="1"/>
    </row>
    <row r="48" spans="1:10" ht="15" x14ac:dyDescent="0.2">
      <c r="A48">
        <v>295</v>
      </c>
      <c r="B48" t="s">
        <v>103</v>
      </c>
      <c r="C48" t="s">
        <v>104</v>
      </c>
      <c r="D48" t="s">
        <v>23</v>
      </c>
      <c r="E48" t="s">
        <v>24</v>
      </c>
      <c r="F48" t="s">
        <v>27</v>
      </c>
      <c r="G48">
        <v>15</v>
      </c>
      <c r="H48" s="3">
        <v>46181</v>
      </c>
      <c r="J48" s="1"/>
    </row>
    <row r="49" spans="1:10" ht="15" x14ac:dyDescent="0.2">
      <c r="A49">
        <v>1226</v>
      </c>
      <c r="B49" t="s">
        <v>105</v>
      </c>
      <c r="C49" t="s">
        <v>106</v>
      </c>
      <c r="D49" t="s">
        <v>23</v>
      </c>
      <c r="E49" t="s">
        <v>30</v>
      </c>
      <c r="F49" t="s">
        <v>25</v>
      </c>
      <c r="H49" s="3">
        <v>46181</v>
      </c>
      <c r="J49" s="1"/>
    </row>
    <row r="50" spans="1:10" ht="15" x14ac:dyDescent="0.2">
      <c r="A50">
        <v>1333</v>
      </c>
      <c r="B50" t="s">
        <v>107</v>
      </c>
      <c r="C50" t="s">
        <v>108</v>
      </c>
      <c r="D50" t="s">
        <v>23</v>
      </c>
      <c r="E50" t="s">
        <v>24</v>
      </c>
      <c r="F50" t="s">
        <v>27</v>
      </c>
      <c r="G50">
        <v>3</v>
      </c>
      <c r="H50" s="3">
        <v>46181</v>
      </c>
      <c r="J50" s="1"/>
    </row>
    <row r="51" spans="1:10" ht="15" x14ac:dyDescent="0.2">
      <c r="A51">
        <v>1185</v>
      </c>
      <c r="B51" t="s">
        <v>109</v>
      </c>
      <c r="C51" t="s">
        <v>110</v>
      </c>
      <c r="D51" t="s">
        <v>23</v>
      </c>
      <c r="E51" t="s">
        <v>30</v>
      </c>
      <c r="F51" t="s">
        <v>35</v>
      </c>
      <c r="H51" s="3">
        <v>46181</v>
      </c>
      <c r="J51" s="1"/>
    </row>
    <row r="52" spans="1:10" ht="15" x14ac:dyDescent="0.2">
      <c r="A52">
        <v>1065</v>
      </c>
      <c r="B52" t="s">
        <v>109</v>
      </c>
      <c r="C52" t="s">
        <v>41</v>
      </c>
      <c r="D52" t="s">
        <v>23</v>
      </c>
      <c r="E52" t="s">
        <v>24</v>
      </c>
      <c r="F52" t="s">
        <v>27</v>
      </c>
      <c r="G52">
        <v>1</v>
      </c>
      <c r="H52" s="3">
        <v>46181</v>
      </c>
      <c r="J52" s="1"/>
    </row>
    <row r="53" spans="1:10" ht="15" x14ac:dyDescent="0.2">
      <c r="A53">
        <v>1407</v>
      </c>
      <c r="B53" t="s">
        <v>111</v>
      </c>
      <c r="C53" t="s">
        <v>112</v>
      </c>
      <c r="D53" t="s">
        <v>23</v>
      </c>
      <c r="E53" t="s">
        <v>24</v>
      </c>
      <c r="F53" t="s">
        <v>25</v>
      </c>
      <c r="H53" s="3">
        <v>46181</v>
      </c>
      <c r="J53" s="1"/>
    </row>
    <row r="54" spans="1:10" ht="15" x14ac:dyDescent="0.2">
      <c r="A54">
        <v>1096</v>
      </c>
      <c r="B54" t="s">
        <v>113</v>
      </c>
      <c r="C54" t="s">
        <v>114</v>
      </c>
      <c r="D54" t="s">
        <v>23</v>
      </c>
      <c r="E54" t="s">
        <v>24</v>
      </c>
      <c r="F54" t="s">
        <v>35</v>
      </c>
      <c r="H54" s="3">
        <v>46181</v>
      </c>
      <c r="J54" s="1"/>
    </row>
    <row r="55" spans="1:10" ht="15" x14ac:dyDescent="0.2">
      <c r="A55">
        <v>1236</v>
      </c>
      <c r="B55" t="s">
        <v>113</v>
      </c>
      <c r="C55" t="s">
        <v>115</v>
      </c>
      <c r="D55" t="s">
        <v>23</v>
      </c>
      <c r="E55" t="s">
        <v>30</v>
      </c>
      <c r="F55" t="s">
        <v>27</v>
      </c>
      <c r="G55">
        <v>5</v>
      </c>
      <c r="H55" s="3">
        <v>46181</v>
      </c>
      <c r="J55" s="1"/>
    </row>
    <row r="56" spans="1:10" ht="15" x14ac:dyDescent="0.2">
      <c r="A56">
        <v>699</v>
      </c>
      <c r="B56" t="s">
        <v>113</v>
      </c>
      <c r="C56" t="s">
        <v>116</v>
      </c>
      <c r="D56" t="s">
        <v>23</v>
      </c>
      <c r="E56" t="s">
        <v>24</v>
      </c>
      <c r="F56" t="s">
        <v>27</v>
      </c>
      <c r="G56">
        <v>5</v>
      </c>
      <c r="H56" s="3">
        <v>46181</v>
      </c>
      <c r="J56" s="1"/>
    </row>
    <row r="57" spans="1:10" ht="15" x14ac:dyDescent="0.2">
      <c r="A57">
        <v>1288</v>
      </c>
      <c r="B57" t="s">
        <v>117</v>
      </c>
      <c r="C57" t="s">
        <v>118</v>
      </c>
      <c r="D57" t="s">
        <v>23</v>
      </c>
      <c r="E57" t="s">
        <v>24</v>
      </c>
      <c r="F57" t="s">
        <v>35</v>
      </c>
      <c r="H57" s="3">
        <v>46181</v>
      </c>
      <c r="J57" s="1"/>
    </row>
    <row r="58" spans="1:10" ht="15" x14ac:dyDescent="0.2">
      <c r="A58">
        <v>1429</v>
      </c>
      <c r="B58" t="s">
        <v>117</v>
      </c>
      <c r="C58" t="s">
        <v>119</v>
      </c>
      <c r="D58" t="s">
        <v>23</v>
      </c>
      <c r="E58" t="s">
        <v>24</v>
      </c>
      <c r="F58" t="s">
        <v>35</v>
      </c>
      <c r="H58" s="3">
        <v>46181</v>
      </c>
      <c r="J58" s="1"/>
    </row>
    <row r="59" spans="1:10" ht="15" x14ac:dyDescent="0.2">
      <c r="A59">
        <v>1000</v>
      </c>
      <c r="B59" t="s">
        <v>120</v>
      </c>
      <c r="C59" t="s">
        <v>121</v>
      </c>
      <c r="D59" t="s">
        <v>23</v>
      </c>
      <c r="E59" t="s">
        <v>24</v>
      </c>
      <c r="F59" t="s">
        <v>25</v>
      </c>
      <c r="H59" s="3">
        <v>46181</v>
      </c>
      <c r="J59" s="1"/>
    </row>
    <row r="60" spans="1:10" ht="15" x14ac:dyDescent="0.2">
      <c r="A60">
        <v>1332</v>
      </c>
      <c r="B60" t="s">
        <v>122</v>
      </c>
      <c r="C60" t="s">
        <v>123</v>
      </c>
      <c r="D60" t="s">
        <v>23</v>
      </c>
      <c r="E60" t="s">
        <v>30</v>
      </c>
      <c r="F60" t="s">
        <v>25</v>
      </c>
      <c r="H60" s="3">
        <v>46181</v>
      </c>
      <c r="J60" s="1"/>
    </row>
    <row r="61" spans="1:10" ht="15" x14ac:dyDescent="0.2">
      <c r="A61">
        <v>682</v>
      </c>
      <c r="B61" t="s">
        <v>124</v>
      </c>
      <c r="C61" t="s">
        <v>125</v>
      </c>
      <c r="D61" t="s">
        <v>23</v>
      </c>
      <c r="E61" t="s">
        <v>24</v>
      </c>
      <c r="F61" t="s">
        <v>27</v>
      </c>
      <c r="G61">
        <v>11</v>
      </c>
      <c r="H61" s="3">
        <v>46181</v>
      </c>
      <c r="J61" s="1"/>
    </row>
    <row r="62" spans="1:10" ht="15" x14ac:dyDescent="0.2">
      <c r="A62">
        <v>1393</v>
      </c>
      <c r="B62" t="s">
        <v>126</v>
      </c>
      <c r="C62" t="s">
        <v>127</v>
      </c>
      <c r="D62" t="s">
        <v>23</v>
      </c>
      <c r="E62" t="s">
        <v>30</v>
      </c>
      <c r="F62" t="s">
        <v>27</v>
      </c>
      <c r="G62">
        <v>10</v>
      </c>
      <c r="H62" s="3">
        <v>46181</v>
      </c>
      <c r="J62" s="1"/>
    </row>
    <row r="63" spans="1:10" ht="15" x14ac:dyDescent="0.2">
      <c r="A63">
        <v>1355</v>
      </c>
      <c r="B63" t="s">
        <v>128</v>
      </c>
      <c r="C63" t="s">
        <v>129</v>
      </c>
      <c r="D63" t="s">
        <v>23</v>
      </c>
      <c r="E63" t="s">
        <v>24</v>
      </c>
      <c r="F63" t="s">
        <v>35</v>
      </c>
      <c r="H63" s="3">
        <v>46181</v>
      </c>
      <c r="J63" s="1"/>
    </row>
    <row r="64" spans="1:10" ht="15" x14ac:dyDescent="0.2">
      <c r="A64">
        <v>1164</v>
      </c>
      <c r="B64" t="s">
        <v>130</v>
      </c>
      <c r="C64" t="s">
        <v>131</v>
      </c>
      <c r="D64" t="s">
        <v>54</v>
      </c>
      <c r="E64" t="s">
        <v>30</v>
      </c>
      <c r="F64" t="s">
        <v>25</v>
      </c>
      <c r="H64" s="3">
        <v>46181</v>
      </c>
      <c r="J64" s="1"/>
    </row>
    <row r="65" spans="1:10" ht="15" x14ac:dyDescent="0.2">
      <c r="A65">
        <v>1062</v>
      </c>
      <c r="B65" t="s">
        <v>130</v>
      </c>
      <c r="C65" t="s">
        <v>83</v>
      </c>
      <c r="D65" t="s">
        <v>23</v>
      </c>
      <c r="E65" t="s">
        <v>24</v>
      </c>
      <c r="F65" t="s">
        <v>27</v>
      </c>
      <c r="G65">
        <v>9</v>
      </c>
      <c r="H65" s="3">
        <v>46181</v>
      </c>
      <c r="J65" s="1"/>
    </row>
    <row r="66" spans="1:10" ht="15" x14ac:dyDescent="0.2">
      <c r="A66">
        <v>938</v>
      </c>
      <c r="B66" t="s">
        <v>130</v>
      </c>
      <c r="C66" t="s">
        <v>132</v>
      </c>
      <c r="D66" t="s">
        <v>23</v>
      </c>
      <c r="E66" t="s">
        <v>30</v>
      </c>
      <c r="F66" t="s">
        <v>27</v>
      </c>
      <c r="G66">
        <v>7</v>
      </c>
      <c r="H66" s="3">
        <v>46181</v>
      </c>
      <c r="J66" s="1"/>
    </row>
    <row r="67" spans="1:10" ht="15" x14ac:dyDescent="0.2">
      <c r="A67">
        <v>1427</v>
      </c>
      <c r="B67" t="s">
        <v>130</v>
      </c>
      <c r="C67" t="s">
        <v>133</v>
      </c>
      <c r="D67" t="s">
        <v>23</v>
      </c>
      <c r="E67" t="s">
        <v>30</v>
      </c>
      <c r="F67" t="s">
        <v>27</v>
      </c>
      <c r="G67">
        <v>16</v>
      </c>
      <c r="H67" s="3">
        <v>46181</v>
      </c>
      <c r="J67" s="1"/>
    </row>
    <row r="68" spans="1:10" ht="15" x14ac:dyDescent="0.2">
      <c r="A68">
        <v>1034</v>
      </c>
      <c r="B68" t="s">
        <v>134</v>
      </c>
      <c r="C68" t="s">
        <v>83</v>
      </c>
      <c r="D68" t="s">
        <v>23</v>
      </c>
      <c r="E68" t="s">
        <v>24</v>
      </c>
      <c r="F68" t="s">
        <v>25</v>
      </c>
      <c r="H68" s="3">
        <v>46181</v>
      </c>
      <c r="J68" s="1"/>
    </row>
    <row r="69" spans="1:10" ht="15" x14ac:dyDescent="0.2">
      <c r="A69">
        <v>1402</v>
      </c>
      <c r="B69" t="s">
        <v>135</v>
      </c>
      <c r="C69" t="s">
        <v>136</v>
      </c>
      <c r="D69" t="s">
        <v>23</v>
      </c>
      <c r="E69" t="s">
        <v>24</v>
      </c>
      <c r="F69" t="s">
        <v>27</v>
      </c>
      <c r="G69">
        <v>7</v>
      </c>
      <c r="H69" s="3">
        <v>46181</v>
      </c>
      <c r="J69" s="1"/>
    </row>
    <row r="70" spans="1:10" ht="15" x14ac:dyDescent="0.2">
      <c r="A70">
        <v>939</v>
      </c>
      <c r="B70" t="s">
        <v>137</v>
      </c>
      <c r="C70" t="s">
        <v>127</v>
      </c>
      <c r="D70" t="s">
        <v>23</v>
      </c>
      <c r="E70" t="s">
        <v>30</v>
      </c>
      <c r="F70" t="s">
        <v>27</v>
      </c>
      <c r="G70">
        <v>12</v>
      </c>
      <c r="H70" s="3">
        <v>46181</v>
      </c>
      <c r="J70" s="1"/>
    </row>
    <row r="71" spans="1:10" ht="15" x14ac:dyDescent="0.2">
      <c r="A71">
        <v>1377</v>
      </c>
      <c r="B71" t="s">
        <v>138</v>
      </c>
      <c r="C71" t="s">
        <v>139</v>
      </c>
      <c r="D71" t="s">
        <v>23</v>
      </c>
      <c r="E71" t="s">
        <v>30</v>
      </c>
      <c r="F71" t="s">
        <v>27</v>
      </c>
      <c r="G71">
        <v>12</v>
      </c>
      <c r="H71" s="3">
        <v>46181</v>
      </c>
      <c r="J71" s="1"/>
    </row>
    <row r="72" spans="1:10" ht="15" x14ac:dyDescent="0.2">
      <c r="A72">
        <v>1281</v>
      </c>
      <c r="B72" t="s">
        <v>140</v>
      </c>
      <c r="C72" t="s">
        <v>141</v>
      </c>
      <c r="D72" t="s">
        <v>23</v>
      </c>
      <c r="E72" t="s">
        <v>24</v>
      </c>
      <c r="F72" t="s">
        <v>27</v>
      </c>
      <c r="G72">
        <v>19</v>
      </c>
      <c r="H72" s="3">
        <v>46181</v>
      </c>
      <c r="J72" s="1"/>
    </row>
    <row r="73" spans="1:10" ht="15" x14ac:dyDescent="0.2">
      <c r="A73">
        <v>933</v>
      </c>
      <c r="B73" t="s">
        <v>142</v>
      </c>
      <c r="C73" t="s">
        <v>143</v>
      </c>
      <c r="D73" t="s">
        <v>23</v>
      </c>
      <c r="E73" t="s">
        <v>24</v>
      </c>
      <c r="F73" t="s">
        <v>25</v>
      </c>
      <c r="H73" s="3">
        <v>46181</v>
      </c>
      <c r="J73" s="1"/>
    </row>
    <row r="74" spans="1:10" ht="15" x14ac:dyDescent="0.2">
      <c r="A74">
        <v>1274</v>
      </c>
      <c r="B74" t="s">
        <v>144</v>
      </c>
      <c r="C74" t="s">
        <v>145</v>
      </c>
      <c r="D74" t="s">
        <v>23</v>
      </c>
      <c r="E74" t="s">
        <v>30</v>
      </c>
      <c r="F74" t="s">
        <v>25</v>
      </c>
      <c r="H74" s="3">
        <v>46181</v>
      </c>
      <c r="J74" s="1"/>
    </row>
    <row r="75" spans="1:10" ht="15" x14ac:dyDescent="0.2">
      <c r="A75">
        <v>493</v>
      </c>
      <c r="B75" t="s">
        <v>146</v>
      </c>
      <c r="C75" t="s">
        <v>49</v>
      </c>
      <c r="D75" t="s">
        <v>48</v>
      </c>
      <c r="E75" t="s">
        <v>24</v>
      </c>
      <c r="F75" t="s">
        <v>27</v>
      </c>
      <c r="G75">
        <v>37</v>
      </c>
      <c r="H75" s="3">
        <v>46181</v>
      </c>
      <c r="J75" s="1"/>
    </row>
    <row r="76" spans="1:10" ht="15" x14ac:dyDescent="0.2">
      <c r="A76">
        <v>1279</v>
      </c>
      <c r="B76" t="s">
        <v>147</v>
      </c>
      <c r="C76" t="s">
        <v>148</v>
      </c>
      <c r="D76" t="s">
        <v>23</v>
      </c>
      <c r="E76" t="s">
        <v>24</v>
      </c>
      <c r="F76" t="s">
        <v>27</v>
      </c>
      <c r="G76">
        <v>4</v>
      </c>
      <c r="H76" s="3">
        <v>46181</v>
      </c>
      <c r="J76" s="1"/>
    </row>
    <row r="77" spans="1:10" ht="15" x14ac:dyDescent="0.2">
      <c r="A77">
        <v>1193</v>
      </c>
      <c r="B77" t="s">
        <v>149</v>
      </c>
      <c r="C77" t="s">
        <v>150</v>
      </c>
      <c r="D77" t="s">
        <v>23</v>
      </c>
      <c r="E77" t="s">
        <v>24</v>
      </c>
      <c r="F77" t="s">
        <v>25</v>
      </c>
      <c r="H77" s="3">
        <v>46181</v>
      </c>
      <c r="J77" s="1"/>
    </row>
    <row r="78" spans="1:10" ht="15" x14ac:dyDescent="0.2">
      <c r="A78">
        <v>1194</v>
      </c>
      <c r="B78" t="s">
        <v>149</v>
      </c>
      <c r="C78" t="s">
        <v>151</v>
      </c>
      <c r="D78" t="s">
        <v>23</v>
      </c>
      <c r="E78" t="s">
        <v>30</v>
      </c>
      <c r="F78" t="s">
        <v>25</v>
      </c>
      <c r="H78" s="3">
        <v>46181</v>
      </c>
      <c r="J78" s="1"/>
    </row>
    <row r="79" spans="1:10" ht="15" x14ac:dyDescent="0.2">
      <c r="A79">
        <v>1196</v>
      </c>
      <c r="B79" t="s">
        <v>149</v>
      </c>
      <c r="C79" t="s">
        <v>152</v>
      </c>
      <c r="D79" t="s">
        <v>23</v>
      </c>
      <c r="E79" t="s">
        <v>24</v>
      </c>
      <c r="F79" t="s">
        <v>35</v>
      </c>
      <c r="H79" s="3">
        <v>46181</v>
      </c>
      <c r="J79" s="1"/>
    </row>
    <row r="80" spans="1:10" ht="15" x14ac:dyDescent="0.2">
      <c r="A80">
        <v>1195</v>
      </c>
      <c r="B80" t="s">
        <v>149</v>
      </c>
      <c r="C80" t="s">
        <v>153</v>
      </c>
      <c r="D80" t="s">
        <v>23</v>
      </c>
      <c r="E80" t="s">
        <v>24</v>
      </c>
      <c r="F80" t="s">
        <v>35</v>
      </c>
      <c r="H80" s="3">
        <v>46181</v>
      </c>
      <c r="J80" s="1"/>
    </row>
    <row r="81" spans="1:10" ht="15" x14ac:dyDescent="0.2">
      <c r="A81">
        <v>1176</v>
      </c>
      <c r="B81" t="s">
        <v>154</v>
      </c>
      <c r="C81" t="s">
        <v>155</v>
      </c>
      <c r="D81" t="s">
        <v>23</v>
      </c>
      <c r="E81" t="s">
        <v>24</v>
      </c>
      <c r="F81" t="s">
        <v>35</v>
      </c>
      <c r="H81" s="3">
        <v>46181</v>
      </c>
      <c r="J81" s="1"/>
    </row>
    <row r="82" spans="1:10" ht="15" x14ac:dyDescent="0.2">
      <c r="A82">
        <v>1174</v>
      </c>
      <c r="B82" t="s">
        <v>154</v>
      </c>
      <c r="C82" t="s">
        <v>156</v>
      </c>
      <c r="D82" t="s">
        <v>23</v>
      </c>
      <c r="E82" t="s">
        <v>30</v>
      </c>
      <c r="F82" t="s">
        <v>27</v>
      </c>
      <c r="G82">
        <v>6</v>
      </c>
      <c r="H82" s="3">
        <v>46181</v>
      </c>
      <c r="J82" s="1"/>
    </row>
    <row r="83" spans="1:10" ht="15" x14ac:dyDescent="0.2">
      <c r="A83">
        <v>1175</v>
      </c>
      <c r="B83" t="s">
        <v>154</v>
      </c>
      <c r="C83" t="s">
        <v>150</v>
      </c>
      <c r="D83" t="s">
        <v>23</v>
      </c>
      <c r="E83" t="s">
        <v>24</v>
      </c>
      <c r="F83" t="s">
        <v>27</v>
      </c>
      <c r="G83">
        <v>12</v>
      </c>
      <c r="H83" s="3">
        <v>46181</v>
      </c>
      <c r="J83" s="1"/>
    </row>
    <row r="84" spans="1:10" ht="15" x14ac:dyDescent="0.2">
      <c r="A84">
        <v>1109</v>
      </c>
      <c r="B84" t="s">
        <v>157</v>
      </c>
      <c r="C84" t="s">
        <v>104</v>
      </c>
      <c r="D84" t="s">
        <v>23</v>
      </c>
      <c r="E84" t="s">
        <v>24</v>
      </c>
      <c r="F84" t="s">
        <v>25</v>
      </c>
      <c r="H84" s="3">
        <v>46181</v>
      </c>
      <c r="J84" s="1"/>
    </row>
    <row r="85" spans="1:10" ht="15" x14ac:dyDescent="0.2">
      <c r="A85">
        <v>1073</v>
      </c>
      <c r="B85" t="s">
        <v>158</v>
      </c>
      <c r="C85" t="s">
        <v>150</v>
      </c>
      <c r="D85" t="s">
        <v>23</v>
      </c>
      <c r="E85" t="s">
        <v>24</v>
      </c>
      <c r="F85" t="s">
        <v>27</v>
      </c>
      <c r="G85">
        <v>3</v>
      </c>
      <c r="H85" s="3">
        <v>46181</v>
      </c>
      <c r="J85" s="1"/>
    </row>
    <row r="86" spans="1:10" ht="15" x14ac:dyDescent="0.2">
      <c r="A86">
        <v>1400</v>
      </c>
      <c r="B86" t="s">
        <v>159</v>
      </c>
      <c r="C86" t="s">
        <v>160</v>
      </c>
      <c r="D86" t="s">
        <v>23</v>
      </c>
      <c r="E86" t="s">
        <v>24</v>
      </c>
      <c r="F86" t="s">
        <v>25</v>
      </c>
      <c r="H86" s="3">
        <v>46181</v>
      </c>
      <c r="J86" s="1"/>
    </row>
    <row r="87" spans="1:10" ht="15" x14ac:dyDescent="0.2">
      <c r="A87">
        <v>1367</v>
      </c>
      <c r="B87" t="s">
        <v>161</v>
      </c>
      <c r="C87" t="s">
        <v>152</v>
      </c>
      <c r="D87" t="s">
        <v>23</v>
      </c>
      <c r="E87" t="s">
        <v>24</v>
      </c>
      <c r="F87" t="s">
        <v>35</v>
      </c>
      <c r="H87" s="3">
        <v>46181</v>
      </c>
      <c r="J87" s="1"/>
    </row>
    <row r="88" spans="1:10" ht="15" x14ac:dyDescent="0.2">
      <c r="A88">
        <v>1366</v>
      </c>
      <c r="B88" t="s">
        <v>161</v>
      </c>
      <c r="C88" t="s">
        <v>162</v>
      </c>
      <c r="D88" t="s">
        <v>23</v>
      </c>
      <c r="E88" t="s">
        <v>30</v>
      </c>
      <c r="F88" t="s">
        <v>25</v>
      </c>
      <c r="H88" s="3">
        <v>46181</v>
      </c>
      <c r="J88" s="1"/>
    </row>
    <row r="89" spans="1:10" ht="15" x14ac:dyDescent="0.2">
      <c r="A89">
        <v>1365</v>
      </c>
      <c r="B89" t="s">
        <v>161</v>
      </c>
      <c r="C89" t="s">
        <v>163</v>
      </c>
      <c r="D89" t="s">
        <v>23</v>
      </c>
      <c r="E89" t="s">
        <v>30</v>
      </c>
      <c r="F89" t="s">
        <v>27</v>
      </c>
      <c r="G89">
        <v>7</v>
      </c>
      <c r="H89" s="3">
        <v>46181</v>
      </c>
      <c r="J89" s="1"/>
    </row>
    <row r="90" spans="1:10" ht="15" x14ac:dyDescent="0.2">
      <c r="A90">
        <v>897</v>
      </c>
      <c r="B90" t="s">
        <v>161</v>
      </c>
      <c r="C90" t="s">
        <v>164</v>
      </c>
      <c r="D90" t="s">
        <v>23</v>
      </c>
      <c r="E90" t="s">
        <v>24</v>
      </c>
      <c r="F90" t="s">
        <v>27</v>
      </c>
      <c r="G90">
        <v>13</v>
      </c>
      <c r="H90" s="3">
        <v>46181</v>
      </c>
      <c r="J90" s="1"/>
    </row>
    <row r="91" spans="1:10" ht="15" x14ac:dyDescent="0.2">
      <c r="A91">
        <v>1308</v>
      </c>
      <c r="B91" t="s">
        <v>165</v>
      </c>
      <c r="C91" t="s">
        <v>166</v>
      </c>
      <c r="D91" t="s">
        <v>23</v>
      </c>
      <c r="E91" t="s">
        <v>30</v>
      </c>
      <c r="F91" t="s">
        <v>27</v>
      </c>
      <c r="G91">
        <v>2</v>
      </c>
      <c r="H91" s="3">
        <v>46181</v>
      </c>
      <c r="J91" s="1"/>
    </row>
    <row r="92" spans="1:10" ht="15" x14ac:dyDescent="0.2">
      <c r="A92">
        <v>1206</v>
      </c>
      <c r="B92" t="s">
        <v>167</v>
      </c>
      <c r="C92" t="s">
        <v>168</v>
      </c>
      <c r="D92" t="s">
        <v>23</v>
      </c>
      <c r="E92" t="s">
        <v>30</v>
      </c>
      <c r="F92" t="s">
        <v>27</v>
      </c>
      <c r="G92">
        <v>8</v>
      </c>
      <c r="H92" s="3">
        <v>46181</v>
      </c>
      <c r="J92" s="1"/>
    </row>
    <row r="93" spans="1:10" ht="15" x14ac:dyDescent="0.2">
      <c r="A93">
        <v>1205</v>
      </c>
      <c r="B93" t="s">
        <v>167</v>
      </c>
      <c r="C93" t="s">
        <v>66</v>
      </c>
      <c r="D93" t="s">
        <v>23</v>
      </c>
      <c r="E93" t="s">
        <v>24</v>
      </c>
      <c r="F93" t="s">
        <v>27</v>
      </c>
      <c r="G93">
        <v>14</v>
      </c>
      <c r="H93" s="3">
        <v>46181</v>
      </c>
      <c r="J93" s="1"/>
    </row>
    <row r="94" spans="1:10" ht="15" x14ac:dyDescent="0.2">
      <c r="A94">
        <v>1406</v>
      </c>
      <c r="B94" t="s">
        <v>169</v>
      </c>
      <c r="C94" t="s">
        <v>170</v>
      </c>
      <c r="D94" t="s">
        <v>23</v>
      </c>
      <c r="E94" t="s">
        <v>24</v>
      </c>
      <c r="F94" t="s">
        <v>27</v>
      </c>
      <c r="G94">
        <v>9</v>
      </c>
      <c r="H94" s="3">
        <v>46181</v>
      </c>
      <c r="J94" s="1"/>
    </row>
    <row r="95" spans="1:10" ht="15" x14ac:dyDescent="0.2">
      <c r="A95">
        <v>1182</v>
      </c>
      <c r="B95" t="s">
        <v>171</v>
      </c>
      <c r="C95" t="s">
        <v>136</v>
      </c>
      <c r="D95" t="s">
        <v>23</v>
      </c>
      <c r="E95" t="s">
        <v>24</v>
      </c>
      <c r="F95" t="s">
        <v>27</v>
      </c>
      <c r="G95">
        <v>8</v>
      </c>
      <c r="H95" s="3">
        <v>46181</v>
      </c>
      <c r="J95" s="1"/>
    </row>
    <row r="96" spans="1:10" ht="15" x14ac:dyDescent="0.2">
      <c r="A96">
        <v>1340</v>
      </c>
      <c r="B96" t="s">
        <v>172</v>
      </c>
      <c r="C96" t="s">
        <v>173</v>
      </c>
      <c r="D96" t="s">
        <v>23</v>
      </c>
      <c r="E96" t="s">
        <v>24</v>
      </c>
      <c r="F96" t="s">
        <v>27</v>
      </c>
      <c r="G96">
        <v>8</v>
      </c>
      <c r="H96" s="3">
        <v>46181</v>
      </c>
      <c r="J96" s="1"/>
    </row>
    <row r="97" spans="1:10" ht="15" x14ac:dyDescent="0.2">
      <c r="A97">
        <v>21</v>
      </c>
      <c r="B97" t="s">
        <v>174</v>
      </c>
      <c r="C97" t="s">
        <v>175</v>
      </c>
      <c r="D97" t="s">
        <v>23</v>
      </c>
      <c r="E97" t="s">
        <v>24</v>
      </c>
      <c r="F97" t="s">
        <v>25</v>
      </c>
      <c r="H97" s="3">
        <v>46181</v>
      </c>
      <c r="J97" s="1"/>
    </row>
    <row r="98" spans="1:10" ht="15" x14ac:dyDescent="0.2">
      <c r="A98">
        <v>1049</v>
      </c>
      <c r="B98" t="s">
        <v>176</v>
      </c>
      <c r="C98" t="s">
        <v>177</v>
      </c>
      <c r="D98" t="s">
        <v>23</v>
      </c>
      <c r="E98" t="s">
        <v>24</v>
      </c>
      <c r="F98" t="s">
        <v>27</v>
      </c>
      <c r="G98">
        <v>19</v>
      </c>
      <c r="H98" s="3">
        <v>46181</v>
      </c>
      <c r="J98" s="1"/>
    </row>
    <row r="99" spans="1:10" ht="15" x14ac:dyDescent="0.2">
      <c r="A99">
        <v>120</v>
      </c>
      <c r="B99" t="s">
        <v>178</v>
      </c>
      <c r="C99" t="s">
        <v>179</v>
      </c>
      <c r="D99" t="s">
        <v>23</v>
      </c>
      <c r="E99" t="s">
        <v>30</v>
      </c>
      <c r="F99" t="s">
        <v>27</v>
      </c>
      <c r="G99">
        <v>12</v>
      </c>
      <c r="H99" s="3">
        <v>46181</v>
      </c>
      <c r="J99" s="1"/>
    </row>
    <row r="100" spans="1:10" ht="15" x14ac:dyDescent="0.2">
      <c r="A100">
        <v>990</v>
      </c>
      <c r="B100" t="s">
        <v>180</v>
      </c>
      <c r="C100" t="s">
        <v>87</v>
      </c>
      <c r="D100" t="s">
        <v>23</v>
      </c>
      <c r="E100" t="s">
        <v>30</v>
      </c>
      <c r="F100" t="s">
        <v>27</v>
      </c>
      <c r="G100">
        <v>10</v>
      </c>
      <c r="H100" s="3">
        <v>46181</v>
      </c>
      <c r="J100" s="1"/>
    </row>
    <row r="101" spans="1:10" ht="15" x14ac:dyDescent="0.2">
      <c r="A101">
        <v>1395</v>
      </c>
      <c r="B101" t="s">
        <v>181</v>
      </c>
      <c r="C101" t="s">
        <v>182</v>
      </c>
      <c r="D101" t="s">
        <v>23</v>
      </c>
      <c r="E101" t="s">
        <v>30</v>
      </c>
      <c r="F101" t="s">
        <v>35</v>
      </c>
      <c r="H101" s="3">
        <v>46181</v>
      </c>
      <c r="J101" s="1"/>
    </row>
    <row r="102" spans="1:10" ht="15" x14ac:dyDescent="0.2">
      <c r="A102">
        <v>1158</v>
      </c>
      <c r="B102" t="s">
        <v>183</v>
      </c>
      <c r="C102" t="s">
        <v>184</v>
      </c>
      <c r="D102" t="s">
        <v>23</v>
      </c>
      <c r="E102" t="s">
        <v>30</v>
      </c>
      <c r="F102" t="s">
        <v>25</v>
      </c>
      <c r="H102" s="3">
        <v>46181</v>
      </c>
      <c r="J102" s="1"/>
    </row>
    <row r="103" spans="1:10" ht="15" x14ac:dyDescent="0.2">
      <c r="A103">
        <v>23</v>
      </c>
      <c r="B103" t="s">
        <v>185</v>
      </c>
      <c r="C103" t="s">
        <v>100</v>
      </c>
      <c r="D103" t="s">
        <v>23</v>
      </c>
      <c r="E103" t="s">
        <v>24</v>
      </c>
      <c r="F103" t="s">
        <v>27</v>
      </c>
      <c r="G103">
        <v>10</v>
      </c>
      <c r="H103" s="3">
        <v>46181</v>
      </c>
      <c r="J103" s="1"/>
    </row>
    <row r="104" spans="1:10" ht="15" x14ac:dyDescent="0.2">
      <c r="A104">
        <v>1152</v>
      </c>
      <c r="B104" t="s">
        <v>186</v>
      </c>
      <c r="C104" t="s">
        <v>187</v>
      </c>
      <c r="D104" t="s">
        <v>54</v>
      </c>
      <c r="E104" t="s">
        <v>30</v>
      </c>
      <c r="F104" t="s">
        <v>188</v>
      </c>
      <c r="H104" s="3">
        <v>46181</v>
      </c>
      <c r="J104" s="1"/>
    </row>
    <row r="105" spans="1:10" ht="15" x14ac:dyDescent="0.2">
      <c r="A105">
        <v>581</v>
      </c>
      <c r="B105" t="s">
        <v>189</v>
      </c>
      <c r="C105" t="s">
        <v>190</v>
      </c>
      <c r="D105" t="s">
        <v>23</v>
      </c>
      <c r="E105" t="s">
        <v>24</v>
      </c>
      <c r="F105" t="s">
        <v>27</v>
      </c>
      <c r="G105">
        <v>13</v>
      </c>
      <c r="H105" s="3">
        <v>46181</v>
      </c>
      <c r="J105" s="1"/>
    </row>
    <row r="106" spans="1:10" ht="15" x14ac:dyDescent="0.2">
      <c r="A106">
        <v>1374</v>
      </c>
      <c r="B106" t="s">
        <v>191</v>
      </c>
      <c r="C106" t="s">
        <v>192</v>
      </c>
      <c r="D106" t="s">
        <v>23</v>
      </c>
      <c r="E106" t="s">
        <v>24</v>
      </c>
      <c r="F106" t="s">
        <v>25</v>
      </c>
      <c r="H106" s="3">
        <v>46181</v>
      </c>
      <c r="J106" s="1"/>
    </row>
    <row r="107" spans="1:10" ht="15" x14ac:dyDescent="0.2">
      <c r="A107">
        <v>25</v>
      </c>
      <c r="B107" t="s">
        <v>22</v>
      </c>
      <c r="C107" t="s">
        <v>193</v>
      </c>
      <c r="D107" t="s">
        <v>23</v>
      </c>
      <c r="E107" t="s">
        <v>24</v>
      </c>
      <c r="F107" t="s">
        <v>27</v>
      </c>
      <c r="G107">
        <v>8</v>
      </c>
      <c r="H107" s="3">
        <v>46181</v>
      </c>
      <c r="J107" s="1"/>
    </row>
    <row r="108" spans="1:10" ht="15" x14ac:dyDescent="0.2">
      <c r="A108">
        <v>1257</v>
      </c>
      <c r="B108" t="s">
        <v>194</v>
      </c>
      <c r="C108" t="s">
        <v>150</v>
      </c>
      <c r="D108" t="s">
        <v>54</v>
      </c>
      <c r="E108" t="s">
        <v>24</v>
      </c>
      <c r="F108" t="s">
        <v>25</v>
      </c>
      <c r="H108" s="3">
        <v>46181</v>
      </c>
      <c r="J108" s="1"/>
    </row>
    <row r="109" spans="1:10" ht="15" x14ac:dyDescent="0.2">
      <c r="A109">
        <v>415</v>
      </c>
      <c r="B109" t="s">
        <v>195</v>
      </c>
      <c r="C109" t="s">
        <v>196</v>
      </c>
      <c r="D109" t="s">
        <v>23</v>
      </c>
      <c r="E109" t="s">
        <v>24</v>
      </c>
      <c r="F109" t="s">
        <v>27</v>
      </c>
      <c r="G109">
        <v>6</v>
      </c>
      <c r="H109" s="3">
        <v>46181</v>
      </c>
      <c r="J109" s="1"/>
    </row>
    <row r="110" spans="1:10" ht="15" x14ac:dyDescent="0.2">
      <c r="A110">
        <v>1144</v>
      </c>
      <c r="B110" t="s">
        <v>195</v>
      </c>
      <c r="C110" t="s">
        <v>197</v>
      </c>
      <c r="D110" t="s">
        <v>54</v>
      </c>
      <c r="E110" t="s">
        <v>24</v>
      </c>
      <c r="F110" t="s">
        <v>188</v>
      </c>
      <c r="H110" s="3">
        <v>46181</v>
      </c>
      <c r="J110" s="1"/>
    </row>
    <row r="111" spans="1:10" ht="15" x14ac:dyDescent="0.2">
      <c r="A111">
        <v>1292</v>
      </c>
      <c r="B111" t="s">
        <v>198</v>
      </c>
      <c r="C111" t="s">
        <v>199</v>
      </c>
      <c r="D111" t="s">
        <v>23</v>
      </c>
      <c r="E111" t="s">
        <v>30</v>
      </c>
      <c r="F111" t="s">
        <v>25</v>
      </c>
      <c r="H111" s="3">
        <v>46181</v>
      </c>
      <c r="J111" s="1"/>
    </row>
    <row r="112" spans="1:10" ht="15" x14ac:dyDescent="0.2">
      <c r="A112">
        <v>203</v>
      </c>
      <c r="B112" t="s">
        <v>200</v>
      </c>
      <c r="C112" t="s">
        <v>201</v>
      </c>
      <c r="D112" t="s">
        <v>23</v>
      </c>
      <c r="E112" t="s">
        <v>24</v>
      </c>
      <c r="F112" t="s">
        <v>27</v>
      </c>
      <c r="G112">
        <v>9</v>
      </c>
      <c r="H112" s="3">
        <v>46181</v>
      </c>
      <c r="J112" s="1"/>
    </row>
    <row r="113" spans="1:10" ht="15" x14ac:dyDescent="0.2">
      <c r="A113">
        <v>956</v>
      </c>
      <c r="B113" t="s">
        <v>202</v>
      </c>
      <c r="C113" t="s">
        <v>94</v>
      </c>
      <c r="D113" t="s">
        <v>23</v>
      </c>
      <c r="E113" t="s">
        <v>24</v>
      </c>
      <c r="F113" t="s">
        <v>27</v>
      </c>
      <c r="G113">
        <v>13</v>
      </c>
      <c r="H113" s="3">
        <v>46181</v>
      </c>
      <c r="J113" s="1"/>
    </row>
    <row r="114" spans="1:10" ht="15" x14ac:dyDescent="0.2">
      <c r="A114">
        <v>1273</v>
      </c>
      <c r="B114" t="s">
        <v>203</v>
      </c>
      <c r="C114" t="s">
        <v>204</v>
      </c>
      <c r="D114" t="s">
        <v>23</v>
      </c>
      <c r="E114" t="s">
        <v>30</v>
      </c>
      <c r="F114" t="s">
        <v>27</v>
      </c>
      <c r="G114">
        <v>22</v>
      </c>
      <c r="H114" s="3">
        <v>46181</v>
      </c>
      <c r="J114" s="1"/>
    </row>
    <row r="115" spans="1:10" ht="15" x14ac:dyDescent="0.2">
      <c r="A115">
        <v>1272</v>
      </c>
      <c r="B115" t="s">
        <v>203</v>
      </c>
      <c r="C115" t="s">
        <v>205</v>
      </c>
      <c r="D115" t="s">
        <v>23</v>
      </c>
      <c r="E115" t="s">
        <v>24</v>
      </c>
      <c r="F115" t="s">
        <v>27</v>
      </c>
      <c r="G115">
        <v>24</v>
      </c>
      <c r="H115" s="3">
        <v>46181</v>
      </c>
      <c r="J115" s="1"/>
    </row>
    <row r="116" spans="1:10" ht="15" x14ac:dyDescent="0.2">
      <c r="A116">
        <v>846</v>
      </c>
      <c r="B116" t="s">
        <v>206</v>
      </c>
      <c r="C116" t="s">
        <v>207</v>
      </c>
      <c r="D116" t="s">
        <v>23</v>
      </c>
      <c r="E116" t="s">
        <v>24</v>
      </c>
      <c r="F116" t="s">
        <v>27</v>
      </c>
      <c r="G116">
        <v>17</v>
      </c>
      <c r="H116" s="3">
        <v>46181</v>
      </c>
      <c r="J116" s="1"/>
    </row>
    <row r="117" spans="1:10" ht="15" x14ac:dyDescent="0.2">
      <c r="A117">
        <v>1162</v>
      </c>
      <c r="B117" t="s">
        <v>208</v>
      </c>
      <c r="C117" t="s">
        <v>150</v>
      </c>
      <c r="D117" t="s">
        <v>23</v>
      </c>
      <c r="E117" t="s">
        <v>24</v>
      </c>
      <c r="F117" t="s">
        <v>25</v>
      </c>
      <c r="H117" s="3">
        <v>46181</v>
      </c>
      <c r="J117" s="1"/>
    </row>
    <row r="118" spans="1:10" ht="15" x14ac:dyDescent="0.2">
      <c r="A118">
        <v>1244</v>
      </c>
      <c r="B118" t="s">
        <v>209</v>
      </c>
      <c r="C118" t="s">
        <v>94</v>
      </c>
      <c r="D118" t="s">
        <v>23</v>
      </c>
      <c r="E118" t="s">
        <v>24</v>
      </c>
      <c r="F118" t="s">
        <v>27</v>
      </c>
      <c r="G118">
        <v>2</v>
      </c>
      <c r="H118" s="3">
        <v>46181</v>
      </c>
      <c r="J118" s="1"/>
    </row>
    <row r="119" spans="1:10" ht="15" x14ac:dyDescent="0.2">
      <c r="A119">
        <v>1379</v>
      </c>
      <c r="B119" t="s">
        <v>209</v>
      </c>
      <c r="C119" t="s">
        <v>210</v>
      </c>
      <c r="D119" t="s">
        <v>23</v>
      </c>
      <c r="E119" t="s">
        <v>30</v>
      </c>
      <c r="F119" t="s">
        <v>25</v>
      </c>
      <c r="H119" s="3">
        <v>46181</v>
      </c>
      <c r="J119" s="1"/>
    </row>
    <row r="120" spans="1:10" ht="15" x14ac:dyDescent="0.2">
      <c r="A120">
        <v>1362</v>
      </c>
      <c r="B120" t="s">
        <v>211</v>
      </c>
      <c r="C120" t="s">
        <v>212</v>
      </c>
      <c r="D120" t="s">
        <v>23</v>
      </c>
      <c r="E120" t="s">
        <v>30</v>
      </c>
      <c r="F120" t="s">
        <v>27</v>
      </c>
      <c r="G120">
        <v>22</v>
      </c>
      <c r="H120" s="3">
        <v>46181</v>
      </c>
      <c r="J120" s="1"/>
    </row>
    <row r="121" spans="1:10" ht="15" x14ac:dyDescent="0.2">
      <c r="A121">
        <v>1403</v>
      </c>
      <c r="B121" t="s">
        <v>213</v>
      </c>
      <c r="C121" t="s">
        <v>214</v>
      </c>
      <c r="D121" t="s">
        <v>23</v>
      </c>
      <c r="E121" t="s">
        <v>24</v>
      </c>
      <c r="F121" t="s">
        <v>27</v>
      </c>
      <c r="G121">
        <v>8</v>
      </c>
      <c r="H121" s="3">
        <v>46181</v>
      </c>
      <c r="J121" s="1"/>
    </row>
    <row r="122" spans="1:10" ht="15" x14ac:dyDescent="0.2">
      <c r="A122">
        <v>1404</v>
      </c>
      <c r="B122" t="s">
        <v>213</v>
      </c>
      <c r="C122" t="s">
        <v>215</v>
      </c>
      <c r="D122" t="s">
        <v>23</v>
      </c>
      <c r="E122" t="s">
        <v>30</v>
      </c>
      <c r="F122" t="s">
        <v>25</v>
      </c>
      <c r="H122" s="3">
        <v>46181</v>
      </c>
      <c r="J122" s="1"/>
    </row>
    <row r="123" spans="1:10" ht="15" x14ac:dyDescent="0.2">
      <c r="A123">
        <v>1229</v>
      </c>
      <c r="B123" t="s">
        <v>216</v>
      </c>
      <c r="C123" t="s">
        <v>217</v>
      </c>
      <c r="D123" t="s">
        <v>23</v>
      </c>
      <c r="E123" t="s">
        <v>30</v>
      </c>
      <c r="F123" t="s">
        <v>25</v>
      </c>
      <c r="H123" s="3">
        <v>46181</v>
      </c>
      <c r="J123" s="1"/>
    </row>
    <row r="124" spans="1:10" ht="15" x14ac:dyDescent="0.2">
      <c r="A124">
        <v>1408</v>
      </c>
      <c r="B124" t="s">
        <v>218</v>
      </c>
      <c r="C124" t="s">
        <v>219</v>
      </c>
      <c r="D124" t="s">
        <v>23</v>
      </c>
      <c r="E124" t="s">
        <v>24</v>
      </c>
      <c r="F124" t="s">
        <v>27</v>
      </c>
      <c r="G124">
        <v>20</v>
      </c>
      <c r="H124" s="3">
        <v>46181</v>
      </c>
      <c r="J124" s="1"/>
    </row>
    <row r="125" spans="1:10" ht="15" x14ac:dyDescent="0.2">
      <c r="A125">
        <v>1409</v>
      </c>
      <c r="B125" t="s">
        <v>218</v>
      </c>
      <c r="C125" t="s">
        <v>220</v>
      </c>
      <c r="D125" t="s">
        <v>23</v>
      </c>
      <c r="E125" t="s">
        <v>30</v>
      </c>
      <c r="F125" t="s">
        <v>27</v>
      </c>
      <c r="G125">
        <v>15</v>
      </c>
      <c r="H125" s="3">
        <v>46181</v>
      </c>
      <c r="J125" s="1"/>
    </row>
    <row r="126" spans="1:10" ht="15" x14ac:dyDescent="0.2">
      <c r="A126">
        <v>1198</v>
      </c>
      <c r="B126" t="s">
        <v>221</v>
      </c>
      <c r="C126" t="s">
        <v>222</v>
      </c>
      <c r="D126" t="s">
        <v>23</v>
      </c>
      <c r="E126" t="s">
        <v>24</v>
      </c>
      <c r="F126" t="s">
        <v>27</v>
      </c>
      <c r="G126">
        <v>5</v>
      </c>
      <c r="H126" s="3">
        <v>46181</v>
      </c>
      <c r="J126" s="1"/>
    </row>
    <row r="127" spans="1:10" ht="15" x14ac:dyDescent="0.2">
      <c r="A127">
        <v>1260</v>
      </c>
      <c r="B127" t="s">
        <v>223</v>
      </c>
      <c r="C127" t="s">
        <v>82</v>
      </c>
      <c r="D127" t="s">
        <v>23</v>
      </c>
      <c r="E127" t="s">
        <v>30</v>
      </c>
      <c r="F127" t="s">
        <v>27</v>
      </c>
      <c r="G127">
        <v>15</v>
      </c>
      <c r="H127" s="3">
        <v>46181</v>
      </c>
      <c r="J127" s="1"/>
    </row>
    <row r="128" spans="1:10" ht="15" x14ac:dyDescent="0.2">
      <c r="A128">
        <v>1361</v>
      </c>
      <c r="B128" t="s">
        <v>224</v>
      </c>
      <c r="C128" t="s">
        <v>225</v>
      </c>
      <c r="D128" t="s">
        <v>23</v>
      </c>
      <c r="E128" t="s">
        <v>24</v>
      </c>
      <c r="F128" t="s">
        <v>27</v>
      </c>
      <c r="G128">
        <v>16</v>
      </c>
      <c r="H128" s="3">
        <v>46181</v>
      </c>
      <c r="J128" s="1"/>
    </row>
    <row r="129" spans="1:10" ht="15" x14ac:dyDescent="0.2">
      <c r="A129">
        <v>1100</v>
      </c>
      <c r="B129" t="s">
        <v>226</v>
      </c>
      <c r="C129" t="s">
        <v>34</v>
      </c>
      <c r="D129" t="s">
        <v>23</v>
      </c>
      <c r="E129" t="s">
        <v>24</v>
      </c>
      <c r="F129" t="s">
        <v>27</v>
      </c>
      <c r="G129">
        <v>13</v>
      </c>
      <c r="H129" s="3">
        <v>46181</v>
      </c>
      <c r="J129" s="1"/>
    </row>
    <row r="130" spans="1:10" ht="15" x14ac:dyDescent="0.2">
      <c r="A130">
        <v>1385</v>
      </c>
      <c r="B130" t="s">
        <v>227</v>
      </c>
      <c r="C130" t="s">
        <v>228</v>
      </c>
      <c r="D130" t="s">
        <v>23</v>
      </c>
      <c r="E130" t="s">
        <v>24</v>
      </c>
      <c r="F130" t="s">
        <v>25</v>
      </c>
      <c r="H130" s="3">
        <v>46181</v>
      </c>
      <c r="J130" s="1"/>
    </row>
    <row r="131" spans="1:10" ht="15" x14ac:dyDescent="0.2">
      <c r="A131">
        <v>1394</v>
      </c>
      <c r="B131" t="s">
        <v>227</v>
      </c>
      <c r="C131" t="s">
        <v>229</v>
      </c>
      <c r="D131" t="s">
        <v>23</v>
      </c>
      <c r="E131" t="s">
        <v>24</v>
      </c>
      <c r="F131" t="s">
        <v>35</v>
      </c>
      <c r="H131" s="3">
        <v>46181</v>
      </c>
      <c r="J131" s="1"/>
    </row>
    <row r="132" spans="1:10" ht="15" x14ac:dyDescent="0.2">
      <c r="A132">
        <v>1419</v>
      </c>
      <c r="B132" t="s">
        <v>230</v>
      </c>
      <c r="C132" t="s">
        <v>231</v>
      </c>
      <c r="D132" t="s">
        <v>23</v>
      </c>
      <c r="E132" t="s">
        <v>24</v>
      </c>
      <c r="F132" t="s">
        <v>25</v>
      </c>
      <c r="H132" s="3">
        <v>46181</v>
      </c>
      <c r="J132" s="1"/>
    </row>
    <row r="133" spans="1:10" ht="15" x14ac:dyDescent="0.2">
      <c r="A133">
        <v>967</v>
      </c>
      <c r="B133" t="s">
        <v>232</v>
      </c>
      <c r="C133" t="s">
        <v>152</v>
      </c>
      <c r="D133" t="s">
        <v>23</v>
      </c>
      <c r="E133" t="s">
        <v>24</v>
      </c>
      <c r="F133" t="s">
        <v>27</v>
      </c>
      <c r="G133">
        <v>5</v>
      </c>
      <c r="H133" s="3">
        <v>46181</v>
      </c>
      <c r="J133" s="1"/>
    </row>
    <row r="134" spans="1:10" ht="15" x14ac:dyDescent="0.2">
      <c r="A134">
        <v>1373</v>
      </c>
      <c r="B134" t="s">
        <v>233</v>
      </c>
      <c r="C134" t="s">
        <v>234</v>
      </c>
      <c r="D134" t="s">
        <v>23</v>
      </c>
      <c r="E134" t="s">
        <v>24</v>
      </c>
      <c r="F134" t="s">
        <v>27</v>
      </c>
      <c r="G134">
        <v>10</v>
      </c>
      <c r="H134" s="3">
        <v>46181</v>
      </c>
      <c r="J134" s="1"/>
    </row>
    <row r="135" spans="1:10" ht="15" x14ac:dyDescent="0.2">
      <c r="A135">
        <v>1045</v>
      </c>
      <c r="B135" t="s">
        <v>235</v>
      </c>
      <c r="C135" t="s">
        <v>236</v>
      </c>
      <c r="D135" t="s">
        <v>23</v>
      </c>
      <c r="E135" t="s">
        <v>30</v>
      </c>
      <c r="F135" t="s">
        <v>27</v>
      </c>
      <c r="G135">
        <v>5</v>
      </c>
      <c r="H135" s="3">
        <v>46181</v>
      </c>
      <c r="J135" s="1"/>
    </row>
    <row r="136" spans="1:10" ht="15" x14ac:dyDescent="0.2">
      <c r="A136">
        <v>1046</v>
      </c>
      <c r="B136" t="s">
        <v>235</v>
      </c>
      <c r="C136" t="s">
        <v>237</v>
      </c>
      <c r="D136" t="s">
        <v>23</v>
      </c>
      <c r="E136" t="s">
        <v>24</v>
      </c>
      <c r="F136" t="s">
        <v>27</v>
      </c>
      <c r="G136">
        <v>35</v>
      </c>
      <c r="H136" s="3">
        <v>46181</v>
      </c>
      <c r="J136" s="1"/>
    </row>
    <row r="137" spans="1:10" ht="15" x14ac:dyDescent="0.2">
      <c r="A137">
        <v>1396</v>
      </c>
      <c r="B137" t="s">
        <v>238</v>
      </c>
      <c r="C137" t="s">
        <v>59</v>
      </c>
      <c r="D137" t="s">
        <v>23</v>
      </c>
      <c r="E137" t="s">
        <v>24</v>
      </c>
      <c r="F137" t="s">
        <v>25</v>
      </c>
      <c r="H137" s="3">
        <v>46181</v>
      </c>
      <c r="J137" s="1"/>
    </row>
    <row r="138" spans="1:10" ht="15" x14ac:dyDescent="0.2">
      <c r="A138">
        <v>1397</v>
      </c>
      <c r="B138" t="s">
        <v>238</v>
      </c>
      <c r="C138" t="s">
        <v>239</v>
      </c>
      <c r="D138" t="s">
        <v>23</v>
      </c>
      <c r="E138" t="s">
        <v>30</v>
      </c>
      <c r="F138" t="s">
        <v>25</v>
      </c>
      <c r="H138" s="3">
        <v>46181</v>
      </c>
      <c r="J138" s="1"/>
    </row>
    <row r="139" spans="1:10" ht="15" x14ac:dyDescent="0.2">
      <c r="A139">
        <v>1398</v>
      </c>
      <c r="B139" t="s">
        <v>238</v>
      </c>
      <c r="C139" t="s">
        <v>49</v>
      </c>
      <c r="D139" t="s">
        <v>23</v>
      </c>
      <c r="E139" t="s">
        <v>24</v>
      </c>
      <c r="F139" t="s">
        <v>35</v>
      </c>
      <c r="H139" s="3">
        <v>46181</v>
      </c>
      <c r="J139" s="1"/>
    </row>
    <row r="140" spans="1:10" ht="15" x14ac:dyDescent="0.2">
      <c r="A140">
        <v>1399</v>
      </c>
      <c r="B140" t="s">
        <v>238</v>
      </c>
      <c r="C140" t="s">
        <v>131</v>
      </c>
      <c r="D140" t="s">
        <v>23</v>
      </c>
      <c r="E140" t="s">
        <v>30</v>
      </c>
      <c r="F140" t="s">
        <v>35</v>
      </c>
      <c r="H140" s="3">
        <v>46181</v>
      </c>
      <c r="J140" s="1"/>
    </row>
    <row r="141" spans="1:10" ht="15" x14ac:dyDescent="0.2">
      <c r="A141">
        <v>771</v>
      </c>
      <c r="B141" t="s">
        <v>240</v>
      </c>
      <c r="C141" t="s">
        <v>241</v>
      </c>
      <c r="D141" t="s">
        <v>23</v>
      </c>
      <c r="E141" t="s">
        <v>24</v>
      </c>
      <c r="F141" t="s">
        <v>27</v>
      </c>
      <c r="G141">
        <v>14</v>
      </c>
      <c r="H141" s="3">
        <v>46181</v>
      </c>
      <c r="J141" s="1"/>
    </row>
    <row r="142" spans="1:10" ht="15" x14ac:dyDescent="0.2">
      <c r="A142">
        <v>1265</v>
      </c>
      <c r="B142" t="s">
        <v>242</v>
      </c>
      <c r="C142" t="s">
        <v>243</v>
      </c>
      <c r="D142" t="s">
        <v>23</v>
      </c>
      <c r="E142" t="s">
        <v>24</v>
      </c>
      <c r="F142" t="s">
        <v>27</v>
      </c>
      <c r="G142">
        <v>20</v>
      </c>
      <c r="H142" s="3">
        <v>46181</v>
      </c>
      <c r="J142" s="1"/>
    </row>
    <row r="143" spans="1:10" ht="15" x14ac:dyDescent="0.2">
      <c r="A143">
        <v>532</v>
      </c>
      <c r="B143" t="s">
        <v>244</v>
      </c>
      <c r="C143" t="s">
        <v>243</v>
      </c>
      <c r="D143" t="s">
        <v>23</v>
      </c>
      <c r="E143" t="s">
        <v>24</v>
      </c>
      <c r="F143" t="s">
        <v>27</v>
      </c>
      <c r="G143">
        <v>13</v>
      </c>
      <c r="H143" s="3">
        <v>46181</v>
      </c>
      <c r="J143" s="1"/>
    </row>
    <row r="144" spans="1:10" ht="15" x14ac:dyDescent="0.2">
      <c r="A144">
        <v>1388</v>
      </c>
      <c r="B144" t="s">
        <v>193</v>
      </c>
      <c r="C144" t="s">
        <v>245</v>
      </c>
      <c r="D144" t="s">
        <v>23</v>
      </c>
      <c r="E144" t="s">
        <v>30</v>
      </c>
      <c r="F144" t="s">
        <v>25</v>
      </c>
      <c r="H144" s="3">
        <v>46181</v>
      </c>
      <c r="J144" s="1"/>
    </row>
    <row r="145" spans="1:10" ht="15" x14ac:dyDescent="0.2">
      <c r="A145">
        <v>742</v>
      </c>
      <c r="B145" t="s">
        <v>246</v>
      </c>
      <c r="C145" t="s">
        <v>156</v>
      </c>
      <c r="D145" t="s">
        <v>23</v>
      </c>
      <c r="E145" t="s">
        <v>30</v>
      </c>
      <c r="F145" t="s">
        <v>27</v>
      </c>
      <c r="G145">
        <v>2</v>
      </c>
      <c r="H145" s="3">
        <v>46181</v>
      </c>
      <c r="J145" s="1"/>
    </row>
    <row r="146" spans="1:10" ht="15" x14ac:dyDescent="0.2">
      <c r="A146">
        <v>741</v>
      </c>
      <c r="B146" t="s">
        <v>246</v>
      </c>
      <c r="C146" t="s">
        <v>247</v>
      </c>
      <c r="D146" t="s">
        <v>23</v>
      </c>
      <c r="E146" t="s">
        <v>24</v>
      </c>
      <c r="F146" t="s">
        <v>27</v>
      </c>
      <c r="G146">
        <v>4</v>
      </c>
      <c r="H146" s="3">
        <v>46181</v>
      </c>
      <c r="J146" s="1"/>
    </row>
    <row r="147" spans="1:10" ht="15" x14ac:dyDescent="0.2">
      <c r="A147">
        <v>1298</v>
      </c>
      <c r="B147" t="s">
        <v>246</v>
      </c>
      <c r="C147" t="s">
        <v>132</v>
      </c>
      <c r="D147" t="s">
        <v>23</v>
      </c>
      <c r="E147" t="s">
        <v>30</v>
      </c>
      <c r="F147" t="s">
        <v>27</v>
      </c>
      <c r="G147">
        <v>13</v>
      </c>
      <c r="H147" s="3">
        <v>46181</v>
      </c>
      <c r="J147" s="1"/>
    </row>
    <row r="148" spans="1:10" ht="15" x14ac:dyDescent="0.2">
      <c r="A148">
        <v>747</v>
      </c>
      <c r="B148" t="s">
        <v>246</v>
      </c>
      <c r="C148" t="s">
        <v>22</v>
      </c>
      <c r="D148" t="s">
        <v>23</v>
      </c>
      <c r="E148" t="s">
        <v>24</v>
      </c>
      <c r="F148" t="s">
        <v>27</v>
      </c>
      <c r="G148">
        <v>1</v>
      </c>
      <c r="H148" s="3">
        <v>46181</v>
      </c>
      <c r="J148" s="1"/>
    </row>
    <row r="149" spans="1:10" ht="15" x14ac:dyDescent="0.2">
      <c r="A149">
        <v>1386</v>
      </c>
      <c r="B149" t="s">
        <v>246</v>
      </c>
      <c r="C149" t="s">
        <v>248</v>
      </c>
      <c r="D149" t="s">
        <v>23</v>
      </c>
      <c r="E149" t="s">
        <v>30</v>
      </c>
      <c r="F149" t="s">
        <v>35</v>
      </c>
      <c r="H149" s="3">
        <v>46181</v>
      </c>
      <c r="J149" s="1"/>
    </row>
    <row r="150" spans="1:10" ht="15" x14ac:dyDescent="0.2">
      <c r="A150">
        <v>1221</v>
      </c>
      <c r="B150" t="s">
        <v>249</v>
      </c>
      <c r="C150" t="s">
        <v>234</v>
      </c>
      <c r="D150" t="s">
        <v>23</v>
      </c>
      <c r="E150" t="s">
        <v>24</v>
      </c>
      <c r="F150" t="s">
        <v>25</v>
      </c>
      <c r="H150" s="3">
        <v>46181</v>
      </c>
      <c r="J150" s="1"/>
    </row>
    <row r="151" spans="1:10" ht="15" x14ac:dyDescent="0.2">
      <c r="A151">
        <v>564</v>
      </c>
      <c r="B151" t="s">
        <v>250</v>
      </c>
      <c r="C151" t="s">
        <v>34</v>
      </c>
      <c r="D151" t="s">
        <v>23</v>
      </c>
      <c r="E151" t="s">
        <v>24</v>
      </c>
      <c r="F151" t="s">
        <v>27</v>
      </c>
      <c r="G151">
        <v>7</v>
      </c>
      <c r="H151" s="3">
        <v>46181</v>
      </c>
      <c r="J151" s="1"/>
    </row>
    <row r="152" spans="1:10" ht="15" x14ac:dyDescent="0.2">
      <c r="A152">
        <v>1165</v>
      </c>
      <c r="B152" t="s">
        <v>251</v>
      </c>
      <c r="C152" t="s">
        <v>177</v>
      </c>
      <c r="D152" t="s">
        <v>23</v>
      </c>
      <c r="E152" t="s">
        <v>24</v>
      </c>
      <c r="F152" t="s">
        <v>27</v>
      </c>
      <c r="G152">
        <v>10</v>
      </c>
      <c r="H152" s="3">
        <v>46181</v>
      </c>
      <c r="J152" s="1"/>
    </row>
    <row r="153" spans="1:10" ht="15" x14ac:dyDescent="0.2">
      <c r="A153">
        <v>405</v>
      </c>
      <c r="B153" t="s">
        <v>252</v>
      </c>
      <c r="C153" t="s">
        <v>243</v>
      </c>
      <c r="D153" t="s">
        <v>23</v>
      </c>
      <c r="E153" t="s">
        <v>24</v>
      </c>
      <c r="F153" t="s">
        <v>27</v>
      </c>
      <c r="G153">
        <v>18</v>
      </c>
      <c r="H153" s="3">
        <v>46181</v>
      </c>
      <c r="J153" s="1"/>
    </row>
    <row r="154" spans="1:10" ht="15" x14ac:dyDescent="0.2">
      <c r="A154">
        <v>1346</v>
      </c>
      <c r="B154" t="s">
        <v>253</v>
      </c>
      <c r="C154" t="s">
        <v>254</v>
      </c>
      <c r="D154" t="s">
        <v>23</v>
      </c>
      <c r="E154" t="s">
        <v>24</v>
      </c>
      <c r="F154" t="s">
        <v>27</v>
      </c>
      <c r="G154">
        <v>20</v>
      </c>
      <c r="H154" s="3">
        <v>46181</v>
      </c>
      <c r="J154" s="1"/>
    </row>
    <row r="155" spans="1:10" ht="15" x14ac:dyDescent="0.2">
      <c r="A155">
        <v>1192</v>
      </c>
      <c r="B155" t="s">
        <v>255</v>
      </c>
      <c r="C155" t="s">
        <v>256</v>
      </c>
      <c r="D155" t="s">
        <v>23</v>
      </c>
      <c r="E155" t="s">
        <v>24</v>
      </c>
      <c r="F155" t="s">
        <v>27</v>
      </c>
      <c r="G155">
        <v>10</v>
      </c>
      <c r="H155" s="3">
        <v>46181</v>
      </c>
      <c r="J155" s="1"/>
    </row>
    <row r="156" spans="1:10" ht="15" x14ac:dyDescent="0.2">
      <c r="A156">
        <v>1157</v>
      </c>
      <c r="B156" t="s">
        <v>257</v>
      </c>
      <c r="C156" t="s">
        <v>100</v>
      </c>
      <c r="D156" t="s">
        <v>23</v>
      </c>
      <c r="E156" t="s">
        <v>24</v>
      </c>
      <c r="F156" t="s">
        <v>25</v>
      </c>
      <c r="H156" s="3">
        <v>46181</v>
      </c>
      <c r="J156" s="1"/>
    </row>
    <row r="157" spans="1:10" ht="15" x14ac:dyDescent="0.2">
      <c r="A157">
        <v>1359</v>
      </c>
      <c r="B157" t="s">
        <v>258</v>
      </c>
      <c r="C157" t="s">
        <v>49</v>
      </c>
      <c r="D157" t="s">
        <v>23</v>
      </c>
      <c r="E157" t="s">
        <v>24</v>
      </c>
      <c r="F157" t="s">
        <v>188</v>
      </c>
      <c r="H157" s="3">
        <v>46181</v>
      </c>
      <c r="J157" s="1"/>
    </row>
    <row r="158" spans="1:10" ht="15" x14ac:dyDescent="0.2">
      <c r="A158">
        <v>1360</v>
      </c>
      <c r="B158" t="s">
        <v>258</v>
      </c>
      <c r="C158" t="s">
        <v>259</v>
      </c>
      <c r="D158" t="s">
        <v>23</v>
      </c>
      <c r="E158" t="s">
        <v>30</v>
      </c>
      <c r="F158" t="s">
        <v>35</v>
      </c>
      <c r="H158" s="3">
        <v>46181</v>
      </c>
      <c r="J158" s="1"/>
    </row>
    <row r="159" spans="1:10" ht="15" x14ac:dyDescent="0.2">
      <c r="A159">
        <v>1357</v>
      </c>
      <c r="B159" t="s">
        <v>258</v>
      </c>
      <c r="C159" t="s">
        <v>34</v>
      </c>
      <c r="D159" t="s">
        <v>23</v>
      </c>
      <c r="E159" t="s">
        <v>24</v>
      </c>
      <c r="F159" t="s">
        <v>27</v>
      </c>
      <c r="G159">
        <v>5</v>
      </c>
      <c r="H159" s="3">
        <v>46181</v>
      </c>
      <c r="J159" s="1"/>
    </row>
    <row r="160" spans="1:10" ht="15" x14ac:dyDescent="0.2">
      <c r="A160">
        <v>1358</v>
      </c>
      <c r="B160" t="s">
        <v>258</v>
      </c>
      <c r="C160" t="s">
        <v>260</v>
      </c>
      <c r="D160" t="s">
        <v>23</v>
      </c>
      <c r="E160" t="s">
        <v>30</v>
      </c>
      <c r="F160" t="s">
        <v>27</v>
      </c>
      <c r="G160">
        <v>7</v>
      </c>
      <c r="H160" s="3">
        <v>46181</v>
      </c>
      <c r="J160" s="1"/>
    </row>
    <row r="161" spans="1:10" ht="15" x14ac:dyDescent="0.2">
      <c r="A161">
        <v>1390</v>
      </c>
      <c r="B161" t="s">
        <v>261</v>
      </c>
      <c r="C161" t="s">
        <v>262</v>
      </c>
      <c r="D161" t="s">
        <v>23</v>
      </c>
      <c r="E161" t="s">
        <v>24</v>
      </c>
      <c r="F161" t="s">
        <v>25</v>
      </c>
      <c r="H161" s="3">
        <v>46181</v>
      </c>
      <c r="J161" s="1"/>
    </row>
    <row r="162" spans="1:10" ht="15" x14ac:dyDescent="0.2">
      <c r="A162">
        <v>1107</v>
      </c>
      <c r="B162" t="s">
        <v>263</v>
      </c>
      <c r="C162" t="s">
        <v>264</v>
      </c>
      <c r="D162" t="s">
        <v>23</v>
      </c>
      <c r="E162" t="s">
        <v>30</v>
      </c>
      <c r="F162" t="s">
        <v>25</v>
      </c>
      <c r="H162" s="3">
        <v>46181</v>
      </c>
      <c r="J162" s="1"/>
    </row>
    <row r="163" spans="1:10" ht="15" x14ac:dyDescent="0.2">
      <c r="A163">
        <v>35</v>
      </c>
      <c r="B163" t="s">
        <v>265</v>
      </c>
      <c r="C163" t="s">
        <v>266</v>
      </c>
      <c r="D163" t="s">
        <v>23</v>
      </c>
      <c r="E163" t="s">
        <v>24</v>
      </c>
      <c r="F163" t="s">
        <v>27</v>
      </c>
      <c r="G163">
        <v>3</v>
      </c>
      <c r="H163" s="3">
        <v>46181</v>
      </c>
      <c r="J163" s="1"/>
    </row>
    <row r="164" spans="1:10" ht="15" x14ac:dyDescent="0.2">
      <c r="A164">
        <v>1094</v>
      </c>
      <c r="B164" t="s">
        <v>267</v>
      </c>
      <c r="C164" t="s">
        <v>268</v>
      </c>
      <c r="D164" t="s">
        <v>23</v>
      </c>
      <c r="E164" t="s">
        <v>24</v>
      </c>
      <c r="F164" t="s">
        <v>27</v>
      </c>
      <c r="G164">
        <v>12</v>
      </c>
      <c r="H164" s="3">
        <v>46181</v>
      </c>
      <c r="J164" s="1"/>
    </row>
    <row r="165" spans="1:10" ht="15" x14ac:dyDescent="0.2">
      <c r="A165">
        <v>1325</v>
      </c>
      <c r="B165" t="s">
        <v>269</v>
      </c>
      <c r="C165" t="s">
        <v>270</v>
      </c>
      <c r="D165" t="s">
        <v>23</v>
      </c>
      <c r="E165" t="s">
        <v>24</v>
      </c>
      <c r="F165" t="s">
        <v>27</v>
      </c>
      <c r="G165">
        <v>3</v>
      </c>
      <c r="H165" s="3">
        <v>46181</v>
      </c>
      <c r="J165" s="1"/>
    </row>
    <row r="166" spans="1:10" ht="15" x14ac:dyDescent="0.2">
      <c r="A166">
        <v>1143</v>
      </c>
      <c r="B166" t="s">
        <v>271</v>
      </c>
      <c r="C166" t="s">
        <v>247</v>
      </c>
      <c r="D166" t="s">
        <v>23</v>
      </c>
      <c r="E166" t="s">
        <v>24</v>
      </c>
      <c r="F166" t="s">
        <v>27</v>
      </c>
      <c r="G166">
        <v>3</v>
      </c>
      <c r="H166" s="3">
        <v>46181</v>
      </c>
      <c r="J166" s="1"/>
    </row>
    <row r="167" spans="1:10" ht="15" x14ac:dyDescent="0.2">
      <c r="A167">
        <v>1401</v>
      </c>
      <c r="B167" t="s">
        <v>272</v>
      </c>
      <c r="C167" t="s">
        <v>273</v>
      </c>
      <c r="D167" t="s">
        <v>23</v>
      </c>
      <c r="E167" t="s">
        <v>30</v>
      </c>
      <c r="F167" t="s">
        <v>25</v>
      </c>
      <c r="H167" s="3">
        <v>46181</v>
      </c>
      <c r="J167" s="1"/>
    </row>
    <row r="168" spans="1:10" ht="15" x14ac:dyDescent="0.2">
      <c r="A168">
        <v>1285</v>
      </c>
      <c r="B168" t="s">
        <v>274</v>
      </c>
      <c r="C168" t="s">
        <v>100</v>
      </c>
      <c r="D168" t="s">
        <v>23</v>
      </c>
      <c r="E168" t="s">
        <v>24</v>
      </c>
      <c r="F168" t="s">
        <v>25</v>
      </c>
      <c r="H168" s="3">
        <v>46181</v>
      </c>
      <c r="J168" s="1"/>
    </row>
    <row r="169" spans="1:10" ht="15" x14ac:dyDescent="0.2">
      <c r="A169">
        <v>38</v>
      </c>
      <c r="B169" t="s">
        <v>275</v>
      </c>
      <c r="C169" t="s">
        <v>276</v>
      </c>
      <c r="D169" t="s">
        <v>23</v>
      </c>
      <c r="E169" t="s">
        <v>24</v>
      </c>
      <c r="F169" t="s">
        <v>27</v>
      </c>
      <c r="G169">
        <v>13</v>
      </c>
      <c r="H169" s="3">
        <v>46181</v>
      </c>
      <c r="J169" s="1"/>
    </row>
    <row r="170" spans="1:10" ht="15" x14ac:dyDescent="0.2">
      <c r="A170">
        <v>245</v>
      </c>
      <c r="B170" t="s">
        <v>277</v>
      </c>
      <c r="C170" t="s">
        <v>234</v>
      </c>
      <c r="D170" t="s">
        <v>23</v>
      </c>
      <c r="E170" t="s">
        <v>24</v>
      </c>
      <c r="F170" t="s">
        <v>27</v>
      </c>
      <c r="G170">
        <v>10</v>
      </c>
      <c r="H170" s="3">
        <v>46181</v>
      </c>
      <c r="J170" s="1"/>
    </row>
    <row r="171" spans="1:10" ht="15" x14ac:dyDescent="0.2">
      <c r="A171">
        <v>39</v>
      </c>
      <c r="B171" t="s">
        <v>277</v>
      </c>
      <c r="C171" t="s">
        <v>278</v>
      </c>
      <c r="D171" t="s">
        <v>23</v>
      </c>
      <c r="E171" t="s">
        <v>24</v>
      </c>
      <c r="F171" t="s">
        <v>27</v>
      </c>
      <c r="G171">
        <v>43</v>
      </c>
      <c r="H171" s="3">
        <v>46181</v>
      </c>
      <c r="J171" s="1"/>
    </row>
    <row r="172" spans="1:10" ht="15" x14ac:dyDescent="0.2">
      <c r="A172">
        <v>508</v>
      </c>
      <c r="B172" t="s">
        <v>279</v>
      </c>
      <c r="C172" t="s">
        <v>59</v>
      </c>
      <c r="D172" t="s">
        <v>23</v>
      </c>
      <c r="E172" t="s">
        <v>24</v>
      </c>
      <c r="F172" t="s">
        <v>27</v>
      </c>
      <c r="G172">
        <v>31</v>
      </c>
      <c r="H172" s="3">
        <v>46181</v>
      </c>
      <c r="J172" s="1"/>
    </row>
    <row r="173" spans="1:10" ht="15" x14ac:dyDescent="0.2">
      <c r="A173">
        <v>1025</v>
      </c>
      <c r="B173" t="s">
        <v>280</v>
      </c>
      <c r="C173" t="s">
        <v>281</v>
      </c>
      <c r="D173" t="s">
        <v>23</v>
      </c>
      <c r="E173" t="s">
        <v>24</v>
      </c>
      <c r="F173" t="s">
        <v>35</v>
      </c>
      <c r="H173" s="3">
        <v>46181</v>
      </c>
      <c r="J173" s="1"/>
    </row>
    <row r="174" spans="1:10" ht="15" x14ac:dyDescent="0.2">
      <c r="A174">
        <v>1024</v>
      </c>
      <c r="B174" t="s">
        <v>280</v>
      </c>
      <c r="C174" t="s">
        <v>282</v>
      </c>
      <c r="D174" t="s">
        <v>23</v>
      </c>
      <c r="E174" t="s">
        <v>24</v>
      </c>
      <c r="F174" t="s">
        <v>188</v>
      </c>
      <c r="H174" s="3">
        <v>46181</v>
      </c>
      <c r="J174" s="1"/>
    </row>
    <row r="175" spans="1:10" ht="15" x14ac:dyDescent="0.2">
      <c r="A175">
        <v>1023</v>
      </c>
      <c r="B175" t="s">
        <v>280</v>
      </c>
      <c r="C175" t="s">
        <v>39</v>
      </c>
      <c r="D175" t="s">
        <v>23</v>
      </c>
      <c r="E175" t="s">
        <v>24</v>
      </c>
      <c r="F175" t="s">
        <v>25</v>
      </c>
      <c r="H175" s="3">
        <v>46181</v>
      </c>
      <c r="J175" s="1"/>
    </row>
    <row r="176" spans="1:10" ht="15" x14ac:dyDescent="0.2">
      <c r="A176">
        <v>1232</v>
      </c>
      <c r="B176" t="s">
        <v>280</v>
      </c>
      <c r="C176" t="s">
        <v>283</v>
      </c>
      <c r="D176" t="s">
        <v>23</v>
      </c>
      <c r="E176" t="s">
        <v>30</v>
      </c>
      <c r="F176" t="s">
        <v>27</v>
      </c>
      <c r="G176">
        <v>4</v>
      </c>
      <c r="H176" s="3">
        <v>46181</v>
      </c>
      <c r="J176" s="1"/>
    </row>
    <row r="177" spans="1:10" ht="15" x14ac:dyDescent="0.2">
      <c r="A177">
        <v>1392</v>
      </c>
      <c r="B177" t="s">
        <v>284</v>
      </c>
      <c r="C177" t="s">
        <v>285</v>
      </c>
      <c r="D177" t="s">
        <v>23</v>
      </c>
      <c r="E177" t="s">
        <v>30</v>
      </c>
      <c r="F177" t="s">
        <v>25</v>
      </c>
      <c r="H177" s="3">
        <v>46181</v>
      </c>
      <c r="J177" s="1"/>
    </row>
    <row r="178" spans="1:10" ht="15" x14ac:dyDescent="0.2">
      <c r="A178">
        <v>1141</v>
      </c>
      <c r="B178" t="s">
        <v>286</v>
      </c>
      <c r="C178" t="s">
        <v>287</v>
      </c>
      <c r="D178" t="s">
        <v>23</v>
      </c>
      <c r="E178" t="s">
        <v>30</v>
      </c>
      <c r="F178" t="s">
        <v>27</v>
      </c>
      <c r="G178">
        <v>15</v>
      </c>
      <c r="H178" s="3">
        <v>46181</v>
      </c>
      <c r="J178" s="1"/>
    </row>
    <row r="179" spans="1:10" ht="15" x14ac:dyDescent="0.2">
      <c r="A179">
        <v>891</v>
      </c>
      <c r="B179" t="s">
        <v>288</v>
      </c>
      <c r="C179" t="s">
        <v>289</v>
      </c>
      <c r="D179" t="s">
        <v>23</v>
      </c>
      <c r="E179" t="s">
        <v>30</v>
      </c>
      <c r="F179" t="s">
        <v>25</v>
      </c>
      <c r="H179" s="3">
        <v>46181</v>
      </c>
      <c r="J179" s="1"/>
    </row>
    <row r="180" spans="1:10" ht="15" x14ac:dyDescent="0.2">
      <c r="A180">
        <v>1352</v>
      </c>
      <c r="B180" t="s">
        <v>290</v>
      </c>
      <c r="C180" t="s">
        <v>34</v>
      </c>
      <c r="D180" t="s">
        <v>23</v>
      </c>
      <c r="E180" t="s">
        <v>24</v>
      </c>
      <c r="F180" t="s">
        <v>27</v>
      </c>
      <c r="G180">
        <v>11</v>
      </c>
      <c r="H180" s="3">
        <v>46181</v>
      </c>
      <c r="J180" s="1"/>
    </row>
    <row r="181" spans="1:10" ht="15" x14ac:dyDescent="0.2">
      <c r="A181">
        <v>1339</v>
      </c>
      <c r="B181" t="s">
        <v>291</v>
      </c>
      <c r="C181" t="s">
        <v>292</v>
      </c>
      <c r="D181" t="s">
        <v>23</v>
      </c>
      <c r="E181" t="s">
        <v>24</v>
      </c>
      <c r="F181" t="s">
        <v>25</v>
      </c>
      <c r="H181" s="3">
        <v>46181</v>
      </c>
      <c r="J181" s="1"/>
    </row>
    <row r="182" spans="1:10" ht="15" x14ac:dyDescent="0.2">
      <c r="A182">
        <v>914</v>
      </c>
      <c r="B182" t="s">
        <v>293</v>
      </c>
      <c r="C182" t="s">
        <v>153</v>
      </c>
      <c r="D182" t="s">
        <v>23</v>
      </c>
      <c r="E182" t="s">
        <v>24</v>
      </c>
      <c r="F182" t="s">
        <v>27</v>
      </c>
      <c r="G182">
        <v>14</v>
      </c>
      <c r="H182" s="3">
        <v>46181</v>
      </c>
      <c r="J182" s="1"/>
    </row>
    <row r="183" spans="1:10" ht="15" x14ac:dyDescent="0.2">
      <c r="A183">
        <v>597</v>
      </c>
      <c r="B183" t="s">
        <v>294</v>
      </c>
      <c r="C183" t="s">
        <v>295</v>
      </c>
      <c r="D183" t="s">
        <v>23</v>
      </c>
      <c r="E183" t="s">
        <v>24</v>
      </c>
      <c r="F183" t="s">
        <v>27</v>
      </c>
      <c r="G183">
        <v>36</v>
      </c>
      <c r="H183" s="3">
        <v>46181</v>
      </c>
      <c r="J183" s="1"/>
    </row>
    <row r="184" spans="1:10" ht="15" x14ac:dyDescent="0.2">
      <c r="A184">
        <v>1038</v>
      </c>
      <c r="B184" t="s">
        <v>293</v>
      </c>
      <c r="C184" t="s">
        <v>51</v>
      </c>
      <c r="D184" t="s">
        <v>23</v>
      </c>
      <c r="E184" t="s">
        <v>24</v>
      </c>
      <c r="F184" t="s">
        <v>27</v>
      </c>
      <c r="G184">
        <v>12</v>
      </c>
      <c r="H184" s="3">
        <v>46181</v>
      </c>
      <c r="J184" s="1"/>
    </row>
    <row r="185" spans="1:10" ht="15" x14ac:dyDescent="0.2">
      <c r="A185">
        <v>1347</v>
      </c>
      <c r="B185" t="s">
        <v>296</v>
      </c>
      <c r="C185" t="s">
        <v>104</v>
      </c>
      <c r="D185" t="s">
        <v>23</v>
      </c>
      <c r="E185" t="s">
        <v>24</v>
      </c>
      <c r="F185" t="s">
        <v>25</v>
      </c>
      <c r="H185" s="3">
        <v>46181</v>
      </c>
      <c r="J185" s="1"/>
    </row>
    <row r="186" spans="1:10" ht="15" x14ac:dyDescent="0.2">
      <c r="A186">
        <v>1242</v>
      </c>
      <c r="B186" t="s">
        <v>297</v>
      </c>
      <c r="C186" t="s">
        <v>190</v>
      </c>
      <c r="D186" t="s">
        <v>23</v>
      </c>
      <c r="E186" t="s">
        <v>24</v>
      </c>
      <c r="F186" t="s">
        <v>27</v>
      </c>
      <c r="G186">
        <v>15</v>
      </c>
      <c r="H186" s="3">
        <v>46181</v>
      </c>
      <c r="J186" s="1"/>
    </row>
    <row r="187" spans="1:10" ht="15" x14ac:dyDescent="0.2">
      <c r="A187">
        <v>1048</v>
      </c>
      <c r="B187" t="s">
        <v>298</v>
      </c>
      <c r="C187" t="s">
        <v>268</v>
      </c>
      <c r="D187" t="s">
        <v>23</v>
      </c>
      <c r="E187" t="s">
        <v>24</v>
      </c>
      <c r="F187" t="s">
        <v>27</v>
      </c>
      <c r="G187">
        <v>16</v>
      </c>
      <c r="H187" s="3">
        <v>46181</v>
      </c>
      <c r="J187" s="1"/>
    </row>
    <row r="188" spans="1:10" ht="15" x14ac:dyDescent="0.2">
      <c r="A188">
        <v>1055</v>
      </c>
      <c r="B188" t="s">
        <v>298</v>
      </c>
      <c r="C188" t="s">
        <v>299</v>
      </c>
      <c r="D188" t="s">
        <v>23</v>
      </c>
      <c r="E188" t="s">
        <v>24</v>
      </c>
      <c r="F188" t="s">
        <v>27</v>
      </c>
      <c r="G188">
        <v>1</v>
      </c>
      <c r="H188" s="3">
        <v>46181</v>
      </c>
      <c r="J188" s="1"/>
    </row>
    <row r="189" spans="1:10" ht="15" x14ac:dyDescent="0.2">
      <c r="A189">
        <v>1095</v>
      </c>
      <c r="B189" t="s">
        <v>298</v>
      </c>
      <c r="C189" t="s">
        <v>300</v>
      </c>
      <c r="D189" t="s">
        <v>23</v>
      </c>
      <c r="E189" t="s">
        <v>24</v>
      </c>
      <c r="F189" t="s">
        <v>27</v>
      </c>
      <c r="G189">
        <v>33</v>
      </c>
      <c r="H189" s="3">
        <v>46181</v>
      </c>
      <c r="J189" s="1"/>
    </row>
    <row r="190" spans="1:10" ht="15" x14ac:dyDescent="0.2">
      <c r="A190">
        <v>820</v>
      </c>
      <c r="B190" t="s">
        <v>298</v>
      </c>
      <c r="C190" t="s">
        <v>139</v>
      </c>
      <c r="D190" t="s">
        <v>23</v>
      </c>
      <c r="E190" t="s">
        <v>30</v>
      </c>
      <c r="F190" t="s">
        <v>27</v>
      </c>
      <c r="G190">
        <v>6</v>
      </c>
      <c r="H190" s="3">
        <v>46181</v>
      </c>
      <c r="J190" s="1"/>
    </row>
    <row r="191" spans="1:10" ht="15" x14ac:dyDescent="0.2">
      <c r="A191">
        <v>687</v>
      </c>
      <c r="B191" t="s">
        <v>298</v>
      </c>
      <c r="C191" t="s">
        <v>301</v>
      </c>
      <c r="D191" t="s">
        <v>23</v>
      </c>
      <c r="E191" t="s">
        <v>24</v>
      </c>
      <c r="F191" t="s">
        <v>27</v>
      </c>
      <c r="G191">
        <v>7</v>
      </c>
      <c r="H191" s="3">
        <v>46181</v>
      </c>
      <c r="J191" s="1"/>
    </row>
    <row r="192" spans="1:10" ht="15" x14ac:dyDescent="0.2">
      <c r="A192">
        <v>1420</v>
      </c>
      <c r="B192" t="s">
        <v>302</v>
      </c>
      <c r="C192" t="s">
        <v>212</v>
      </c>
      <c r="D192" t="s">
        <v>23</v>
      </c>
      <c r="E192" t="s">
        <v>30</v>
      </c>
      <c r="F192" t="s">
        <v>27</v>
      </c>
      <c r="G192">
        <v>15</v>
      </c>
      <c r="H192" s="3">
        <v>46181</v>
      </c>
      <c r="J192" s="1"/>
    </row>
    <row r="193" spans="1:10" ht="15" x14ac:dyDescent="0.2">
      <c r="A193">
        <v>1410</v>
      </c>
      <c r="B193" t="s">
        <v>104</v>
      </c>
      <c r="C193" t="s">
        <v>303</v>
      </c>
      <c r="D193" t="s">
        <v>23</v>
      </c>
      <c r="E193" t="s">
        <v>24</v>
      </c>
      <c r="F193" t="s">
        <v>25</v>
      </c>
      <c r="H193" s="3">
        <v>46181</v>
      </c>
      <c r="J193" s="1"/>
    </row>
    <row r="194" spans="1:10" ht="15" x14ac:dyDescent="0.2">
      <c r="A194">
        <v>1161</v>
      </c>
      <c r="B194" t="s">
        <v>304</v>
      </c>
      <c r="C194" t="s">
        <v>305</v>
      </c>
      <c r="D194" t="s">
        <v>23</v>
      </c>
      <c r="E194" t="s">
        <v>24</v>
      </c>
      <c r="F194" t="s">
        <v>25</v>
      </c>
      <c r="H194" s="3">
        <v>46181</v>
      </c>
      <c r="J194" s="1"/>
    </row>
    <row r="195" spans="1:10" ht="15" x14ac:dyDescent="0.2">
      <c r="A195">
        <v>890</v>
      </c>
      <c r="B195" t="s">
        <v>306</v>
      </c>
      <c r="C195" t="s">
        <v>307</v>
      </c>
      <c r="D195" t="s">
        <v>54</v>
      </c>
      <c r="E195" t="s">
        <v>24</v>
      </c>
      <c r="F195" t="s">
        <v>27</v>
      </c>
      <c r="G195">
        <v>23</v>
      </c>
      <c r="H195" s="3">
        <v>46181</v>
      </c>
      <c r="J195" s="1"/>
    </row>
    <row r="196" spans="1:10" ht="15" x14ac:dyDescent="0.2">
      <c r="A196">
        <v>1166</v>
      </c>
      <c r="B196" t="s">
        <v>308</v>
      </c>
      <c r="C196" t="s">
        <v>143</v>
      </c>
      <c r="D196" t="s">
        <v>54</v>
      </c>
      <c r="E196" t="s">
        <v>24</v>
      </c>
      <c r="F196" t="s">
        <v>27</v>
      </c>
      <c r="G196">
        <v>5</v>
      </c>
      <c r="H196" s="3">
        <v>46181</v>
      </c>
      <c r="J196" s="1"/>
    </row>
    <row r="197" spans="1:10" ht="15" x14ac:dyDescent="0.2">
      <c r="A197">
        <v>45</v>
      </c>
      <c r="B197" t="s">
        <v>309</v>
      </c>
      <c r="C197" t="s">
        <v>310</v>
      </c>
      <c r="D197" t="s">
        <v>23</v>
      </c>
      <c r="E197" t="s">
        <v>24</v>
      </c>
      <c r="F197" t="s">
        <v>27</v>
      </c>
      <c r="G197">
        <v>20</v>
      </c>
      <c r="H197" s="3">
        <v>46181</v>
      </c>
      <c r="J197" s="1"/>
    </row>
    <row r="198" spans="1:10" ht="15" x14ac:dyDescent="0.2">
      <c r="A198">
        <v>1160</v>
      </c>
      <c r="B198" t="s">
        <v>311</v>
      </c>
      <c r="C198" t="s">
        <v>312</v>
      </c>
      <c r="D198" t="s">
        <v>23</v>
      </c>
      <c r="E198" t="s">
        <v>24</v>
      </c>
      <c r="F198" t="s">
        <v>25</v>
      </c>
      <c r="H198" s="3">
        <v>46181</v>
      </c>
      <c r="J198" s="1"/>
    </row>
    <row r="199" spans="1:10" ht="15" x14ac:dyDescent="0.2">
      <c r="A199">
        <v>945</v>
      </c>
      <c r="B199" t="s">
        <v>313</v>
      </c>
      <c r="C199" t="s">
        <v>49</v>
      </c>
      <c r="D199" t="s">
        <v>23</v>
      </c>
      <c r="E199" t="s">
        <v>24</v>
      </c>
      <c r="F199" t="s">
        <v>25</v>
      </c>
      <c r="H199" s="3">
        <v>46181</v>
      </c>
      <c r="J199" s="1"/>
    </row>
    <row r="200" spans="1:10" ht="15" x14ac:dyDescent="0.2">
      <c r="A200">
        <v>813</v>
      </c>
      <c r="B200" t="s">
        <v>313</v>
      </c>
      <c r="C200" t="s">
        <v>289</v>
      </c>
      <c r="D200" t="s">
        <v>23</v>
      </c>
      <c r="E200" t="s">
        <v>30</v>
      </c>
      <c r="F200" t="s">
        <v>27</v>
      </c>
      <c r="G200">
        <v>7</v>
      </c>
      <c r="H200" s="3">
        <v>46181</v>
      </c>
      <c r="J200" s="1"/>
    </row>
    <row r="201" spans="1:10" ht="15" x14ac:dyDescent="0.2">
      <c r="A201">
        <v>812</v>
      </c>
      <c r="B201" t="s">
        <v>313</v>
      </c>
      <c r="C201" t="s">
        <v>170</v>
      </c>
      <c r="D201" t="s">
        <v>23</v>
      </c>
      <c r="E201" t="s">
        <v>24</v>
      </c>
      <c r="F201" t="s">
        <v>27</v>
      </c>
      <c r="G201">
        <v>9</v>
      </c>
      <c r="H201" s="3">
        <v>46181</v>
      </c>
      <c r="J201" s="1"/>
    </row>
    <row r="202" spans="1:10" ht="15" x14ac:dyDescent="0.2">
      <c r="A202">
        <v>1129</v>
      </c>
      <c r="B202" t="s">
        <v>314</v>
      </c>
      <c r="C202" t="s">
        <v>315</v>
      </c>
      <c r="D202" t="s">
        <v>23</v>
      </c>
      <c r="E202" t="s">
        <v>24</v>
      </c>
      <c r="F202" t="s">
        <v>27</v>
      </c>
      <c r="G202">
        <v>12</v>
      </c>
      <c r="H202" s="3">
        <v>46181</v>
      </c>
      <c r="J202" s="1"/>
    </row>
    <row r="203" spans="1:10" ht="15" x14ac:dyDescent="0.2">
      <c r="A203">
        <v>915</v>
      </c>
      <c r="B203" t="s">
        <v>316</v>
      </c>
      <c r="C203" t="s">
        <v>241</v>
      </c>
      <c r="D203" t="s">
        <v>23</v>
      </c>
      <c r="E203" t="s">
        <v>24</v>
      </c>
      <c r="F203" t="s">
        <v>27</v>
      </c>
      <c r="G203">
        <v>8</v>
      </c>
      <c r="H203" s="3">
        <v>46181</v>
      </c>
      <c r="J203" s="1"/>
    </row>
    <row r="204" spans="1:10" ht="15" x14ac:dyDescent="0.2">
      <c r="A204">
        <v>1356</v>
      </c>
      <c r="B204" t="s">
        <v>317</v>
      </c>
      <c r="C204" t="s">
        <v>318</v>
      </c>
      <c r="D204" t="s">
        <v>54</v>
      </c>
      <c r="E204" t="s">
        <v>24</v>
      </c>
      <c r="F204" t="s">
        <v>27</v>
      </c>
      <c r="G204">
        <v>15</v>
      </c>
      <c r="H204" s="3">
        <v>46181</v>
      </c>
      <c r="J204" s="1"/>
    </row>
    <row r="205" spans="1:10" ht="15" x14ac:dyDescent="0.2">
      <c r="A205">
        <v>1422</v>
      </c>
      <c r="B205" t="s">
        <v>319</v>
      </c>
      <c r="C205" t="s">
        <v>320</v>
      </c>
      <c r="D205" t="s">
        <v>54</v>
      </c>
      <c r="E205" t="s">
        <v>30</v>
      </c>
      <c r="F205" t="s">
        <v>25</v>
      </c>
      <c r="H205" s="3">
        <v>46181</v>
      </c>
      <c r="J205" s="1"/>
    </row>
    <row r="206" spans="1:10" ht="15" x14ac:dyDescent="0.2">
      <c r="A206">
        <v>860</v>
      </c>
      <c r="B206" t="s">
        <v>321</v>
      </c>
      <c r="C206" t="s">
        <v>215</v>
      </c>
      <c r="D206" t="s">
        <v>23</v>
      </c>
      <c r="E206" t="s">
        <v>30</v>
      </c>
      <c r="F206" t="s">
        <v>25</v>
      </c>
      <c r="H206" s="3">
        <v>46181</v>
      </c>
      <c r="J206" s="1"/>
    </row>
    <row r="207" spans="1:10" ht="15" x14ac:dyDescent="0.2">
      <c r="A207">
        <v>756</v>
      </c>
      <c r="B207" t="s">
        <v>321</v>
      </c>
      <c r="C207" t="s">
        <v>322</v>
      </c>
      <c r="D207" t="s">
        <v>23</v>
      </c>
      <c r="E207" t="s">
        <v>24</v>
      </c>
      <c r="F207" t="s">
        <v>25</v>
      </c>
      <c r="H207" s="3">
        <v>46181</v>
      </c>
      <c r="J207" s="1"/>
    </row>
    <row r="208" spans="1:10" ht="15" x14ac:dyDescent="0.2">
      <c r="A208">
        <v>407</v>
      </c>
      <c r="B208" t="s">
        <v>321</v>
      </c>
      <c r="C208" t="s">
        <v>323</v>
      </c>
      <c r="D208" t="s">
        <v>23</v>
      </c>
      <c r="E208" t="s">
        <v>24</v>
      </c>
      <c r="F208" t="s">
        <v>27</v>
      </c>
      <c r="G208">
        <v>5</v>
      </c>
      <c r="H208" s="3">
        <v>46181</v>
      </c>
      <c r="J208" s="1"/>
    </row>
    <row r="209" spans="1:10" ht="15" x14ac:dyDescent="0.2">
      <c r="A209">
        <v>1428</v>
      </c>
      <c r="B209" t="s">
        <v>324</v>
      </c>
      <c r="C209" t="s">
        <v>325</v>
      </c>
      <c r="D209" t="s">
        <v>23</v>
      </c>
      <c r="E209" t="s">
        <v>24</v>
      </c>
      <c r="F209" t="s">
        <v>35</v>
      </c>
      <c r="H209" s="3">
        <v>46181</v>
      </c>
      <c r="J209" s="1"/>
    </row>
    <row r="210" spans="1:10" ht="15" x14ac:dyDescent="0.2">
      <c r="A210">
        <v>1423</v>
      </c>
      <c r="B210" t="s">
        <v>326</v>
      </c>
      <c r="C210" t="s">
        <v>83</v>
      </c>
      <c r="D210" t="s">
        <v>23</v>
      </c>
      <c r="E210" t="s">
        <v>24</v>
      </c>
      <c r="F210" t="s">
        <v>25</v>
      </c>
      <c r="H210" s="3">
        <v>46181</v>
      </c>
      <c r="J210" s="1"/>
    </row>
    <row r="211" spans="1:10" ht="15" x14ac:dyDescent="0.2">
      <c r="A211">
        <v>1424</v>
      </c>
      <c r="B211" t="s">
        <v>326</v>
      </c>
      <c r="C211" t="s">
        <v>259</v>
      </c>
      <c r="D211" t="s">
        <v>23</v>
      </c>
      <c r="E211" t="s">
        <v>30</v>
      </c>
      <c r="F211" t="s">
        <v>25</v>
      </c>
      <c r="H211" s="3">
        <v>46181</v>
      </c>
      <c r="J211" s="1"/>
    </row>
    <row r="212" spans="1:10" ht="15" x14ac:dyDescent="0.2">
      <c r="A212">
        <v>1425</v>
      </c>
      <c r="B212" t="s">
        <v>326</v>
      </c>
      <c r="C212" t="s">
        <v>327</v>
      </c>
      <c r="D212" t="s">
        <v>23</v>
      </c>
      <c r="E212" t="s">
        <v>24</v>
      </c>
      <c r="F212" t="s">
        <v>35</v>
      </c>
      <c r="H212" s="3">
        <v>46181</v>
      </c>
      <c r="J212" s="1"/>
    </row>
    <row r="213" spans="1:10" ht="15" x14ac:dyDescent="0.2">
      <c r="A213">
        <v>1426</v>
      </c>
      <c r="B213" t="s">
        <v>326</v>
      </c>
      <c r="C213" t="s">
        <v>328</v>
      </c>
      <c r="D213" t="s">
        <v>23</v>
      </c>
      <c r="E213" t="s">
        <v>30</v>
      </c>
      <c r="F213" t="s">
        <v>35</v>
      </c>
      <c r="H213" s="3">
        <v>46181</v>
      </c>
      <c r="J213" s="1"/>
    </row>
    <row r="214" spans="1:10" ht="15" x14ac:dyDescent="0.2">
      <c r="A214">
        <v>1312</v>
      </c>
      <c r="B214" t="s">
        <v>329</v>
      </c>
      <c r="C214" t="s">
        <v>287</v>
      </c>
      <c r="D214" t="s">
        <v>23</v>
      </c>
      <c r="E214" t="s">
        <v>30</v>
      </c>
      <c r="F214" t="s">
        <v>27</v>
      </c>
      <c r="G214">
        <v>35</v>
      </c>
      <c r="H214" s="3">
        <v>46181</v>
      </c>
      <c r="J214" s="1"/>
    </row>
    <row r="215" spans="1:10" ht="15" x14ac:dyDescent="0.2">
      <c r="A215">
        <v>935</v>
      </c>
      <c r="B215" t="s">
        <v>330</v>
      </c>
      <c r="C215" t="s">
        <v>245</v>
      </c>
      <c r="D215" t="s">
        <v>23</v>
      </c>
      <c r="E215" t="s">
        <v>30</v>
      </c>
      <c r="F215" t="s">
        <v>25</v>
      </c>
      <c r="H215" s="3">
        <v>46181</v>
      </c>
      <c r="J215" s="1"/>
    </row>
    <row r="216" spans="1:10" ht="15" x14ac:dyDescent="0.2">
      <c r="A216">
        <v>999</v>
      </c>
      <c r="B216" t="s">
        <v>330</v>
      </c>
      <c r="C216" t="s">
        <v>331</v>
      </c>
      <c r="D216" t="s">
        <v>23</v>
      </c>
      <c r="E216" t="s">
        <v>30</v>
      </c>
      <c r="F216" t="s">
        <v>25</v>
      </c>
      <c r="H216" s="3">
        <v>46181</v>
      </c>
      <c r="J216" s="1"/>
    </row>
    <row r="217" spans="1:10" ht="15" x14ac:dyDescent="0.2">
      <c r="A217">
        <v>998</v>
      </c>
      <c r="B217" t="s">
        <v>330</v>
      </c>
      <c r="C217" t="s">
        <v>332</v>
      </c>
      <c r="D217" t="s">
        <v>23</v>
      </c>
      <c r="E217" t="s">
        <v>30</v>
      </c>
      <c r="F217" t="s">
        <v>27</v>
      </c>
      <c r="G217">
        <v>5</v>
      </c>
      <c r="H217" s="3">
        <v>46181</v>
      </c>
      <c r="J217" s="1"/>
    </row>
    <row r="218" spans="1:10" ht="15" x14ac:dyDescent="0.2">
      <c r="A218">
        <v>616</v>
      </c>
      <c r="B218" t="s">
        <v>330</v>
      </c>
      <c r="C218" t="s">
        <v>41</v>
      </c>
      <c r="D218" t="s">
        <v>23</v>
      </c>
      <c r="E218" t="s">
        <v>24</v>
      </c>
      <c r="F218" t="s">
        <v>27</v>
      </c>
      <c r="G218">
        <v>7</v>
      </c>
      <c r="H218" s="3">
        <v>46181</v>
      </c>
      <c r="J218" s="1"/>
    </row>
    <row r="219" spans="1:10" ht="15" x14ac:dyDescent="0.2">
      <c r="A219">
        <v>558</v>
      </c>
      <c r="B219" t="s">
        <v>333</v>
      </c>
      <c r="C219" t="s">
        <v>334</v>
      </c>
      <c r="D219" t="s">
        <v>23</v>
      </c>
      <c r="E219" t="s">
        <v>24</v>
      </c>
      <c r="F219" t="s">
        <v>27</v>
      </c>
      <c r="G219">
        <v>15</v>
      </c>
      <c r="H219" s="3">
        <v>46181</v>
      </c>
      <c r="J219" s="1"/>
    </row>
    <row r="220" spans="1:10" ht="15" x14ac:dyDescent="0.2">
      <c r="A220">
        <v>991</v>
      </c>
      <c r="B220" t="s">
        <v>335</v>
      </c>
      <c r="C220" t="s">
        <v>184</v>
      </c>
      <c r="D220" t="s">
        <v>23</v>
      </c>
      <c r="E220" t="s">
        <v>30</v>
      </c>
      <c r="F220" t="s">
        <v>35</v>
      </c>
      <c r="H220" s="3">
        <v>46181</v>
      </c>
      <c r="J220" s="1"/>
    </row>
    <row r="221" spans="1:10" ht="15" x14ac:dyDescent="0.2">
      <c r="A221">
        <v>359</v>
      </c>
      <c r="B221" t="s">
        <v>336</v>
      </c>
      <c r="C221" t="s">
        <v>26</v>
      </c>
      <c r="D221" t="s">
        <v>23</v>
      </c>
      <c r="E221" t="s">
        <v>24</v>
      </c>
      <c r="F221" t="s">
        <v>27</v>
      </c>
      <c r="G221">
        <v>24</v>
      </c>
      <c r="H221" s="3">
        <v>46181</v>
      </c>
      <c r="J221" s="1"/>
    </row>
    <row r="222" spans="1:10" ht="15" x14ac:dyDescent="0.2">
      <c r="A222">
        <v>1310</v>
      </c>
      <c r="B222" t="s">
        <v>337</v>
      </c>
      <c r="C222" t="s">
        <v>311</v>
      </c>
      <c r="D222" t="s">
        <v>23</v>
      </c>
      <c r="E222" t="s">
        <v>24</v>
      </c>
      <c r="F222" t="s">
        <v>25</v>
      </c>
      <c r="H222" s="3">
        <v>46181</v>
      </c>
      <c r="J222" s="1"/>
    </row>
    <row r="223" spans="1:10" ht="15" x14ac:dyDescent="0.2">
      <c r="A223">
        <v>1200</v>
      </c>
      <c r="B223" t="s">
        <v>338</v>
      </c>
      <c r="C223" t="s">
        <v>339</v>
      </c>
      <c r="D223" t="s">
        <v>23</v>
      </c>
      <c r="E223" t="s">
        <v>24</v>
      </c>
      <c r="F223" t="s">
        <v>27</v>
      </c>
      <c r="G223">
        <v>6</v>
      </c>
      <c r="H223" s="3">
        <v>46181</v>
      </c>
      <c r="J223" s="1"/>
    </row>
    <row r="224" spans="1:10" ht="15" x14ac:dyDescent="0.2">
      <c r="A224">
        <v>1411</v>
      </c>
      <c r="B224" t="s">
        <v>338</v>
      </c>
      <c r="C224" t="s">
        <v>72</v>
      </c>
      <c r="D224" t="s">
        <v>23</v>
      </c>
      <c r="E224" t="s">
        <v>30</v>
      </c>
      <c r="F224" t="s">
        <v>27</v>
      </c>
      <c r="G224">
        <v>3</v>
      </c>
      <c r="H224" s="3">
        <v>46181</v>
      </c>
      <c r="J224" s="1"/>
    </row>
    <row r="225" spans="1:10" ht="15" x14ac:dyDescent="0.2">
      <c r="A225">
        <v>1412</v>
      </c>
      <c r="B225" t="s">
        <v>338</v>
      </c>
      <c r="C225" t="s">
        <v>340</v>
      </c>
      <c r="D225" t="s">
        <v>23</v>
      </c>
      <c r="E225" t="s">
        <v>30</v>
      </c>
      <c r="F225" t="s">
        <v>188</v>
      </c>
      <c r="H225" s="3">
        <v>46181</v>
      </c>
      <c r="J225" s="1"/>
    </row>
    <row r="226" spans="1:10" ht="15" x14ac:dyDescent="0.2">
      <c r="A226">
        <v>1413</v>
      </c>
      <c r="B226" t="s">
        <v>338</v>
      </c>
      <c r="C226" t="s">
        <v>214</v>
      </c>
      <c r="D226" t="s">
        <v>23</v>
      </c>
      <c r="E226" t="s">
        <v>24</v>
      </c>
      <c r="F226" t="s">
        <v>188</v>
      </c>
      <c r="H226" s="3">
        <v>46181</v>
      </c>
      <c r="J226" s="1"/>
    </row>
    <row r="227" spans="1:10" ht="15" x14ac:dyDescent="0.2">
      <c r="A227">
        <v>1376</v>
      </c>
      <c r="B227" t="s">
        <v>192</v>
      </c>
      <c r="C227" t="s">
        <v>127</v>
      </c>
      <c r="D227" t="s">
        <v>23</v>
      </c>
      <c r="E227" t="s">
        <v>30</v>
      </c>
      <c r="F227" t="s">
        <v>25</v>
      </c>
      <c r="H227" s="3">
        <v>46181</v>
      </c>
      <c r="J227" s="1"/>
    </row>
    <row r="228" spans="1:10" ht="15" x14ac:dyDescent="0.2">
      <c r="A228">
        <v>1140</v>
      </c>
      <c r="B228" t="s">
        <v>341</v>
      </c>
      <c r="C228" t="s">
        <v>243</v>
      </c>
      <c r="D228" t="s">
        <v>23</v>
      </c>
      <c r="E228" t="s">
        <v>24</v>
      </c>
      <c r="F228" t="s">
        <v>25</v>
      </c>
      <c r="H228" s="3">
        <v>46181</v>
      </c>
      <c r="J228" s="1"/>
    </row>
    <row r="229" spans="1:10" ht="15" x14ac:dyDescent="0.2">
      <c r="A229">
        <v>989</v>
      </c>
      <c r="B229" t="s">
        <v>342</v>
      </c>
      <c r="C229" t="s">
        <v>343</v>
      </c>
      <c r="D229" t="s">
        <v>23</v>
      </c>
      <c r="E229" t="s">
        <v>24</v>
      </c>
      <c r="F229" t="s">
        <v>27</v>
      </c>
      <c r="G229">
        <v>3</v>
      </c>
      <c r="H229" s="3">
        <v>46181</v>
      </c>
      <c r="J229" s="1"/>
    </row>
    <row r="230" spans="1:10" ht="15" x14ac:dyDescent="0.2">
      <c r="A230">
        <v>1417</v>
      </c>
      <c r="B230" t="s">
        <v>344</v>
      </c>
      <c r="C230" t="s">
        <v>345</v>
      </c>
      <c r="D230" t="s">
        <v>23</v>
      </c>
      <c r="E230" t="s">
        <v>30</v>
      </c>
      <c r="F230" t="s">
        <v>27</v>
      </c>
      <c r="G230">
        <v>17</v>
      </c>
      <c r="H230" s="3">
        <v>46181</v>
      </c>
      <c r="J230" s="1"/>
    </row>
    <row r="231" spans="1:10" ht="15" x14ac:dyDescent="0.2">
      <c r="A231">
        <v>52</v>
      </c>
      <c r="B231" t="s">
        <v>346</v>
      </c>
      <c r="C231" t="s">
        <v>192</v>
      </c>
      <c r="D231" t="s">
        <v>23</v>
      </c>
      <c r="E231" t="s">
        <v>24</v>
      </c>
      <c r="F231" t="s">
        <v>25</v>
      </c>
      <c r="H231" s="3">
        <v>46181</v>
      </c>
      <c r="J231" s="1"/>
    </row>
    <row r="232" spans="1:10" ht="15" x14ac:dyDescent="0.2">
      <c r="A232">
        <v>62</v>
      </c>
      <c r="B232" t="s">
        <v>344</v>
      </c>
      <c r="C232" t="s">
        <v>234</v>
      </c>
      <c r="D232" t="s">
        <v>23</v>
      </c>
      <c r="E232" t="s">
        <v>24</v>
      </c>
      <c r="F232" t="s">
        <v>27</v>
      </c>
      <c r="G232">
        <v>4</v>
      </c>
      <c r="H232" s="3">
        <v>46181</v>
      </c>
      <c r="J232" s="1"/>
    </row>
    <row r="233" spans="1:10" ht="15" x14ac:dyDescent="0.2">
      <c r="A233">
        <v>930</v>
      </c>
      <c r="B233" t="s">
        <v>347</v>
      </c>
      <c r="C233" t="s">
        <v>348</v>
      </c>
      <c r="D233" t="s">
        <v>23</v>
      </c>
      <c r="E233" t="s">
        <v>30</v>
      </c>
      <c r="F233" t="s">
        <v>27</v>
      </c>
      <c r="G233">
        <v>6</v>
      </c>
      <c r="H233" s="3">
        <v>46181</v>
      </c>
      <c r="J233" s="1"/>
    </row>
    <row r="234" spans="1:10" ht="15" x14ac:dyDescent="0.2">
      <c r="A234">
        <v>1254</v>
      </c>
      <c r="B234" t="s">
        <v>349</v>
      </c>
      <c r="C234" t="s">
        <v>51</v>
      </c>
      <c r="D234" t="s">
        <v>23</v>
      </c>
      <c r="E234" t="s">
        <v>24</v>
      </c>
      <c r="F234" t="s">
        <v>27</v>
      </c>
      <c r="G234">
        <v>21</v>
      </c>
      <c r="H234" s="3">
        <v>46181</v>
      </c>
      <c r="J234" s="1"/>
    </row>
    <row r="235" spans="1:10" ht="15" x14ac:dyDescent="0.2">
      <c r="A235">
        <v>744</v>
      </c>
      <c r="B235" t="s">
        <v>350</v>
      </c>
      <c r="C235" t="s">
        <v>351</v>
      </c>
      <c r="D235" t="s">
        <v>23</v>
      </c>
      <c r="E235" t="s">
        <v>24</v>
      </c>
      <c r="F235" t="s">
        <v>27</v>
      </c>
      <c r="G235">
        <v>28</v>
      </c>
      <c r="H235" s="3">
        <v>46181</v>
      </c>
      <c r="J235" s="1"/>
    </row>
    <row r="236" spans="1:10" ht="15" x14ac:dyDescent="0.2">
      <c r="A236">
        <v>337</v>
      </c>
      <c r="B236" t="s">
        <v>352</v>
      </c>
      <c r="C236" t="s">
        <v>179</v>
      </c>
      <c r="D236" t="s">
        <v>23</v>
      </c>
      <c r="E236" t="s">
        <v>30</v>
      </c>
      <c r="F236" t="s">
        <v>27</v>
      </c>
      <c r="G236">
        <v>21</v>
      </c>
      <c r="H236" s="3">
        <v>46181</v>
      </c>
      <c r="J236" s="1"/>
    </row>
    <row r="237" spans="1:10" x14ac:dyDescent="0.15">
      <c r="H237" s="1"/>
      <c r="J237" s="1"/>
    </row>
    <row r="238" spans="1:10" x14ac:dyDescent="0.15">
      <c r="H238" s="1"/>
      <c r="J238" s="1"/>
    </row>
    <row r="239" spans="1:10" x14ac:dyDescent="0.15">
      <c r="H239" s="1"/>
      <c r="J239" s="1"/>
    </row>
    <row r="240" spans="1:10" x14ac:dyDescent="0.15">
      <c r="H240" s="1"/>
      <c r="J240" s="1"/>
    </row>
    <row r="241" spans="8:10" x14ac:dyDescent="0.15">
      <c r="H241" s="1"/>
      <c r="J241" s="1"/>
    </row>
    <row r="242" spans="8:10" x14ac:dyDescent="0.15">
      <c r="H242" s="1"/>
      <c r="J242" s="1"/>
    </row>
    <row r="243" spans="8:10" x14ac:dyDescent="0.15">
      <c r="H243" s="1"/>
      <c r="J243" s="1"/>
    </row>
    <row r="244" spans="8:10" x14ac:dyDescent="0.15">
      <c r="H244" s="1"/>
      <c r="J244" s="1"/>
    </row>
    <row r="245" spans="8:10" x14ac:dyDescent="0.15">
      <c r="H245" s="1"/>
      <c r="J245" s="1"/>
    </row>
    <row r="246" spans="8:10" x14ac:dyDescent="0.15">
      <c r="H246" s="1"/>
      <c r="J246" s="1"/>
    </row>
    <row r="247" spans="8:10" x14ac:dyDescent="0.15">
      <c r="H247" s="1"/>
      <c r="J247" s="1"/>
    </row>
    <row r="248" spans="8:10" x14ac:dyDescent="0.15">
      <c r="H248" s="1"/>
      <c r="J248" s="1"/>
    </row>
    <row r="249" spans="8: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3515625" defaultRowHeight="15" x14ac:dyDescent="0.2"/>
  <cols>
    <col min="1" max="7" width="9.03515625" style="4"/>
    <col min="8" max="8" width="10.24609375" style="4" bestFit="1" customWidth="1"/>
    <col min="9" max="16384" width="9.03515625" style="4"/>
  </cols>
  <sheetData>
    <row r="1" spans="1:8" x14ac:dyDescent="0.2">
      <c r="A1" s="4" t="s">
        <v>13</v>
      </c>
      <c r="B1" s="4" t="s">
        <v>14</v>
      </c>
      <c r="C1" s="4" t="s">
        <v>15</v>
      </c>
      <c r="D1" s="4" t="s">
        <v>16</v>
      </c>
      <c r="E1" s="4" t="s">
        <v>17</v>
      </c>
      <c r="F1" s="4" t="s">
        <v>18</v>
      </c>
      <c r="G1" s="4" t="s">
        <v>19</v>
      </c>
      <c r="H1" s="4" t="s">
        <v>20</v>
      </c>
    </row>
    <row r="2" spans="1:8" x14ac:dyDescent="0.2">
      <c r="A2" s="4">
        <v>1327</v>
      </c>
      <c r="B2" s="4" t="s">
        <v>21</v>
      </c>
      <c r="C2" s="4" t="s">
        <v>22</v>
      </c>
      <c r="D2" s="4" t="s">
        <v>23</v>
      </c>
      <c r="E2" s="4" t="b">
        <v>0</v>
      </c>
      <c r="F2" s="4" t="s">
        <v>25</v>
      </c>
      <c r="H2" s="5">
        <v>46088</v>
      </c>
    </row>
    <row r="3" spans="1:8" x14ac:dyDescent="0.2">
      <c r="A3" s="4">
        <v>1237</v>
      </c>
      <c r="B3" s="4" t="s">
        <v>21</v>
      </c>
      <c r="C3" s="4" t="s">
        <v>26</v>
      </c>
      <c r="D3" s="4" t="s">
        <v>23</v>
      </c>
      <c r="E3" s="4" t="b">
        <v>0</v>
      </c>
      <c r="F3" s="4" t="s">
        <v>27</v>
      </c>
      <c r="G3" s="4">
        <v>1</v>
      </c>
      <c r="H3" s="5">
        <v>46088</v>
      </c>
    </row>
    <row r="4" spans="1:8" x14ac:dyDescent="0.2">
      <c r="A4" s="4">
        <v>819</v>
      </c>
      <c r="B4" s="4" t="s">
        <v>28</v>
      </c>
      <c r="C4" s="4" t="s">
        <v>29</v>
      </c>
      <c r="D4" s="4" t="s">
        <v>23</v>
      </c>
      <c r="E4" s="4" t="b">
        <v>1</v>
      </c>
      <c r="F4" s="4" t="s">
        <v>27</v>
      </c>
      <c r="G4" s="4">
        <v>23</v>
      </c>
      <c r="H4" s="5">
        <v>46088</v>
      </c>
    </row>
    <row r="5" spans="1:8" x14ac:dyDescent="0.2">
      <c r="A5" s="4">
        <v>2</v>
      </c>
      <c r="B5" s="4" t="s">
        <v>31</v>
      </c>
      <c r="C5" s="4" t="s">
        <v>32</v>
      </c>
      <c r="D5" s="4" t="s">
        <v>23</v>
      </c>
      <c r="E5" s="4" t="b">
        <v>0</v>
      </c>
      <c r="F5" s="4" t="s">
        <v>27</v>
      </c>
      <c r="G5" s="4">
        <v>21</v>
      </c>
      <c r="H5" s="5">
        <v>46088</v>
      </c>
    </row>
    <row r="6" spans="1:8" x14ac:dyDescent="0.2">
      <c r="A6" s="4">
        <v>1370</v>
      </c>
      <c r="B6" s="4" t="s">
        <v>33</v>
      </c>
      <c r="C6" s="4" t="s">
        <v>34</v>
      </c>
      <c r="D6" s="4" t="s">
        <v>23</v>
      </c>
      <c r="E6" s="4" t="b">
        <v>0</v>
      </c>
      <c r="F6" s="4" t="s">
        <v>27</v>
      </c>
      <c r="G6" s="4">
        <v>4</v>
      </c>
      <c r="H6" s="5">
        <v>46088</v>
      </c>
    </row>
    <row r="7" spans="1:8" x14ac:dyDescent="0.2">
      <c r="A7" s="4">
        <v>1415</v>
      </c>
      <c r="B7" s="4" t="s">
        <v>33</v>
      </c>
      <c r="C7" s="4" t="s">
        <v>22</v>
      </c>
      <c r="D7" s="4" t="s">
        <v>23</v>
      </c>
      <c r="E7" s="4" t="b">
        <v>0</v>
      </c>
      <c r="F7" s="4" t="s">
        <v>35</v>
      </c>
      <c r="H7" s="5">
        <v>46088</v>
      </c>
    </row>
    <row r="8" spans="1:8" x14ac:dyDescent="0.2">
      <c r="A8" s="4">
        <v>1286</v>
      </c>
      <c r="B8" s="4" t="s">
        <v>36</v>
      </c>
      <c r="C8" s="4" t="s">
        <v>34</v>
      </c>
      <c r="D8" s="4" t="s">
        <v>23</v>
      </c>
      <c r="E8" s="4" t="b">
        <v>0</v>
      </c>
      <c r="F8" s="4" t="s">
        <v>27</v>
      </c>
      <c r="G8" s="4">
        <v>13</v>
      </c>
      <c r="H8" s="5">
        <v>46088</v>
      </c>
    </row>
    <row r="9" spans="1:8" x14ac:dyDescent="0.2">
      <c r="A9" s="4">
        <v>1381</v>
      </c>
      <c r="B9" s="4" t="s">
        <v>36</v>
      </c>
      <c r="C9" s="4" t="s">
        <v>37</v>
      </c>
      <c r="D9" s="4" t="s">
        <v>23</v>
      </c>
      <c r="E9" s="4" t="b">
        <v>0</v>
      </c>
      <c r="F9" s="4" t="s">
        <v>25</v>
      </c>
      <c r="H9" s="5">
        <v>46088</v>
      </c>
    </row>
    <row r="10" spans="1:8" x14ac:dyDescent="0.2">
      <c r="A10" s="4">
        <v>1135</v>
      </c>
      <c r="B10" s="4" t="s">
        <v>40</v>
      </c>
      <c r="C10" s="4" t="s">
        <v>41</v>
      </c>
      <c r="D10" s="4" t="s">
        <v>23</v>
      </c>
      <c r="E10" s="4" t="b">
        <v>0</v>
      </c>
      <c r="F10" s="4" t="s">
        <v>27</v>
      </c>
      <c r="G10" s="4">
        <v>1</v>
      </c>
      <c r="H10" s="5">
        <v>46088</v>
      </c>
    </row>
    <row r="11" spans="1:8" x14ac:dyDescent="0.2">
      <c r="A11" s="4">
        <v>982</v>
      </c>
      <c r="B11" s="4" t="s">
        <v>42</v>
      </c>
      <c r="C11" s="4" t="s">
        <v>32</v>
      </c>
      <c r="D11" s="4" t="s">
        <v>23</v>
      </c>
      <c r="E11" s="4" t="b">
        <v>0</v>
      </c>
      <c r="F11" s="4" t="s">
        <v>27</v>
      </c>
      <c r="G11" s="4">
        <v>22</v>
      </c>
      <c r="H11" s="5">
        <v>46088</v>
      </c>
    </row>
    <row r="12" spans="1:8" x14ac:dyDescent="0.2">
      <c r="A12" s="4">
        <v>1328</v>
      </c>
      <c r="B12" s="4" t="s">
        <v>43</v>
      </c>
      <c r="C12" s="4" t="s">
        <v>44</v>
      </c>
      <c r="D12" s="4" t="s">
        <v>23</v>
      </c>
      <c r="E12" s="4" t="b">
        <v>0</v>
      </c>
      <c r="F12" s="4" t="s">
        <v>27</v>
      </c>
      <c r="G12" s="4">
        <v>4</v>
      </c>
      <c r="H12" s="5">
        <v>46088</v>
      </c>
    </row>
    <row r="13" spans="1:8" x14ac:dyDescent="0.2">
      <c r="A13" s="4">
        <v>369</v>
      </c>
      <c r="B13" s="4" t="s">
        <v>45</v>
      </c>
      <c r="C13" s="4" t="s">
        <v>46</v>
      </c>
      <c r="D13" s="4" t="s">
        <v>23</v>
      </c>
      <c r="E13" s="4" t="b">
        <v>0</v>
      </c>
      <c r="F13" s="4" t="s">
        <v>27</v>
      </c>
      <c r="G13" s="4">
        <v>8</v>
      </c>
      <c r="H13" s="5">
        <v>46088</v>
      </c>
    </row>
    <row r="14" spans="1:8" x14ac:dyDescent="0.2">
      <c r="A14" s="4">
        <v>7</v>
      </c>
      <c r="B14" s="4" t="s">
        <v>45</v>
      </c>
      <c r="C14" s="4" t="s">
        <v>47</v>
      </c>
      <c r="D14" s="4" t="s">
        <v>48</v>
      </c>
      <c r="E14" s="4" t="b">
        <v>0</v>
      </c>
      <c r="F14" s="4" t="s">
        <v>27</v>
      </c>
      <c r="G14" s="4">
        <v>32</v>
      </c>
      <c r="H14" s="5">
        <v>46088</v>
      </c>
    </row>
    <row r="15" spans="1:8" x14ac:dyDescent="0.2">
      <c r="A15" s="4">
        <v>473</v>
      </c>
      <c r="B15" s="4" t="s">
        <v>45</v>
      </c>
      <c r="C15" s="4" t="s">
        <v>49</v>
      </c>
      <c r="D15" s="4" t="s">
        <v>48</v>
      </c>
      <c r="E15" s="4" t="b">
        <v>0</v>
      </c>
      <c r="F15" s="4" t="s">
        <v>27</v>
      </c>
      <c r="G15" s="4">
        <v>33</v>
      </c>
      <c r="H15" s="5">
        <v>46088</v>
      </c>
    </row>
    <row r="16" spans="1:8" x14ac:dyDescent="0.2">
      <c r="A16" s="4">
        <v>1384</v>
      </c>
      <c r="B16" s="4" t="s">
        <v>50</v>
      </c>
      <c r="C16" s="4" t="s">
        <v>51</v>
      </c>
      <c r="D16" s="4" t="s">
        <v>23</v>
      </c>
      <c r="E16" s="4" t="b">
        <v>0</v>
      </c>
      <c r="F16" s="4" t="s">
        <v>27</v>
      </c>
      <c r="G16" s="4">
        <v>30</v>
      </c>
      <c r="H16" s="5">
        <v>46088</v>
      </c>
    </row>
    <row r="17" spans="1:8" x14ac:dyDescent="0.2">
      <c r="A17" s="4">
        <v>1348</v>
      </c>
      <c r="B17" s="4" t="s">
        <v>52</v>
      </c>
      <c r="C17" s="4" t="s">
        <v>53</v>
      </c>
      <c r="D17" s="4" t="s">
        <v>54</v>
      </c>
      <c r="E17" s="4" t="b">
        <v>1</v>
      </c>
      <c r="F17" s="4" t="s">
        <v>25</v>
      </c>
      <c r="H17" s="5">
        <v>46088</v>
      </c>
    </row>
    <row r="18" spans="1:8" x14ac:dyDescent="0.2">
      <c r="A18" s="4">
        <v>1275</v>
      </c>
      <c r="B18" s="4" t="s">
        <v>52</v>
      </c>
      <c r="C18" s="4" t="s">
        <v>55</v>
      </c>
      <c r="D18" s="4" t="s">
        <v>23</v>
      </c>
      <c r="E18" s="4" t="b">
        <v>1</v>
      </c>
      <c r="F18" s="4" t="s">
        <v>35</v>
      </c>
      <c r="H18" s="5">
        <v>46088</v>
      </c>
    </row>
    <row r="19" spans="1:8" x14ac:dyDescent="0.2">
      <c r="A19" s="4">
        <v>68</v>
      </c>
      <c r="B19" s="4" t="s">
        <v>56</v>
      </c>
      <c r="C19" s="4" t="s">
        <v>57</v>
      </c>
      <c r="D19" s="4" t="s">
        <v>48</v>
      </c>
      <c r="E19" s="4" t="b">
        <v>0</v>
      </c>
      <c r="F19" s="4" t="s">
        <v>27</v>
      </c>
      <c r="G19" s="4">
        <v>35</v>
      </c>
      <c r="H19" s="5">
        <v>46088</v>
      </c>
    </row>
    <row r="20" spans="1:8" x14ac:dyDescent="0.2">
      <c r="A20" s="4">
        <v>1035</v>
      </c>
      <c r="B20" s="4" t="s">
        <v>58</v>
      </c>
      <c r="C20" s="4" t="s">
        <v>59</v>
      </c>
      <c r="D20" s="4" t="s">
        <v>23</v>
      </c>
      <c r="E20" s="4" t="b">
        <v>0</v>
      </c>
      <c r="F20" s="4" t="s">
        <v>27</v>
      </c>
      <c r="G20" s="4">
        <v>6</v>
      </c>
      <c r="H20" s="5">
        <v>46088</v>
      </c>
    </row>
    <row r="21" spans="1:8" x14ac:dyDescent="0.2">
      <c r="A21" s="4">
        <v>1326</v>
      </c>
      <c r="B21" s="4" t="s">
        <v>62</v>
      </c>
      <c r="C21" s="4" t="s">
        <v>63</v>
      </c>
      <c r="D21" s="4" t="s">
        <v>23</v>
      </c>
      <c r="E21" s="4" t="b">
        <v>1</v>
      </c>
      <c r="F21" s="4" t="s">
        <v>25</v>
      </c>
      <c r="H21" s="5">
        <v>46088</v>
      </c>
    </row>
    <row r="22" spans="1:8" x14ac:dyDescent="0.2">
      <c r="A22" s="4">
        <v>477</v>
      </c>
      <c r="B22" s="4" t="s">
        <v>64</v>
      </c>
      <c r="C22" s="4" t="s">
        <v>65</v>
      </c>
      <c r="D22" s="4" t="s">
        <v>23</v>
      </c>
      <c r="E22" s="4" t="b">
        <v>1</v>
      </c>
      <c r="F22" s="4" t="s">
        <v>27</v>
      </c>
      <c r="G22" s="4">
        <v>34</v>
      </c>
      <c r="H22" s="5">
        <v>46088</v>
      </c>
    </row>
    <row r="23" spans="1:8" x14ac:dyDescent="0.2">
      <c r="A23" s="4">
        <v>10</v>
      </c>
      <c r="B23" s="4" t="s">
        <v>64</v>
      </c>
      <c r="C23" s="4" t="s">
        <v>66</v>
      </c>
      <c r="D23" s="4" t="s">
        <v>48</v>
      </c>
      <c r="E23" s="4" t="b">
        <v>0</v>
      </c>
      <c r="F23" s="4" t="s">
        <v>27</v>
      </c>
      <c r="G23" s="4">
        <v>35</v>
      </c>
      <c r="H23" s="5">
        <v>46088</v>
      </c>
    </row>
    <row r="24" spans="1:8" x14ac:dyDescent="0.2">
      <c r="A24" s="4">
        <v>1414</v>
      </c>
      <c r="B24" s="4" t="s">
        <v>67</v>
      </c>
      <c r="C24" s="4" t="s">
        <v>36</v>
      </c>
      <c r="D24" s="4" t="s">
        <v>23</v>
      </c>
      <c r="E24" s="4" t="b">
        <v>0</v>
      </c>
      <c r="F24" s="4" t="s">
        <v>27</v>
      </c>
      <c r="G24" s="4">
        <v>13</v>
      </c>
      <c r="H24" s="5">
        <v>46088</v>
      </c>
    </row>
    <row r="25" spans="1:8" x14ac:dyDescent="0.2">
      <c r="A25" s="4">
        <v>1029</v>
      </c>
      <c r="B25" s="4" t="s">
        <v>68</v>
      </c>
      <c r="C25" s="4" t="s">
        <v>69</v>
      </c>
      <c r="D25" s="4" t="s">
        <v>23</v>
      </c>
      <c r="E25" s="4" t="b">
        <v>0</v>
      </c>
      <c r="F25" s="4" t="s">
        <v>27</v>
      </c>
      <c r="G25" s="4">
        <v>28</v>
      </c>
      <c r="H25" s="5">
        <v>46088</v>
      </c>
    </row>
    <row r="26" spans="1:8" x14ac:dyDescent="0.2">
      <c r="A26" s="4">
        <v>13</v>
      </c>
      <c r="B26" s="4" t="s">
        <v>70</v>
      </c>
      <c r="C26" s="4" t="s">
        <v>51</v>
      </c>
      <c r="D26" s="4" t="s">
        <v>23</v>
      </c>
      <c r="E26" s="4" t="b">
        <v>0</v>
      </c>
      <c r="F26" s="4" t="s">
        <v>27</v>
      </c>
      <c r="G26" s="4">
        <v>28</v>
      </c>
      <c r="H26" s="5">
        <v>46088</v>
      </c>
    </row>
    <row r="27" spans="1:8" x14ac:dyDescent="0.2">
      <c r="A27" s="4">
        <v>1255</v>
      </c>
      <c r="B27" s="4" t="s">
        <v>71</v>
      </c>
      <c r="C27" s="4" t="s">
        <v>72</v>
      </c>
      <c r="D27" s="4" t="s">
        <v>23</v>
      </c>
      <c r="E27" s="4" t="b">
        <v>1</v>
      </c>
      <c r="F27" s="4" t="s">
        <v>27</v>
      </c>
      <c r="G27" s="4">
        <v>13</v>
      </c>
      <c r="H27" s="5">
        <v>46088</v>
      </c>
    </row>
    <row r="28" spans="1:8" x14ac:dyDescent="0.2">
      <c r="A28" s="4">
        <v>1405</v>
      </c>
      <c r="B28" s="4" t="s">
        <v>73</v>
      </c>
      <c r="C28" s="4" t="s">
        <v>74</v>
      </c>
      <c r="D28" s="4" t="s">
        <v>23</v>
      </c>
      <c r="E28" s="4" t="b">
        <v>1</v>
      </c>
      <c r="F28" s="4" t="s">
        <v>35</v>
      </c>
      <c r="H28" s="5">
        <v>46088</v>
      </c>
    </row>
    <row r="29" spans="1:8" x14ac:dyDescent="0.2">
      <c r="A29" s="4">
        <v>919</v>
      </c>
      <c r="B29" s="4" t="s">
        <v>77</v>
      </c>
      <c r="C29" s="4" t="s">
        <v>51</v>
      </c>
      <c r="D29" s="4" t="s">
        <v>23</v>
      </c>
      <c r="E29" s="4" t="b">
        <v>0</v>
      </c>
      <c r="F29" s="4" t="s">
        <v>27</v>
      </c>
      <c r="G29" s="4">
        <v>16</v>
      </c>
      <c r="H29" s="5">
        <v>46088</v>
      </c>
    </row>
    <row r="30" spans="1:8" x14ac:dyDescent="0.2">
      <c r="A30" s="4">
        <v>1319</v>
      </c>
      <c r="B30" s="4" t="s">
        <v>78</v>
      </c>
      <c r="C30" s="4" t="s">
        <v>32</v>
      </c>
      <c r="D30" s="4" t="s">
        <v>23</v>
      </c>
      <c r="E30" s="4" t="b">
        <v>0</v>
      </c>
      <c r="F30" s="4" t="s">
        <v>27</v>
      </c>
      <c r="G30" s="4">
        <v>9</v>
      </c>
      <c r="H30" s="5">
        <v>46088</v>
      </c>
    </row>
    <row r="31" spans="1:8" x14ac:dyDescent="0.2">
      <c r="A31" s="4">
        <v>1389</v>
      </c>
      <c r="B31" s="4" t="s">
        <v>79</v>
      </c>
      <c r="C31" s="4" t="s">
        <v>80</v>
      </c>
      <c r="D31" s="4" t="s">
        <v>23</v>
      </c>
      <c r="E31" s="4" t="b">
        <v>0</v>
      </c>
      <c r="F31" s="4" t="s">
        <v>25</v>
      </c>
      <c r="H31" s="5">
        <v>46088</v>
      </c>
    </row>
    <row r="32" spans="1:8" x14ac:dyDescent="0.2">
      <c r="A32" s="4">
        <v>482</v>
      </c>
      <c r="B32" s="4" t="s">
        <v>84</v>
      </c>
      <c r="C32" s="4" t="s">
        <v>85</v>
      </c>
      <c r="D32" s="4" t="s">
        <v>23</v>
      </c>
      <c r="E32" s="4" t="b">
        <v>0</v>
      </c>
      <c r="F32" s="4" t="s">
        <v>27</v>
      </c>
      <c r="G32" s="4">
        <v>13</v>
      </c>
      <c r="H32" s="5">
        <v>46088</v>
      </c>
    </row>
    <row r="33" spans="1:8" x14ac:dyDescent="0.2">
      <c r="A33" s="4">
        <v>674</v>
      </c>
      <c r="B33" s="4" t="s">
        <v>86</v>
      </c>
      <c r="C33" s="4" t="s">
        <v>87</v>
      </c>
      <c r="D33" s="4" t="s">
        <v>54</v>
      </c>
      <c r="E33" s="4" t="b">
        <v>1</v>
      </c>
      <c r="F33" s="4" t="s">
        <v>27</v>
      </c>
      <c r="G33" s="4">
        <v>23</v>
      </c>
      <c r="H33" s="5">
        <v>46088</v>
      </c>
    </row>
    <row r="34" spans="1:8" x14ac:dyDescent="0.2">
      <c r="A34" s="4">
        <v>1061</v>
      </c>
      <c r="B34" s="4" t="s">
        <v>88</v>
      </c>
      <c r="C34" s="4" t="s">
        <v>89</v>
      </c>
      <c r="D34" s="4" t="s">
        <v>23</v>
      </c>
      <c r="E34" s="4" t="b">
        <v>0</v>
      </c>
      <c r="F34" s="4" t="s">
        <v>27</v>
      </c>
      <c r="G34" s="4">
        <v>19</v>
      </c>
      <c r="H34" s="5">
        <v>46088</v>
      </c>
    </row>
    <row r="35" spans="1:8" x14ac:dyDescent="0.2">
      <c r="A35" s="4">
        <v>763</v>
      </c>
      <c r="B35" s="4" t="s">
        <v>90</v>
      </c>
      <c r="C35" s="4" t="s">
        <v>59</v>
      </c>
      <c r="D35" s="4" t="s">
        <v>23</v>
      </c>
      <c r="E35" s="4" t="b">
        <v>0</v>
      </c>
      <c r="F35" s="4" t="s">
        <v>27</v>
      </c>
      <c r="G35" s="4">
        <v>17</v>
      </c>
      <c r="H35" s="5">
        <v>46088</v>
      </c>
    </row>
    <row r="36" spans="1:8" x14ac:dyDescent="0.2">
      <c r="A36" s="4">
        <v>1227</v>
      </c>
      <c r="B36" s="4" t="s">
        <v>91</v>
      </c>
      <c r="C36" s="4" t="s">
        <v>92</v>
      </c>
      <c r="D36" s="4" t="s">
        <v>23</v>
      </c>
      <c r="E36" s="4" t="b">
        <v>1</v>
      </c>
      <c r="F36" s="4" t="s">
        <v>27</v>
      </c>
      <c r="G36" s="4">
        <v>8</v>
      </c>
      <c r="H36" s="5">
        <v>46088</v>
      </c>
    </row>
    <row r="37" spans="1:8" x14ac:dyDescent="0.2">
      <c r="A37" s="4">
        <v>715</v>
      </c>
      <c r="B37" s="4" t="s">
        <v>93</v>
      </c>
      <c r="C37" s="4" t="s">
        <v>94</v>
      </c>
      <c r="D37" s="4" t="s">
        <v>23</v>
      </c>
      <c r="E37" s="4" t="b">
        <v>0</v>
      </c>
      <c r="F37" s="4" t="s">
        <v>27</v>
      </c>
      <c r="G37" s="4">
        <v>5</v>
      </c>
      <c r="H37" s="5">
        <v>46088</v>
      </c>
    </row>
    <row r="38" spans="1:8" x14ac:dyDescent="0.2">
      <c r="A38" s="4">
        <v>567</v>
      </c>
      <c r="B38" s="4" t="s">
        <v>95</v>
      </c>
      <c r="C38" s="4" t="s">
        <v>96</v>
      </c>
      <c r="D38" s="4" t="s">
        <v>23</v>
      </c>
      <c r="E38" s="4" t="b">
        <v>0</v>
      </c>
      <c r="F38" s="4" t="s">
        <v>27</v>
      </c>
      <c r="G38" s="4">
        <v>7</v>
      </c>
      <c r="H38" s="5">
        <v>46088</v>
      </c>
    </row>
    <row r="39" spans="1:8" x14ac:dyDescent="0.2">
      <c r="A39" s="4">
        <v>1391</v>
      </c>
      <c r="B39" s="4" t="s">
        <v>97</v>
      </c>
      <c r="C39" s="4" t="s">
        <v>98</v>
      </c>
      <c r="D39" s="4" t="s">
        <v>23</v>
      </c>
      <c r="E39" s="4" t="b">
        <v>1</v>
      </c>
      <c r="F39" s="4" t="s">
        <v>25</v>
      </c>
      <c r="H39" s="5">
        <v>46088</v>
      </c>
    </row>
    <row r="40" spans="1:8" x14ac:dyDescent="0.2">
      <c r="A40" s="4">
        <v>704</v>
      </c>
      <c r="B40" s="4" t="s">
        <v>99</v>
      </c>
      <c r="C40" s="4" t="s">
        <v>100</v>
      </c>
      <c r="D40" s="4" t="s">
        <v>23</v>
      </c>
      <c r="E40" s="4" t="b">
        <v>0</v>
      </c>
      <c r="F40" s="4" t="s">
        <v>27</v>
      </c>
      <c r="G40" s="4">
        <v>21</v>
      </c>
      <c r="H40" s="5">
        <v>46088</v>
      </c>
    </row>
    <row r="41" spans="1:8" x14ac:dyDescent="0.2">
      <c r="A41" s="4">
        <v>1283</v>
      </c>
      <c r="B41" s="4" t="s">
        <v>101</v>
      </c>
      <c r="C41" s="4" t="s">
        <v>102</v>
      </c>
      <c r="D41" s="4" t="s">
        <v>23</v>
      </c>
      <c r="E41" s="4" t="b">
        <v>0</v>
      </c>
      <c r="F41" s="4" t="s">
        <v>27</v>
      </c>
      <c r="G41" s="4">
        <v>18</v>
      </c>
      <c r="H41" s="5">
        <v>46088</v>
      </c>
    </row>
    <row r="42" spans="1:8" x14ac:dyDescent="0.2">
      <c r="A42" s="4">
        <v>295</v>
      </c>
      <c r="B42" s="4" t="s">
        <v>103</v>
      </c>
      <c r="C42" s="4" t="s">
        <v>104</v>
      </c>
      <c r="D42" s="4" t="s">
        <v>23</v>
      </c>
      <c r="E42" s="4" t="b">
        <v>0</v>
      </c>
      <c r="F42" s="4" t="s">
        <v>27</v>
      </c>
      <c r="G42" s="4">
        <v>15</v>
      </c>
      <c r="H42" s="5">
        <v>46088</v>
      </c>
    </row>
    <row r="43" spans="1:8" x14ac:dyDescent="0.2">
      <c r="A43" s="4">
        <v>1226</v>
      </c>
      <c r="B43" s="4" t="s">
        <v>105</v>
      </c>
      <c r="C43" s="4" t="s">
        <v>106</v>
      </c>
      <c r="D43" s="4" t="s">
        <v>23</v>
      </c>
      <c r="E43" s="4" t="b">
        <v>1</v>
      </c>
      <c r="F43" s="4" t="s">
        <v>25</v>
      </c>
      <c r="H43" s="5">
        <v>46088</v>
      </c>
    </row>
    <row r="44" spans="1:8" x14ac:dyDescent="0.2">
      <c r="A44" s="4">
        <v>1185</v>
      </c>
      <c r="B44" s="4" t="s">
        <v>109</v>
      </c>
      <c r="C44" s="4" t="s">
        <v>110</v>
      </c>
      <c r="D44" s="4" t="s">
        <v>23</v>
      </c>
      <c r="E44" s="4" t="b">
        <v>1</v>
      </c>
      <c r="F44" s="4" t="s">
        <v>35</v>
      </c>
      <c r="H44" s="5">
        <v>46088</v>
      </c>
    </row>
    <row r="45" spans="1:8" x14ac:dyDescent="0.2">
      <c r="A45" s="4">
        <v>1065</v>
      </c>
      <c r="B45" s="4" t="s">
        <v>109</v>
      </c>
      <c r="C45" s="4" t="s">
        <v>41</v>
      </c>
      <c r="D45" s="4" t="s">
        <v>23</v>
      </c>
      <c r="E45" s="4" t="b">
        <v>0</v>
      </c>
      <c r="F45" s="4" t="s">
        <v>27</v>
      </c>
      <c r="G45" s="4">
        <v>1</v>
      </c>
      <c r="H45" s="5">
        <v>46088</v>
      </c>
    </row>
    <row r="46" spans="1:8" x14ac:dyDescent="0.2">
      <c r="A46" s="4">
        <v>1407</v>
      </c>
      <c r="B46" s="4" t="s">
        <v>111</v>
      </c>
      <c r="C46" s="4" t="s">
        <v>112</v>
      </c>
      <c r="D46" s="4" t="s">
        <v>23</v>
      </c>
      <c r="E46" s="4" t="b">
        <v>0</v>
      </c>
      <c r="F46" s="4" t="s">
        <v>25</v>
      </c>
      <c r="H46" s="5">
        <v>46088</v>
      </c>
    </row>
    <row r="47" spans="1:8" x14ac:dyDescent="0.2">
      <c r="A47" s="4">
        <v>1096</v>
      </c>
      <c r="B47" s="4" t="s">
        <v>113</v>
      </c>
      <c r="C47" s="4" t="s">
        <v>114</v>
      </c>
      <c r="D47" s="4" t="s">
        <v>23</v>
      </c>
      <c r="E47" s="4" t="b">
        <v>0</v>
      </c>
      <c r="F47" s="4" t="s">
        <v>35</v>
      </c>
      <c r="H47" s="5">
        <v>46088</v>
      </c>
    </row>
    <row r="48" spans="1:8" x14ac:dyDescent="0.2">
      <c r="A48" s="4">
        <v>1236</v>
      </c>
      <c r="B48" s="4" t="s">
        <v>113</v>
      </c>
      <c r="C48" s="4" t="s">
        <v>115</v>
      </c>
      <c r="D48" s="4" t="s">
        <v>23</v>
      </c>
      <c r="E48" s="4" t="b">
        <v>1</v>
      </c>
      <c r="F48" s="4" t="s">
        <v>27</v>
      </c>
      <c r="G48" s="4">
        <v>5</v>
      </c>
      <c r="H48" s="5">
        <v>46088</v>
      </c>
    </row>
    <row r="49" spans="1:8" x14ac:dyDescent="0.2">
      <c r="A49" s="4">
        <v>699</v>
      </c>
      <c r="B49" s="4" t="s">
        <v>113</v>
      </c>
      <c r="C49" s="4" t="s">
        <v>116</v>
      </c>
      <c r="D49" s="4" t="s">
        <v>23</v>
      </c>
      <c r="E49" s="4" t="b">
        <v>0</v>
      </c>
      <c r="F49" s="4" t="s">
        <v>27</v>
      </c>
      <c r="G49" s="4">
        <v>5</v>
      </c>
      <c r="H49" s="5">
        <v>46088</v>
      </c>
    </row>
    <row r="50" spans="1:8" x14ac:dyDescent="0.2">
      <c r="A50" s="4">
        <v>1000</v>
      </c>
      <c r="B50" s="4" t="s">
        <v>120</v>
      </c>
      <c r="C50" s="4" t="s">
        <v>121</v>
      </c>
      <c r="D50" s="4" t="s">
        <v>23</v>
      </c>
      <c r="E50" s="4" t="b">
        <v>0</v>
      </c>
      <c r="F50" s="4" t="s">
        <v>25</v>
      </c>
      <c r="H50" s="5">
        <v>46088</v>
      </c>
    </row>
    <row r="51" spans="1:8" x14ac:dyDescent="0.2">
      <c r="A51" s="4">
        <v>1332</v>
      </c>
      <c r="B51" s="4" t="s">
        <v>122</v>
      </c>
      <c r="C51" s="4" t="s">
        <v>123</v>
      </c>
      <c r="D51" s="4" t="s">
        <v>23</v>
      </c>
      <c r="E51" s="4" t="b">
        <v>1</v>
      </c>
      <c r="F51" s="4" t="s">
        <v>25</v>
      </c>
      <c r="H51" s="5">
        <v>46088</v>
      </c>
    </row>
    <row r="52" spans="1:8" x14ac:dyDescent="0.2">
      <c r="A52" s="4">
        <v>682</v>
      </c>
      <c r="B52" s="4" t="s">
        <v>124</v>
      </c>
      <c r="C52" s="4" t="s">
        <v>125</v>
      </c>
      <c r="D52" s="4" t="s">
        <v>23</v>
      </c>
      <c r="E52" s="4" t="b">
        <v>0</v>
      </c>
      <c r="F52" s="4" t="s">
        <v>27</v>
      </c>
      <c r="G52" s="4">
        <v>11</v>
      </c>
      <c r="H52" s="5">
        <v>46088</v>
      </c>
    </row>
    <row r="53" spans="1:8" x14ac:dyDescent="0.2">
      <c r="A53" s="4">
        <v>1393</v>
      </c>
      <c r="B53" s="4" t="s">
        <v>126</v>
      </c>
      <c r="C53" s="4" t="s">
        <v>127</v>
      </c>
      <c r="D53" s="4" t="s">
        <v>23</v>
      </c>
      <c r="E53" s="4" t="b">
        <v>1</v>
      </c>
      <c r="F53" s="4" t="s">
        <v>27</v>
      </c>
      <c r="G53" s="4">
        <v>10</v>
      </c>
      <c r="H53" s="5">
        <v>46088</v>
      </c>
    </row>
    <row r="54" spans="1:8" x14ac:dyDescent="0.2">
      <c r="A54" s="4">
        <v>1355</v>
      </c>
      <c r="B54" s="4" t="s">
        <v>128</v>
      </c>
      <c r="C54" s="4" t="s">
        <v>129</v>
      </c>
      <c r="D54" s="4" t="s">
        <v>23</v>
      </c>
      <c r="E54" s="4" t="b">
        <v>0</v>
      </c>
      <c r="F54" s="4" t="s">
        <v>35</v>
      </c>
      <c r="H54" s="5">
        <v>46088</v>
      </c>
    </row>
    <row r="55" spans="1:8" x14ac:dyDescent="0.2">
      <c r="A55" s="4">
        <v>1164</v>
      </c>
      <c r="B55" s="4" t="s">
        <v>130</v>
      </c>
      <c r="C55" s="4" t="s">
        <v>131</v>
      </c>
      <c r="D55" s="4" t="s">
        <v>54</v>
      </c>
      <c r="E55" s="4" t="b">
        <v>1</v>
      </c>
      <c r="F55" s="4" t="s">
        <v>25</v>
      </c>
      <c r="H55" s="5">
        <v>46088</v>
      </c>
    </row>
    <row r="56" spans="1:8" x14ac:dyDescent="0.2">
      <c r="A56" s="4">
        <v>1062</v>
      </c>
      <c r="B56" s="4" t="s">
        <v>130</v>
      </c>
      <c r="C56" s="4" t="s">
        <v>83</v>
      </c>
      <c r="D56" s="4" t="s">
        <v>23</v>
      </c>
      <c r="E56" s="4" t="b">
        <v>0</v>
      </c>
      <c r="F56" s="4" t="s">
        <v>27</v>
      </c>
      <c r="G56" s="4">
        <v>9</v>
      </c>
      <c r="H56" s="5">
        <v>46088</v>
      </c>
    </row>
    <row r="57" spans="1:8" x14ac:dyDescent="0.2">
      <c r="A57" s="4">
        <v>938</v>
      </c>
      <c r="B57" s="4" t="s">
        <v>130</v>
      </c>
      <c r="C57" s="4" t="s">
        <v>132</v>
      </c>
      <c r="D57" s="4" t="s">
        <v>23</v>
      </c>
      <c r="E57" s="4" t="b">
        <v>1</v>
      </c>
      <c r="F57" s="4" t="s">
        <v>27</v>
      </c>
      <c r="G57" s="4">
        <v>7</v>
      </c>
      <c r="H57" s="5">
        <v>46088</v>
      </c>
    </row>
    <row r="58" spans="1:8" x14ac:dyDescent="0.2">
      <c r="A58" s="4">
        <v>1034</v>
      </c>
      <c r="B58" s="4" t="s">
        <v>134</v>
      </c>
      <c r="C58" s="4" t="s">
        <v>83</v>
      </c>
      <c r="D58" s="4" t="s">
        <v>23</v>
      </c>
      <c r="E58" s="4" t="b">
        <v>0</v>
      </c>
      <c r="F58" s="4" t="s">
        <v>25</v>
      </c>
      <c r="H58" s="5">
        <v>46088</v>
      </c>
    </row>
    <row r="59" spans="1:8" x14ac:dyDescent="0.2">
      <c r="A59" s="4">
        <v>1402</v>
      </c>
      <c r="B59" s="4" t="s">
        <v>135</v>
      </c>
      <c r="C59" s="4" t="s">
        <v>136</v>
      </c>
      <c r="D59" s="4" t="s">
        <v>23</v>
      </c>
      <c r="E59" s="4" t="b">
        <v>0</v>
      </c>
      <c r="F59" s="4" t="s">
        <v>27</v>
      </c>
      <c r="G59" s="4">
        <v>7</v>
      </c>
      <c r="H59" s="5">
        <v>46088</v>
      </c>
    </row>
    <row r="60" spans="1:8" x14ac:dyDescent="0.2">
      <c r="A60" s="4">
        <v>939</v>
      </c>
      <c r="B60" s="4" t="s">
        <v>137</v>
      </c>
      <c r="C60" s="4" t="s">
        <v>127</v>
      </c>
      <c r="D60" s="4" t="s">
        <v>23</v>
      </c>
      <c r="E60" s="4" t="b">
        <v>1</v>
      </c>
      <c r="F60" s="4" t="s">
        <v>27</v>
      </c>
      <c r="G60" s="4">
        <v>12</v>
      </c>
      <c r="H60" s="5">
        <v>46088</v>
      </c>
    </row>
    <row r="61" spans="1:8" x14ac:dyDescent="0.2">
      <c r="A61" s="4">
        <v>1377</v>
      </c>
      <c r="B61" s="4" t="s">
        <v>138</v>
      </c>
      <c r="C61" s="4" t="s">
        <v>139</v>
      </c>
      <c r="D61" s="4" t="s">
        <v>23</v>
      </c>
      <c r="E61" s="4" t="b">
        <v>1</v>
      </c>
      <c r="F61" s="4" t="s">
        <v>27</v>
      </c>
      <c r="G61" s="4">
        <v>12</v>
      </c>
      <c r="H61" s="5">
        <v>46088</v>
      </c>
    </row>
    <row r="62" spans="1:8" x14ac:dyDescent="0.2">
      <c r="A62" s="4">
        <v>1281</v>
      </c>
      <c r="B62" s="4" t="s">
        <v>140</v>
      </c>
      <c r="C62" s="4" t="s">
        <v>141</v>
      </c>
      <c r="D62" s="4" t="s">
        <v>23</v>
      </c>
      <c r="E62" s="4" t="b">
        <v>0</v>
      </c>
      <c r="F62" s="4" t="s">
        <v>27</v>
      </c>
      <c r="G62" s="4">
        <v>19</v>
      </c>
      <c r="H62" s="5">
        <v>46088</v>
      </c>
    </row>
    <row r="63" spans="1:8" x14ac:dyDescent="0.2">
      <c r="A63" s="4">
        <v>933</v>
      </c>
      <c r="B63" s="4" t="s">
        <v>142</v>
      </c>
      <c r="C63" s="4" t="s">
        <v>143</v>
      </c>
      <c r="D63" s="4" t="s">
        <v>23</v>
      </c>
      <c r="E63" s="4" t="b">
        <v>0</v>
      </c>
      <c r="F63" s="4" t="s">
        <v>25</v>
      </c>
      <c r="H63" s="5">
        <v>46088</v>
      </c>
    </row>
    <row r="64" spans="1:8" x14ac:dyDescent="0.2">
      <c r="A64" s="4">
        <v>1274</v>
      </c>
      <c r="B64" s="4" t="s">
        <v>144</v>
      </c>
      <c r="C64" s="4" t="s">
        <v>145</v>
      </c>
      <c r="D64" s="4" t="s">
        <v>23</v>
      </c>
      <c r="E64" s="4" t="b">
        <v>1</v>
      </c>
      <c r="F64" s="4" t="s">
        <v>25</v>
      </c>
      <c r="H64" s="5">
        <v>46088</v>
      </c>
    </row>
    <row r="65" spans="1:8" x14ac:dyDescent="0.2">
      <c r="A65" s="4">
        <v>493</v>
      </c>
      <c r="B65" s="4" t="s">
        <v>146</v>
      </c>
      <c r="C65" s="4" t="s">
        <v>49</v>
      </c>
      <c r="D65" s="4" t="s">
        <v>48</v>
      </c>
      <c r="E65" s="4" t="b">
        <v>0</v>
      </c>
      <c r="F65" s="4" t="s">
        <v>27</v>
      </c>
      <c r="G65" s="4">
        <v>37</v>
      </c>
      <c r="H65" s="5">
        <v>46088</v>
      </c>
    </row>
    <row r="66" spans="1:8" x14ac:dyDescent="0.2">
      <c r="A66" s="4">
        <v>1279</v>
      </c>
      <c r="B66" s="4" t="s">
        <v>147</v>
      </c>
      <c r="C66" s="4" t="s">
        <v>148</v>
      </c>
      <c r="D66" s="4" t="s">
        <v>23</v>
      </c>
      <c r="E66" s="4" t="b">
        <v>0</v>
      </c>
      <c r="F66" s="4" t="s">
        <v>27</v>
      </c>
      <c r="G66" s="4">
        <v>4</v>
      </c>
      <c r="H66" s="5">
        <v>46088</v>
      </c>
    </row>
    <row r="67" spans="1:8" x14ac:dyDescent="0.2">
      <c r="A67" s="4">
        <v>1193</v>
      </c>
      <c r="B67" s="4" t="s">
        <v>149</v>
      </c>
      <c r="C67" s="4" t="s">
        <v>150</v>
      </c>
      <c r="D67" s="4" t="s">
        <v>23</v>
      </c>
      <c r="E67" s="4" t="b">
        <v>0</v>
      </c>
      <c r="F67" s="4" t="s">
        <v>25</v>
      </c>
      <c r="H67" s="5">
        <v>46088</v>
      </c>
    </row>
    <row r="68" spans="1:8" x14ac:dyDescent="0.2">
      <c r="A68" s="4">
        <v>1194</v>
      </c>
      <c r="B68" s="4" t="s">
        <v>149</v>
      </c>
      <c r="C68" s="4" t="s">
        <v>151</v>
      </c>
      <c r="D68" s="4" t="s">
        <v>23</v>
      </c>
      <c r="E68" s="4" t="b">
        <v>1</v>
      </c>
      <c r="F68" s="4" t="s">
        <v>25</v>
      </c>
      <c r="H68" s="5">
        <v>46088</v>
      </c>
    </row>
    <row r="69" spans="1:8" x14ac:dyDescent="0.2">
      <c r="A69" s="4">
        <v>1196</v>
      </c>
      <c r="B69" s="4" t="s">
        <v>149</v>
      </c>
      <c r="C69" s="4" t="s">
        <v>152</v>
      </c>
      <c r="D69" s="4" t="s">
        <v>23</v>
      </c>
      <c r="E69" s="4" t="b">
        <v>0</v>
      </c>
      <c r="F69" s="4" t="s">
        <v>35</v>
      </c>
      <c r="H69" s="5">
        <v>46088</v>
      </c>
    </row>
    <row r="70" spans="1:8" x14ac:dyDescent="0.2">
      <c r="A70" s="4">
        <v>1195</v>
      </c>
      <c r="B70" s="4" t="s">
        <v>149</v>
      </c>
      <c r="C70" s="4" t="s">
        <v>153</v>
      </c>
      <c r="D70" s="4" t="s">
        <v>23</v>
      </c>
      <c r="E70" s="4" t="b">
        <v>0</v>
      </c>
      <c r="F70" s="4" t="s">
        <v>35</v>
      </c>
      <c r="H70" s="5">
        <v>46088</v>
      </c>
    </row>
    <row r="71" spans="1:8" x14ac:dyDescent="0.2">
      <c r="A71" s="4">
        <v>1176</v>
      </c>
      <c r="B71" s="4" t="s">
        <v>154</v>
      </c>
      <c r="C71" s="4" t="s">
        <v>155</v>
      </c>
      <c r="D71" s="4" t="s">
        <v>23</v>
      </c>
      <c r="E71" s="4" t="b">
        <v>0</v>
      </c>
      <c r="F71" s="4" t="s">
        <v>35</v>
      </c>
      <c r="H71" s="5">
        <v>46088</v>
      </c>
    </row>
    <row r="72" spans="1:8" x14ac:dyDescent="0.2">
      <c r="A72" s="4">
        <v>1174</v>
      </c>
      <c r="B72" s="4" t="s">
        <v>154</v>
      </c>
      <c r="C72" s="4" t="s">
        <v>156</v>
      </c>
      <c r="D72" s="4" t="s">
        <v>23</v>
      </c>
      <c r="E72" s="4" t="b">
        <v>1</v>
      </c>
      <c r="F72" s="4" t="s">
        <v>27</v>
      </c>
      <c r="G72" s="4">
        <v>6</v>
      </c>
      <c r="H72" s="5">
        <v>46088</v>
      </c>
    </row>
    <row r="73" spans="1:8" x14ac:dyDescent="0.2">
      <c r="A73" s="4">
        <v>1175</v>
      </c>
      <c r="B73" s="4" t="s">
        <v>154</v>
      </c>
      <c r="C73" s="4" t="s">
        <v>150</v>
      </c>
      <c r="D73" s="4" t="s">
        <v>23</v>
      </c>
      <c r="E73" s="4" t="b">
        <v>0</v>
      </c>
      <c r="F73" s="4" t="s">
        <v>27</v>
      </c>
      <c r="G73" s="4">
        <v>12</v>
      </c>
      <c r="H73" s="5">
        <v>46088</v>
      </c>
    </row>
    <row r="74" spans="1:8" x14ac:dyDescent="0.2">
      <c r="A74" s="4">
        <v>1109</v>
      </c>
      <c r="B74" s="4" t="s">
        <v>157</v>
      </c>
      <c r="C74" s="4" t="s">
        <v>104</v>
      </c>
      <c r="D74" s="4" t="s">
        <v>23</v>
      </c>
      <c r="E74" s="4" t="b">
        <v>0</v>
      </c>
      <c r="F74" s="4" t="s">
        <v>25</v>
      </c>
      <c r="H74" s="5">
        <v>46088</v>
      </c>
    </row>
    <row r="75" spans="1:8" x14ac:dyDescent="0.2">
      <c r="A75" s="4">
        <v>1073</v>
      </c>
      <c r="B75" s="4" t="s">
        <v>158</v>
      </c>
      <c r="C75" s="4" t="s">
        <v>150</v>
      </c>
      <c r="D75" s="4" t="s">
        <v>23</v>
      </c>
      <c r="E75" s="4" t="b">
        <v>0</v>
      </c>
      <c r="F75" s="4" t="s">
        <v>27</v>
      </c>
      <c r="G75" s="4">
        <v>3</v>
      </c>
      <c r="H75" s="5">
        <v>46088</v>
      </c>
    </row>
    <row r="76" spans="1:8" x14ac:dyDescent="0.2">
      <c r="A76" s="4">
        <v>1400</v>
      </c>
      <c r="B76" s="4" t="s">
        <v>159</v>
      </c>
      <c r="C76" s="4" t="s">
        <v>160</v>
      </c>
      <c r="D76" s="4" t="s">
        <v>23</v>
      </c>
      <c r="E76" s="4" t="b">
        <v>0</v>
      </c>
      <c r="F76" s="4" t="s">
        <v>25</v>
      </c>
      <c r="H76" s="5">
        <v>46088</v>
      </c>
    </row>
    <row r="77" spans="1:8" x14ac:dyDescent="0.2">
      <c r="A77" s="4">
        <v>1367</v>
      </c>
      <c r="B77" s="4" t="s">
        <v>161</v>
      </c>
      <c r="C77" s="4" t="s">
        <v>152</v>
      </c>
      <c r="D77" s="4" t="s">
        <v>23</v>
      </c>
      <c r="E77" s="4" t="b">
        <v>0</v>
      </c>
      <c r="F77" s="4" t="s">
        <v>35</v>
      </c>
      <c r="H77" s="5">
        <v>46088</v>
      </c>
    </row>
    <row r="78" spans="1:8" x14ac:dyDescent="0.2">
      <c r="A78" s="4">
        <v>1366</v>
      </c>
      <c r="B78" s="4" t="s">
        <v>161</v>
      </c>
      <c r="C78" s="4" t="s">
        <v>162</v>
      </c>
      <c r="D78" s="4" t="s">
        <v>23</v>
      </c>
      <c r="E78" s="4" t="b">
        <v>1</v>
      </c>
      <c r="F78" s="4" t="s">
        <v>25</v>
      </c>
      <c r="H78" s="5">
        <v>46088</v>
      </c>
    </row>
    <row r="79" spans="1:8" x14ac:dyDescent="0.2">
      <c r="A79" s="4">
        <v>1365</v>
      </c>
      <c r="B79" s="4" t="s">
        <v>161</v>
      </c>
      <c r="C79" s="4" t="s">
        <v>163</v>
      </c>
      <c r="D79" s="4" t="s">
        <v>23</v>
      </c>
      <c r="E79" s="4" t="b">
        <v>1</v>
      </c>
      <c r="F79" s="4" t="s">
        <v>27</v>
      </c>
      <c r="G79" s="4">
        <v>7</v>
      </c>
      <c r="H79" s="5">
        <v>46088</v>
      </c>
    </row>
    <row r="80" spans="1:8" x14ac:dyDescent="0.2">
      <c r="A80" s="4">
        <v>897</v>
      </c>
      <c r="B80" s="4" t="s">
        <v>161</v>
      </c>
      <c r="C80" s="4" t="s">
        <v>164</v>
      </c>
      <c r="D80" s="4" t="s">
        <v>23</v>
      </c>
      <c r="E80" s="4" t="b">
        <v>0</v>
      </c>
      <c r="F80" s="4" t="s">
        <v>27</v>
      </c>
      <c r="G80" s="4">
        <v>13</v>
      </c>
      <c r="H80" s="5">
        <v>46088</v>
      </c>
    </row>
    <row r="81" spans="1:8" x14ac:dyDescent="0.2">
      <c r="A81" s="4">
        <v>1308</v>
      </c>
      <c r="B81" s="4" t="s">
        <v>165</v>
      </c>
      <c r="C81" s="4" t="s">
        <v>166</v>
      </c>
      <c r="D81" s="4" t="s">
        <v>23</v>
      </c>
      <c r="E81" s="4" t="b">
        <v>1</v>
      </c>
      <c r="F81" s="4" t="s">
        <v>27</v>
      </c>
      <c r="G81" s="4">
        <v>2</v>
      </c>
      <c r="H81" s="5">
        <v>46088</v>
      </c>
    </row>
    <row r="82" spans="1:8" x14ac:dyDescent="0.2">
      <c r="A82" s="4">
        <v>1206</v>
      </c>
      <c r="B82" s="4" t="s">
        <v>167</v>
      </c>
      <c r="C82" s="4" t="s">
        <v>168</v>
      </c>
      <c r="D82" s="4" t="s">
        <v>23</v>
      </c>
      <c r="E82" s="4" t="b">
        <v>1</v>
      </c>
      <c r="F82" s="4" t="s">
        <v>27</v>
      </c>
      <c r="G82" s="4">
        <v>8</v>
      </c>
      <c r="H82" s="5">
        <v>46088</v>
      </c>
    </row>
    <row r="83" spans="1:8" x14ac:dyDescent="0.2">
      <c r="A83" s="4">
        <v>1205</v>
      </c>
      <c r="B83" s="4" t="s">
        <v>167</v>
      </c>
      <c r="C83" s="4" t="s">
        <v>66</v>
      </c>
      <c r="D83" s="4" t="s">
        <v>23</v>
      </c>
      <c r="E83" s="4" t="b">
        <v>0</v>
      </c>
      <c r="F83" s="4" t="s">
        <v>27</v>
      </c>
      <c r="G83" s="4">
        <v>14</v>
      </c>
      <c r="H83" s="5">
        <v>46088</v>
      </c>
    </row>
    <row r="84" spans="1:8" x14ac:dyDescent="0.2">
      <c r="A84" s="4">
        <v>1406</v>
      </c>
      <c r="B84" s="4" t="s">
        <v>169</v>
      </c>
      <c r="C84" s="4" t="s">
        <v>170</v>
      </c>
      <c r="D84" s="4" t="s">
        <v>23</v>
      </c>
      <c r="E84" s="4" t="b">
        <v>0</v>
      </c>
      <c r="F84" s="4" t="s">
        <v>27</v>
      </c>
      <c r="G84" s="4">
        <v>9</v>
      </c>
      <c r="H84" s="5">
        <v>46088</v>
      </c>
    </row>
    <row r="85" spans="1:8" x14ac:dyDescent="0.2">
      <c r="A85" s="4">
        <v>1182</v>
      </c>
      <c r="B85" s="4" t="s">
        <v>171</v>
      </c>
      <c r="C85" s="4" t="s">
        <v>136</v>
      </c>
      <c r="D85" s="4" t="s">
        <v>23</v>
      </c>
      <c r="E85" s="4" t="b">
        <v>0</v>
      </c>
      <c r="F85" s="4" t="s">
        <v>27</v>
      </c>
      <c r="G85" s="4">
        <v>8</v>
      </c>
      <c r="H85" s="5">
        <v>46088</v>
      </c>
    </row>
    <row r="86" spans="1:8" x14ac:dyDescent="0.2">
      <c r="A86" s="4">
        <v>1340</v>
      </c>
      <c r="B86" s="4" t="s">
        <v>172</v>
      </c>
      <c r="C86" s="4" t="s">
        <v>173</v>
      </c>
      <c r="D86" s="4" t="s">
        <v>23</v>
      </c>
      <c r="E86" s="4" t="b">
        <v>0</v>
      </c>
      <c r="F86" s="4" t="s">
        <v>27</v>
      </c>
      <c r="G86" s="4">
        <v>8</v>
      </c>
      <c r="H86" s="5">
        <v>46088</v>
      </c>
    </row>
    <row r="87" spans="1:8" x14ac:dyDescent="0.2">
      <c r="A87" s="4">
        <v>21</v>
      </c>
      <c r="B87" s="4" t="s">
        <v>174</v>
      </c>
      <c r="C87" s="4" t="s">
        <v>175</v>
      </c>
      <c r="D87" s="4" t="s">
        <v>23</v>
      </c>
      <c r="E87" s="4" t="b">
        <v>0</v>
      </c>
      <c r="F87" s="4" t="s">
        <v>25</v>
      </c>
      <c r="H87" s="5">
        <v>46088</v>
      </c>
    </row>
    <row r="88" spans="1:8" x14ac:dyDescent="0.2">
      <c r="A88" s="4">
        <v>1049</v>
      </c>
      <c r="B88" s="4" t="s">
        <v>176</v>
      </c>
      <c r="C88" s="4" t="s">
        <v>177</v>
      </c>
      <c r="D88" s="4" t="s">
        <v>23</v>
      </c>
      <c r="E88" s="4" t="b">
        <v>0</v>
      </c>
      <c r="F88" s="4" t="s">
        <v>27</v>
      </c>
      <c r="G88" s="4">
        <v>19</v>
      </c>
      <c r="H88" s="5">
        <v>46088</v>
      </c>
    </row>
    <row r="89" spans="1:8" x14ac:dyDescent="0.2">
      <c r="A89" s="4">
        <v>120</v>
      </c>
      <c r="B89" s="4" t="s">
        <v>178</v>
      </c>
      <c r="C89" s="4" t="s">
        <v>179</v>
      </c>
      <c r="D89" s="4" t="s">
        <v>23</v>
      </c>
      <c r="E89" s="4" t="b">
        <v>1</v>
      </c>
      <c r="F89" s="4" t="s">
        <v>27</v>
      </c>
      <c r="G89" s="4">
        <v>12</v>
      </c>
      <c r="H89" s="5">
        <v>46088</v>
      </c>
    </row>
    <row r="90" spans="1:8" x14ac:dyDescent="0.2">
      <c r="A90" s="4">
        <v>1395</v>
      </c>
      <c r="B90" s="4" t="s">
        <v>181</v>
      </c>
      <c r="C90" s="4" t="s">
        <v>182</v>
      </c>
      <c r="D90" s="4" t="s">
        <v>23</v>
      </c>
      <c r="E90" s="4" t="b">
        <v>1</v>
      </c>
      <c r="F90" s="4" t="s">
        <v>35</v>
      </c>
      <c r="H90" s="5">
        <v>46088</v>
      </c>
    </row>
    <row r="91" spans="1:8" x14ac:dyDescent="0.2">
      <c r="A91" s="4">
        <v>1158</v>
      </c>
      <c r="B91" s="4" t="s">
        <v>183</v>
      </c>
      <c r="C91" s="4" t="s">
        <v>184</v>
      </c>
      <c r="D91" s="4" t="s">
        <v>23</v>
      </c>
      <c r="E91" s="4" t="b">
        <v>1</v>
      </c>
      <c r="F91" s="4" t="s">
        <v>25</v>
      </c>
      <c r="H91" s="5">
        <v>46088</v>
      </c>
    </row>
    <row r="92" spans="1:8" x14ac:dyDescent="0.2">
      <c r="A92" s="4">
        <v>23</v>
      </c>
      <c r="B92" s="4" t="s">
        <v>185</v>
      </c>
      <c r="C92" s="4" t="s">
        <v>100</v>
      </c>
      <c r="D92" s="4" t="s">
        <v>23</v>
      </c>
      <c r="E92" s="4" t="b">
        <v>0</v>
      </c>
      <c r="F92" s="4" t="s">
        <v>27</v>
      </c>
      <c r="G92" s="4">
        <v>10</v>
      </c>
      <c r="H92" s="5">
        <v>46088</v>
      </c>
    </row>
    <row r="93" spans="1:8" x14ac:dyDescent="0.2">
      <c r="A93" s="4">
        <v>1152</v>
      </c>
      <c r="B93" s="4" t="s">
        <v>186</v>
      </c>
      <c r="C93" s="4" t="s">
        <v>187</v>
      </c>
      <c r="D93" s="4" t="s">
        <v>23</v>
      </c>
      <c r="E93" s="4" t="b">
        <v>1</v>
      </c>
      <c r="F93" s="4" t="s">
        <v>188</v>
      </c>
      <c r="H93" s="5">
        <v>46088</v>
      </c>
    </row>
    <row r="94" spans="1:8" x14ac:dyDescent="0.2">
      <c r="A94" s="4">
        <v>581</v>
      </c>
      <c r="B94" s="4" t="s">
        <v>189</v>
      </c>
      <c r="C94" s="4" t="s">
        <v>190</v>
      </c>
      <c r="D94" s="4" t="s">
        <v>23</v>
      </c>
      <c r="E94" s="4" t="b">
        <v>0</v>
      </c>
      <c r="F94" s="4" t="s">
        <v>27</v>
      </c>
      <c r="G94" s="4">
        <v>13</v>
      </c>
      <c r="H94" s="5">
        <v>46088</v>
      </c>
    </row>
    <row r="95" spans="1:8" x14ac:dyDescent="0.2">
      <c r="A95" s="4">
        <v>1374</v>
      </c>
      <c r="B95" s="4" t="s">
        <v>191</v>
      </c>
      <c r="C95" s="4" t="s">
        <v>192</v>
      </c>
      <c r="D95" s="4" t="s">
        <v>23</v>
      </c>
      <c r="E95" s="4" t="b">
        <v>0</v>
      </c>
      <c r="F95" s="4" t="s">
        <v>25</v>
      </c>
      <c r="H95" s="5">
        <v>46088</v>
      </c>
    </row>
    <row r="96" spans="1:8" x14ac:dyDescent="0.2">
      <c r="A96" s="4">
        <v>25</v>
      </c>
      <c r="B96" s="4" t="s">
        <v>22</v>
      </c>
      <c r="C96" s="4" t="s">
        <v>193</v>
      </c>
      <c r="D96" s="4" t="s">
        <v>23</v>
      </c>
      <c r="E96" s="4" t="b">
        <v>0</v>
      </c>
      <c r="F96" s="4" t="s">
        <v>27</v>
      </c>
      <c r="G96" s="4">
        <v>8</v>
      </c>
      <c r="H96" s="5">
        <v>46088</v>
      </c>
    </row>
    <row r="97" spans="1:8" x14ac:dyDescent="0.2">
      <c r="A97" s="4">
        <v>415</v>
      </c>
      <c r="B97" s="4" t="s">
        <v>195</v>
      </c>
      <c r="C97" s="4" t="s">
        <v>196</v>
      </c>
      <c r="D97" s="4" t="s">
        <v>23</v>
      </c>
      <c r="E97" s="4" t="b">
        <v>0</v>
      </c>
      <c r="F97" s="4" t="s">
        <v>27</v>
      </c>
      <c r="G97" s="4">
        <v>6</v>
      </c>
      <c r="H97" s="5">
        <v>46088</v>
      </c>
    </row>
    <row r="98" spans="1:8" x14ac:dyDescent="0.2">
      <c r="A98" s="4">
        <v>1144</v>
      </c>
      <c r="B98" s="4" t="s">
        <v>195</v>
      </c>
      <c r="C98" s="4" t="s">
        <v>197</v>
      </c>
      <c r="D98" s="4" t="s">
        <v>54</v>
      </c>
      <c r="E98" s="4" t="b">
        <v>0</v>
      </c>
      <c r="F98" s="4" t="s">
        <v>188</v>
      </c>
      <c r="H98" s="5">
        <v>46088</v>
      </c>
    </row>
    <row r="99" spans="1:8" x14ac:dyDescent="0.2">
      <c r="A99" s="4">
        <v>203</v>
      </c>
      <c r="B99" s="4" t="s">
        <v>200</v>
      </c>
      <c r="C99" s="4" t="s">
        <v>201</v>
      </c>
      <c r="D99" s="4" t="s">
        <v>23</v>
      </c>
      <c r="E99" s="4" t="b">
        <v>0</v>
      </c>
      <c r="F99" s="4" t="s">
        <v>27</v>
      </c>
      <c r="G99" s="4">
        <v>9</v>
      </c>
      <c r="H99" s="5">
        <v>46088</v>
      </c>
    </row>
    <row r="100" spans="1:8" x14ac:dyDescent="0.2">
      <c r="A100" s="4">
        <v>956</v>
      </c>
      <c r="B100" s="4" t="s">
        <v>202</v>
      </c>
      <c r="C100" s="4" t="s">
        <v>94</v>
      </c>
      <c r="D100" s="4" t="s">
        <v>23</v>
      </c>
      <c r="E100" s="4" t="b">
        <v>0</v>
      </c>
      <c r="F100" s="4" t="s">
        <v>27</v>
      </c>
      <c r="G100" s="4">
        <v>13</v>
      </c>
      <c r="H100" s="5">
        <v>46088</v>
      </c>
    </row>
    <row r="101" spans="1:8" x14ac:dyDescent="0.2">
      <c r="A101" s="4">
        <v>1273</v>
      </c>
      <c r="B101" s="4" t="s">
        <v>203</v>
      </c>
      <c r="C101" s="4" t="s">
        <v>204</v>
      </c>
      <c r="D101" s="4" t="s">
        <v>23</v>
      </c>
      <c r="E101" s="4" t="b">
        <v>1</v>
      </c>
      <c r="F101" s="4" t="s">
        <v>27</v>
      </c>
      <c r="G101" s="4">
        <v>22</v>
      </c>
      <c r="H101" s="5">
        <v>46088</v>
      </c>
    </row>
    <row r="102" spans="1:8" x14ac:dyDescent="0.2">
      <c r="A102" s="4">
        <v>1272</v>
      </c>
      <c r="B102" s="4" t="s">
        <v>203</v>
      </c>
      <c r="C102" s="4" t="s">
        <v>205</v>
      </c>
      <c r="D102" s="4" t="s">
        <v>23</v>
      </c>
      <c r="E102" s="4" t="b">
        <v>0</v>
      </c>
      <c r="F102" s="4" t="s">
        <v>27</v>
      </c>
      <c r="G102" s="4">
        <v>24</v>
      </c>
      <c r="H102" s="5">
        <v>46088</v>
      </c>
    </row>
    <row r="103" spans="1:8" x14ac:dyDescent="0.2">
      <c r="A103" s="4">
        <v>846</v>
      </c>
      <c r="B103" s="4" t="s">
        <v>206</v>
      </c>
      <c r="C103" s="4" t="s">
        <v>207</v>
      </c>
      <c r="D103" s="4" t="s">
        <v>23</v>
      </c>
      <c r="E103" s="4" t="b">
        <v>0</v>
      </c>
      <c r="F103" s="4" t="s">
        <v>27</v>
      </c>
      <c r="G103" s="4">
        <v>17</v>
      </c>
      <c r="H103" s="5">
        <v>46088</v>
      </c>
    </row>
    <row r="104" spans="1:8" x14ac:dyDescent="0.2">
      <c r="A104" s="4">
        <v>1162</v>
      </c>
      <c r="B104" s="4" t="s">
        <v>208</v>
      </c>
      <c r="C104" s="4" t="s">
        <v>150</v>
      </c>
      <c r="D104" s="4" t="s">
        <v>23</v>
      </c>
      <c r="E104" s="4" t="b">
        <v>0</v>
      </c>
      <c r="F104" s="4" t="s">
        <v>25</v>
      </c>
      <c r="H104" s="5">
        <v>46088</v>
      </c>
    </row>
    <row r="105" spans="1:8" x14ac:dyDescent="0.2">
      <c r="A105" s="4">
        <v>1244</v>
      </c>
      <c r="B105" s="4" t="s">
        <v>209</v>
      </c>
      <c r="C105" s="4" t="s">
        <v>94</v>
      </c>
      <c r="D105" s="4" t="s">
        <v>23</v>
      </c>
      <c r="E105" s="4" t="b">
        <v>0</v>
      </c>
      <c r="F105" s="4" t="s">
        <v>27</v>
      </c>
      <c r="G105" s="4">
        <v>2</v>
      </c>
      <c r="H105" s="5">
        <v>46088</v>
      </c>
    </row>
    <row r="106" spans="1:8" x14ac:dyDescent="0.2">
      <c r="A106" s="4">
        <v>1379</v>
      </c>
      <c r="B106" s="4" t="s">
        <v>209</v>
      </c>
      <c r="C106" s="4" t="s">
        <v>210</v>
      </c>
      <c r="D106" s="4" t="s">
        <v>23</v>
      </c>
      <c r="E106" s="4" t="b">
        <v>1</v>
      </c>
      <c r="F106" s="4" t="s">
        <v>25</v>
      </c>
      <c r="H106" s="5">
        <v>46088</v>
      </c>
    </row>
    <row r="107" spans="1:8" x14ac:dyDescent="0.2">
      <c r="A107" s="4">
        <v>1362</v>
      </c>
      <c r="B107" s="4" t="s">
        <v>211</v>
      </c>
      <c r="C107" s="4" t="s">
        <v>212</v>
      </c>
      <c r="D107" s="4" t="s">
        <v>23</v>
      </c>
      <c r="E107" s="4" t="b">
        <v>1</v>
      </c>
      <c r="F107" s="4" t="s">
        <v>27</v>
      </c>
      <c r="G107" s="4">
        <v>22</v>
      </c>
      <c r="H107" s="5">
        <v>46088</v>
      </c>
    </row>
    <row r="108" spans="1:8" x14ac:dyDescent="0.2">
      <c r="A108" s="4">
        <v>1403</v>
      </c>
      <c r="B108" s="4" t="s">
        <v>213</v>
      </c>
      <c r="C108" s="4" t="s">
        <v>214</v>
      </c>
      <c r="D108" s="4" t="s">
        <v>23</v>
      </c>
      <c r="E108" s="4" t="b">
        <v>0</v>
      </c>
      <c r="F108" s="4" t="s">
        <v>27</v>
      </c>
      <c r="G108" s="4">
        <v>8</v>
      </c>
      <c r="H108" s="5">
        <v>46088</v>
      </c>
    </row>
    <row r="109" spans="1:8" x14ac:dyDescent="0.2">
      <c r="A109" s="4">
        <v>1404</v>
      </c>
      <c r="B109" s="4" t="s">
        <v>213</v>
      </c>
      <c r="C109" s="4" t="s">
        <v>215</v>
      </c>
      <c r="D109" s="4" t="s">
        <v>23</v>
      </c>
      <c r="E109" s="4" t="b">
        <v>1</v>
      </c>
      <c r="F109" s="4" t="s">
        <v>25</v>
      </c>
      <c r="H109" s="5">
        <v>46088</v>
      </c>
    </row>
    <row r="110" spans="1:8" x14ac:dyDescent="0.2">
      <c r="A110" s="4">
        <v>1229</v>
      </c>
      <c r="B110" s="4" t="s">
        <v>216</v>
      </c>
      <c r="C110" s="4" t="s">
        <v>217</v>
      </c>
      <c r="D110" s="4" t="s">
        <v>23</v>
      </c>
      <c r="E110" s="4" t="b">
        <v>1</v>
      </c>
      <c r="F110" s="4" t="s">
        <v>25</v>
      </c>
      <c r="H110" s="5">
        <v>46088</v>
      </c>
    </row>
    <row r="111" spans="1:8" x14ac:dyDescent="0.2">
      <c r="A111" s="4">
        <v>1408</v>
      </c>
      <c r="B111" s="4" t="s">
        <v>218</v>
      </c>
      <c r="C111" s="4" t="s">
        <v>219</v>
      </c>
      <c r="D111" s="4" t="s">
        <v>23</v>
      </c>
      <c r="E111" s="4" t="b">
        <v>0</v>
      </c>
      <c r="F111" s="4" t="s">
        <v>27</v>
      </c>
      <c r="G111" s="4">
        <v>20</v>
      </c>
      <c r="H111" s="5">
        <v>46088</v>
      </c>
    </row>
    <row r="112" spans="1:8" x14ac:dyDescent="0.2">
      <c r="A112" s="4">
        <v>1409</v>
      </c>
      <c r="B112" s="4" t="s">
        <v>218</v>
      </c>
      <c r="C112" s="4" t="s">
        <v>220</v>
      </c>
      <c r="D112" s="4" t="s">
        <v>23</v>
      </c>
      <c r="E112" s="4" t="b">
        <v>1</v>
      </c>
      <c r="F112" s="4" t="s">
        <v>27</v>
      </c>
      <c r="G112" s="4">
        <v>15</v>
      </c>
      <c r="H112" s="5">
        <v>46088</v>
      </c>
    </row>
    <row r="113" spans="1:8" x14ac:dyDescent="0.2">
      <c r="A113" s="4">
        <v>1198</v>
      </c>
      <c r="B113" s="4" t="s">
        <v>221</v>
      </c>
      <c r="C113" s="4" t="s">
        <v>222</v>
      </c>
      <c r="D113" s="4" t="s">
        <v>23</v>
      </c>
      <c r="E113" s="4" t="b">
        <v>0</v>
      </c>
      <c r="F113" s="4" t="s">
        <v>27</v>
      </c>
      <c r="G113" s="4">
        <v>5</v>
      </c>
      <c r="H113" s="5">
        <v>46088</v>
      </c>
    </row>
    <row r="114" spans="1:8" x14ac:dyDescent="0.2">
      <c r="A114" s="4">
        <v>1361</v>
      </c>
      <c r="B114" s="4" t="s">
        <v>224</v>
      </c>
      <c r="C114" s="4" t="s">
        <v>225</v>
      </c>
      <c r="D114" s="4" t="s">
        <v>23</v>
      </c>
      <c r="E114" s="4" t="b">
        <v>0</v>
      </c>
      <c r="F114" s="4" t="s">
        <v>27</v>
      </c>
      <c r="G114" s="4">
        <v>16</v>
      </c>
      <c r="H114" s="5">
        <v>46088</v>
      </c>
    </row>
    <row r="115" spans="1:8" x14ac:dyDescent="0.2">
      <c r="A115" s="4">
        <v>1100</v>
      </c>
      <c r="B115" s="4" t="s">
        <v>226</v>
      </c>
      <c r="C115" s="4" t="s">
        <v>34</v>
      </c>
      <c r="D115" s="4" t="s">
        <v>23</v>
      </c>
      <c r="E115" s="4" t="b">
        <v>0</v>
      </c>
      <c r="F115" s="4" t="s">
        <v>27</v>
      </c>
      <c r="G115" s="4">
        <v>13</v>
      </c>
      <c r="H115" s="5">
        <v>46088</v>
      </c>
    </row>
    <row r="116" spans="1:8" x14ac:dyDescent="0.2">
      <c r="A116" s="4">
        <v>1385</v>
      </c>
      <c r="B116" s="4" t="s">
        <v>227</v>
      </c>
      <c r="C116" s="4" t="s">
        <v>228</v>
      </c>
      <c r="D116" s="4" t="s">
        <v>23</v>
      </c>
      <c r="E116" s="4" t="b">
        <v>0</v>
      </c>
      <c r="F116" s="4" t="s">
        <v>25</v>
      </c>
      <c r="H116" s="5">
        <v>46088</v>
      </c>
    </row>
    <row r="117" spans="1:8" x14ac:dyDescent="0.2">
      <c r="A117" s="4">
        <v>1394</v>
      </c>
      <c r="B117" s="4" t="s">
        <v>227</v>
      </c>
      <c r="C117" s="4" t="s">
        <v>229</v>
      </c>
      <c r="D117" s="4" t="s">
        <v>23</v>
      </c>
      <c r="E117" s="4" t="b">
        <v>0</v>
      </c>
      <c r="F117" s="4" t="s">
        <v>35</v>
      </c>
      <c r="H117" s="5">
        <v>46088</v>
      </c>
    </row>
    <row r="118" spans="1:8" x14ac:dyDescent="0.2">
      <c r="A118" s="4">
        <v>967</v>
      </c>
      <c r="B118" s="4" t="s">
        <v>232</v>
      </c>
      <c r="C118" s="4" t="s">
        <v>152</v>
      </c>
      <c r="D118" s="4" t="s">
        <v>23</v>
      </c>
      <c r="E118" s="4" t="b">
        <v>0</v>
      </c>
      <c r="F118" s="4" t="s">
        <v>27</v>
      </c>
      <c r="G118" s="4">
        <v>5</v>
      </c>
      <c r="H118" s="5">
        <v>46088</v>
      </c>
    </row>
    <row r="119" spans="1:8" x14ac:dyDescent="0.2">
      <c r="A119" s="4">
        <v>1045</v>
      </c>
      <c r="B119" s="4" t="s">
        <v>235</v>
      </c>
      <c r="C119" s="4" t="s">
        <v>236</v>
      </c>
      <c r="D119" s="4" t="s">
        <v>23</v>
      </c>
      <c r="E119" s="4" t="b">
        <v>1</v>
      </c>
      <c r="F119" s="4" t="s">
        <v>27</v>
      </c>
      <c r="G119" s="4">
        <v>5</v>
      </c>
      <c r="H119" s="5">
        <v>46088</v>
      </c>
    </row>
    <row r="120" spans="1:8" x14ac:dyDescent="0.2">
      <c r="A120" s="4">
        <v>1046</v>
      </c>
      <c r="B120" s="4" t="s">
        <v>235</v>
      </c>
      <c r="C120" s="4" t="s">
        <v>237</v>
      </c>
      <c r="D120" s="4" t="s">
        <v>23</v>
      </c>
      <c r="E120" s="4" t="b">
        <v>0</v>
      </c>
      <c r="F120" s="4" t="s">
        <v>27</v>
      </c>
      <c r="G120" s="4">
        <v>35</v>
      </c>
      <c r="H120" s="5">
        <v>46088</v>
      </c>
    </row>
    <row r="121" spans="1:8" x14ac:dyDescent="0.2">
      <c r="A121" s="4">
        <v>1396</v>
      </c>
      <c r="B121" s="4" t="s">
        <v>238</v>
      </c>
      <c r="C121" s="4" t="s">
        <v>59</v>
      </c>
      <c r="D121" s="4" t="s">
        <v>23</v>
      </c>
      <c r="E121" s="4" t="b">
        <v>0</v>
      </c>
      <c r="F121" s="4" t="s">
        <v>25</v>
      </c>
      <c r="H121" s="5">
        <v>46088</v>
      </c>
    </row>
    <row r="122" spans="1:8" x14ac:dyDescent="0.2">
      <c r="A122" s="4">
        <v>1397</v>
      </c>
      <c r="B122" s="4" t="s">
        <v>238</v>
      </c>
      <c r="C122" s="4" t="s">
        <v>239</v>
      </c>
      <c r="D122" s="4" t="s">
        <v>23</v>
      </c>
      <c r="E122" s="4" t="b">
        <v>1</v>
      </c>
      <c r="F122" s="4" t="s">
        <v>25</v>
      </c>
      <c r="H122" s="5">
        <v>46088</v>
      </c>
    </row>
    <row r="123" spans="1:8" x14ac:dyDescent="0.2">
      <c r="A123" s="4">
        <v>1398</v>
      </c>
      <c r="B123" s="4" t="s">
        <v>238</v>
      </c>
      <c r="C123" s="4" t="s">
        <v>49</v>
      </c>
      <c r="D123" s="4" t="s">
        <v>23</v>
      </c>
      <c r="E123" s="4" t="b">
        <v>0</v>
      </c>
      <c r="F123" s="4" t="s">
        <v>35</v>
      </c>
      <c r="H123" s="5">
        <v>46088</v>
      </c>
    </row>
    <row r="124" spans="1:8" x14ac:dyDescent="0.2">
      <c r="A124" s="4">
        <v>1399</v>
      </c>
      <c r="B124" s="4" t="s">
        <v>238</v>
      </c>
      <c r="C124" s="4" t="s">
        <v>131</v>
      </c>
      <c r="D124" s="4" t="s">
        <v>23</v>
      </c>
      <c r="E124" s="4" t="b">
        <v>1</v>
      </c>
      <c r="F124" s="4" t="s">
        <v>35</v>
      </c>
      <c r="H124" s="5">
        <v>46088</v>
      </c>
    </row>
    <row r="125" spans="1:8" x14ac:dyDescent="0.2">
      <c r="A125" s="4">
        <v>771</v>
      </c>
      <c r="B125" s="4" t="s">
        <v>240</v>
      </c>
      <c r="C125" s="4" t="s">
        <v>241</v>
      </c>
      <c r="D125" s="4" t="s">
        <v>23</v>
      </c>
      <c r="E125" s="4" t="b">
        <v>0</v>
      </c>
      <c r="F125" s="4" t="s">
        <v>27</v>
      </c>
      <c r="G125" s="4">
        <v>14</v>
      </c>
      <c r="H125" s="5">
        <v>46088</v>
      </c>
    </row>
    <row r="126" spans="1:8" x14ac:dyDescent="0.2">
      <c r="A126" s="4">
        <v>1265</v>
      </c>
      <c r="B126" s="4" t="s">
        <v>242</v>
      </c>
      <c r="C126" s="4" t="s">
        <v>243</v>
      </c>
      <c r="D126" s="4" t="s">
        <v>23</v>
      </c>
      <c r="E126" s="4" t="b">
        <v>0</v>
      </c>
      <c r="F126" s="4" t="s">
        <v>27</v>
      </c>
      <c r="G126" s="4">
        <v>20</v>
      </c>
      <c r="H126" s="5">
        <v>46088</v>
      </c>
    </row>
    <row r="127" spans="1:8" x14ac:dyDescent="0.2">
      <c r="A127" s="4">
        <v>532</v>
      </c>
      <c r="B127" s="4" t="s">
        <v>244</v>
      </c>
      <c r="C127" s="4" t="s">
        <v>243</v>
      </c>
      <c r="D127" s="4" t="s">
        <v>23</v>
      </c>
      <c r="E127" s="4" t="b">
        <v>0</v>
      </c>
      <c r="F127" s="4" t="s">
        <v>27</v>
      </c>
      <c r="G127" s="4">
        <v>13</v>
      </c>
      <c r="H127" s="5">
        <v>46088</v>
      </c>
    </row>
    <row r="128" spans="1:8" x14ac:dyDescent="0.2">
      <c r="A128" s="4">
        <v>742</v>
      </c>
      <c r="B128" s="4" t="s">
        <v>246</v>
      </c>
      <c r="C128" s="4" t="s">
        <v>156</v>
      </c>
      <c r="D128" s="4" t="s">
        <v>23</v>
      </c>
      <c r="E128" s="4" t="b">
        <v>1</v>
      </c>
      <c r="F128" s="4" t="s">
        <v>27</v>
      </c>
      <c r="G128" s="4">
        <v>2</v>
      </c>
      <c r="H128" s="5">
        <v>46088</v>
      </c>
    </row>
    <row r="129" spans="1:8" x14ac:dyDescent="0.2">
      <c r="A129" s="4">
        <v>741</v>
      </c>
      <c r="B129" s="4" t="s">
        <v>246</v>
      </c>
      <c r="C129" s="4" t="s">
        <v>247</v>
      </c>
      <c r="D129" s="4" t="s">
        <v>23</v>
      </c>
      <c r="E129" s="4" t="b">
        <v>0</v>
      </c>
      <c r="F129" s="4" t="s">
        <v>27</v>
      </c>
      <c r="G129" s="4">
        <v>4</v>
      </c>
      <c r="H129" s="5">
        <v>46088</v>
      </c>
    </row>
    <row r="130" spans="1:8" x14ac:dyDescent="0.2">
      <c r="A130" s="4">
        <v>1298</v>
      </c>
      <c r="B130" s="4" t="s">
        <v>246</v>
      </c>
      <c r="C130" s="4" t="s">
        <v>132</v>
      </c>
      <c r="D130" s="4" t="s">
        <v>23</v>
      </c>
      <c r="E130" s="4" t="b">
        <v>1</v>
      </c>
      <c r="F130" s="4" t="s">
        <v>27</v>
      </c>
      <c r="G130" s="4">
        <v>13</v>
      </c>
      <c r="H130" s="5">
        <v>46088</v>
      </c>
    </row>
    <row r="131" spans="1:8" x14ac:dyDescent="0.2">
      <c r="A131" s="4">
        <v>747</v>
      </c>
      <c r="B131" s="4" t="s">
        <v>246</v>
      </c>
      <c r="C131" s="4" t="s">
        <v>22</v>
      </c>
      <c r="D131" s="4" t="s">
        <v>23</v>
      </c>
      <c r="E131" s="4" t="b">
        <v>0</v>
      </c>
      <c r="F131" s="4" t="s">
        <v>27</v>
      </c>
      <c r="G131" s="4">
        <v>1</v>
      </c>
      <c r="H131" s="5">
        <v>46088</v>
      </c>
    </row>
    <row r="132" spans="1:8" x14ac:dyDescent="0.2">
      <c r="A132" s="4">
        <v>1386</v>
      </c>
      <c r="B132" s="4" t="s">
        <v>246</v>
      </c>
      <c r="C132" s="4" t="s">
        <v>248</v>
      </c>
      <c r="D132" s="4" t="s">
        <v>23</v>
      </c>
      <c r="E132" s="4" t="b">
        <v>1</v>
      </c>
      <c r="F132" s="4" t="s">
        <v>35</v>
      </c>
      <c r="H132" s="5">
        <v>46088</v>
      </c>
    </row>
    <row r="133" spans="1:8" x14ac:dyDescent="0.2">
      <c r="A133" s="4">
        <v>564</v>
      </c>
      <c r="B133" s="4" t="s">
        <v>250</v>
      </c>
      <c r="C133" s="4" t="s">
        <v>34</v>
      </c>
      <c r="D133" s="4" t="s">
        <v>23</v>
      </c>
      <c r="E133" s="4" t="b">
        <v>0</v>
      </c>
      <c r="F133" s="4" t="s">
        <v>27</v>
      </c>
      <c r="G133" s="4">
        <v>7</v>
      </c>
      <c r="H133" s="5">
        <v>46088</v>
      </c>
    </row>
    <row r="134" spans="1:8" x14ac:dyDescent="0.2">
      <c r="A134" s="4">
        <v>1165</v>
      </c>
      <c r="B134" s="4" t="s">
        <v>251</v>
      </c>
      <c r="C134" s="4" t="s">
        <v>177</v>
      </c>
      <c r="D134" s="4" t="s">
        <v>23</v>
      </c>
      <c r="E134" s="4" t="b">
        <v>0</v>
      </c>
      <c r="F134" s="4" t="s">
        <v>27</v>
      </c>
      <c r="G134" s="4">
        <v>10</v>
      </c>
      <c r="H134" s="5">
        <v>46088</v>
      </c>
    </row>
    <row r="135" spans="1:8" x14ac:dyDescent="0.2">
      <c r="A135" s="4">
        <v>405</v>
      </c>
      <c r="B135" s="4" t="s">
        <v>252</v>
      </c>
      <c r="C135" s="4" t="s">
        <v>243</v>
      </c>
      <c r="D135" s="4" t="s">
        <v>23</v>
      </c>
      <c r="E135" s="4" t="b">
        <v>0</v>
      </c>
      <c r="F135" s="4" t="s">
        <v>27</v>
      </c>
      <c r="G135" s="4">
        <v>18</v>
      </c>
      <c r="H135" s="5">
        <v>46088</v>
      </c>
    </row>
    <row r="136" spans="1:8" x14ac:dyDescent="0.2">
      <c r="A136" s="4">
        <v>1346</v>
      </c>
      <c r="B136" s="4" t="s">
        <v>253</v>
      </c>
      <c r="C136" s="4" t="s">
        <v>254</v>
      </c>
      <c r="D136" s="4" t="s">
        <v>23</v>
      </c>
      <c r="E136" s="4" t="b">
        <v>0</v>
      </c>
      <c r="F136" s="4" t="s">
        <v>27</v>
      </c>
      <c r="G136" s="4">
        <v>20</v>
      </c>
      <c r="H136" s="5">
        <v>46088</v>
      </c>
    </row>
    <row r="137" spans="1:8" x14ac:dyDescent="0.2">
      <c r="A137" s="4">
        <v>1192</v>
      </c>
      <c r="B137" s="4" t="s">
        <v>255</v>
      </c>
      <c r="C137" s="4" t="s">
        <v>256</v>
      </c>
      <c r="D137" s="4" t="s">
        <v>23</v>
      </c>
      <c r="E137" s="4" t="b">
        <v>0</v>
      </c>
      <c r="F137" s="4" t="s">
        <v>27</v>
      </c>
      <c r="G137" s="4">
        <v>10</v>
      </c>
      <c r="H137" s="5">
        <v>46088</v>
      </c>
    </row>
    <row r="138" spans="1:8" x14ac:dyDescent="0.2">
      <c r="A138" s="4">
        <v>1157</v>
      </c>
      <c r="B138" s="4" t="s">
        <v>257</v>
      </c>
      <c r="C138" s="4" t="s">
        <v>100</v>
      </c>
      <c r="D138" s="4" t="s">
        <v>23</v>
      </c>
      <c r="E138" s="4" t="b">
        <v>0</v>
      </c>
      <c r="F138" s="4" t="s">
        <v>25</v>
      </c>
      <c r="H138" s="5">
        <v>46088</v>
      </c>
    </row>
    <row r="139" spans="1:8" x14ac:dyDescent="0.2">
      <c r="A139" s="4">
        <v>1359</v>
      </c>
      <c r="B139" s="4" t="s">
        <v>258</v>
      </c>
      <c r="C139" s="4" t="s">
        <v>49</v>
      </c>
      <c r="D139" s="4" t="s">
        <v>23</v>
      </c>
      <c r="E139" s="4" t="b">
        <v>0</v>
      </c>
      <c r="F139" s="4" t="s">
        <v>188</v>
      </c>
      <c r="H139" s="5">
        <v>46088</v>
      </c>
    </row>
    <row r="140" spans="1:8" x14ac:dyDescent="0.2">
      <c r="A140" s="4">
        <v>1360</v>
      </c>
      <c r="B140" s="4" t="s">
        <v>258</v>
      </c>
      <c r="C140" s="4" t="s">
        <v>259</v>
      </c>
      <c r="D140" s="4" t="s">
        <v>23</v>
      </c>
      <c r="E140" s="4" t="b">
        <v>1</v>
      </c>
      <c r="F140" s="4" t="s">
        <v>35</v>
      </c>
      <c r="H140" s="5">
        <v>46088</v>
      </c>
    </row>
    <row r="141" spans="1:8" x14ac:dyDescent="0.2">
      <c r="A141" s="4">
        <v>1357</v>
      </c>
      <c r="B141" s="4" t="s">
        <v>258</v>
      </c>
      <c r="C141" s="4" t="s">
        <v>34</v>
      </c>
      <c r="D141" s="4" t="s">
        <v>23</v>
      </c>
      <c r="E141" s="4" t="b">
        <v>0</v>
      </c>
      <c r="F141" s="4" t="s">
        <v>27</v>
      </c>
      <c r="G141" s="4">
        <v>5</v>
      </c>
      <c r="H141" s="5">
        <v>46088</v>
      </c>
    </row>
    <row r="142" spans="1:8" x14ac:dyDescent="0.2">
      <c r="A142" s="4">
        <v>1358</v>
      </c>
      <c r="B142" s="4" t="s">
        <v>258</v>
      </c>
      <c r="C142" s="4" t="s">
        <v>260</v>
      </c>
      <c r="D142" s="4" t="s">
        <v>23</v>
      </c>
      <c r="E142" s="4" t="b">
        <v>1</v>
      </c>
      <c r="F142" s="4" t="s">
        <v>27</v>
      </c>
      <c r="G142" s="4">
        <v>7</v>
      </c>
      <c r="H142" s="5">
        <v>46088</v>
      </c>
    </row>
    <row r="143" spans="1:8" x14ac:dyDescent="0.2">
      <c r="A143" s="4">
        <v>1390</v>
      </c>
      <c r="B143" s="4" t="s">
        <v>261</v>
      </c>
      <c r="C143" s="4" t="s">
        <v>262</v>
      </c>
      <c r="D143" s="4" t="s">
        <v>23</v>
      </c>
      <c r="E143" s="4" t="b">
        <v>0</v>
      </c>
      <c r="F143" s="4" t="s">
        <v>25</v>
      </c>
      <c r="H143" s="5">
        <v>46088</v>
      </c>
    </row>
    <row r="144" spans="1:8" x14ac:dyDescent="0.2">
      <c r="A144" s="4">
        <v>1107</v>
      </c>
      <c r="B144" s="4" t="s">
        <v>263</v>
      </c>
      <c r="C144" s="4" t="s">
        <v>264</v>
      </c>
      <c r="D144" s="4" t="s">
        <v>23</v>
      </c>
      <c r="E144" s="4" t="b">
        <v>1</v>
      </c>
      <c r="F144" s="4" t="s">
        <v>25</v>
      </c>
      <c r="H144" s="5">
        <v>46088</v>
      </c>
    </row>
    <row r="145" spans="1:8" x14ac:dyDescent="0.2">
      <c r="A145" s="4">
        <v>35</v>
      </c>
      <c r="B145" s="4" t="s">
        <v>265</v>
      </c>
      <c r="C145" s="4" t="s">
        <v>266</v>
      </c>
      <c r="D145" s="4" t="s">
        <v>23</v>
      </c>
      <c r="E145" s="4" t="b">
        <v>0</v>
      </c>
      <c r="F145" s="4" t="s">
        <v>27</v>
      </c>
      <c r="G145" s="4">
        <v>3</v>
      </c>
      <c r="H145" s="5">
        <v>46088</v>
      </c>
    </row>
    <row r="146" spans="1:8" x14ac:dyDescent="0.2">
      <c r="A146" s="4">
        <v>1094</v>
      </c>
      <c r="B146" s="4" t="s">
        <v>267</v>
      </c>
      <c r="C146" s="4" t="s">
        <v>268</v>
      </c>
      <c r="D146" s="4" t="s">
        <v>23</v>
      </c>
      <c r="E146" s="4" t="b">
        <v>0</v>
      </c>
      <c r="F146" s="4" t="s">
        <v>27</v>
      </c>
      <c r="G146" s="4">
        <v>12</v>
      </c>
      <c r="H146" s="5">
        <v>46088</v>
      </c>
    </row>
    <row r="147" spans="1:8" x14ac:dyDescent="0.2">
      <c r="A147" s="4">
        <v>1325</v>
      </c>
      <c r="B147" s="4" t="s">
        <v>269</v>
      </c>
      <c r="C147" s="4" t="s">
        <v>270</v>
      </c>
      <c r="D147" s="4" t="s">
        <v>23</v>
      </c>
      <c r="E147" s="4" t="b">
        <v>0</v>
      </c>
      <c r="F147" s="4" t="s">
        <v>27</v>
      </c>
      <c r="G147" s="4">
        <v>3</v>
      </c>
      <c r="H147" s="5">
        <v>46088</v>
      </c>
    </row>
    <row r="148" spans="1:8" x14ac:dyDescent="0.2">
      <c r="A148" s="4">
        <v>1143</v>
      </c>
      <c r="B148" s="4" t="s">
        <v>271</v>
      </c>
      <c r="C148" s="4" t="s">
        <v>247</v>
      </c>
      <c r="D148" s="4" t="s">
        <v>23</v>
      </c>
      <c r="E148" s="4" t="b">
        <v>0</v>
      </c>
      <c r="F148" s="4" t="s">
        <v>27</v>
      </c>
      <c r="G148" s="4">
        <v>3</v>
      </c>
      <c r="H148" s="5">
        <v>46088</v>
      </c>
    </row>
    <row r="149" spans="1:8" x14ac:dyDescent="0.2">
      <c r="A149" s="4">
        <v>1401</v>
      </c>
      <c r="B149" s="4" t="s">
        <v>272</v>
      </c>
      <c r="C149" s="4" t="s">
        <v>273</v>
      </c>
      <c r="D149" s="4" t="s">
        <v>23</v>
      </c>
      <c r="E149" s="4" t="b">
        <v>1</v>
      </c>
      <c r="F149" s="4" t="s">
        <v>25</v>
      </c>
      <c r="H149" s="5">
        <v>46088</v>
      </c>
    </row>
    <row r="150" spans="1:8" x14ac:dyDescent="0.2">
      <c r="A150" s="4">
        <v>1285</v>
      </c>
      <c r="B150" s="4" t="s">
        <v>274</v>
      </c>
      <c r="C150" s="4" t="s">
        <v>100</v>
      </c>
      <c r="D150" s="4" t="s">
        <v>23</v>
      </c>
      <c r="E150" s="4" t="b">
        <v>0</v>
      </c>
      <c r="F150" s="4" t="s">
        <v>25</v>
      </c>
      <c r="H150" s="5">
        <v>46088</v>
      </c>
    </row>
    <row r="151" spans="1:8" x14ac:dyDescent="0.2">
      <c r="A151" s="4">
        <v>38</v>
      </c>
      <c r="B151" s="4" t="s">
        <v>275</v>
      </c>
      <c r="C151" s="4" t="s">
        <v>276</v>
      </c>
      <c r="D151" s="4" t="s">
        <v>23</v>
      </c>
      <c r="E151" s="4" t="b">
        <v>0</v>
      </c>
      <c r="F151" s="4" t="s">
        <v>27</v>
      </c>
      <c r="G151" s="4">
        <v>13</v>
      </c>
      <c r="H151" s="5">
        <v>46088</v>
      </c>
    </row>
    <row r="152" spans="1:8" x14ac:dyDescent="0.2">
      <c r="A152" s="4">
        <v>245</v>
      </c>
      <c r="B152" s="4" t="s">
        <v>277</v>
      </c>
      <c r="C152" s="4" t="s">
        <v>234</v>
      </c>
      <c r="D152" s="4" t="s">
        <v>23</v>
      </c>
      <c r="E152" s="4" t="b">
        <v>0</v>
      </c>
      <c r="F152" s="4" t="s">
        <v>27</v>
      </c>
      <c r="G152" s="4">
        <v>10</v>
      </c>
      <c r="H152" s="5">
        <v>46088</v>
      </c>
    </row>
    <row r="153" spans="1:8" x14ac:dyDescent="0.2">
      <c r="A153" s="4">
        <v>39</v>
      </c>
      <c r="B153" s="4" t="s">
        <v>277</v>
      </c>
      <c r="C153" s="4" t="s">
        <v>278</v>
      </c>
      <c r="D153" s="4" t="s">
        <v>23</v>
      </c>
      <c r="E153" s="4" t="b">
        <v>0</v>
      </c>
      <c r="F153" s="4" t="s">
        <v>27</v>
      </c>
      <c r="G153" s="4">
        <v>43</v>
      </c>
      <c r="H153" s="5">
        <v>46088</v>
      </c>
    </row>
    <row r="154" spans="1:8" x14ac:dyDescent="0.2">
      <c r="A154" s="4">
        <v>508</v>
      </c>
      <c r="B154" s="4" t="s">
        <v>279</v>
      </c>
      <c r="C154" s="4" t="s">
        <v>59</v>
      </c>
      <c r="D154" s="4" t="s">
        <v>23</v>
      </c>
      <c r="E154" s="4" t="b">
        <v>0</v>
      </c>
      <c r="F154" s="4" t="s">
        <v>27</v>
      </c>
      <c r="G154" s="4">
        <v>31</v>
      </c>
      <c r="H154" s="5">
        <v>46088</v>
      </c>
    </row>
    <row r="155" spans="1:8" x14ac:dyDescent="0.2">
      <c r="A155" s="4">
        <v>1392</v>
      </c>
      <c r="B155" s="4" t="s">
        <v>284</v>
      </c>
      <c r="C155" s="4" t="s">
        <v>285</v>
      </c>
      <c r="D155" s="4" t="s">
        <v>23</v>
      </c>
      <c r="E155" s="4" t="b">
        <v>1</v>
      </c>
      <c r="F155" s="4" t="s">
        <v>25</v>
      </c>
      <c r="H155" s="5">
        <v>46088</v>
      </c>
    </row>
    <row r="156" spans="1:8" x14ac:dyDescent="0.2">
      <c r="A156" s="4">
        <v>1141</v>
      </c>
      <c r="B156" s="4" t="s">
        <v>286</v>
      </c>
      <c r="C156" s="4" t="s">
        <v>287</v>
      </c>
      <c r="D156" s="4" t="s">
        <v>23</v>
      </c>
      <c r="E156" s="4" t="b">
        <v>1</v>
      </c>
      <c r="F156" s="4" t="s">
        <v>27</v>
      </c>
      <c r="G156" s="4">
        <v>15</v>
      </c>
      <c r="H156" s="5">
        <v>46088</v>
      </c>
    </row>
    <row r="157" spans="1:8" x14ac:dyDescent="0.2">
      <c r="A157" s="4">
        <v>891</v>
      </c>
      <c r="B157" s="4" t="s">
        <v>288</v>
      </c>
      <c r="C157" s="4" t="s">
        <v>289</v>
      </c>
      <c r="D157" s="4" t="s">
        <v>23</v>
      </c>
      <c r="E157" s="4" t="b">
        <v>1</v>
      </c>
      <c r="F157" s="4" t="s">
        <v>25</v>
      </c>
      <c r="H157" s="5">
        <v>46088</v>
      </c>
    </row>
    <row r="158" spans="1:8" x14ac:dyDescent="0.2">
      <c r="A158" s="4">
        <v>1339</v>
      </c>
      <c r="B158" s="4" t="s">
        <v>291</v>
      </c>
      <c r="C158" s="4" t="s">
        <v>292</v>
      </c>
      <c r="D158" s="4" t="s">
        <v>23</v>
      </c>
      <c r="E158" s="4" t="b">
        <v>0</v>
      </c>
      <c r="F158" s="4" t="s">
        <v>25</v>
      </c>
      <c r="H158" s="5">
        <v>46088</v>
      </c>
    </row>
    <row r="159" spans="1:8" x14ac:dyDescent="0.2">
      <c r="A159" s="4">
        <v>914</v>
      </c>
      <c r="B159" s="4" t="s">
        <v>293</v>
      </c>
      <c r="C159" s="4" t="s">
        <v>153</v>
      </c>
      <c r="D159" s="4" t="s">
        <v>23</v>
      </c>
      <c r="E159" s="4" t="b">
        <v>0</v>
      </c>
      <c r="F159" s="4" t="s">
        <v>27</v>
      </c>
      <c r="G159" s="4">
        <v>14</v>
      </c>
      <c r="H159" s="5">
        <v>46088</v>
      </c>
    </row>
    <row r="160" spans="1:8" x14ac:dyDescent="0.2">
      <c r="A160" s="4">
        <v>597</v>
      </c>
      <c r="B160" s="4" t="s">
        <v>294</v>
      </c>
      <c r="C160" s="4" t="s">
        <v>295</v>
      </c>
      <c r="D160" s="4" t="s">
        <v>23</v>
      </c>
      <c r="E160" s="4" t="b">
        <v>0</v>
      </c>
      <c r="F160" s="4" t="s">
        <v>27</v>
      </c>
      <c r="G160" s="4">
        <v>36</v>
      </c>
      <c r="H160" s="5">
        <v>46088</v>
      </c>
    </row>
    <row r="161" spans="1:8" x14ac:dyDescent="0.2">
      <c r="A161" s="4">
        <v>1038</v>
      </c>
      <c r="B161" s="4" t="s">
        <v>293</v>
      </c>
      <c r="C161" s="4" t="s">
        <v>51</v>
      </c>
      <c r="D161" s="4" t="s">
        <v>23</v>
      </c>
      <c r="E161" s="4" t="b">
        <v>0</v>
      </c>
      <c r="F161" s="4" t="s">
        <v>27</v>
      </c>
      <c r="G161" s="4">
        <v>12</v>
      </c>
      <c r="H161" s="5">
        <v>46088</v>
      </c>
    </row>
    <row r="162" spans="1:8" x14ac:dyDescent="0.2">
      <c r="A162" s="4">
        <v>1242</v>
      </c>
      <c r="B162" s="4" t="s">
        <v>297</v>
      </c>
      <c r="C162" s="4" t="s">
        <v>190</v>
      </c>
      <c r="D162" s="4" t="s">
        <v>23</v>
      </c>
      <c r="E162" s="4" t="b">
        <v>0</v>
      </c>
      <c r="F162" s="4" t="s">
        <v>27</v>
      </c>
      <c r="G162" s="4">
        <v>15</v>
      </c>
      <c r="H162" s="5">
        <v>46088</v>
      </c>
    </row>
    <row r="163" spans="1:8" x14ac:dyDescent="0.2">
      <c r="A163" s="4">
        <v>1048</v>
      </c>
      <c r="B163" s="4" t="s">
        <v>298</v>
      </c>
      <c r="C163" s="4" t="s">
        <v>268</v>
      </c>
      <c r="D163" s="4" t="s">
        <v>23</v>
      </c>
      <c r="E163" s="4" t="b">
        <v>0</v>
      </c>
      <c r="F163" s="4" t="s">
        <v>27</v>
      </c>
      <c r="G163" s="4">
        <v>16</v>
      </c>
      <c r="H163" s="5">
        <v>46088</v>
      </c>
    </row>
    <row r="164" spans="1:8" x14ac:dyDescent="0.2">
      <c r="A164" s="4">
        <v>1055</v>
      </c>
      <c r="B164" s="4" t="s">
        <v>298</v>
      </c>
      <c r="C164" s="4" t="s">
        <v>299</v>
      </c>
      <c r="D164" s="4" t="s">
        <v>23</v>
      </c>
      <c r="E164" s="4" t="b">
        <v>0</v>
      </c>
      <c r="F164" s="4" t="s">
        <v>27</v>
      </c>
      <c r="G164" s="4">
        <v>1</v>
      </c>
      <c r="H164" s="5">
        <v>46088</v>
      </c>
    </row>
    <row r="165" spans="1:8" x14ac:dyDescent="0.2">
      <c r="A165" s="4">
        <v>820</v>
      </c>
      <c r="B165" s="4" t="s">
        <v>298</v>
      </c>
      <c r="C165" s="4" t="s">
        <v>139</v>
      </c>
      <c r="D165" s="4" t="s">
        <v>23</v>
      </c>
      <c r="E165" s="4" t="b">
        <v>1</v>
      </c>
      <c r="F165" s="4" t="s">
        <v>27</v>
      </c>
      <c r="G165" s="4">
        <v>6</v>
      </c>
      <c r="H165" s="5">
        <v>46088</v>
      </c>
    </row>
    <row r="166" spans="1:8" x14ac:dyDescent="0.2">
      <c r="A166" s="4">
        <v>687</v>
      </c>
      <c r="B166" s="4" t="s">
        <v>298</v>
      </c>
      <c r="C166" s="4" t="s">
        <v>301</v>
      </c>
      <c r="D166" s="4" t="s">
        <v>23</v>
      </c>
      <c r="E166" s="4" t="b">
        <v>0</v>
      </c>
      <c r="F166" s="4" t="s">
        <v>27</v>
      </c>
      <c r="G166" s="4">
        <v>7</v>
      </c>
      <c r="H166" s="5">
        <v>46088</v>
      </c>
    </row>
    <row r="167" spans="1:8" x14ac:dyDescent="0.2">
      <c r="A167" s="4">
        <v>1410</v>
      </c>
      <c r="B167" s="4" t="s">
        <v>104</v>
      </c>
      <c r="C167" s="4" t="s">
        <v>303</v>
      </c>
      <c r="D167" s="4" t="s">
        <v>23</v>
      </c>
      <c r="E167" s="4" t="b">
        <v>0</v>
      </c>
      <c r="F167" s="4" t="s">
        <v>25</v>
      </c>
      <c r="H167" s="5">
        <v>46088</v>
      </c>
    </row>
    <row r="168" spans="1:8" x14ac:dyDescent="0.2">
      <c r="A168" s="4">
        <v>1161</v>
      </c>
      <c r="B168" s="4" t="s">
        <v>304</v>
      </c>
      <c r="C168" s="4" t="s">
        <v>305</v>
      </c>
      <c r="D168" s="4" t="s">
        <v>23</v>
      </c>
      <c r="E168" s="4" t="b">
        <v>0</v>
      </c>
      <c r="F168" s="4" t="s">
        <v>25</v>
      </c>
      <c r="H168" s="5">
        <v>46088</v>
      </c>
    </row>
    <row r="169" spans="1:8" x14ac:dyDescent="0.2">
      <c r="A169" s="4">
        <v>890</v>
      </c>
      <c r="B169" s="4" t="s">
        <v>306</v>
      </c>
      <c r="C169" s="4" t="s">
        <v>307</v>
      </c>
      <c r="D169" s="4" t="s">
        <v>54</v>
      </c>
      <c r="E169" s="4" t="b">
        <v>0</v>
      </c>
      <c r="F169" s="4" t="s">
        <v>27</v>
      </c>
      <c r="G169" s="4">
        <v>23</v>
      </c>
      <c r="H169" s="5">
        <v>46088</v>
      </c>
    </row>
    <row r="170" spans="1:8" x14ac:dyDescent="0.2">
      <c r="A170" s="4">
        <v>45</v>
      </c>
      <c r="B170" s="4" t="s">
        <v>309</v>
      </c>
      <c r="C170" s="4" t="s">
        <v>310</v>
      </c>
      <c r="D170" s="4" t="s">
        <v>23</v>
      </c>
      <c r="E170" s="4" t="b">
        <v>0</v>
      </c>
      <c r="F170" s="4" t="s">
        <v>27</v>
      </c>
      <c r="G170" s="4">
        <v>20</v>
      </c>
      <c r="H170" s="5">
        <v>46088</v>
      </c>
    </row>
    <row r="171" spans="1:8" x14ac:dyDescent="0.2">
      <c r="A171" s="4">
        <v>1160</v>
      </c>
      <c r="B171" s="4" t="s">
        <v>311</v>
      </c>
      <c r="C171" s="4" t="s">
        <v>312</v>
      </c>
      <c r="D171" s="4" t="s">
        <v>23</v>
      </c>
      <c r="E171" s="4" t="b">
        <v>0</v>
      </c>
      <c r="F171" s="4" t="s">
        <v>25</v>
      </c>
      <c r="H171" s="5">
        <v>46088</v>
      </c>
    </row>
    <row r="172" spans="1:8" x14ac:dyDescent="0.2">
      <c r="A172" s="4">
        <v>945</v>
      </c>
      <c r="B172" s="4" t="s">
        <v>313</v>
      </c>
      <c r="C172" s="4" t="s">
        <v>49</v>
      </c>
      <c r="D172" s="4" t="s">
        <v>23</v>
      </c>
      <c r="E172" s="4" t="b">
        <v>0</v>
      </c>
      <c r="F172" s="4" t="s">
        <v>25</v>
      </c>
      <c r="H172" s="5">
        <v>46088</v>
      </c>
    </row>
    <row r="173" spans="1:8" x14ac:dyDescent="0.2">
      <c r="A173" s="4">
        <v>813</v>
      </c>
      <c r="B173" s="4" t="s">
        <v>313</v>
      </c>
      <c r="C173" s="4" t="s">
        <v>289</v>
      </c>
      <c r="D173" s="4" t="s">
        <v>23</v>
      </c>
      <c r="E173" s="4" t="b">
        <v>1</v>
      </c>
      <c r="F173" s="4" t="s">
        <v>27</v>
      </c>
      <c r="G173" s="4">
        <v>7</v>
      </c>
      <c r="H173" s="5">
        <v>46088</v>
      </c>
    </row>
    <row r="174" spans="1:8" x14ac:dyDescent="0.2">
      <c r="A174" s="4">
        <v>812</v>
      </c>
      <c r="B174" s="4" t="s">
        <v>313</v>
      </c>
      <c r="C174" s="4" t="s">
        <v>170</v>
      </c>
      <c r="D174" s="4" t="s">
        <v>23</v>
      </c>
      <c r="E174" s="4" t="b">
        <v>0</v>
      </c>
      <c r="F174" s="4" t="s">
        <v>27</v>
      </c>
      <c r="G174" s="4">
        <v>9</v>
      </c>
      <c r="H174" s="5">
        <v>46088</v>
      </c>
    </row>
    <row r="175" spans="1:8" x14ac:dyDescent="0.2">
      <c r="A175" s="4">
        <v>1129</v>
      </c>
      <c r="B175" s="4" t="s">
        <v>314</v>
      </c>
      <c r="C175" s="4" t="s">
        <v>315</v>
      </c>
      <c r="D175" s="4" t="s">
        <v>23</v>
      </c>
      <c r="E175" s="4" t="b">
        <v>0</v>
      </c>
      <c r="F175" s="4" t="s">
        <v>27</v>
      </c>
      <c r="G175" s="4">
        <v>12</v>
      </c>
      <c r="H175" s="5">
        <v>46088</v>
      </c>
    </row>
    <row r="176" spans="1:8" x14ac:dyDescent="0.2">
      <c r="A176" s="4">
        <v>860</v>
      </c>
      <c r="B176" s="4" t="s">
        <v>321</v>
      </c>
      <c r="C176" s="4" t="s">
        <v>215</v>
      </c>
      <c r="D176" s="4" t="s">
        <v>23</v>
      </c>
      <c r="E176" s="4" t="b">
        <v>1</v>
      </c>
      <c r="F176" s="4" t="s">
        <v>25</v>
      </c>
      <c r="H176" s="5">
        <v>46088</v>
      </c>
    </row>
    <row r="177" spans="1:8" x14ac:dyDescent="0.2">
      <c r="A177" s="4">
        <v>756</v>
      </c>
      <c r="B177" s="4" t="s">
        <v>321</v>
      </c>
      <c r="C177" s="4" t="s">
        <v>322</v>
      </c>
      <c r="D177" s="4" t="s">
        <v>23</v>
      </c>
      <c r="E177" s="4" t="b">
        <v>0</v>
      </c>
      <c r="F177" s="4" t="s">
        <v>25</v>
      </c>
      <c r="H177" s="5">
        <v>46088</v>
      </c>
    </row>
    <row r="178" spans="1:8" x14ac:dyDescent="0.2">
      <c r="A178" s="4">
        <v>407</v>
      </c>
      <c r="B178" s="4" t="s">
        <v>321</v>
      </c>
      <c r="C178" s="4" t="s">
        <v>323</v>
      </c>
      <c r="D178" s="4" t="s">
        <v>23</v>
      </c>
      <c r="E178" s="4" t="b">
        <v>0</v>
      </c>
      <c r="F178" s="4" t="s">
        <v>27</v>
      </c>
      <c r="G178" s="4">
        <v>5</v>
      </c>
      <c r="H178" s="5">
        <v>46088</v>
      </c>
    </row>
    <row r="179" spans="1:8" x14ac:dyDescent="0.2">
      <c r="A179" s="4">
        <v>1312</v>
      </c>
      <c r="B179" s="4" t="s">
        <v>329</v>
      </c>
      <c r="C179" s="4" t="s">
        <v>287</v>
      </c>
      <c r="D179" s="4" t="s">
        <v>23</v>
      </c>
      <c r="E179" s="4" t="b">
        <v>1</v>
      </c>
      <c r="F179" s="4" t="s">
        <v>27</v>
      </c>
      <c r="G179" s="4">
        <v>35</v>
      </c>
      <c r="H179" s="5">
        <v>46088</v>
      </c>
    </row>
    <row r="180" spans="1:8" x14ac:dyDescent="0.2">
      <c r="A180" s="4">
        <v>935</v>
      </c>
      <c r="B180" s="4" t="s">
        <v>330</v>
      </c>
      <c r="C180" s="4" t="s">
        <v>245</v>
      </c>
      <c r="D180" s="4" t="s">
        <v>23</v>
      </c>
      <c r="E180" s="4" t="b">
        <v>1</v>
      </c>
      <c r="F180" s="4" t="s">
        <v>25</v>
      </c>
      <c r="H180" s="5">
        <v>46088</v>
      </c>
    </row>
    <row r="181" spans="1:8" x14ac:dyDescent="0.2">
      <c r="A181" s="4">
        <v>999</v>
      </c>
      <c r="B181" s="4" t="s">
        <v>330</v>
      </c>
      <c r="C181" s="4" t="s">
        <v>331</v>
      </c>
      <c r="D181" s="4" t="s">
        <v>23</v>
      </c>
      <c r="E181" s="4" t="b">
        <v>1</v>
      </c>
      <c r="F181" s="4" t="s">
        <v>25</v>
      </c>
      <c r="H181" s="5">
        <v>46088</v>
      </c>
    </row>
    <row r="182" spans="1:8" x14ac:dyDescent="0.2">
      <c r="A182" s="4">
        <v>998</v>
      </c>
      <c r="B182" s="4" t="s">
        <v>330</v>
      </c>
      <c r="C182" s="4" t="s">
        <v>332</v>
      </c>
      <c r="D182" s="4" t="s">
        <v>23</v>
      </c>
      <c r="E182" s="4" t="b">
        <v>1</v>
      </c>
      <c r="F182" s="4" t="s">
        <v>27</v>
      </c>
      <c r="G182" s="4">
        <v>5</v>
      </c>
      <c r="H182" s="5">
        <v>46088</v>
      </c>
    </row>
    <row r="183" spans="1:8" x14ac:dyDescent="0.2">
      <c r="A183" s="4">
        <v>616</v>
      </c>
      <c r="B183" s="4" t="s">
        <v>330</v>
      </c>
      <c r="C183" s="4" t="s">
        <v>41</v>
      </c>
      <c r="D183" s="4" t="s">
        <v>23</v>
      </c>
      <c r="E183" s="4" t="b">
        <v>0</v>
      </c>
      <c r="F183" s="4" t="s">
        <v>27</v>
      </c>
      <c r="G183" s="4">
        <v>7</v>
      </c>
      <c r="H183" s="5">
        <v>46088</v>
      </c>
    </row>
    <row r="184" spans="1:8" x14ac:dyDescent="0.2">
      <c r="A184" s="4">
        <v>558</v>
      </c>
      <c r="B184" s="4" t="s">
        <v>333</v>
      </c>
      <c r="C184" s="4" t="s">
        <v>334</v>
      </c>
      <c r="D184" s="4" t="s">
        <v>23</v>
      </c>
      <c r="E184" s="4" t="b">
        <v>0</v>
      </c>
      <c r="F184" s="4" t="s">
        <v>27</v>
      </c>
      <c r="G184" s="4">
        <v>15</v>
      </c>
      <c r="H184" s="5">
        <v>46088</v>
      </c>
    </row>
    <row r="185" spans="1:8" x14ac:dyDescent="0.2">
      <c r="A185" s="4">
        <v>359</v>
      </c>
      <c r="B185" s="4" t="s">
        <v>336</v>
      </c>
      <c r="C185" s="4" t="s">
        <v>26</v>
      </c>
      <c r="D185" s="4" t="s">
        <v>23</v>
      </c>
      <c r="E185" s="4" t="b">
        <v>0</v>
      </c>
      <c r="F185" s="4" t="s">
        <v>27</v>
      </c>
      <c r="G185" s="4">
        <v>24</v>
      </c>
      <c r="H185" s="5">
        <v>46088</v>
      </c>
    </row>
    <row r="186" spans="1:8" x14ac:dyDescent="0.2">
      <c r="A186" s="4">
        <v>1310</v>
      </c>
      <c r="B186" s="4" t="s">
        <v>337</v>
      </c>
      <c r="C186" s="4" t="s">
        <v>311</v>
      </c>
      <c r="D186" s="4" t="s">
        <v>23</v>
      </c>
      <c r="E186" s="4" t="b">
        <v>0</v>
      </c>
      <c r="F186" s="4" t="s">
        <v>25</v>
      </c>
      <c r="H186" s="5">
        <v>46088</v>
      </c>
    </row>
    <row r="187" spans="1:8" x14ac:dyDescent="0.2">
      <c r="A187" s="4">
        <v>1200</v>
      </c>
      <c r="B187" s="4" t="s">
        <v>338</v>
      </c>
      <c r="C187" s="4" t="s">
        <v>339</v>
      </c>
      <c r="D187" s="4" t="s">
        <v>23</v>
      </c>
      <c r="E187" s="4" t="b">
        <v>0</v>
      </c>
      <c r="F187" s="4" t="s">
        <v>27</v>
      </c>
      <c r="G187" s="4">
        <v>6</v>
      </c>
      <c r="H187" s="5">
        <v>46088</v>
      </c>
    </row>
    <row r="188" spans="1:8" x14ac:dyDescent="0.2">
      <c r="A188" s="4">
        <v>1411</v>
      </c>
      <c r="B188" s="4" t="s">
        <v>338</v>
      </c>
      <c r="C188" s="4" t="s">
        <v>72</v>
      </c>
      <c r="D188" s="4" t="s">
        <v>23</v>
      </c>
      <c r="E188" s="4" t="b">
        <v>1</v>
      </c>
      <c r="F188" s="4" t="s">
        <v>27</v>
      </c>
      <c r="G188" s="4">
        <v>3</v>
      </c>
      <c r="H188" s="5">
        <v>46088</v>
      </c>
    </row>
    <row r="189" spans="1:8" x14ac:dyDescent="0.2">
      <c r="A189" s="4">
        <v>1412</v>
      </c>
      <c r="B189" s="4" t="s">
        <v>338</v>
      </c>
      <c r="C189" s="4" t="s">
        <v>340</v>
      </c>
      <c r="D189" s="4" t="s">
        <v>23</v>
      </c>
      <c r="E189" s="4" t="b">
        <v>1</v>
      </c>
      <c r="F189" s="4" t="s">
        <v>188</v>
      </c>
      <c r="H189" s="5">
        <v>46088</v>
      </c>
    </row>
    <row r="190" spans="1:8" x14ac:dyDescent="0.2">
      <c r="A190" s="4">
        <v>1413</v>
      </c>
      <c r="B190" s="4" t="s">
        <v>338</v>
      </c>
      <c r="C190" s="4" t="s">
        <v>214</v>
      </c>
      <c r="D190" s="4" t="s">
        <v>23</v>
      </c>
      <c r="E190" s="4" t="b">
        <v>0</v>
      </c>
      <c r="F190" s="4" t="s">
        <v>188</v>
      </c>
      <c r="H190" s="5">
        <v>46088</v>
      </c>
    </row>
    <row r="191" spans="1:8" x14ac:dyDescent="0.2">
      <c r="A191" s="4">
        <v>1376</v>
      </c>
      <c r="B191" s="4" t="s">
        <v>192</v>
      </c>
      <c r="C191" s="4" t="s">
        <v>127</v>
      </c>
      <c r="D191" s="4" t="s">
        <v>23</v>
      </c>
      <c r="E191" s="4" t="b">
        <v>1</v>
      </c>
      <c r="F191" s="4" t="s">
        <v>25</v>
      </c>
      <c r="H191" s="5">
        <v>46088</v>
      </c>
    </row>
    <row r="192" spans="1:8" x14ac:dyDescent="0.2">
      <c r="A192" s="4">
        <v>1140</v>
      </c>
      <c r="B192" s="4" t="s">
        <v>341</v>
      </c>
      <c r="C192" s="4" t="s">
        <v>243</v>
      </c>
      <c r="D192" s="4" t="s">
        <v>23</v>
      </c>
      <c r="E192" s="4" t="b">
        <v>0</v>
      </c>
      <c r="F192" s="4" t="s">
        <v>25</v>
      </c>
      <c r="H192" s="5">
        <v>46088</v>
      </c>
    </row>
    <row r="193" spans="1:8" x14ac:dyDescent="0.2">
      <c r="A193" s="4">
        <v>989</v>
      </c>
      <c r="B193" s="4" t="s">
        <v>342</v>
      </c>
      <c r="C193" s="4" t="s">
        <v>343</v>
      </c>
      <c r="D193" s="4" t="s">
        <v>23</v>
      </c>
      <c r="E193" s="4" t="b">
        <v>0</v>
      </c>
      <c r="F193" s="4" t="s">
        <v>27</v>
      </c>
      <c r="G193" s="4">
        <v>3</v>
      </c>
      <c r="H193" s="5">
        <v>46088</v>
      </c>
    </row>
    <row r="194" spans="1:8" x14ac:dyDescent="0.2">
      <c r="A194" s="4">
        <v>52</v>
      </c>
      <c r="B194" s="4" t="s">
        <v>346</v>
      </c>
      <c r="C194" s="4" t="s">
        <v>192</v>
      </c>
      <c r="D194" s="4" t="s">
        <v>23</v>
      </c>
      <c r="E194" s="4" t="b">
        <v>0</v>
      </c>
      <c r="F194" s="4" t="s">
        <v>25</v>
      </c>
      <c r="H194" s="5">
        <v>46088</v>
      </c>
    </row>
    <row r="195" spans="1:8" x14ac:dyDescent="0.2">
      <c r="A195" s="4">
        <v>62</v>
      </c>
      <c r="B195" s="4" t="s">
        <v>344</v>
      </c>
      <c r="C195" s="4" t="s">
        <v>234</v>
      </c>
      <c r="D195" s="4" t="s">
        <v>23</v>
      </c>
      <c r="E195" s="4" t="b">
        <v>0</v>
      </c>
      <c r="F195" s="4" t="s">
        <v>27</v>
      </c>
      <c r="G195" s="4">
        <v>4</v>
      </c>
      <c r="H195" s="5">
        <v>46088</v>
      </c>
    </row>
    <row r="196" spans="1:8" x14ac:dyDescent="0.2">
      <c r="A196" s="4">
        <v>930</v>
      </c>
      <c r="B196" s="4" t="s">
        <v>347</v>
      </c>
      <c r="C196" s="4" t="s">
        <v>348</v>
      </c>
      <c r="D196" s="4" t="s">
        <v>23</v>
      </c>
      <c r="E196" s="4" t="b">
        <v>1</v>
      </c>
      <c r="F196" s="4" t="s">
        <v>27</v>
      </c>
      <c r="G196" s="4">
        <v>6</v>
      </c>
      <c r="H196" s="5">
        <v>46088</v>
      </c>
    </row>
    <row r="197" spans="1:8" x14ac:dyDescent="0.2">
      <c r="A197" s="4">
        <v>744</v>
      </c>
      <c r="B197" s="4" t="s">
        <v>350</v>
      </c>
      <c r="C197" s="4" t="s">
        <v>351</v>
      </c>
      <c r="D197" s="4" t="s">
        <v>23</v>
      </c>
      <c r="E197" s="4" t="b">
        <v>0</v>
      </c>
      <c r="F197" s="4" t="s">
        <v>27</v>
      </c>
      <c r="G197" s="4">
        <v>28</v>
      </c>
      <c r="H197" s="5">
        <v>46088</v>
      </c>
    </row>
    <row r="198" spans="1:8" x14ac:dyDescent="0.2">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3515625" defaultRowHeight="15" x14ac:dyDescent="0.2"/>
  <cols>
    <col min="1" max="7" width="9.03515625" style="6"/>
    <col min="8" max="8" width="10.24609375" style="6" bestFit="1" customWidth="1"/>
    <col min="9" max="16384" width="9.03515625" style="6"/>
  </cols>
  <sheetData>
    <row r="1" spans="1:8" x14ac:dyDescent="0.2">
      <c r="A1" s="6" t="s">
        <v>13</v>
      </c>
      <c r="B1" s="6" t="s">
        <v>14</v>
      </c>
      <c r="C1" s="6" t="s">
        <v>15</v>
      </c>
      <c r="D1" s="6" t="s">
        <v>16</v>
      </c>
      <c r="E1" s="6" t="s">
        <v>17</v>
      </c>
      <c r="F1" s="6" t="s">
        <v>18</v>
      </c>
      <c r="G1" s="6" t="s">
        <v>19</v>
      </c>
      <c r="H1" s="6" t="s">
        <v>20</v>
      </c>
    </row>
    <row r="2" spans="1:8" x14ac:dyDescent="0.2">
      <c r="A2" s="6">
        <v>1327</v>
      </c>
      <c r="B2" s="6" t="s">
        <v>21</v>
      </c>
      <c r="C2" s="6" t="s">
        <v>22</v>
      </c>
      <c r="D2" s="6" t="s">
        <v>23</v>
      </c>
      <c r="E2" s="6" t="b">
        <v>0</v>
      </c>
      <c r="F2" s="6" t="s">
        <v>25</v>
      </c>
      <c r="H2" s="7">
        <v>46091</v>
      </c>
    </row>
    <row r="3" spans="1:8" x14ac:dyDescent="0.2">
      <c r="A3" s="6">
        <v>1237</v>
      </c>
      <c r="B3" s="6" t="s">
        <v>21</v>
      </c>
      <c r="C3" s="6" t="s">
        <v>26</v>
      </c>
      <c r="D3" s="6" t="s">
        <v>23</v>
      </c>
      <c r="E3" s="6" t="b">
        <v>0</v>
      </c>
      <c r="F3" s="6" t="s">
        <v>27</v>
      </c>
      <c r="G3" s="6">
        <v>1</v>
      </c>
      <c r="H3" s="7">
        <v>46091</v>
      </c>
    </row>
    <row r="4" spans="1:8" x14ac:dyDescent="0.2">
      <c r="A4" s="6">
        <v>819</v>
      </c>
      <c r="B4" s="6" t="s">
        <v>28</v>
      </c>
      <c r="C4" s="6" t="s">
        <v>29</v>
      </c>
      <c r="D4" s="6" t="s">
        <v>23</v>
      </c>
      <c r="E4" s="6" t="b">
        <v>1</v>
      </c>
      <c r="F4" s="6" t="s">
        <v>27</v>
      </c>
      <c r="G4" s="6">
        <v>23</v>
      </c>
      <c r="H4" s="7">
        <v>46091</v>
      </c>
    </row>
    <row r="5" spans="1:8" x14ac:dyDescent="0.2">
      <c r="A5" s="6">
        <v>2</v>
      </c>
      <c r="B5" s="6" t="s">
        <v>31</v>
      </c>
      <c r="C5" s="6" t="s">
        <v>32</v>
      </c>
      <c r="D5" s="6" t="s">
        <v>23</v>
      </c>
      <c r="E5" s="6" t="b">
        <v>0</v>
      </c>
      <c r="F5" s="6" t="s">
        <v>27</v>
      </c>
      <c r="G5" s="6">
        <v>21</v>
      </c>
      <c r="H5" s="7">
        <v>46091</v>
      </c>
    </row>
    <row r="6" spans="1:8" x14ac:dyDescent="0.2">
      <c r="A6" s="6">
        <v>1370</v>
      </c>
      <c r="B6" s="6" t="s">
        <v>33</v>
      </c>
      <c r="C6" s="6" t="s">
        <v>34</v>
      </c>
      <c r="D6" s="6" t="s">
        <v>23</v>
      </c>
      <c r="E6" s="6" t="b">
        <v>0</v>
      </c>
      <c r="F6" s="6" t="s">
        <v>27</v>
      </c>
      <c r="G6" s="6">
        <v>4</v>
      </c>
      <c r="H6" s="7">
        <v>46091</v>
      </c>
    </row>
    <row r="7" spans="1:8" x14ac:dyDescent="0.2">
      <c r="A7" s="6">
        <v>1415</v>
      </c>
      <c r="B7" s="6" t="s">
        <v>33</v>
      </c>
      <c r="C7" s="6" t="s">
        <v>22</v>
      </c>
      <c r="D7" s="6" t="s">
        <v>23</v>
      </c>
      <c r="E7" s="6" t="b">
        <v>0</v>
      </c>
      <c r="F7" s="6" t="s">
        <v>35</v>
      </c>
      <c r="H7" s="7">
        <v>46091</v>
      </c>
    </row>
    <row r="8" spans="1:8" x14ac:dyDescent="0.2">
      <c r="A8" s="6">
        <v>1286</v>
      </c>
      <c r="B8" s="6" t="s">
        <v>36</v>
      </c>
      <c r="C8" s="6" t="s">
        <v>34</v>
      </c>
      <c r="D8" s="6" t="s">
        <v>23</v>
      </c>
      <c r="E8" s="6" t="b">
        <v>0</v>
      </c>
      <c r="F8" s="6" t="s">
        <v>27</v>
      </c>
      <c r="G8" s="6">
        <v>13</v>
      </c>
      <c r="H8" s="7">
        <v>46091</v>
      </c>
    </row>
    <row r="9" spans="1:8" x14ac:dyDescent="0.2">
      <c r="A9" s="6">
        <v>1381</v>
      </c>
      <c r="B9" s="6" t="s">
        <v>36</v>
      </c>
      <c r="C9" s="6" t="s">
        <v>37</v>
      </c>
      <c r="D9" s="6" t="s">
        <v>23</v>
      </c>
      <c r="E9" s="6" t="b">
        <v>0</v>
      </c>
      <c r="F9" s="6" t="s">
        <v>25</v>
      </c>
      <c r="H9" s="7">
        <v>46091</v>
      </c>
    </row>
    <row r="10" spans="1:8" x14ac:dyDescent="0.2">
      <c r="A10" s="6">
        <v>1112</v>
      </c>
      <c r="B10" s="6" t="s">
        <v>38</v>
      </c>
      <c r="C10" s="6" t="s">
        <v>39</v>
      </c>
      <c r="D10" s="6" t="s">
        <v>23</v>
      </c>
      <c r="E10" s="6" t="b">
        <v>0</v>
      </c>
      <c r="F10" s="6" t="s">
        <v>27</v>
      </c>
      <c r="G10" s="6">
        <v>16</v>
      </c>
      <c r="H10" s="7">
        <v>46091</v>
      </c>
    </row>
    <row r="11" spans="1:8" x14ac:dyDescent="0.2">
      <c r="A11" s="6">
        <v>1135</v>
      </c>
      <c r="B11" s="6" t="s">
        <v>40</v>
      </c>
      <c r="C11" s="6" t="s">
        <v>41</v>
      </c>
      <c r="D11" s="6" t="s">
        <v>23</v>
      </c>
      <c r="E11" s="6" t="b">
        <v>0</v>
      </c>
      <c r="F11" s="6" t="s">
        <v>27</v>
      </c>
      <c r="G11" s="6">
        <v>1</v>
      </c>
      <c r="H11" s="7">
        <v>46091</v>
      </c>
    </row>
    <row r="12" spans="1:8" x14ac:dyDescent="0.2">
      <c r="A12" s="6">
        <v>982</v>
      </c>
      <c r="B12" s="6" t="s">
        <v>42</v>
      </c>
      <c r="C12" s="6" t="s">
        <v>32</v>
      </c>
      <c r="D12" s="6" t="s">
        <v>23</v>
      </c>
      <c r="E12" s="6" t="b">
        <v>0</v>
      </c>
      <c r="F12" s="6" t="s">
        <v>27</v>
      </c>
      <c r="G12" s="6">
        <v>22</v>
      </c>
      <c r="H12" s="7">
        <v>46091</v>
      </c>
    </row>
    <row r="13" spans="1:8" x14ac:dyDescent="0.2">
      <c r="A13" s="6">
        <v>1328</v>
      </c>
      <c r="B13" s="6" t="s">
        <v>43</v>
      </c>
      <c r="C13" s="6" t="s">
        <v>44</v>
      </c>
      <c r="D13" s="6" t="s">
        <v>23</v>
      </c>
      <c r="E13" s="6" t="b">
        <v>0</v>
      </c>
      <c r="F13" s="6" t="s">
        <v>27</v>
      </c>
      <c r="G13" s="6">
        <v>4</v>
      </c>
      <c r="H13" s="7">
        <v>46091</v>
      </c>
    </row>
    <row r="14" spans="1:8" x14ac:dyDescent="0.2">
      <c r="A14" s="6">
        <v>369</v>
      </c>
      <c r="B14" s="6" t="s">
        <v>45</v>
      </c>
      <c r="C14" s="6" t="s">
        <v>46</v>
      </c>
      <c r="D14" s="6" t="s">
        <v>23</v>
      </c>
      <c r="E14" s="6" t="b">
        <v>0</v>
      </c>
      <c r="F14" s="6" t="s">
        <v>27</v>
      </c>
      <c r="G14" s="6">
        <v>8</v>
      </c>
      <c r="H14" s="7">
        <v>46091</v>
      </c>
    </row>
    <row r="15" spans="1:8" x14ac:dyDescent="0.2">
      <c r="A15" s="6">
        <v>7</v>
      </c>
      <c r="B15" s="6" t="s">
        <v>45</v>
      </c>
      <c r="C15" s="6" t="s">
        <v>47</v>
      </c>
      <c r="D15" s="6" t="s">
        <v>48</v>
      </c>
      <c r="E15" s="6" t="b">
        <v>0</v>
      </c>
      <c r="F15" s="6" t="s">
        <v>27</v>
      </c>
      <c r="G15" s="6">
        <v>32</v>
      </c>
      <c r="H15" s="7">
        <v>46091</v>
      </c>
    </row>
    <row r="16" spans="1:8" x14ac:dyDescent="0.2">
      <c r="A16" s="6">
        <v>473</v>
      </c>
      <c r="B16" s="6" t="s">
        <v>45</v>
      </c>
      <c r="C16" s="6" t="s">
        <v>49</v>
      </c>
      <c r="D16" s="6" t="s">
        <v>48</v>
      </c>
      <c r="E16" s="6" t="b">
        <v>0</v>
      </c>
      <c r="F16" s="6" t="s">
        <v>27</v>
      </c>
      <c r="G16" s="6">
        <v>33</v>
      </c>
      <c r="H16" s="7">
        <v>46091</v>
      </c>
    </row>
    <row r="17" spans="1:8" x14ac:dyDescent="0.2">
      <c r="A17" s="6">
        <v>1384</v>
      </c>
      <c r="B17" s="6" t="s">
        <v>50</v>
      </c>
      <c r="C17" s="6" t="s">
        <v>51</v>
      </c>
      <c r="D17" s="6" t="s">
        <v>23</v>
      </c>
      <c r="E17" s="6" t="b">
        <v>0</v>
      </c>
      <c r="F17" s="6" t="s">
        <v>27</v>
      </c>
      <c r="G17" s="6">
        <v>30</v>
      </c>
      <c r="H17" s="7">
        <v>46091</v>
      </c>
    </row>
    <row r="18" spans="1:8" x14ac:dyDescent="0.2">
      <c r="A18" s="6">
        <v>1348</v>
      </c>
      <c r="B18" s="6" t="s">
        <v>52</v>
      </c>
      <c r="C18" s="6" t="s">
        <v>53</v>
      </c>
      <c r="D18" s="6" t="s">
        <v>54</v>
      </c>
      <c r="E18" s="6" t="b">
        <v>1</v>
      </c>
      <c r="F18" s="6" t="s">
        <v>25</v>
      </c>
      <c r="H18" s="7">
        <v>46091</v>
      </c>
    </row>
    <row r="19" spans="1:8" x14ac:dyDescent="0.2">
      <c r="A19" s="6">
        <v>1275</v>
      </c>
      <c r="B19" s="6" t="s">
        <v>52</v>
      </c>
      <c r="C19" s="6" t="s">
        <v>55</v>
      </c>
      <c r="D19" s="6" t="s">
        <v>23</v>
      </c>
      <c r="E19" s="6" t="b">
        <v>1</v>
      </c>
      <c r="F19" s="6" t="s">
        <v>35</v>
      </c>
      <c r="H19" s="7">
        <v>46091</v>
      </c>
    </row>
    <row r="20" spans="1:8" x14ac:dyDescent="0.2">
      <c r="A20" s="6">
        <v>68</v>
      </c>
      <c r="B20" s="6" t="s">
        <v>56</v>
      </c>
      <c r="C20" s="6" t="s">
        <v>57</v>
      </c>
      <c r="D20" s="6" t="s">
        <v>48</v>
      </c>
      <c r="E20" s="6" t="b">
        <v>0</v>
      </c>
      <c r="F20" s="6" t="s">
        <v>27</v>
      </c>
      <c r="G20" s="6">
        <v>35</v>
      </c>
      <c r="H20" s="7">
        <v>46091</v>
      </c>
    </row>
    <row r="21" spans="1:8" x14ac:dyDescent="0.2">
      <c r="A21" s="6">
        <v>1035</v>
      </c>
      <c r="B21" s="6" t="s">
        <v>58</v>
      </c>
      <c r="C21" s="6" t="s">
        <v>59</v>
      </c>
      <c r="D21" s="6" t="s">
        <v>23</v>
      </c>
      <c r="E21" s="6" t="b">
        <v>0</v>
      </c>
      <c r="F21" s="6" t="s">
        <v>27</v>
      </c>
      <c r="G21" s="6">
        <v>6</v>
      </c>
      <c r="H21" s="7">
        <v>46091</v>
      </c>
    </row>
    <row r="22" spans="1:8" x14ac:dyDescent="0.2">
      <c r="A22" s="6">
        <v>1416</v>
      </c>
      <c r="B22" s="6" t="s">
        <v>60</v>
      </c>
      <c r="C22" s="6" t="s">
        <v>61</v>
      </c>
      <c r="D22" s="6" t="s">
        <v>23</v>
      </c>
      <c r="E22" s="6" t="b">
        <v>0</v>
      </c>
      <c r="F22" s="6" t="s">
        <v>25</v>
      </c>
      <c r="H22" s="7">
        <v>46091</v>
      </c>
    </row>
    <row r="23" spans="1:8" x14ac:dyDescent="0.2">
      <c r="A23" s="6">
        <v>1326</v>
      </c>
      <c r="B23" s="6" t="s">
        <v>62</v>
      </c>
      <c r="C23" s="6" t="s">
        <v>63</v>
      </c>
      <c r="D23" s="6" t="s">
        <v>23</v>
      </c>
      <c r="E23" s="6" t="b">
        <v>1</v>
      </c>
      <c r="F23" s="6" t="s">
        <v>25</v>
      </c>
      <c r="H23" s="7">
        <v>46091</v>
      </c>
    </row>
    <row r="24" spans="1:8" x14ac:dyDescent="0.2">
      <c r="A24" s="6">
        <v>477</v>
      </c>
      <c r="B24" s="6" t="s">
        <v>64</v>
      </c>
      <c r="C24" s="6" t="s">
        <v>65</v>
      </c>
      <c r="D24" s="6" t="s">
        <v>23</v>
      </c>
      <c r="E24" s="6" t="b">
        <v>1</v>
      </c>
      <c r="F24" s="6" t="s">
        <v>27</v>
      </c>
      <c r="G24" s="6">
        <v>34</v>
      </c>
      <c r="H24" s="7">
        <v>46091</v>
      </c>
    </row>
    <row r="25" spans="1:8" x14ac:dyDescent="0.2">
      <c r="A25" s="6">
        <v>10</v>
      </c>
      <c r="B25" s="6" t="s">
        <v>64</v>
      </c>
      <c r="C25" s="6" t="s">
        <v>66</v>
      </c>
      <c r="D25" s="6" t="s">
        <v>48</v>
      </c>
      <c r="E25" s="6" t="b">
        <v>0</v>
      </c>
      <c r="F25" s="6" t="s">
        <v>27</v>
      </c>
      <c r="G25" s="6">
        <v>35</v>
      </c>
      <c r="H25" s="7">
        <v>46091</v>
      </c>
    </row>
    <row r="26" spans="1:8" x14ac:dyDescent="0.2">
      <c r="A26" s="6">
        <v>1414</v>
      </c>
      <c r="B26" s="6" t="s">
        <v>67</v>
      </c>
      <c r="C26" s="6" t="s">
        <v>36</v>
      </c>
      <c r="D26" s="6" t="s">
        <v>23</v>
      </c>
      <c r="E26" s="6" t="b">
        <v>0</v>
      </c>
      <c r="F26" s="6" t="s">
        <v>27</v>
      </c>
      <c r="G26" s="6">
        <v>13</v>
      </c>
      <c r="H26" s="7">
        <v>46091</v>
      </c>
    </row>
    <row r="27" spans="1:8" x14ac:dyDescent="0.2">
      <c r="A27" s="6">
        <v>1029</v>
      </c>
      <c r="B27" s="6" t="s">
        <v>68</v>
      </c>
      <c r="C27" s="6" t="s">
        <v>69</v>
      </c>
      <c r="D27" s="6" t="s">
        <v>23</v>
      </c>
      <c r="E27" s="6" t="b">
        <v>0</v>
      </c>
      <c r="F27" s="6" t="s">
        <v>27</v>
      </c>
      <c r="G27" s="6">
        <v>28</v>
      </c>
      <c r="H27" s="7">
        <v>46091</v>
      </c>
    </row>
    <row r="28" spans="1:8" x14ac:dyDescent="0.2">
      <c r="A28" s="6">
        <v>13</v>
      </c>
      <c r="B28" s="6" t="s">
        <v>70</v>
      </c>
      <c r="C28" s="6" t="s">
        <v>51</v>
      </c>
      <c r="D28" s="6" t="s">
        <v>23</v>
      </c>
      <c r="E28" s="6" t="b">
        <v>0</v>
      </c>
      <c r="F28" s="6" t="s">
        <v>27</v>
      </c>
      <c r="G28" s="6">
        <v>28</v>
      </c>
      <c r="H28" s="7">
        <v>46091</v>
      </c>
    </row>
    <row r="29" spans="1:8" x14ac:dyDescent="0.2">
      <c r="A29" s="6">
        <v>1255</v>
      </c>
      <c r="B29" s="6" t="s">
        <v>71</v>
      </c>
      <c r="C29" s="6" t="s">
        <v>72</v>
      </c>
      <c r="D29" s="6" t="s">
        <v>23</v>
      </c>
      <c r="E29" s="6" t="b">
        <v>1</v>
      </c>
      <c r="F29" s="6" t="s">
        <v>27</v>
      </c>
      <c r="G29" s="6">
        <v>13</v>
      </c>
      <c r="H29" s="7">
        <v>46091</v>
      </c>
    </row>
    <row r="30" spans="1:8" x14ac:dyDescent="0.2">
      <c r="A30" s="6">
        <v>1405</v>
      </c>
      <c r="B30" s="6" t="s">
        <v>73</v>
      </c>
      <c r="C30" s="6" t="s">
        <v>74</v>
      </c>
      <c r="D30" s="6" t="s">
        <v>23</v>
      </c>
      <c r="E30" s="6" t="b">
        <v>1</v>
      </c>
      <c r="F30" s="6" t="s">
        <v>35</v>
      </c>
      <c r="H30" s="7">
        <v>46091</v>
      </c>
    </row>
    <row r="31" spans="1:8" x14ac:dyDescent="0.2">
      <c r="A31" s="6">
        <v>919</v>
      </c>
      <c r="B31" s="6" t="s">
        <v>77</v>
      </c>
      <c r="C31" s="6" t="s">
        <v>51</v>
      </c>
      <c r="D31" s="6" t="s">
        <v>23</v>
      </c>
      <c r="E31" s="6" t="b">
        <v>0</v>
      </c>
      <c r="F31" s="6" t="s">
        <v>27</v>
      </c>
      <c r="G31" s="6">
        <v>16</v>
      </c>
      <c r="H31" s="7">
        <v>46091</v>
      </c>
    </row>
    <row r="32" spans="1:8" x14ac:dyDescent="0.2">
      <c r="A32" s="6">
        <v>1319</v>
      </c>
      <c r="B32" s="6" t="s">
        <v>78</v>
      </c>
      <c r="C32" s="6" t="s">
        <v>32</v>
      </c>
      <c r="D32" s="6" t="s">
        <v>23</v>
      </c>
      <c r="E32" s="6" t="b">
        <v>0</v>
      </c>
      <c r="F32" s="6" t="s">
        <v>27</v>
      </c>
      <c r="G32" s="6">
        <v>9</v>
      </c>
      <c r="H32" s="7">
        <v>46091</v>
      </c>
    </row>
    <row r="33" spans="1:8" x14ac:dyDescent="0.2">
      <c r="A33" s="6">
        <v>1389</v>
      </c>
      <c r="B33" s="6" t="s">
        <v>79</v>
      </c>
      <c r="C33" s="6" t="s">
        <v>80</v>
      </c>
      <c r="D33" s="6" t="s">
        <v>23</v>
      </c>
      <c r="E33" s="6" t="b">
        <v>0</v>
      </c>
      <c r="F33" s="6" t="s">
        <v>25</v>
      </c>
      <c r="H33" s="7">
        <v>46091</v>
      </c>
    </row>
    <row r="34" spans="1:8" x14ac:dyDescent="0.2">
      <c r="A34" s="6">
        <v>482</v>
      </c>
      <c r="B34" s="6" t="s">
        <v>84</v>
      </c>
      <c r="C34" s="6" t="s">
        <v>85</v>
      </c>
      <c r="D34" s="6" t="s">
        <v>23</v>
      </c>
      <c r="E34" s="6" t="b">
        <v>0</v>
      </c>
      <c r="F34" s="6" t="s">
        <v>27</v>
      </c>
      <c r="G34" s="6">
        <v>13</v>
      </c>
      <c r="H34" s="7">
        <v>46091</v>
      </c>
    </row>
    <row r="35" spans="1:8" x14ac:dyDescent="0.2">
      <c r="A35" s="6">
        <v>674</v>
      </c>
      <c r="B35" s="6" t="s">
        <v>86</v>
      </c>
      <c r="C35" s="6" t="s">
        <v>87</v>
      </c>
      <c r="D35" s="6" t="s">
        <v>54</v>
      </c>
      <c r="E35" s="6" t="b">
        <v>1</v>
      </c>
      <c r="F35" s="6" t="s">
        <v>27</v>
      </c>
      <c r="G35" s="6">
        <v>23</v>
      </c>
      <c r="H35" s="7">
        <v>46091</v>
      </c>
    </row>
    <row r="36" spans="1:8" x14ac:dyDescent="0.2">
      <c r="A36" s="6">
        <v>1061</v>
      </c>
      <c r="B36" s="6" t="s">
        <v>88</v>
      </c>
      <c r="C36" s="6" t="s">
        <v>89</v>
      </c>
      <c r="D36" s="6" t="s">
        <v>23</v>
      </c>
      <c r="E36" s="6" t="b">
        <v>0</v>
      </c>
      <c r="F36" s="6" t="s">
        <v>27</v>
      </c>
      <c r="G36" s="6">
        <v>19</v>
      </c>
      <c r="H36" s="7">
        <v>46091</v>
      </c>
    </row>
    <row r="37" spans="1:8" x14ac:dyDescent="0.2">
      <c r="A37" s="6">
        <v>763</v>
      </c>
      <c r="B37" s="6" t="s">
        <v>90</v>
      </c>
      <c r="C37" s="6" t="s">
        <v>59</v>
      </c>
      <c r="D37" s="6" t="s">
        <v>23</v>
      </c>
      <c r="E37" s="6" t="b">
        <v>0</v>
      </c>
      <c r="F37" s="6" t="s">
        <v>27</v>
      </c>
      <c r="G37" s="6">
        <v>17</v>
      </c>
      <c r="H37" s="7">
        <v>46091</v>
      </c>
    </row>
    <row r="38" spans="1:8" x14ac:dyDescent="0.2">
      <c r="A38" s="6">
        <v>1227</v>
      </c>
      <c r="B38" s="6" t="s">
        <v>91</v>
      </c>
      <c r="C38" s="6" t="s">
        <v>92</v>
      </c>
      <c r="D38" s="6" t="s">
        <v>23</v>
      </c>
      <c r="E38" s="6" t="b">
        <v>1</v>
      </c>
      <c r="F38" s="6" t="s">
        <v>27</v>
      </c>
      <c r="G38" s="6">
        <v>8</v>
      </c>
      <c r="H38" s="7">
        <v>46091</v>
      </c>
    </row>
    <row r="39" spans="1:8" x14ac:dyDescent="0.2">
      <c r="A39" s="6">
        <v>715</v>
      </c>
      <c r="B39" s="6" t="s">
        <v>93</v>
      </c>
      <c r="C39" s="6" t="s">
        <v>94</v>
      </c>
      <c r="D39" s="6" t="s">
        <v>23</v>
      </c>
      <c r="E39" s="6" t="b">
        <v>0</v>
      </c>
      <c r="F39" s="6" t="s">
        <v>27</v>
      </c>
      <c r="G39" s="6">
        <v>5</v>
      </c>
      <c r="H39" s="7">
        <v>46091</v>
      </c>
    </row>
    <row r="40" spans="1:8" x14ac:dyDescent="0.2">
      <c r="A40" s="6">
        <v>567</v>
      </c>
      <c r="B40" s="6" t="s">
        <v>95</v>
      </c>
      <c r="C40" s="6" t="s">
        <v>96</v>
      </c>
      <c r="D40" s="6" t="s">
        <v>23</v>
      </c>
      <c r="E40" s="6" t="b">
        <v>0</v>
      </c>
      <c r="F40" s="6" t="s">
        <v>27</v>
      </c>
      <c r="G40" s="6">
        <v>7</v>
      </c>
      <c r="H40" s="7">
        <v>46091</v>
      </c>
    </row>
    <row r="41" spans="1:8" x14ac:dyDescent="0.2">
      <c r="A41" s="6">
        <v>1391</v>
      </c>
      <c r="B41" s="6" t="s">
        <v>97</v>
      </c>
      <c r="C41" s="6" t="s">
        <v>98</v>
      </c>
      <c r="D41" s="6" t="s">
        <v>23</v>
      </c>
      <c r="E41" s="6" t="b">
        <v>1</v>
      </c>
      <c r="F41" s="6" t="s">
        <v>25</v>
      </c>
      <c r="H41" s="7">
        <v>46091</v>
      </c>
    </row>
    <row r="42" spans="1:8" x14ac:dyDescent="0.2">
      <c r="A42" s="6">
        <v>704</v>
      </c>
      <c r="B42" s="6" t="s">
        <v>99</v>
      </c>
      <c r="C42" s="6" t="s">
        <v>100</v>
      </c>
      <c r="D42" s="6" t="s">
        <v>23</v>
      </c>
      <c r="E42" s="6" t="b">
        <v>0</v>
      </c>
      <c r="F42" s="6" t="s">
        <v>27</v>
      </c>
      <c r="G42" s="6">
        <v>21</v>
      </c>
      <c r="H42" s="7">
        <v>46091</v>
      </c>
    </row>
    <row r="43" spans="1:8" x14ac:dyDescent="0.2">
      <c r="A43" s="6">
        <v>1283</v>
      </c>
      <c r="B43" s="6" t="s">
        <v>101</v>
      </c>
      <c r="C43" s="6" t="s">
        <v>102</v>
      </c>
      <c r="D43" s="6" t="s">
        <v>23</v>
      </c>
      <c r="E43" s="6" t="b">
        <v>0</v>
      </c>
      <c r="F43" s="6" t="s">
        <v>27</v>
      </c>
      <c r="G43" s="6">
        <v>18</v>
      </c>
      <c r="H43" s="7">
        <v>46091</v>
      </c>
    </row>
    <row r="44" spans="1:8" x14ac:dyDescent="0.2">
      <c r="A44" s="6">
        <v>295</v>
      </c>
      <c r="B44" s="6" t="s">
        <v>103</v>
      </c>
      <c r="C44" s="6" t="s">
        <v>104</v>
      </c>
      <c r="D44" s="6" t="s">
        <v>23</v>
      </c>
      <c r="E44" s="6" t="b">
        <v>0</v>
      </c>
      <c r="F44" s="6" t="s">
        <v>27</v>
      </c>
      <c r="G44" s="6">
        <v>15</v>
      </c>
      <c r="H44" s="7">
        <v>46091</v>
      </c>
    </row>
    <row r="45" spans="1:8" x14ac:dyDescent="0.2">
      <c r="A45" s="6">
        <v>1226</v>
      </c>
      <c r="B45" s="6" t="s">
        <v>105</v>
      </c>
      <c r="C45" s="6" t="s">
        <v>106</v>
      </c>
      <c r="D45" s="6" t="s">
        <v>23</v>
      </c>
      <c r="E45" s="6" t="b">
        <v>1</v>
      </c>
      <c r="F45" s="6" t="s">
        <v>25</v>
      </c>
      <c r="H45" s="7">
        <v>46091</v>
      </c>
    </row>
    <row r="46" spans="1:8" x14ac:dyDescent="0.2">
      <c r="A46" s="6">
        <v>1185</v>
      </c>
      <c r="B46" s="6" t="s">
        <v>109</v>
      </c>
      <c r="C46" s="6" t="s">
        <v>110</v>
      </c>
      <c r="D46" s="6" t="s">
        <v>23</v>
      </c>
      <c r="E46" s="6" t="b">
        <v>1</v>
      </c>
      <c r="F46" s="6" t="s">
        <v>35</v>
      </c>
      <c r="H46" s="7">
        <v>46091</v>
      </c>
    </row>
    <row r="47" spans="1:8" x14ac:dyDescent="0.2">
      <c r="A47" s="6">
        <v>1065</v>
      </c>
      <c r="B47" s="6" t="s">
        <v>109</v>
      </c>
      <c r="C47" s="6" t="s">
        <v>41</v>
      </c>
      <c r="D47" s="6" t="s">
        <v>23</v>
      </c>
      <c r="E47" s="6" t="b">
        <v>0</v>
      </c>
      <c r="F47" s="6" t="s">
        <v>27</v>
      </c>
      <c r="G47" s="6">
        <v>1</v>
      </c>
      <c r="H47" s="7">
        <v>46091</v>
      </c>
    </row>
    <row r="48" spans="1:8" x14ac:dyDescent="0.2">
      <c r="A48" s="6">
        <v>1407</v>
      </c>
      <c r="B48" s="6" t="s">
        <v>111</v>
      </c>
      <c r="C48" s="6" t="s">
        <v>112</v>
      </c>
      <c r="D48" s="6" t="s">
        <v>23</v>
      </c>
      <c r="E48" s="6" t="b">
        <v>0</v>
      </c>
      <c r="F48" s="6" t="s">
        <v>25</v>
      </c>
      <c r="H48" s="7">
        <v>46091</v>
      </c>
    </row>
    <row r="49" spans="1:8" x14ac:dyDescent="0.2">
      <c r="A49" s="6">
        <v>1096</v>
      </c>
      <c r="B49" s="6" t="s">
        <v>113</v>
      </c>
      <c r="C49" s="6" t="s">
        <v>114</v>
      </c>
      <c r="D49" s="6" t="s">
        <v>23</v>
      </c>
      <c r="E49" s="6" t="b">
        <v>0</v>
      </c>
      <c r="F49" s="6" t="s">
        <v>35</v>
      </c>
      <c r="H49" s="7">
        <v>46091</v>
      </c>
    </row>
    <row r="50" spans="1:8" x14ac:dyDescent="0.2">
      <c r="A50" s="6">
        <v>1236</v>
      </c>
      <c r="B50" s="6" t="s">
        <v>113</v>
      </c>
      <c r="C50" s="6" t="s">
        <v>115</v>
      </c>
      <c r="D50" s="6" t="s">
        <v>23</v>
      </c>
      <c r="E50" s="6" t="b">
        <v>1</v>
      </c>
      <c r="F50" s="6" t="s">
        <v>27</v>
      </c>
      <c r="G50" s="6">
        <v>5</v>
      </c>
      <c r="H50" s="7">
        <v>46091</v>
      </c>
    </row>
    <row r="51" spans="1:8" x14ac:dyDescent="0.2">
      <c r="A51" s="6">
        <v>699</v>
      </c>
      <c r="B51" s="6" t="s">
        <v>113</v>
      </c>
      <c r="C51" s="6" t="s">
        <v>116</v>
      </c>
      <c r="D51" s="6" t="s">
        <v>23</v>
      </c>
      <c r="E51" s="6" t="b">
        <v>0</v>
      </c>
      <c r="F51" s="6" t="s">
        <v>27</v>
      </c>
      <c r="G51" s="6">
        <v>5</v>
      </c>
      <c r="H51" s="7">
        <v>46091</v>
      </c>
    </row>
    <row r="52" spans="1:8" x14ac:dyDescent="0.2">
      <c r="A52" s="6">
        <v>1000</v>
      </c>
      <c r="B52" s="6" t="s">
        <v>120</v>
      </c>
      <c r="C52" s="6" t="s">
        <v>121</v>
      </c>
      <c r="D52" s="6" t="s">
        <v>23</v>
      </c>
      <c r="E52" s="6" t="b">
        <v>0</v>
      </c>
      <c r="F52" s="6" t="s">
        <v>25</v>
      </c>
      <c r="H52" s="7">
        <v>46091</v>
      </c>
    </row>
    <row r="53" spans="1:8" x14ac:dyDescent="0.2">
      <c r="A53" s="6">
        <v>1332</v>
      </c>
      <c r="B53" s="6" t="s">
        <v>122</v>
      </c>
      <c r="C53" s="6" t="s">
        <v>123</v>
      </c>
      <c r="D53" s="6" t="s">
        <v>23</v>
      </c>
      <c r="E53" s="6" t="b">
        <v>1</v>
      </c>
      <c r="F53" s="6" t="s">
        <v>25</v>
      </c>
      <c r="H53" s="7">
        <v>46091</v>
      </c>
    </row>
    <row r="54" spans="1:8" x14ac:dyDescent="0.2">
      <c r="A54" s="6">
        <v>682</v>
      </c>
      <c r="B54" s="6" t="s">
        <v>124</v>
      </c>
      <c r="C54" s="6" t="s">
        <v>125</v>
      </c>
      <c r="D54" s="6" t="s">
        <v>23</v>
      </c>
      <c r="E54" s="6" t="b">
        <v>0</v>
      </c>
      <c r="F54" s="6" t="s">
        <v>27</v>
      </c>
      <c r="G54" s="6">
        <v>11</v>
      </c>
      <c r="H54" s="7">
        <v>46091</v>
      </c>
    </row>
    <row r="55" spans="1:8" x14ac:dyDescent="0.2">
      <c r="A55" s="6">
        <v>1393</v>
      </c>
      <c r="B55" s="6" t="s">
        <v>126</v>
      </c>
      <c r="C55" s="6" t="s">
        <v>127</v>
      </c>
      <c r="D55" s="6" t="s">
        <v>23</v>
      </c>
      <c r="E55" s="6" t="b">
        <v>1</v>
      </c>
      <c r="F55" s="6" t="s">
        <v>27</v>
      </c>
      <c r="G55" s="6">
        <v>10</v>
      </c>
      <c r="H55" s="7">
        <v>46091</v>
      </c>
    </row>
    <row r="56" spans="1:8" x14ac:dyDescent="0.2">
      <c r="A56" s="6">
        <v>1355</v>
      </c>
      <c r="B56" s="6" t="s">
        <v>128</v>
      </c>
      <c r="C56" s="6" t="s">
        <v>129</v>
      </c>
      <c r="D56" s="6" t="s">
        <v>23</v>
      </c>
      <c r="E56" s="6" t="b">
        <v>0</v>
      </c>
      <c r="F56" s="6" t="s">
        <v>35</v>
      </c>
      <c r="H56" s="7">
        <v>46091</v>
      </c>
    </row>
    <row r="57" spans="1:8" x14ac:dyDescent="0.2">
      <c r="A57" s="6">
        <v>1164</v>
      </c>
      <c r="B57" s="6" t="s">
        <v>130</v>
      </c>
      <c r="C57" s="6" t="s">
        <v>131</v>
      </c>
      <c r="D57" s="6" t="s">
        <v>54</v>
      </c>
      <c r="E57" s="6" t="b">
        <v>1</v>
      </c>
      <c r="F57" s="6" t="s">
        <v>25</v>
      </c>
      <c r="H57" s="7">
        <v>46091</v>
      </c>
    </row>
    <row r="58" spans="1:8" x14ac:dyDescent="0.2">
      <c r="A58" s="6">
        <v>1062</v>
      </c>
      <c r="B58" s="6" t="s">
        <v>130</v>
      </c>
      <c r="C58" s="6" t="s">
        <v>83</v>
      </c>
      <c r="D58" s="6" t="s">
        <v>23</v>
      </c>
      <c r="E58" s="6" t="b">
        <v>0</v>
      </c>
      <c r="F58" s="6" t="s">
        <v>27</v>
      </c>
      <c r="G58" s="6">
        <v>9</v>
      </c>
      <c r="H58" s="7">
        <v>46091</v>
      </c>
    </row>
    <row r="59" spans="1:8" x14ac:dyDescent="0.2">
      <c r="A59" s="6">
        <v>938</v>
      </c>
      <c r="B59" s="6" t="s">
        <v>130</v>
      </c>
      <c r="C59" s="6" t="s">
        <v>132</v>
      </c>
      <c r="D59" s="6" t="s">
        <v>23</v>
      </c>
      <c r="E59" s="6" t="b">
        <v>1</v>
      </c>
      <c r="F59" s="6" t="s">
        <v>27</v>
      </c>
      <c r="G59" s="6">
        <v>7</v>
      </c>
      <c r="H59" s="7">
        <v>46091</v>
      </c>
    </row>
    <row r="60" spans="1:8" x14ac:dyDescent="0.2">
      <c r="A60" s="6">
        <v>1034</v>
      </c>
      <c r="B60" s="6" t="s">
        <v>134</v>
      </c>
      <c r="C60" s="6" t="s">
        <v>83</v>
      </c>
      <c r="D60" s="6" t="s">
        <v>23</v>
      </c>
      <c r="E60" s="6" t="b">
        <v>0</v>
      </c>
      <c r="F60" s="6" t="s">
        <v>25</v>
      </c>
      <c r="H60" s="7">
        <v>46091</v>
      </c>
    </row>
    <row r="61" spans="1:8" x14ac:dyDescent="0.2">
      <c r="A61" s="6">
        <v>1402</v>
      </c>
      <c r="B61" s="6" t="s">
        <v>135</v>
      </c>
      <c r="C61" s="6" t="s">
        <v>136</v>
      </c>
      <c r="D61" s="6" t="s">
        <v>23</v>
      </c>
      <c r="E61" s="6" t="b">
        <v>0</v>
      </c>
      <c r="F61" s="6" t="s">
        <v>27</v>
      </c>
      <c r="G61" s="6">
        <v>7</v>
      </c>
      <c r="H61" s="7">
        <v>46091</v>
      </c>
    </row>
    <row r="62" spans="1:8" x14ac:dyDescent="0.2">
      <c r="A62" s="6">
        <v>939</v>
      </c>
      <c r="B62" s="6" t="s">
        <v>137</v>
      </c>
      <c r="C62" s="6" t="s">
        <v>127</v>
      </c>
      <c r="D62" s="6" t="s">
        <v>23</v>
      </c>
      <c r="E62" s="6" t="b">
        <v>1</v>
      </c>
      <c r="F62" s="6" t="s">
        <v>27</v>
      </c>
      <c r="G62" s="6">
        <v>12</v>
      </c>
      <c r="H62" s="7">
        <v>46091</v>
      </c>
    </row>
    <row r="63" spans="1:8" x14ac:dyDescent="0.2">
      <c r="A63" s="6">
        <v>1377</v>
      </c>
      <c r="B63" s="6" t="s">
        <v>138</v>
      </c>
      <c r="C63" s="6" t="s">
        <v>139</v>
      </c>
      <c r="D63" s="6" t="s">
        <v>23</v>
      </c>
      <c r="E63" s="6" t="b">
        <v>1</v>
      </c>
      <c r="F63" s="6" t="s">
        <v>27</v>
      </c>
      <c r="G63" s="6">
        <v>12</v>
      </c>
      <c r="H63" s="7">
        <v>46091</v>
      </c>
    </row>
    <row r="64" spans="1:8" x14ac:dyDescent="0.2">
      <c r="A64" s="6">
        <v>1281</v>
      </c>
      <c r="B64" s="6" t="s">
        <v>140</v>
      </c>
      <c r="C64" s="6" t="s">
        <v>141</v>
      </c>
      <c r="D64" s="6" t="s">
        <v>23</v>
      </c>
      <c r="E64" s="6" t="b">
        <v>0</v>
      </c>
      <c r="F64" s="6" t="s">
        <v>27</v>
      </c>
      <c r="G64" s="6">
        <v>19</v>
      </c>
      <c r="H64" s="7">
        <v>46091</v>
      </c>
    </row>
    <row r="65" spans="1:8" x14ac:dyDescent="0.2">
      <c r="A65" s="6">
        <v>933</v>
      </c>
      <c r="B65" s="6" t="s">
        <v>142</v>
      </c>
      <c r="C65" s="6" t="s">
        <v>143</v>
      </c>
      <c r="D65" s="6" t="s">
        <v>23</v>
      </c>
      <c r="E65" s="6" t="b">
        <v>0</v>
      </c>
      <c r="F65" s="6" t="s">
        <v>25</v>
      </c>
      <c r="H65" s="7">
        <v>46091</v>
      </c>
    </row>
    <row r="66" spans="1:8" x14ac:dyDescent="0.2">
      <c r="A66" s="6">
        <v>1274</v>
      </c>
      <c r="B66" s="6" t="s">
        <v>144</v>
      </c>
      <c r="C66" s="6" t="s">
        <v>145</v>
      </c>
      <c r="D66" s="6" t="s">
        <v>23</v>
      </c>
      <c r="E66" s="6" t="b">
        <v>1</v>
      </c>
      <c r="F66" s="6" t="s">
        <v>25</v>
      </c>
      <c r="H66" s="7">
        <v>46091</v>
      </c>
    </row>
    <row r="67" spans="1:8" x14ac:dyDescent="0.2">
      <c r="A67" s="6">
        <v>493</v>
      </c>
      <c r="B67" s="6" t="s">
        <v>146</v>
      </c>
      <c r="C67" s="6" t="s">
        <v>49</v>
      </c>
      <c r="D67" s="6" t="s">
        <v>48</v>
      </c>
      <c r="E67" s="6" t="b">
        <v>0</v>
      </c>
      <c r="F67" s="6" t="s">
        <v>27</v>
      </c>
      <c r="G67" s="6">
        <v>37</v>
      </c>
      <c r="H67" s="7">
        <v>46091</v>
      </c>
    </row>
    <row r="68" spans="1:8" x14ac:dyDescent="0.2">
      <c r="A68" s="6">
        <v>1279</v>
      </c>
      <c r="B68" s="6" t="s">
        <v>147</v>
      </c>
      <c r="C68" s="6" t="s">
        <v>148</v>
      </c>
      <c r="D68" s="6" t="s">
        <v>23</v>
      </c>
      <c r="E68" s="6" t="b">
        <v>0</v>
      </c>
      <c r="F68" s="6" t="s">
        <v>27</v>
      </c>
      <c r="G68" s="6">
        <v>4</v>
      </c>
      <c r="H68" s="7">
        <v>46091</v>
      </c>
    </row>
    <row r="69" spans="1:8" x14ac:dyDescent="0.2">
      <c r="A69" s="6">
        <v>1193</v>
      </c>
      <c r="B69" s="6" t="s">
        <v>149</v>
      </c>
      <c r="C69" s="6" t="s">
        <v>150</v>
      </c>
      <c r="D69" s="6" t="s">
        <v>23</v>
      </c>
      <c r="E69" s="6" t="b">
        <v>0</v>
      </c>
      <c r="F69" s="6" t="s">
        <v>25</v>
      </c>
      <c r="H69" s="7">
        <v>46091</v>
      </c>
    </row>
    <row r="70" spans="1:8" x14ac:dyDescent="0.2">
      <c r="A70" s="6">
        <v>1194</v>
      </c>
      <c r="B70" s="6" t="s">
        <v>149</v>
      </c>
      <c r="C70" s="6" t="s">
        <v>151</v>
      </c>
      <c r="D70" s="6" t="s">
        <v>23</v>
      </c>
      <c r="E70" s="6" t="b">
        <v>1</v>
      </c>
      <c r="F70" s="6" t="s">
        <v>25</v>
      </c>
      <c r="H70" s="7">
        <v>46091</v>
      </c>
    </row>
    <row r="71" spans="1:8" x14ac:dyDescent="0.2">
      <c r="A71" s="6">
        <v>1196</v>
      </c>
      <c r="B71" s="6" t="s">
        <v>149</v>
      </c>
      <c r="C71" s="6" t="s">
        <v>152</v>
      </c>
      <c r="D71" s="6" t="s">
        <v>23</v>
      </c>
      <c r="E71" s="6" t="b">
        <v>0</v>
      </c>
      <c r="F71" s="6" t="s">
        <v>35</v>
      </c>
      <c r="H71" s="7">
        <v>46091</v>
      </c>
    </row>
    <row r="72" spans="1:8" x14ac:dyDescent="0.2">
      <c r="A72" s="6">
        <v>1195</v>
      </c>
      <c r="B72" s="6" t="s">
        <v>149</v>
      </c>
      <c r="C72" s="6" t="s">
        <v>153</v>
      </c>
      <c r="D72" s="6" t="s">
        <v>23</v>
      </c>
      <c r="E72" s="6" t="b">
        <v>0</v>
      </c>
      <c r="F72" s="6" t="s">
        <v>35</v>
      </c>
      <c r="H72" s="7">
        <v>46091</v>
      </c>
    </row>
    <row r="73" spans="1:8" x14ac:dyDescent="0.2">
      <c r="A73" s="6">
        <v>1176</v>
      </c>
      <c r="B73" s="6" t="s">
        <v>154</v>
      </c>
      <c r="C73" s="6" t="s">
        <v>155</v>
      </c>
      <c r="D73" s="6" t="s">
        <v>23</v>
      </c>
      <c r="E73" s="6" t="b">
        <v>0</v>
      </c>
      <c r="F73" s="6" t="s">
        <v>35</v>
      </c>
      <c r="H73" s="7">
        <v>46091</v>
      </c>
    </row>
    <row r="74" spans="1:8" x14ac:dyDescent="0.2">
      <c r="A74" s="6">
        <v>1174</v>
      </c>
      <c r="B74" s="6" t="s">
        <v>154</v>
      </c>
      <c r="C74" s="6" t="s">
        <v>156</v>
      </c>
      <c r="D74" s="6" t="s">
        <v>23</v>
      </c>
      <c r="E74" s="6" t="b">
        <v>1</v>
      </c>
      <c r="F74" s="6" t="s">
        <v>27</v>
      </c>
      <c r="G74" s="6">
        <v>6</v>
      </c>
      <c r="H74" s="7">
        <v>46091</v>
      </c>
    </row>
    <row r="75" spans="1:8" x14ac:dyDescent="0.2">
      <c r="A75" s="6">
        <v>1175</v>
      </c>
      <c r="B75" s="6" t="s">
        <v>154</v>
      </c>
      <c r="C75" s="6" t="s">
        <v>150</v>
      </c>
      <c r="D75" s="6" t="s">
        <v>23</v>
      </c>
      <c r="E75" s="6" t="b">
        <v>0</v>
      </c>
      <c r="F75" s="6" t="s">
        <v>27</v>
      </c>
      <c r="G75" s="6">
        <v>12</v>
      </c>
      <c r="H75" s="7">
        <v>46091</v>
      </c>
    </row>
    <row r="76" spans="1:8" x14ac:dyDescent="0.2">
      <c r="A76" s="6">
        <v>1109</v>
      </c>
      <c r="B76" s="6" t="s">
        <v>157</v>
      </c>
      <c r="C76" s="6" t="s">
        <v>104</v>
      </c>
      <c r="D76" s="6" t="s">
        <v>23</v>
      </c>
      <c r="E76" s="6" t="b">
        <v>0</v>
      </c>
      <c r="F76" s="6" t="s">
        <v>25</v>
      </c>
      <c r="H76" s="7">
        <v>46091</v>
      </c>
    </row>
    <row r="77" spans="1:8" x14ac:dyDescent="0.2">
      <c r="A77" s="6">
        <v>1073</v>
      </c>
      <c r="B77" s="6" t="s">
        <v>158</v>
      </c>
      <c r="C77" s="6" t="s">
        <v>150</v>
      </c>
      <c r="D77" s="6" t="s">
        <v>23</v>
      </c>
      <c r="E77" s="6" t="b">
        <v>0</v>
      </c>
      <c r="F77" s="6" t="s">
        <v>27</v>
      </c>
      <c r="G77" s="6">
        <v>3</v>
      </c>
      <c r="H77" s="7">
        <v>46091</v>
      </c>
    </row>
    <row r="78" spans="1:8" x14ac:dyDescent="0.2">
      <c r="A78" s="6">
        <v>1400</v>
      </c>
      <c r="B78" s="6" t="s">
        <v>159</v>
      </c>
      <c r="C78" s="6" t="s">
        <v>160</v>
      </c>
      <c r="D78" s="6" t="s">
        <v>23</v>
      </c>
      <c r="E78" s="6" t="b">
        <v>0</v>
      </c>
      <c r="F78" s="6" t="s">
        <v>25</v>
      </c>
      <c r="H78" s="7">
        <v>46091</v>
      </c>
    </row>
    <row r="79" spans="1:8" x14ac:dyDescent="0.2">
      <c r="A79" s="6">
        <v>1367</v>
      </c>
      <c r="B79" s="6" t="s">
        <v>161</v>
      </c>
      <c r="C79" s="6" t="s">
        <v>152</v>
      </c>
      <c r="D79" s="6" t="s">
        <v>23</v>
      </c>
      <c r="E79" s="6" t="b">
        <v>0</v>
      </c>
      <c r="F79" s="6" t="s">
        <v>35</v>
      </c>
      <c r="H79" s="7">
        <v>46091</v>
      </c>
    </row>
    <row r="80" spans="1:8" x14ac:dyDescent="0.2">
      <c r="A80" s="6">
        <v>1366</v>
      </c>
      <c r="B80" s="6" t="s">
        <v>161</v>
      </c>
      <c r="C80" s="6" t="s">
        <v>162</v>
      </c>
      <c r="D80" s="6" t="s">
        <v>23</v>
      </c>
      <c r="E80" s="6" t="b">
        <v>1</v>
      </c>
      <c r="F80" s="6" t="s">
        <v>25</v>
      </c>
      <c r="H80" s="7">
        <v>46091</v>
      </c>
    </row>
    <row r="81" spans="1:8" x14ac:dyDescent="0.2">
      <c r="A81" s="6">
        <v>1365</v>
      </c>
      <c r="B81" s="6" t="s">
        <v>161</v>
      </c>
      <c r="C81" s="6" t="s">
        <v>163</v>
      </c>
      <c r="D81" s="6" t="s">
        <v>23</v>
      </c>
      <c r="E81" s="6" t="b">
        <v>1</v>
      </c>
      <c r="F81" s="6" t="s">
        <v>27</v>
      </c>
      <c r="G81" s="6">
        <v>7</v>
      </c>
      <c r="H81" s="7">
        <v>46091</v>
      </c>
    </row>
    <row r="82" spans="1:8" x14ac:dyDescent="0.2">
      <c r="A82" s="6">
        <v>897</v>
      </c>
      <c r="B82" s="6" t="s">
        <v>161</v>
      </c>
      <c r="C82" s="6" t="s">
        <v>164</v>
      </c>
      <c r="D82" s="6" t="s">
        <v>23</v>
      </c>
      <c r="E82" s="6" t="b">
        <v>0</v>
      </c>
      <c r="F82" s="6" t="s">
        <v>27</v>
      </c>
      <c r="G82" s="6">
        <v>13</v>
      </c>
      <c r="H82" s="7">
        <v>46091</v>
      </c>
    </row>
    <row r="83" spans="1:8" x14ac:dyDescent="0.2">
      <c r="A83" s="6">
        <v>1308</v>
      </c>
      <c r="B83" s="6" t="s">
        <v>165</v>
      </c>
      <c r="C83" s="6" t="s">
        <v>166</v>
      </c>
      <c r="D83" s="6" t="s">
        <v>23</v>
      </c>
      <c r="E83" s="6" t="b">
        <v>1</v>
      </c>
      <c r="F83" s="6" t="s">
        <v>27</v>
      </c>
      <c r="G83" s="6">
        <v>2</v>
      </c>
      <c r="H83" s="7">
        <v>46091</v>
      </c>
    </row>
    <row r="84" spans="1:8" x14ac:dyDescent="0.2">
      <c r="A84" s="6">
        <v>1206</v>
      </c>
      <c r="B84" s="6" t="s">
        <v>167</v>
      </c>
      <c r="C84" s="6" t="s">
        <v>168</v>
      </c>
      <c r="D84" s="6" t="s">
        <v>23</v>
      </c>
      <c r="E84" s="6" t="b">
        <v>1</v>
      </c>
      <c r="F84" s="6" t="s">
        <v>27</v>
      </c>
      <c r="G84" s="6">
        <v>8</v>
      </c>
      <c r="H84" s="7">
        <v>46091</v>
      </c>
    </row>
    <row r="85" spans="1:8" x14ac:dyDescent="0.2">
      <c r="A85" s="6">
        <v>1205</v>
      </c>
      <c r="B85" s="6" t="s">
        <v>167</v>
      </c>
      <c r="C85" s="6" t="s">
        <v>66</v>
      </c>
      <c r="D85" s="6" t="s">
        <v>23</v>
      </c>
      <c r="E85" s="6" t="b">
        <v>0</v>
      </c>
      <c r="F85" s="6" t="s">
        <v>27</v>
      </c>
      <c r="G85" s="6">
        <v>14</v>
      </c>
      <c r="H85" s="7">
        <v>46091</v>
      </c>
    </row>
    <row r="86" spans="1:8" x14ac:dyDescent="0.2">
      <c r="A86" s="6">
        <v>1406</v>
      </c>
      <c r="B86" s="6" t="s">
        <v>169</v>
      </c>
      <c r="C86" s="6" t="s">
        <v>170</v>
      </c>
      <c r="D86" s="6" t="s">
        <v>23</v>
      </c>
      <c r="E86" s="6" t="b">
        <v>0</v>
      </c>
      <c r="F86" s="6" t="s">
        <v>27</v>
      </c>
      <c r="G86" s="6">
        <v>9</v>
      </c>
      <c r="H86" s="7">
        <v>46091</v>
      </c>
    </row>
    <row r="87" spans="1:8" x14ac:dyDescent="0.2">
      <c r="A87" s="6">
        <v>1182</v>
      </c>
      <c r="B87" s="6" t="s">
        <v>171</v>
      </c>
      <c r="C87" s="6" t="s">
        <v>136</v>
      </c>
      <c r="D87" s="6" t="s">
        <v>23</v>
      </c>
      <c r="E87" s="6" t="b">
        <v>0</v>
      </c>
      <c r="F87" s="6" t="s">
        <v>27</v>
      </c>
      <c r="G87" s="6">
        <v>8</v>
      </c>
      <c r="H87" s="7">
        <v>46091</v>
      </c>
    </row>
    <row r="88" spans="1:8" x14ac:dyDescent="0.2">
      <c r="A88" s="6">
        <v>1340</v>
      </c>
      <c r="B88" s="6" t="s">
        <v>172</v>
      </c>
      <c r="C88" s="6" t="s">
        <v>173</v>
      </c>
      <c r="D88" s="6" t="s">
        <v>23</v>
      </c>
      <c r="E88" s="6" t="b">
        <v>0</v>
      </c>
      <c r="F88" s="6" t="s">
        <v>27</v>
      </c>
      <c r="G88" s="6">
        <v>8</v>
      </c>
      <c r="H88" s="7">
        <v>46091</v>
      </c>
    </row>
    <row r="89" spans="1:8" x14ac:dyDescent="0.2">
      <c r="A89" s="6">
        <v>21</v>
      </c>
      <c r="B89" s="6" t="s">
        <v>174</v>
      </c>
      <c r="C89" s="6" t="s">
        <v>175</v>
      </c>
      <c r="D89" s="6" t="s">
        <v>23</v>
      </c>
      <c r="E89" s="6" t="b">
        <v>0</v>
      </c>
      <c r="F89" s="6" t="s">
        <v>25</v>
      </c>
      <c r="H89" s="7">
        <v>46091</v>
      </c>
    </row>
    <row r="90" spans="1:8" x14ac:dyDescent="0.2">
      <c r="A90" s="6">
        <v>1049</v>
      </c>
      <c r="B90" s="6" t="s">
        <v>176</v>
      </c>
      <c r="C90" s="6" t="s">
        <v>177</v>
      </c>
      <c r="D90" s="6" t="s">
        <v>23</v>
      </c>
      <c r="E90" s="6" t="b">
        <v>0</v>
      </c>
      <c r="F90" s="6" t="s">
        <v>27</v>
      </c>
      <c r="G90" s="6">
        <v>19</v>
      </c>
      <c r="H90" s="7">
        <v>46091</v>
      </c>
    </row>
    <row r="91" spans="1:8" x14ac:dyDescent="0.2">
      <c r="A91" s="6">
        <v>120</v>
      </c>
      <c r="B91" s="6" t="s">
        <v>178</v>
      </c>
      <c r="C91" s="6" t="s">
        <v>179</v>
      </c>
      <c r="D91" s="6" t="s">
        <v>23</v>
      </c>
      <c r="E91" s="6" t="b">
        <v>1</v>
      </c>
      <c r="F91" s="6" t="s">
        <v>27</v>
      </c>
      <c r="G91" s="6">
        <v>12</v>
      </c>
      <c r="H91" s="7">
        <v>46091</v>
      </c>
    </row>
    <row r="92" spans="1:8" x14ac:dyDescent="0.2">
      <c r="A92" s="6">
        <v>990</v>
      </c>
      <c r="B92" s="6" t="s">
        <v>180</v>
      </c>
      <c r="C92" s="6" t="s">
        <v>87</v>
      </c>
      <c r="D92" s="6" t="s">
        <v>23</v>
      </c>
      <c r="E92" s="6" t="b">
        <v>1</v>
      </c>
      <c r="F92" s="6" t="s">
        <v>27</v>
      </c>
      <c r="G92" s="6">
        <v>10</v>
      </c>
      <c r="H92" s="7">
        <v>46091</v>
      </c>
    </row>
    <row r="93" spans="1:8" x14ac:dyDescent="0.2">
      <c r="A93" s="6">
        <v>1395</v>
      </c>
      <c r="B93" s="6" t="s">
        <v>181</v>
      </c>
      <c r="C93" s="6" t="s">
        <v>182</v>
      </c>
      <c r="D93" s="6" t="s">
        <v>23</v>
      </c>
      <c r="E93" s="6" t="b">
        <v>1</v>
      </c>
      <c r="F93" s="6" t="s">
        <v>35</v>
      </c>
      <c r="H93" s="7">
        <v>46091</v>
      </c>
    </row>
    <row r="94" spans="1:8" x14ac:dyDescent="0.2">
      <c r="A94" s="6">
        <v>1158</v>
      </c>
      <c r="B94" s="6" t="s">
        <v>183</v>
      </c>
      <c r="C94" s="6" t="s">
        <v>184</v>
      </c>
      <c r="D94" s="6" t="s">
        <v>23</v>
      </c>
      <c r="E94" s="6" t="b">
        <v>1</v>
      </c>
      <c r="F94" s="6" t="s">
        <v>25</v>
      </c>
      <c r="H94" s="7">
        <v>46091</v>
      </c>
    </row>
    <row r="95" spans="1:8" x14ac:dyDescent="0.2">
      <c r="A95" s="6">
        <v>23</v>
      </c>
      <c r="B95" s="6" t="s">
        <v>185</v>
      </c>
      <c r="C95" s="6" t="s">
        <v>100</v>
      </c>
      <c r="D95" s="6" t="s">
        <v>23</v>
      </c>
      <c r="E95" s="6" t="b">
        <v>0</v>
      </c>
      <c r="F95" s="6" t="s">
        <v>27</v>
      </c>
      <c r="G95" s="6">
        <v>10</v>
      </c>
      <c r="H95" s="7">
        <v>46091</v>
      </c>
    </row>
    <row r="96" spans="1:8" x14ac:dyDescent="0.2">
      <c r="A96" s="6">
        <v>1152</v>
      </c>
      <c r="B96" s="6" t="s">
        <v>186</v>
      </c>
      <c r="C96" s="6" t="s">
        <v>187</v>
      </c>
      <c r="D96" s="6" t="s">
        <v>23</v>
      </c>
      <c r="E96" s="6" t="b">
        <v>1</v>
      </c>
      <c r="F96" s="6" t="s">
        <v>188</v>
      </c>
      <c r="H96" s="7">
        <v>46091</v>
      </c>
    </row>
    <row r="97" spans="1:8" x14ac:dyDescent="0.2">
      <c r="A97" s="6">
        <v>581</v>
      </c>
      <c r="B97" s="6" t="s">
        <v>189</v>
      </c>
      <c r="C97" s="6" t="s">
        <v>190</v>
      </c>
      <c r="D97" s="6" t="s">
        <v>23</v>
      </c>
      <c r="E97" s="6" t="b">
        <v>0</v>
      </c>
      <c r="F97" s="6" t="s">
        <v>27</v>
      </c>
      <c r="G97" s="6">
        <v>13</v>
      </c>
      <c r="H97" s="7">
        <v>46091</v>
      </c>
    </row>
    <row r="98" spans="1:8" x14ac:dyDescent="0.2">
      <c r="A98" s="6">
        <v>1374</v>
      </c>
      <c r="B98" s="6" t="s">
        <v>191</v>
      </c>
      <c r="C98" s="6" t="s">
        <v>192</v>
      </c>
      <c r="D98" s="6" t="s">
        <v>23</v>
      </c>
      <c r="E98" s="6" t="b">
        <v>0</v>
      </c>
      <c r="F98" s="6" t="s">
        <v>25</v>
      </c>
      <c r="H98" s="7">
        <v>46091</v>
      </c>
    </row>
    <row r="99" spans="1:8" x14ac:dyDescent="0.2">
      <c r="A99" s="6">
        <v>25</v>
      </c>
      <c r="B99" s="6" t="s">
        <v>22</v>
      </c>
      <c r="C99" s="6" t="s">
        <v>193</v>
      </c>
      <c r="D99" s="6" t="s">
        <v>23</v>
      </c>
      <c r="E99" s="6" t="b">
        <v>0</v>
      </c>
      <c r="F99" s="6" t="s">
        <v>27</v>
      </c>
      <c r="G99" s="6">
        <v>8</v>
      </c>
      <c r="H99" s="7">
        <v>46091</v>
      </c>
    </row>
    <row r="100" spans="1:8" x14ac:dyDescent="0.2">
      <c r="A100" s="6">
        <v>415</v>
      </c>
      <c r="B100" s="6" t="s">
        <v>195</v>
      </c>
      <c r="C100" s="6" t="s">
        <v>196</v>
      </c>
      <c r="D100" s="6" t="s">
        <v>23</v>
      </c>
      <c r="E100" s="6" t="b">
        <v>0</v>
      </c>
      <c r="F100" s="6" t="s">
        <v>27</v>
      </c>
      <c r="G100" s="6">
        <v>6</v>
      </c>
      <c r="H100" s="7">
        <v>46091</v>
      </c>
    </row>
    <row r="101" spans="1:8" x14ac:dyDescent="0.2">
      <c r="A101" s="6">
        <v>1144</v>
      </c>
      <c r="B101" s="6" t="s">
        <v>195</v>
      </c>
      <c r="C101" s="6" t="s">
        <v>197</v>
      </c>
      <c r="D101" s="6" t="s">
        <v>54</v>
      </c>
      <c r="E101" s="6" t="b">
        <v>0</v>
      </c>
      <c r="F101" s="6" t="s">
        <v>188</v>
      </c>
      <c r="H101" s="7">
        <v>46091</v>
      </c>
    </row>
    <row r="102" spans="1:8" x14ac:dyDescent="0.2">
      <c r="A102" s="6">
        <v>203</v>
      </c>
      <c r="B102" s="6" t="s">
        <v>200</v>
      </c>
      <c r="C102" s="6" t="s">
        <v>201</v>
      </c>
      <c r="D102" s="6" t="s">
        <v>23</v>
      </c>
      <c r="E102" s="6" t="b">
        <v>0</v>
      </c>
      <c r="F102" s="6" t="s">
        <v>27</v>
      </c>
      <c r="G102" s="6">
        <v>9</v>
      </c>
      <c r="H102" s="7">
        <v>46091</v>
      </c>
    </row>
    <row r="103" spans="1:8" x14ac:dyDescent="0.2">
      <c r="A103" s="6">
        <v>956</v>
      </c>
      <c r="B103" s="6" t="s">
        <v>202</v>
      </c>
      <c r="C103" s="6" t="s">
        <v>94</v>
      </c>
      <c r="D103" s="6" t="s">
        <v>23</v>
      </c>
      <c r="E103" s="6" t="b">
        <v>0</v>
      </c>
      <c r="F103" s="6" t="s">
        <v>27</v>
      </c>
      <c r="G103" s="6">
        <v>13</v>
      </c>
      <c r="H103" s="7">
        <v>46091</v>
      </c>
    </row>
    <row r="104" spans="1:8" x14ac:dyDescent="0.2">
      <c r="A104" s="6">
        <v>1273</v>
      </c>
      <c r="B104" s="6" t="s">
        <v>203</v>
      </c>
      <c r="C104" s="6" t="s">
        <v>204</v>
      </c>
      <c r="D104" s="6" t="s">
        <v>23</v>
      </c>
      <c r="E104" s="6" t="b">
        <v>1</v>
      </c>
      <c r="F104" s="6" t="s">
        <v>27</v>
      </c>
      <c r="G104" s="6">
        <v>22</v>
      </c>
      <c r="H104" s="7">
        <v>46091</v>
      </c>
    </row>
    <row r="105" spans="1:8" x14ac:dyDescent="0.2">
      <c r="A105" s="6">
        <v>1272</v>
      </c>
      <c r="B105" s="6" t="s">
        <v>203</v>
      </c>
      <c r="C105" s="6" t="s">
        <v>205</v>
      </c>
      <c r="D105" s="6" t="s">
        <v>23</v>
      </c>
      <c r="E105" s="6" t="b">
        <v>0</v>
      </c>
      <c r="F105" s="6" t="s">
        <v>27</v>
      </c>
      <c r="G105" s="6">
        <v>24</v>
      </c>
      <c r="H105" s="7">
        <v>46091</v>
      </c>
    </row>
    <row r="106" spans="1:8" x14ac:dyDescent="0.2">
      <c r="A106" s="6">
        <v>846</v>
      </c>
      <c r="B106" s="6" t="s">
        <v>206</v>
      </c>
      <c r="C106" s="6" t="s">
        <v>207</v>
      </c>
      <c r="D106" s="6" t="s">
        <v>23</v>
      </c>
      <c r="E106" s="6" t="b">
        <v>0</v>
      </c>
      <c r="F106" s="6" t="s">
        <v>27</v>
      </c>
      <c r="G106" s="6">
        <v>17</v>
      </c>
      <c r="H106" s="7">
        <v>46091</v>
      </c>
    </row>
    <row r="107" spans="1:8" x14ac:dyDescent="0.2">
      <c r="A107" s="6">
        <v>1162</v>
      </c>
      <c r="B107" s="6" t="s">
        <v>208</v>
      </c>
      <c r="C107" s="6" t="s">
        <v>150</v>
      </c>
      <c r="D107" s="6" t="s">
        <v>23</v>
      </c>
      <c r="E107" s="6" t="b">
        <v>0</v>
      </c>
      <c r="F107" s="6" t="s">
        <v>25</v>
      </c>
      <c r="H107" s="7">
        <v>46091</v>
      </c>
    </row>
    <row r="108" spans="1:8" x14ac:dyDescent="0.2">
      <c r="A108" s="6">
        <v>1244</v>
      </c>
      <c r="B108" s="6" t="s">
        <v>209</v>
      </c>
      <c r="C108" s="6" t="s">
        <v>94</v>
      </c>
      <c r="D108" s="6" t="s">
        <v>23</v>
      </c>
      <c r="E108" s="6" t="b">
        <v>0</v>
      </c>
      <c r="F108" s="6" t="s">
        <v>27</v>
      </c>
      <c r="G108" s="6">
        <v>2</v>
      </c>
      <c r="H108" s="7">
        <v>46091</v>
      </c>
    </row>
    <row r="109" spans="1:8" x14ac:dyDescent="0.2">
      <c r="A109" s="6">
        <v>1379</v>
      </c>
      <c r="B109" s="6" t="s">
        <v>209</v>
      </c>
      <c r="C109" s="6" t="s">
        <v>210</v>
      </c>
      <c r="D109" s="6" t="s">
        <v>23</v>
      </c>
      <c r="E109" s="6" t="b">
        <v>1</v>
      </c>
      <c r="F109" s="6" t="s">
        <v>25</v>
      </c>
      <c r="H109" s="7">
        <v>46091</v>
      </c>
    </row>
    <row r="110" spans="1:8" x14ac:dyDescent="0.2">
      <c r="A110" s="6">
        <v>1362</v>
      </c>
      <c r="B110" s="6" t="s">
        <v>211</v>
      </c>
      <c r="C110" s="6" t="s">
        <v>212</v>
      </c>
      <c r="D110" s="6" t="s">
        <v>23</v>
      </c>
      <c r="E110" s="6" t="b">
        <v>1</v>
      </c>
      <c r="F110" s="6" t="s">
        <v>27</v>
      </c>
      <c r="G110" s="6">
        <v>22</v>
      </c>
      <c r="H110" s="7">
        <v>46091</v>
      </c>
    </row>
    <row r="111" spans="1:8" x14ac:dyDescent="0.2">
      <c r="A111" s="6">
        <v>1403</v>
      </c>
      <c r="B111" s="6" t="s">
        <v>213</v>
      </c>
      <c r="C111" s="6" t="s">
        <v>214</v>
      </c>
      <c r="D111" s="6" t="s">
        <v>23</v>
      </c>
      <c r="E111" s="6" t="b">
        <v>0</v>
      </c>
      <c r="F111" s="6" t="s">
        <v>27</v>
      </c>
      <c r="G111" s="6">
        <v>8</v>
      </c>
      <c r="H111" s="7">
        <v>46091</v>
      </c>
    </row>
    <row r="112" spans="1:8" x14ac:dyDescent="0.2">
      <c r="A112" s="6">
        <v>1404</v>
      </c>
      <c r="B112" s="6" t="s">
        <v>213</v>
      </c>
      <c r="C112" s="6" t="s">
        <v>215</v>
      </c>
      <c r="D112" s="6" t="s">
        <v>23</v>
      </c>
      <c r="E112" s="6" t="b">
        <v>1</v>
      </c>
      <c r="F112" s="6" t="s">
        <v>25</v>
      </c>
      <c r="H112" s="7">
        <v>46091</v>
      </c>
    </row>
    <row r="113" spans="1:8" x14ac:dyDescent="0.2">
      <c r="A113" s="6">
        <v>1229</v>
      </c>
      <c r="B113" s="6" t="s">
        <v>216</v>
      </c>
      <c r="C113" s="6" t="s">
        <v>217</v>
      </c>
      <c r="D113" s="6" t="s">
        <v>23</v>
      </c>
      <c r="E113" s="6" t="b">
        <v>1</v>
      </c>
      <c r="F113" s="6" t="s">
        <v>25</v>
      </c>
      <c r="H113" s="7">
        <v>46091</v>
      </c>
    </row>
    <row r="114" spans="1:8" x14ac:dyDescent="0.2">
      <c r="A114" s="6">
        <v>1408</v>
      </c>
      <c r="B114" s="6" t="s">
        <v>218</v>
      </c>
      <c r="C114" s="6" t="s">
        <v>219</v>
      </c>
      <c r="D114" s="6" t="s">
        <v>23</v>
      </c>
      <c r="E114" s="6" t="b">
        <v>0</v>
      </c>
      <c r="F114" s="6" t="s">
        <v>27</v>
      </c>
      <c r="G114" s="6">
        <v>20</v>
      </c>
      <c r="H114" s="7">
        <v>46091</v>
      </c>
    </row>
    <row r="115" spans="1:8" x14ac:dyDescent="0.2">
      <c r="A115" s="6">
        <v>1409</v>
      </c>
      <c r="B115" s="6" t="s">
        <v>218</v>
      </c>
      <c r="C115" s="6" t="s">
        <v>220</v>
      </c>
      <c r="D115" s="6" t="s">
        <v>23</v>
      </c>
      <c r="E115" s="6" t="b">
        <v>1</v>
      </c>
      <c r="F115" s="6" t="s">
        <v>27</v>
      </c>
      <c r="G115" s="6">
        <v>15</v>
      </c>
      <c r="H115" s="7">
        <v>46091</v>
      </c>
    </row>
    <row r="116" spans="1:8" x14ac:dyDescent="0.2">
      <c r="A116" s="6">
        <v>1198</v>
      </c>
      <c r="B116" s="6" t="s">
        <v>221</v>
      </c>
      <c r="C116" s="6" t="s">
        <v>222</v>
      </c>
      <c r="D116" s="6" t="s">
        <v>23</v>
      </c>
      <c r="E116" s="6" t="b">
        <v>0</v>
      </c>
      <c r="F116" s="6" t="s">
        <v>27</v>
      </c>
      <c r="G116" s="6">
        <v>5</v>
      </c>
      <c r="H116" s="7">
        <v>46091</v>
      </c>
    </row>
    <row r="117" spans="1:8" x14ac:dyDescent="0.2">
      <c r="A117" s="6">
        <v>1361</v>
      </c>
      <c r="B117" s="6" t="s">
        <v>224</v>
      </c>
      <c r="C117" s="6" t="s">
        <v>225</v>
      </c>
      <c r="D117" s="6" t="s">
        <v>23</v>
      </c>
      <c r="E117" s="6" t="b">
        <v>0</v>
      </c>
      <c r="F117" s="6" t="s">
        <v>27</v>
      </c>
      <c r="G117" s="6">
        <v>16</v>
      </c>
      <c r="H117" s="7">
        <v>46091</v>
      </c>
    </row>
    <row r="118" spans="1:8" x14ac:dyDescent="0.2">
      <c r="A118" s="6">
        <v>1100</v>
      </c>
      <c r="B118" s="6" t="s">
        <v>226</v>
      </c>
      <c r="C118" s="6" t="s">
        <v>34</v>
      </c>
      <c r="D118" s="6" t="s">
        <v>23</v>
      </c>
      <c r="E118" s="6" t="b">
        <v>0</v>
      </c>
      <c r="F118" s="6" t="s">
        <v>27</v>
      </c>
      <c r="G118" s="6">
        <v>13</v>
      </c>
      <c r="H118" s="7">
        <v>46091</v>
      </c>
    </row>
    <row r="119" spans="1:8" x14ac:dyDescent="0.2">
      <c r="A119" s="6">
        <v>1385</v>
      </c>
      <c r="B119" s="6" t="s">
        <v>227</v>
      </c>
      <c r="C119" s="6" t="s">
        <v>228</v>
      </c>
      <c r="D119" s="6" t="s">
        <v>23</v>
      </c>
      <c r="E119" s="6" t="b">
        <v>0</v>
      </c>
      <c r="F119" s="6" t="s">
        <v>25</v>
      </c>
      <c r="H119" s="7">
        <v>46091</v>
      </c>
    </row>
    <row r="120" spans="1:8" x14ac:dyDescent="0.2">
      <c r="A120" s="6">
        <v>1394</v>
      </c>
      <c r="B120" s="6" t="s">
        <v>227</v>
      </c>
      <c r="C120" s="6" t="s">
        <v>229</v>
      </c>
      <c r="D120" s="6" t="s">
        <v>23</v>
      </c>
      <c r="E120" s="6" t="b">
        <v>0</v>
      </c>
      <c r="F120" s="6" t="s">
        <v>35</v>
      </c>
      <c r="H120" s="7">
        <v>46091</v>
      </c>
    </row>
    <row r="121" spans="1:8" x14ac:dyDescent="0.2">
      <c r="A121" s="6">
        <v>967</v>
      </c>
      <c r="B121" s="6" t="s">
        <v>232</v>
      </c>
      <c r="C121" s="6" t="s">
        <v>152</v>
      </c>
      <c r="D121" s="6" t="s">
        <v>23</v>
      </c>
      <c r="E121" s="6" t="b">
        <v>0</v>
      </c>
      <c r="F121" s="6" t="s">
        <v>27</v>
      </c>
      <c r="G121" s="6">
        <v>5</v>
      </c>
      <c r="H121" s="7">
        <v>46091</v>
      </c>
    </row>
    <row r="122" spans="1:8" x14ac:dyDescent="0.2">
      <c r="A122" s="6">
        <v>1045</v>
      </c>
      <c r="B122" s="6" t="s">
        <v>235</v>
      </c>
      <c r="C122" s="6" t="s">
        <v>236</v>
      </c>
      <c r="D122" s="6" t="s">
        <v>23</v>
      </c>
      <c r="E122" s="6" t="b">
        <v>1</v>
      </c>
      <c r="F122" s="6" t="s">
        <v>27</v>
      </c>
      <c r="G122" s="6">
        <v>5</v>
      </c>
      <c r="H122" s="7">
        <v>46091</v>
      </c>
    </row>
    <row r="123" spans="1:8" x14ac:dyDescent="0.2">
      <c r="A123" s="6">
        <v>1046</v>
      </c>
      <c r="B123" s="6" t="s">
        <v>235</v>
      </c>
      <c r="C123" s="6" t="s">
        <v>237</v>
      </c>
      <c r="D123" s="6" t="s">
        <v>23</v>
      </c>
      <c r="E123" s="6" t="b">
        <v>0</v>
      </c>
      <c r="F123" s="6" t="s">
        <v>27</v>
      </c>
      <c r="G123" s="6">
        <v>35</v>
      </c>
      <c r="H123" s="7">
        <v>46091</v>
      </c>
    </row>
    <row r="124" spans="1:8" x14ac:dyDescent="0.2">
      <c r="A124" s="6">
        <v>1396</v>
      </c>
      <c r="B124" s="6" t="s">
        <v>238</v>
      </c>
      <c r="C124" s="6" t="s">
        <v>59</v>
      </c>
      <c r="D124" s="6" t="s">
        <v>23</v>
      </c>
      <c r="E124" s="6" t="b">
        <v>0</v>
      </c>
      <c r="F124" s="6" t="s">
        <v>25</v>
      </c>
      <c r="H124" s="7">
        <v>46091</v>
      </c>
    </row>
    <row r="125" spans="1:8" x14ac:dyDescent="0.2">
      <c r="A125" s="6">
        <v>1397</v>
      </c>
      <c r="B125" s="6" t="s">
        <v>238</v>
      </c>
      <c r="C125" s="6" t="s">
        <v>239</v>
      </c>
      <c r="D125" s="6" t="s">
        <v>23</v>
      </c>
      <c r="E125" s="6" t="b">
        <v>1</v>
      </c>
      <c r="F125" s="6" t="s">
        <v>25</v>
      </c>
      <c r="H125" s="7">
        <v>46091</v>
      </c>
    </row>
    <row r="126" spans="1:8" x14ac:dyDescent="0.2">
      <c r="A126" s="6">
        <v>1398</v>
      </c>
      <c r="B126" s="6" t="s">
        <v>238</v>
      </c>
      <c r="C126" s="6" t="s">
        <v>49</v>
      </c>
      <c r="D126" s="6" t="s">
        <v>23</v>
      </c>
      <c r="E126" s="6" t="b">
        <v>0</v>
      </c>
      <c r="F126" s="6" t="s">
        <v>35</v>
      </c>
      <c r="H126" s="7">
        <v>46091</v>
      </c>
    </row>
    <row r="127" spans="1:8" x14ac:dyDescent="0.2">
      <c r="A127" s="6">
        <v>1399</v>
      </c>
      <c r="B127" s="6" t="s">
        <v>238</v>
      </c>
      <c r="C127" s="6" t="s">
        <v>131</v>
      </c>
      <c r="D127" s="6" t="s">
        <v>23</v>
      </c>
      <c r="E127" s="6" t="b">
        <v>1</v>
      </c>
      <c r="F127" s="6" t="s">
        <v>35</v>
      </c>
      <c r="H127" s="7">
        <v>46091</v>
      </c>
    </row>
    <row r="128" spans="1:8" x14ac:dyDescent="0.2">
      <c r="A128" s="6">
        <v>771</v>
      </c>
      <c r="B128" s="6" t="s">
        <v>240</v>
      </c>
      <c r="C128" s="6" t="s">
        <v>241</v>
      </c>
      <c r="D128" s="6" t="s">
        <v>23</v>
      </c>
      <c r="E128" s="6" t="b">
        <v>0</v>
      </c>
      <c r="F128" s="6" t="s">
        <v>27</v>
      </c>
      <c r="G128" s="6">
        <v>14</v>
      </c>
      <c r="H128" s="7">
        <v>46091</v>
      </c>
    </row>
    <row r="129" spans="1:8" x14ac:dyDescent="0.2">
      <c r="A129" s="6">
        <v>1265</v>
      </c>
      <c r="B129" s="6" t="s">
        <v>242</v>
      </c>
      <c r="C129" s="6" t="s">
        <v>243</v>
      </c>
      <c r="D129" s="6" t="s">
        <v>23</v>
      </c>
      <c r="E129" s="6" t="b">
        <v>0</v>
      </c>
      <c r="F129" s="6" t="s">
        <v>27</v>
      </c>
      <c r="G129" s="6">
        <v>20</v>
      </c>
      <c r="H129" s="7">
        <v>46091</v>
      </c>
    </row>
    <row r="130" spans="1:8" x14ac:dyDescent="0.2">
      <c r="A130" s="6">
        <v>532</v>
      </c>
      <c r="B130" s="6" t="s">
        <v>244</v>
      </c>
      <c r="C130" s="6" t="s">
        <v>243</v>
      </c>
      <c r="D130" s="6" t="s">
        <v>23</v>
      </c>
      <c r="E130" s="6" t="b">
        <v>0</v>
      </c>
      <c r="F130" s="6" t="s">
        <v>27</v>
      </c>
      <c r="G130" s="6">
        <v>13</v>
      </c>
      <c r="H130" s="7">
        <v>46091</v>
      </c>
    </row>
    <row r="131" spans="1:8" x14ac:dyDescent="0.2">
      <c r="A131" s="6">
        <v>742</v>
      </c>
      <c r="B131" s="6" t="s">
        <v>246</v>
      </c>
      <c r="C131" s="6" t="s">
        <v>156</v>
      </c>
      <c r="D131" s="6" t="s">
        <v>23</v>
      </c>
      <c r="E131" s="6" t="b">
        <v>1</v>
      </c>
      <c r="F131" s="6" t="s">
        <v>27</v>
      </c>
      <c r="G131" s="6">
        <v>2</v>
      </c>
      <c r="H131" s="7">
        <v>46091</v>
      </c>
    </row>
    <row r="132" spans="1:8" x14ac:dyDescent="0.2">
      <c r="A132" s="6">
        <v>741</v>
      </c>
      <c r="B132" s="6" t="s">
        <v>246</v>
      </c>
      <c r="C132" s="6" t="s">
        <v>247</v>
      </c>
      <c r="D132" s="6" t="s">
        <v>23</v>
      </c>
      <c r="E132" s="6" t="b">
        <v>0</v>
      </c>
      <c r="F132" s="6" t="s">
        <v>27</v>
      </c>
      <c r="G132" s="6">
        <v>4</v>
      </c>
      <c r="H132" s="7">
        <v>46091</v>
      </c>
    </row>
    <row r="133" spans="1:8" x14ac:dyDescent="0.2">
      <c r="A133" s="6">
        <v>1298</v>
      </c>
      <c r="B133" s="6" t="s">
        <v>246</v>
      </c>
      <c r="C133" s="6" t="s">
        <v>132</v>
      </c>
      <c r="D133" s="6" t="s">
        <v>23</v>
      </c>
      <c r="E133" s="6" t="b">
        <v>1</v>
      </c>
      <c r="F133" s="6" t="s">
        <v>27</v>
      </c>
      <c r="G133" s="6">
        <v>13</v>
      </c>
      <c r="H133" s="7">
        <v>46091</v>
      </c>
    </row>
    <row r="134" spans="1:8" x14ac:dyDescent="0.2">
      <c r="A134" s="6">
        <v>747</v>
      </c>
      <c r="B134" s="6" t="s">
        <v>246</v>
      </c>
      <c r="C134" s="6" t="s">
        <v>22</v>
      </c>
      <c r="D134" s="6" t="s">
        <v>23</v>
      </c>
      <c r="E134" s="6" t="b">
        <v>0</v>
      </c>
      <c r="F134" s="6" t="s">
        <v>27</v>
      </c>
      <c r="G134" s="6">
        <v>1</v>
      </c>
      <c r="H134" s="7">
        <v>46091</v>
      </c>
    </row>
    <row r="135" spans="1:8" x14ac:dyDescent="0.2">
      <c r="A135" s="6">
        <v>1386</v>
      </c>
      <c r="B135" s="6" t="s">
        <v>246</v>
      </c>
      <c r="C135" s="6" t="s">
        <v>248</v>
      </c>
      <c r="D135" s="6" t="s">
        <v>23</v>
      </c>
      <c r="E135" s="6" t="b">
        <v>1</v>
      </c>
      <c r="F135" s="6" t="s">
        <v>35</v>
      </c>
      <c r="H135" s="7">
        <v>46091</v>
      </c>
    </row>
    <row r="136" spans="1:8" x14ac:dyDescent="0.2">
      <c r="A136" s="6">
        <v>564</v>
      </c>
      <c r="B136" s="6" t="s">
        <v>250</v>
      </c>
      <c r="C136" s="6" t="s">
        <v>34</v>
      </c>
      <c r="D136" s="6" t="s">
        <v>23</v>
      </c>
      <c r="E136" s="6" t="b">
        <v>0</v>
      </c>
      <c r="F136" s="6" t="s">
        <v>27</v>
      </c>
      <c r="G136" s="6">
        <v>7</v>
      </c>
      <c r="H136" s="7">
        <v>46091</v>
      </c>
    </row>
    <row r="137" spans="1:8" x14ac:dyDescent="0.2">
      <c r="A137" s="6">
        <v>1165</v>
      </c>
      <c r="B137" s="6" t="s">
        <v>251</v>
      </c>
      <c r="C137" s="6" t="s">
        <v>177</v>
      </c>
      <c r="D137" s="6" t="s">
        <v>23</v>
      </c>
      <c r="E137" s="6" t="b">
        <v>0</v>
      </c>
      <c r="F137" s="6" t="s">
        <v>27</v>
      </c>
      <c r="G137" s="6">
        <v>10</v>
      </c>
      <c r="H137" s="7">
        <v>46091</v>
      </c>
    </row>
    <row r="138" spans="1:8" x14ac:dyDescent="0.2">
      <c r="A138" s="6">
        <v>405</v>
      </c>
      <c r="B138" s="6" t="s">
        <v>252</v>
      </c>
      <c r="C138" s="6" t="s">
        <v>243</v>
      </c>
      <c r="D138" s="6" t="s">
        <v>23</v>
      </c>
      <c r="E138" s="6" t="b">
        <v>0</v>
      </c>
      <c r="F138" s="6" t="s">
        <v>27</v>
      </c>
      <c r="G138" s="6">
        <v>18</v>
      </c>
      <c r="H138" s="7">
        <v>46091</v>
      </c>
    </row>
    <row r="139" spans="1:8" x14ac:dyDescent="0.2">
      <c r="A139" s="6">
        <v>1346</v>
      </c>
      <c r="B139" s="6" t="s">
        <v>253</v>
      </c>
      <c r="C139" s="6" t="s">
        <v>254</v>
      </c>
      <c r="D139" s="6" t="s">
        <v>23</v>
      </c>
      <c r="E139" s="6" t="b">
        <v>0</v>
      </c>
      <c r="F139" s="6" t="s">
        <v>27</v>
      </c>
      <c r="G139" s="6">
        <v>20</v>
      </c>
      <c r="H139" s="7">
        <v>46091</v>
      </c>
    </row>
    <row r="140" spans="1:8" x14ac:dyDescent="0.2">
      <c r="A140" s="6">
        <v>1192</v>
      </c>
      <c r="B140" s="6" t="s">
        <v>255</v>
      </c>
      <c r="C140" s="6" t="s">
        <v>256</v>
      </c>
      <c r="D140" s="6" t="s">
        <v>23</v>
      </c>
      <c r="E140" s="6" t="b">
        <v>0</v>
      </c>
      <c r="F140" s="6" t="s">
        <v>27</v>
      </c>
      <c r="G140" s="6">
        <v>10</v>
      </c>
      <c r="H140" s="7">
        <v>46091</v>
      </c>
    </row>
    <row r="141" spans="1:8" x14ac:dyDescent="0.2">
      <c r="A141" s="6">
        <v>1157</v>
      </c>
      <c r="B141" s="6" t="s">
        <v>257</v>
      </c>
      <c r="C141" s="6" t="s">
        <v>100</v>
      </c>
      <c r="D141" s="6" t="s">
        <v>23</v>
      </c>
      <c r="E141" s="6" t="b">
        <v>0</v>
      </c>
      <c r="F141" s="6" t="s">
        <v>25</v>
      </c>
      <c r="H141" s="7">
        <v>46091</v>
      </c>
    </row>
    <row r="142" spans="1:8" x14ac:dyDescent="0.2">
      <c r="A142" s="6">
        <v>1359</v>
      </c>
      <c r="B142" s="6" t="s">
        <v>258</v>
      </c>
      <c r="C142" s="6" t="s">
        <v>49</v>
      </c>
      <c r="D142" s="6" t="s">
        <v>23</v>
      </c>
      <c r="E142" s="6" t="b">
        <v>0</v>
      </c>
      <c r="F142" s="6" t="s">
        <v>188</v>
      </c>
      <c r="H142" s="7">
        <v>46091</v>
      </c>
    </row>
    <row r="143" spans="1:8" x14ac:dyDescent="0.2">
      <c r="A143" s="6">
        <v>1360</v>
      </c>
      <c r="B143" s="6" t="s">
        <v>258</v>
      </c>
      <c r="C143" s="6" t="s">
        <v>259</v>
      </c>
      <c r="D143" s="6" t="s">
        <v>23</v>
      </c>
      <c r="E143" s="6" t="b">
        <v>1</v>
      </c>
      <c r="F143" s="6" t="s">
        <v>35</v>
      </c>
      <c r="H143" s="7">
        <v>46091</v>
      </c>
    </row>
    <row r="144" spans="1:8" x14ac:dyDescent="0.2">
      <c r="A144" s="6">
        <v>1357</v>
      </c>
      <c r="B144" s="6" t="s">
        <v>258</v>
      </c>
      <c r="C144" s="6" t="s">
        <v>34</v>
      </c>
      <c r="D144" s="6" t="s">
        <v>23</v>
      </c>
      <c r="E144" s="6" t="b">
        <v>0</v>
      </c>
      <c r="F144" s="6" t="s">
        <v>27</v>
      </c>
      <c r="G144" s="6">
        <v>5</v>
      </c>
      <c r="H144" s="7">
        <v>46091</v>
      </c>
    </row>
    <row r="145" spans="1:8" x14ac:dyDescent="0.2">
      <c r="A145" s="6">
        <v>1358</v>
      </c>
      <c r="B145" s="6" t="s">
        <v>258</v>
      </c>
      <c r="C145" s="6" t="s">
        <v>260</v>
      </c>
      <c r="D145" s="6" t="s">
        <v>23</v>
      </c>
      <c r="E145" s="6" t="b">
        <v>1</v>
      </c>
      <c r="F145" s="6" t="s">
        <v>27</v>
      </c>
      <c r="G145" s="6">
        <v>7</v>
      </c>
      <c r="H145" s="7">
        <v>46091</v>
      </c>
    </row>
    <row r="146" spans="1:8" x14ac:dyDescent="0.2">
      <c r="A146" s="6">
        <v>1390</v>
      </c>
      <c r="B146" s="6" t="s">
        <v>261</v>
      </c>
      <c r="C146" s="6" t="s">
        <v>262</v>
      </c>
      <c r="D146" s="6" t="s">
        <v>23</v>
      </c>
      <c r="E146" s="6" t="b">
        <v>0</v>
      </c>
      <c r="F146" s="6" t="s">
        <v>25</v>
      </c>
      <c r="H146" s="7">
        <v>46091</v>
      </c>
    </row>
    <row r="147" spans="1:8" x14ac:dyDescent="0.2">
      <c r="A147" s="6">
        <v>1107</v>
      </c>
      <c r="B147" s="6" t="s">
        <v>263</v>
      </c>
      <c r="C147" s="6" t="s">
        <v>264</v>
      </c>
      <c r="D147" s="6" t="s">
        <v>23</v>
      </c>
      <c r="E147" s="6" t="b">
        <v>1</v>
      </c>
      <c r="F147" s="6" t="s">
        <v>25</v>
      </c>
      <c r="H147" s="7">
        <v>46091</v>
      </c>
    </row>
    <row r="148" spans="1:8" x14ac:dyDescent="0.2">
      <c r="A148" s="6">
        <v>35</v>
      </c>
      <c r="B148" s="6" t="s">
        <v>265</v>
      </c>
      <c r="C148" s="6" t="s">
        <v>266</v>
      </c>
      <c r="D148" s="6" t="s">
        <v>23</v>
      </c>
      <c r="E148" s="6" t="b">
        <v>0</v>
      </c>
      <c r="F148" s="6" t="s">
        <v>27</v>
      </c>
      <c r="G148" s="6">
        <v>3</v>
      </c>
      <c r="H148" s="7">
        <v>46091</v>
      </c>
    </row>
    <row r="149" spans="1:8" x14ac:dyDescent="0.2">
      <c r="A149" s="6">
        <v>1094</v>
      </c>
      <c r="B149" s="6" t="s">
        <v>267</v>
      </c>
      <c r="C149" s="6" t="s">
        <v>268</v>
      </c>
      <c r="D149" s="6" t="s">
        <v>23</v>
      </c>
      <c r="E149" s="6" t="b">
        <v>0</v>
      </c>
      <c r="F149" s="6" t="s">
        <v>27</v>
      </c>
      <c r="G149" s="6">
        <v>12</v>
      </c>
      <c r="H149" s="7">
        <v>46091</v>
      </c>
    </row>
    <row r="150" spans="1:8" x14ac:dyDescent="0.2">
      <c r="A150" s="6">
        <v>1325</v>
      </c>
      <c r="B150" s="6" t="s">
        <v>269</v>
      </c>
      <c r="C150" s="6" t="s">
        <v>270</v>
      </c>
      <c r="D150" s="6" t="s">
        <v>23</v>
      </c>
      <c r="E150" s="6" t="b">
        <v>0</v>
      </c>
      <c r="F150" s="6" t="s">
        <v>27</v>
      </c>
      <c r="G150" s="6">
        <v>3</v>
      </c>
      <c r="H150" s="7">
        <v>46091</v>
      </c>
    </row>
    <row r="151" spans="1:8" x14ac:dyDescent="0.2">
      <c r="A151" s="6">
        <v>1143</v>
      </c>
      <c r="B151" s="6" t="s">
        <v>271</v>
      </c>
      <c r="C151" s="6" t="s">
        <v>247</v>
      </c>
      <c r="D151" s="6" t="s">
        <v>23</v>
      </c>
      <c r="E151" s="6" t="b">
        <v>0</v>
      </c>
      <c r="F151" s="6" t="s">
        <v>27</v>
      </c>
      <c r="G151" s="6">
        <v>3</v>
      </c>
      <c r="H151" s="7">
        <v>46091</v>
      </c>
    </row>
    <row r="152" spans="1:8" x14ac:dyDescent="0.2">
      <c r="A152" s="6">
        <v>1401</v>
      </c>
      <c r="B152" s="6" t="s">
        <v>272</v>
      </c>
      <c r="C152" s="6" t="s">
        <v>273</v>
      </c>
      <c r="D152" s="6" t="s">
        <v>23</v>
      </c>
      <c r="E152" s="6" t="b">
        <v>1</v>
      </c>
      <c r="F152" s="6" t="s">
        <v>25</v>
      </c>
      <c r="H152" s="7">
        <v>46091</v>
      </c>
    </row>
    <row r="153" spans="1:8" x14ac:dyDescent="0.2">
      <c r="A153" s="6">
        <v>1285</v>
      </c>
      <c r="B153" s="6" t="s">
        <v>274</v>
      </c>
      <c r="C153" s="6" t="s">
        <v>100</v>
      </c>
      <c r="D153" s="6" t="s">
        <v>23</v>
      </c>
      <c r="E153" s="6" t="b">
        <v>0</v>
      </c>
      <c r="F153" s="6" t="s">
        <v>25</v>
      </c>
      <c r="H153" s="7">
        <v>46091</v>
      </c>
    </row>
    <row r="154" spans="1:8" x14ac:dyDescent="0.2">
      <c r="A154" s="6">
        <v>38</v>
      </c>
      <c r="B154" s="6" t="s">
        <v>275</v>
      </c>
      <c r="C154" s="6" t="s">
        <v>276</v>
      </c>
      <c r="D154" s="6" t="s">
        <v>23</v>
      </c>
      <c r="E154" s="6" t="b">
        <v>0</v>
      </c>
      <c r="F154" s="6" t="s">
        <v>27</v>
      </c>
      <c r="G154" s="6">
        <v>13</v>
      </c>
      <c r="H154" s="7">
        <v>46091</v>
      </c>
    </row>
    <row r="155" spans="1:8" x14ac:dyDescent="0.2">
      <c r="A155" s="6">
        <v>245</v>
      </c>
      <c r="B155" s="6" t="s">
        <v>277</v>
      </c>
      <c r="C155" s="6" t="s">
        <v>234</v>
      </c>
      <c r="D155" s="6" t="s">
        <v>23</v>
      </c>
      <c r="E155" s="6" t="b">
        <v>0</v>
      </c>
      <c r="F155" s="6" t="s">
        <v>27</v>
      </c>
      <c r="G155" s="6">
        <v>10</v>
      </c>
      <c r="H155" s="7">
        <v>46091</v>
      </c>
    </row>
    <row r="156" spans="1:8" x14ac:dyDescent="0.2">
      <c r="A156" s="6">
        <v>39</v>
      </c>
      <c r="B156" s="6" t="s">
        <v>277</v>
      </c>
      <c r="C156" s="6" t="s">
        <v>278</v>
      </c>
      <c r="D156" s="6" t="s">
        <v>23</v>
      </c>
      <c r="E156" s="6" t="b">
        <v>0</v>
      </c>
      <c r="F156" s="6" t="s">
        <v>27</v>
      </c>
      <c r="G156" s="6">
        <v>43</v>
      </c>
      <c r="H156" s="7">
        <v>46091</v>
      </c>
    </row>
    <row r="157" spans="1:8" x14ac:dyDescent="0.2">
      <c r="A157" s="6">
        <v>508</v>
      </c>
      <c r="B157" s="6" t="s">
        <v>279</v>
      </c>
      <c r="C157" s="6" t="s">
        <v>59</v>
      </c>
      <c r="D157" s="6" t="s">
        <v>23</v>
      </c>
      <c r="E157" s="6" t="b">
        <v>0</v>
      </c>
      <c r="F157" s="6" t="s">
        <v>27</v>
      </c>
      <c r="G157" s="6">
        <v>31</v>
      </c>
      <c r="H157" s="7">
        <v>46091</v>
      </c>
    </row>
    <row r="158" spans="1:8" x14ac:dyDescent="0.2">
      <c r="A158" s="6">
        <v>1392</v>
      </c>
      <c r="B158" s="6" t="s">
        <v>284</v>
      </c>
      <c r="C158" s="6" t="s">
        <v>285</v>
      </c>
      <c r="D158" s="6" t="s">
        <v>23</v>
      </c>
      <c r="E158" s="6" t="b">
        <v>1</v>
      </c>
      <c r="F158" s="6" t="s">
        <v>25</v>
      </c>
      <c r="H158" s="7">
        <v>46091</v>
      </c>
    </row>
    <row r="159" spans="1:8" x14ac:dyDescent="0.2">
      <c r="A159" s="6">
        <v>1141</v>
      </c>
      <c r="B159" s="6" t="s">
        <v>286</v>
      </c>
      <c r="C159" s="6" t="s">
        <v>287</v>
      </c>
      <c r="D159" s="6" t="s">
        <v>23</v>
      </c>
      <c r="E159" s="6" t="b">
        <v>1</v>
      </c>
      <c r="F159" s="6" t="s">
        <v>27</v>
      </c>
      <c r="G159" s="6">
        <v>15</v>
      </c>
      <c r="H159" s="7">
        <v>46091</v>
      </c>
    </row>
    <row r="160" spans="1:8" x14ac:dyDescent="0.2">
      <c r="A160" s="6">
        <v>891</v>
      </c>
      <c r="B160" s="6" t="s">
        <v>288</v>
      </c>
      <c r="C160" s="6" t="s">
        <v>289</v>
      </c>
      <c r="D160" s="6" t="s">
        <v>23</v>
      </c>
      <c r="E160" s="6" t="b">
        <v>1</v>
      </c>
      <c r="F160" s="6" t="s">
        <v>25</v>
      </c>
      <c r="H160" s="7">
        <v>46091</v>
      </c>
    </row>
    <row r="161" spans="1:8" x14ac:dyDescent="0.2">
      <c r="A161" s="6">
        <v>1339</v>
      </c>
      <c r="B161" s="6" t="s">
        <v>291</v>
      </c>
      <c r="C161" s="6" t="s">
        <v>292</v>
      </c>
      <c r="D161" s="6" t="s">
        <v>23</v>
      </c>
      <c r="E161" s="6" t="b">
        <v>0</v>
      </c>
      <c r="F161" s="6" t="s">
        <v>25</v>
      </c>
      <c r="H161" s="7">
        <v>46091</v>
      </c>
    </row>
    <row r="162" spans="1:8" x14ac:dyDescent="0.2">
      <c r="A162" s="6">
        <v>914</v>
      </c>
      <c r="B162" s="6" t="s">
        <v>293</v>
      </c>
      <c r="C162" s="6" t="s">
        <v>153</v>
      </c>
      <c r="D162" s="6" t="s">
        <v>23</v>
      </c>
      <c r="E162" s="6" t="b">
        <v>0</v>
      </c>
      <c r="F162" s="6" t="s">
        <v>27</v>
      </c>
      <c r="G162" s="6">
        <v>14</v>
      </c>
      <c r="H162" s="7">
        <v>46091</v>
      </c>
    </row>
    <row r="163" spans="1:8" x14ac:dyDescent="0.2">
      <c r="A163" s="6">
        <v>597</v>
      </c>
      <c r="B163" s="6" t="s">
        <v>294</v>
      </c>
      <c r="C163" s="6" t="s">
        <v>295</v>
      </c>
      <c r="D163" s="6" t="s">
        <v>23</v>
      </c>
      <c r="E163" s="6" t="b">
        <v>0</v>
      </c>
      <c r="F163" s="6" t="s">
        <v>27</v>
      </c>
      <c r="G163" s="6">
        <v>36</v>
      </c>
      <c r="H163" s="7">
        <v>46091</v>
      </c>
    </row>
    <row r="164" spans="1:8" x14ac:dyDescent="0.2">
      <c r="A164" s="6">
        <v>1038</v>
      </c>
      <c r="B164" s="6" t="s">
        <v>293</v>
      </c>
      <c r="C164" s="6" t="s">
        <v>51</v>
      </c>
      <c r="D164" s="6" t="s">
        <v>23</v>
      </c>
      <c r="E164" s="6" t="b">
        <v>0</v>
      </c>
      <c r="F164" s="6" t="s">
        <v>27</v>
      </c>
      <c r="G164" s="6">
        <v>12</v>
      </c>
      <c r="H164" s="7">
        <v>46091</v>
      </c>
    </row>
    <row r="165" spans="1:8" x14ac:dyDescent="0.2">
      <c r="A165" s="6">
        <v>1242</v>
      </c>
      <c r="B165" s="6" t="s">
        <v>297</v>
      </c>
      <c r="C165" s="6" t="s">
        <v>190</v>
      </c>
      <c r="D165" s="6" t="s">
        <v>23</v>
      </c>
      <c r="E165" s="6" t="b">
        <v>0</v>
      </c>
      <c r="F165" s="6" t="s">
        <v>27</v>
      </c>
      <c r="G165" s="6">
        <v>15</v>
      </c>
      <c r="H165" s="7">
        <v>46091</v>
      </c>
    </row>
    <row r="166" spans="1:8" x14ac:dyDescent="0.2">
      <c r="A166" s="6">
        <v>1048</v>
      </c>
      <c r="B166" s="6" t="s">
        <v>298</v>
      </c>
      <c r="C166" s="6" t="s">
        <v>268</v>
      </c>
      <c r="D166" s="6" t="s">
        <v>23</v>
      </c>
      <c r="E166" s="6" t="b">
        <v>0</v>
      </c>
      <c r="F166" s="6" t="s">
        <v>27</v>
      </c>
      <c r="G166" s="6">
        <v>16</v>
      </c>
      <c r="H166" s="7">
        <v>46091</v>
      </c>
    </row>
    <row r="167" spans="1:8" x14ac:dyDescent="0.2">
      <c r="A167" s="6">
        <v>1055</v>
      </c>
      <c r="B167" s="6" t="s">
        <v>298</v>
      </c>
      <c r="C167" s="6" t="s">
        <v>299</v>
      </c>
      <c r="D167" s="6" t="s">
        <v>23</v>
      </c>
      <c r="E167" s="6" t="b">
        <v>0</v>
      </c>
      <c r="F167" s="6" t="s">
        <v>27</v>
      </c>
      <c r="G167" s="6">
        <v>1</v>
      </c>
      <c r="H167" s="7">
        <v>46091</v>
      </c>
    </row>
    <row r="168" spans="1:8" x14ac:dyDescent="0.2">
      <c r="A168" s="6">
        <v>820</v>
      </c>
      <c r="B168" s="6" t="s">
        <v>298</v>
      </c>
      <c r="C168" s="6" t="s">
        <v>139</v>
      </c>
      <c r="D168" s="6" t="s">
        <v>23</v>
      </c>
      <c r="E168" s="6" t="b">
        <v>1</v>
      </c>
      <c r="F168" s="6" t="s">
        <v>27</v>
      </c>
      <c r="G168" s="6">
        <v>6</v>
      </c>
      <c r="H168" s="7">
        <v>46091</v>
      </c>
    </row>
    <row r="169" spans="1:8" x14ac:dyDescent="0.2">
      <c r="A169" s="6">
        <v>687</v>
      </c>
      <c r="B169" s="6" t="s">
        <v>298</v>
      </c>
      <c r="C169" s="6" t="s">
        <v>301</v>
      </c>
      <c r="D169" s="6" t="s">
        <v>23</v>
      </c>
      <c r="E169" s="6" t="b">
        <v>0</v>
      </c>
      <c r="F169" s="6" t="s">
        <v>27</v>
      </c>
      <c r="G169" s="6">
        <v>7</v>
      </c>
      <c r="H169" s="7">
        <v>46091</v>
      </c>
    </row>
    <row r="170" spans="1:8" x14ac:dyDescent="0.2">
      <c r="A170" s="6">
        <v>1410</v>
      </c>
      <c r="B170" s="6" t="s">
        <v>104</v>
      </c>
      <c r="C170" s="6" t="s">
        <v>303</v>
      </c>
      <c r="D170" s="6" t="s">
        <v>23</v>
      </c>
      <c r="E170" s="6" t="b">
        <v>0</v>
      </c>
      <c r="F170" s="6" t="s">
        <v>25</v>
      </c>
      <c r="H170" s="7">
        <v>46091</v>
      </c>
    </row>
    <row r="171" spans="1:8" x14ac:dyDescent="0.2">
      <c r="A171" s="6">
        <v>1161</v>
      </c>
      <c r="B171" s="6" t="s">
        <v>304</v>
      </c>
      <c r="C171" s="6" t="s">
        <v>305</v>
      </c>
      <c r="D171" s="6" t="s">
        <v>23</v>
      </c>
      <c r="E171" s="6" t="b">
        <v>0</v>
      </c>
      <c r="F171" s="6" t="s">
        <v>25</v>
      </c>
      <c r="H171" s="7">
        <v>46091</v>
      </c>
    </row>
    <row r="172" spans="1:8" x14ac:dyDescent="0.2">
      <c r="A172" s="6">
        <v>890</v>
      </c>
      <c r="B172" s="6" t="s">
        <v>306</v>
      </c>
      <c r="C172" s="6" t="s">
        <v>307</v>
      </c>
      <c r="D172" s="6" t="s">
        <v>54</v>
      </c>
      <c r="E172" s="6" t="b">
        <v>0</v>
      </c>
      <c r="F172" s="6" t="s">
        <v>27</v>
      </c>
      <c r="G172" s="6">
        <v>23</v>
      </c>
      <c r="H172" s="7">
        <v>46091</v>
      </c>
    </row>
    <row r="173" spans="1:8" x14ac:dyDescent="0.2">
      <c r="A173" s="6">
        <v>45</v>
      </c>
      <c r="B173" s="6" t="s">
        <v>309</v>
      </c>
      <c r="C173" s="6" t="s">
        <v>310</v>
      </c>
      <c r="D173" s="6" t="s">
        <v>23</v>
      </c>
      <c r="E173" s="6" t="b">
        <v>0</v>
      </c>
      <c r="F173" s="6" t="s">
        <v>27</v>
      </c>
      <c r="G173" s="6">
        <v>20</v>
      </c>
      <c r="H173" s="7">
        <v>46091</v>
      </c>
    </row>
    <row r="174" spans="1:8" x14ac:dyDescent="0.2">
      <c r="A174" s="6">
        <v>1160</v>
      </c>
      <c r="B174" s="6" t="s">
        <v>311</v>
      </c>
      <c r="C174" s="6" t="s">
        <v>312</v>
      </c>
      <c r="D174" s="6" t="s">
        <v>23</v>
      </c>
      <c r="E174" s="6" t="b">
        <v>0</v>
      </c>
      <c r="F174" s="6" t="s">
        <v>25</v>
      </c>
      <c r="H174" s="7">
        <v>46091</v>
      </c>
    </row>
    <row r="175" spans="1:8" x14ac:dyDescent="0.2">
      <c r="A175" s="6">
        <v>945</v>
      </c>
      <c r="B175" s="6" t="s">
        <v>313</v>
      </c>
      <c r="C175" s="6" t="s">
        <v>49</v>
      </c>
      <c r="D175" s="6" t="s">
        <v>23</v>
      </c>
      <c r="E175" s="6" t="b">
        <v>0</v>
      </c>
      <c r="F175" s="6" t="s">
        <v>25</v>
      </c>
      <c r="H175" s="7">
        <v>46091</v>
      </c>
    </row>
    <row r="176" spans="1:8" x14ac:dyDescent="0.2">
      <c r="A176" s="6">
        <v>813</v>
      </c>
      <c r="B176" s="6" t="s">
        <v>313</v>
      </c>
      <c r="C176" s="6" t="s">
        <v>289</v>
      </c>
      <c r="D176" s="6" t="s">
        <v>23</v>
      </c>
      <c r="E176" s="6" t="b">
        <v>1</v>
      </c>
      <c r="F176" s="6" t="s">
        <v>27</v>
      </c>
      <c r="G176" s="6">
        <v>7</v>
      </c>
      <c r="H176" s="7">
        <v>46091</v>
      </c>
    </row>
    <row r="177" spans="1:8" x14ac:dyDescent="0.2">
      <c r="A177" s="6">
        <v>812</v>
      </c>
      <c r="B177" s="6" t="s">
        <v>313</v>
      </c>
      <c r="C177" s="6" t="s">
        <v>170</v>
      </c>
      <c r="D177" s="6" t="s">
        <v>23</v>
      </c>
      <c r="E177" s="6" t="b">
        <v>0</v>
      </c>
      <c r="F177" s="6" t="s">
        <v>27</v>
      </c>
      <c r="G177" s="6">
        <v>9</v>
      </c>
      <c r="H177" s="7">
        <v>46091</v>
      </c>
    </row>
    <row r="178" spans="1:8" x14ac:dyDescent="0.2">
      <c r="A178" s="6">
        <v>1129</v>
      </c>
      <c r="B178" s="6" t="s">
        <v>314</v>
      </c>
      <c r="C178" s="6" t="s">
        <v>315</v>
      </c>
      <c r="D178" s="6" t="s">
        <v>23</v>
      </c>
      <c r="E178" s="6" t="b">
        <v>0</v>
      </c>
      <c r="F178" s="6" t="s">
        <v>27</v>
      </c>
      <c r="G178" s="6">
        <v>12</v>
      </c>
      <c r="H178" s="7">
        <v>46091</v>
      </c>
    </row>
    <row r="179" spans="1:8" x14ac:dyDescent="0.2">
      <c r="A179" s="6">
        <v>860</v>
      </c>
      <c r="B179" s="6" t="s">
        <v>321</v>
      </c>
      <c r="C179" s="6" t="s">
        <v>215</v>
      </c>
      <c r="D179" s="6" t="s">
        <v>23</v>
      </c>
      <c r="E179" s="6" t="b">
        <v>1</v>
      </c>
      <c r="F179" s="6" t="s">
        <v>25</v>
      </c>
      <c r="H179" s="7">
        <v>46091</v>
      </c>
    </row>
    <row r="180" spans="1:8" x14ac:dyDescent="0.2">
      <c r="A180" s="6">
        <v>756</v>
      </c>
      <c r="B180" s="6" t="s">
        <v>321</v>
      </c>
      <c r="C180" s="6" t="s">
        <v>322</v>
      </c>
      <c r="D180" s="6" t="s">
        <v>23</v>
      </c>
      <c r="E180" s="6" t="b">
        <v>0</v>
      </c>
      <c r="F180" s="6" t="s">
        <v>25</v>
      </c>
      <c r="H180" s="7">
        <v>46091</v>
      </c>
    </row>
    <row r="181" spans="1:8" x14ac:dyDescent="0.2">
      <c r="A181" s="6">
        <v>407</v>
      </c>
      <c r="B181" s="6" t="s">
        <v>321</v>
      </c>
      <c r="C181" s="6" t="s">
        <v>323</v>
      </c>
      <c r="D181" s="6" t="s">
        <v>23</v>
      </c>
      <c r="E181" s="6" t="b">
        <v>0</v>
      </c>
      <c r="F181" s="6" t="s">
        <v>27</v>
      </c>
      <c r="G181" s="6">
        <v>5</v>
      </c>
      <c r="H181" s="7">
        <v>46091</v>
      </c>
    </row>
    <row r="182" spans="1:8" x14ac:dyDescent="0.2">
      <c r="A182" s="6">
        <v>1312</v>
      </c>
      <c r="B182" s="6" t="s">
        <v>329</v>
      </c>
      <c r="C182" s="6" t="s">
        <v>287</v>
      </c>
      <c r="D182" s="6" t="s">
        <v>23</v>
      </c>
      <c r="E182" s="6" t="b">
        <v>1</v>
      </c>
      <c r="F182" s="6" t="s">
        <v>27</v>
      </c>
      <c r="G182" s="6">
        <v>35</v>
      </c>
      <c r="H182" s="7">
        <v>46091</v>
      </c>
    </row>
    <row r="183" spans="1:8" x14ac:dyDescent="0.2">
      <c r="A183" s="6">
        <v>935</v>
      </c>
      <c r="B183" s="6" t="s">
        <v>330</v>
      </c>
      <c r="C183" s="6" t="s">
        <v>245</v>
      </c>
      <c r="D183" s="6" t="s">
        <v>23</v>
      </c>
      <c r="E183" s="6" t="b">
        <v>1</v>
      </c>
      <c r="F183" s="6" t="s">
        <v>25</v>
      </c>
      <c r="H183" s="7">
        <v>46091</v>
      </c>
    </row>
    <row r="184" spans="1:8" x14ac:dyDescent="0.2">
      <c r="A184" s="6">
        <v>999</v>
      </c>
      <c r="B184" s="6" t="s">
        <v>330</v>
      </c>
      <c r="C184" s="6" t="s">
        <v>331</v>
      </c>
      <c r="D184" s="6" t="s">
        <v>23</v>
      </c>
      <c r="E184" s="6" t="b">
        <v>1</v>
      </c>
      <c r="F184" s="6" t="s">
        <v>25</v>
      </c>
      <c r="H184" s="7">
        <v>46091</v>
      </c>
    </row>
    <row r="185" spans="1:8" x14ac:dyDescent="0.2">
      <c r="A185" s="6">
        <v>998</v>
      </c>
      <c r="B185" s="6" t="s">
        <v>330</v>
      </c>
      <c r="C185" s="6" t="s">
        <v>332</v>
      </c>
      <c r="D185" s="6" t="s">
        <v>23</v>
      </c>
      <c r="E185" s="6" t="b">
        <v>1</v>
      </c>
      <c r="F185" s="6" t="s">
        <v>27</v>
      </c>
      <c r="G185" s="6">
        <v>5</v>
      </c>
      <c r="H185" s="7">
        <v>46091</v>
      </c>
    </row>
    <row r="186" spans="1:8" x14ac:dyDescent="0.2">
      <c r="A186" s="6">
        <v>616</v>
      </c>
      <c r="B186" s="6" t="s">
        <v>330</v>
      </c>
      <c r="C186" s="6" t="s">
        <v>41</v>
      </c>
      <c r="D186" s="6" t="s">
        <v>23</v>
      </c>
      <c r="E186" s="6" t="b">
        <v>0</v>
      </c>
      <c r="F186" s="6" t="s">
        <v>27</v>
      </c>
      <c r="G186" s="6">
        <v>7</v>
      </c>
      <c r="H186" s="7">
        <v>46091</v>
      </c>
    </row>
    <row r="187" spans="1:8" x14ac:dyDescent="0.2">
      <c r="A187" s="6">
        <v>558</v>
      </c>
      <c r="B187" s="6" t="s">
        <v>333</v>
      </c>
      <c r="C187" s="6" t="s">
        <v>334</v>
      </c>
      <c r="D187" s="6" t="s">
        <v>23</v>
      </c>
      <c r="E187" s="6" t="b">
        <v>0</v>
      </c>
      <c r="F187" s="6" t="s">
        <v>27</v>
      </c>
      <c r="G187" s="6">
        <v>15</v>
      </c>
      <c r="H187" s="7">
        <v>46091</v>
      </c>
    </row>
    <row r="188" spans="1:8" x14ac:dyDescent="0.2">
      <c r="A188" s="6">
        <v>991</v>
      </c>
      <c r="B188" s="6" t="s">
        <v>335</v>
      </c>
      <c r="C188" s="6" t="s">
        <v>184</v>
      </c>
      <c r="D188" s="6" t="s">
        <v>23</v>
      </c>
      <c r="E188" s="6" t="b">
        <v>1</v>
      </c>
      <c r="F188" s="6" t="s">
        <v>35</v>
      </c>
      <c r="H188" s="7">
        <v>46091</v>
      </c>
    </row>
    <row r="189" spans="1:8" x14ac:dyDescent="0.2">
      <c r="A189" s="6">
        <v>359</v>
      </c>
      <c r="B189" s="6" t="s">
        <v>336</v>
      </c>
      <c r="C189" s="6" t="s">
        <v>26</v>
      </c>
      <c r="D189" s="6" t="s">
        <v>23</v>
      </c>
      <c r="E189" s="6" t="b">
        <v>0</v>
      </c>
      <c r="F189" s="6" t="s">
        <v>27</v>
      </c>
      <c r="G189" s="6">
        <v>24</v>
      </c>
      <c r="H189" s="7">
        <v>46091</v>
      </c>
    </row>
    <row r="190" spans="1:8" x14ac:dyDescent="0.2">
      <c r="A190" s="6">
        <v>1310</v>
      </c>
      <c r="B190" s="6" t="s">
        <v>337</v>
      </c>
      <c r="C190" s="6" t="s">
        <v>311</v>
      </c>
      <c r="D190" s="6" t="s">
        <v>23</v>
      </c>
      <c r="E190" s="6" t="b">
        <v>0</v>
      </c>
      <c r="F190" s="6" t="s">
        <v>25</v>
      </c>
      <c r="H190" s="7">
        <v>46091</v>
      </c>
    </row>
    <row r="191" spans="1:8" x14ac:dyDescent="0.2">
      <c r="A191" s="6">
        <v>1200</v>
      </c>
      <c r="B191" s="6" t="s">
        <v>338</v>
      </c>
      <c r="C191" s="6" t="s">
        <v>339</v>
      </c>
      <c r="D191" s="6" t="s">
        <v>23</v>
      </c>
      <c r="E191" s="6" t="b">
        <v>0</v>
      </c>
      <c r="F191" s="6" t="s">
        <v>27</v>
      </c>
      <c r="G191" s="6">
        <v>6</v>
      </c>
      <c r="H191" s="7">
        <v>46091</v>
      </c>
    </row>
    <row r="192" spans="1:8" x14ac:dyDescent="0.2">
      <c r="A192" s="6">
        <v>1411</v>
      </c>
      <c r="B192" s="6" t="s">
        <v>338</v>
      </c>
      <c r="C192" s="6" t="s">
        <v>72</v>
      </c>
      <c r="D192" s="6" t="s">
        <v>23</v>
      </c>
      <c r="E192" s="6" t="b">
        <v>1</v>
      </c>
      <c r="F192" s="6" t="s">
        <v>27</v>
      </c>
      <c r="G192" s="6">
        <v>3</v>
      </c>
      <c r="H192" s="7">
        <v>46091</v>
      </c>
    </row>
    <row r="193" spans="1:8" x14ac:dyDescent="0.2">
      <c r="A193" s="6">
        <v>1412</v>
      </c>
      <c r="B193" s="6" t="s">
        <v>338</v>
      </c>
      <c r="C193" s="6" t="s">
        <v>340</v>
      </c>
      <c r="D193" s="6" t="s">
        <v>23</v>
      </c>
      <c r="E193" s="6" t="b">
        <v>1</v>
      </c>
      <c r="F193" s="6" t="s">
        <v>188</v>
      </c>
      <c r="H193" s="7">
        <v>46091</v>
      </c>
    </row>
    <row r="194" spans="1:8" x14ac:dyDescent="0.2">
      <c r="A194" s="6">
        <v>1413</v>
      </c>
      <c r="B194" s="6" t="s">
        <v>338</v>
      </c>
      <c r="C194" s="6" t="s">
        <v>214</v>
      </c>
      <c r="D194" s="6" t="s">
        <v>23</v>
      </c>
      <c r="E194" s="6" t="b">
        <v>0</v>
      </c>
      <c r="F194" s="6" t="s">
        <v>188</v>
      </c>
      <c r="H194" s="7">
        <v>46091</v>
      </c>
    </row>
    <row r="195" spans="1:8" x14ac:dyDescent="0.2">
      <c r="A195" s="6">
        <v>1376</v>
      </c>
      <c r="B195" s="6" t="s">
        <v>192</v>
      </c>
      <c r="C195" s="6" t="s">
        <v>127</v>
      </c>
      <c r="D195" s="6" t="s">
        <v>23</v>
      </c>
      <c r="E195" s="6" t="b">
        <v>1</v>
      </c>
      <c r="F195" s="6" t="s">
        <v>25</v>
      </c>
      <c r="H195" s="7">
        <v>46091</v>
      </c>
    </row>
    <row r="196" spans="1:8" x14ac:dyDescent="0.2">
      <c r="A196" s="6">
        <v>1140</v>
      </c>
      <c r="B196" s="6" t="s">
        <v>341</v>
      </c>
      <c r="C196" s="6" t="s">
        <v>243</v>
      </c>
      <c r="D196" s="6" t="s">
        <v>23</v>
      </c>
      <c r="E196" s="6" t="b">
        <v>0</v>
      </c>
      <c r="F196" s="6" t="s">
        <v>25</v>
      </c>
      <c r="H196" s="7">
        <v>46091</v>
      </c>
    </row>
    <row r="197" spans="1:8" x14ac:dyDescent="0.2">
      <c r="A197" s="6">
        <v>989</v>
      </c>
      <c r="B197" s="6" t="s">
        <v>342</v>
      </c>
      <c r="C197" s="6" t="s">
        <v>343</v>
      </c>
      <c r="D197" s="6" t="s">
        <v>23</v>
      </c>
      <c r="E197" s="6" t="b">
        <v>0</v>
      </c>
      <c r="F197" s="6" t="s">
        <v>27</v>
      </c>
      <c r="G197" s="6">
        <v>3</v>
      </c>
      <c r="H197" s="7">
        <v>46091</v>
      </c>
    </row>
    <row r="198" spans="1:8" x14ac:dyDescent="0.2">
      <c r="A198" s="6">
        <v>1417</v>
      </c>
      <c r="B198" s="6" t="s">
        <v>344</v>
      </c>
      <c r="C198" s="6" t="s">
        <v>345</v>
      </c>
      <c r="D198" s="6" t="s">
        <v>23</v>
      </c>
      <c r="E198" s="6" t="b">
        <v>1</v>
      </c>
      <c r="F198" s="6" t="s">
        <v>27</v>
      </c>
      <c r="G198" s="6">
        <v>17</v>
      </c>
      <c r="H198" s="7">
        <v>46091</v>
      </c>
    </row>
    <row r="199" spans="1:8" x14ac:dyDescent="0.2">
      <c r="A199" s="6">
        <v>52</v>
      </c>
      <c r="B199" s="6" t="s">
        <v>346</v>
      </c>
      <c r="C199" s="6" t="s">
        <v>192</v>
      </c>
      <c r="D199" s="6" t="s">
        <v>23</v>
      </c>
      <c r="E199" s="6" t="b">
        <v>0</v>
      </c>
      <c r="F199" s="6" t="s">
        <v>25</v>
      </c>
      <c r="H199" s="7">
        <v>46091</v>
      </c>
    </row>
    <row r="200" spans="1:8" x14ac:dyDescent="0.2">
      <c r="A200" s="6">
        <v>62</v>
      </c>
      <c r="B200" s="6" t="s">
        <v>344</v>
      </c>
      <c r="C200" s="6" t="s">
        <v>234</v>
      </c>
      <c r="D200" s="6" t="s">
        <v>23</v>
      </c>
      <c r="E200" s="6" t="b">
        <v>0</v>
      </c>
      <c r="F200" s="6" t="s">
        <v>27</v>
      </c>
      <c r="G200" s="6">
        <v>4</v>
      </c>
      <c r="H200" s="7">
        <v>46091</v>
      </c>
    </row>
    <row r="201" spans="1:8" x14ac:dyDescent="0.2">
      <c r="A201" s="6">
        <v>930</v>
      </c>
      <c r="B201" s="6" t="s">
        <v>347</v>
      </c>
      <c r="C201" s="6" t="s">
        <v>348</v>
      </c>
      <c r="D201" s="6" t="s">
        <v>23</v>
      </c>
      <c r="E201" s="6" t="b">
        <v>1</v>
      </c>
      <c r="F201" s="6" t="s">
        <v>27</v>
      </c>
      <c r="G201" s="6">
        <v>6</v>
      </c>
      <c r="H201" s="7">
        <v>46091</v>
      </c>
    </row>
    <row r="202" spans="1:8" x14ac:dyDescent="0.2">
      <c r="A202" s="6">
        <v>744</v>
      </c>
      <c r="B202" s="6" t="s">
        <v>350</v>
      </c>
      <c r="C202" s="6" t="s">
        <v>351</v>
      </c>
      <c r="D202" s="6" t="s">
        <v>23</v>
      </c>
      <c r="E202" s="6" t="b">
        <v>0</v>
      </c>
      <c r="F202" s="6" t="s">
        <v>27</v>
      </c>
      <c r="G202" s="6">
        <v>28</v>
      </c>
      <c r="H202" s="7">
        <v>46091</v>
      </c>
    </row>
    <row r="203" spans="1:8" x14ac:dyDescent="0.2">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3515625" defaultRowHeight="15" x14ac:dyDescent="0.2"/>
  <cols>
    <col min="1" max="7" width="9.03515625" style="8"/>
    <col min="8" max="8" width="10.24609375" style="8" bestFit="1" customWidth="1"/>
    <col min="9" max="16384" width="9.03515625" style="8"/>
  </cols>
  <sheetData>
    <row r="1" spans="1:8" x14ac:dyDescent="0.2">
      <c r="A1" s="8" t="s">
        <v>13</v>
      </c>
      <c r="B1" s="8" t="s">
        <v>14</v>
      </c>
      <c r="C1" s="8" t="s">
        <v>15</v>
      </c>
      <c r="D1" s="8" t="s">
        <v>16</v>
      </c>
      <c r="E1" s="8" t="s">
        <v>17</v>
      </c>
      <c r="F1" s="8" t="s">
        <v>18</v>
      </c>
      <c r="G1" s="8" t="s">
        <v>19</v>
      </c>
      <c r="H1" s="8" t="s">
        <v>20</v>
      </c>
    </row>
    <row r="2" spans="1:8" x14ac:dyDescent="0.2">
      <c r="A2" s="8">
        <v>1327</v>
      </c>
      <c r="B2" s="8" t="s">
        <v>21</v>
      </c>
      <c r="C2" s="8" t="s">
        <v>22</v>
      </c>
      <c r="D2" s="8" t="s">
        <v>23</v>
      </c>
      <c r="E2" s="8" t="b">
        <v>0</v>
      </c>
      <c r="F2" s="8" t="s">
        <v>25</v>
      </c>
      <c r="H2" s="9">
        <v>46102</v>
      </c>
    </row>
    <row r="3" spans="1:8" x14ac:dyDescent="0.2">
      <c r="A3" s="8">
        <v>1237</v>
      </c>
      <c r="B3" s="8" t="s">
        <v>21</v>
      </c>
      <c r="C3" s="8" t="s">
        <v>26</v>
      </c>
      <c r="D3" s="8" t="s">
        <v>23</v>
      </c>
      <c r="E3" s="8" t="b">
        <v>0</v>
      </c>
      <c r="F3" s="8" t="s">
        <v>27</v>
      </c>
      <c r="G3" s="8">
        <v>1</v>
      </c>
      <c r="H3" s="9">
        <v>46102</v>
      </c>
    </row>
    <row r="4" spans="1:8" x14ac:dyDescent="0.2">
      <c r="A4" s="8">
        <v>819</v>
      </c>
      <c r="B4" s="8" t="s">
        <v>28</v>
      </c>
      <c r="C4" s="8" t="s">
        <v>29</v>
      </c>
      <c r="D4" s="8" t="s">
        <v>23</v>
      </c>
      <c r="E4" s="8" t="b">
        <v>1</v>
      </c>
      <c r="F4" s="8" t="s">
        <v>27</v>
      </c>
      <c r="G4" s="8">
        <v>23</v>
      </c>
      <c r="H4" s="9">
        <v>46102</v>
      </c>
    </row>
    <row r="5" spans="1:8" x14ac:dyDescent="0.2">
      <c r="A5" s="8">
        <v>2</v>
      </c>
      <c r="B5" s="8" t="s">
        <v>31</v>
      </c>
      <c r="C5" s="8" t="s">
        <v>32</v>
      </c>
      <c r="D5" s="8" t="s">
        <v>23</v>
      </c>
      <c r="E5" s="8" t="b">
        <v>0</v>
      </c>
      <c r="F5" s="8" t="s">
        <v>27</v>
      </c>
      <c r="G5" s="8">
        <v>21</v>
      </c>
      <c r="H5" s="9">
        <v>46102</v>
      </c>
    </row>
    <row r="6" spans="1:8" x14ac:dyDescent="0.2">
      <c r="A6" s="8">
        <v>1370</v>
      </c>
      <c r="B6" s="8" t="s">
        <v>33</v>
      </c>
      <c r="C6" s="8" t="s">
        <v>34</v>
      </c>
      <c r="D6" s="8" t="s">
        <v>23</v>
      </c>
      <c r="E6" s="8" t="b">
        <v>0</v>
      </c>
      <c r="F6" s="8" t="s">
        <v>27</v>
      </c>
      <c r="G6" s="8">
        <v>4</v>
      </c>
      <c r="H6" s="9">
        <v>46102</v>
      </c>
    </row>
    <row r="7" spans="1:8" x14ac:dyDescent="0.2">
      <c r="A7" s="8">
        <v>1415</v>
      </c>
      <c r="B7" s="8" t="s">
        <v>33</v>
      </c>
      <c r="C7" s="8" t="s">
        <v>22</v>
      </c>
      <c r="D7" s="8" t="s">
        <v>23</v>
      </c>
      <c r="E7" s="8" t="b">
        <v>0</v>
      </c>
      <c r="F7" s="8" t="s">
        <v>35</v>
      </c>
      <c r="H7" s="9">
        <v>46102</v>
      </c>
    </row>
    <row r="8" spans="1:8" x14ac:dyDescent="0.2">
      <c r="A8" s="8">
        <v>1286</v>
      </c>
      <c r="B8" s="8" t="s">
        <v>36</v>
      </c>
      <c r="C8" s="8" t="s">
        <v>34</v>
      </c>
      <c r="D8" s="8" t="s">
        <v>23</v>
      </c>
      <c r="E8" s="8" t="b">
        <v>0</v>
      </c>
      <c r="F8" s="8" t="s">
        <v>27</v>
      </c>
      <c r="G8" s="8">
        <v>13</v>
      </c>
      <c r="H8" s="9">
        <v>46102</v>
      </c>
    </row>
    <row r="9" spans="1:8" x14ac:dyDescent="0.2">
      <c r="A9" s="8">
        <v>1381</v>
      </c>
      <c r="B9" s="8" t="s">
        <v>36</v>
      </c>
      <c r="C9" s="8" t="s">
        <v>37</v>
      </c>
      <c r="D9" s="8" t="s">
        <v>23</v>
      </c>
      <c r="E9" s="8" t="b">
        <v>0</v>
      </c>
      <c r="F9" s="8" t="s">
        <v>25</v>
      </c>
      <c r="H9" s="9">
        <v>46102</v>
      </c>
    </row>
    <row r="10" spans="1:8" x14ac:dyDescent="0.2">
      <c r="A10" s="8">
        <v>1112</v>
      </c>
      <c r="B10" s="8" t="s">
        <v>38</v>
      </c>
      <c r="C10" s="8" t="s">
        <v>39</v>
      </c>
      <c r="D10" s="8" t="s">
        <v>23</v>
      </c>
      <c r="E10" s="8" t="b">
        <v>0</v>
      </c>
      <c r="F10" s="8" t="s">
        <v>27</v>
      </c>
      <c r="G10" s="8">
        <v>16</v>
      </c>
      <c r="H10" s="9">
        <v>46102</v>
      </c>
    </row>
    <row r="11" spans="1:8" x14ac:dyDescent="0.2">
      <c r="A11" s="8">
        <v>1135</v>
      </c>
      <c r="B11" s="8" t="s">
        <v>40</v>
      </c>
      <c r="C11" s="8" t="s">
        <v>41</v>
      </c>
      <c r="D11" s="8" t="s">
        <v>23</v>
      </c>
      <c r="E11" s="8" t="b">
        <v>0</v>
      </c>
      <c r="F11" s="8" t="s">
        <v>27</v>
      </c>
      <c r="G11" s="8">
        <v>1</v>
      </c>
      <c r="H11" s="9">
        <v>46102</v>
      </c>
    </row>
    <row r="12" spans="1:8" x14ac:dyDescent="0.2">
      <c r="A12" s="8">
        <v>982</v>
      </c>
      <c r="B12" s="8" t="s">
        <v>42</v>
      </c>
      <c r="C12" s="8" t="s">
        <v>32</v>
      </c>
      <c r="D12" s="8" t="s">
        <v>23</v>
      </c>
      <c r="E12" s="8" t="b">
        <v>0</v>
      </c>
      <c r="F12" s="8" t="s">
        <v>27</v>
      </c>
      <c r="G12" s="8">
        <v>22</v>
      </c>
      <c r="H12" s="9">
        <v>46102</v>
      </c>
    </row>
    <row r="13" spans="1:8" x14ac:dyDescent="0.2">
      <c r="A13" s="8">
        <v>1328</v>
      </c>
      <c r="B13" s="8" t="s">
        <v>43</v>
      </c>
      <c r="C13" s="8" t="s">
        <v>44</v>
      </c>
      <c r="D13" s="8" t="s">
        <v>23</v>
      </c>
      <c r="E13" s="8" t="b">
        <v>0</v>
      </c>
      <c r="F13" s="8" t="s">
        <v>27</v>
      </c>
      <c r="G13" s="8">
        <v>4</v>
      </c>
      <c r="H13" s="9">
        <v>46102</v>
      </c>
    </row>
    <row r="14" spans="1:8" x14ac:dyDescent="0.2">
      <c r="A14" s="8">
        <v>369</v>
      </c>
      <c r="B14" s="8" t="s">
        <v>45</v>
      </c>
      <c r="C14" s="8" t="s">
        <v>46</v>
      </c>
      <c r="D14" s="8" t="s">
        <v>23</v>
      </c>
      <c r="E14" s="8" t="b">
        <v>0</v>
      </c>
      <c r="F14" s="8" t="s">
        <v>27</v>
      </c>
      <c r="G14" s="8">
        <v>8</v>
      </c>
      <c r="H14" s="9">
        <v>46102</v>
      </c>
    </row>
    <row r="15" spans="1:8" x14ac:dyDescent="0.2">
      <c r="A15" s="8">
        <v>7</v>
      </c>
      <c r="B15" s="8" t="s">
        <v>45</v>
      </c>
      <c r="C15" s="8" t="s">
        <v>47</v>
      </c>
      <c r="D15" s="8" t="s">
        <v>48</v>
      </c>
      <c r="E15" s="8" t="b">
        <v>0</v>
      </c>
      <c r="F15" s="8" t="s">
        <v>27</v>
      </c>
      <c r="G15" s="8">
        <v>32</v>
      </c>
      <c r="H15" s="9">
        <v>46102</v>
      </c>
    </row>
    <row r="16" spans="1:8" x14ac:dyDescent="0.2">
      <c r="A16" s="8">
        <v>473</v>
      </c>
      <c r="B16" s="8" t="s">
        <v>45</v>
      </c>
      <c r="C16" s="8" t="s">
        <v>49</v>
      </c>
      <c r="D16" s="8" t="s">
        <v>48</v>
      </c>
      <c r="E16" s="8" t="b">
        <v>0</v>
      </c>
      <c r="F16" s="8" t="s">
        <v>27</v>
      </c>
      <c r="G16" s="8">
        <v>33</v>
      </c>
      <c r="H16" s="9">
        <v>46102</v>
      </c>
    </row>
    <row r="17" spans="1:8" x14ac:dyDescent="0.2">
      <c r="A17" s="8">
        <v>1384</v>
      </c>
      <c r="B17" s="8" t="s">
        <v>50</v>
      </c>
      <c r="C17" s="8" t="s">
        <v>51</v>
      </c>
      <c r="D17" s="8" t="s">
        <v>23</v>
      </c>
      <c r="E17" s="8" t="b">
        <v>0</v>
      </c>
      <c r="F17" s="8" t="s">
        <v>27</v>
      </c>
      <c r="G17" s="8">
        <v>30</v>
      </c>
      <c r="H17" s="9">
        <v>46102</v>
      </c>
    </row>
    <row r="18" spans="1:8" x14ac:dyDescent="0.2">
      <c r="A18" s="8">
        <v>1348</v>
      </c>
      <c r="B18" s="8" t="s">
        <v>52</v>
      </c>
      <c r="C18" s="8" t="s">
        <v>53</v>
      </c>
      <c r="D18" s="8" t="s">
        <v>54</v>
      </c>
      <c r="E18" s="8" t="b">
        <v>1</v>
      </c>
      <c r="F18" s="8" t="s">
        <v>25</v>
      </c>
      <c r="H18" s="9">
        <v>46102</v>
      </c>
    </row>
    <row r="19" spans="1:8" x14ac:dyDescent="0.2">
      <c r="A19" s="8">
        <v>1275</v>
      </c>
      <c r="B19" s="8" t="s">
        <v>52</v>
      </c>
      <c r="C19" s="8" t="s">
        <v>55</v>
      </c>
      <c r="D19" s="8" t="s">
        <v>23</v>
      </c>
      <c r="E19" s="8" t="b">
        <v>1</v>
      </c>
      <c r="F19" s="8" t="s">
        <v>35</v>
      </c>
      <c r="H19" s="9">
        <v>46102</v>
      </c>
    </row>
    <row r="20" spans="1:8" x14ac:dyDescent="0.2">
      <c r="A20" s="8">
        <v>68</v>
      </c>
      <c r="B20" s="8" t="s">
        <v>56</v>
      </c>
      <c r="C20" s="8" t="s">
        <v>57</v>
      </c>
      <c r="D20" s="8" t="s">
        <v>48</v>
      </c>
      <c r="E20" s="8" t="b">
        <v>0</v>
      </c>
      <c r="F20" s="8" t="s">
        <v>27</v>
      </c>
      <c r="G20" s="8">
        <v>35</v>
      </c>
      <c r="H20" s="9">
        <v>46102</v>
      </c>
    </row>
    <row r="21" spans="1:8" x14ac:dyDescent="0.2">
      <c r="A21" s="8">
        <v>1035</v>
      </c>
      <c r="B21" s="8" t="s">
        <v>58</v>
      </c>
      <c r="C21" s="8" t="s">
        <v>59</v>
      </c>
      <c r="D21" s="8" t="s">
        <v>23</v>
      </c>
      <c r="E21" s="8" t="b">
        <v>0</v>
      </c>
      <c r="F21" s="8" t="s">
        <v>27</v>
      </c>
      <c r="G21" s="8">
        <v>6</v>
      </c>
      <c r="H21" s="9">
        <v>46102</v>
      </c>
    </row>
    <row r="22" spans="1:8" x14ac:dyDescent="0.2">
      <c r="A22" s="8">
        <v>1416</v>
      </c>
      <c r="B22" s="8" t="s">
        <v>60</v>
      </c>
      <c r="C22" s="8" t="s">
        <v>61</v>
      </c>
      <c r="D22" s="8" t="s">
        <v>23</v>
      </c>
      <c r="E22" s="8" t="b">
        <v>0</v>
      </c>
      <c r="F22" s="8" t="s">
        <v>25</v>
      </c>
      <c r="H22" s="9">
        <v>46102</v>
      </c>
    </row>
    <row r="23" spans="1:8" x14ac:dyDescent="0.2">
      <c r="A23" s="8">
        <v>1326</v>
      </c>
      <c r="B23" s="8" t="s">
        <v>62</v>
      </c>
      <c r="C23" s="8" t="s">
        <v>63</v>
      </c>
      <c r="D23" s="8" t="s">
        <v>23</v>
      </c>
      <c r="E23" s="8" t="b">
        <v>1</v>
      </c>
      <c r="F23" s="8" t="s">
        <v>25</v>
      </c>
      <c r="H23" s="9">
        <v>46102</v>
      </c>
    </row>
    <row r="24" spans="1:8" x14ac:dyDescent="0.2">
      <c r="A24" s="8">
        <v>477</v>
      </c>
      <c r="B24" s="8" t="s">
        <v>64</v>
      </c>
      <c r="C24" s="8" t="s">
        <v>65</v>
      </c>
      <c r="D24" s="8" t="s">
        <v>23</v>
      </c>
      <c r="E24" s="8" t="b">
        <v>1</v>
      </c>
      <c r="F24" s="8" t="s">
        <v>27</v>
      </c>
      <c r="G24" s="8">
        <v>34</v>
      </c>
      <c r="H24" s="9">
        <v>46102</v>
      </c>
    </row>
    <row r="25" spans="1:8" x14ac:dyDescent="0.2">
      <c r="A25" s="8">
        <v>10</v>
      </c>
      <c r="B25" s="8" t="s">
        <v>64</v>
      </c>
      <c r="C25" s="8" t="s">
        <v>66</v>
      </c>
      <c r="D25" s="8" t="s">
        <v>48</v>
      </c>
      <c r="E25" s="8" t="b">
        <v>0</v>
      </c>
      <c r="F25" s="8" t="s">
        <v>27</v>
      </c>
      <c r="G25" s="8">
        <v>35</v>
      </c>
      <c r="H25" s="9">
        <v>46102</v>
      </c>
    </row>
    <row r="26" spans="1:8" x14ac:dyDescent="0.2">
      <c r="A26" s="8">
        <v>1414</v>
      </c>
      <c r="B26" s="8" t="s">
        <v>67</v>
      </c>
      <c r="C26" s="8" t="s">
        <v>36</v>
      </c>
      <c r="D26" s="8" t="s">
        <v>23</v>
      </c>
      <c r="E26" s="8" t="b">
        <v>0</v>
      </c>
      <c r="F26" s="8" t="s">
        <v>27</v>
      </c>
      <c r="G26" s="8">
        <v>13</v>
      </c>
      <c r="H26" s="9">
        <v>46102</v>
      </c>
    </row>
    <row r="27" spans="1:8" x14ac:dyDescent="0.2">
      <c r="A27" s="8">
        <v>1029</v>
      </c>
      <c r="B27" s="8" t="s">
        <v>68</v>
      </c>
      <c r="C27" s="8" t="s">
        <v>69</v>
      </c>
      <c r="D27" s="8" t="s">
        <v>23</v>
      </c>
      <c r="E27" s="8" t="b">
        <v>0</v>
      </c>
      <c r="F27" s="8" t="s">
        <v>27</v>
      </c>
      <c r="G27" s="8">
        <v>28</v>
      </c>
      <c r="H27" s="9">
        <v>46102</v>
      </c>
    </row>
    <row r="28" spans="1:8" x14ac:dyDescent="0.2">
      <c r="A28" s="8">
        <v>13</v>
      </c>
      <c r="B28" s="8" t="s">
        <v>70</v>
      </c>
      <c r="C28" s="8" t="s">
        <v>51</v>
      </c>
      <c r="D28" s="8" t="s">
        <v>23</v>
      </c>
      <c r="E28" s="8" t="b">
        <v>0</v>
      </c>
      <c r="F28" s="8" t="s">
        <v>27</v>
      </c>
      <c r="G28" s="8">
        <v>28</v>
      </c>
      <c r="H28" s="9">
        <v>46102</v>
      </c>
    </row>
    <row r="29" spans="1:8" x14ac:dyDescent="0.2">
      <c r="A29" s="8">
        <v>1255</v>
      </c>
      <c r="B29" s="8" t="s">
        <v>71</v>
      </c>
      <c r="C29" s="8" t="s">
        <v>72</v>
      </c>
      <c r="D29" s="8" t="s">
        <v>23</v>
      </c>
      <c r="E29" s="8" t="b">
        <v>1</v>
      </c>
      <c r="F29" s="8" t="s">
        <v>27</v>
      </c>
      <c r="G29" s="8">
        <v>13</v>
      </c>
      <c r="H29" s="9">
        <v>46102</v>
      </c>
    </row>
    <row r="30" spans="1:8" x14ac:dyDescent="0.2">
      <c r="A30" s="8">
        <v>1405</v>
      </c>
      <c r="B30" s="8" t="s">
        <v>73</v>
      </c>
      <c r="C30" s="8" t="s">
        <v>74</v>
      </c>
      <c r="D30" s="8" t="s">
        <v>23</v>
      </c>
      <c r="E30" s="8" t="b">
        <v>1</v>
      </c>
      <c r="F30" s="8" t="s">
        <v>35</v>
      </c>
      <c r="H30" s="9">
        <v>46102</v>
      </c>
    </row>
    <row r="31" spans="1:8" x14ac:dyDescent="0.2">
      <c r="A31" s="8">
        <v>1418</v>
      </c>
      <c r="B31" s="8" t="s">
        <v>75</v>
      </c>
      <c r="C31" s="8" t="s">
        <v>22</v>
      </c>
      <c r="D31" s="8" t="s">
        <v>23</v>
      </c>
      <c r="E31" s="8" t="b">
        <v>0</v>
      </c>
      <c r="F31" s="8" t="s">
        <v>25</v>
      </c>
      <c r="H31" s="9">
        <v>46102</v>
      </c>
    </row>
    <row r="32" spans="1:8" x14ac:dyDescent="0.2">
      <c r="A32" s="8">
        <v>919</v>
      </c>
      <c r="B32" s="8" t="s">
        <v>77</v>
      </c>
      <c r="C32" s="8" t="s">
        <v>51</v>
      </c>
      <c r="D32" s="8" t="s">
        <v>23</v>
      </c>
      <c r="E32" s="8" t="b">
        <v>0</v>
      </c>
      <c r="F32" s="8" t="s">
        <v>27</v>
      </c>
      <c r="G32" s="8">
        <v>16</v>
      </c>
      <c r="H32" s="9">
        <v>46102</v>
      </c>
    </row>
    <row r="33" spans="1:8" x14ac:dyDescent="0.2">
      <c r="A33" s="8">
        <v>1319</v>
      </c>
      <c r="B33" s="8" t="s">
        <v>78</v>
      </c>
      <c r="C33" s="8" t="s">
        <v>32</v>
      </c>
      <c r="D33" s="8" t="s">
        <v>23</v>
      </c>
      <c r="E33" s="8" t="b">
        <v>0</v>
      </c>
      <c r="F33" s="8" t="s">
        <v>27</v>
      </c>
      <c r="G33" s="8">
        <v>9</v>
      </c>
      <c r="H33" s="9">
        <v>46102</v>
      </c>
    </row>
    <row r="34" spans="1:8" x14ac:dyDescent="0.2">
      <c r="A34" s="8">
        <v>1389</v>
      </c>
      <c r="B34" s="8" t="s">
        <v>79</v>
      </c>
      <c r="C34" s="8" t="s">
        <v>80</v>
      </c>
      <c r="D34" s="8" t="s">
        <v>23</v>
      </c>
      <c r="E34" s="8" t="b">
        <v>0</v>
      </c>
      <c r="F34" s="8" t="s">
        <v>25</v>
      </c>
      <c r="H34" s="9">
        <v>46102</v>
      </c>
    </row>
    <row r="35" spans="1:8" x14ac:dyDescent="0.2">
      <c r="A35" s="8">
        <v>940</v>
      </c>
      <c r="B35" s="8" t="s">
        <v>81</v>
      </c>
      <c r="C35" s="8" t="s">
        <v>82</v>
      </c>
      <c r="D35" s="8" t="s">
        <v>23</v>
      </c>
      <c r="E35" s="8" t="b">
        <v>1</v>
      </c>
      <c r="F35" s="8" t="s">
        <v>27</v>
      </c>
      <c r="G35" s="8">
        <v>9</v>
      </c>
      <c r="H35" s="9">
        <v>46102</v>
      </c>
    </row>
    <row r="36" spans="1:8" x14ac:dyDescent="0.2">
      <c r="A36" s="8">
        <v>806</v>
      </c>
      <c r="B36" s="8" t="s">
        <v>81</v>
      </c>
      <c r="C36" s="8" t="s">
        <v>83</v>
      </c>
      <c r="D36" s="8" t="s">
        <v>23</v>
      </c>
      <c r="E36" s="8" t="b">
        <v>0</v>
      </c>
      <c r="F36" s="8" t="s">
        <v>27</v>
      </c>
      <c r="G36" s="8">
        <v>11</v>
      </c>
      <c r="H36" s="9">
        <v>46102</v>
      </c>
    </row>
    <row r="37" spans="1:8" x14ac:dyDescent="0.2">
      <c r="A37" s="8">
        <v>482</v>
      </c>
      <c r="B37" s="8" t="s">
        <v>84</v>
      </c>
      <c r="C37" s="8" t="s">
        <v>85</v>
      </c>
      <c r="D37" s="8" t="s">
        <v>23</v>
      </c>
      <c r="E37" s="8" t="b">
        <v>0</v>
      </c>
      <c r="F37" s="8" t="s">
        <v>27</v>
      </c>
      <c r="G37" s="8">
        <v>13</v>
      </c>
      <c r="H37" s="9">
        <v>46102</v>
      </c>
    </row>
    <row r="38" spans="1:8" x14ac:dyDescent="0.2">
      <c r="A38" s="8">
        <v>674</v>
      </c>
      <c r="B38" s="8" t="s">
        <v>86</v>
      </c>
      <c r="C38" s="8" t="s">
        <v>87</v>
      </c>
      <c r="D38" s="8" t="s">
        <v>54</v>
      </c>
      <c r="E38" s="8" t="b">
        <v>1</v>
      </c>
      <c r="F38" s="8" t="s">
        <v>27</v>
      </c>
      <c r="G38" s="8">
        <v>23</v>
      </c>
      <c r="H38" s="9">
        <v>46102</v>
      </c>
    </row>
    <row r="39" spans="1:8" x14ac:dyDescent="0.2">
      <c r="A39" s="8">
        <v>1061</v>
      </c>
      <c r="B39" s="8" t="s">
        <v>88</v>
      </c>
      <c r="C39" s="8" t="s">
        <v>89</v>
      </c>
      <c r="D39" s="8" t="s">
        <v>23</v>
      </c>
      <c r="E39" s="8" t="b">
        <v>0</v>
      </c>
      <c r="F39" s="8" t="s">
        <v>27</v>
      </c>
      <c r="G39" s="8">
        <v>19</v>
      </c>
      <c r="H39" s="9">
        <v>46102</v>
      </c>
    </row>
    <row r="40" spans="1:8" x14ac:dyDescent="0.2">
      <c r="A40" s="8">
        <v>763</v>
      </c>
      <c r="B40" s="8" t="s">
        <v>90</v>
      </c>
      <c r="C40" s="8" t="s">
        <v>59</v>
      </c>
      <c r="D40" s="8" t="s">
        <v>23</v>
      </c>
      <c r="E40" s="8" t="b">
        <v>0</v>
      </c>
      <c r="F40" s="8" t="s">
        <v>27</v>
      </c>
      <c r="G40" s="8">
        <v>17</v>
      </c>
      <c r="H40" s="9">
        <v>46102</v>
      </c>
    </row>
    <row r="41" spans="1:8" x14ac:dyDescent="0.2">
      <c r="A41" s="8">
        <v>1227</v>
      </c>
      <c r="B41" s="8" t="s">
        <v>91</v>
      </c>
      <c r="C41" s="8" t="s">
        <v>92</v>
      </c>
      <c r="D41" s="8" t="s">
        <v>23</v>
      </c>
      <c r="E41" s="8" t="b">
        <v>1</v>
      </c>
      <c r="F41" s="8" t="s">
        <v>27</v>
      </c>
      <c r="G41" s="8">
        <v>8</v>
      </c>
      <c r="H41" s="9">
        <v>46102</v>
      </c>
    </row>
    <row r="42" spans="1:8" x14ac:dyDescent="0.2">
      <c r="A42" s="8">
        <v>715</v>
      </c>
      <c r="B42" s="8" t="s">
        <v>93</v>
      </c>
      <c r="C42" s="8" t="s">
        <v>94</v>
      </c>
      <c r="D42" s="8" t="s">
        <v>23</v>
      </c>
      <c r="E42" s="8" t="b">
        <v>0</v>
      </c>
      <c r="F42" s="8" t="s">
        <v>27</v>
      </c>
      <c r="G42" s="8">
        <v>5</v>
      </c>
      <c r="H42" s="9">
        <v>46102</v>
      </c>
    </row>
    <row r="43" spans="1:8" x14ac:dyDescent="0.2">
      <c r="A43" s="8">
        <v>567</v>
      </c>
      <c r="B43" s="8" t="s">
        <v>95</v>
      </c>
      <c r="C43" s="8" t="s">
        <v>96</v>
      </c>
      <c r="D43" s="8" t="s">
        <v>23</v>
      </c>
      <c r="E43" s="8" t="b">
        <v>0</v>
      </c>
      <c r="F43" s="8" t="s">
        <v>27</v>
      </c>
      <c r="G43" s="8">
        <v>7</v>
      </c>
      <c r="H43" s="9">
        <v>46102</v>
      </c>
    </row>
    <row r="44" spans="1:8" x14ac:dyDescent="0.2">
      <c r="A44" s="8">
        <v>1391</v>
      </c>
      <c r="B44" s="8" t="s">
        <v>97</v>
      </c>
      <c r="C44" s="8" t="s">
        <v>98</v>
      </c>
      <c r="D44" s="8" t="s">
        <v>23</v>
      </c>
      <c r="E44" s="8" t="b">
        <v>1</v>
      </c>
      <c r="F44" s="8" t="s">
        <v>25</v>
      </c>
      <c r="H44" s="9">
        <v>46102</v>
      </c>
    </row>
    <row r="45" spans="1:8" x14ac:dyDescent="0.2">
      <c r="A45" s="8">
        <v>704</v>
      </c>
      <c r="B45" s="8" t="s">
        <v>99</v>
      </c>
      <c r="C45" s="8" t="s">
        <v>100</v>
      </c>
      <c r="D45" s="8" t="s">
        <v>23</v>
      </c>
      <c r="E45" s="8" t="b">
        <v>0</v>
      </c>
      <c r="F45" s="8" t="s">
        <v>27</v>
      </c>
      <c r="G45" s="8">
        <v>21</v>
      </c>
      <c r="H45" s="9">
        <v>46102</v>
      </c>
    </row>
    <row r="46" spans="1:8" x14ac:dyDescent="0.2">
      <c r="A46" s="8">
        <v>1283</v>
      </c>
      <c r="B46" s="8" t="s">
        <v>101</v>
      </c>
      <c r="C46" s="8" t="s">
        <v>102</v>
      </c>
      <c r="D46" s="8" t="s">
        <v>23</v>
      </c>
      <c r="E46" s="8" t="b">
        <v>0</v>
      </c>
      <c r="F46" s="8" t="s">
        <v>27</v>
      </c>
      <c r="G46" s="8">
        <v>18</v>
      </c>
      <c r="H46" s="9">
        <v>46102</v>
      </c>
    </row>
    <row r="47" spans="1:8" x14ac:dyDescent="0.2">
      <c r="A47" s="8">
        <v>295</v>
      </c>
      <c r="B47" s="8" t="s">
        <v>103</v>
      </c>
      <c r="C47" s="8" t="s">
        <v>104</v>
      </c>
      <c r="D47" s="8" t="s">
        <v>23</v>
      </c>
      <c r="E47" s="8" t="b">
        <v>0</v>
      </c>
      <c r="F47" s="8" t="s">
        <v>27</v>
      </c>
      <c r="G47" s="8">
        <v>15</v>
      </c>
      <c r="H47" s="9">
        <v>46102</v>
      </c>
    </row>
    <row r="48" spans="1:8" x14ac:dyDescent="0.2">
      <c r="A48" s="8">
        <v>1226</v>
      </c>
      <c r="B48" s="8" t="s">
        <v>105</v>
      </c>
      <c r="C48" s="8" t="s">
        <v>106</v>
      </c>
      <c r="D48" s="8" t="s">
        <v>23</v>
      </c>
      <c r="E48" s="8" t="b">
        <v>1</v>
      </c>
      <c r="F48" s="8" t="s">
        <v>25</v>
      </c>
      <c r="H48" s="9">
        <v>46102</v>
      </c>
    </row>
    <row r="49" spans="1:8" x14ac:dyDescent="0.2">
      <c r="A49" s="8">
        <v>1185</v>
      </c>
      <c r="B49" s="8" t="s">
        <v>109</v>
      </c>
      <c r="C49" s="8" t="s">
        <v>110</v>
      </c>
      <c r="D49" s="8" t="s">
        <v>23</v>
      </c>
      <c r="E49" s="8" t="b">
        <v>1</v>
      </c>
      <c r="F49" s="8" t="s">
        <v>35</v>
      </c>
      <c r="H49" s="9">
        <v>46102</v>
      </c>
    </row>
    <row r="50" spans="1:8" x14ac:dyDescent="0.2">
      <c r="A50" s="8">
        <v>1065</v>
      </c>
      <c r="B50" s="8" t="s">
        <v>109</v>
      </c>
      <c r="C50" s="8" t="s">
        <v>41</v>
      </c>
      <c r="D50" s="8" t="s">
        <v>23</v>
      </c>
      <c r="E50" s="8" t="b">
        <v>0</v>
      </c>
      <c r="F50" s="8" t="s">
        <v>27</v>
      </c>
      <c r="G50" s="8">
        <v>1</v>
      </c>
      <c r="H50" s="9">
        <v>46102</v>
      </c>
    </row>
    <row r="51" spans="1:8" x14ac:dyDescent="0.2">
      <c r="A51" s="8">
        <v>1407</v>
      </c>
      <c r="B51" s="8" t="s">
        <v>111</v>
      </c>
      <c r="C51" s="8" t="s">
        <v>112</v>
      </c>
      <c r="D51" s="8" t="s">
        <v>23</v>
      </c>
      <c r="E51" s="8" t="b">
        <v>0</v>
      </c>
      <c r="F51" s="8" t="s">
        <v>25</v>
      </c>
      <c r="H51" s="9">
        <v>46102</v>
      </c>
    </row>
    <row r="52" spans="1:8" x14ac:dyDescent="0.2">
      <c r="A52" s="8">
        <v>1096</v>
      </c>
      <c r="B52" s="8" t="s">
        <v>113</v>
      </c>
      <c r="C52" s="8" t="s">
        <v>114</v>
      </c>
      <c r="D52" s="8" t="s">
        <v>23</v>
      </c>
      <c r="E52" s="8" t="b">
        <v>0</v>
      </c>
      <c r="F52" s="8" t="s">
        <v>35</v>
      </c>
      <c r="H52" s="9">
        <v>46102</v>
      </c>
    </row>
    <row r="53" spans="1:8" x14ac:dyDescent="0.2">
      <c r="A53" s="8">
        <v>1236</v>
      </c>
      <c r="B53" s="8" t="s">
        <v>113</v>
      </c>
      <c r="C53" s="8" t="s">
        <v>115</v>
      </c>
      <c r="D53" s="8" t="s">
        <v>23</v>
      </c>
      <c r="E53" s="8" t="b">
        <v>1</v>
      </c>
      <c r="F53" s="8" t="s">
        <v>27</v>
      </c>
      <c r="G53" s="8">
        <v>5</v>
      </c>
      <c r="H53" s="9">
        <v>46102</v>
      </c>
    </row>
    <row r="54" spans="1:8" x14ac:dyDescent="0.2">
      <c r="A54" s="8">
        <v>699</v>
      </c>
      <c r="B54" s="8" t="s">
        <v>113</v>
      </c>
      <c r="C54" s="8" t="s">
        <v>116</v>
      </c>
      <c r="D54" s="8" t="s">
        <v>23</v>
      </c>
      <c r="E54" s="8" t="b">
        <v>0</v>
      </c>
      <c r="F54" s="8" t="s">
        <v>27</v>
      </c>
      <c r="G54" s="8">
        <v>5</v>
      </c>
      <c r="H54" s="9">
        <v>46102</v>
      </c>
    </row>
    <row r="55" spans="1:8" x14ac:dyDescent="0.2">
      <c r="A55" s="8">
        <v>1000</v>
      </c>
      <c r="B55" s="8" t="s">
        <v>120</v>
      </c>
      <c r="C55" s="8" t="s">
        <v>121</v>
      </c>
      <c r="D55" s="8" t="s">
        <v>23</v>
      </c>
      <c r="E55" s="8" t="b">
        <v>0</v>
      </c>
      <c r="F55" s="8" t="s">
        <v>25</v>
      </c>
      <c r="H55" s="9">
        <v>46102</v>
      </c>
    </row>
    <row r="56" spans="1:8" x14ac:dyDescent="0.2">
      <c r="A56" s="8">
        <v>1332</v>
      </c>
      <c r="B56" s="8" t="s">
        <v>122</v>
      </c>
      <c r="C56" s="8" t="s">
        <v>123</v>
      </c>
      <c r="D56" s="8" t="s">
        <v>23</v>
      </c>
      <c r="E56" s="8" t="b">
        <v>1</v>
      </c>
      <c r="F56" s="8" t="s">
        <v>25</v>
      </c>
      <c r="H56" s="9">
        <v>46102</v>
      </c>
    </row>
    <row r="57" spans="1:8" x14ac:dyDescent="0.2">
      <c r="A57" s="8">
        <v>682</v>
      </c>
      <c r="B57" s="8" t="s">
        <v>124</v>
      </c>
      <c r="C57" s="8" t="s">
        <v>125</v>
      </c>
      <c r="D57" s="8" t="s">
        <v>23</v>
      </c>
      <c r="E57" s="8" t="b">
        <v>0</v>
      </c>
      <c r="F57" s="8" t="s">
        <v>27</v>
      </c>
      <c r="G57" s="8">
        <v>11</v>
      </c>
      <c r="H57" s="9">
        <v>46102</v>
      </c>
    </row>
    <row r="58" spans="1:8" x14ac:dyDescent="0.2">
      <c r="A58" s="8">
        <v>1393</v>
      </c>
      <c r="B58" s="8" t="s">
        <v>126</v>
      </c>
      <c r="C58" s="8" t="s">
        <v>127</v>
      </c>
      <c r="D58" s="8" t="s">
        <v>23</v>
      </c>
      <c r="E58" s="8" t="b">
        <v>1</v>
      </c>
      <c r="F58" s="8" t="s">
        <v>27</v>
      </c>
      <c r="G58" s="8">
        <v>10</v>
      </c>
      <c r="H58" s="9">
        <v>46102</v>
      </c>
    </row>
    <row r="59" spans="1:8" x14ac:dyDescent="0.2">
      <c r="A59" s="8">
        <v>1355</v>
      </c>
      <c r="B59" s="8" t="s">
        <v>128</v>
      </c>
      <c r="C59" s="8" t="s">
        <v>129</v>
      </c>
      <c r="D59" s="8" t="s">
        <v>23</v>
      </c>
      <c r="E59" s="8" t="b">
        <v>0</v>
      </c>
      <c r="F59" s="8" t="s">
        <v>35</v>
      </c>
      <c r="H59" s="9">
        <v>46102</v>
      </c>
    </row>
    <row r="60" spans="1:8" x14ac:dyDescent="0.2">
      <c r="A60" s="8">
        <v>1164</v>
      </c>
      <c r="B60" s="8" t="s">
        <v>130</v>
      </c>
      <c r="C60" s="8" t="s">
        <v>131</v>
      </c>
      <c r="D60" s="8" t="s">
        <v>54</v>
      </c>
      <c r="E60" s="8" t="b">
        <v>1</v>
      </c>
      <c r="F60" s="8" t="s">
        <v>25</v>
      </c>
      <c r="H60" s="9">
        <v>46102</v>
      </c>
    </row>
    <row r="61" spans="1:8" x14ac:dyDescent="0.2">
      <c r="A61" s="8">
        <v>1062</v>
      </c>
      <c r="B61" s="8" t="s">
        <v>130</v>
      </c>
      <c r="C61" s="8" t="s">
        <v>83</v>
      </c>
      <c r="D61" s="8" t="s">
        <v>23</v>
      </c>
      <c r="E61" s="8" t="b">
        <v>0</v>
      </c>
      <c r="F61" s="8" t="s">
        <v>27</v>
      </c>
      <c r="G61" s="8">
        <v>9</v>
      </c>
      <c r="H61" s="9">
        <v>46102</v>
      </c>
    </row>
    <row r="62" spans="1:8" x14ac:dyDescent="0.2">
      <c r="A62" s="8">
        <v>938</v>
      </c>
      <c r="B62" s="8" t="s">
        <v>130</v>
      </c>
      <c r="C62" s="8" t="s">
        <v>132</v>
      </c>
      <c r="D62" s="8" t="s">
        <v>23</v>
      </c>
      <c r="E62" s="8" t="b">
        <v>1</v>
      </c>
      <c r="F62" s="8" t="s">
        <v>27</v>
      </c>
      <c r="G62" s="8">
        <v>7</v>
      </c>
      <c r="H62" s="9">
        <v>46102</v>
      </c>
    </row>
    <row r="63" spans="1:8" x14ac:dyDescent="0.2">
      <c r="A63" s="8">
        <v>1034</v>
      </c>
      <c r="B63" s="8" t="s">
        <v>134</v>
      </c>
      <c r="C63" s="8" t="s">
        <v>83</v>
      </c>
      <c r="D63" s="8" t="s">
        <v>23</v>
      </c>
      <c r="E63" s="8" t="b">
        <v>0</v>
      </c>
      <c r="F63" s="8" t="s">
        <v>25</v>
      </c>
      <c r="H63" s="9">
        <v>46102</v>
      </c>
    </row>
    <row r="64" spans="1:8" x14ac:dyDescent="0.2">
      <c r="A64" s="8">
        <v>1402</v>
      </c>
      <c r="B64" s="8" t="s">
        <v>135</v>
      </c>
      <c r="C64" s="8" t="s">
        <v>136</v>
      </c>
      <c r="D64" s="8" t="s">
        <v>23</v>
      </c>
      <c r="E64" s="8" t="b">
        <v>0</v>
      </c>
      <c r="F64" s="8" t="s">
        <v>27</v>
      </c>
      <c r="G64" s="8">
        <v>7</v>
      </c>
      <c r="H64" s="9">
        <v>46102</v>
      </c>
    </row>
    <row r="65" spans="1:8" x14ac:dyDescent="0.2">
      <c r="A65" s="8">
        <v>939</v>
      </c>
      <c r="B65" s="8" t="s">
        <v>137</v>
      </c>
      <c r="C65" s="8" t="s">
        <v>127</v>
      </c>
      <c r="D65" s="8" t="s">
        <v>23</v>
      </c>
      <c r="E65" s="8" t="b">
        <v>1</v>
      </c>
      <c r="F65" s="8" t="s">
        <v>27</v>
      </c>
      <c r="G65" s="8">
        <v>12</v>
      </c>
      <c r="H65" s="9">
        <v>46102</v>
      </c>
    </row>
    <row r="66" spans="1:8" x14ac:dyDescent="0.2">
      <c r="A66" s="8">
        <v>1377</v>
      </c>
      <c r="B66" s="8" t="s">
        <v>138</v>
      </c>
      <c r="C66" s="8" t="s">
        <v>139</v>
      </c>
      <c r="D66" s="8" t="s">
        <v>23</v>
      </c>
      <c r="E66" s="8" t="b">
        <v>1</v>
      </c>
      <c r="F66" s="8" t="s">
        <v>27</v>
      </c>
      <c r="G66" s="8">
        <v>12</v>
      </c>
      <c r="H66" s="9">
        <v>46102</v>
      </c>
    </row>
    <row r="67" spans="1:8" x14ac:dyDescent="0.2">
      <c r="A67" s="8">
        <v>1281</v>
      </c>
      <c r="B67" s="8" t="s">
        <v>140</v>
      </c>
      <c r="C67" s="8" t="s">
        <v>141</v>
      </c>
      <c r="D67" s="8" t="s">
        <v>23</v>
      </c>
      <c r="E67" s="8" t="b">
        <v>0</v>
      </c>
      <c r="F67" s="8" t="s">
        <v>27</v>
      </c>
      <c r="G67" s="8">
        <v>19</v>
      </c>
      <c r="H67" s="9">
        <v>46102</v>
      </c>
    </row>
    <row r="68" spans="1:8" x14ac:dyDescent="0.2">
      <c r="A68" s="8">
        <v>933</v>
      </c>
      <c r="B68" s="8" t="s">
        <v>142</v>
      </c>
      <c r="C68" s="8" t="s">
        <v>143</v>
      </c>
      <c r="D68" s="8" t="s">
        <v>23</v>
      </c>
      <c r="E68" s="8" t="b">
        <v>0</v>
      </c>
      <c r="F68" s="8" t="s">
        <v>25</v>
      </c>
      <c r="H68" s="9">
        <v>46102</v>
      </c>
    </row>
    <row r="69" spans="1:8" x14ac:dyDescent="0.2">
      <c r="A69" s="8">
        <v>1274</v>
      </c>
      <c r="B69" s="8" t="s">
        <v>144</v>
      </c>
      <c r="C69" s="8" t="s">
        <v>145</v>
      </c>
      <c r="D69" s="8" t="s">
        <v>23</v>
      </c>
      <c r="E69" s="8" t="b">
        <v>1</v>
      </c>
      <c r="F69" s="8" t="s">
        <v>25</v>
      </c>
      <c r="H69" s="9">
        <v>46102</v>
      </c>
    </row>
    <row r="70" spans="1:8" x14ac:dyDescent="0.2">
      <c r="A70" s="8">
        <v>493</v>
      </c>
      <c r="B70" s="8" t="s">
        <v>146</v>
      </c>
      <c r="C70" s="8" t="s">
        <v>49</v>
      </c>
      <c r="D70" s="8" t="s">
        <v>48</v>
      </c>
      <c r="E70" s="8" t="b">
        <v>0</v>
      </c>
      <c r="F70" s="8" t="s">
        <v>27</v>
      </c>
      <c r="G70" s="8">
        <v>37</v>
      </c>
      <c r="H70" s="9">
        <v>46102</v>
      </c>
    </row>
    <row r="71" spans="1:8" x14ac:dyDescent="0.2">
      <c r="A71" s="8">
        <v>1279</v>
      </c>
      <c r="B71" s="8" t="s">
        <v>147</v>
      </c>
      <c r="C71" s="8" t="s">
        <v>148</v>
      </c>
      <c r="D71" s="8" t="s">
        <v>23</v>
      </c>
      <c r="E71" s="8" t="b">
        <v>0</v>
      </c>
      <c r="F71" s="8" t="s">
        <v>27</v>
      </c>
      <c r="G71" s="8">
        <v>4</v>
      </c>
      <c r="H71" s="9">
        <v>46102</v>
      </c>
    </row>
    <row r="72" spans="1:8" x14ac:dyDescent="0.2">
      <c r="A72" s="8">
        <v>1193</v>
      </c>
      <c r="B72" s="8" t="s">
        <v>149</v>
      </c>
      <c r="C72" s="8" t="s">
        <v>150</v>
      </c>
      <c r="D72" s="8" t="s">
        <v>23</v>
      </c>
      <c r="E72" s="8" t="b">
        <v>0</v>
      </c>
      <c r="F72" s="8" t="s">
        <v>25</v>
      </c>
      <c r="H72" s="9">
        <v>46102</v>
      </c>
    </row>
    <row r="73" spans="1:8" x14ac:dyDescent="0.2">
      <c r="A73" s="8">
        <v>1194</v>
      </c>
      <c r="B73" s="8" t="s">
        <v>149</v>
      </c>
      <c r="C73" s="8" t="s">
        <v>151</v>
      </c>
      <c r="D73" s="8" t="s">
        <v>23</v>
      </c>
      <c r="E73" s="8" t="b">
        <v>1</v>
      </c>
      <c r="F73" s="8" t="s">
        <v>25</v>
      </c>
      <c r="H73" s="9">
        <v>46102</v>
      </c>
    </row>
    <row r="74" spans="1:8" x14ac:dyDescent="0.2">
      <c r="A74" s="8">
        <v>1196</v>
      </c>
      <c r="B74" s="8" t="s">
        <v>149</v>
      </c>
      <c r="C74" s="8" t="s">
        <v>152</v>
      </c>
      <c r="D74" s="8" t="s">
        <v>23</v>
      </c>
      <c r="E74" s="8" t="b">
        <v>0</v>
      </c>
      <c r="F74" s="8" t="s">
        <v>35</v>
      </c>
      <c r="H74" s="9">
        <v>46102</v>
      </c>
    </row>
    <row r="75" spans="1:8" x14ac:dyDescent="0.2">
      <c r="A75" s="8">
        <v>1195</v>
      </c>
      <c r="B75" s="8" t="s">
        <v>149</v>
      </c>
      <c r="C75" s="8" t="s">
        <v>153</v>
      </c>
      <c r="D75" s="8" t="s">
        <v>23</v>
      </c>
      <c r="E75" s="8" t="b">
        <v>0</v>
      </c>
      <c r="F75" s="8" t="s">
        <v>35</v>
      </c>
      <c r="H75" s="9">
        <v>46102</v>
      </c>
    </row>
    <row r="76" spans="1:8" x14ac:dyDescent="0.2">
      <c r="A76" s="8">
        <v>1176</v>
      </c>
      <c r="B76" s="8" t="s">
        <v>154</v>
      </c>
      <c r="C76" s="8" t="s">
        <v>155</v>
      </c>
      <c r="D76" s="8" t="s">
        <v>23</v>
      </c>
      <c r="E76" s="8" t="b">
        <v>0</v>
      </c>
      <c r="F76" s="8" t="s">
        <v>35</v>
      </c>
      <c r="H76" s="9">
        <v>46102</v>
      </c>
    </row>
    <row r="77" spans="1:8" x14ac:dyDescent="0.2">
      <c r="A77" s="8">
        <v>1174</v>
      </c>
      <c r="B77" s="8" t="s">
        <v>154</v>
      </c>
      <c r="C77" s="8" t="s">
        <v>156</v>
      </c>
      <c r="D77" s="8" t="s">
        <v>23</v>
      </c>
      <c r="E77" s="8" t="b">
        <v>1</v>
      </c>
      <c r="F77" s="8" t="s">
        <v>27</v>
      </c>
      <c r="G77" s="8">
        <v>6</v>
      </c>
      <c r="H77" s="9">
        <v>46102</v>
      </c>
    </row>
    <row r="78" spans="1:8" x14ac:dyDescent="0.2">
      <c r="A78" s="8">
        <v>1175</v>
      </c>
      <c r="B78" s="8" t="s">
        <v>154</v>
      </c>
      <c r="C78" s="8" t="s">
        <v>150</v>
      </c>
      <c r="D78" s="8" t="s">
        <v>23</v>
      </c>
      <c r="E78" s="8" t="b">
        <v>0</v>
      </c>
      <c r="F78" s="8" t="s">
        <v>27</v>
      </c>
      <c r="G78" s="8">
        <v>12</v>
      </c>
      <c r="H78" s="9">
        <v>46102</v>
      </c>
    </row>
    <row r="79" spans="1:8" x14ac:dyDescent="0.2">
      <c r="A79" s="8">
        <v>1109</v>
      </c>
      <c r="B79" s="8" t="s">
        <v>157</v>
      </c>
      <c r="C79" s="8" t="s">
        <v>104</v>
      </c>
      <c r="D79" s="8" t="s">
        <v>23</v>
      </c>
      <c r="E79" s="8" t="b">
        <v>0</v>
      </c>
      <c r="F79" s="8" t="s">
        <v>25</v>
      </c>
      <c r="H79" s="9">
        <v>46102</v>
      </c>
    </row>
    <row r="80" spans="1:8" x14ac:dyDescent="0.2">
      <c r="A80" s="8">
        <v>1073</v>
      </c>
      <c r="B80" s="8" t="s">
        <v>158</v>
      </c>
      <c r="C80" s="8" t="s">
        <v>150</v>
      </c>
      <c r="D80" s="8" t="s">
        <v>23</v>
      </c>
      <c r="E80" s="8" t="b">
        <v>0</v>
      </c>
      <c r="F80" s="8" t="s">
        <v>27</v>
      </c>
      <c r="G80" s="8">
        <v>3</v>
      </c>
      <c r="H80" s="9">
        <v>46102</v>
      </c>
    </row>
    <row r="81" spans="1:8" x14ac:dyDescent="0.2">
      <c r="A81" s="8">
        <v>1400</v>
      </c>
      <c r="B81" s="8" t="s">
        <v>159</v>
      </c>
      <c r="C81" s="8" t="s">
        <v>160</v>
      </c>
      <c r="D81" s="8" t="s">
        <v>23</v>
      </c>
      <c r="E81" s="8" t="b">
        <v>0</v>
      </c>
      <c r="F81" s="8" t="s">
        <v>25</v>
      </c>
      <c r="H81" s="9">
        <v>46102</v>
      </c>
    </row>
    <row r="82" spans="1:8" x14ac:dyDescent="0.2">
      <c r="A82" s="8">
        <v>1367</v>
      </c>
      <c r="B82" s="8" t="s">
        <v>161</v>
      </c>
      <c r="C82" s="8" t="s">
        <v>152</v>
      </c>
      <c r="D82" s="8" t="s">
        <v>23</v>
      </c>
      <c r="E82" s="8" t="b">
        <v>0</v>
      </c>
      <c r="F82" s="8" t="s">
        <v>35</v>
      </c>
      <c r="H82" s="9">
        <v>46102</v>
      </c>
    </row>
    <row r="83" spans="1:8" x14ac:dyDescent="0.2">
      <c r="A83" s="8">
        <v>1366</v>
      </c>
      <c r="B83" s="8" t="s">
        <v>161</v>
      </c>
      <c r="C83" s="8" t="s">
        <v>162</v>
      </c>
      <c r="D83" s="8" t="s">
        <v>23</v>
      </c>
      <c r="E83" s="8" t="b">
        <v>1</v>
      </c>
      <c r="F83" s="8" t="s">
        <v>25</v>
      </c>
      <c r="H83" s="9">
        <v>46102</v>
      </c>
    </row>
    <row r="84" spans="1:8" x14ac:dyDescent="0.2">
      <c r="A84" s="8">
        <v>1365</v>
      </c>
      <c r="B84" s="8" t="s">
        <v>161</v>
      </c>
      <c r="C84" s="8" t="s">
        <v>163</v>
      </c>
      <c r="D84" s="8" t="s">
        <v>23</v>
      </c>
      <c r="E84" s="8" t="b">
        <v>1</v>
      </c>
      <c r="F84" s="8" t="s">
        <v>27</v>
      </c>
      <c r="G84" s="8">
        <v>7</v>
      </c>
      <c r="H84" s="9">
        <v>46102</v>
      </c>
    </row>
    <row r="85" spans="1:8" x14ac:dyDescent="0.2">
      <c r="A85" s="8">
        <v>897</v>
      </c>
      <c r="B85" s="8" t="s">
        <v>161</v>
      </c>
      <c r="C85" s="8" t="s">
        <v>164</v>
      </c>
      <c r="D85" s="8" t="s">
        <v>23</v>
      </c>
      <c r="E85" s="8" t="b">
        <v>0</v>
      </c>
      <c r="F85" s="8" t="s">
        <v>27</v>
      </c>
      <c r="G85" s="8">
        <v>13</v>
      </c>
      <c r="H85" s="9">
        <v>46102</v>
      </c>
    </row>
    <row r="86" spans="1:8" x14ac:dyDescent="0.2">
      <c r="A86" s="8">
        <v>1308</v>
      </c>
      <c r="B86" s="8" t="s">
        <v>165</v>
      </c>
      <c r="C86" s="8" t="s">
        <v>166</v>
      </c>
      <c r="D86" s="8" t="s">
        <v>23</v>
      </c>
      <c r="E86" s="8" t="b">
        <v>1</v>
      </c>
      <c r="F86" s="8" t="s">
        <v>27</v>
      </c>
      <c r="G86" s="8">
        <v>2</v>
      </c>
      <c r="H86" s="9">
        <v>46102</v>
      </c>
    </row>
    <row r="87" spans="1:8" x14ac:dyDescent="0.2">
      <c r="A87" s="8">
        <v>1206</v>
      </c>
      <c r="B87" s="8" t="s">
        <v>167</v>
      </c>
      <c r="C87" s="8" t="s">
        <v>168</v>
      </c>
      <c r="D87" s="8" t="s">
        <v>23</v>
      </c>
      <c r="E87" s="8" t="b">
        <v>1</v>
      </c>
      <c r="F87" s="8" t="s">
        <v>27</v>
      </c>
      <c r="G87" s="8">
        <v>8</v>
      </c>
      <c r="H87" s="9">
        <v>46102</v>
      </c>
    </row>
    <row r="88" spans="1:8" x14ac:dyDescent="0.2">
      <c r="A88" s="8">
        <v>1205</v>
      </c>
      <c r="B88" s="8" t="s">
        <v>167</v>
      </c>
      <c r="C88" s="8" t="s">
        <v>66</v>
      </c>
      <c r="D88" s="8" t="s">
        <v>23</v>
      </c>
      <c r="E88" s="8" t="b">
        <v>0</v>
      </c>
      <c r="F88" s="8" t="s">
        <v>27</v>
      </c>
      <c r="G88" s="8">
        <v>14</v>
      </c>
      <c r="H88" s="9">
        <v>46102</v>
      </c>
    </row>
    <row r="89" spans="1:8" x14ac:dyDescent="0.2">
      <c r="A89" s="8">
        <v>1406</v>
      </c>
      <c r="B89" s="8" t="s">
        <v>169</v>
      </c>
      <c r="C89" s="8" t="s">
        <v>170</v>
      </c>
      <c r="D89" s="8" t="s">
        <v>23</v>
      </c>
      <c r="E89" s="8" t="b">
        <v>0</v>
      </c>
      <c r="F89" s="8" t="s">
        <v>27</v>
      </c>
      <c r="G89" s="8">
        <v>9</v>
      </c>
      <c r="H89" s="9">
        <v>46102</v>
      </c>
    </row>
    <row r="90" spans="1:8" x14ac:dyDescent="0.2">
      <c r="A90" s="8">
        <v>1182</v>
      </c>
      <c r="B90" s="8" t="s">
        <v>171</v>
      </c>
      <c r="C90" s="8" t="s">
        <v>136</v>
      </c>
      <c r="D90" s="8" t="s">
        <v>23</v>
      </c>
      <c r="E90" s="8" t="b">
        <v>0</v>
      </c>
      <c r="F90" s="8" t="s">
        <v>27</v>
      </c>
      <c r="G90" s="8">
        <v>8</v>
      </c>
      <c r="H90" s="9">
        <v>46102</v>
      </c>
    </row>
    <row r="91" spans="1:8" x14ac:dyDescent="0.2">
      <c r="A91" s="8">
        <v>1340</v>
      </c>
      <c r="B91" s="8" t="s">
        <v>172</v>
      </c>
      <c r="C91" s="8" t="s">
        <v>173</v>
      </c>
      <c r="D91" s="8" t="s">
        <v>23</v>
      </c>
      <c r="E91" s="8" t="b">
        <v>0</v>
      </c>
      <c r="F91" s="8" t="s">
        <v>27</v>
      </c>
      <c r="G91" s="8">
        <v>8</v>
      </c>
      <c r="H91" s="9">
        <v>46102</v>
      </c>
    </row>
    <row r="92" spans="1:8" x14ac:dyDescent="0.2">
      <c r="A92" s="8">
        <v>21</v>
      </c>
      <c r="B92" s="8" t="s">
        <v>174</v>
      </c>
      <c r="C92" s="8" t="s">
        <v>175</v>
      </c>
      <c r="D92" s="8" t="s">
        <v>23</v>
      </c>
      <c r="E92" s="8" t="b">
        <v>0</v>
      </c>
      <c r="F92" s="8" t="s">
        <v>25</v>
      </c>
      <c r="H92" s="9">
        <v>46102</v>
      </c>
    </row>
    <row r="93" spans="1:8" x14ac:dyDescent="0.2">
      <c r="A93" s="8">
        <v>1049</v>
      </c>
      <c r="B93" s="8" t="s">
        <v>176</v>
      </c>
      <c r="C93" s="8" t="s">
        <v>177</v>
      </c>
      <c r="D93" s="8" t="s">
        <v>23</v>
      </c>
      <c r="E93" s="8" t="b">
        <v>0</v>
      </c>
      <c r="F93" s="8" t="s">
        <v>27</v>
      </c>
      <c r="G93" s="8">
        <v>19</v>
      </c>
      <c r="H93" s="9">
        <v>46102</v>
      </c>
    </row>
    <row r="94" spans="1:8" x14ac:dyDescent="0.2">
      <c r="A94" s="8">
        <v>120</v>
      </c>
      <c r="B94" s="8" t="s">
        <v>178</v>
      </c>
      <c r="C94" s="8" t="s">
        <v>179</v>
      </c>
      <c r="D94" s="8" t="s">
        <v>23</v>
      </c>
      <c r="E94" s="8" t="b">
        <v>1</v>
      </c>
      <c r="F94" s="8" t="s">
        <v>27</v>
      </c>
      <c r="G94" s="8">
        <v>12</v>
      </c>
      <c r="H94" s="9">
        <v>46102</v>
      </c>
    </row>
    <row r="95" spans="1:8" x14ac:dyDescent="0.2">
      <c r="A95" s="8">
        <v>990</v>
      </c>
      <c r="B95" s="8" t="s">
        <v>180</v>
      </c>
      <c r="C95" s="8" t="s">
        <v>87</v>
      </c>
      <c r="D95" s="8" t="s">
        <v>23</v>
      </c>
      <c r="E95" s="8" t="b">
        <v>1</v>
      </c>
      <c r="F95" s="8" t="s">
        <v>27</v>
      </c>
      <c r="G95" s="8">
        <v>10</v>
      </c>
      <c r="H95" s="9">
        <v>46102</v>
      </c>
    </row>
    <row r="96" spans="1:8" x14ac:dyDescent="0.2">
      <c r="A96" s="8">
        <v>1395</v>
      </c>
      <c r="B96" s="8" t="s">
        <v>181</v>
      </c>
      <c r="C96" s="8" t="s">
        <v>182</v>
      </c>
      <c r="D96" s="8" t="s">
        <v>23</v>
      </c>
      <c r="E96" s="8" t="b">
        <v>1</v>
      </c>
      <c r="F96" s="8" t="s">
        <v>35</v>
      </c>
      <c r="H96" s="9">
        <v>46102</v>
      </c>
    </row>
    <row r="97" spans="1:8" x14ac:dyDescent="0.2">
      <c r="A97" s="8">
        <v>1158</v>
      </c>
      <c r="B97" s="8" t="s">
        <v>183</v>
      </c>
      <c r="C97" s="8" t="s">
        <v>184</v>
      </c>
      <c r="D97" s="8" t="s">
        <v>23</v>
      </c>
      <c r="E97" s="8" t="b">
        <v>1</v>
      </c>
      <c r="F97" s="8" t="s">
        <v>25</v>
      </c>
      <c r="H97" s="9">
        <v>46102</v>
      </c>
    </row>
    <row r="98" spans="1:8" x14ac:dyDescent="0.2">
      <c r="A98" s="8">
        <v>23</v>
      </c>
      <c r="B98" s="8" t="s">
        <v>185</v>
      </c>
      <c r="C98" s="8" t="s">
        <v>100</v>
      </c>
      <c r="D98" s="8" t="s">
        <v>23</v>
      </c>
      <c r="E98" s="8" t="b">
        <v>0</v>
      </c>
      <c r="F98" s="8" t="s">
        <v>27</v>
      </c>
      <c r="G98" s="8">
        <v>10</v>
      </c>
      <c r="H98" s="9">
        <v>46102</v>
      </c>
    </row>
    <row r="99" spans="1:8" x14ac:dyDescent="0.2">
      <c r="A99" s="8">
        <v>1152</v>
      </c>
      <c r="B99" s="8" t="s">
        <v>186</v>
      </c>
      <c r="C99" s="8" t="s">
        <v>187</v>
      </c>
      <c r="D99" s="8" t="s">
        <v>23</v>
      </c>
      <c r="E99" s="8" t="b">
        <v>1</v>
      </c>
      <c r="F99" s="8" t="s">
        <v>188</v>
      </c>
      <c r="H99" s="9">
        <v>46102</v>
      </c>
    </row>
    <row r="100" spans="1:8" x14ac:dyDescent="0.2">
      <c r="A100" s="8">
        <v>581</v>
      </c>
      <c r="B100" s="8" t="s">
        <v>189</v>
      </c>
      <c r="C100" s="8" t="s">
        <v>190</v>
      </c>
      <c r="D100" s="8" t="s">
        <v>23</v>
      </c>
      <c r="E100" s="8" t="b">
        <v>0</v>
      </c>
      <c r="F100" s="8" t="s">
        <v>27</v>
      </c>
      <c r="G100" s="8">
        <v>13</v>
      </c>
      <c r="H100" s="9">
        <v>46102</v>
      </c>
    </row>
    <row r="101" spans="1:8" x14ac:dyDescent="0.2">
      <c r="A101" s="8">
        <v>1374</v>
      </c>
      <c r="B101" s="8" t="s">
        <v>191</v>
      </c>
      <c r="C101" s="8" t="s">
        <v>192</v>
      </c>
      <c r="D101" s="8" t="s">
        <v>23</v>
      </c>
      <c r="E101" s="8" t="b">
        <v>0</v>
      </c>
      <c r="F101" s="8" t="s">
        <v>25</v>
      </c>
      <c r="H101" s="9">
        <v>46102</v>
      </c>
    </row>
    <row r="102" spans="1:8" x14ac:dyDescent="0.2">
      <c r="A102" s="8">
        <v>25</v>
      </c>
      <c r="B102" s="8" t="s">
        <v>22</v>
      </c>
      <c r="C102" s="8" t="s">
        <v>193</v>
      </c>
      <c r="D102" s="8" t="s">
        <v>23</v>
      </c>
      <c r="E102" s="8" t="b">
        <v>0</v>
      </c>
      <c r="F102" s="8" t="s">
        <v>27</v>
      </c>
      <c r="G102" s="8">
        <v>8</v>
      </c>
      <c r="H102" s="9">
        <v>46102</v>
      </c>
    </row>
    <row r="103" spans="1:8" x14ac:dyDescent="0.2">
      <c r="A103" s="8">
        <v>415</v>
      </c>
      <c r="B103" s="8" t="s">
        <v>195</v>
      </c>
      <c r="C103" s="8" t="s">
        <v>196</v>
      </c>
      <c r="D103" s="8" t="s">
        <v>23</v>
      </c>
      <c r="E103" s="8" t="b">
        <v>0</v>
      </c>
      <c r="F103" s="8" t="s">
        <v>27</v>
      </c>
      <c r="G103" s="8">
        <v>6</v>
      </c>
      <c r="H103" s="9">
        <v>46102</v>
      </c>
    </row>
    <row r="104" spans="1:8" x14ac:dyDescent="0.2">
      <c r="A104" s="8">
        <v>1144</v>
      </c>
      <c r="B104" s="8" t="s">
        <v>195</v>
      </c>
      <c r="C104" s="8" t="s">
        <v>197</v>
      </c>
      <c r="D104" s="8" t="s">
        <v>54</v>
      </c>
      <c r="E104" s="8" t="b">
        <v>0</v>
      </c>
      <c r="F104" s="8" t="s">
        <v>188</v>
      </c>
      <c r="H104" s="9">
        <v>46102</v>
      </c>
    </row>
    <row r="105" spans="1:8" x14ac:dyDescent="0.2">
      <c r="A105" s="8">
        <v>203</v>
      </c>
      <c r="B105" s="8" t="s">
        <v>200</v>
      </c>
      <c r="C105" s="8" t="s">
        <v>201</v>
      </c>
      <c r="D105" s="8" t="s">
        <v>23</v>
      </c>
      <c r="E105" s="8" t="b">
        <v>0</v>
      </c>
      <c r="F105" s="8" t="s">
        <v>27</v>
      </c>
      <c r="G105" s="8">
        <v>9</v>
      </c>
      <c r="H105" s="9">
        <v>46102</v>
      </c>
    </row>
    <row r="106" spans="1:8" x14ac:dyDescent="0.2">
      <c r="A106" s="8">
        <v>956</v>
      </c>
      <c r="B106" s="8" t="s">
        <v>202</v>
      </c>
      <c r="C106" s="8" t="s">
        <v>94</v>
      </c>
      <c r="D106" s="8" t="s">
        <v>23</v>
      </c>
      <c r="E106" s="8" t="b">
        <v>0</v>
      </c>
      <c r="F106" s="8" t="s">
        <v>27</v>
      </c>
      <c r="G106" s="8">
        <v>13</v>
      </c>
      <c r="H106" s="9">
        <v>46102</v>
      </c>
    </row>
    <row r="107" spans="1:8" x14ac:dyDescent="0.2">
      <c r="A107" s="8">
        <v>1273</v>
      </c>
      <c r="B107" s="8" t="s">
        <v>203</v>
      </c>
      <c r="C107" s="8" t="s">
        <v>204</v>
      </c>
      <c r="D107" s="8" t="s">
        <v>23</v>
      </c>
      <c r="E107" s="8" t="b">
        <v>1</v>
      </c>
      <c r="F107" s="8" t="s">
        <v>27</v>
      </c>
      <c r="G107" s="8">
        <v>22</v>
      </c>
      <c r="H107" s="9">
        <v>46102</v>
      </c>
    </row>
    <row r="108" spans="1:8" x14ac:dyDescent="0.2">
      <c r="A108" s="8">
        <v>1272</v>
      </c>
      <c r="B108" s="8" t="s">
        <v>203</v>
      </c>
      <c r="C108" s="8" t="s">
        <v>205</v>
      </c>
      <c r="D108" s="8" t="s">
        <v>23</v>
      </c>
      <c r="E108" s="8" t="b">
        <v>0</v>
      </c>
      <c r="F108" s="8" t="s">
        <v>27</v>
      </c>
      <c r="G108" s="8">
        <v>24</v>
      </c>
      <c r="H108" s="9">
        <v>46102</v>
      </c>
    </row>
    <row r="109" spans="1:8" x14ac:dyDescent="0.2">
      <c r="A109" s="8">
        <v>846</v>
      </c>
      <c r="B109" s="8" t="s">
        <v>206</v>
      </c>
      <c r="C109" s="8" t="s">
        <v>207</v>
      </c>
      <c r="D109" s="8" t="s">
        <v>23</v>
      </c>
      <c r="E109" s="8" t="b">
        <v>0</v>
      </c>
      <c r="F109" s="8" t="s">
        <v>27</v>
      </c>
      <c r="G109" s="8">
        <v>17</v>
      </c>
      <c r="H109" s="9">
        <v>46102</v>
      </c>
    </row>
    <row r="110" spans="1:8" x14ac:dyDescent="0.2">
      <c r="A110" s="8">
        <v>1162</v>
      </c>
      <c r="B110" s="8" t="s">
        <v>208</v>
      </c>
      <c r="C110" s="8" t="s">
        <v>150</v>
      </c>
      <c r="D110" s="8" t="s">
        <v>23</v>
      </c>
      <c r="E110" s="8" t="b">
        <v>0</v>
      </c>
      <c r="F110" s="8" t="s">
        <v>25</v>
      </c>
      <c r="H110" s="9">
        <v>46102</v>
      </c>
    </row>
    <row r="111" spans="1:8" x14ac:dyDescent="0.2">
      <c r="A111" s="8">
        <v>1244</v>
      </c>
      <c r="B111" s="8" t="s">
        <v>209</v>
      </c>
      <c r="C111" s="8" t="s">
        <v>94</v>
      </c>
      <c r="D111" s="8" t="s">
        <v>23</v>
      </c>
      <c r="E111" s="8" t="b">
        <v>0</v>
      </c>
      <c r="F111" s="8" t="s">
        <v>27</v>
      </c>
      <c r="G111" s="8">
        <v>2</v>
      </c>
      <c r="H111" s="9">
        <v>46102</v>
      </c>
    </row>
    <row r="112" spans="1:8" x14ac:dyDescent="0.2">
      <c r="A112" s="8">
        <v>1379</v>
      </c>
      <c r="B112" s="8" t="s">
        <v>209</v>
      </c>
      <c r="C112" s="8" t="s">
        <v>210</v>
      </c>
      <c r="D112" s="8" t="s">
        <v>23</v>
      </c>
      <c r="E112" s="8" t="b">
        <v>1</v>
      </c>
      <c r="F112" s="8" t="s">
        <v>25</v>
      </c>
      <c r="H112" s="9">
        <v>46102</v>
      </c>
    </row>
    <row r="113" spans="1:8" x14ac:dyDescent="0.2">
      <c r="A113" s="8">
        <v>1362</v>
      </c>
      <c r="B113" s="8" t="s">
        <v>211</v>
      </c>
      <c r="C113" s="8" t="s">
        <v>212</v>
      </c>
      <c r="D113" s="8" t="s">
        <v>23</v>
      </c>
      <c r="E113" s="8" t="b">
        <v>1</v>
      </c>
      <c r="F113" s="8" t="s">
        <v>27</v>
      </c>
      <c r="G113" s="8">
        <v>22</v>
      </c>
      <c r="H113" s="9">
        <v>46102</v>
      </c>
    </row>
    <row r="114" spans="1:8" x14ac:dyDescent="0.2">
      <c r="A114" s="8">
        <v>1403</v>
      </c>
      <c r="B114" s="8" t="s">
        <v>213</v>
      </c>
      <c r="C114" s="8" t="s">
        <v>214</v>
      </c>
      <c r="D114" s="8" t="s">
        <v>23</v>
      </c>
      <c r="E114" s="8" t="b">
        <v>0</v>
      </c>
      <c r="F114" s="8" t="s">
        <v>27</v>
      </c>
      <c r="G114" s="8">
        <v>8</v>
      </c>
      <c r="H114" s="9">
        <v>46102</v>
      </c>
    </row>
    <row r="115" spans="1:8" x14ac:dyDescent="0.2">
      <c r="A115" s="8">
        <v>1404</v>
      </c>
      <c r="B115" s="8" t="s">
        <v>213</v>
      </c>
      <c r="C115" s="8" t="s">
        <v>215</v>
      </c>
      <c r="D115" s="8" t="s">
        <v>23</v>
      </c>
      <c r="E115" s="8" t="b">
        <v>1</v>
      </c>
      <c r="F115" s="8" t="s">
        <v>25</v>
      </c>
      <c r="H115" s="9">
        <v>46102</v>
      </c>
    </row>
    <row r="116" spans="1:8" x14ac:dyDescent="0.2">
      <c r="A116" s="8">
        <v>1229</v>
      </c>
      <c r="B116" s="8" t="s">
        <v>216</v>
      </c>
      <c r="C116" s="8" t="s">
        <v>217</v>
      </c>
      <c r="D116" s="8" t="s">
        <v>23</v>
      </c>
      <c r="E116" s="8" t="b">
        <v>1</v>
      </c>
      <c r="F116" s="8" t="s">
        <v>25</v>
      </c>
      <c r="H116" s="9">
        <v>46102</v>
      </c>
    </row>
    <row r="117" spans="1:8" x14ac:dyDescent="0.2">
      <c r="A117" s="8">
        <v>1408</v>
      </c>
      <c r="B117" s="8" t="s">
        <v>218</v>
      </c>
      <c r="C117" s="8" t="s">
        <v>219</v>
      </c>
      <c r="D117" s="8" t="s">
        <v>23</v>
      </c>
      <c r="E117" s="8" t="b">
        <v>0</v>
      </c>
      <c r="F117" s="8" t="s">
        <v>27</v>
      </c>
      <c r="G117" s="8">
        <v>20</v>
      </c>
      <c r="H117" s="9">
        <v>46102</v>
      </c>
    </row>
    <row r="118" spans="1:8" x14ac:dyDescent="0.2">
      <c r="A118" s="8">
        <v>1409</v>
      </c>
      <c r="B118" s="8" t="s">
        <v>218</v>
      </c>
      <c r="C118" s="8" t="s">
        <v>220</v>
      </c>
      <c r="D118" s="8" t="s">
        <v>23</v>
      </c>
      <c r="E118" s="8" t="b">
        <v>1</v>
      </c>
      <c r="F118" s="8" t="s">
        <v>27</v>
      </c>
      <c r="G118" s="8">
        <v>15</v>
      </c>
      <c r="H118" s="9">
        <v>46102</v>
      </c>
    </row>
    <row r="119" spans="1:8" x14ac:dyDescent="0.2">
      <c r="A119" s="8">
        <v>1198</v>
      </c>
      <c r="B119" s="8" t="s">
        <v>221</v>
      </c>
      <c r="C119" s="8" t="s">
        <v>222</v>
      </c>
      <c r="D119" s="8" t="s">
        <v>23</v>
      </c>
      <c r="E119" s="8" t="b">
        <v>0</v>
      </c>
      <c r="F119" s="8" t="s">
        <v>27</v>
      </c>
      <c r="G119" s="8">
        <v>5</v>
      </c>
      <c r="H119" s="9">
        <v>46102</v>
      </c>
    </row>
    <row r="120" spans="1:8" x14ac:dyDescent="0.2">
      <c r="A120" s="8">
        <v>1361</v>
      </c>
      <c r="B120" s="8" t="s">
        <v>224</v>
      </c>
      <c r="C120" s="8" t="s">
        <v>225</v>
      </c>
      <c r="D120" s="8" t="s">
        <v>23</v>
      </c>
      <c r="E120" s="8" t="b">
        <v>0</v>
      </c>
      <c r="F120" s="8" t="s">
        <v>27</v>
      </c>
      <c r="G120" s="8">
        <v>16</v>
      </c>
      <c r="H120" s="9">
        <v>46102</v>
      </c>
    </row>
    <row r="121" spans="1:8" x14ac:dyDescent="0.2">
      <c r="A121" s="8">
        <v>1100</v>
      </c>
      <c r="B121" s="8" t="s">
        <v>226</v>
      </c>
      <c r="C121" s="8" t="s">
        <v>34</v>
      </c>
      <c r="D121" s="8" t="s">
        <v>23</v>
      </c>
      <c r="E121" s="8" t="b">
        <v>0</v>
      </c>
      <c r="F121" s="8" t="s">
        <v>27</v>
      </c>
      <c r="G121" s="8">
        <v>13</v>
      </c>
      <c r="H121" s="9">
        <v>46102</v>
      </c>
    </row>
    <row r="122" spans="1:8" x14ac:dyDescent="0.2">
      <c r="A122" s="8">
        <v>1385</v>
      </c>
      <c r="B122" s="8" t="s">
        <v>227</v>
      </c>
      <c r="C122" s="8" t="s">
        <v>228</v>
      </c>
      <c r="D122" s="8" t="s">
        <v>23</v>
      </c>
      <c r="E122" s="8" t="b">
        <v>0</v>
      </c>
      <c r="F122" s="8" t="s">
        <v>25</v>
      </c>
      <c r="H122" s="9">
        <v>46102</v>
      </c>
    </row>
    <row r="123" spans="1:8" x14ac:dyDescent="0.2">
      <c r="A123" s="8">
        <v>1394</v>
      </c>
      <c r="B123" s="8" t="s">
        <v>227</v>
      </c>
      <c r="C123" s="8" t="s">
        <v>229</v>
      </c>
      <c r="D123" s="8" t="s">
        <v>23</v>
      </c>
      <c r="E123" s="8" t="b">
        <v>0</v>
      </c>
      <c r="F123" s="8" t="s">
        <v>35</v>
      </c>
      <c r="H123" s="9">
        <v>46102</v>
      </c>
    </row>
    <row r="124" spans="1:8" x14ac:dyDescent="0.2">
      <c r="A124" s="8">
        <v>1419</v>
      </c>
      <c r="B124" s="8" t="s">
        <v>353</v>
      </c>
      <c r="C124" s="8" t="s">
        <v>231</v>
      </c>
      <c r="D124" s="8" t="s">
        <v>23</v>
      </c>
      <c r="E124" s="8" t="b">
        <v>0</v>
      </c>
      <c r="F124" s="8" t="s">
        <v>25</v>
      </c>
      <c r="H124" s="9">
        <v>46102</v>
      </c>
    </row>
    <row r="125" spans="1:8" x14ac:dyDescent="0.2">
      <c r="A125" s="8">
        <v>967</v>
      </c>
      <c r="B125" s="8" t="s">
        <v>232</v>
      </c>
      <c r="C125" s="8" t="s">
        <v>152</v>
      </c>
      <c r="D125" s="8" t="s">
        <v>23</v>
      </c>
      <c r="E125" s="8" t="b">
        <v>0</v>
      </c>
      <c r="F125" s="8" t="s">
        <v>27</v>
      </c>
      <c r="G125" s="8">
        <v>5</v>
      </c>
      <c r="H125" s="9">
        <v>46102</v>
      </c>
    </row>
    <row r="126" spans="1:8" x14ac:dyDescent="0.2">
      <c r="A126" s="8">
        <v>1045</v>
      </c>
      <c r="B126" s="8" t="s">
        <v>235</v>
      </c>
      <c r="C126" s="8" t="s">
        <v>236</v>
      </c>
      <c r="D126" s="8" t="s">
        <v>23</v>
      </c>
      <c r="E126" s="8" t="b">
        <v>1</v>
      </c>
      <c r="F126" s="8" t="s">
        <v>27</v>
      </c>
      <c r="G126" s="8">
        <v>5</v>
      </c>
      <c r="H126" s="9">
        <v>46102</v>
      </c>
    </row>
    <row r="127" spans="1:8" x14ac:dyDescent="0.2">
      <c r="A127" s="8">
        <v>1046</v>
      </c>
      <c r="B127" s="8" t="s">
        <v>235</v>
      </c>
      <c r="C127" s="8" t="s">
        <v>237</v>
      </c>
      <c r="D127" s="8" t="s">
        <v>23</v>
      </c>
      <c r="E127" s="8" t="b">
        <v>0</v>
      </c>
      <c r="F127" s="8" t="s">
        <v>27</v>
      </c>
      <c r="G127" s="8">
        <v>35</v>
      </c>
      <c r="H127" s="9">
        <v>46102</v>
      </c>
    </row>
    <row r="128" spans="1:8" x14ac:dyDescent="0.2">
      <c r="A128" s="8">
        <v>1396</v>
      </c>
      <c r="B128" s="8" t="s">
        <v>238</v>
      </c>
      <c r="C128" s="8" t="s">
        <v>59</v>
      </c>
      <c r="D128" s="8" t="s">
        <v>23</v>
      </c>
      <c r="E128" s="8" t="b">
        <v>0</v>
      </c>
      <c r="F128" s="8" t="s">
        <v>25</v>
      </c>
      <c r="H128" s="9">
        <v>46102</v>
      </c>
    </row>
    <row r="129" spans="1:8" x14ac:dyDescent="0.2">
      <c r="A129" s="8">
        <v>1397</v>
      </c>
      <c r="B129" s="8" t="s">
        <v>238</v>
      </c>
      <c r="C129" s="8" t="s">
        <v>239</v>
      </c>
      <c r="D129" s="8" t="s">
        <v>23</v>
      </c>
      <c r="E129" s="8" t="b">
        <v>1</v>
      </c>
      <c r="F129" s="8" t="s">
        <v>25</v>
      </c>
      <c r="H129" s="9">
        <v>46102</v>
      </c>
    </row>
    <row r="130" spans="1:8" x14ac:dyDescent="0.2">
      <c r="A130" s="8">
        <v>1398</v>
      </c>
      <c r="B130" s="8" t="s">
        <v>238</v>
      </c>
      <c r="C130" s="8" t="s">
        <v>49</v>
      </c>
      <c r="D130" s="8" t="s">
        <v>23</v>
      </c>
      <c r="E130" s="8" t="b">
        <v>0</v>
      </c>
      <c r="F130" s="8" t="s">
        <v>35</v>
      </c>
      <c r="H130" s="9">
        <v>46102</v>
      </c>
    </row>
    <row r="131" spans="1:8" x14ac:dyDescent="0.2">
      <c r="A131" s="8">
        <v>1399</v>
      </c>
      <c r="B131" s="8" t="s">
        <v>238</v>
      </c>
      <c r="C131" s="8" t="s">
        <v>131</v>
      </c>
      <c r="D131" s="8" t="s">
        <v>23</v>
      </c>
      <c r="E131" s="8" t="b">
        <v>1</v>
      </c>
      <c r="F131" s="8" t="s">
        <v>35</v>
      </c>
      <c r="H131" s="9">
        <v>46102</v>
      </c>
    </row>
    <row r="132" spans="1:8" x14ac:dyDescent="0.2">
      <c r="A132" s="8">
        <v>771</v>
      </c>
      <c r="B132" s="8" t="s">
        <v>240</v>
      </c>
      <c r="C132" s="8" t="s">
        <v>241</v>
      </c>
      <c r="D132" s="8" t="s">
        <v>23</v>
      </c>
      <c r="E132" s="8" t="b">
        <v>0</v>
      </c>
      <c r="F132" s="8" t="s">
        <v>27</v>
      </c>
      <c r="G132" s="8">
        <v>14</v>
      </c>
      <c r="H132" s="9">
        <v>46102</v>
      </c>
    </row>
    <row r="133" spans="1:8" x14ac:dyDescent="0.2">
      <c r="A133" s="8">
        <v>1265</v>
      </c>
      <c r="B133" s="8" t="s">
        <v>242</v>
      </c>
      <c r="C133" s="8" t="s">
        <v>243</v>
      </c>
      <c r="D133" s="8" t="s">
        <v>23</v>
      </c>
      <c r="E133" s="8" t="b">
        <v>0</v>
      </c>
      <c r="F133" s="8" t="s">
        <v>27</v>
      </c>
      <c r="G133" s="8">
        <v>20</v>
      </c>
      <c r="H133" s="9">
        <v>46102</v>
      </c>
    </row>
    <row r="134" spans="1:8" x14ac:dyDescent="0.2">
      <c r="A134" s="8">
        <v>532</v>
      </c>
      <c r="B134" s="8" t="s">
        <v>244</v>
      </c>
      <c r="C134" s="8" t="s">
        <v>243</v>
      </c>
      <c r="D134" s="8" t="s">
        <v>23</v>
      </c>
      <c r="E134" s="8" t="b">
        <v>0</v>
      </c>
      <c r="F134" s="8" t="s">
        <v>27</v>
      </c>
      <c r="G134" s="8">
        <v>13</v>
      </c>
      <c r="H134" s="9">
        <v>46102</v>
      </c>
    </row>
    <row r="135" spans="1:8" x14ac:dyDescent="0.2">
      <c r="A135" s="8">
        <v>742</v>
      </c>
      <c r="B135" s="8" t="s">
        <v>246</v>
      </c>
      <c r="C135" s="8" t="s">
        <v>156</v>
      </c>
      <c r="D135" s="8" t="s">
        <v>23</v>
      </c>
      <c r="E135" s="8" t="b">
        <v>1</v>
      </c>
      <c r="F135" s="8" t="s">
        <v>27</v>
      </c>
      <c r="G135" s="8">
        <v>2</v>
      </c>
      <c r="H135" s="9">
        <v>46102</v>
      </c>
    </row>
    <row r="136" spans="1:8" x14ac:dyDescent="0.2">
      <c r="A136" s="8">
        <v>741</v>
      </c>
      <c r="B136" s="8" t="s">
        <v>246</v>
      </c>
      <c r="C136" s="8" t="s">
        <v>247</v>
      </c>
      <c r="D136" s="8" t="s">
        <v>23</v>
      </c>
      <c r="E136" s="8" t="b">
        <v>0</v>
      </c>
      <c r="F136" s="8" t="s">
        <v>27</v>
      </c>
      <c r="G136" s="8">
        <v>4</v>
      </c>
      <c r="H136" s="9">
        <v>46102</v>
      </c>
    </row>
    <row r="137" spans="1:8" x14ac:dyDescent="0.2">
      <c r="A137" s="8">
        <v>1298</v>
      </c>
      <c r="B137" s="8" t="s">
        <v>246</v>
      </c>
      <c r="C137" s="8" t="s">
        <v>132</v>
      </c>
      <c r="D137" s="8" t="s">
        <v>23</v>
      </c>
      <c r="E137" s="8" t="b">
        <v>1</v>
      </c>
      <c r="F137" s="8" t="s">
        <v>27</v>
      </c>
      <c r="G137" s="8">
        <v>13</v>
      </c>
      <c r="H137" s="9">
        <v>46102</v>
      </c>
    </row>
    <row r="138" spans="1:8" x14ac:dyDescent="0.2">
      <c r="A138" s="8">
        <v>747</v>
      </c>
      <c r="B138" s="8" t="s">
        <v>246</v>
      </c>
      <c r="C138" s="8" t="s">
        <v>22</v>
      </c>
      <c r="D138" s="8" t="s">
        <v>23</v>
      </c>
      <c r="E138" s="8" t="b">
        <v>0</v>
      </c>
      <c r="F138" s="8" t="s">
        <v>27</v>
      </c>
      <c r="G138" s="8">
        <v>1</v>
      </c>
      <c r="H138" s="9">
        <v>46102</v>
      </c>
    </row>
    <row r="139" spans="1:8" x14ac:dyDescent="0.2">
      <c r="A139" s="8">
        <v>1386</v>
      </c>
      <c r="B139" s="8" t="s">
        <v>246</v>
      </c>
      <c r="C139" s="8" t="s">
        <v>248</v>
      </c>
      <c r="D139" s="8" t="s">
        <v>23</v>
      </c>
      <c r="E139" s="8" t="b">
        <v>1</v>
      </c>
      <c r="F139" s="8" t="s">
        <v>35</v>
      </c>
      <c r="H139" s="9">
        <v>46102</v>
      </c>
    </row>
    <row r="140" spans="1:8" x14ac:dyDescent="0.2">
      <c r="A140" s="8">
        <v>564</v>
      </c>
      <c r="B140" s="8" t="s">
        <v>250</v>
      </c>
      <c r="C140" s="8" t="s">
        <v>34</v>
      </c>
      <c r="D140" s="8" t="s">
        <v>23</v>
      </c>
      <c r="E140" s="8" t="b">
        <v>0</v>
      </c>
      <c r="F140" s="8" t="s">
        <v>27</v>
      </c>
      <c r="G140" s="8">
        <v>7</v>
      </c>
      <c r="H140" s="9">
        <v>46102</v>
      </c>
    </row>
    <row r="141" spans="1:8" x14ac:dyDescent="0.2">
      <c r="A141" s="8">
        <v>1165</v>
      </c>
      <c r="B141" s="8" t="s">
        <v>251</v>
      </c>
      <c r="C141" s="8" t="s">
        <v>177</v>
      </c>
      <c r="D141" s="8" t="s">
        <v>23</v>
      </c>
      <c r="E141" s="8" t="b">
        <v>0</v>
      </c>
      <c r="F141" s="8" t="s">
        <v>27</v>
      </c>
      <c r="G141" s="8">
        <v>10</v>
      </c>
      <c r="H141" s="9">
        <v>46102</v>
      </c>
    </row>
    <row r="142" spans="1:8" x14ac:dyDescent="0.2">
      <c r="A142" s="8">
        <v>405</v>
      </c>
      <c r="B142" s="8" t="s">
        <v>252</v>
      </c>
      <c r="C142" s="8" t="s">
        <v>243</v>
      </c>
      <c r="D142" s="8" t="s">
        <v>23</v>
      </c>
      <c r="E142" s="8" t="b">
        <v>0</v>
      </c>
      <c r="F142" s="8" t="s">
        <v>27</v>
      </c>
      <c r="G142" s="8">
        <v>18</v>
      </c>
      <c r="H142" s="9">
        <v>46102</v>
      </c>
    </row>
    <row r="143" spans="1:8" x14ac:dyDescent="0.2">
      <c r="A143" s="8">
        <v>1346</v>
      </c>
      <c r="B143" s="8" t="s">
        <v>253</v>
      </c>
      <c r="C143" s="8" t="s">
        <v>254</v>
      </c>
      <c r="D143" s="8" t="s">
        <v>23</v>
      </c>
      <c r="E143" s="8" t="b">
        <v>0</v>
      </c>
      <c r="F143" s="8" t="s">
        <v>27</v>
      </c>
      <c r="G143" s="8">
        <v>20</v>
      </c>
      <c r="H143" s="9">
        <v>46102</v>
      </c>
    </row>
    <row r="144" spans="1:8" x14ac:dyDescent="0.2">
      <c r="A144" s="8">
        <v>1192</v>
      </c>
      <c r="B144" s="8" t="s">
        <v>255</v>
      </c>
      <c r="C144" s="8" t="s">
        <v>256</v>
      </c>
      <c r="D144" s="8" t="s">
        <v>23</v>
      </c>
      <c r="E144" s="8" t="b">
        <v>0</v>
      </c>
      <c r="F144" s="8" t="s">
        <v>27</v>
      </c>
      <c r="G144" s="8">
        <v>10</v>
      </c>
      <c r="H144" s="9">
        <v>46102</v>
      </c>
    </row>
    <row r="145" spans="1:8" x14ac:dyDescent="0.2">
      <c r="A145" s="8">
        <v>1157</v>
      </c>
      <c r="B145" s="8" t="s">
        <v>257</v>
      </c>
      <c r="C145" s="8" t="s">
        <v>100</v>
      </c>
      <c r="D145" s="8" t="s">
        <v>23</v>
      </c>
      <c r="E145" s="8" t="b">
        <v>0</v>
      </c>
      <c r="F145" s="8" t="s">
        <v>25</v>
      </c>
      <c r="H145" s="9">
        <v>46102</v>
      </c>
    </row>
    <row r="146" spans="1:8" x14ac:dyDescent="0.2">
      <c r="A146" s="8">
        <v>1359</v>
      </c>
      <c r="B146" s="8" t="s">
        <v>258</v>
      </c>
      <c r="C146" s="8" t="s">
        <v>49</v>
      </c>
      <c r="D146" s="8" t="s">
        <v>23</v>
      </c>
      <c r="E146" s="8" t="b">
        <v>0</v>
      </c>
      <c r="F146" s="8" t="s">
        <v>188</v>
      </c>
      <c r="H146" s="9">
        <v>46102</v>
      </c>
    </row>
    <row r="147" spans="1:8" x14ac:dyDescent="0.2">
      <c r="A147" s="8">
        <v>1360</v>
      </c>
      <c r="B147" s="8" t="s">
        <v>258</v>
      </c>
      <c r="C147" s="8" t="s">
        <v>259</v>
      </c>
      <c r="D147" s="8" t="s">
        <v>23</v>
      </c>
      <c r="E147" s="8" t="b">
        <v>1</v>
      </c>
      <c r="F147" s="8" t="s">
        <v>35</v>
      </c>
      <c r="H147" s="9">
        <v>46102</v>
      </c>
    </row>
    <row r="148" spans="1:8" x14ac:dyDescent="0.2">
      <c r="A148" s="8">
        <v>1357</v>
      </c>
      <c r="B148" s="8" t="s">
        <v>258</v>
      </c>
      <c r="C148" s="8" t="s">
        <v>34</v>
      </c>
      <c r="D148" s="8" t="s">
        <v>23</v>
      </c>
      <c r="E148" s="8" t="b">
        <v>0</v>
      </c>
      <c r="F148" s="8" t="s">
        <v>27</v>
      </c>
      <c r="G148" s="8">
        <v>5</v>
      </c>
      <c r="H148" s="9">
        <v>46102</v>
      </c>
    </row>
    <row r="149" spans="1:8" x14ac:dyDescent="0.2">
      <c r="A149" s="8">
        <v>1358</v>
      </c>
      <c r="B149" s="8" t="s">
        <v>258</v>
      </c>
      <c r="C149" s="8" t="s">
        <v>260</v>
      </c>
      <c r="D149" s="8" t="s">
        <v>23</v>
      </c>
      <c r="E149" s="8" t="b">
        <v>1</v>
      </c>
      <c r="F149" s="8" t="s">
        <v>27</v>
      </c>
      <c r="G149" s="8">
        <v>7</v>
      </c>
      <c r="H149" s="9">
        <v>46102</v>
      </c>
    </row>
    <row r="150" spans="1:8" x14ac:dyDescent="0.2">
      <c r="A150" s="8">
        <v>1390</v>
      </c>
      <c r="B150" s="8" t="s">
        <v>261</v>
      </c>
      <c r="C150" s="8" t="s">
        <v>262</v>
      </c>
      <c r="D150" s="8" t="s">
        <v>23</v>
      </c>
      <c r="E150" s="8" t="b">
        <v>0</v>
      </c>
      <c r="F150" s="8" t="s">
        <v>25</v>
      </c>
      <c r="H150" s="9">
        <v>46102</v>
      </c>
    </row>
    <row r="151" spans="1:8" x14ac:dyDescent="0.2">
      <c r="A151" s="8">
        <v>1107</v>
      </c>
      <c r="B151" s="8" t="s">
        <v>263</v>
      </c>
      <c r="C151" s="8" t="s">
        <v>264</v>
      </c>
      <c r="D151" s="8" t="s">
        <v>23</v>
      </c>
      <c r="E151" s="8" t="b">
        <v>1</v>
      </c>
      <c r="F151" s="8" t="s">
        <v>25</v>
      </c>
      <c r="H151" s="9">
        <v>46102</v>
      </c>
    </row>
    <row r="152" spans="1:8" x14ac:dyDescent="0.2">
      <c r="A152" s="8">
        <v>35</v>
      </c>
      <c r="B152" s="8" t="s">
        <v>265</v>
      </c>
      <c r="C152" s="8" t="s">
        <v>266</v>
      </c>
      <c r="D152" s="8" t="s">
        <v>23</v>
      </c>
      <c r="E152" s="8" t="b">
        <v>0</v>
      </c>
      <c r="F152" s="8" t="s">
        <v>27</v>
      </c>
      <c r="G152" s="8">
        <v>3</v>
      </c>
      <c r="H152" s="9">
        <v>46102</v>
      </c>
    </row>
    <row r="153" spans="1:8" x14ac:dyDescent="0.2">
      <c r="A153" s="8">
        <v>1094</v>
      </c>
      <c r="B153" s="8" t="s">
        <v>267</v>
      </c>
      <c r="C153" s="8" t="s">
        <v>268</v>
      </c>
      <c r="D153" s="8" t="s">
        <v>23</v>
      </c>
      <c r="E153" s="8" t="b">
        <v>0</v>
      </c>
      <c r="F153" s="8" t="s">
        <v>27</v>
      </c>
      <c r="G153" s="8">
        <v>12</v>
      </c>
      <c r="H153" s="9">
        <v>46102</v>
      </c>
    </row>
    <row r="154" spans="1:8" x14ac:dyDescent="0.2">
      <c r="A154" s="8">
        <v>1325</v>
      </c>
      <c r="B154" s="8" t="s">
        <v>269</v>
      </c>
      <c r="C154" s="8" t="s">
        <v>270</v>
      </c>
      <c r="D154" s="8" t="s">
        <v>23</v>
      </c>
      <c r="E154" s="8" t="b">
        <v>0</v>
      </c>
      <c r="F154" s="8" t="s">
        <v>27</v>
      </c>
      <c r="G154" s="8">
        <v>3</v>
      </c>
      <c r="H154" s="9">
        <v>46102</v>
      </c>
    </row>
    <row r="155" spans="1:8" x14ac:dyDescent="0.2">
      <c r="A155" s="8">
        <v>1143</v>
      </c>
      <c r="B155" s="8" t="s">
        <v>271</v>
      </c>
      <c r="C155" s="8" t="s">
        <v>247</v>
      </c>
      <c r="D155" s="8" t="s">
        <v>23</v>
      </c>
      <c r="E155" s="8" t="b">
        <v>0</v>
      </c>
      <c r="F155" s="8" t="s">
        <v>27</v>
      </c>
      <c r="G155" s="8">
        <v>3</v>
      </c>
      <c r="H155" s="9">
        <v>46102</v>
      </c>
    </row>
    <row r="156" spans="1:8" x14ac:dyDescent="0.2">
      <c r="A156" s="8">
        <v>1401</v>
      </c>
      <c r="B156" s="8" t="s">
        <v>272</v>
      </c>
      <c r="C156" s="8" t="s">
        <v>273</v>
      </c>
      <c r="D156" s="8" t="s">
        <v>23</v>
      </c>
      <c r="E156" s="8" t="b">
        <v>1</v>
      </c>
      <c r="F156" s="8" t="s">
        <v>25</v>
      </c>
      <c r="H156" s="9">
        <v>46102</v>
      </c>
    </row>
    <row r="157" spans="1:8" x14ac:dyDescent="0.2">
      <c r="A157" s="8">
        <v>1285</v>
      </c>
      <c r="B157" s="8" t="s">
        <v>274</v>
      </c>
      <c r="C157" s="8" t="s">
        <v>100</v>
      </c>
      <c r="D157" s="8" t="s">
        <v>23</v>
      </c>
      <c r="E157" s="8" t="b">
        <v>0</v>
      </c>
      <c r="F157" s="8" t="s">
        <v>25</v>
      </c>
      <c r="H157" s="9">
        <v>46102</v>
      </c>
    </row>
    <row r="158" spans="1:8" x14ac:dyDescent="0.2">
      <c r="A158" s="8">
        <v>38</v>
      </c>
      <c r="B158" s="8" t="s">
        <v>275</v>
      </c>
      <c r="C158" s="8" t="s">
        <v>276</v>
      </c>
      <c r="D158" s="8" t="s">
        <v>23</v>
      </c>
      <c r="E158" s="8" t="b">
        <v>0</v>
      </c>
      <c r="F158" s="8" t="s">
        <v>27</v>
      </c>
      <c r="G158" s="8">
        <v>13</v>
      </c>
      <c r="H158" s="9">
        <v>46102</v>
      </c>
    </row>
    <row r="159" spans="1:8" x14ac:dyDescent="0.2">
      <c r="A159" s="8">
        <v>245</v>
      </c>
      <c r="B159" s="8" t="s">
        <v>277</v>
      </c>
      <c r="C159" s="8" t="s">
        <v>234</v>
      </c>
      <c r="D159" s="8" t="s">
        <v>23</v>
      </c>
      <c r="E159" s="8" t="b">
        <v>0</v>
      </c>
      <c r="F159" s="8" t="s">
        <v>27</v>
      </c>
      <c r="G159" s="8">
        <v>10</v>
      </c>
      <c r="H159" s="9">
        <v>46102</v>
      </c>
    </row>
    <row r="160" spans="1:8" x14ac:dyDescent="0.2">
      <c r="A160" s="8">
        <v>39</v>
      </c>
      <c r="B160" s="8" t="s">
        <v>277</v>
      </c>
      <c r="C160" s="8" t="s">
        <v>278</v>
      </c>
      <c r="D160" s="8" t="s">
        <v>23</v>
      </c>
      <c r="E160" s="8" t="b">
        <v>0</v>
      </c>
      <c r="F160" s="8" t="s">
        <v>27</v>
      </c>
      <c r="G160" s="8">
        <v>43</v>
      </c>
      <c r="H160" s="9">
        <v>46102</v>
      </c>
    </row>
    <row r="161" spans="1:8" x14ac:dyDescent="0.2">
      <c r="A161" s="8">
        <v>508</v>
      </c>
      <c r="B161" s="8" t="s">
        <v>279</v>
      </c>
      <c r="C161" s="8" t="s">
        <v>59</v>
      </c>
      <c r="D161" s="8" t="s">
        <v>23</v>
      </c>
      <c r="E161" s="8" t="b">
        <v>0</v>
      </c>
      <c r="F161" s="8" t="s">
        <v>27</v>
      </c>
      <c r="G161" s="8">
        <v>31</v>
      </c>
      <c r="H161" s="9">
        <v>46102</v>
      </c>
    </row>
    <row r="162" spans="1:8" x14ac:dyDescent="0.2">
      <c r="A162" s="8">
        <v>1392</v>
      </c>
      <c r="B162" s="8" t="s">
        <v>284</v>
      </c>
      <c r="C162" s="8" t="s">
        <v>285</v>
      </c>
      <c r="D162" s="8" t="s">
        <v>23</v>
      </c>
      <c r="E162" s="8" t="b">
        <v>1</v>
      </c>
      <c r="F162" s="8" t="s">
        <v>25</v>
      </c>
      <c r="H162" s="9">
        <v>46102</v>
      </c>
    </row>
    <row r="163" spans="1:8" x14ac:dyDescent="0.2">
      <c r="A163" s="8">
        <v>1141</v>
      </c>
      <c r="B163" s="8" t="s">
        <v>286</v>
      </c>
      <c r="C163" s="8" t="s">
        <v>287</v>
      </c>
      <c r="D163" s="8" t="s">
        <v>23</v>
      </c>
      <c r="E163" s="8" t="b">
        <v>1</v>
      </c>
      <c r="F163" s="8" t="s">
        <v>27</v>
      </c>
      <c r="G163" s="8">
        <v>15</v>
      </c>
      <c r="H163" s="9">
        <v>46102</v>
      </c>
    </row>
    <row r="164" spans="1:8" x14ac:dyDescent="0.2">
      <c r="A164" s="8">
        <v>891</v>
      </c>
      <c r="B164" s="8" t="s">
        <v>288</v>
      </c>
      <c r="C164" s="8" t="s">
        <v>289</v>
      </c>
      <c r="D164" s="8" t="s">
        <v>23</v>
      </c>
      <c r="E164" s="8" t="b">
        <v>1</v>
      </c>
      <c r="F164" s="8" t="s">
        <v>25</v>
      </c>
      <c r="H164" s="9">
        <v>46102</v>
      </c>
    </row>
    <row r="165" spans="1:8" x14ac:dyDescent="0.2">
      <c r="A165" s="8">
        <v>1352</v>
      </c>
      <c r="B165" s="8" t="s">
        <v>290</v>
      </c>
      <c r="C165" s="8" t="s">
        <v>34</v>
      </c>
      <c r="D165" s="8" t="s">
        <v>23</v>
      </c>
      <c r="E165" s="8" t="b">
        <v>0</v>
      </c>
      <c r="F165" s="8" t="s">
        <v>27</v>
      </c>
      <c r="G165" s="8">
        <v>11</v>
      </c>
      <c r="H165" s="9">
        <v>46102</v>
      </c>
    </row>
    <row r="166" spans="1:8" x14ac:dyDescent="0.2">
      <c r="A166" s="8">
        <v>1339</v>
      </c>
      <c r="B166" s="8" t="s">
        <v>291</v>
      </c>
      <c r="C166" s="8" t="s">
        <v>292</v>
      </c>
      <c r="D166" s="8" t="s">
        <v>23</v>
      </c>
      <c r="E166" s="8" t="b">
        <v>0</v>
      </c>
      <c r="F166" s="8" t="s">
        <v>25</v>
      </c>
      <c r="H166" s="9">
        <v>46102</v>
      </c>
    </row>
    <row r="167" spans="1:8" x14ac:dyDescent="0.2">
      <c r="A167" s="8">
        <v>914</v>
      </c>
      <c r="B167" s="8" t="s">
        <v>293</v>
      </c>
      <c r="C167" s="8" t="s">
        <v>153</v>
      </c>
      <c r="D167" s="8" t="s">
        <v>23</v>
      </c>
      <c r="E167" s="8" t="b">
        <v>0</v>
      </c>
      <c r="F167" s="8" t="s">
        <v>27</v>
      </c>
      <c r="G167" s="8">
        <v>14</v>
      </c>
      <c r="H167" s="9">
        <v>46102</v>
      </c>
    </row>
    <row r="168" spans="1:8" x14ac:dyDescent="0.2">
      <c r="A168" s="8">
        <v>597</v>
      </c>
      <c r="B168" s="8" t="s">
        <v>294</v>
      </c>
      <c r="C168" s="8" t="s">
        <v>295</v>
      </c>
      <c r="D168" s="8" t="s">
        <v>23</v>
      </c>
      <c r="E168" s="8" t="b">
        <v>0</v>
      </c>
      <c r="F168" s="8" t="s">
        <v>27</v>
      </c>
      <c r="G168" s="8">
        <v>36</v>
      </c>
      <c r="H168" s="9">
        <v>46102</v>
      </c>
    </row>
    <row r="169" spans="1:8" x14ac:dyDescent="0.2">
      <c r="A169" s="8">
        <v>1038</v>
      </c>
      <c r="B169" s="8" t="s">
        <v>293</v>
      </c>
      <c r="C169" s="8" t="s">
        <v>51</v>
      </c>
      <c r="D169" s="8" t="s">
        <v>23</v>
      </c>
      <c r="E169" s="8" t="b">
        <v>0</v>
      </c>
      <c r="F169" s="8" t="s">
        <v>27</v>
      </c>
      <c r="G169" s="8">
        <v>12</v>
      </c>
      <c r="H169" s="9">
        <v>46102</v>
      </c>
    </row>
    <row r="170" spans="1:8" x14ac:dyDescent="0.2">
      <c r="A170" s="8">
        <v>1242</v>
      </c>
      <c r="B170" s="8" t="s">
        <v>297</v>
      </c>
      <c r="C170" s="8" t="s">
        <v>190</v>
      </c>
      <c r="D170" s="8" t="s">
        <v>23</v>
      </c>
      <c r="E170" s="8" t="b">
        <v>0</v>
      </c>
      <c r="F170" s="8" t="s">
        <v>27</v>
      </c>
      <c r="G170" s="8">
        <v>15</v>
      </c>
      <c r="H170" s="9">
        <v>46102</v>
      </c>
    </row>
    <row r="171" spans="1:8" x14ac:dyDescent="0.2">
      <c r="A171" s="8">
        <v>1048</v>
      </c>
      <c r="B171" s="8" t="s">
        <v>298</v>
      </c>
      <c r="C171" s="8" t="s">
        <v>268</v>
      </c>
      <c r="D171" s="8" t="s">
        <v>23</v>
      </c>
      <c r="E171" s="8" t="b">
        <v>0</v>
      </c>
      <c r="F171" s="8" t="s">
        <v>27</v>
      </c>
      <c r="G171" s="8">
        <v>16</v>
      </c>
      <c r="H171" s="9">
        <v>46102</v>
      </c>
    </row>
    <row r="172" spans="1:8" x14ac:dyDescent="0.2">
      <c r="A172" s="8">
        <v>1055</v>
      </c>
      <c r="B172" s="8" t="s">
        <v>298</v>
      </c>
      <c r="C172" s="8" t="s">
        <v>299</v>
      </c>
      <c r="D172" s="8" t="s">
        <v>23</v>
      </c>
      <c r="E172" s="8" t="b">
        <v>0</v>
      </c>
      <c r="F172" s="8" t="s">
        <v>27</v>
      </c>
      <c r="G172" s="8">
        <v>1</v>
      </c>
      <c r="H172" s="9">
        <v>46102</v>
      </c>
    </row>
    <row r="173" spans="1:8" x14ac:dyDescent="0.2">
      <c r="A173" s="8">
        <v>820</v>
      </c>
      <c r="B173" s="8" t="s">
        <v>298</v>
      </c>
      <c r="C173" s="8" t="s">
        <v>139</v>
      </c>
      <c r="D173" s="8" t="s">
        <v>23</v>
      </c>
      <c r="E173" s="8" t="b">
        <v>1</v>
      </c>
      <c r="F173" s="8" t="s">
        <v>27</v>
      </c>
      <c r="G173" s="8">
        <v>6</v>
      </c>
      <c r="H173" s="9">
        <v>46102</v>
      </c>
    </row>
    <row r="174" spans="1:8" x14ac:dyDescent="0.2">
      <c r="A174" s="8">
        <v>687</v>
      </c>
      <c r="B174" s="8" t="s">
        <v>298</v>
      </c>
      <c r="C174" s="8" t="s">
        <v>301</v>
      </c>
      <c r="D174" s="8" t="s">
        <v>23</v>
      </c>
      <c r="E174" s="8" t="b">
        <v>0</v>
      </c>
      <c r="F174" s="8" t="s">
        <v>27</v>
      </c>
      <c r="G174" s="8">
        <v>7</v>
      </c>
      <c r="H174" s="9">
        <v>46102</v>
      </c>
    </row>
    <row r="175" spans="1:8" x14ac:dyDescent="0.2">
      <c r="A175" s="8">
        <v>1410</v>
      </c>
      <c r="B175" s="8" t="s">
        <v>104</v>
      </c>
      <c r="C175" s="8" t="s">
        <v>303</v>
      </c>
      <c r="D175" s="8" t="s">
        <v>23</v>
      </c>
      <c r="E175" s="8" t="b">
        <v>0</v>
      </c>
      <c r="F175" s="8" t="s">
        <v>25</v>
      </c>
      <c r="H175" s="9">
        <v>46102</v>
      </c>
    </row>
    <row r="176" spans="1:8" x14ac:dyDescent="0.2">
      <c r="A176" s="8">
        <v>1161</v>
      </c>
      <c r="B176" s="8" t="s">
        <v>304</v>
      </c>
      <c r="C176" s="8" t="s">
        <v>305</v>
      </c>
      <c r="D176" s="8" t="s">
        <v>23</v>
      </c>
      <c r="E176" s="8" t="b">
        <v>0</v>
      </c>
      <c r="F176" s="8" t="s">
        <v>25</v>
      </c>
      <c r="H176" s="9">
        <v>46102</v>
      </c>
    </row>
    <row r="177" spans="1:8" x14ac:dyDescent="0.2">
      <c r="A177" s="8">
        <v>890</v>
      </c>
      <c r="B177" s="8" t="s">
        <v>306</v>
      </c>
      <c r="C177" s="8" t="s">
        <v>307</v>
      </c>
      <c r="D177" s="8" t="s">
        <v>54</v>
      </c>
      <c r="E177" s="8" t="b">
        <v>0</v>
      </c>
      <c r="F177" s="8" t="s">
        <v>27</v>
      </c>
      <c r="G177" s="8">
        <v>23</v>
      </c>
      <c r="H177" s="9">
        <v>46102</v>
      </c>
    </row>
    <row r="178" spans="1:8" x14ac:dyDescent="0.2">
      <c r="A178" s="8">
        <v>45</v>
      </c>
      <c r="B178" s="8" t="s">
        <v>309</v>
      </c>
      <c r="C178" s="8" t="s">
        <v>310</v>
      </c>
      <c r="D178" s="8" t="s">
        <v>23</v>
      </c>
      <c r="E178" s="8" t="b">
        <v>0</v>
      </c>
      <c r="F178" s="8" t="s">
        <v>27</v>
      </c>
      <c r="G178" s="8">
        <v>20</v>
      </c>
      <c r="H178" s="9">
        <v>46102</v>
      </c>
    </row>
    <row r="179" spans="1:8" x14ac:dyDescent="0.2">
      <c r="A179" s="8">
        <v>1160</v>
      </c>
      <c r="B179" s="8" t="s">
        <v>311</v>
      </c>
      <c r="C179" s="8" t="s">
        <v>312</v>
      </c>
      <c r="D179" s="8" t="s">
        <v>23</v>
      </c>
      <c r="E179" s="8" t="b">
        <v>0</v>
      </c>
      <c r="F179" s="8" t="s">
        <v>25</v>
      </c>
      <c r="H179" s="9">
        <v>46102</v>
      </c>
    </row>
    <row r="180" spans="1:8" x14ac:dyDescent="0.2">
      <c r="A180" s="8">
        <v>945</v>
      </c>
      <c r="B180" s="8" t="s">
        <v>313</v>
      </c>
      <c r="C180" s="8" t="s">
        <v>49</v>
      </c>
      <c r="D180" s="8" t="s">
        <v>23</v>
      </c>
      <c r="E180" s="8" t="b">
        <v>0</v>
      </c>
      <c r="F180" s="8" t="s">
        <v>25</v>
      </c>
      <c r="H180" s="9">
        <v>46102</v>
      </c>
    </row>
    <row r="181" spans="1:8" x14ac:dyDescent="0.2">
      <c r="A181" s="8">
        <v>813</v>
      </c>
      <c r="B181" s="8" t="s">
        <v>313</v>
      </c>
      <c r="C181" s="8" t="s">
        <v>289</v>
      </c>
      <c r="D181" s="8" t="s">
        <v>23</v>
      </c>
      <c r="E181" s="8" t="b">
        <v>1</v>
      </c>
      <c r="F181" s="8" t="s">
        <v>27</v>
      </c>
      <c r="G181" s="8">
        <v>7</v>
      </c>
      <c r="H181" s="9">
        <v>46102</v>
      </c>
    </row>
    <row r="182" spans="1:8" x14ac:dyDescent="0.2">
      <c r="A182" s="8">
        <v>812</v>
      </c>
      <c r="B182" s="8" t="s">
        <v>313</v>
      </c>
      <c r="C182" s="8" t="s">
        <v>170</v>
      </c>
      <c r="D182" s="8" t="s">
        <v>23</v>
      </c>
      <c r="E182" s="8" t="b">
        <v>0</v>
      </c>
      <c r="F182" s="8" t="s">
        <v>27</v>
      </c>
      <c r="G182" s="8">
        <v>9</v>
      </c>
      <c r="H182" s="9">
        <v>46102</v>
      </c>
    </row>
    <row r="183" spans="1:8" x14ac:dyDescent="0.2">
      <c r="A183" s="8">
        <v>1129</v>
      </c>
      <c r="B183" s="8" t="s">
        <v>314</v>
      </c>
      <c r="C183" s="8" t="s">
        <v>315</v>
      </c>
      <c r="D183" s="8" t="s">
        <v>23</v>
      </c>
      <c r="E183" s="8" t="b">
        <v>0</v>
      </c>
      <c r="F183" s="8" t="s">
        <v>27</v>
      </c>
      <c r="G183" s="8">
        <v>12</v>
      </c>
      <c r="H183" s="9">
        <v>46102</v>
      </c>
    </row>
    <row r="184" spans="1:8" x14ac:dyDescent="0.2">
      <c r="A184" s="8">
        <v>860</v>
      </c>
      <c r="B184" s="8" t="s">
        <v>321</v>
      </c>
      <c r="C184" s="8" t="s">
        <v>215</v>
      </c>
      <c r="D184" s="8" t="s">
        <v>23</v>
      </c>
      <c r="E184" s="8" t="b">
        <v>1</v>
      </c>
      <c r="F184" s="8" t="s">
        <v>25</v>
      </c>
      <c r="H184" s="9">
        <v>46102</v>
      </c>
    </row>
    <row r="185" spans="1:8" x14ac:dyDescent="0.2">
      <c r="A185" s="8">
        <v>756</v>
      </c>
      <c r="B185" s="8" t="s">
        <v>321</v>
      </c>
      <c r="C185" s="8" t="s">
        <v>322</v>
      </c>
      <c r="D185" s="8" t="s">
        <v>23</v>
      </c>
      <c r="E185" s="8" t="b">
        <v>0</v>
      </c>
      <c r="F185" s="8" t="s">
        <v>25</v>
      </c>
      <c r="H185" s="9">
        <v>46102</v>
      </c>
    </row>
    <row r="186" spans="1:8" x14ac:dyDescent="0.2">
      <c r="A186" s="8">
        <v>407</v>
      </c>
      <c r="B186" s="8" t="s">
        <v>321</v>
      </c>
      <c r="C186" s="8" t="s">
        <v>323</v>
      </c>
      <c r="D186" s="8" t="s">
        <v>23</v>
      </c>
      <c r="E186" s="8" t="b">
        <v>0</v>
      </c>
      <c r="F186" s="8" t="s">
        <v>27</v>
      </c>
      <c r="G186" s="8">
        <v>5</v>
      </c>
      <c r="H186" s="9">
        <v>46102</v>
      </c>
    </row>
    <row r="187" spans="1:8" x14ac:dyDescent="0.2">
      <c r="A187" s="8">
        <v>1312</v>
      </c>
      <c r="B187" s="8" t="s">
        <v>329</v>
      </c>
      <c r="C187" s="8" t="s">
        <v>287</v>
      </c>
      <c r="D187" s="8" t="s">
        <v>23</v>
      </c>
      <c r="E187" s="8" t="b">
        <v>1</v>
      </c>
      <c r="F187" s="8" t="s">
        <v>27</v>
      </c>
      <c r="G187" s="8">
        <v>35</v>
      </c>
      <c r="H187" s="9">
        <v>46102</v>
      </c>
    </row>
    <row r="188" spans="1:8" x14ac:dyDescent="0.2">
      <c r="A188" s="8">
        <v>935</v>
      </c>
      <c r="B188" s="8" t="s">
        <v>330</v>
      </c>
      <c r="C188" s="8" t="s">
        <v>245</v>
      </c>
      <c r="D188" s="8" t="s">
        <v>23</v>
      </c>
      <c r="E188" s="8" t="b">
        <v>1</v>
      </c>
      <c r="F188" s="8" t="s">
        <v>25</v>
      </c>
      <c r="H188" s="9">
        <v>46102</v>
      </c>
    </row>
    <row r="189" spans="1:8" x14ac:dyDescent="0.2">
      <c r="A189" s="8">
        <v>999</v>
      </c>
      <c r="B189" s="8" t="s">
        <v>330</v>
      </c>
      <c r="C189" s="8" t="s">
        <v>331</v>
      </c>
      <c r="D189" s="8" t="s">
        <v>23</v>
      </c>
      <c r="E189" s="8" t="b">
        <v>1</v>
      </c>
      <c r="F189" s="8" t="s">
        <v>25</v>
      </c>
      <c r="H189" s="9">
        <v>46102</v>
      </c>
    </row>
    <row r="190" spans="1:8" x14ac:dyDescent="0.2">
      <c r="A190" s="8">
        <v>998</v>
      </c>
      <c r="B190" s="8" t="s">
        <v>330</v>
      </c>
      <c r="C190" s="8" t="s">
        <v>332</v>
      </c>
      <c r="D190" s="8" t="s">
        <v>23</v>
      </c>
      <c r="E190" s="8" t="b">
        <v>1</v>
      </c>
      <c r="F190" s="8" t="s">
        <v>27</v>
      </c>
      <c r="G190" s="8">
        <v>5</v>
      </c>
      <c r="H190" s="9">
        <v>46102</v>
      </c>
    </row>
    <row r="191" spans="1:8" x14ac:dyDescent="0.2">
      <c r="A191" s="8">
        <v>616</v>
      </c>
      <c r="B191" s="8" t="s">
        <v>330</v>
      </c>
      <c r="C191" s="8" t="s">
        <v>41</v>
      </c>
      <c r="D191" s="8" t="s">
        <v>23</v>
      </c>
      <c r="E191" s="8" t="b">
        <v>0</v>
      </c>
      <c r="F191" s="8" t="s">
        <v>27</v>
      </c>
      <c r="G191" s="8">
        <v>7</v>
      </c>
      <c r="H191" s="9">
        <v>46102</v>
      </c>
    </row>
    <row r="192" spans="1:8" x14ac:dyDescent="0.2">
      <c r="A192" s="8">
        <v>558</v>
      </c>
      <c r="B192" s="8" t="s">
        <v>333</v>
      </c>
      <c r="C192" s="8" t="s">
        <v>334</v>
      </c>
      <c r="D192" s="8" t="s">
        <v>23</v>
      </c>
      <c r="E192" s="8" t="b">
        <v>0</v>
      </c>
      <c r="F192" s="8" t="s">
        <v>27</v>
      </c>
      <c r="G192" s="8">
        <v>15</v>
      </c>
      <c r="H192" s="9">
        <v>46102</v>
      </c>
    </row>
    <row r="193" spans="1:8" x14ac:dyDescent="0.2">
      <c r="A193" s="8">
        <v>991</v>
      </c>
      <c r="B193" s="8" t="s">
        <v>335</v>
      </c>
      <c r="C193" s="8" t="s">
        <v>184</v>
      </c>
      <c r="D193" s="8" t="s">
        <v>23</v>
      </c>
      <c r="E193" s="8" t="b">
        <v>1</v>
      </c>
      <c r="F193" s="8" t="s">
        <v>35</v>
      </c>
      <c r="H193" s="9">
        <v>46102</v>
      </c>
    </row>
    <row r="194" spans="1:8" x14ac:dyDescent="0.2">
      <c r="A194" s="8">
        <v>359</v>
      </c>
      <c r="B194" s="8" t="s">
        <v>336</v>
      </c>
      <c r="C194" s="8" t="s">
        <v>26</v>
      </c>
      <c r="D194" s="8" t="s">
        <v>23</v>
      </c>
      <c r="E194" s="8" t="b">
        <v>0</v>
      </c>
      <c r="F194" s="8" t="s">
        <v>27</v>
      </c>
      <c r="G194" s="8">
        <v>24</v>
      </c>
      <c r="H194" s="9">
        <v>46102</v>
      </c>
    </row>
    <row r="195" spans="1:8" x14ac:dyDescent="0.2">
      <c r="A195" s="8">
        <v>1310</v>
      </c>
      <c r="B195" s="8" t="s">
        <v>337</v>
      </c>
      <c r="C195" s="8" t="s">
        <v>311</v>
      </c>
      <c r="D195" s="8" t="s">
        <v>23</v>
      </c>
      <c r="E195" s="8" t="b">
        <v>0</v>
      </c>
      <c r="F195" s="8" t="s">
        <v>25</v>
      </c>
      <c r="H195" s="9">
        <v>46102</v>
      </c>
    </row>
    <row r="196" spans="1:8" x14ac:dyDescent="0.2">
      <c r="A196" s="8">
        <v>1200</v>
      </c>
      <c r="B196" s="8" t="s">
        <v>338</v>
      </c>
      <c r="C196" s="8" t="s">
        <v>339</v>
      </c>
      <c r="D196" s="8" t="s">
        <v>23</v>
      </c>
      <c r="E196" s="8" t="b">
        <v>0</v>
      </c>
      <c r="F196" s="8" t="s">
        <v>27</v>
      </c>
      <c r="G196" s="8">
        <v>6</v>
      </c>
      <c r="H196" s="9">
        <v>46102</v>
      </c>
    </row>
    <row r="197" spans="1:8" x14ac:dyDescent="0.2">
      <c r="A197" s="8">
        <v>1411</v>
      </c>
      <c r="B197" s="8" t="s">
        <v>338</v>
      </c>
      <c r="C197" s="8" t="s">
        <v>72</v>
      </c>
      <c r="D197" s="8" t="s">
        <v>23</v>
      </c>
      <c r="E197" s="8" t="b">
        <v>1</v>
      </c>
      <c r="F197" s="8" t="s">
        <v>27</v>
      </c>
      <c r="G197" s="8">
        <v>3</v>
      </c>
      <c r="H197" s="9">
        <v>46102</v>
      </c>
    </row>
    <row r="198" spans="1:8" x14ac:dyDescent="0.2">
      <c r="A198" s="8">
        <v>1412</v>
      </c>
      <c r="B198" s="8" t="s">
        <v>338</v>
      </c>
      <c r="C198" s="8" t="s">
        <v>340</v>
      </c>
      <c r="D198" s="8" t="s">
        <v>23</v>
      </c>
      <c r="E198" s="8" t="b">
        <v>1</v>
      </c>
      <c r="F198" s="8" t="s">
        <v>188</v>
      </c>
      <c r="H198" s="9">
        <v>46102</v>
      </c>
    </row>
    <row r="199" spans="1:8" x14ac:dyDescent="0.2">
      <c r="A199" s="8">
        <v>1413</v>
      </c>
      <c r="B199" s="8" t="s">
        <v>338</v>
      </c>
      <c r="C199" s="8" t="s">
        <v>214</v>
      </c>
      <c r="D199" s="8" t="s">
        <v>23</v>
      </c>
      <c r="E199" s="8" t="b">
        <v>0</v>
      </c>
      <c r="F199" s="8" t="s">
        <v>188</v>
      </c>
      <c r="H199" s="9">
        <v>46102</v>
      </c>
    </row>
    <row r="200" spans="1:8" x14ac:dyDescent="0.2">
      <c r="A200" s="8">
        <v>1376</v>
      </c>
      <c r="B200" s="8" t="s">
        <v>192</v>
      </c>
      <c r="C200" s="8" t="s">
        <v>127</v>
      </c>
      <c r="D200" s="8" t="s">
        <v>23</v>
      </c>
      <c r="E200" s="8" t="b">
        <v>1</v>
      </c>
      <c r="F200" s="8" t="s">
        <v>25</v>
      </c>
      <c r="H200" s="9">
        <v>46102</v>
      </c>
    </row>
    <row r="201" spans="1:8" x14ac:dyDescent="0.2">
      <c r="A201" s="8">
        <v>1140</v>
      </c>
      <c r="B201" s="8" t="s">
        <v>341</v>
      </c>
      <c r="C201" s="8" t="s">
        <v>243</v>
      </c>
      <c r="D201" s="8" t="s">
        <v>23</v>
      </c>
      <c r="E201" s="8" t="b">
        <v>0</v>
      </c>
      <c r="F201" s="8" t="s">
        <v>25</v>
      </c>
      <c r="H201" s="9">
        <v>46102</v>
      </c>
    </row>
    <row r="202" spans="1:8" x14ac:dyDescent="0.2">
      <c r="A202" s="8">
        <v>989</v>
      </c>
      <c r="B202" s="8" t="s">
        <v>342</v>
      </c>
      <c r="C202" s="8" t="s">
        <v>343</v>
      </c>
      <c r="D202" s="8" t="s">
        <v>23</v>
      </c>
      <c r="E202" s="8" t="b">
        <v>0</v>
      </c>
      <c r="F202" s="8" t="s">
        <v>27</v>
      </c>
      <c r="G202" s="8">
        <v>3</v>
      </c>
      <c r="H202" s="9">
        <v>46102</v>
      </c>
    </row>
    <row r="203" spans="1:8" x14ac:dyDescent="0.2">
      <c r="A203" s="8">
        <v>1417</v>
      </c>
      <c r="B203" s="8" t="s">
        <v>344</v>
      </c>
      <c r="C203" s="8" t="s">
        <v>345</v>
      </c>
      <c r="D203" s="8" t="s">
        <v>23</v>
      </c>
      <c r="E203" s="8" t="b">
        <v>1</v>
      </c>
      <c r="F203" s="8" t="s">
        <v>27</v>
      </c>
      <c r="G203" s="8">
        <v>17</v>
      </c>
      <c r="H203" s="9">
        <v>46102</v>
      </c>
    </row>
    <row r="204" spans="1:8" x14ac:dyDescent="0.2">
      <c r="A204" s="8">
        <v>52</v>
      </c>
      <c r="B204" s="8" t="s">
        <v>346</v>
      </c>
      <c r="C204" s="8" t="s">
        <v>192</v>
      </c>
      <c r="D204" s="8" t="s">
        <v>23</v>
      </c>
      <c r="E204" s="8" t="b">
        <v>0</v>
      </c>
      <c r="F204" s="8" t="s">
        <v>25</v>
      </c>
      <c r="H204" s="9">
        <v>46102</v>
      </c>
    </row>
    <row r="205" spans="1:8" x14ac:dyDescent="0.2">
      <c r="A205" s="8">
        <v>62</v>
      </c>
      <c r="B205" s="8" t="s">
        <v>344</v>
      </c>
      <c r="C205" s="8" t="s">
        <v>234</v>
      </c>
      <c r="D205" s="8" t="s">
        <v>23</v>
      </c>
      <c r="E205" s="8" t="b">
        <v>0</v>
      </c>
      <c r="F205" s="8" t="s">
        <v>27</v>
      </c>
      <c r="G205" s="8">
        <v>4</v>
      </c>
      <c r="H205" s="9">
        <v>46102</v>
      </c>
    </row>
    <row r="206" spans="1:8" x14ac:dyDescent="0.2">
      <c r="A206" s="8">
        <v>930</v>
      </c>
      <c r="B206" s="8" t="s">
        <v>347</v>
      </c>
      <c r="C206" s="8" t="s">
        <v>348</v>
      </c>
      <c r="D206" s="8" t="s">
        <v>23</v>
      </c>
      <c r="E206" s="8" t="b">
        <v>1</v>
      </c>
      <c r="F206" s="8" t="s">
        <v>27</v>
      </c>
      <c r="G206" s="8">
        <v>6</v>
      </c>
      <c r="H206" s="9">
        <v>46102</v>
      </c>
    </row>
    <row r="207" spans="1:8" x14ac:dyDescent="0.2">
      <c r="A207" s="8">
        <v>744</v>
      </c>
      <c r="B207" s="8" t="s">
        <v>350</v>
      </c>
      <c r="C207" s="8" t="s">
        <v>351</v>
      </c>
      <c r="D207" s="8" t="s">
        <v>23</v>
      </c>
      <c r="E207" s="8" t="b">
        <v>0</v>
      </c>
      <c r="F207" s="8" t="s">
        <v>27</v>
      </c>
      <c r="G207" s="8">
        <v>28</v>
      </c>
      <c r="H207" s="9">
        <v>46102</v>
      </c>
    </row>
    <row r="208" spans="1:8" x14ac:dyDescent="0.2">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03515625" defaultRowHeight="15" x14ac:dyDescent="0.2"/>
  <cols>
    <col min="1" max="7" width="9.03515625" style="10"/>
    <col min="8" max="8" width="10.24609375" style="10" bestFit="1" customWidth="1"/>
    <col min="9" max="16384" width="9.03515625" style="10"/>
  </cols>
  <sheetData>
    <row r="1" spans="1:8" x14ac:dyDescent="0.2">
      <c r="A1" s="10" t="s">
        <v>13</v>
      </c>
      <c r="B1" s="10" t="s">
        <v>14</v>
      </c>
      <c r="C1" s="10" t="s">
        <v>15</v>
      </c>
      <c r="D1" s="10" t="s">
        <v>16</v>
      </c>
      <c r="E1" s="10" t="s">
        <v>17</v>
      </c>
      <c r="F1" s="10" t="s">
        <v>18</v>
      </c>
      <c r="G1" s="10" t="s">
        <v>19</v>
      </c>
      <c r="H1" s="10" t="s">
        <v>20</v>
      </c>
    </row>
    <row r="2" spans="1:8" x14ac:dyDescent="0.2">
      <c r="A2" s="10">
        <v>1327</v>
      </c>
      <c r="B2" s="10" t="s">
        <v>21</v>
      </c>
      <c r="C2" s="10" t="s">
        <v>22</v>
      </c>
      <c r="D2" s="10" t="s">
        <v>23</v>
      </c>
      <c r="E2" s="10" t="b">
        <v>0</v>
      </c>
      <c r="F2" s="10" t="s">
        <v>25</v>
      </c>
      <c r="H2" s="11">
        <v>46119</v>
      </c>
    </row>
    <row r="3" spans="1:8" x14ac:dyDescent="0.2">
      <c r="A3" s="10">
        <v>1237</v>
      </c>
      <c r="B3" s="10" t="s">
        <v>21</v>
      </c>
      <c r="C3" s="10" t="s">
        <v>26</v>
      </c>
      <c r="D3" s="10" t="s">
        <v>23</v>
      </c>
      <c r="E3" s="10" t="b">
        <v>0</v>
      </c>
      <c r="F3" s="10" t="s">
        <v>27</v>
      </c>
      <c r="G3" s="10">
        <v>1</v>
      </c>
      <c r="H3" s="11">
        <v>46119</v>
      </c>
    </row>
    <row r="4" spans="1:8" x14ac:dyDescent="0.2">
      <c r="A4" s="10">
        <v>819</v>
      </c>
      <c r="B4" s="10" t="s">
        <v>28</v>
      </c>
      <c r="C4" s="10" t="s">
        <v>29</v>
      </c>
      <c r="D4" s="10" t="s">
        <v>23</v>
      </c>
      <c r="E4" s="10" t="b">
        <v>1</v>
      </c>
      <c r="F4" s="10" t="s">
        <v>27</v>
      </c>
      <c r="G4" s="10">
        <v>23</v>
      </c>
      <c r="H4" s="11">
        <v>46119</v>
      </c>
    </row>
    <row r="5" spans="1:8" x14ac:dyDescent="0.2">
      <c r="A5" s="10">
        <v>2</v>
      </c>
      <c r="B5" s="10" t="s">
        <v>31</v>
      </c>
      <c r="C5" s="10" t="s">
        <v>32</v>
      </c>
      <c r="D5" s="10" t="s">
        <v>23</v>
      </c>
      <c r="E5" s="10" t="b">
        <v>0</v>
      </c>
      <c r="F5" s="10" t="s">
        <v>27</v>
      </c>
      <c r="G5" s="10">
        <v>21</v>
      </c>
      <c r="H5" s="11">
        <v>46119</v>
      </c>
    </row>
    <row r="6" spans="1:8" x14ac:dyDescent="0.2">
      <c r="A6" s="10">
        <v>1370</v>
      </c>
      <c r="B6" s="10" t="s">
        <v>33</v>
      </c>
      <c r="C6" s="10" t="s">
        <v>34</v>
      </c>
      <c r="D6" s="10" t="s">
        <v>23</v>
      </c>
      <c r="E6" s="10" t="b">
        <v>0</v>
      </c>
      <c r="F6" s="10" t="s">
        <v>27</v>
      </c>
      <c r="G6" s="10">
        <v>4</v>
      </c>
      <c r="H6" s="11">
        <v>46119</v>
      </c>
    </row>
    <row r="7" spans="1:8" x14ac:dyDescent="0.2">
      <c r="A7" s="10">
        <v>1415</v>
      </c>
      <c r="B7" s="10" t="s">
        <v>33</v>
      </c>
      <c r="C7" s="10" t="s">
        <v>22</v>
      </c>
      <c r="D7" s="10" t="s">
        <v>23</v>
      </c>
      <c r="E7" s="10" t="b">
        <v>0</v>
      </c>
      <c r="F7" s="10" t="s">
        <v>35</v>
      </c>
      <c r="H7" s="11">
        <v>46119</v>
      </c>
    </row>
    <row r="8" spans="1:8" x14ac:dyDescent="0.2">
      <c r="A8" s="10">
        <v>1286</v>
      </c>
      <c r="B8" s="10" t="s">
        <v>36</v>
      </c>
      <c r="C8" s="10" t="s">
        <v>34</v>
      </c>
      <c r="D8" s="10" t="s">
        <v>23</v>
      </c>
      <c r="E8" s="10" t="b">
        <v>0</v>
      </c>
      <c r="F8" s="10" t="s">
        <v>27</v>
      </c>
      <c r="G8" s="10">
        <v>13</v>
      </c>
      <c r="H8" s="11">
        <v>46119</v>
      </c>
    </row>
    <row r="9" spans="1:8" x14ac:dyDescent="0.2">
      <c r="A9" s="10">
        <v>1381</v>
      </c>
      <c r="B9" s="10" t="s">
        <v>36</v>
      </c>
      <c r="C9" s="10" t="s">
        <v>37</v>
      </c>
      <c r="D9" s="10" t="s">
        <v>23</v>
      </c>
      <c r="E9" s="10" t="b">
        <v>0</v>
      </c>
      <c r="F9" s="10" t="s">
        <v>25</v>
      </c>
      <c r="H9" s="11">
        <v>46119</v>
      </c>
    </row>
    <row r="10" spans="1:8" x14ac:dyDescent="0.2">
      <c r="A10" s="10">
        <v>1112</v>
      </c>
      <c r="B10" s="10" t="s">
        <v>38</v>
      </c>
      <c r="C10" s="10" t="s">
        <v>39</v>
      </c>
      <c r="D10" s="10" t="s">
        <v>23</v>
      </c>
      <c r="E10" s="10" t="b">
        <v>0</v>
      </c>
      <c r="F10" s="10" t="s">
        <v>27</v>
      </c>
      <c r="G10" s="10">
        <v>16</v>
      </c>
      <c r="H10" s="11">
        <v>46119</v>
      </c>
    </row>
    <row r="11" spans="1:8" x14ac:dyDescent="0.2">
      <c r="A11" s="10">
        <v>1135</v>
      </c>
      <c r="B11" s="10" t="s">
        <v>40</v>
      </c>
      <c r="C11" s="10" t="s">
        <v>41</v>
      </c>
      <c r="D11" s="10" t="s">
        <v>23</v>
      </c>
      <c r="E11" s="10" t="b">
        <v>0</v>
      </c>
      <c r="F11" s="10" t="s">
        <v>27</v>
      </c>
      <c r="G11" s="10">
        <v>1</v>
      </c>
      <c r="H11" s="11">
        <v>46119</v>
      </c>
    </row>
    <row r="12" spans="1:8" x14ac:dyDescent="0.2">
      <c r="A12" s="10">
        <v>982</v>
      </c>
      <c r="B12" s="10" t="s">
        <v>42</v>
      </c>
      <c r="C12" s="10" t="s">
        <v>32</v>
      </c>
      <c r="D12" s="10" t="s">
        <v>23</v>
      </c>
      <c r="E12" s="10" t="b">
        <v>0</v>
      </c>
      <c r="F12" s="10" t="s">
        <v>27</v>
      </c>
      <c r="G12" s="10">
        <v>22</v>
      </c>
      <c r="H12" s="11">
        <v>46119</v>
      </c>
    </row>
    <row r="13" spans="1:8" x14ac:dyDescent="0.2">
      <c r="A13" s="10">
        <v>1328</v>
      </c>
      <c r="B13" s="10" t="s">
        <v>43</v>
      </c>
      <c r="C13" s="10" t="s">
        <v>44</v>
      </c>
      <c r="D13" s="10" t="s">
        <v>23</v>
      </c>
      <c r="E13" s="10" t="b">
        <v>0</v>
      </c>
      <c r="F13" s="10" t="s">
        <v>27</v>
      </c>
      <c r="G13" s="10">
        <v>4</v>
      </c>
      <c r="H13" s="11">
        <v>46119</v>
      </c>
    </row>
    <row r="14" spans="1:8" x14ac:dyDescent="0.2">
      <c r="A14" s="10">
        <v>369</v>
      </c>
      <c r="B14" s="10" t="s">
        <v>45</v>
      </c>
      <c r="C14" s="10" t="s">
        <v>46</v>
      </c>
      <c r="D14" s="10" t="s">
        <v>23</v>
      </c>
      <c r="E14" s="10" t="b">
        <v>0</v>
      </c>
      <c r="F14" s="10" t="s">
        <v>27</v>
      </c>
      <c r="G14" s="10">
        <v>8</v>
      </c>
      <c r="H14" s="11">
        <v>46119</v>
      </c>
    </row>
    <row r="15" spans="1:8" x14ac:dyDescent="0.2">
      <c r="A15" s="10">
        <v>7</v>
      </c>
      <c r="B15" s="10" t="s">
        <v>45</v>
      </c>
      <c r="C15" s="10" t="s">
        <v>47</v>
      </c>
      <c r="D15" s="10" t="s">
        <v>48</v>
      </c>
      <c r="E15" s="10" t="b">
        <v>0</v>
      </c>
      <c r="F15" s="10" t="s">
        <v>27</v>
      </c>
      <c r="G15" s="10">
        <v>32</v>
      </c>
      <c r="H15" s="11">
        <v>46119</v>
      </c>
    </row>
    <row r="16" spans="1:8" x14ac:dyDescent="0.2">
      <c r="A16" s="10">
        <v>473</v>
      </c>
      <c r="B16" s="10" t="s">
        <v>45</v>
      </c>
      <c r="C16" s="10" t="s">
        <v>49</v>
      </c>
      <c r="D16" s="10" t="s">
        <v>48</v>
      </c>
      <c r="E16" s="10" t="b">
        <v>0</v>
      </c>
      <c r="F16" s="10" t="s">
        <v>27</v>
      </c>
      <c r="G16" s="10">
        <v>33</v>
      </c>
      <c r="H16" s="11">
        <v>46119</v>
      </c>
    </row>
    <row r="17" spans="1:8" x14ac:dyDescent="0.2">
      <c r="A17" s="10">
        <v>1384</v>
      </c>
      <c r="B17" s="10" t="s">
        <v>50</v>
      </c>
      <c r="C17" s="10" t="s">
        <v>51</v>
      </c>
      <c r="D17" s="10" t="s">
        <v>23</v>
      </c>
      <c r="E17" s="10" t="b">
        <v>0</v>
      </c>
      <c r="F17" s="10" t="s">
        <v>27</v>
      </c>
      <c r="G17" s="10">
        <v>30</v>
      </c>
      <c r="H17" s="11">
        <v>46119</v>
      </c>
    </row>
    <row r="18" spans="1:8" x14ac:dyDescent="0.2">
      <c r="A18" s="10">
        <v>1348</v>
      </c>
      <c r="B18" s="10" t="s">
        <v>52</v>
      </c>
      <c r="C18" s="10" t="s">
        <v>53</v>
      </c>
      <c r="D18" s="10" t="s">
        <v>54</v>
      </c>
      <c r="E18" s="10" t="b">
        <v>1</v>
      </c>
      <c r="F18" s="10" t="s">
        <v>25</v>
      </c>
      <c r="H18" s="11">
        <v>46119</v>
      </c>
    </row>
    <row r="19" spans="1:8" x14ac:dyDescent="0.2">
      <c r="A19" s="10">
        <v>1275</v>
      </c>
      <c r="B19" s="10" t="s">
        <v>52</v>
      </c>
      <c r="C19" s="10" t="s">
        <v>55</v>
      </c>
      <c r="D19" s="10" t="s">
        <v>23</v>
      </c>
      <c r="E19" s="10" t="b">
        <v>1</v>
      </c>
      <c r="F19" s="10" t="s">
        <v>35</v>
      </c>
      <c r="H19" s="11">
        <v>46119</v>
      </c>
    </row>
    <row r="20" spans="1:8" x14ac:dyDescent="0.2">
      <c r="A20" s="10">
        <v>68</v>
      </c>
      <c r="B20" s="10" t="s">
        <v>56</v>
      </c>
      <c r="C20" s="10" t="s">
        <v>57</v>
      </c>
      <c r="D20" s="10" t="s">
        <v>48</v>
      </c>
      <c r="E20" s="10" t="b">
        <v>0</v>
      </c>
      <c r="F20" s="10" t="s">
        <v>27</v>
      </c>
      <c r="G20" s="10">
        <v>35</v>
      </c>
      <c r="H20" s="11">
        <v>46119</v>
      </c>
    </row>
    <row r="21" spans="1:8" x14ac:dyDescent="0.2">
      <c r="A21" s="10">
        <v>1035</v>
      </c>
      <c r="B21" s="10" t="s">
        <v>58</v>
      </c>
      <c r="C21" s="10" t="s">
        <v>59</v>
      </c>
      <c r="D21" s="10" t="s">
        <v>23</v>
      </c>
      <c r="E21" s="10" t="b">
        <v>0</v>
      </c>
      <c r="F21" s="10" t="s">
        <v>27</v>
      </c>
      <c r="G21" s="10">
        <v>6</v>
      </c>
      <c r="H21" s="11">
        <v>46119</v>
      </c>
    </row>
    <row r="22" spans="1:8" x14ac:dyDescent="0.2">
      <c r="A22" s="10">
        <v>1416</v>
      </c>
      <c r="B22" s="10" t="s">
        <v>60</v>
      </c>
      <c r="C22" s="10" t="s">
        <v>61</v>
      </c>
      <c r="D22" s="10" t="s">
        <v>23</v>
      </c>
      <c r="E22" s="10" t="b">
        <v>0</v>
      </c>
      <c r="F22" s="10" t="s">
        <v>25</v>
      </c>
      <c r="H22" s="11">
        <v>46119</v>
      </c>
    </row>
    <row r="23" spans="1:8" x14ac:dyDescent="0.2">
      <c r="A23" s="10">
        <v>1326</v>
      </c>
      <c r="B23" s="10" t="s">
        <v>62</v>
      </c>
      <c r="C23" s="10" t="s">
        <v>63</v>
      </c>
      <c r="D23" s="10" t="s">
        <v>23</v>
      </c>
      <c r="E23" s="10" t="b">
        <v>1</v>
      </c>
      <c r="F23" s="10" t="s">
        <v>25</v>
      </c>
      <c r="H23" s="11">
        <v>46119</v>
      </c>
    </row>
    <row r="24" spans="1:8" x14ac:dyDescent="0.2">
      <c r="A24" s="10">
        <v>477</v>
      </c>
      <c r="B24" s="10" t="s">
        <v>64</v>
      </c>
      <c r="C24" s="10" t="s">
        <v>65</v>
      </c>
      <c r="D24" s="10" t="s">
        <v>23</v>
      </c>
      <c r="E24" s="10" t="b">
        <v>1</v>
      </c>
      <c r="F24" s="10" t="s">
        <v>27</v>
      </c>
      <c r="G24" s="10">
        <v>34</v>
      </c>
      <c r="H24" s="11">
        <v>46119</v>
      </c>
    </row>
    <row r="25" spans="1:8" x14ac:dyDescent="0.2">
      <c r="A25" s="10">
        <v>10</v>
      </c>
      <c r="B25" s="10" t="s">
        <v>64</v>
      </c>
      <c r="C25" s="10" t="s">
        <v>66</v>
      </c>
      <c r="D25" s="10" t="s">
        <v>48</v>
      </c>
      <c r="E25" s="10" t="b">
        <v>0</v>
      </c>
      <c r="F25" s="10" t="s">
        <v>27</v>
      </c>
      <c r="G25" s="10">
        <v>35</v>
      </c>
      <c r="H25" s="11">
        <v>46119</v>
      </c>
    </row>
    <row r="26" spans="1:8" x14ac:dyDescent="0.2">
      <c r="A26" s="10">
        <v>1414</v>
      </c>
      <c r="B26" s="10" t="s">
        <v>67</v>
      </c>
      <c r="C26" s="10" t="s">
        <v>36</v>
      </c>
      <c r="D26" s="10" t="s">
        <v>23</v>
      </c>
      <c r="E26" s="10" t="b">
        <v>0</v>
      </c>
      <c r="F26" s="10" t="s">
        <v>27</v>
      </c>
      <c r="G26" s="10">
        <v>13</v>
      </c>
      <c r="H26" s="11">
        <v>46119</v>
      </c>
    </row>
    <row r="27" spans="1:8" x14ac:dyDescent="0.2">
      <c r="A27" s="10">
        <v>1029</v>
      </c>
      <c r="B27" s="10" t="s">
        <v>68</v>
      </c>
      <c r="C27" s="10" t="s">
        <v>69</v>
      </c>
      <c r="D27" s="10" t="s">
        <v>23</v>
      </c>
      <c r="E27" s="10" t="b">
        <v>0</v>
      </c>
      <c r="F27" s="10" t="s">
        <v>27</v>
      </c>
      <c r="G27" s="10">
        <v>28</v>
      </c>
      <c r="H27" s="11">
        <v>46119</v>
      </c>
    </row>
    <row r="28" spans="1:8" x14ac:dyDescent="0.2">
      <c r="A28" s="10">
        <v>13</v>
      </c>
      <c r="B28" s="10" t="s">
        <v>70</v>
      </c>
      <c r="C28" s="10" t="s">
        <v>51</v>
      </c>
      <c r="D28" s="10" t="s">
        <v>23</v>
      </c>
      <c r="E28" s="10" t="b">
        <v>0</v>
      </c>
      <c r="F28" s="10" t="s">
        <v>27</v>
      </c>
      <c r="G28" s="10">
        <v>28</v>
      </c>
      <c r="H28" s="11">
        <v>46119</v>
      </c>
    </row>
    <row r="29" spans="1:8" x14ac:dyDescent="0.2">
      <c r="A29" s="10">
        <v>1255</v>
      </c>
      <c r="B29" s="10" t="s">
        <v>71</v>
      </c>
      <c r="C29" s="10" t="s">
        <v>72</v>
      </c>
      <c r="D29" s="10" t="s">
        <v>23</v>
      </c>
      <c r="E29" s="10" t="b">
        <v>1</v>
      </c>
      <c r="F29" s="10" t="s">
        <v>27</v>
      </c>
      <c r="G29" s="10">
        <v>13</v>
      </c>
      <c r="H29" s="11">
        <v>46119</v>
      </c>
    </row>
    <row r="30" spans="1:8" x14ac:dyDescent="0.2">
      <c r="A30" s="10">
        <v>1405</v>
      </c>
      <c r="B30" s="10" t="s">
        <v>73</v>
      </c>
      <c r="C30" s="10" t="s">
        <v>74</v>
      </c>
      <c r="D30" s="10" t="s">
        <v>23</v>
      </c>
      <c r="E30" s="10" t="b">
        <v>1</v>
      </c>
      <c r="F30" s="10" t="s">
        <v>35</v>
      </c>
      <c r="H30" s="11">
        <v>46119</v>
      </c>
    </row>
    <row r="31" spans="1:8" x14ac:dyDescent="0.2">
      <c r="A31" s="10">
        <v>1418</v>
      </c>
      <c r="B31" s="10" t="s">
        <v>75</v>
      </c>
      <c r="C31" s="10" t="s">
        <v>22</v>
      </c>
      <c r="D31" s="10" t="s">
        <v>23</v>
      </c>
      <c r="E31" s="10" t="b">
        <v>0</v>
      </c>
      <c r="F31" s="10" t="s">
        <v>25</v>
      </c>
      <c r="H31" s="11">
        <v>46119</v>
      </c>
    </row>
    <row r="32" spans="1:8" x14ac:dyDescent="0.2">
      <c r="A32" s="10">
        <v>919</v>
      </c>
      <c r="B32" s="10" t="s">
        <v>77</v>
      </c>
      <c r="C32" s="10" t="s">
        <v>51</v>
      </c>
      <c r="D32" s="10" t="s">
        <v>23</v>
      </c>
      <c r="E32" s="10" t="b">
        <v>0</v>
      </c>
      <c r="F32" s="10" t="s">
        <v>27</v>
      </c>
      <c r="G32" s="10">
        <v>16</v>
      </c>
      <c r="H32" s="11">
        <v>46119</v>
      </c>
    </row>
    <row r="33" spans="1:8" x14ac:dyDescent="0.2">
      <c r="A33" s="10">
        <v>1319</v>
      </c>
      <c r="B33" s="10" t="s">
        <v>78</v>
      </c>
      <c r="C33" s="10" t="s">
        <v>32</v>
      </c>
      <c r="D33" s="10" t="s">
        <v>23</v>
      </c>
      <c r="E33" s="10" t="b">
        <v>0</v>
      </c>
      <c r="F33" s="10" t="s">
        <v>27</v>
      </c>
      <c r="G33" s="10">
        <v>9</v>
      </c>
      <c r="H33" s="11">
        <v>46119</v>
      </c>
    </row>
    <row r="34" spans="1:8" x14ac:dyDescent="0.2">
      <c r="A34" s="10">
        <v>1389</v>
      </c>
      <c r="B34" s="10" t="s">
        <v>79</v>
      </c>
      <c r="C34" s="10" t="s">
        <v>80</v>
      </c>
      <c r="D34" s="10" t="s">
        <v>23</v>
      </c>
      <c r="E34" s="10" t="b">
        <v>0</v>
      </c>
      <c r="F34" s="10" t="s">
        <v>25</v>
      </c>
      <c r="H34" s="11">
        <v>46119</v>
      </c>
    </row>
    <row r="35" spans="1:8" x14ac:dyDescent="0.2">
      <c r="A35" s="10">
        <v>940</v>
      </c>
      <c r="B35" s="10" t="s">
        <v>81</v>
      </c>
      <c r="C35" s="10" t="s">
        <v>82</v>
      </c>
      <c r="D35" s="10" t="s">
        <v>23</v>
      </c>
      <c r="E35" s="10" t="b">
        <v>1</v>
      </c>
      <c r="F35" s="10" t="s">
        <v>27</v>
      </c>
      <c r="G35" s="10">
        <v>9</v>
      </c>
      <c r="H35" s="11">
        <v>46119</v>
      </c>
    </row>
    <row r="36" spans="1:8" x14ac:dyDescent="0.2">
      <c r="A36" s="10">
        <v>806</v>
      </c>
      <c r="B36" s="10" t="s">
        <v>81</v>
      </c>
      <c r="C36" s="10" t="s">
        <v>83</v>
      </c>
      <c r="D36" s="10" t="s">
        <v>23</v>
      </c>
      <c r="E36" s="10" t="b">
        <v>0</v>
      </c>
      <c r="F36" s="10" t="s">
        <v>27</v>
      </c>
      <c r="G36" s="10">
        <v>11</v>
      </c>
      <c r="H36" s="11">
        <v>46119</v>
      </c>
    </row>
    <row r="37" spans="1:8" x14ac:dyDescent="0.2">
      <c r="A37" s="10">
        <v>482</v>
      </c>
      <c r="B37" s="10" t="s">
        <v>84</v>
      </c>
      <c r="C37" s="10" t="s">
        <v>85</v>
      </c>
      <c r="D37" s="10" t="s">
        <v>23</v>
      </c>
      <c r="E37" s="10" t="b">
        <v>0</v>
      </c>
      <c r="F37" s="10" t="s">
        <v>27</v>
      </c>
      <c r="G37" s="10">
        <v>13</v>
      </c>
      <c r="H37" s="11">
        <v>46119</v>
      </c>
    </row>
    <row r="38" spans="1:8" x14ac:dyDescent="0.2">
      <c r="A38" s="10">
        <v>674</v>
      </c>
      <c r="B38" s="10" t="s">
        <v>86</v>
      </c>
      <c r="C38" s="10" t="s">
        <v>87</v>
      </c>
      <c r="D38" s="10" t="s">
        <v>54</v>
      </c>
      <c r="E38" s="10" t="b">
        <v>1</v>
      </c>
      <c r="F38" s="10" t="s">
        <v>27</v>
      </c>
      <c r="G38" s="10">
        <v>23</v>
      </c>
      <c r="H38" s="11">
        <v>46119</v>
      </c>
    </row>
    <row r="39" spans="1:8" x14ac:dyDescent="0.2">
      <c r="A39" s="10">
        <v>1061</v>
      </c>
      <c r="B39" s="10" t="s">
        <v>88</v>
      </c>
      <c r="C39" s="10" t="s">
        <v>89</v>
      </c>
      <c r="D39" s="10" t="s">
        <v>23</v>
      </c>
      <c r="E39" s="10" t="b">
        <v>0</v>
      </c>
      <c r="F39" s="10" t="s">
        <v>27</v>
      </c>
      <c r="G39" s="10">
        <v>19</v>
      </c>
      <c r="H39" s="11">
        <v>46119</v>
      </c>
    </row>
    <row r="40" spans="1:8" x14ac:dyDescent="0.2">
      <c r="A40" s="10">
        <v>763</v>
      </c>
      <c r="B40" s="10" t="s">
        <v>90</v>
      </c>
      <c r="C40" s="10" t="s">
        <v>59</v>
      </c>
      <c r="D40" s="10" t="s">
        <v>23</v>
      </c>
      <c r="E40" s="10" t="b">
        <v>0</v>
      </c>
      <c r="F40" s="10" t="s">
        <v>27</v>
      </c>
      <c r="G40" s="10">
        <v>17</v>
      </c>
      <c r="H40" s="11">
        <v>46119</v>
      </c>
    </row>
    <row r="41" spans="1:8" x14ac:dyDescent="0.2">
      <c r="A41" s="10">
        <v>1227</v>
      </c>
      <c r="B41" s="10" t="s">
        <v>91</v>
      </c>
      <c r="C41" s="10" t="s">
        <v>92</v>
      </c>
      <c r="D41" s="10" t="s">
        <v>23</v>
      </c>
      <c r="E41" s="10" t="b">
        <v>1</v>
      </c>
      <c r="F41" s="10" t="s">
        <v>27</v>
      </c>
      <c r="G41" s="10">
        <v>8</v>
      </c>
      <c r="H41" s="11">
        <v>46119</v>
      </c>
    </row>
    <row r="42" spans="1:8" x14ac:dyDescent="0.2">
      <c r="A42" s="10">
        <v>715</v>
      </c>
      <c r="B42" s="10" t="s">
        <v>93</v>
      </c>
      <c r="C42" s="10" t="s">
        <v>94</v>
      </c>
      <c r="D42" s="10" t="s">
        <v>23</v>
      </c>
      <c r="E42" s="10" t="b">
        <v>0</v>
      </c>
      <c r="F42" s="10" t="s">
        <v>27</v>
      </c>
      <c r="G42" s="10">
        <v>5</v>
      </c>
      <c r="H42" s="11">
        <v>46119</v>
      </c>
    </row>
    <row r="43" spans="1:8" x14ac:dyDescent="0.2">
      <c r="A43" s="10">
        <v>567</v>
      </c>
      <c r="B43" s="10" t="s">
        <v>95</v>
      </c>
      <c r="C43" s="10" t="s">
        <v>96</v>
      </c>
      <c r="D43" s="10" t="s">
        <v>23</v>
      </c>
      <c r="E43" s="10" t="b">
        <v>0</v>
      </c>
      <c r="F43" s="10" t="s">
        <v>27</v>
      </c>
      <c r="G43" s="10">
        <v>7</v>
      </c>
      <c r="H43" s="11">
        <v>46119</v>
      </c>
    </row>
    <row r="44" spans="1:8" x14ac:dyDescent="0.2">
      <c r="A44" s="10">
        <v>1391</v>
      </c>
      <c r="B44" s="10" t="s">
        <v>97</v>
      </c>
      <c r="C44" s="10" t="s">
        <v>98</v>
      </c>
      <c r="D44" s="10" t="s">
        <v>23</v>
      </c>
      <c r="E44" s="10" t="b">
        <v>1</v>
      </c>
      <c r="F44" s="10" t="s">
        <v>25</v>
      </c>
      <c r="H44" s="11">
        <v>46119</v>
      </c>
    </row>
    <row r="45" spans="1:8" x14ac:dyDescent="0.2">
      <c r="A45" s="10">
        <v>704</v>
      </c>
      <c r="B45" s="10" t="s">
        <v>99</v>
      </c>
      <c r="C45" s="10" t="s">
        <v>100</v>
      </c>
      <c r="D45" s="10" t="s">
        <v>23</v>
      </c>
      <c r="E45" s="10" t="b">
        <v>0</v>
      </c>
      <c r="F45" s="10" t="s">
        <v>27</v>
      </c>
      <c r="G45" s="10">
        <v>21</v>
      </c>
      <c r="H45" s="11">
        <v>46119</v>
      </c>
    </row>
    <row r="46" spans="1:8" x14ac:dyDescent="0.2">
      <c r="A46" s="10">
        <v>1283</v>
      </c>
      <c r="B46" s="10" t="s">
        <v>101</v>
      </c>
      <c r="C46" s="10" t="s">
        <v>102</v>
      </c>
      <c r="D46" s="10" t="s">
        <v>23</v>
      </c>
      <c r="E46" s="10" t="b">
        <v>0</v>
      </c>
      <c r="F46" s="10" t="s">
        <v>27</v>
      </c>
      <c r="G46" s="10">
        <v>18</v>
      </c>
      <c r="H46" s="11">
        <v>46119</v>
      </c>
    </row>
    <row r="47" spans="1:8" x14ac:dyDescent="0.2">
      <c r="A47" s="10">
        <v>295</v>
      </c>
      <c r="B47" s="10" t="s">
        <v>103</v>
      </c>
      <c r="C47" s="10" t="s">
        <v>104</v>
      </c>
      <c r="D47" s="10" t="s">
        <v>23</v>
      </c>
      <c r="E47" s="10" t="b">
        <v>0</v>
      </c>
      <c r="F47" s="10" t="s">
        <v>27</v>
      </c>
      <c r="G47" s="10">
        <v>15</v>
      </c>
      <c r="H47" s="11">
        <v>46119</v>
      </c>
    </row>
    <row r="48" spans="1:8" x14ac:dyDescent="0.2">
      <c r="A48" s="10">
        <v>1226</v>
      </c>
      <c r="B48" s="10" t="s">
        <v>105</v>
      </c>
      <c r="C48" s="10" t="s">
        <v>106</v>
      </c>
      <c r="D48" s="10" t="s">
        <v>23</v>
      </c>
      <c r="E48" s="10" t="b">
        <v>1</v>
      </c>
      <c r="F48" s="10" t="s">
        <v>25</v>
      </c>
      <c r="H48" s="11">
        <v>46119</v>
      </c>
    </row>
    <row r="49" spans="1:8" x14ac:dyDescent="0.2">
      <c r="A49" s="10">
        <v>1185</v>
      </c>
      <c r="B49" s="10" t="s">
        <v>109</v>
      </c>
      <c r="C49" s="10" t="s">
        <v>110</v>
      </c>
      <c r="D49" s="10" t="s">
        <v>23</v>
      </c>
      <c r="E49" s="10" t="b">
        <v>1</v>
      </c>
      <c r="F49" s="10" t="s">
        <v>35</v>
      </c>
      <c r="H49" s="11">
        <v>46119</v>
      </c>
    </row>
    <row r="50" spans="1:8" x14ac:dyDescent="0.2">
      <c r="A50" s="10">
        <v>1065</v>
      </c>
      <c r="B50" s="10" t="s">
        <v>109</v>
      </c>
      <c r="C50" s="10" t="s">
        <v>41</v>
      </c>
      <c r="D50" s="10" t="s">
        <v>23</v>
      </c>
      <c r="E50" s="10" t="b">
        <v>0</v>
      </c>
      <c r="F50" s="10" t="s">
        <v>27</v>
      </c>
      <c r="G50" s="10">
        <v>1</v>
      </c>
      <c r="H50" s="11">
        <v>46119</v>
      </c>
    </row>
    <row r="51" spans="1:8" x14ac:dyDescent="0.2">
      <c r="A51" s="10">
        <v>1407</v>
      </c>
      <c r="B51" s="10" t="s">
        <v>111</v>
      </c>
      <c r="C51" s="10" t="s">
        <v>112</v>
      </c>
      <c r="D51" s="10" t="s">
        <v>23</v>
      </c>
      <c r="E51" s="10" t="b">
        <v>0</v>
      </c>
      <c r="F51" s="10" t="s">
        <v>25</v>
      </c>
      <c r="H51" s="11">
        <v>46119</v>
      </c>
    </row>
    <row r="52" spans="1:8" x14ac:dyDescent="0.2">
      <c r="A52" s="10">
        <v>1096</v>
      </c>
      <c r="B52" s="10" t="s">
        <v>113</v>
      </c>
      <c r="C52" s="10" t="s">
        <v>114</v>
      </c>
      <c r="D52" s="10" t="s">
        <v>23</v>
      </c>
      <c r="E52" s="10" t="b">
        <v>0</v>
      </c>
      <c r="F52" s="10" t="s">
        <v>35</v>
      </c>
      <c r="H52" s="11">
        <v>46119</v>
      </c>
    </row>
    <row r="53" spans="1:8" x14ac:dyDescent="0.2">
      <c r="A53" s="10">
        <v>1236</v>
      </c>
      <c r="B53" s="10" t="s">
        <v>113</v>
      </c>
      <c r="C53" s="10" t="s">
        <v>115</v>
      </c>
      <c r="D53" s="10" t="s">
        <v>23</v>
      </c>
      <c r="E53" s="10" t="b">
        <v>1</v>
      </c>
      <c r="F53" s="10" t="s">
        <v>27</v>
      </c>
      <c r="G53" s="10">
        <v>5</v>
      </c>
      <c r="H53" s="11">
        <v>46119</v>
      </c>
    </row>
    <row r="54" spans="1:8" x14ac:dyDescent="0.2">
      <c r="A54" s="10">
        <v>699</v>
      </c>
      <c r="B54" s="10" t="s">
        <v>113</v>
      </c>
      <c r="C54" s="10" t="s">
        <v>116</v>
      </c>
      <c r="D54" s="10" t="s">
        <v>23</v>
      </c>
      <c r="E54" s="10" t="b">
        <v>0</v>
      </c>
      <c r="F54" s="10" t="s">
        <v>27</v>
      </c>
      <c r="G54" s="10">
        <v>5</v>
      </c>
      <c r="H54" s="11">
        <v>46119</v>
      </c>
    </row>
    <row r="55" spans="1:8" x14ac:dyDescent="0.2">
      <c r="A55" s="10">
        <v>1000</v>
      </c>
      <c r="B55" s="10" t="s">
        <v>120</v>
      </c>
      <c r="C55" s="10" t="s">
        <v>121</v>
      </c>
      <c r="D55" s="10" t="s">
        <v>23</v>
      </c>
      <c r="E55" s="10" t="b">
        <v>0</v>
      </c>
      <c r="F55" s="10" t="s">
        <v>25</v>
      </c>
      <c r="H55" s="11">
        <v>46119</v>
      </c>
    </row>
    <row r="56" spans="1:8" x14ac:dyDescent="0.2">
      <c r="A56" s="10">
        <v>1332</v>
      </c>
      <c r="B56" s="10" t="s">
        <v>122</v>
      </c>
      <c r="C56" s="10" t="s">
        <v>123</v>
      </c>
      <c r="D56" s="10" t="s">
        <v>23</v>
      </c>
      <c r="E56" s="10" t="b">
        <v>1</v>
      </c>
      <c r="F56" s="10" t="s">
        <v>25</v>
      </c>
      <c r="H56" s="11">
        <v>46119</v>
      </c>
    </row>
    <row r="57" spans="1:8" x14ac:dyDescent="0.2">
      <c r="A57" s="10">
        <v>682</v>
      </c>
      <c r="B57" s="10" t="s">
        <v>124</v>
      </c>
      <c r="C57" s="10" t="s">
        <v>125</v>
      </c>
      <c r="D57" s="10" t="s">
        <v>23</v>
      </c>
      <c r="E57" s="10" t="b">
        <v>0</v>
      </c>
      <c r="F57" s="10" t="s">
        <v>27</v>
      </c>
      <c r="G57" s="10">
        <v>11</v>
      </c>
      <c r="H57" s="11">
        <v>46119</v>
      </c>
    </row>
    <row r="58" spans="1:8" x14ac:dyDescent="0.2">
      <c r="A58" s="10">
        <v>1393</v>
      </c>
      <c r="B58" s="10" t="s">
        <v>126</v>
      </c>
      <c r="C58" s="10" t="s">
        <v>127</v>
      </c>
      <c r="D58" s="10" t="s">
        <v>23</v>
      </c>
      <c r="E58" s="10" t="b">
        <v>1</v>
      </c>
      <c r="F58" s="10" t="s">
        <v>27</v>
      </c>
      <c r="G58" s="10">
        <v>10</v>
      </c>
      <c r="H58" s="11">
        <v>46119</v>
      </c>
    </row>
    <row r="59" spans="1:8" x14ac:dyDescent="0.2">
      <c r="A59" s="10">
        <v>1355</v>
      </c>
      <c r="B59" s="10" t="s">
        <v>128</v>
      </c>
      <c r="C59" s="10" t="s">
        <v>129</v>
      </c>
      <c r="D59" s="10" t="s">
        <v>23</v>
      </c>
      <c r="E59" s="10" t="b">
        <v>0</v>
      </c>
      <c r="F59" s="10" t="s">
        <v>35</v>
      </c>
      <c r="H59" s="11">
        <v>46119</v>
      </c>
    </row>
    <row r="60" spans="1:8" x14ac:dyDescent="0.2">
      <c r="A60" s="10">
        <v>1164</v>
      </c>
      <c r="B60" s="10" t="s">
        <v>130</v>
      </c>
      <c r="C60" s="10" t="s">
        <v>131</v>
      </c>
      <c r="D60" s="10" t="s">
        <v>54</v>
      </c>
      <c r="E60" s="10" t="b">
        <v>1</v>
      </c>
      <c r="F60" s="10" t="s">
        <v>25</v>
      </c>
      <c r="H60" s="11">
        <v>46119</v>
      </c>
    </row>
    <row r="61" spans="1:8" x14ac:dyDescent="0.2">
      <c r="A61" s="10">
        <v>1062</v>
      </c>
      <c r="B61" s="10" t="s">
        <v>130</v>
      </c>
      <c r="C61" s="10" t="s">
        <v>83</v>
      </c>
      <c r="D61" s="10" t="s">
        <v>23</v>
      </c>
      <c r="E61" s="10" t="b">
        <v>0</v>
      </c>
      <c r="F61" s="10" t="s">
        <v>27</v>
      </c>
      <c r="G61" s="10">
        <v>9</v>
      </c>
      <c r="H61" s="11">
        <v>46119</v>
      </c>
    </row>
    <row r="62" spans="1:8" x14ac:dyDescent="0.2">
      <c r="A62" s="10">
        <v>938</v>
      </c>
      <c r="B62" s="10" t="s">
        <v>130</v>
      </c>
      <c r="C62" s="10" t="s">
        <v>132</v>
      </c>
      <c r="D62" s="10" t="s">
        <v>23</v>
      </c>
      <c r="E62" s="10" t="b">
        <v>1</v>
      </c>
      <c r="F62" s="10" t="s">
        <v>27</v>
      </c>
      <c r="G62" s="10">
        <v>7</v>
      </c>
      <c r="H62" s="11">
        <v>46119</v>
      </c>
    </row>
    <row r="63" spans="1:8" x14ac:dyDescent="0.2">
      <c r="A63" s="10">
        <v>1034</v>
      </c>
      <c r="B63" s="10" t="s">
        <v>134</v>
      </c>
      <c r="C63" s="10" t="s">
        <v>83</v>
      </c>
      <c r="D63" s="10" t="s">
        <v>23</v>
      </c>
      <c r="E63" s="10" t="b">
        <v>0</v>
      </c>
      <c r="F63" s="10" t="s">
        <v>25</v>
      </c>
      <c r="H63" s="11">
        <v>46119</v>
      </c>
    </row>
    <row r="64" spans="1:8" x14ac:dyDescent="0.2">
      <c r="A64" s="10">
        <v>1402</v>
      </c>
      <c r="B64" s="10" t="s">
        <v>135</v>
      </c>
      <c r="C64" s="10" t="s">
        <v>136</v>
      </c>
      <c r="D64" s="10" t="s">
        <v>23</v>
      </c>
      <c r="E64" s="10" t="b">
        <v>0</v>
      </c>
      <c r="F64" s="10" t="s">
        <v>27</v>
      </c>
      <c r="G64" s="10">
        <v>7</v>
      </c>
      <c r="H64" s="11">
        <v>46119</v>
      </c>
    </row>
    <row r="65" spans="1:8" x14ac:dyDescent="0.2">
      <c r="A65" s="10">
        <v>939</v>
      </c>
      <c r="B65" s="10" t="s">
        <v>137</v>
      </c>
      <c r="C65" s="10" t="s">
        <v>127</v>
      </c>
      <c r="D65" s="10" t="s">
        <v>23</v>
      </c>
      <c r="E65" s="10" t="b">
        <v>1</v>
      </c>
      <c r="F65" s="10" t="s">
        <v>27</v>
      </c>
      <c r="G65" s="10">
        <v>12</v>
      </c>
      <c r="H65" s="11">
        <v>46119</v>
      </c>
    </row>
    <row r="66" spans="1:8" x14ac:dyDescent="0.2">
      <c r="A66" s="10">
        <v>1377</v>
      </c>
      <c r="B66" s="10" t="s">
        <v>138</v>
      </c>
      <c r="C66" s="10" t="s">
        <v>139</v>
      </c>
      <c r="D66" s="10" t="s">
        <v>23</v>
      </c>
      <c r="E66" s="10" t="b">
        <v>1</v>
      </c>
      <c r="F66" s="10" t="s">
        <v>27</v>
      </c>
      <c r="G66" s="10">
        <v>12</v>
      </c>
      <c r="H66" s="11">
        <v>46119</v>
      </c>
    </row>
    <row r="67" spans="1:8" x14ac:dyDescent="0.2">
      <c r="A67" s="10">
        <v>1281</v>
      </c>
      <c r="B67" s="10" t="s">
        <v>140</v>
      </c>
      <c r="C67" s="10" t="s">
        <v>141</v>
      </c>
      <c r="D67" s="10" t="s">
        <v>23</v>
      </c>
      <c r="E67" s="10" t="b">
        <v>0</v>
      </c>
      <c r="F67" s="10" t="s">
        <v>27</v>
      </c>
      <c r="G67" s="10">
        <v>19</v>
      </c>
      <c r="H67" s="11">
        <v>46119</v>
      </c>
    </row>
    <row r="68" spans="1:8" x14ac:dyDescent="0.2">
      <c r="A68" s="10">
        <v>933</v>
      </c>
      <c r="B68" s="10" t="s">
        <v>142</v>
      </c>
      <c r="C68" s="10" t="s">
        <v>143</v>
      </c>
      <c r="D68" s="10" t="s">
        <v>23</v>
      </c>
      <c r="E68" s="10" t="b">
        <v>0</v>
      </c>
      <c r="F68" s="10" t="s">
        <v>25</v>
      </c>
      <c r="H68" s="11">
        <v>46119</v>
      </c>
    </row>
    <row r="69" spans="1:8" x14ac:dyDescent="0.2">
      <c r="A69" s="10">
        <v>1274</v>
      </c>
      <c r="B69" s="10" t="s">
        <v>144</v>
      </c>
      <c r="C69" s="10" t="s">
        <v>145</v>
      </c>
      <c r="D69" s="10" t="s">
        <v>23</v>
      </c>
      <c r="E69" s="10" t="b">
        <v>1</v>
      </c>
      <c r="F69" s="10" t="s">
        <v>25</v>
      </c>
      <c r="H69" s="11">
        <v>46119</v>
      </c>
    </row>
    <row r="70" spans="1:8" x14ac:dyDescent="0.2">
      <c r="A70" s="10">
        <v>493</v>
      </c>
      <c r="B70" s="10" t="s">
        <v>146</v>
      </c>
      <c r="C70" s="10" t="s">
        <v>49</v>
      </c>
      <c r="D70" s="10" t="s">
        <v>48</v>
      </c>
      <c r="E70" s="10" t="b">
        <v>0</v>
      </c>
      <c r="F70" s="10" t="s">
        <v>27</v>
      </c>
      <c r="G70" s="10">
        <v>37</v>
      </c>
      <c r="H70" s="11">
        <v>46119</v>
      </c>
    </row>
    <row r="71" spans="1:8" x14ac:dyDescent="0.2">
      <c r="A71" s="10">
        <v>1279</v>
      </c>
      <c r="B71" s="10" t="s">
        <v>147</v>
      </c>
      <c r="C71" s="10" t="s">
        <v>148</v>
      </c>
      <c r="D71" s="10" t="s">
        <v>23</v>
      </c>
      <c r="E71" s="10" t="b">
        <v>0</v>
      </c>
      <c r="F71" s="10" t="s">
        <v>27</v>
      </c>
      <c r="G71" s="10">
        <v>4</v>
      </c>
      <c r="H71" s="11">
        <v>46119</v>
      </c>
    </row>
    <row r="72" spans="1:8" x14ac:dyDescent="0.2">
      <c r="A72" s="10">
        <v>1193</v>
      </c>
      <c r="B72" s="10" t="s">
        <v>149</v>
      </c>
      <c r="C72" s="10" t="s">
        <v>150</v>
      </c>
      <c r="D72" s="10" t="s">
        <v>23</v>
      </c>
      <c r="E72" s="10" t="b">
        <v>0</v>
      </c>
      <c r="F72" s="10" t="s">
        <v>25</v>
      </c>
      <c r="H72" s="11">
        <v>46119</v>
      </c>
    </row>
    <row r="73" spans="1:8" x14ac:dyDescent="0.2">
      <c r="A73" s="10">
        <v>1194</v>
      </c>
      <c r="B73" s="10" t="s">
        <v>149</v>
      </c>
      <c r="C73" s="10" t="s">
        <v>151</v>
      </c>
      <c r="D73" s="10" t="s">
        <v>23</v>
      </c>
      <c r="E73" s="10" t="b">
        <v>1</v>
      </c>
      <c r="F73" s="10" t="s">
        <v>25</v>
      </c>
      <c r="H73" s="11">
        <v>46119</v>
      </c>
    </row>
    <row r="74" spans="1:8" x14ac:dyDescent="0.2">
      <c r="A74" s="10">
        <v>1196</v>
      </c>
      <c r="B74" s="10" t="s">
        <v>149</v>
      </c>
      <c r="C74" s="10" t="s">
        <v>152</v>
      </c>
      <c r="D74" s="10" t="s">
        <v>23</v>
      </c>
      <c r="E74" s="10" t="b">
        <v>0</v>
      </c>
      <c r="F74" s="10" t="s">
        <v>35</v>
      </c>
      <c r="H74" s="11">
        <v>46119</v>
      </c>
    </row>
    <row r="75" spans="1:8" x14ac:dyDescent="0.2">
      <c r="A75" s="10">
        <v>1195</v>
      </c>
      <c r="B75" s="10" t="s">
        <v>149</v>
      </c>
      <c r="C75" s="10" t="s">
        <v>153</v>
      </c>
      <c r="D75" s="10" t="s">
        <v>23</v>
      </c>
      <c r="E75" s="10" t="b">
        <v>0</v>
      </c>
      <c r="F75" s="10" t="s">
        <v>35</v>
      </c>
      <c r="H75" s="11">
        <v>46119</v>
      </c>
    </row>
    <row r="76" spans="1:8" x14ac:dyDescent="0.2">
      <c r="A76" s="10">
        <v>1176</v>
      </c>
      <c r="B76" s="10" t="s">
        <v>154</v>
      </c>
      <c r="C76" s="10" t="s">
        <v>155</v>
      </c>
      <c r="D76" s="10" t="s">
        <v>23</v>
      </c>
      <c r="E76" s="10" t="b">
        <v>0</v>
      </c>
      <c r="F76" s="10" t="s">
        <v>35</v>
      </c>
      <c r="H76" s="11">
        <v>46119</v>
      </c>
    </row>
    <row r="77" spans="1:8" x14ac:dyDescent="0.2">
      <c r="A77" s="10">
        <v>1174</v>
      </c>
      <c r="B77" s="10" t="s">
        <v>154</v>
      </c>
      <c r="C77" s="10" t="s">
        <v>156</v>
      </c>
      <c r="D77" s="10" t="s">
        <v>23</v>
      </c>
      <c r="E77" s="10" t="b">
        <v>1</v>
      </c>
      <c r="F77" s="10" t="s">
        <v>27</v>
      </c>
      <c r="G77" s="10">
        <v>6</v>
      </c>
      <c r="H77" s="11">
        <v>46119</v>
      </c>
    </row>
    <row r="78" spans="1:8" x14ac:dyDescent="0.2">
      <c r="A78" s="10">
        <v>1175</v>
      </c>
      <c r="B78" s="10" t="s">
        <v>154</v>
      </c>
      <c r="C78" s="10" t="s">
        <v>150</v>
      </c>
      <c r="D78" s="10" t="s">
        <v>23</v>
      </c>
      <c r="E78" s="10" t="b">
        <v>0</v>
      </c>
      <c r="F78" s="10" t="s">
        <v>27</v>
      </c>
      <c r="G78" s="10">
        <v>12</v>
      </c>
      <c r="H78" s="11">
        <v>46119</v>
      </c>
    </row>
    <row r="79" spans="1:8" x14ac:dyDescent="0.2">
      <c r="A79" s="10">
        <v>1109</v>
      </c>
      <c r="B79" s="10" t="s">
        <v>157</v>
      </c>
      <c r="C79" s="10" t="s">
        <v>104</v>
      </c>
      <c r="D79" s="10" t="s">
        <v>23</v>
      </c>
      <c r="E79" s="10" t="b">
        <v>0</v>
      </c>
      <c r="F79" s="10" t="s">
        <v>25</v>
      </c>
      <c r="H79" s="11">
        <v>46119</v>
      </c>
    </row>
    <row r="80" spans="1:8" x14ac:dyDescent="0.2">
      <c r="A80" s="10">
        <v>1073</v>
      </c>
      <c r="B80" s="10" t="s">
        <v>158</v>
      </c>
      <c r="C80" s="10" t="s">
        <v>150</v>
      </c>
      <c r="D80" s="10" t="s">
        <v>23</v>
      </c>
      <c r="E80" s="10" t="b">
        <v>0</v>
      </c>
      <c r="F80" s="10" t="s">
        <v>27</v>
      </c>
      <c r="G80" s="10">
        <v>3</v>
      </c>
      <c r="H80" s="11">
        <v>46119</v>
      </c>
    </row>
    <row r="81" spans="1:8" x14ac:dyDescent="0.2">
      <c r="A81" s="10">
        <v>1400</v>
      </c>
      <c r="B81" s="10" t="s">
        <v>159</v>
      </c>
      <c r="C81" s="10" t="s">
        <v>160</v>
      </c>
      <c r="D81" s="10" t="s">
        <v>23</v>
      </c>
      <c r="E81" s="10" t="b">
        <v>0</v>
      </c>
      <c r="F81" s="10" t="s">
        <v>25</v>
      </c>
      <c r="H81" s="11">
        <v>46119</v>
      </c>
    </row>
    <row r="82" spans="1:8" x14ac:dyDescent="0.2">
      <c r="A82" s="10">
        <v>1367</v>
      </c>
      <c r="B82" s="10" t="s">
        <v>161</v>
      </c>
      <c r="C82" s="10" t="s">
        <v>152</v>
      </c>
      <c r="D82" s="10" t="s">
        <v>23</v>
      </c>
      <c r="E82" s="10" t="b">
        <v>0</v>
      </c>
      <c r="F82" s="10" t="s">
        <v>35</v>
      </c>
      <c r="H82" s="11">
        <v>46119</v>
      </c>
    </row>
    <row r="83" spans="1:8" x14ac:dyDescent="0.2">
      <c r="A83" s="10">
        <v>1366</v>
      </c>
      <c r="B83" s="10" t="s">
        <v>161</v>
      </c>
      <c r="C83" s="10" t="s">
        <v>162</v>
      </c>
      <c r="D83" s="10" t="s">
        <v>23</v>
      </c>
      <c r="E83" s="10" t="b">
        <v>1</v>
      </c>
      <c r="F83" s="10" t="s">
        <v>25</v>
      </c>
      <c r="H83" s="11">
        <v>46119</v>
      </c>
    </row>
    <row r="84" spans="1:8" x14ac:dyDescent="0.2">
      <c r="A84" s="10">
        <v>1365</v>
      </c>
      <c r="B84" s="10" t="s">
        <v>161</v>
      </c>
      <c r="C84" s="10" t="s">
        <v>163</v>
      </c>
      <c r="D84" s="10" t="s">
        <v>23</v>
      </c>
      <c r="E84" s="10" t="b">
        <v>1</v>
      </c>
      <c r="F84" s="10" t="s">
        <v>27</v>
      </c>
      <c r="G84" s="10">
        <v>7</v>
      </c>
      <c r="H84" s="11">
        <v>46119</v>
      </c>
    </row>
    <row r="85" spans="1:8" x14ac:dyDescent="0.2">
      <c r="A85" s="10">
        <v>897</v>
      </c>
      <c r="B85" s="10" t="s">
        <v>161</v>
      </c>
      <c r="C85" s="10" t="s">
        <v>164</v>
      </c>
      <c r="D85" s="10" t="s">
        <v>23</v>
      </c>
      <c r="E85" s="10" t="b">
        <v>0</v>
      </c>
      <c r="F85" s="10" t="s">
        <v>27</v>
      </c>
      <c r="G85" s="10">
        <v>13</v>
      </c>
      <c r="H85" s="11">
        <v>46119</v>
      </c>
    </row>
    <row r="86" spans="1:8" x14ac:dyDescent="0.2">
      <c r="A86" s="10">
        <v>1308</v>
      </c>
      <c r="B86" s="10" t="s">
        <v>165</v>
      </c>
      <c r="C86" s="10" t="s">
        <v>166</v>
      </c>
      <c r="D86" s="10" t="s">
        <v>23</v>
      </c>
      <c r="E86" s="10" t="b">
        <v>1</v>
      </c>
      <c r="F86" s="10" t="s">
        <v>27</v>
      </c>
      <c r="G86" s="10">
        <v>2</v>
      </c>
      <c r="H86" s="11">
        <v>46119</v>
      </c>
    </row>
    <row r="87" spans="1:8" x14ac:dyDescent="0.2">
      <c r="A87" s="10">
        <v>1206</v>
      </c>
      <c r="B87" s="10" t="s">
        <v>167</v>
      </c>
      <c r="C87" s="10" t="s">
        <v>168</v>
      </c>
      <c r="D87" s="10" t="s">
        <v>23</v>
      </c>
      <c r="E87" s="10" t="b">
        <v>1</v>
      </c>
      <c r="F87" s="10" t="s">
        <v>27</v>
      </c>
      <c r="G87" s="10">
        <v>8</v>
      </c>
      <c r="H87" s="11">
        <v>46119</v>
      </c>
    </row>
    <row r="88" spans="1:8" x14ac:dyDescent="0.2">
      <c r="A88" s="10">
        <v>1205</v>
      </c>
      <c r="B88" s="10" t="s">
        <v>167</v>
      </c>
      <c r="C88" s="10" t="s">
        <v>66</v>
      </c>
      <c r="D88" s="10" t="s">
        <v>23</v>
      </c>
      <c r="E88" s="10" t="b">
        <v>0</v>
      </c>
      <c r="F88" s="10" t="s">
        <v>27</v>
      </c>
      <c r="G88" s="10">
        <v>14</v>
      </c>
      <c r="H88" s="11">
        <v>46119</v>
      </c>
    </row>
    <row r="89" spans="1:8" x14ac:dyDescent="0.2">
      <c r="A89" s="10">
        <v>1406</v>
      </c>
      <c r="B89" s="10" t="s">
        <v>169</v>
      </c>
      <c r="C89" s="10" t="s">
        <v>170</v>
      </c>
      <c r="D89" s="10" t="s">
        <v>23</v>
      </c>
      <c r="E89" s="10" t="b">
        <v>0</v>
      </c>
      <c r="F89" s="10" t="s">
        <v>27</v>
      </c>
      <c r="G89" s="10">
        <v>9</v>
      </c>
      <c r="H89" s="11">
        <v>46119</v>
      </c>
    </row>
    <row r="90" spans="1:8" x14ac:dyDescent="0.2">
      <c r="A90" s="10">
        <v>1182</v>
      </c>
      <c r="B90" s="10" t="s">
        <v>171</v>
      </c>
      <c r="C90" s="10" t="s">
        <v>136</v>
      </c>
      <c r="D90" s="10" t="s">
        <v>23</v>
      </c>
      <c r="E90" s="10" t="b">
        <v>0</v>
      </c>
      <c r="F90" s="10" t="s">
        <v>27</v>
      </c>
      <c r="G90" s="10">
        <v>8</v>
      </c>
      <c r="H90" s="11">
        <v>46119</v>
      </c>
    </row>
    <row r="91" spans="1:8" x14ac:dyDescent="0.2">
      <c r="A91" s="10">
        <v>1340</v>
      </c>
      <c r="B91" s="10" t="s">
        <v>172</v>
      </c>
      <c r="C91" s="10" t="s">
        <v>173</v>
      </c>
      <c r="D91" s="10" t="s">
        <v>23</v>
      </c>
      <c r="E91" s="10" t="b">
        <v>0</v>
      </c>
      <c r="F91" s="10" t="s">
        <v>27</v>
      </c>
      <c r="G91" s="10">
        <v>8</v>
      </c>
      <c r="H91" s="11">
        <v>46119</v>
      </c>
    </row>
    <row r="92" spans="1:8" x14ac:dyDescent="0.2">
      <c r="A92" s="10">
        <v>21</v>
      </c>
      <c r="B92" s="10" t="s">
        <v>174</v>
      </c>
      <c r="C92" s="10" t="s">
        <v>175</v>
      </c>
      <c r="D92" s="10" t="s">
        <v>23</v>
      </c>
      <c r="E92" s="10" t="b">
        <v>0</v>
      </c>
      <c r="F92" s="10" t="s">
        <v>25</v>
      </c>
      <c r="H92" s="11">
        <v>46119</v>
      </c>
    </row>
    <row r="93" spans="1:8" x14ac:dyDescent="0.2">
      <c r="A93" s="10">
        <v>1049</v>
      </c>
      <c r="B93" s="10" t="s">
        <v>176</v>
      </c>
      <c r="C93" s="10" t="s">
        <v>177</v>
      </c>
      <c r="D93" s="10" t="s">
        <v>23</v>
      </c>
      <c r="E93" s="10" t="b">
        <v>0</v>
      </c>
      <c r="F93" s="10" t="s">
        <v>27</v>
      </c>
      <c r="G93" s="10">
        <v>19</v>
      </c>
      <c r="H93" s="11">
        <v>46119</v>
      </c>
    </row>
    <row r="94" spans="1:8" x14ac:dyDescent="0.2">
      <c r="A94" s="10">
        <v>120</v>
      </c>
      <c r="B94" s="10" t="s">
        <v>178</v>
      </c>
      <c r="C94" s="10" t="s">
        <v>179</v>
      </c>
      <c r="D94" s="10" t="s">
        <v>23</v>
      </c>
      <c r="E94" s="10" t="b">
        <v>1</v>
      </c>
      <c r="F94" s="10" t="s">
        <v>27</v>
      </c>
      <c r="G94" s="10">
        <v>12</v>
      </c>
      <c r="H94" s="11">
        <v>46119</v>
      </c>
    </row>
    <row r="95" spans="1:8" x14ac:dyDescent="0.2">
      <c r="A95" s="10">
        <v>990</v>
      </c>
      <c r="B95" s="10" t="s">
        <v>180</v>
      </c>
      <c r="C95" s="10" t="s">
        <v>87</v>
      </c>
      <c r="D95" s="10" t="s">
        <v>23</v>
      </c>
      <c r="E95" s="10" t="b">
        <v>1</v>
      </c>
      <c r="F95" s="10" t="s">
        <v>27</v>
      </c>
      <c r="G95" s="10">
        <v>10</v>
      </c>
      <c r="H95" s="11">
        <v>46119</v>
      </c>
    </row>
    <row r="96" spans="1:8" x14ac:dyDescent="0.2">
      <c r="A96" s="10">
        <v>1395</v>
      </c>
      <c r="B96" s="10" t="s">
        <v>181</v>
      </c>
      <c r="C96" s="10" t="s">
        <v>182</v>
      </c>
      <c r="D96" s="10" t="s">
        <v>23</v>
      </c>
      <c r="E96" s="10" t="b">
        <v>1</v>
      </c>
      <c r="F96" s="10" t="s">
        <v>35</v>
      </c>
      <c r="H96" s="11">
        <v>46119</v>
      </c>
    </row>
    <row r="97" spans="1:8" x14ac:dyDescent="0.2">
      <c r="A97" s="10">
        <v>1158</v>
      </c>
      <c r="B97" s="10" t="s">
        <v>183</v>
      </c>
      <c r="C97" s="10" t="s">
        <v>184</v>
      </c>
      <c r="D97" s="10" t="s">
        <v>23</v>
      </c>
      <c r="E97" s="10" t="b">
        <v>1</v>
      </c>
      <c r="F97" s="10" t="s">
        <v>25</v>
      </c>
      <c r="H97" s="11">
        <v>46119</v>
      </c>
    </row>
    <row r="98" spans="1:8" x14ac:dyDescent="0.2">
      <c r="A98" s="10">
        <v>23</v>
      </c>
      <c r="B98" s="10" t="s">
        <v>185</v>
      </c>
      <c r="C98" s="10" t="s">
        <v>100</v>
      </c>
      <c r="D98" s="10" t="s">
        <v>23</v>
      </c>
      <c r="E98" s="10" t="b">
        <v>0</v>
      </c>
      <c r="F98" s="10" t="s">
        <v>27</v>
      </c>
      <c r="G98" s="10">
        <v>10</v>
      </c>
      <c r="H98" s="11">
        <v>46119</v>
      </c>
    </row>
    <row r="99" spans="1:8" x14ac:dyDescent="0.2">
      <c r="A99" s="10">
        <v>1152</v>
      </c>
      <c r="B99" s="10" t="s">
        <v>186</v>
      </c>
      <c r="C99" s="10" t="s">
        <v>187</v>
      </c>
      <c r="D99" s="10" t="s">
        <v>54</v>
      </c>
      <c r="E99" s="10" t="b">
        <v>1</v>
      </c>
      <c r="F99" s="10" t="s">
        <v>188</v>
      </c>
      <c r="H99" s="11">
        <v>46119</v>
      </c>
    </row>
    <row r="100" spans="1:8" x14ac:dyDescent="0.2">
      <c r="A100" s="10">
        <v>581</v>
      </c>
      <c r="B100" s="10" t="s">
        <v>189</v>
      </c>
      <c r="C100" s="10" t="s">
        <v>190</v>
      </c>
      <c r="D100" s="10" t="s">
        <v>23</v>
      </c>
      <c r="E100" s="10" t="b">
        <v>0</v>
      </c>
      <c r="F100" s="10" t="s">
        <v>27</v>
      </c>
      <c r="G100" s="10">
        <v>13</v>
      </c>
      <c r="H100" s="11">
        <v>46119</v>
      </c>
    </row>
    <row r="101" spans="1:8" x14ac:dyDescent="0.2">
      <c r="A101" s="10">
        <v>1374</v>
      </c>
      <c r="B101" s="10" t="s">
        <v>191</v>
      </c>
      <c r="C101" s="10" t="s">
        <v>192</v>
      </c>
      <c r="D101" s="10" t="s">
        <v>23</v>
      </c>
      <c r="E101" s="10" t="b">
        <v>0</v>
      </c>
      <c r="F101" s="10" t="s">
        <v>25</v>
      </c>
      <c r="H101" s="11">
        <v>46119</v>
      </c>
    </row>
    <row r="102" spans="1:8" x14ac:dyDescent="0.2">
      <c r="A102" s="10">
        <v>25</v>
      </c>
      <c r="B102" s="10" t="s">
        <v>22</v>
      </c>
      <c r="C102" s="10" t="s">
        <v>193</v>
      </c>
      <c r="D102" s="10" t="s">
        <v>23</v>
      </c>
      <c r="E102" s="10" t="b">
        <v>0</v>
      </c>
      <c r="F102" s="10" t="s">
        <v>27</v>
      </c>
      <c r="G102" s="10">
        <v>8</v>
      </c>
      <c r="H102" s="11">
        <v>46119</v>
      </c>
    </row>
    <row r="103" spans="1:8" x14ac:dyDescent="0.2">
      <c r="A103" s="10">
        <v>415</v>
      </c>
      <c r="B103" s="10" t="s">
        <v>195</v>
      </c>
      <c r="C103" s="10" t="s">
        <v>196</v>
      </c>
      <c r="D103" s="10" t="s">
        <v>23</v>
      </c>
      <c r="E103" s="10" t="b">
        <v>0</v>
      </c>
      <c r="F103" s="10" t="s">
        <v>27</v>
      </c>
      <c r="G103" s="10">
        <v>6</v>
      </c>
      <c r="H103" s="11">
        <v>46119</v>
      </c>
    </row>
    <row r="104" spans="1:8" x14ac:dyDescent="0.2">
      <c r="A104" s="10">
        <v>1144</v>
      </c>
      <c r="B104" s="10" t="s">
        <v>195</v>
      </c>
      <c r="C104" s="10" t="s">
        <v>197</v>
      </c>
      <c r="D104" s="10" t="s">
        <v>54</v>
      </c>
      <c r="E104" s="10" t="b">
        <v>0</v>
      </c>
      <c r="F104" s="10" t="s">
        <v>188</v>
      </c>
      <c r="H104" s="11">
        <v>46119</v>
      </c>
    </row>
    <row r="105" spans="1:8" x14ac:dyDescent="0.2">
      <c r="A105" s="10">
        <v>203</v>
      </c>
      <c r="B105" s="10" t="s">
        <v>200</v>
      </c>
      <c r="C105" s="10" t="s">
        <v>201</v>
      </c>
      <c r="D105" s="10" t="s">
        <v>23</v>
      </c>
      <c r="E105" s="10" t="b">
        <v>0</v>
      </c>
      <c r="F105" s="10" t="s">
        <v>27</v>
      </c>
      <c r="G105" s="10">
        <v>9</v>
      </c>
      <c r="H105" s="11">
        <v>46119</v>
      </c>
    </row>
    <row r="106" spans="1:8" x14ac:dyDescent="0.2">
      <c r="A106" s="10">
        <v>956</v>
      </c>
      <c r="B106" s="10" t="s">
        <v>202</v>
      </c>
      <c r="C106" s="10" t="s">
        <v>94</v>
      </c>
      <c r="D106" s="10" t="s">
        <v>23</v>
      </c>
      <c r="E106" s="10" t="b">
        <v>0</v>
      </c>
      <c r="F106" s="10" t="s">
        <v>27</v>
      </c>
      <c r="G106" s="10">
        <v>13</v>
      </c>
      <c r="H106" s="11">
        <v>46119</v>
      </c>
    </row>
    <row r="107" spans="1:8" x14ac:dyDescent="0.2">
      <c r="A107" s="10">
        <v>1273</v>
      </c>
      <c r="B107" s="10" t="s">
        <v>203</v>
      </c>
      <c r="C107" s="10" t="s">
        <v>204</v>
      </c>
      <c r="D107" s="10" t="s">
        <v>23</v>
      </c>
      <c r="E107" s="10" t="b">
        <v>1</v>
      </c>
      <c r="F107" s="10" t="s">
        <v>27</v>
      </c>
      <c r="G107" s="10">
        <v>22</v>
      </c>
      <c r="H107" s="11">
        <v>46119</v>
      </c>
    </row>
    <row r="108" spans="1:8" x14ac:dyDescent="0.2">
      <c r="A108" s="10">
        <v>1272</v>
      </c>
      <c r="B108" s="10" t="s">
        <v>203</v>
      </c>
      <c r="C108" s="10" t="s">
        <v>205</v>
      </c>
      <c r="D108" s="10" t="s">
        <v>23</v>
      </c>
      <c r="E108" s="10" t="b">
        <v>0</v>
      </c>
      <c r="F108" s="10" t="s">
        <v>27</v>
      </c>
      <c r="G108" s="10">
        <v>24</v>
      </c>
      <c r="H108" s="11">
        <v>46119</v>
      </c>
    </row>
    <row r="109" spans="1:8" x14ac:dyDescent="0.2">
      <c r="A109" s="10">
        <v>846</v>
      </c>
      <c r="B109" s="10" t="s">
        <v>206</v>
      </c>
      <c r="C109" s="10" t="s">
        <v>207</v>
      </c>
      <c r="D109" s="10" t="s">
        <v>23</v>
      </c>
      <c r="E109" s="10" t="b">
        <v>0</v>
      </c>
      <c r="F109" s="10" t="s">
        <v>27</v>
      </c>
      <c r="G109" s="10">
        <v>17</v>
      </c>
      <c r="H109" s="11">
        <v>46119</v>
      </c>
    </row>
    <row r="110" spans="1:8" x14ac:dyDescent="0.2">
      <c r="A110" s="10">
        <v>1162</v>
      </c>
      <c r="B110" s="10" t="s">
        <v>208</v>
      </c>
      <c r="C110" s="10" t="s">
        <v>150</v>
      </c>
      <c r="D110" s="10" t="s">
        <v>23</v>
      </c>
      <c r="E110" s="10" t="b">
        <v>0</v>
      </c>
      <c r="F110" s="10" t="s">
        <v>25</v>
      </c>
      <c r="H110" s="11">
        <v>46119</v>
      </c>
    </row>
    <row r="111" spans="1:8" x14ac:dyDescent="0.2">
      <c r="A111" s="10">
        <v>1244</v>
      </c>
      <c r="B111" s="10" t="s">
        <v>209</v>
      </c>
      <c r="C111" s="10" t="s">
        <v>94</v>
      </c>
      <c r="D111" s="10" t="s">
        <v>23</v>
      </c>
      <c r="E111" s="10" t="b">
        <v>0</v>
      </c>
      <c r="F111" s="10" t="s">
        <v>27</v>
      </c>
      <c r="G111" s="10">
        <v>2</v>
      </c>
      <c r="H111" s="11">
        <v>46119</v>
      </c>
    </row>
    <row r="112" spans="1:8" x14ac:dyDescent="0.2">
      <c r="A112" s="10">
        <v>1379</v>
      </c>
      <c r="B112" s="10" t="s">
        <v>209</v>
      </c>
      <c r="C112" s="10" t="s">
        <v>210</v>
      </c>
      <c r="D112" s="10" t="s">
        <v>23</v>
      </c>
      <c r="E112" s="10" t="b">
        <v>1</v>
      </c>
      <c r="F112" s="10" t="s">
        <v>25</v>
      </c>
      <c r="H112" s="11">
        <v>46119</v>
      </c>
    </row>
    <row r="113" spans="1:8" x14ac:dyDescent="0.2">
      <c r="A113" s="10">
        <v>1362</v>
      </c>
      <c r="B113" s="10" t="s">
        <v>211</v>
      </c>
      <c r="C113" s="10" t="s">
        <v>212</v>
      </c>
      <c r="D113" s="10" t="s">
        <v>23</v>
      </c>
      <c r="E113" s="10" t="b">
        <v>1</v>
      </c>
      <c r="F113" s="10" t="s">
        <v>27</v>
      </c>
      <c r="G113" s="10">
        <v>22</v>
      </c>
      <c r="H113" s="11">
        <v>46119</v>
      </c>
    </row>
    <row r="114" spans="1:8" x14ac:dyDescent="0.2">
      <c r="A114" s="10">
        <v>1403</v>
      </c>
      <c r="B114" s="10" t="s">
        <v>213</v>
      </c>
      <c r="C114" s="10" t="s">
        <v>214</v>
      </c>
      <c r="D114" s="10" t="s">
        <v>23</v>
      </c>
      <c r="E114" s="10" t="b">
        <v>0</v>
      </c>
      <c r="F114" s="10" t="s">
        <v>27</v>
      </c>
      <c r="G114" s="10">
        <v>8</v>
      </c>
      <c r="H114" s="11">
        <v>46119</v>
      </c>
    </row>
    <row r="115" spans="1:8" x14ac:dyDescent="0.2">
      <c r="A115" s="10">
        <v>1404</v>
      </c>
      <c r="B115" s="10" t="s">
        <v>213</v>
      </c>
      <c r="C115" s="10" t="s">
        <v>215</v>
      </c>
      <c r="D115" s="10" t="s">
        <v>23</v>
      </c>
      <c r="E115" s="10" t="b">
        <v>1</v>
      </c>
      <c r="F115" s="10" t="s">
        <v>25</v>
      </c>
      <c r="H115" s="11">
        <v>46119</v>
      </c>
    </row>
    <row r="116" spans="1:8" x14ac:dyDescent="0.2">
      <c r="A116" s="10">
        <v>1229</v>
      </c>
      <c r="B116" s="10" t="s">
        <v>216</v>
      </c>
      <c r="C116" s="10" t="s">
        <v>217</v>
      </c>
      <c r="D116" s="10" t="s">
        <v>23</v>
      </c>
      <c r="E116" s="10" t="b">
        <v>1</v>
      </c>
      <c r="F116" s="10" t="s">
        <v>25</v>
      </c>
      <c r="H116" s="11">
        <v>46119</v>
      </c>
    </row>
    <row r="117" spans="1:8" x14ac:dyDescent="0.2">
      <c r="A117" s="10">
        <v>1408</v>
      </c>
      <c r="B117" s="10" t="s">
        <v>218</v>
      </c>
      <c r="C117" s="10" t="s">
        <v>219</v>
      </c>
      <c r="D117" s="10" t="s">
        <v>23</v>
      </c>
      <c r="E117" s="10" t="b">
        <v>0</v>
      </c>
      <c r="F117" s="10" t="s">
        <v>27</v>
      </c>
      <c r="G117" s="10">
        <v>20</v>
      </c>
      <c r="H117" s="11">
        <v>46119</v>
      </c>
    </row>
    <row r="118" spans="1:8" x14ac:dyDescent="0.2">
      <c r="A118" s="10">
        <v>1409</v>
      </c>
      <c r="B118" s="10" t="s">
        <v>218</v>
      </c>
      <c r="C118" s="10" t="s">
        <v>220</v>
      </c>
      <c r="D118" s="10" t="s">
        <v>23</v>
      </c>
      <c r="E118" s="10" t="b">
        <v>1</v>
      </c>
      <c r="F118" s="10" t="s">
        <v>27</v>
      </c>
      <c r="G118" s="10">
        <v>15</v>
      </c>
      <c r="H118" s="11">
        <v>46119</v>
      </c>
    </row>
    <row r="119" spans="1:8" x14ac:dyDescent="0.2">
      <c r="A119" s="10">
        <v>1198</v>
      </c>
      <c r="B119" s="10" t="s">
        <v>221</v>
      </c>
      <c r="C119" s="10" t="s">
        <v>222</v>
      </c>
      <c r="D119" s="10" t="s">
        <v>23</v>
      </c>
      <c r="E119" s="10" t="b">
        <v>0</v>
      </c>
      <c r="F119" s="10" t="s">
        <v>27</v>
      </c>
      <c r="G119" s="10">
        <v>5</v>
      </c>
      <c r="H119" s="11">
        <v>46119</v>
      </c>
    </row>
    <row r="120" spans="1:8" x14ac:dyDescent="0.2">
      <c r="A120" s="10">
        <v>1260</v>
      </c>
      <c r="B120" s="10" t="s">
        <v>223</v>
      </c>
      <c r="C120" s="10" t="s">
        <v>82</v>
      </c>
      <c r="D120" s="10" t="s">
        <v>23</v>
      </c>
      <c r="E120" s="10" t="b">
        <v>1</v>
      </c>
      <c r="F120" s="10" t="s">
        <v>27</v>
      </c>
      <c r="G120" s="10">
        <v>15</v>
      </c>
      <c r="H120" s="11">
        <v>46119</v>
      </c>
    </row>
    <row r="121" spans="1:8" x14ac:dyDescent="0.2">
      <c r="A121" s="10">
        <v>1361</v>
      </c>
      <c r="B121" s="10" t="s">
        <v>224</v>
      </c>
      <c r="C121" s="10" t="s">
        <v>225</v>
      </c>
      <c r="D121" s="10" t="s">
        <v>23</v>
      </c>
      <c r="E121" s="10" t="b">
        <v>0</v>
      </c>
      <c r="F121" s="10" t="s">
        <v>27</v>
      </c>
      <c r="G121" s="10">
        <v>16</v>
      </c>
      <c r="H121" s="11">
        <v>46119</v>
      </c>
    </row>
    <row r="122" spans="1:8" x14ac:dyDescent="0.2">
      <c r="A122" s="10">
        <v>1100</v>
      </c>
      <c r="B122" s="10" t="s">
        <v>226</v>
      </c>
      <c r="C122" s="10" t="s">
        <v>34</v>
      </c>
      <c r="D122" s="10" t="s">
        <v>23</v>
      </c>
      <c r="E122" s="10" t="b">
        <v>0</v>
      </c>
      <c r="F122" s="10" t="s">
        <v>27</v>
      </c>
      <c r="G122" s="10">
        <v>13</v>
      </c>
      <c r="H122" s="11">
        <v>46119</v>
      </c>
    </row>
    <row r="123" spans="1:8" x14ac:dyDescent="0.2">
      <c r="A123" s="10">
        <v>1385</v>
      </c>
      <c r="B123" s="10" t="s">
        <v>227</v>
      </c>
      <c r="C123" s="10" t="s">
        <v>228</v>
      </c>
      <c r="D123" s="10" t="s">
        <v>23</v>
      </c>
      <c r="E123" s="10" t="b">
        <v>0</v>
      </c>
      <c r="F123" s="10" t="s">
        <v>25</v>
      </c>
      <c r="H123" s="11">
        <v>46119</v>
      </c>
    </row>
    <row r="124" spans="1:8" x14ac:dyDescent="0.2">
      <c r="A124" s="10">
        <v>1394</v>
      </c>
      <c r="B124" s="10" t="s">
        <v>227</v>
      </c>
      <c r="C124" s="10" t="s">
        <v>229</v>
      </c>
      <c r="D124" s="10" t="s">
        <v>23</v>
      </c>
      <c r="E124" s="10" t="b">
        <v>0</v>
      </c>
      <c r="F124" s="10" t="s">
        <v>35</v>
      </c>
      <c r="H124" s="11">
        <v>46119</v>
      </c>
    </row>
    <row r="125" spans="1:8" x14ac:dyDescent="0.2">
      <c r="A125" s="10">
        <v>1419</v>
      </c>
      <c r="B125" s="10" t="s">
        <v>230</v>
      </c>
      <c r="C125" s="10" t="s">
        <v>231</v>
      </c>
      <c r="D125" s="10" t="s">
        <v>23</v>
      </c>
      <c r="E125" s="10" t="b">
        <v>0</v>
      </c>
      <c r="F125" s="10" t="s">
        <v>25</v>
      </c>
      <c r="H125" s="11">
        <v>46119</v>
      </c>
    </row>
    <row r="126" spans="1:8" x14ac:dyDescent="0.2">
      <c r="A126" s="10">
        <v>967</v>
      </c>
      <c r="B126" s="10" t="s">
        <v>232</v>
      </c>
      <c r="C126" s="10" t="s">
        <v>152</v>
      </c>
      <c r="D126" s="10" t="s">
        <v>23</v>
      </c>
      <c r="E126" s="10" t="b">
        <v>0</v>
      </c>
      <c r="F126" s="10" t="s">
        <v>27</v>
      </c>
      <c r="G126" s="10">
        <v>5</v>
      </c>
      <c r="H126" s="11">
        <v>46119</v>
      </c>
    </row>
    <row r="127" spans="1:8" x14ac:dyDescent="0.2">
      <c r="A127" s="10">
        <v>1373</v>
      </c>
      <c r="B127" s="10" t="s">
        <v>233</v>
      </c>
      <c r="C127" s="10" t="s">
        <v>234</v>
      </c>
      <c r="D127" s="10" t="s">
        <v>23</v>
      </c>
      <c r="E127" s="10" t="b">
        <v>0</v>
      </c>
      <c r="F127" s="10" t="s">
        <v>27</v>
      </c>
      <c r="G127" s="10">
        <v>10</v>
      </c>
      <c r="H127" s="11">
        <v>46119</v>
      </c>
    </row>
    <row r="128" spans="1:8" x14ac:dyDescent="0.2">
      <c r="A128" s="10">
        <v>1045</v>
      </c>
      <c r="B128" s="10" t="s">
        <v>235</v>
      </c>
      <c r="C128" s="10" t="s">
        <v>236</v>
      </c>
      <c r="D128" s="10" t="s">
        <v>23</v>
      </c>
      <c r="E128" s="10" t="b">
        <v>1</v>
      </c>
      <c r="F128" s="10" t="s">
        <v>27</v>
      </c>
      <c r="G128" s="10">
        <v>5</v>
      </c>
      <c r="H128" s="11">
        <v>46119</v>
      </c>
    </row>
    <row r="129" spans="1:8" x14ac:dyDescent="0.2">
      <c r="A129" s="10">
        <v>1046</v>
      </c>
      <c r="B129" s="10" t="s">
        <v>235</v>
      </c>
      <c r="C129" s="10" t="s">
        <v>237</v>
      </c>
      <c r="D129" s="10" t="s">
        <v>23</v>
      </c>
      <c r="E129" s="10" t="b">
        <v>0</v>
      </c>
      <c r="F129" s="10" t="s">
        <v>27</v>
      </c>
      <c r="G129" s="10">
        <v>35</v>
      </c>
      <c r="H129" s="11">
        <v>46119</v>
      </c>
    </row>
    <row r="130" spans="1:8" x14ac:dyDescent="0.2">
      <c r="A130" s="10">
        <v>1396</v>
      </c>
      <c r="B130" s="10" t="s">
        <v>238</v>
      </c>
      <c r="C130" s="10" t="s">
        <v>59</v>
      </c>
      <c r="D130" s="10" t="s">
        <v>23</v>
      </c>
      <c r="E130" s="10" t="b">
        <v>0</v>
      </c>
      <c r="F130" s="10" t="s">
        <v>25</v>
      </c>
      <c r="H130" s="11">
        <v>46119</v>
      </c>
    </row>
    <row r="131" spans="1:8" x14ac:dyDescent="0.2">
      <c r="A131" s="10">
        <v>1397</v>
      </c>
      <c r="B131" s="10" t="s">
        <v>238</v>
      </c>
      <c r="C131" s="10" t="s">
        <v>239</v>
      </c>
      <c r="D131" s="10" t="s">
        <v>23</v>
      </c>
      <c r="E131" s="10" t="b">
        <v>1</v>
      </c>
      <c r="F131" s="10" t="s">
        <v>25</v>
      </c>
      <c r="H131" s="11">
        <v>46119</v>
      </c>
    </row>
    <row r="132" spans="1:8" x14ac:dyDescent="0.2">
      <c r="A132" s="10">
        <v>1398</v>
      </c>
      <c r="B132" s="10" t="s">
        <v>238</v>
      </c>
      <c r="C132" s="10" t="s">
        <v>49</v>
      </c>
      <c r="D132" s="10" t="s">
        <v>23</v>
      </c>
      <c r="E132" s="10" t="b">
        <v>0</v>
      </c>
      <c r="F132" s="10" t="s">
        <v>35</v>
      </c>
      <c r="H132" s="11">
        <v>46119</v>
      </c>
    </row>
    <row r="133" spans="1:8" x14ac:dyDescent="0.2">
      <c r="A133" s="10">
        <v>1399</v>
      </c>
      <c r="B133" s="10" t="s">
        <v>238</v>
      </c>
      <c r="C133" s="10" t="s">
        <v>131</v>
      </c>
      <c r="D133" s="10" t="s">
        <v>23</v>
      </c>
      <c r="E133" s="10" t="b">
        <v>1</v>
      </c>
      <c r="F133" s="10" t="s">
        <v>35</v>
      </c>
      <c r="H133" s="11">
        <v>46119</v>
      </c>
    </row>
    <row r="134" spans="1:8" x14ac:dyDescent="0.2">
      <c r="A134" s="10">
        <v>771</v>
      </c>
      <c r="B134" s="10" t="s">
        <v>240</v>
      </c>
      <c r="C134" s="10" t="s">
        <v>241</v>
      </c>
      <c r="D134" s="10" t="s">
        <v>23</v>
      </c>
      <c r="E134" s="10" t="b">
        <v>0</v>
      </c>
      <c r="F134" s="10" t="s">
        <v>27</v>
      </c>
      <c r="G134" s="10">
        <v>14</v>
      </c>
      <c r="H134" s="11">
        <v>46119</v>
      </c>
    </row>
    <row r="135" spans="1:8" x14ac:dyDescent="0.2">
      <c r="A135" s="10">
        <v>1265</v>
      </c>
      <c r="B135" s="10" t="s">
        <v>242</v>
      </c>
      <c r="C135" s="10" t="s">
        <v>243</v>
      </c>
      <c r="D135" s="10" t="s">
        <v>23</v>
      </c>
      <c r="E135" s="10" t="b">
        <v>0</v>
      </c>
      <c r="F135" s="10" t="s">
        <v>27</v>
      </c>
      <c r="G135" s="10">
        <v>20</v>
      </c>
      <c r="H135" s="11">
        <v>46119</v>
      </c>
    </row>
    <row r="136" spans="1:8" x14ac:dyDescent="0.2">
      <c r="A136" s="10">
        <v>532</v>
      </c>
      <c r="B136" s="10" t="s">
        <v>244</v>
      </c>
      <c r="C136" s="10" t="s">
        <v>243</v>
      </c>
      <c r="D136" s="10" t="s">
        <v>23</v>
      </c>
      <c r="E136" s="10" t="b">
        <v>0</v>
      </c>
      <c r="F136" s="10" t="s">
        <v>27</v>
      </c>
      <c r="G136" s="10">
        <v>13</v>
      </c>
      <c r="H136" s="11">
        <v>46119</v>
      </c>
    </row>
    <row r="137" spans="1:8" x14ac:dyDescent="0.2">
      <c r="A137" s="10">
        <v>742</v>
      </c>
      <c r="B137" s="10" t="s">
        <v>246</v>
      </c>
      <c r="C137" s="10" t="s">
        <v>156</v>
      </c>
      <c r="D137" s="10" t="s">
        <v>23</v>
      </c>
      <c r="E137" s="10" t="b">
        <v>1</v>
      </c>
      <c r="F137" s="10" t="s">
        <v>27</v>
      </c>
      <c r="G137" s="10">
        <v>2</v>
      </c>
      <c r="H137" s="11">
        <v>46119</v>
      </c>
    </row>
    <row r="138" spans="1:8" x14ac:dyDescent="0.2">
      <c r="A138" s="10">
        <v>741</v>
      </c>
      <c r="B138" s="10" t="s">
        <v>246</v>
      </c>
      <c r="C138" s="10" t="s">
        <v>247</v>
      </c>
      <c r="D138" s="10" t="s">
        <v>23</v>
      </c>
      <c r="E138" s="10" t="b">
        <v>0</v>
      </c>
      <c r="F138" s="10" t="s">
        <v>27</v>
      </c>
      <c r="G138" s="10">
        <v>4</v>
      </c>
      <c r="H138" s="11">
        <v>46119</v>
      </c>
    </row>
    <row r="139" spans="1:8" x14ac:dyDescent="0.2">
      <c r="A139" s="10">
        <v>1298</v>
      </c>
      <c r="B139" s="10" t="s">
        <v>246</v>
      </c>
      <c r="C139" s="10" t="s">
        <v>132</v>
      </c>
      <c r="D139" s="10" t="s">
        <v>23</v>
      </c>
      <c r="E139" s="10" t="b">
        <v>1</v>
      </c>
      <c r="F139" s="10" t="s">
        <v>27</v>
      </c>
      <c r="G139" s="10">
        <v>13</v>
      </c>
      <c r="H139" s="11">
        <v>46119</v>
      </c>
    </row>
    <row r="140" spans="1:8" x14ac:dyDescent="0.2">
      <c r="A140" s="10">
        <v>747</v>
      </c>
      <c r="B140" s="10" t="s">
        <v>246</v>
      </c>
      <c r="C140" s="10" t="s">
        <v>22</v>
      </c>
      <c r="D140" s="10" t="s">
        <v>23</v>
      </c>
      <c r="E140" s="10" t="b">
        <v>0</v>
      </c>
      <c r="F140" s="10" t="s">
        <v>27</v>
      </c>
      <c r="G140" s="10">
        <v>1</v>
      </c>
      <c r="H140" s="11">
        <v>46119</v>
      </c>
    </row>
    <row r="141" spans="1:8" x14ac:dyDescent="0.2">
      <c r="A141" s="10">
        <v>1386</v>
      </c>
      <c r="B141" s="10" t="s">
        <v>246</v>
      </c>
      <c r="C141" s="10" t="s">
        <v>248</v>
      </c>
      <c r="D141" s="10" t="s">
        <v>23</v>
      </c>
      <c r="E141" s="10" t="b">
        <v>1</v>
      </c>
      <c r="F141" s="10" t="s">
        <v>35</v>
      </c>
      <c r="H141" s="11">
        <v>46119</v>
      </c>
    </row>
    <row r="142" spans="1:8" x14ac:dyDescent="0.2">
      <c r="A142" s="10">
        <v>564</v>
      </c>
      <c r="B142" s="10" t="s">
        <v>250</v>
      </c>
      <c r="C142" s="10" t="s">
        <v>34</v>
      </c>
      <c r="D142" s="10" t="s">
        <v>23</v>
      </c>
      <c r="E142" s="10" t="b">
        <v>0</v>
      </c>
      <c r="F142" s="10" t="s">
        <v>27</v>
      </c>
      <c r="G142" s="10">
        <v>7</v>
      </c>
      <c r="H142" s="11">
        <v>46119</v>
      </c>
    </row>
    <row r="143" spans="1:8" x14ac:dyDescent="0.2">
      <c r="A143" s="10">
        <v>1165</v>
      </c>
      <c r="B143" s="10" t="s">
        <v>251</v>
      </c>
      <c r="C143" s="10" t="s">
        <v>177</v>
      </c>
      <c r="D143" s="10" t="s">
        <v>23</v>
      </c>
      <c r="E143" s="10" t="b">
        <v>0</v>
      </c>
      <c r="F143" s="10" t="s">
        <v>27</v>
      </c>
      <c r="G143" s="10">
        <v>10</v>
      </c>
      <c r="H143" s="11">
        <v>46119</v>
      </c>
    </row>
    <row r="144" spans="1:8" x14ac:dyDescent="0.2">
      <c r="A144" s="10">
        <v>405</v>
      </c>
      <c r="B144" s="10" t="s">
        <v>252</v>
      </c>
      <c r="C144" s="10" t="s">
        <v>243</v>
      </c>
      <c r="D144" s="10" t="s">
        <v>23</v>
      </c>
      <c r="E144" s="10" t="b">
        <v>0</v>
      </c>
      <c r="F144" s="10" t="s">
        <v>27</v>
      </c>
      <c r="G144" s="10">
        <v>18</v>
      </c>
      <c r="H144" s="11">
        <v>46119</v>
      </c>
    </row>
    <row r="145" spans="1:8" x14ac:dyDescent="0.2">
      <c r="A145" s="10">
        <v>1346</v>
      </c>
      <c r="B145" s="10" t="s">
        <v>253</v>
      </c>
      <c r="C145" s="10" t="s">
        <v>254</v>
      </c>
      <c r="D145" s="10" t="s">
        <v>23</v>
      </c>
      <c r="E145" s="10" t="b">
        <v>0</v>
      </c>
      <c r="F145" s="10" t="s">
        <v>27</v>
      </c>
      <c r="G145" s="10">
        <v>20</v>
      </c>
      <c r="H145" s="11">
        <v>46119</v>
      </c>
    </row>
    <row r="146" spans="1:8" x14ac:dyDescent="0.2">
      <c r="A146" s="10">
        <v>1192</v>
      </c>
      <c r="B146" s="10" t="s">
        <v>255</v>
      </c>
      <c r="C146" s="10" t="s">
        <v>256</v>
      </c>
      <c r="D146" s="10" t="s">
        <v>23</v>
      </c>
      <c r="E146" s="10" t="b">
        <v>0</v>
      </c>
      <c r="F146" s="10" t="s">
        <v>27</v>
      </c>
      <c r="G146" s="10">
        <v>10</v>
      </c>
      <c r="H146" s="11">
        <v>46119</v>
      </c>
    </row>
    <row r="147" spans="1:8" x14ac:dyDescent="0.2">
      <c r="A147" s="10">
        <v>1157</v>
      </c>
      <c r="B147" s="10" t="s">
        <v>257</v>
      </c>
      <c r="C147" s="10" t="s">
        <v>100</v>
      </c>
      <c r="D147" s="10" t="s">
        <v>23</v>
      </c>
      <c r="E147" s="10" t="b">
        <v>0</v>
      </c>
      <c r="F147" s="10" t="s">
        <v>25</v>
      </c>
      <c r="H147" s="11">
        <v>46119</v>
      </c>
    </row>
    <row r="148" spans="1:8" x14ac:dyDescent="0.2">
      <c r="A148" s="10">
        <v>1359</v>
      </c>
      <c r="B148" s="10" t="s">
        <v>258</v>
      </c>
      <c r="C148" s="10" t="s">
        <v>49</v>
      </c>
      <c r="D148" s="10" t="s">
        <v>23</v>
      </c>
      <c r="E148" s="10" t="b">
        <v>0</v>
      </c>
      <c r="F148" s="10" t="s">
        <v>188</v>
      </c>
      <c r="H148" s="11">
        <v>46119</v>
      </c>
    </row>
    <row r="149" spans="1:8" x14ac:dyDescent="0.2">
      <c r="A149" s="10">
        <v>1360</v>
      </c>
      <c r="B149" s="10" t="s">
        <v>258</v>
      </c>
      <c r="C149" s="10" t="s">
        <v>259</v>
      </c>
      <c r="D149" s="10" t="s">
        <v>23</v>
      </c>
      <c r="E149" s="10" t="b">
        <v>1</v>
      </c>
      <c r="F149" s="10" t="s">
        <v>35</v>
      </c>
      <c r="H149" s="11">
        <v>46119</v>
      </c>
    </row>
    <row r="150" spans="1:8" x14ac:dyDescent="0.2">
      <c r="A150" s="10">
        <v>1357</v>
      </c>
      <c r="B150" s="10" t="s">
        <v>258</v>
      </c>
      <c r="C150" s="10" t="s">
        <v>34</v>
      </c>
      <c r="D150" s="10" t="s">
        <v>23</v>
      </c>
      <c r="E150" s="10" t="b">
        <v>0</v>
      </c>
      <c r="F150" s="10" t="s">
        <v>27</v>
      </c>
      <c r="G150" s="10">
        <v>5</v>
      </c>
      <c r="H150" s="11">
        <v>46119</v>
      </c>
    </row>
    <row r="151" spans="1:8" x14ac:dyDescent="0.2">
      <c r="A151" s="10">
        <v>1358</v>
      </c>
      <c r="B151" s="10" t="s">
        <v>258</v>
      </c>
      <c r="C151" s="10" t="s">
        <v>260</v>
      </c>
      <c r="D151" s="10" t="s">
        <v>23</v>
      </c>
      <c r="E151" s="10" t="b">
        <v>1</v>
      </c>
      <c r="F151" s="10" t="s">
        <v>27</v>
      </c>
      <c r="G151" s="10">
        <v>7</v>
      </c>
      <c r="H151" s="11">
        <v>46119</v>
      </c>
    </row>
    <row r="152" spans="1:8" x14ac:dyDescent="0.2">
      <c r="A152" s="10">
        <v>1390</v>
      </c>
      <c r="B152" s="10" t="s">
        <v>261</v>
      </c>
      <c r="C152" s="10" t="s">
        <v>262</v>
      </c>
      <c r="D152" s="10" t="s">
        <v>23</v>
      </c>
      <c r="E152" s="10" t="b">
        <v>0</v>
      </c>
      <c r="F152" s="10" t="s">
        <v>25</v>
      </c>
      <c r="H152" s="11">
        <v>46119</v>
      </c>
    </row>
    <row r="153" spans="1:8" x14ac:dyDescent="0.2">
      <c r="A153" s="10">
        <v>1107</v>
      </c>
      <c r="B153" s="10" t="s">
        <v>263</v>
      </c>
      <c r="C153" s="10" t="s">
        <v>264</v>
      </c>
      <c r="D153" s="10" t="s">
        <v>23</v>
      </c>
      <c r="E153" s="10" t="b">
        <v>1</v>
      </c>
      <c r="F153" s="10" t="s">
        <v>25</v>
      </c>
      <c r="H153" s="11">
        <v>46119</v>
      </c>
    </row>
    <row r="154" spans="1:8" x14ac:dyDescent="0.2">
      <c r="A154" s="10">
        <v>35</v>
      </c>
      <c r="B154" s="10" t="s">
        <v>265</v>
      </c>
      <c r="C154" s="10" t="s">
        <v>266</v>
      </c>
      <c r="D154" s="10" t="s">
        <v>23</v>
      </c>
      <c r="E154" s="10" t="b">
        <v>0</v>
      </c>
      <c r="F154" s="10" t="s">
        <v>27</v>
      </c>
      <c r="G154" s="10">
        <v>3</v>
      </c>
      <c r="H154" s="11">
        <v>46119</v>
      </c>
    </row>
    <row r="155" spans="1:8" x14ac:dyDescent="0.2">
      <c r="A155" s="10">
        <v>1094</v>
      </c>
      <c r="B155" s="10" t="s">
        <v>267</v>
      </c>
      <c r="C155" s="10" t="s">
        <v>268</v>
      </c>
      <c r="D155" s="10" t="s">
        <v>23</v>
      </c>
      <c r="E155" s="10" t="b">
        <v>0</v>
      </c>
      <c r="F155" s="10" t="s">
        <v>27</v>
      </c>
      <c r="G155" s="10">
        <v>12</v>
      </c>
      <c r="H155" s="11">
        <v>46119</v>
      </c>
    </row>
    <row r="156" spans="1:8" x14ac:dyDescent="0.2">
      <c r="A156" s="10">
        <v>1325</v>
      </c>
      <c r="B156" s="10" t="s">
        <v>269</v>
      </c>
      <c r="C156" s="10" t="s">
        <v>270</v>
      </c>
      <c r="D156" s="10" t="s">
        <v>23</v>
      </c>
      <c r="E156" s="10" t="b">
        <v>0</v>
      </c>
      <c r="F156" s="10" t="s">
        <v>27</v>
      </c>
      <c r="G156" s="10">
        <v>3</v>
      </c>
      <c r="H156" s="11">
        <v>46119</v>
      </c>
    </row>
    <row r="157" spans="1:8" x14ac:dyDescent="0.2">
      <c r="A157" s="10">
        <v>1143</v>
      </c>
      <c r="B157" s="10" t="s">
        <v>271</v>
      </c>
      <c r="C157" s="10" t="s">
        <v>247</v>
      </c>
      <c r="D157" s="10" t="s">
        <v>23</v>
      </c>
      <c r="E157" s="10" t="b">
        <v>0</v>
      </c>
      <c r="F157" s="10" t="s">
        <v>27</v>
      </c>
      <c r="G157" s="10">
        <v>3</v>
      </c>
      <c r="H157" s="11">
        <v>46119</v>
      </c>
    </row>
    <row r="158" spans="1:8" x14ac:dyDescent="0.2">
      <c r="A158" s="10">
        <v>1401</v>
      </c>
      <c r="B158" s="10" t="s">
        <v>272</v>
      </c>
      <c r="C158" s="10" t="s">
        <v>273</v>
      </c>
      <c r="D158" s="10" t="s">
        <v>23</v>
      </c>
      <c r="E158" s="10" t="b">
        <v>1</v>
      </c>
      <c r="F158" s="10" t="s">
        <v>25</v>
      </c>
      <c r="H158" s="11">
        <v>46119</v>
      </c>
    </row>
    <row r="159" spans="1:8" x14ac:dyDescent="0.2">
      <c r="A159" s="10">
        <v>1285</v>
      </c>
      <c r="B159" s="10" t="s">
        <v>274</v>
      </c>
      <c r="C159" s="10" t="s">
        <v>100</v>
      </c>
      <c r="D159" s="10" t="s">
        <v>23</v>
      </c>
      <c r="E159" s="10" t="b">
        <v>0</v>
      </c>
      <c r="F159" s="10" t="s">
        <v>25</v>
      </c>
      <c r="H159" s="11">
        <v>46119</v>
      </c>
    </row>
    <row r="160" spans="1:8" x14ac:dyDescent="0.2">
      <c r="A160" s="10">
        <v>38</v>
      </c>
      <c r="B160" s="10" t="s">
        <v>275</v>
      </c>
      <c r="C160" s="10" t="s">
        <v>276</v>
      </c>
      <c r="D160" s="10" t="s">
        <v>23</v>
      </c>
      <c r="E160" s="10" t="b">
        <v>0</v>
      </c>
      <c r="F160" s="10" t="s">
        <v>27</v>
      </c>
      <c r="G160" s="10">
        <v>13</v>
      </c>
      <c r="H160" s="11">
        <v>46119</v>
      </c>
    </row>
    <row r="161" spans="1:8" x14ac:dyDescent="0.2">
      <c r="A161" s="10">
        <v>245</v>
      </c>
      <c r="B161" s="10" t="s">
        <v>277</v>
      </c>
      <c r="C161" s="10" t="s">
        <v>234</v>
      </c>
      <c r="D161" s="10" t="s">
        <v>23</v>
      </c>
      <c r="E161" s="10" t="b">
        <v>0</v>
      </c>
      <c r="F161" s="10" t="s">
        <v>27</v>
      </c>
      <c r="G161" s="10">
        <v>10</v>
      </c>
      <c r="H161" s="11">
        <v>46119</v>
      </c>
    </row>
    <row r="162" spans="1:8" x14ac:dyDescent="0.2">
      <c r="A162" s="10">
        <v>39</v>
      </c>
      <c r="B162" s="10" t="s">
        <v>277</v>
      </c>
      <c r="C162" s="10" t="s">
        <v>278</v>
      </c>
      <c r="D162" s="10" t="s">
        <v>23</v>
      </c>
      <c r="E162" s="10" t="b">
        <v>0</v>
      </c>
      <c r="F162" s="10" t="s">
        <v>27</v>
      </c>
      <c r="G162" s="10">
        <v>43</v>
      </c>
      <c r="H162" s="11">
        <v>46119</v>
      </c>
    </row>
    <row r="163" spans="1:8" x14ac:dyDescent="0.2">
      <c r="A163" s="10">
        <v>508</v>
      </c>
      <c r="B163" s="10" t="s">
        <v>279</v>
      </c>
      <c r="C163" s="10" t="s">
        <v>59</v>
      </c>
      <c r="D163" s="10" t="s">
        <v>23</v>
      </c>
      <c r="E163" s="10" t="b">
        <v>0</v>
      </c>
      <c r="F163" s="10" t="s">
        <v>27</v>
      </c>
      <c r="G163" s="10">
        <v>31</v>
      </c>
      <c r="H163" s="11">
        <v>46119</v>
      </c>
    </row>
    <row r="164" spans="1:8" x14ac:dyDescent="0.2">
      <c r="A164" s="10">
        <v>1392</v>
      </c>
      <c r="B164" s="10" t="s">
        <v>284</v>
      </c>
      <c r="C164" s="10" t="s">
        <v>285</v>
      </c>
      <c r="D164" s="10" t="s">
        <v>23</v>
      </c>
      <c r="E164" s="10" t="b">
        <v>1</v>
      </c>
      <c r="F164" s="10" t="s">
        <v>25</v>
      </c>
      <c r="H164" s="11">
        <v>46119</v>
      </c>
    </row>
    <row r="165" spans="1:8" x14ac:dyDescent="0.2">
      <c r="A165" s="10">
        <v>1141</v>
      </c>
      <c r="B165" s="10" t="s">
        <v>286</v>
      </c>
      <c r="C165" s="10" t="s">
        <v>287</v>
      </c>
      <c r="D165" s="10" t="s">
        <v>23</v>
      </c>
      <c r="E165" s="10" t="b">
        <v>1</v>
      </c>
      <c r="F165" s="10" t="s">
        <v>27</v>
      </c>
      <c r="G165" s="10">
        <v>15</v>
      </c>
      <c r="H165" s="11">
        <v>46119</v>
      </c>
    </row>
    <row r="166" spans="1:8" x14ac:dyDescent="0.2">
      <c r="A166" s="10">
        <v>891</v>
      </c>
      <c r="B166" s="10" t="s">
        <v>288</v>
      </c>
      <c r="C166" s="10" t="s">
        <v>289</v>
      </c>
      <c r="D166" s="10" t="s">
        <v>23</v>
      </c>
      <c r="E166" s="10" t="b">
        <v>1</v>
      </c>
      <c r="F166" s="10" t="s">
        <v>25</v>
      </c>
      <c r="H166" s="11">
        <v>46119</v>
      </c>
    </row>
    <row r="167" spans="1:8" x14ac:dyDescent="0.2">
      <c r="A167" s="10">
        <v>1352</v>
      </c>
      <c r="B167" s="10" t="s">
        <v>290</v>
      </c>
      <c r="C167" s="10" t="s">
        <v>34</v>
      </c>
      <c r="D167" s="10" t="s">
        <v>23</v>
      </c>
      <c r="E167" s="10" t="b">
        <v>0</v>
      </c>
      <c r="F167" s="10" t="s">
        <v>27</v>
      </c>
      <c r="G167" s="10">
        <v>11</v>
      </c>
      <c r="H167" s="11">
        <v>46119</v>
      </c>
    </row>
    <row r="168" spans="1:8" x14ac:dyDescent="0.2">
      <c r="A168" s="10">
        <v>1339</v>
      </c>
      <c r="B168" s="10" t="s">
        <v>291</v>
      </c>
      <c r="C168" s="10" t="s">
        <v>292</v>
      </c>
      <c r="D168" s="10" t="s">
        <v>23</v>
      </c>
      <c r="E168" s="10" t="b">
        <v>0</v>
      </c>
      <c r="F168" s="10" t="s">
        <v>25</v>
      </c>
      <c r="H168" s="11">
        <v>46119</v>
      </c>
    </row>
    <row r="169" spans="1:8" x14ac:dyDescent="0.2">
      <c r="A169" s="10">
        <v>914</v>
      </c>
      <c r="B169" s="10" t="s">
        <v>293</v>
      </c>
      <c r="C169" s="10" t="s">
        <v>153</v>
      </c>
      <c r="D169" s="10" t="s">
        <v>23</v>
      </c>
      <c r="E169" s="10" t="b">
        <v>0</v>
      </c>
      <c r="F169" s="10" t="s">
        <v>27</v>
      </c>
      <c r="G169" s="10">
        <v>14</v>
      </c>
      <c r="H169" s="11">
        <v>46119</v>
      </c>
    </row>
    <row r="170" spans="1:8" x14ac:dyDescent="0.2">
      <c r="A170" s="10">
        <v>597</v>
      </c>
      <c r="B170" s="10" t="s">
        <v>294</v>
      </c>
      <c r="C170" s="10" t="s">
        <v>295</v>
      </c>
      <c r="D170" s="10" t="s">
        <v>23</v>
      </c>
      <c r="E170" s="10" t="b">
        <v>0</v>
      </c>
      <c r="F170" s="10" t="s">
        <v>27</v>
      </c>
      <c r="G170" s="10">
        <v>36</v>
      </c>
      <c r="H170" s="11">
        <v>46119</v>
      </c>
    </row>
    <row r="171" spans="1:8" x14ac:dyDescent="0.2">
      <c r="A171" s="10">
        <v>1038</v>
      </c>
      <c r="B171" s="10" t="s">
        <v>293</v>
      </c>
      <c r="C171" s="10" t="s">
        <v>51</v>
      </c>
      <c r="D171" s="10" t="s">
        <v>23</v>
      </c>
      <c r="E171" s="10" t="b">
        <v>0</v>
      </c>
      <c r="F171" s="10" t="s">
        <v>27</v>
      </c>
      <c r="G171" s="10">
        <v>12</v>
      </c>
      <c r="H171" s="11">
        <v>46119</v>
      </c>
    </row>
    <row r="172" spans="1:8" x14ac:dyDescent="0.2">
      <c r="A172" s="10">
        <v>1242</v>
      </c>
      <c r="B172" s="10" t="s">
        <v>297</v>
      </c>
      <c r="C172" s="10" t="s">
        <v>190</v>
      </c>
      <c r="D172" s="10" t="s">
        <v>23</v>
      </c>
      <c r="E172" s="10" t="b">
        <v>0</v>
      </c>
      <c r="F172" s="10" t="s">
        <v>27</v>
      </c>
      <c r="G172" s="10">
        <v>15</v>
      </c>
      <c r="H172" s="11">
        <v>46119</v>
      </c>
    </row>
    <row r="173" spans="1:8" x14ac:dyDescent="0.2">
      <c r="A173" s="10">
        <v>1048</v>
      </c>
      <c r="B173" s="10" t="s">
        <v>298</v>
      </c>
      <c r="C173" s="10" t="s">
        <v>268</v>
      </c>
      <c r="D173" s="10" t="s">
        <v>23</v>
      </c>
      <c r="E173" s="10" t="b">
        <v>0</v>
      </c>
      <c r="F173" s="10" t="s">
        <v>27</v>
      </c>
      <c r="G173" s="10">
        <v>16</v>
      </c>
      <c r="H173" s="11">
        <v>46119</v>
      </c>
    </row>
    <row r="174" spans="1:8" x14ac:dyDescent="0.2">
      <c r="A174" s="10">
        <v>1055</v>
      </c>
      <c r="B174" s="10" t="s">
        <v>298</v>
      </c>
      <c r="C174" s="10" t="s">
        <v>299</v>
      </c>
      <c r="D174" s="10" t="s">
        <v>23</v>
      </c>
      <c r="E174" s="10" t="b">
        <v>0</v>
      </c>
      <c r="F174" s="10" t="s">
        <v>27</v>
      </c>
      <c r="G174" s="10">
        <v>1</v>
      </c>
      <c r="H174" s="11">
        <v>46119</v>
      </c>
    </row>
    <row r="175" spans="1:8" x14ac:dyDescent="0.2">
      <c r="A175" s="10">
        <v>820</v>
      </c>
      <c r="B175" s="10" t="s">
        <v>298</v>
      </c>
      <c r="C175" s="10" t="s">
        <v>139</v>
      </c>
      <c r="D175" s="10" t="s">
        <v>23</v>
      </c>
      <c r="E175" s="10" t="b">
        <v>1</v>
      </c>
      <c r="F175" s="10" t="s">
        <v>27</v>
      </c>
      <c r="G175" s="10">
        <v>6</v>
      </c>
      <c r="H175" s="11">
        <v>46119</v>
      </c>
    </row>
    <row r="176" spans="1:8" x14ac:dyDescent="0.2">
      <c r="A176" s="10">
        <v>687</v>
      </c>
      <c r="B176" s="10" t="s">
        <v>298</v>
      </c>
      <c r="C176" s="10" t="s">
        <v>301</v>
      </c>
      <c r="D176" s="10" t="s">
        <v>23</v>
      </c>
      <c r="E176" s="10" t="b">
        <v>0</v>
      </c>
      <c r="F176" s="10" t="s">
        <v>27</v>
      </c>
      <c r="G176" s="10">
        <v>7</v>
      </c>
      <c r="H176" s="11">
        <v>46119</v>
      </c>
    </row>
    <row r="177" spans="1:8" x14ac:dyDescent="0.2">
      <c r="A177" s="10">
        <v>1420</v>
      </c>
      <c r="B177" s="10" t="s">
        <v>302</v>
      </c>
      <c r="C177" s="10" t="s">
        <v>212</v>
      </c>
      <c r="D177" s="10" t="s">
        <v>23</v>
      </c>
      <c r="E177" s="10" t="b">
        <v>1</v>
      </c>
      <c r="F177" s="10" t="s">
        <v>27</v>
      </c>
      <c r="G177" s="10">
        <v>15</v>
      </c>
      <c r="H177" s="11">
        <v>46119</v>
      </c>
    </row>
    <row r="178" spans="1:8" x14ac:dyDescent="0.2">
      <c r="A178" s="10">
        <v>1410</v>
      </c>
      <c r="B178" s="10" t="s">
        <v>104</v>
      </c>
      <c r="C178" s="10" t="s">
        <v>303</v>
      </c>
      <c r="D178" s="10" t="s">
        <v>23</v>
      </c>
      <c r="E178" s="10" t="b">
        <v>0</v>
      </c>
      <c r="F178" s="10" t="s">
        <v>25</v>
      </c>
      <c r="H178" s="11">
        <v>46119</v>
      </c>
    </row>
    <row r="179" spans="1:8" x14ac:dyDescent="0.2">
      <c r="A179" s="10">
        <v>1161</v>
      </c>
      <c r="B179" s="10" t="s">
        <v>304</v>
      </c>
      <c r="C179" s="10" t="s">
        <v>305</v>
      </c>
      <c r="D179" s="10" t="s">
        <v>23</v>
      </c>
      <c r="E179" s="10" t="b">
        <v>0</v>
      </c>
      <c r="F179" s="10" t="s">
        <v>25</v>
      </c>
      <c r="H179" s="11">
        <v>46119</v>
      </c>
    </row>
    <row r="180" spans="1:8" x14ac:dyDescent="0.2">
      <c r="A180" s="10">
        <v>890</v>
      </c>
      <c r="B180" s="10" t="s">
        <v>306</v>
      </c>
      <c r="C180" s="10" t="s">
        <v>307</v>
      </c>
      <c r="D180" s="10" t="s">
        <v>54</v>
      </c>
      <c r="E180" s="10" t="b">
        <v>0</v>
      </c>
      <c r="F180" s="10" t="s">
        <v>27</v>
      </c>
      <c r="G180" s="10">
        <v>23</v>
      </c>
      <c r="H180" s="11">
        <v>46119</v>
      </c>
    </row>
    <row r="181" spans="1:8" x14ac:dyDescent="0.2">
      <c r="A181" s="10">
        <v>45</v>
      </c>
      <c r="B181" s="10" t="s">
        <v>309</v>
      </c>
      <c r="C181" s="10" t="s">
        <v>310</v>
      </c>
      <c r="D181" s="10" t="s">
        <v>23</v>
      </c>
      <c r="E181" s="10" t="b">
        <v>0</v>
      </c>
      <c r="F181" s="10" t="s">
        <v>27</v>
      </c>
      <c r="G181" s="10">
        <v>20</v>
      </c>
      <c r="H181" s="11">
        <v>46119</v>
      </c>
    </row>
    <row r="182" spans="1:8" x14ac:dyDescent="0.2">
      <c r="A182" s="10">
        <v>1160</v>
      </c>
      <c r="B182" s="10" t="s">
        <v>311</v>
      </c>
      <c r="C182" s="10" t="s">
        <v>312</v>
      </c>
      <c r="D182" s="10" t="s">
        <v>23</v>
      </c>
      <c r="E182" s="10" t="b">
        <v>0</v>
      </c>
      <c r="F182" s="10" t="s">
        <v>25</v>
      </c>
      <c r="H182" s="11">
        <v>46119</v>
      </c>
    </row>
    <row r="183" spans="1:8" x14ac:dyDescent="0.2">
      <c r="A183" s="10">
        <v>945</v>
      </c>
      <c r="B183" s="10" t="s">
        <v>313</v>
      </c>
      <c r="C183" s="10" t="s">
        <v>49</v>
      </c>
      <c r="D183" s="10" t="s">
        <v>23</v>
      </c>
      <c r="E183" s="10" t="b">
        <v>0</v>
      </c>
      <c r="F183" s="10" t="s">
        <v>25</v>
      </c>
      <c r="H183" s="11">
        <v>46119</v>
      </c>
    </row>
    <row r="184" spans="1:8" x14ac:dyDescent="0.2">
      <c r="A184" s="10">
        <v>813</v>
      </c>
      <c r="B184" s="10" t="s">
        <v>313</v>
      </c>
      <c r="C184" s="10" t="s">
        <v>289</v>
      </c>
      <c r="D184" s="10" t="s">
        <v>23</v>
      </c>
      <c r="E184" s="10" t="b">
        <v>1</v>
      </c>
      <c r="F184" s="10" t="s">
        <v>27</v>
      </c>
      <c r="G184" s="10">
        <v>7</v>
      </c>
      <c r="H184" s="11">
        <v>46119</v>
      </c>
    </row>
    <row r="185" spans="1:8" x14ac:dyDescent="0.2">
      <c r="A185" s="10">
        <v>812</v>
      </c>
      <c r="B185" s="10" t="s">
        <v>313</v>
      </c>
      <c r="C185" s="10" t="s">
        <v>170</v>
      </c>
      <c r="D185" s="10" t="s">
        <v>23</v>
      </c>
      <c r="E185" s="10" t="b">
        <v>0</v>
      </c>
      <c r="F185" s="10" t="s">
        <v>27</v>
      </c>
      <c r="G185" s="10">
        <v>9</v>
      </c>
      <c r="H185" s="11">
        <v>46119</v>
      </c>
    </row>
    <row r="186" spans="1:8" x14ac:dyDescent="0.2">
      <c r="A186" s="10">
        <v>1129</v>
      </c>
      <c r="B186" s="10" t="s">
        <v>314</v>
      </c>
      <c r="C186" s="10" t="s">
        <v>315</v>
      </c>
      <c r="D186" s="10" t="s">
        <v>23</v>
      </c>
      <c r="E186" s="10" t="b">
        <v>0</v>
      </c>
      <c r="F186" s="10" t="s">
        <v>27</v>
      </c>
      <c r="G186" s="10">
        <v>12</v>
      </c>
      <c r="H186" s="11">
        <v>46119</v>
      </c>
    </row>
    <row r="187" spans="1:8" x14ac:dyDescent="0.2">
      <c r="A187" s="10">
        <v>915</v>
      </c>
      <c r="B187" s="10" t="s">
        <v>316</v>
      </c>
      <c r="C187" s="10" t="s">
        <v>241</v>
      </c>
      <c r="D187" s="10" t="s">
        <v>23</v>
      </c>
      <c r="E187" s="10" t="b">
        <v>0</v>
      </c>
      <c r="F187" s="10" t="s">
        <v>27</v>
      </c>
      <c r="G187" s="10">
        <v>8</v>
      </c>
      <c r="H187" s="11">
        <v>46119</v>
      </c>
    </row>
    <row r="188" spans="1:8" x14ac:dyDescent="0.2">
      <c r="A188" s="10">
        <v>860</v>
      </c>
      <c r="B188" s="10" t="s">
        <v>321</v>
      </c>
      <c r="C188" s="10" t="s">
        <v>215</v>
      </c>
      <c r="D188" s="10" t="s">
        <v>23</v>
      </c>
      <c r="E188" s="10" t="b">
        <v>1</v>
      </c>
      <c r="F188" s="10" t="s">
        <v>25</v>
      </c>
      <c r="H188" s="11">
        <v>46119</v>
      </c>
    </row>
    <row r="189" spans="1:8" x14ac:dyDescent="0.2">
      <c r="A189" s="10">
        <v>756</v>
      </c>
      <c r="B189" s="10" t="s">
        <v>321</v>
      </c>
      <c r="C189" s="10" t="s">
        <v>322</v>
      </c>
      <c r="D189" s="10" t="s">
        <v>23</v>
      </c>
      <c r="E189" s="10" t="b">
        <v>0</v>
      </c>
      <c r="F189" s="10" t="s">
        <v>25</v>
      </c>
      <c r="H189" s="11">
        <v>46119</v>
      </c>
    </row>
    <row r="190" spans="1:8" x14ac:dyDescent="0.2">
      <c r="A190" s="10">
        <v>407</v>
      </c>
      <c r="B190" s="10" t="s">
        <v>321</v>
      </c>
      <c r="C190" s="10" t="s">
        <v>323</v>
      </c>
      <c r="D190" s="10" t="s">
        <v>23</v>
      </c>
      <c r="E190" s="10" t="b">
        <v>0</v>
      </c>
      <c r="F190" s="10" t="s">
        <v>27</v>
      </c>
      <c r="G190" s="10">
        <v>5</v>
      </c>
      <c r="H190" s="11">
        <v>46119</v>
      </c>
    </row>
    <row r="191" spans="1:8" x14ac:dyDescent="0.2">
      <c r="A191" s="10">
        <v>1312</v>
      </c>
      <c r="B191" s="10" t="s">
        <v>329</v>
      </c>
      <c r="C191" s="10" t="s">
        <v>287</v>
      </c>
      <c r="D191" s="10" t="s">
        <v>23</v>
      </c>
      <c r="E191" s="10" t="b">
        <v>1</v>
      </c>
      <c r="F191" s="10" t="s">
        <v>27</v>
      </c>
      <c r="G191" s="10">
        <v>35</v>
      </c>
      <c r="H191" s="11">
        <v>46119</v>
      </c>
    </row>
    <row r="192" spans="1:8" x14ac:dyDescent="0.2">
      <c r="A192" s="10">
        <v>935</v>
      </c>
      <c r="B192" s="10" t="s">
        <v>330</v>
      </c>
      <c r="C192" s="10" t="s">
        <v>245</v>
      </c>
      <c r="D192" s="10" t="s">
        <v>23</v>
      </c>
      <c r="E192" s="10" t="b">
        <v>1</v>
      </c>
      <c r="F192" s="10" t="s">
        <v>25</v>
      </c>
      <c r="H192" s="11">
        <v>46119</v>
      </c>
    </row>
    <row r="193" spans="1:8" x14ac:dyDescent="0.2">
      <c r="A193" s="10">
        <v>999</v>
      </c>
      <c r="B193" s="10" t="s">
        <v>330</v>
      </c>
      <c r="C193" s="10" t="s">
        <v>331</v>
      </c>
      <c r="D193" s="10" t="s">
        <v>23</v>
      </c>
      <c r="E193" s="10" t="b">
        <v>1</v>
      </c>
      <c r="F193" s="10" t="s">
        <v>25</v>
      </c>
      <c r="H193" s="11">
        <v>46119</v>
      </c>
    </row>
    <row r="194" spans="1:8" x14ac:dyDescent="0.2">
      <c r="A194" s="10">
        <v>998</v>
      </c>
      <c r="B194" s="10" t="s">
        <v>330</v>
      </c>
      <c r="C194" s="10" t="s">
        <v>332</v>
      </c>
      <c r="D194" s="10" t="s">
        <v>23</v>
      </c>
      <c r="E194" s="10" t="b">
        <v>1</v>
      </c>
      <c r="F194" s="10" t="s">
        <v>27</v>
      </c>
      <c r="G194" s="10">
        <v>5</v>
      </c>
      <c r="H194" s="11">
        <v>46119</v>
      </c>
    </row>
    <row r="195" spans="1:8" x14ac:dyDescent="0.2">
      <c r="A195" s="10">
        <v>616</v>
      </c>
      <c r="B195" s="10" t="s">
        <v>330</v>
      </c>
      <c r="C195" s="10" t="s">
        <v>41</v>
      </c>
      <c r="D195" s="10" t="s">
        <v>23</v>
      </c>
      <c r="E195" s="10" t="b">
        <v>0</v>
      </c>
      <c r="F195" s="10" t="s">
        <v>27</v>
      </c>
      <c r="G195" s="10">
        <v>7</v>
      </c>
      <c r="H195" s="11">
        <v>46119</v>
      </c>
    </row>
    <row r="196" spans="1:8" x14ac:dyDescent="0.2">
      <c r="A196" s="10">
        <v>558</v>
      </c>
      <c r="B196" s="10" t="s">
        <v>333</v>
      </c>
      <c r="C196" s="10" t="s">
        <v>334</v>
      </c>
      <c r="D196" s="10" t="s">
        <v>23</v>
      </c>
      <c r="E196" s="10" t="b">
        <v>0</v>
      </c>
      <c r="F196" s="10" t="s">
        <v>27</v>
      </c>
      <c r="G196" s="10">
        <v>15</v>
      </c>
      <c r="H196" s="11">
        <v>46119</v>
      </c>
    </row>
    <row r="197" spans="1:8" x14ac:dyDescent="0.2">
      <c r="A197" s="10">
        <v>991</v>
      </c>
      <c r="B197" s="10" t="s">
        <v>335</v>
      </c>
      <c r="C197" s="10" t="s">
        <v>184</v>
      </c>
      <c r="D197" s="10" t="s">
        <v>23</v>
      </c>
      <c r="E197" s="10" t="b">
        <v>1</v>
      </c>
      <c r="F197" s="10" t="s">
        <v>35</v>
      </c>
      <c r="H197" s="11">
        <v>46119</v>
      </c>
    </row>
    <row r="198" spans="1:8" x14ac:dyDescent="0.2">
      <c r="A198" s="10">
        <v>359</v>
      </c>
      <c r="B198" s="10" t="s">
        <v>336</v>
      </c>
      <c r="C198" s="10" t="s">
        <v>26</v>
      </c>
      <c r="D198" s="10" t="s">
        <v>23</v>
      </c>
      <c r="E198" s="10" t="b">
        <v>0</v>
      </c>
      <c r="F198" s="10" t="s">
        <v>27</v>
      </c>
      <c r="G198" s="10">
        <v>24</v>
      </c>
      <c r="H198" s="11">
        <v>46119</v>
      </c>
    </row>
    <row r="199" spans="1:8" x14ac:dyDescent="0.2">
      <c r="A199" s="10">
        <v>1310</v>
      </c>
      <c r="B199" s="10" t="s">
        <v>337</v>
      </c>
      <c r="C199" s="10" t="s">
        <v>311</v>
      </c>
      <c r="D199" s="10" t="s">
        <v>23</v>
      </c>
      <c r="E199" s="10" t="b">
        <v>0</v>
      </c>
      <c r="F199" s="10" t="s">
        <v>25</v>
      </c>
      <c r="H199" s="11">
        <v>46119</v>
      </c>
    </row>
    <row r="200" spans="1:8" x14ac:dyDescent="0.2">
      <c r="A200" s="10">
        <v>1254</v>
      </c>
      <c r="B200" s="10" t="s">
        <v>349</v>
      </c>
      <c r="C200" s="10" t="s">
        <v>51</v>
      </c>
      <c r="D200" s="10" t="s">
        <v>23</v>
      </c>
      <c r="E200" s="10" t="b">
        <v>0</v>
      </c>
      <c r="F200" s="10" t="s">
        <v>27</v>
      </c>
      <c r="G200" s="10">
        <v>21</v>
      </c>
      <c r="H200" s="11">
        <v>46119</v>
      </c>
    </row>
    <row r="201" spans="1:8" x14ac:dyDescent="0.2">
      <c r="A201" s="10">
        <v>1200</v>
      </c>
      <c r="B201" s="10" t="s">
        <v>338</v>
      </c>
      <c r="C201" s="10" t="s">
        <v>339</v>
      </c>
      <c r="D201" s="10" t="s">
        <v>23</v>
      </c>
      <c r="E201" s="10" t="b">
        <v>0</v>
      </c>
      <c r="F201" s="10" t="s">
        <v>27</v>
      </c>
      <c r="G201" s="10">
        <v>6</v>
      </c>
      <c r="H201" s="11">
        <v>46119</v>
      </c>
    </row>
    <row r="202" spans="1:8" x14ac:dyDescent="0.2">
      <c r="A202" s="10">
        <v>1411</v>
      </c>
      <c r="B202" s="10" t="s">
        <v>338</v>
      </c>
      <c r="C202" s="10" t="s">
        <v>72</v>
      </c>
      <c r="D202" s="10" t="s">
        <v>23</v>
      </c>
      <c r="E202" s="10" t="b">
        <v>1</v>
      </c>
      <c r="F202" s="10" t="s">
        <v>27</v>
      </c>
      <c r="G202" s="10">
        <v>3</v>
      </c>
      <c r="H202" s="11">
        <v>46119</v>
      </c>
    </row>
    <row r="203" spans="1:8" x14ac:dyDescent="0.2">
      <c r="A203" s="10">
        <v>1412</v>
      </c>
      <c r="B203" s="10" t="s">
        <v>338</v>
      </c>
      <c r="C203" s="10" t="s">
        <v>340</v>
      </c>
      <c r="D203" s="10" t="s">
        <v>23</v>
      </c>
      <c r="E203" s="10" t="b">
        <v>1</v>
      </c>
      <c r="F203" s="10" t="s">
        <v>188</v>
      </c>
      <c r="H203" s="11">
        <v>46119</v>
      </c>
    </row>
    <row r="204" spans="1:8" x14ac:dyDescent="0.2">
      <c r="A204" s="10">
        <v>1413</v>
      </c>
      <c r="B204" s="10" t="s">
        <v>338</v>
      </c>
      <c r="C204" s="10" t="s">
        <v>214</v>
      </c>
      <c r="D204" s="10" t="s">
        <v>23</v>
      </c>
      <c r="E204" s="10" t="b">
        <v>0</v>
      </c>
      <c r="F204" s="10" t="s">
        <v>188</v>
      </c>
      <c r="H204" s="11">
        <v>46119</v>
      </c>
    </row>
    <row r="205" spans="1:8" x14ac:dyDescent="0.2">
      <c r="A205" s="10">
        <v>1376</v>
      </c>
      <c r="B205" s="10" t="s">
        <v>192</v>
      </c>
      <c r="C205" s="10" t="s">
        <v>127</v>
      </c>
      <c r="D205" s="10" t="s">
        <v>23</v>
      </c>
      <c r="E205" s="10" t="b">
        <v>1</v>
      </c>
      <c r="F205" s="10" t="s">
        <v>25</v>
      </c>
      <c r="H205" s="11">
        <v>46119</v>
      </c>
    </row>
    <row r="206" spans="1:8" x14ac:dyDescent="0.2">
      <c r="A206" s="10">
        <v>1140</v>
      </c>
      <c r="B206" s="10" t="s">
        <v>341</v>
      </c>
      <c r="C206" s="10" t="s">
        <v>243</v>
      </c>
      <c r="D206" s="10" t="s">
        <v>23</v>
      </c>
      <c r="E206" s="10" t="b">
        <v>0</v>
      </c>
      <c r="F206" s="10" t="s">
        <v>25</v>
      </c>
      <c r="H206" s="11">
        <v>46119</v>
      </c>
    </row>
    <row r="207" spans="1:8" x14ac:dyDescent="0.2">
      <c r="A207" s="10">
        <v>989</v>
      </c>
      <c r="B207" s="10" t="s">
        <v>342</v>
      </c>
      <c r="C207" s="10" t="s">
        <v>343</v>
      </c>
      <c r="D207" s="10" t="s">
        <v>23</v>
      </c>
      <c r="E207" s="10" t="b">
        <v>0</v>
      </c>
      <c r="F207" s="10" t="s">
        <v>27</v>
      </c>
      <c r="G207" s="10">
        <v>3</v>
      </c>
      <c r="H207" s="11">
        <v>46119</v>
      </c>
    </row>
    <row r="208" spans="1:8" x14ac:dyDescent="0.2">
      <c r="A208" s="10">
        <v>1417</v>
      </c>
      <c r="B208" s="10" t="s">
        <v>344</v>
      </c>
      <c r="C208" s="10" t="s">
        <v>345</v>
      </c>
      <c r="D208" s="10" t="s">
        <v>23</v>
      </c>
      <c r="E208" s="10" t="b">
        <v>1</v>
      </c>
      <c r="F208" s="10" t="s">
        <v>27</v>
      </c>
      <c r="G208" s="10">
        <v>17</v>
      </c>
      <c r="H208" s="11">
        <v>46119</v>
      </c>
    </row>
    <row r="209" spans="1:8" x14ac:dyDescent="0.2">
      <c r="A209" s="10">
        <v>52</v>
      </c>
      <c r="B209" s="10" t="s">
        <v>346</v>
      </c>
      <c r="C209" s="10" t="s">
        <v>192</v>
      </c>
      <c r="D209" s="10" t="s">
        <v>23</v>
      </c>
      <c r="E209" s="10" t="b">
        <v>0</v>
      </c>
      <c r="F209" s="10" t="s">
        <v>25</v>
      </c>
      <c r="H209" s="11">
        <v>46119</v>
      </c>
    </row>
    <row r="210" spans="1:8" x14ac:dyDescent="0.2">
      <c r="A210" s="10">
        <v>62</v>
      </c>
      <c r="B210" s="10" t="s">
        <v>344</v>
      </c>
      <c r="C210" s="10" t="s">
        <v>234</v>
      </c>
      <c r="D210" s="10" t="s">
        <v>23</v>
      </c>
      <c r="E210" s="10" t="b">
        <v>0</v>
      </c>
      <c r="F210" s="10" t="s">
        <v>27</v>
      </c>
      <c r="G210" s="10">
        <v>4</v>
      </c>
      <c r="H210" s="11">
        <v>46119</v>
      </c>
    </row>
    <row r="211" spans="1:8" x14ac:dyDescent="0.2">
      <c r="A211" s="10">
        <v>930</v>
      </c>
      <c r="B211" s="10" t="s">
        <v>347</v>
      </c>
      <c r="C211" s="10" t="s">
        <v>348</v>
      </c>
      <c r="D211" s="10" t="s">
        <v>23</v>
      </c>
      <c r="E211" s="10" t="b">
        <v>1</v>
      </c>
      <c r="F211" s="10" t="s">
        <v>27</v>
      </c>
      <c r="G211" s="10">
        <v>6</v>
      </c>
      <c r="H211" s="11">
        <v>46119</v>
      </c>
    </row>
    <row r="212" spans="1:8" x14ac:dyDescent="0.2">
      <c r="A212" s="10">
        <v>744</v>
      </c>
      <c r="B212" s="10" t="s">
        <v>350</v>
      </c>
      <c r="C212" s="10" t="s">
        <v>351</v>
      </c>
      <c r="D212" s="10" t="s">
        <v>23</v>
      </c>
      <c r="E212" s="10" t="b">
        <v>0</v>
      </c>
      <c r="F212" s="10" t="s">
        <v>27</v>
      </c>
      <c r="G212" s="10">
        <v>28</v>
      </c>
      <c r="H212" s="11">
        <v>46119</v>
      </c>
    </row>
    <row r="213" spans="1:8" x14ac:dyDescent="0.2">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03515625" defaultRowHeight="15" x14ac:dyDescent="0.2"/>
  <cols>
    <col min="1" max="7" width="9.03515625" style="12"/>
    <col min="8" max="8" width="10.24609375" style="12" bestFit="1" customWidth="1"/>
    <col min="9" max="16384" width="9.03515625" style="12"/>
  </cols>
  <sheetData>
    <row r="1" spans="1:8" x14ac:dyDescent="0.2">
      <c r="A1" s="12" t="s">
        <v>13</v>
      </c>
      <c r="B1" s="12" t="s">
        <v>14</v>
      </c>
      <c r="C1" s="12" t="s">
        <v>15</v>
      </c>
      <c r="D1" s="12" t="s">
        <v>16</v>
      </c>
      <c r="E1" s="12" t="s">
        <v>17</v>
      </c>
      <c r="F1" s="12" t="s">
        <v>18</v>
      </c>
      <c r="G1" s="12" t="s">
        <v>19</v>
      </c>
      <c r="H1" s="12" t="s">
        <v>20</v>
      </c>
    </row>
    <row r="2" spans="1:8" x14ac:dyDescent="0.2">
      <c r="A2" s="12">
        <v>1327</v>
      </c>
      <c r="B2" s="12" t="s">
        <v>21</v>
      </c>
      <c r="C2" s="12" t="s">
        <v>22</v>
      </c>
      <c r="D2" s="12" t="s">
        <v>23</v>
      </c>
      <c r="E2" s="12" t="b">
        <v>0</v>
      </c>
      <c r="F2" s="12" t="s">
        <v>25</v>
      </c>
      <c r="H2" s="13">
        <v>46119</v>
      </c>
    </row>
    <row r="3" spans="1:8" x14ac:dyDescent="0.2">
      <c r="A3" s="12">
        <v>1237</v>
      </c>
      <c r="B3" s="12" t="s">
        <v>21</v>
      </c>
      <c r="C3" s="12" t="s">
        <v>26</v>
      </c>
      <c r="D3" s="12" t="s">
        <v>23</v>
      </c>
      <c r="E3" s="12" t="b">
        <v>0</v>
      </c>
      <c r="F3" s="12" t="s">
        <v>27</v>
      </c>
      <c r="G3" s="12">
        <v>1</v>
      </c>
      <c r="H3" s="13">
        <v>46119</v>
      </c>
    </row>
    <row r="4" spans="1:8" x14ac:dyDescent="0.2">
      <c r="A4" s="12">
        <v>819</v>
      </c>
      <c r="B4" s="12" t="s">
        <v>28</v>
      </c>
      <c r="C4" s="12" t="s">
        <v>29</v>
      </c>
      <c r="D4" s="12" t="s">
        <v>23</v>
      </c>
      <c r="E4" s="12" t="b">
        <v>1</v>
      </c>
      <c r="F4" s="12" t="s">
        <v>27</v>
      </c>
      <c r="G4" s="12">
        <v>23</v>
      </c>
      <c r="H4" s="13">
        <v>46119</v>
      </c>
    </row>
    <row r="5" spans="1:8" x14ac:dyDescent="0.2">
      <c r="A5" s="12">
        <v>2</v>
      </c>
      <c r="B5" s="12" t="s">
        <v>31</v>
      </c>
      <c r="C5" s="12" t="s">
        <v>32</v>
      </c>
      <c r="D5" s="12" t="s">
        <v>23</v>
      </c>
      <c r="E5" s="12" t="b">
        <v>0</v>
      </c>
      <c r="F5" s="12" t="s">
        <v>27</v>
      </c>
      <c r="G5" s="12">
        <v>21</v>
      </c>
      <c r="H5" s="13">
        <v>46119</v>
      </c>
    </row>
    <row r="6" spans="1:8" x14ac:dyDescent="0.2">
      <c r="A6" s="12">
        <v>1370</v>
      </c>
      <c r="B6" s="12" t="s">
        <v>33</v>
      </c>
      <c r="C6" s="12" t="s">
        <v>34</v>
      </c>
      <c r="D6" s="12" t="s">
        <v>23</v>
      </c>
      <c r="E6" s="12" t="b">
        <v>0</v>
      </c>
      <c r="F6" s="12" t="s">
        <v>27</v>
      </c>
      <c r="G6" s="12">
        <v>4</v>
      </c>
      <c r="H6" s="13">
        <v>46119</v>
      </c>
    </row>
    <row r="7" spans="1:8" x14ac:dyDescent="0.2">
      <c r="A7" s="12">
        <v>1415</v>
      </c>
      <c r="B7" s="12" t="s">
        <v>33</v>
      </c>
      <c r="C7" s="12" t="s">
        <v>22</v>
      </c>
      <c r="D7" s="12" t="s">
        <v>23</v>
      </c>
      <c r="E7" s="12" t="b">
        <v>0</v>
      </c>
      <c r="F7" s="12" t="s">
        <v>35</v>
      </c>
      <c r="H7" s="13">
        <v>46119</v>
      </c>
    </row>
    <row r="8" spans="1:8" x14ac:dyDescent="0.2">
      <c r="A8" s="12">
        <v>1286</v>
      </c>
      <c r="B8" s="12" t="s">
        <v>36</v>
      </c>
      <c r="C8" s="12" t="s">
        <v>34</v>
      </c>
      <c r="D8" s="12" t="s">
        <v>23</v>
      </c>
      <c r="E8" s="12" t="b">
        <v>0</v>
      </c>
      <c r="F8" s="12" t="s">
        <v>27</v>
      </c>
      <c r="G8" s="12">
        <v>13</v>
      </c>
      <c r="H8" s="13">
        <v>46119</v>
      </c>
    </row>
    <row r="9" spans="1:8" x14ac:dyDescent="0.2">
      <c r="A9" s="12">
        <v>1381</v>
      </c>
      <c r="B9" s="12" t="s">
        <v>36</v>
      </c>
      <c r="C9" s="12" t="s">
        <v>37</v>
      </c>
      <c r="D9" s="12" t="s">
        <v>23</v>
      </c>
      <c r="E9" s="12" t="b">
        <v>0</v>
      </c>
      <c r="F9" s="12" t="s">
        <v>25</v>
      </c>
      <c r="H9" s="13">
        <v>46119</v>
      </c>
    </row>
    <row r="10" spans="1:8" x14ac:dyDescent="0.2">
      <c r="A10" s="12">
        <v>1112</v>
      </c>
      <c r="B10" s="12" t="s">
        <v>38</v>
      </c>
      <c r="C10" s="12" t="s">
        <v>39</v>
      </c>
      <c r="D10" s="12" t="s">
        <v>23</v>
      </c>
      <c r="E10" s="12" t="b">
        <v>0</v>
      </c>
      <c r="F10" s="12" t="s">
        <v>27</v>
      </c>
      <c r="G10" s="12">
        <v>16</v>
      </c>
      <c r="H10" s="13">
        <v>46119</v>
      </c>
    </row>
    <row r="11" spans="1:8" x14ac:dyDescent="0.2">
      <c r="A11" s="12">
        <v>1135</v>
      </c>
      <c r="B11" s="12" t="s">
        <v>40</v>
      </c>
      <c r="C11" s="12" t="s">
        <v>41</v>
      </c>
      <c r="D11" s="12" t="s">
        <v>23</v>
      </c>
      <c r="E11" s="12" t="b">
        <v>0</v>
      </c>
      <c r="F11" s="12" t="s">
        <v>27</v>
      </c>
      <c r="G11" s="12">
        <v>1</v>
      </c>
      <c r="H11" s="13">
        <v>46119</v>
      </c>
    </row>
    <row r="12" spans="1:8" x14ac:dyDescent="0.2">
      <c r="A12" s="12">
        <v>982</v>
      </c>
      <c r="B12" s="12" t="s">
        <v>42</v>
      </c>
      <c r="C12" s="12" t="s">
        <v>32</v>
      </c>
      <c r="D12" s="12" t="s">
        <v>23</v>
      </c>
      <c r="E12" s="12" t="b">
        <v>0</v>
      </c>
      <c r="F12" s="12" t="s">
        <v>27</v>
      </c>
      <c r="G12" s="12">
        <v>22</v>
      </c>
      <c r="H12" s="13">
        <v>46119</v>
      </c>
    </row>
    <row r="13" spans="1:8" x14ac:dyDescent="0.2">
      <c r="A13" s="12">
        <v>1328</v>
      </c>
      <c r="B13" s="12" t="s">
        <v>43</v>
      </c>
      <c r="C13" s="12" t="s">
        <v>44</v>
      </c>
      <c r="D13" s="12" t="s">
        <v>23</v>
      </c>
      <c r="E13" s="12" t="b">
        <v>0</v>
      </c>
      <c r="F13" s="12" t="s">
        <v>27</v>
      </c>
      <c r="G13" s="12">
        <v>4</v>
      </c>
      <c r="H13" s="13">
        <v>46119</v>
      </c>
    </row>
    <row r="14" spans="1:8" x14ac:dyDescent="0.2">
      <c r="A14" s="12">
        <v>369</v>
      </c>
      <c r="B14" s="12" t="s">
        <v>45</v>
      </c>
      <c r="C14" s="12" t="s">
        <v>46</v>
      </c>
      <c r="D14" s="12" t="s">
        <v>23</v>
      </c>
      <c r="E14" s="12" t="b">
        <v>0</v>
      </c>
      <c r="F14" s="12" t="s">
        <v>27</v>
      </c>
      <c r="G14" s="12">
        <v>8</v>
      </c>
      <c r="H14" s="13">
        <v>46119</v>
      </c>
    </row>
    <row r="15" spans="1:8" x14ac:dyDescent="0.2">
      <c r="A15" s="12">
        <v>7</v>
      </c>
      <c r="B15" s="12" t="s">
        <v>45</v>
      </c>
      <c r="C15" s="12" t="s">
        <v>47</v>
      </c>
      <c r="D15" s="12" t="s">
        <v>48</v>
      </c>
      <c r="E15" s="12" t="b">
        <v>0</v>
      </c>
      <c r="F15" s="12" t="s">
        <v>27</v>
      </c>
      <c r="G15" s="12">
        <v>32</v>
      </c>
      <c r="H15" s="13">
        <v>46119</v>
      </c>
    </row>
    <row r="16" spans="1:8" x14ac:dyDescent="0.2">
      <c r="A16" s="12">
        <v>473</v>
      </c>
      <c r="B16" s="12" t="s">
        <v>45</v>
      </c>
      <c r="C16" s="12" t="s">
        <v>49</v>
      </c>
      <c r="D16" s="12" t="s">
        <v>48</v>
      </c>
      <c r="E16" s="12" t="b">
        <v>0</v>
      </c>
      <c r="F16" s="12" t="s">
        <v>27</v>
      </c>
      <c r="G16" s="12">
        <v>33</v>
      </c>
      <c r="H16" s="13">
        <v>46119</v>
      </c>
    </row>
    <row r="17" spans="1:8" x14ac:dyDescent="0.2">
      <c r="A17" s="12">
        <v>1384</v>
      </c>
      <c r="B17" s="12" t="s">
        <v>50</v>
      </c>
      <c r="C17" s="12" t="s">
        <v>51</v>
      </c>
      <c r="D17" s="12" t="s">
        <v>23</v>
      </c>
      <c r="E17" s="12" t="b">
        <v>0</v>
      </c>
      <c r="F17" s="12" t="s">
        <v>27</v>
      </c>
      <c r="G17" s="12">
        <v>30</v>
      </c>
      <c r="H17" s="13">
        <v>46119</v>
      </c>
    </row>
    <row r="18" spans="1:8" x14ac:dyDescent="0.2">
      <c r="A18" s="12">
        <v>1348</v>
      </c>
      <c r="B18" s="12" t="s">
        <v>52</v>
      </c>
      <c r="C18" s="12" t="s">
        <v>53</v>
      </c>
      <c r="D18" s="12" t="s">
        <v>54</v>
      </c>
      <c r="E18" s="12" t="b">
        <v>1</v>
      </c>
      <c r="F18" s="12" t="s">
        <v>25</v>
      </c>
      <c r="H18" s="13">
        <v>46119</v>
      </c>
    </row>
    <row r="19" spans="1:8" x14ac:dyDescent="0.2">
      <c r="A19" s="12">
        <v>1275</v>
      </c>
      <c r="B19" s="12" t="s">
        <v>52</v>
      </c>
      <c r="C19" s="12" t="s">
        <v>55</v>
      </c>
      <c r="D19" s="12" t="s">
        <v>23</v>
      </c>
      <c r="E19" s="12" t="b">
        <v>1</v>
      </c>
      <c r="F19" s="12" t="s">
        <v>35</v>
      </c>
      <c r="H19" s="13">
        <v>46119</v>
      </c>
    </row>
    <row r="20" spans="1:8" x14ac:dyDescent="0.2">
      <c r="A20" s="12">
        <v>68</v>
      </c>
      <c r="B20" s="12" t="s">
        <v>56</v>
      </c>
      <c r="C20" s="12" t="s">
        <v>57</v>
      </c>
      <c r="D20" s="12" t="s">
        <v>48</v>
      </c>
      <c r="E20" s="12" t="b">
        <v>0</v>
      </c>
      <c r="F20" s="12" t="s">
        <v>27</v>
      </c>
      <c r="G20" s="12">
        <v>35</v>
      </c>
      <c r="H20" s="13">
        <v>46119</v>
      </c>
    </row>
    <row r="21" spans="1:8" x14ac:dyDescent="0.2">
      <c r="A21" s="12">
        <v>1035</v>
      </c>
      <c r="B21" s="12" t="s">
        <v>58</v>
      </c>
      <c r="C21" s="12" t="s">
        <v>59</v>
      </c>
      <c r="D21" s="12" t="s">
        <v>23</v>
      </c>
      <c r="E21" s="12" t="b">
        <v>0</v>
      </c>
      <c r="F21" s="12" t="s">
        <v>27</v>
      </c>
      <c r="G21" s="12">
        <v>6</v>
      </c>
      <c r="H21" s="13">
        <v>46119</v>
      </c>
    </row>
    <row r="22" spans="1:8" x14ac:dyDescent="0.2">
      <c r="A22" s="12">
        <v>1416</v>
      </c>
      <c r="B22" s="12" t="s">
        <v>60</v>
      </c>
      <c r="C22" s="12" t="s">
        <v>61</v>
      </c>
      <c r="D22" s="12" t="s">
        <v>23</v>
      </c>
      <c r="E22" s="12" t="b">
        <v>0</v>
      </c>
      <c r="F22" s="12" t="s">
        <v>25</v>
      </c>
      <c r="H22" s="13">
        <v>46119</v>
      </c>
    </row>
    <row r="23" spans="1:8" x14ac:dyDescent="0.2">
      <c r="A23" s="12">
        <v>1326</v>
      </c>
      <c r="B23" s="12" t="s">
        <v>62</v>
      </c>
      <c r="C23" s="12" t="s">
        <v>63</v>
      </c>
      <c r="D23" s="12" t="s">
        <v>23</v>
      </c>
      <c r="E23" s="12" t="b">
        <v>1</v>
      </c>
      <c r="F23" s="12" t="s">
        <v>25</v>
      </c>
      <c r="H23" s="13">
        <v>46119</v>
      </c>
    </row>
    <row r="24" spans="1:8" x14ac:dyDescent="0.2">
      <c r="A24" s="12">
        <v>477</v>
      </c>
      <c r="B24" s="12" t="s">
        <v>64</v>
      </c>
      <c r="C24" s="12" t="s">
        <v>65</v>
      </c>
      <c r="D24" s="12" t="s">
        <v>23</v>
      </c>
      <c r="E24" s="12" t="b">
        <v>1</v>
      </c>
      <c r="F24" s="12" t="s">
        <v>27</v>
      </c>
      <c r="G24" s="12">
        <v>34</v>
      </c>
      <c r="H24" s="13">
        <v>46119</v>
      </c>
    </row>
    <row r="25" spans="1:8" x14ac:dyDescent="0.2">
      <c r="A25" s="12">
        <v>10</v>
      </c>
      <c r="B25" s="12" t="s">
        <v>64</v>
      </c>
      <c r="C25" s="12" t="s">
        <v>66</v>
      </c>
      <c r="D25" s="12" t="s">
        <v>48</v>
      </c>
      <c r="E25" s="12" t="b">
        <v>0</v>
      </c>
      <c r="F25" s="12" t="s">
        <v>27</v>
      </c>
      <c r="G25" s="12">
        <v>35</v>
      </c>
      <c r="H25" s="13">
        <v>46119</v>
      </c>
    </row>
    <row r="26" spans="1:8" x14ac:dyDescent="0.2">
      <c r="A26" s="12">
        <v>1414</v>
      </c>
      <c r="B26" s="12" t="s">
        <v>67</v>
      </c>
      <c r="C26" s="12" t="s">
        <v>36</v>
      </c>
      <c r="D26" s="12" t="s">
        <v>23</v>
      </c>
      <c r="E26" s="12" t="b">
        <v>0</v>
      </c>
      <c r="F26" s="12" t="s">
        <v>27</v>
      </c>
      <c r="G26" s="12">
        <v>13</v>
      </c>
      <c r="H26" s="13">
        <v>46119</v>
      </c>
    </row>
    <row r="27" spans="1:8" x14ac:dyDescent="0.2">
      <c r="A27" s="12">
        <v>1029</v>
      </c>
      <c r="B27" s="12" t="s">
        <v>68</v>
      </c>
      <c r="C27" s="12" t="s">
        <v>69</v>
      </c>
      <c r="D27" s="12" t="s">
        <v>23</v>
      </c>
      <c r="E27" s="12" t="b">
        <v>0</v>
      </c>
      <c r="F27" s="12" t="s">
        <v>27</v>
      </c>
      <c r="G27" s="12">
        <v>28</v>
      </c>
      <c r="H27" s="13">
        <v>46119</v>
      </c>
    </row>
    <row r="28" spans="1:8" x14ac:dyDescent="0.2">
      <c r="A28" s="12">
        <v>13</v>
      </c>
      <c r="B28" s="12" t="s">
        <v>70</v>
      </c>
      <c r="C28" s="12" t="s">
        <v>51</v>
      </c>
      <c r="D28" s="12" t="s">
        <v>23</v>
      </c>
      <c r="E28" s="12" t="b">
        <v>0</v>
      </c>
      <c r="F28" s="12" t="s">
        <v>27</v>
      </c>
      <c r="G28" s="12">
        <v>28</v>
      </c>
      <c r="H28" s="13">
        <v>46119</v>
      </c>
    </row>
    <row r="29" spans="1:8" x14ac:dyDescent="0.2">
      <c r="A29" s="12">
        <v>1255</v>
      </c>
      <c r="B29" s="12" t="s">
        <v>71</v>
      </c>
      <c r="C29" s="12" t="s">
        <v>72</v>
      </c>
      <c r="D29" s="12" t="s">
        <v>23</v>
      </c>
      <c r="E29" s="12" t="b">
        <v>1</v>
      </c>
      <c r="F29" s="12" t="s">
        <v>27</v>
      </c>
      <c r="G29" s="12">
        <v>13</v>
      </c>
      <c r="H29" s="13">
        <v>46119</v>
      </c>
    </row>
    <row r="30" spans="1:8" x14ac:dyDescent="0.2">
      <c r="A30" s="12">
        <v>1405</v>
      </c>
      <c r="B30" s="12" t="s">
        <v>73</v>
      </c>
      <c r="C30" s="12" t="s">
        <v>74</v>
      </c>
      <c r="D30" s="12" t="s">
        <v>23</v>
      </c>
      <c r="E30" s="12" t="b">
        <v>1</v>
      </c>
      <c r="F30" s="12" t="s">
        <v>35</v>
      </c>
      <c r="H30" s="13">
        <v>46119</v>
      </c>
    </row>
    <row r="31" spans="1:8" x14ac:dyDescent="0.2">
      <c r="A31" s="12">
        <v>1418</v>
      </c>
      <c r="B31" s="12" t="s">
        <v>75</v>
      </c>
      <c r="C31" s="12" t="s">
        <v>22</v>
      </c>
      <c r="D31" s="12" t="s">
        <v>23</v>
      </c>
      <c r="E31" s="12" t="b">
        <v>0</v>
      </c>
      <c r="F31" s="12" t="s">
        <v>25</v>
      </c>
      <c r="H31" s="13">
        <v>46119</v>
      </c>
    </row>
    <row r="32" spans="1:8" x14ac:dyDescent="0.2">
      <c r="A32" s="12">
        <v>919</v>
      </c>
      <c r="B32" s="12" t="s">
        <v>77</v>
      </c>
      <c r="C32" s="12" t="s">
        <v>51</v>
      </c>
      <c r="D32" s="12" t="s">
        <v>23</v>
      </c>
      <c r="E32" s="12" t="b">
        <v>0</v>
      </c>
      <c r="F32" s="12" t="s">
        <v>27</v>
      </c>
      <c r="G32" s="12">
        <v>16</v>
      </c>
      <c r="H32" s="13">
        <v>46119</v>
      </c>
    </row>
    <row r="33" spans="1:8" x14ac:dyDescent="0.2">
      <c r="A33" s="12">
        <v>1319</v>
      </c>
      <c r="B33" s="12" t="s">
        <v>78</v>
      </c>
      <c r="C33" s="12" t="s">
        <v>32</v>
      </c>
      <c r="D33" s="12" t="s">
        <v>23</v>
      </c>
      <c r="E33" s="12" t="b">
        <v>0</v>
      </c>
      <c r="F33" s="12" t="s">
        <v>27</v>
      </c>
      <c r="G33" s="12">
        <v>9</v>
      </c>
      <c r="H33" s="13">
        <v>46119</v>
      </c>
    </row>
    <row r="34" spans="1:8" x14ac:dyDescent="0.2">
      <c r="A34" s="12">
        <v>1389</v>
      </c>
      <c r="B34" s="12" t="s">
        <v>79</v>
      </c>
      <c r="C34" s="12" t="s">
        <v>80</v>
      </c>
      <c r="D34" s="12" t="s">
        <v>23</v>
      </c>
      <c r="E34" s="12" t="b">
        <v>0</v>
      </c>
      <c r="F34" s="12" t="s">
        <v>25</v>
      </c>
      <c r="H34" s="13">
        <v>46119</v>
      </c>
    </row>
    <row r="35" spans="1:8" x14ac:dyDescent="0.2">
      <c r="A35" s="12">
        <v>940</v>
      </c>
      <c r="B35" s="12" t="s">
        <v>81</v>
      </c>
      <c r="C35" s="12" t="s">
        <v>82</v>
      </c>
      <c r="D35" s="12" t="s">
        <v>23</v>
      </c>
      <c r="E35" s="12" t="b">
        <v>1</v>
      </c>
      <c r="F35" s="12" t="s">
        <v>27</v>
      </c>
      <c r="G35" s="12">
        <v>9</v>
      </c>
      <c r="H35" s="13">
        <v>46119</v>
      </c>
    </row>
    <row r="36" spans="1:8" x14ac:dyDescent="0.2">
      <c r="A36" s="12">
        <v>806</v>
      </c>
      <c r="B36" s="12" t="s">
        <v>81</v>
      </c>
      <c r="C36" s="12" t="s">
        <v>83</v>
      </c>
      <c r="D36" s="12" t="s">
        <v>23</v>
      </c>
      <c r="E36" s="12" t="b">
        <v>0</v>
      </c>
      <c r="F36" s="12" t="s">
        <v>27</v>
      </c>
      <c r="G36" s="12">
        <v>11</v>
      </c>
      <c r="H36" s="13">
        <v>46119</v>
      </c>
    </row>
    <row r="37" spans="1:8" x14ac:dyDescent="0.2">
      <c r="A37" s="12">
        <v>482</v>
      </c>
      <c r="B37" s="12" t="s">
        <v>84</v>
      </c>
      <c r="C37" s="12" t="s">
        <v>85</v>
      </c>
      <c r="D37" s="12" t="s">
        <v>23</v>
      </c>
      <c r="E37" s="12" t="b">
        <v>0</v>
      </c>
      <c r="F37" s="12" t="s">
        <v>27</v>
      </c>
      <c r="G37" s="12">
        <v>13</v>
      </c>
      <c r="H37" s="13">
        <v>46119</v>
      </c>
    </row>
    <row r="38" spans="1:8" x14ac:dyDescent="0.2">
      <c r="A38" s="12">
        <v>674</v>
      </c>
      <c r="B38" s="12" t="s">
        <v>86</v>
      </c>
      <c r="C38" s="12" t="s">
        <v>87</v>
      </c>
      <c r="D38" s="12" t="s">
        <v>54</v>
      </c>
      <c r="E38" s="12" t="b">
        <v>1</v>
      </c>
      <c r="F38" s="12" t="s">
        <v>27</v>
      </c>
      <c r="G38" s="12">
        <v>23</v>
      </c>
      <c r="H38" s="13">
        <v>46119</v>
      </c>
    </row>
    <row r="39" spans="1:8" x14ac:dyDescent="0.2">
      <c r="A39" s="12">
        <v>1061</v>
      </c>
      <c r="B39" s="12" t="s">
        <v>88</v>
      </c>
      <c r="C39" s="12" t="s">
        <v>89</v>
      </c>
      <c r="D39" s="12" t="s">
        <v>23</v>
      </c>
      <c r="E39" s="12" t="b">
        <v>0</v>
      </c>
      <c r="F39" s="12" t="s">
        <v>27</v>
      </c>
      <c r="G39" s="12">
        <v>19</v>
      </c>
      <c r="H39" s="13">
        <v>46119</v>
      </c>
    </row>
    <row r="40" spans="1:8" x14ac:dyDescent="0.2">
      <c r="A40" s="12">
        <v>763</v>
      </c>
      <c r="B40" s="12" t="s">
        <v>90</v>
      </c>
      <c r="C40" s="12" t="s">
        <v>59</v>
      </c>
      <c r="D40" s="12" t="s">
        <v>23</v>
      </c>
      <c r="E40" s="12" t="b">
        <v>0</v>
      </c>
      <c r="F40" s="12" t="s">
        <v>27</v>
      </c>
      <c r="G40" s="12">
        <v>17</v>
      </c>
      <c r="H40" s="13">
        <v>46119</v>
      </c>
    </row>
    <row r="41" spans="1:8" x14ac:dyDescent="0.2">
      <c r="A41" s="12">
        <v>1227</v>
      </c>
      <c r="B41" s="12" t="s">
        <v>91</v>
      </c>
      <c r="C41" s="12" t="s">
        <v>92</v>
      </c>
      <c r="D41" s="12" t="s">
        <v>23</v>
      </c>
      <c r="E41" s="12" t="b">
        <v>1</v>
      </c>
      <c r="F41" s="12" t="s">
        <v>27</v>
      </c>
      <c r="G41" s="12">
        <v>8</v>
      </c>
      <c r="H41" s="13">
        <v>46119</v>
      </c>
    </row>
    <row r="42" spans="1:8" x14ac:dyDescent="0.2">
      <c r="A42" s="12">
        <v>715</v>
      </c>
      <c r="B42" s="12" t="s">
        <v>93</v>
      </c>
      <c r="C42" s="12" t="s">
        <v>94</v>
      </c>
      <c r="D42" s="12" t="s">
        <v>23</v>
      </c>
      <c r="E42" s="12" t="b">
        <v>0</v>
      </c>
      <c r="F42" s="12" t="s">
        <v>27</v>
      </c>
      <c r="G42" s="12">
        <v>5</v>
      </c>
      <c r="H42" s="13">
        <v>46119</v>
      </c>
    </row>
    <row r="43" spans="1:8" x14ac:dyDescent="0.2">
      <c r="A43" s="12">
        <v>567</v>
      </c>
      <c r="B43" s="12" t="s">
        <v>95</v>
      </c>
      <c r="C43" s="12" t="s">
        <v>96</v>
      </c>
      <c r="D43" s="12" t="s">
        <v>23</v>
      </c>
      <c r="E43" s="12" t="b">
        <v>0</v>
      </c>
      <c r="F43" s="12" t="s">
        <v>27</v>
      </c>
      <c r="G43" s="12">
        <v>7</v>
      </c>
      <c r="H43" s="13">
        <v>46119</v>
      </c>
    </row>
    <row r="44" spans="1:8" x14ac:dyDescent="0.2">
      <c r="A44" s="12">
        <v>1391</v>
      </c>
      <c r="B44" s="12" t="s">
        <v>97</v>
      </c>
      <c r="C44" s="12" t="s">
        <v>98</v>
      </c>
      <c r="D44" s="12" t="s">
        <v>23</v>
      </c>
      <c r="E44" s="12" t="b">
        <v>1</v>
      </c>
      <c r="F44" s="12" t="s">
        <v>25</v>
      </c>
      <c r="H44" s="13">
        <v>46119</v>
      </c>
    </row>
    <row r="45" spans="1:8" x14ac:dyDescent="0.2">
      <c r="A45" s="12">
        <v>704</v>
      </c>
      <c r="B45" s="12" t="s">
        <v>99</v>
      </c>
      <c r="C45" s="12" t="s">
        <v>100</v>
      </c>
      <c r="D45" s="12" t="s">
        <v>23</v>
      </c>
      <c r="E45" s="12" t="b">
        <v>0</v>
      </c>
      <c r="F45" s="12" t="s">
        <v>27</v>
      </c>
      <c r="G45" s="12">
        <v>21</v>
      </c>
      <c r="H45" s="13">
        <v>46119</v>
      </c>
    </row>
    <row r="46" spans="1:8" x14ac:dyDescent="0.2">
      <c r="A46" s="12">
        <v>1283</v>
      </c>
      <c r="B46" s="12" t="s">
        <v>101</v>
      </c>
      <c r="C46" s="12" t="s">
        <v>102</v>
      </c>
      <c r="D46" s="12" t="s">
        <v>23</v>
      </c>
      <c r="E46" s="12" t="b">
        <v>0</v>
      </c>
      <c r="F46" s="12" t="s">
        <v>27</v>
      </c>
      <c r="G46" s="12">
        <v>18</v>
      </c>
      <c r="H46" s="13">
        <v>46119</v>
      </c>
    </row>
    <row r="47" spans="1:8" x14ac:dyDescent="0.2">
      <c r="A47" s="12">
        <v>295</v>
      </c>
      <c r="B47" s="12" t="s">
        <v>103</v>
      </c>
      <c r="C47" s="12" t="s">
        <v>104</v>
      </c>
      <c r="D47" s="12" t="s">
        <v>23</v>
      </c>
      <c r="E47" s="12" t="b">
        <v>0</v>
      </c>
      <c r="F47" s="12" t="s">
        <v>27</v>
      </c>
      <c r="G47" s="12">
        <v>15</v>
      </c>
      <c r="H47" s="13">
        <v>46119</v>
      </c>
    </row>
    <row r="48" spans="1:8" x14ac:dyDescent="0.2">
      <c r="A48" s="12">
        <v>1226</v>
      </c>
      <c r="B48" s="12" t="s">
        <v>105</v>
      </c>
      <c r="C48" s="12" t="s">
        <v>106</v>
      </c>
      <c r="D48" s="12" t="s">
        <v>23</v>
      </c>
      <c r="E48" s="12" t="b">
        <v>1</v>
      </c>
      <c r="F48" s="12" t="s">
        <v>25</v>
      </c>
      <c r="H48" s="13">
        <v>46119</v>
      </c>
    </row>
    <row r="49" spans="1:8" x14ac:dyDescent="0.2">
      <c r="A49" s="12">
        <v>1185</v>
      </c>
      <c r="B49" s="12" t="s">
        <v>109</v>
      </c>
      <c r="C49" s="12" t="s">
        <v>110</v>
      </c>
      <c r="D49" s="12" t="s">
        <v>23</v>
      </c>
      <c r="E49" s="12" t="b">
        <v>1</v>
      </c>
      <c r="F49" s="12" t="s">
        <v>35</v>
      </c>
      <c r="H49" s="13">
        <v>46119</v>
      </c>
    </row>
    <row r="50" spans="1:8" x14ac:dyDescent="0.2">
      <c r="A50" s="12">
        <v>1065</v>
      </c>
      <c r="B50" s="12" t="s">
        <v>109</v>
      </c>
      <c r="C50" s="12" t="s">
        <v>41</v>
      </c>
      <c r="D50" s="12" t="s">
        <v>23</v>
      </c>
      <c r="E50" s="12" t="b">
        <v>0</v>
      </c>
      <c r="F50" s="12" t="s">
        <v>27</v>
      </c>
      <c r="G50" s="12">
        <v>1</v>
      </c>
      <c r="H50" s="13">
        <v>46119</v>
      </c>
    </row>
    <row r="51" spans="1:8" x14ac:dyDescent="0.2">
      <c r="A51" s="12">
        <v>1407</v>
      </c>
      <c r="B51" s="12" t="s">
        <v>111</v>
      </c>
      <c r="C51" s="12" t="s">
        <v>112</v>
      </c>
      <c r="D51" s="12" t="s">
        <v>23</v>
      </c>
      <c r="E51" s="12" t="b">
        <v>0</v>
      </c>
      <c r="F51" s="12" t="s">
        <v>25</v>
      </c>
      <c r="H51" s="13">
        <v>46119</v>
      </c>
    </row>
    <row r="52" spans="1:8" x14ac:dyDescent="0.2">
      <c r="A52" s="12">
        <v>1096</v>
      </c>
      <c r="B52" s="12" t="s">
        <v>113</v>
      </c>
      <c r="C52" s="12" t="s">
        <v>114</v>
      </c>
      <c r="D52" s="12" t="s">
        <v>23</v>
      </c>
      <c r="E52" s="12" t="b">
        <v>0</v>
      </c>
      <c r="F52" s="12" t="s">
        <v>35</v>
      </c>
      <c r="H52" s="13">
        <v>46119</v>
      </c>
    </row>
    <row r="53" spans="1:8" x14ac:dyDescent="0.2">
      <c r="A53" s="12">
        <v>1236</v>
      </c>
      <c r="B53" s="12" t="s">
        <v>113</v>
      </c>
      <c r="C53" s="12" t="s">
        <v>115</v>
      </c>
      <c r="D53" s="12" t="s">
        <v>23</v>
      </c>
      <c r="E53" s="12" t="b">
        <v>1</v>
      </c>
      <c r="F53" s="12" t="s">
        <v>27</v>
      </c>
      <c r="G53" s="12">
        <v>5</v>
      </c>
      <c r="H53" s="13">
        <v>46119</v>
      </c>
    </row>
    <row r="54" spans="1:8" x14ac:dyDescent="0.2">
      <c r="A54" s="12">
        <v>699</v>
      </c>
      <c r="B54" s="12" t="s">
        <v>113</v>
      </c>
      <c r="C54" s="12" t="s">
        <v>116</v>
      </c>
      <c r="D54" s="12" t="s">
        <v>23</v>
      </c>
      <c r="E54" s="12" t="b">
        <v>0</v>
      </c>
      <c r="F54" s="12" t="s">
        <v>27</v>
      </c>
      <c r="G54" s="12">
        <v>5</v>
      </c>
      <c r="H54" s="13">
        <v>46119</v>
      </c>
    </row>
    <row r="55" spans="1:8" x14ac:dyDescent="0.2">
      <c r="A55" s="12">
        <v>1000</v>
      </c>
      <c r="B55" s="12" t="s">
        <v>120</v>
      </c>
      <c r="C55" s="12" t="s">
        <v>121</v>
      </c>
      <c r="D55" s="12" t="s">
        <v>23</v>
      </c>
      <c r="E55" s="12" t="b">
        <v>0</v>
      </c>
      <c r="F55" s="12" t="s">
        <v>25</v>
      </c>
      <c r="H55" s="13">
        <v>46119</v>
      </c>
    </row>
    <row r="56" spans="1:8" x14ac:dyDescent="0.2">
      <c r="A56" s="12">
        <v>1332</v>
      </c>
      <c r="B56" s="12" t="s">
        <v>122</v>
      </c>
      <c r="C56" s="12" t="s">
        <v>123</v>
      </c>
      <c r="D56" s="12" t="s">
        <v>23</v>
      </c>
      <c r="E56" s="12" t="b">
        <v>1</v>
      </c>
      <c r="F56" s="12" t="s">
        <v>25</v>
      </c>
      <c r="H56" s="13">
        <v>46119</v>
      </c>
    </row>
    <row r="57" spans="1:8" x14ac:dyDescent="0.2">
      <c r="A57" s="12">
        <v>682</v>
      </c>
      <c r="B57" s="12" t="s">
        <v>124</v>
      </c>
      <c r="C57" s="12" t="s">
        <v>125</v>
      </c>
      <c r="D57" s="12" t="s">
        <v>23</v>
      </c>
      <c r="E57" s="12" t="b">
        <v>0</v>
      </c>
      <c r="F57" s="12" t="s">
        <v>27</v>
      </c>
      <c r="G57" s="12">
        <v>11</v>
      </c>
      <c r="H57" s="13">
        <v>46119</v>
      </c>
    </row>
    <row r="58" spans="1:8" x14ac:dyDescent="0.2">
      <c r="A58" s="12">
        <v>1393</v>
      </c>
      <c r="B58" s="12" t="s">
        <v>126</v>
      </c>
      <c r="C58" s="12" t="s">
        <v>127</v>
      </c>
      <c r="D58" s="12" t="s">
        <v>23</v>
      </c>
      <c r="E58" s="12" t="b">
        <v>1</v>
      </c>
      <c r="F58" s="12" t="s">
        <v>27</v>
      </c>
      <c r="G58" s="12">
        <v>10</v>
      </c>
      <c r="H58" s="13">
        <v>46119</v>
      </c>
    </row>
    <row r="59" spans="1:8" x14ac:dyDescent="0.2">
      <c r="A59" s="12">
        <v>1355</v>
      </c>
      <c r="B59" s="12" t="s">
        <v>128</v>
      </c>
      <c r="C59" s="12" t="s">
        <v>129</v>
      </c>
      <c r="D59" s="12" t="s">
        <v>23</v>
      </c>
      <c r="E59" s="12" t="b">
        <v>0</v>
      </c>
      <c r="F59" s="12" t="s">
        <v>35</v>
      </c>
      <c r="H59" s="13">
        <v>46119</v>
      </c>
    </row>
    <row r="60" spans="1:8" x14ac:dyDescent="0.2">
      <c r="A60" s="12">
        <v>1164</v>
      </c>
      <c r="B60" s="12" t="s">
        <v>130</v>
      </c>
      <c r="C60" s="12" t="s">
        <v>131</v>
      </c>
      <c r="D60" s="12" t="s">
        <v>54</v>
      </c>
      <c r="E60" s="12" t="b">
        <v>1</v>
      </c>
      <c r="F60" s="12" t="s">
        <v>25</v>
      </c>
      <c r="H60" s="13">
        <v>46119</v>
      </c>
    </row>
    <row r="61" spans="1:8" x14ac:dyDescent="0.2">
      <c r="A61" s="12">
        <v>1062</v>
      </c>
      <c r="B61" s="12" t="s">
        <v>130</v>
      </c>
      <c r="C61" s="12" t="s">
        <v>83</v>
      </c>
      <c r="D61" s="12" t="s">
        <v>23</v>
      </c>
      <c r="E61" s="12" t="b">
        <v>0</v>
      </c>
      <c r="F61" s="12" t="s">
        <v>27</v>
      </c>
      <c r="G61" s="12">
        <v>9</v>
      </c>
      <c r="H61" s="13">
        <v>46119</v>
      </c>
    </row>
    <row r="62" spans="1:8" x14ac:dyDescent="0.2">
      <c r="A62" s="12">
        <v>938</v>
      </c>
      <c r="B62" s="12" t="s">
        <v>130</v>
      </c>
      <c r="C62" s="12" t="s">
        <v>132</v>
      </c>
      <c r="D62" s="12" t="s">
        <v>23</v>
      </c>
      <c r="E62" s="12" t="b">
        <v>1</v>
      </c>
      <c r="F62" s="12" t="s">
        <v>27</v>
      </c>
      <c r="G62" s="12">
        <v>7</v>
      </c>
      <c r="H62" s="13">
        <v>46119</v>
      </c>
    </row>
    <row r="63" spans="1:8" x14ac:dyDescent="0.2">
      <c r="A63" s="12">
        <v>1034</v>
      </c>
      <c r="B63" s="12" t="s">
        <v>134</v>
      </c>
      <c r="C63" s="12" t="s">
        <v>83</v>
      </c>
      <c r="D63" s="12" t="s">
        <v>23</v>
      </c>
      <c r="E63" s="12" t="b">
        <v>0</v>
      </c>
      <c r="F63" s="12" t="s">
        <v>25</v>
      </c>
      <c r="H63" s="13">
        <v>46119</v>
      </c>
    </row>
    <row r="64" spans="1:8" x14ac:dyDescent="0.2">
      <c r="A64" s="12">
        <v>1402</v>
      </c>
      <c r="B64" s="12" t="s">
        <v>135</v>
      </c>
      <c r="C64" s="12" t="s">
        <v>136</v>
      </c>
      <c r="D64" s="12" t="s">
        <v>23</v>
      </c>
      <c r="E64" s="12" t="b">
        <v>0</v>
      </c>
      <c r="F64" s="12" t="s">
        <v>27</v>
      </c>
      <c r="G64" s="12">
        <v>7</v>
      </c>
      <c r="H64" s="13">
        <v>46119</v>
      </c>
    </row>
    <row r="65" spans="1:8" x14ac:dyDescent="0.2">
      <c r="A65" s="12">
        <v>939</v>
      </c>
      <c r="B65" s="12" t="s">
        <v>137</v>
      </c>
      <c r="C65" s="12" t="s">
        <v>127</v>
      </c>
      <c r="D65" s="12" t="s">
        <v>23</v>
      </c>
      <c r="E65" s="12" t="b">
        <v>1</v>
      </c>
      <c r="F65" s="12" t="s">
        <v>27</v>
      </c>
      <c r="G65" s="12">
        <v>12</v>
      </c>
      <c r="H65" s="13">
        <v>46119</v>
      </c>
    </row>
    <row r="66" spans="1:8" x14ac:dyDescent="0.2">
      <c r="A66" s="12">
        <v>1377</v>
      </c>
      <c r="B66" s="12" t="s">
        <v>138</v>
      </c>
      <c r="C66" s="12" t="s">
        <v>139</v>
      </c>
      <c r="D66" s="12" t="s">
        <v>23</v>
      </c>
      <c r="E66" s="12" t="b">
        <v>1</v>
      </c>
      <c r="F66" s="12" t="s">
        <v>27</v>
      </c>
      <c r="G66" s="12">
        <v>12</v>
      </c>
      <c r="H66" s="13">
        <v>46119</v>
      </c>
    </row>
    <row r="67" spans="1:8" x14ac:dyDescent="0.2">
      <c r="A67" s="12">
        <v>1281</v>
      </c>
      <c r="B67" s="12" t="s">
        <v>140</v>
      </c>
      <c r="C67" s="12" t="s">
        <v>141</v>
      </c>
      <c r="D67" s="12" t="s">
        <v>23</v>
      </c>
      <c r="E67" s="12" t="b">
        <v>0</v>
      </c>
      <c r="F67" s="12" t="s">
        <v>27</v>
      </c>
      <c r="G67" s="12">
        <v>19</v>
      </c>
      <c r="H67" s="13">
        <v>46119</v>
      </c>
    </row>
    <row r="68" spans="1:8" x14ac:dyDescent="0.2">
      <c r="A68" s="12">
        <v>933</v>
      </c>
      <c r="B68" s="12" t="s">
        <v>142</v>
      </c>
      <c r="C68" s="12" t="s">
        <v>143</v>
      </c>
      <c r="D68" s="12" t="s">
        <v>23</v>
      </c>
      <c r="E68" s="12" t="b">
        <v>0</v>
      </c>
      <c r="F68" s="12" t="s">
        <v>25</v>
      </c>
      <c r="H68" s="13">
        <v>46119</v>
      </c>
    </row>
    <row r="69" spans="1:8" x14ac:dyDescent="0.2">
      <c r="A69" s="12">
        <v>1274</v>
      </c>
      <c r="B69" s="12" t="s">
        <v>144</v>
      </c>
      <c r="C69" s="12" t="s">
        <v>145</v>
      </c>
      <c r="D69" s="12" t="s">
        <v>23</v>
      </c>
      <c r="E69" s="12" t="b">
        <v>1</v>
      </c>
      <c r="F69" s="12" t="s">
        <v>25</v>
      </c>
      <c r="H69" s="13">
        <v>46119</v>
      </c>
    </row>
    <row r="70" spans="1:8" x14ac:dyDescent="0.2">
      <c r="A70" s="12">
        <v>493</v>
      </c>
      <c r="B70" s="12" t="s">
        <v>146</v>
      </c>
      <c r="C70" s="12" t="s">
        <v>49</v>
      </c>
      <c r="D70" s="12" t="s">
        <v>48</v>
      </c>
      <c r="E70" s="12" t="b">
        <v>0</v>
      </c>
      <c r="F70" s="12" t="s">
        <v>27</v>
      </c>
      <c r="G70" s="12">
        <v>37</v>
      </c>
      <c r="H70" s="13">
        <v>46119</v>
      </c>
    </row>
    <row r="71" spans="1:8" x14ac:dyDescent="0.2">
      <c r="A71" s="12">
        <v>1279</v>
      </c>
      <c r="B71" s="12" t="s">
        <v>147</v>
      </c>
      <c r="C71" s="12" t="s">
        <v>148</v>
      </c>
      <c r="D71" s="12" t="s">
        <v>23</v>
      </c>
      <c r="E71" s="12" t="b">
        <v>0</v>
      </c>
      <c r="F71" s="12" t="s">
        <v>27</v>
      </c>
      <c r="G71" s="12">
        <v>4</v>
      </c>
      <c r="H71" s="13">
        <v>46119</v>
      </c>
    </row>
    <row r="72" spans="1:8" x14ac:dyDescent="0.2">
      <c r="A72" s="12">
        <v>1193</v>
      </c>
      <c r="B72" s="12" t="s">
        <v>149</v>
      </c>
      <c r="C72" s="12" t="s">
        <v>150</v>
      </c>
      <c r="D72" s="12" t="s">
        <v>23</v>
      </c>
      <c r="E72" s="12" t="b">
        <v>0</v>
      </c>
      <c r="F72" s="12" t="s">
        <v>25</v>
      </c>
      <c r="H72" s="13">
        <v>46119</v>
      </c>
    </row>
    <row r="73" spans="1:8" x14ac:dyDescent="0.2">
      <c r="A73" s="12">
        <v>1194</v>
      </c>
      <c r="B73" s="12" t="s">
        <v>149</v>
      </c>
      <c r="C73" s="12" t="s">
        <v>151</v>
      </c>
      <c r="D73" s="12" t="s">
        <v>23</v>
      </c>
      <c r="E73" s="12" t="b">
        <v>1</v>
      </c>
      <c r="F73" s="12" t="s">
        <v>25</v>
      </c>
      <c r="H73" s="13">
        <v>46119</v>
      </c>
    </row>
    <row r="74" spans="1:8" x14ac:dyDescent="0.2">
      <c r="A74" s="12">
        <v>1196</v>
      </c>
      <c r="B74" s="12" t="s">
        <v>149</v>
      </c>
      <c r="C74" s="12" t="s">
        <v>152</v>
      </c>
      <c r="D74" s="12" t="s">
        <v>23</v>
      </c>
      <c r="E74" s="12" t="b">
        <v>0</v>
      </c>
      <c r="F74" s="12" t="s">
        <v>35</v>
      </c>
      <c r="H74" s="13">
        <v>46119</v>
      </c>
    </row>
    <row r="75" spans="1:8" x14ac:dyDescent="0.2">
      <c r="A75" s="12">
        <v>1195</v>
      </c>
      <c r="B75" s="12" t="s">
        <v>149</v>
      </c>
      <c r="C75" s="12" t="s">
        <v>153</v>
      </c>
      <c r="D75" s="12" t="s">
        <v>23</v>
      </c>
      <c r="E75" s="12" t="b">
        <v>0</v>
      </c>
      <c r="F75" s="12" t="s">
        <v>35</v>
      </c>
      <c r="H75" s="13">
        <v>46119</v>
      </c>
    </row>
    <row r="76" spans="1:8" x14ac:dyDescent="0.2">
      <c r="A76" s="12">
        <v>1176</v>
      </c>
      <c r="B76" s="12" t="s">
        <v>154</v>
      </c>
      <c r="C76" s="12" t="s">
        <v>155</v>
      </c>
      <c r="D76" s="12" t="s">
        <v>23</v>
      </c>
      <c r="E76" s="12" t="b">
        <v>0</v>
      </c>
      <c r="F76" s="12" t="s">
        <v>35</v>
      </c>
      <c r="H76" s="13">
        <v>46119</v>
      </c>
    </row>
    <row r="77" spans="1:8" x14ac:dyDescent="0.2">
      <c r="A77" s="12">
        <v>1174</v>
      </c>
      <c r="B77" s="12" t="s">
        <v>154</v>
      </c>
      <c r="C77" s="12" t="s">
        <v>156</v>
      </c>
      <c r="D77" s="12" t="s">
        <v>23</v>
      </c>
      <c r="E77" s="12" t="b">
        <v>1</v>
      </c>
      <c r="F77" s="12" t="s">
        <v>27</v>
      </c>
      <c r="G77" s="12">
        <v>6</v>
      </c>
      <c r="H77" s="13">
        <v>46119</v>
      </c>
    </row>
    <row r="78" spans="1:8" x14ac:dyDescent="0.2">
      <c r="A78" s="12">
        <v>1175</v>
      </c>
      <c r="B78" s="12" t="s">
        <v>154</v>
      </c>
      <c r="C78" s="12" t="s">
        <v>150</v>
      </c>
      <c r="D78" s="12" t="s">
        <v>23</v>
      </c>
      <c r="E78" s="12" t="b">
        <v>0</v>
      </c>
      <c r="F78" s="12" t="s">
        <v>27</v>
      </c>
      <c r="G78" s="12">
        <v>12</v>
      </c>
      <c r="H78" s="13">
        <v>46119</v>
      </c>
    </row>
    <row r="79" spans="1:8" x14ac:dyDescent="0.2">
      <c r="A79" s="12">
        <v>1109</v>
      </c>
      <c r="B79" s="12" t="s">
        <v>157</v>
      </c>
      <c r="C79" s="12" t="s">
        <v>104</v>
      </c>
      <c r="D79" s="12" t="s">
        <v>23</v>
      </c>
      <c r="E79" s="12" t="b">
        <v>0</v>
      </c>
      <c r="F79" s="12" t="s">
        <v>25</v>
      </c>
      <c r="H79" s="13">
        <v>46119</v>
      </c>
    </row>
    <row r="80" spans="1:8" x14ac:dyDescent="0.2">
      <c r="A80" s="12">
        <v>1073</v>
      </c>
      <c r="B80" s="12" t="s">
        <v>158</v>
      </c>
      <c r="C80" s="12" t="s">
        <v>150</v>
      </c>
      <c r="D80" s="12" t="s">
        <v>23</v>
      </c>
      <c r="E80" s="12" t="b">
        <v>0</v>
      </c>
      <c r="F80" s="12" t="s">
        <v>27</v>
      </c>
      <c r="G80" s="12">
        <v>3</v>
      </c>
      <c r="H80" s="13">
        <v>46119</v>
      </c>
    </row>
    <row r="81" spans="1:8" x14ac:dyDescent="0.2">
      <c r="A81" s="12">
        <v>1400</v>
      </c>
      <c r="B81" s="12" t="s">
        <v>159</v>
      </c>
      <c r="C81" s="12" t="s">
        <v>160</v>
      </c>
      <c r="D81" s="12" t="s">
        <v>23</v>
      </c>
      <c r="E81" s="12" t="b">
        <v>0</v>
      </c>
      <c r="F81" s="12" t="s">
        <v>25</v>
      </c>
      <c r="H81" s="13">
        <v>46119</v>
      </c>
    </row>
    <row r="82" spans="1:8" x14ac:dyDescent="0.2">
      <c r="A82" s="12">
        <v>1367</v>
      </c>
      <c r="B82" s="12" t="s">
        <v>161</v>
      </c>
      <c r="C82" s="12" t="s">
        <v>152</v>
      </c>
      <c r="D82" s="12" t="s">
        <v>23</v>
      </c>
      <c r="E82" s="12" t="b">
        <v>0</v>
      </c>
      <c r="F82" s="12" t="s">
        <v>35</v>
      </c>
      <c r="H82" s="13">
        <v>46119</v>
      </c>
    </row>
    <row r="83" spans="1:8" x14ac:dyDescent="0.2">
      <c r="A83" s="12">
        <v>1366</v>
      </c>
      <c r="B83" s="12" t="s">
        <v>161</v>
      </c>
      <c r="C83" s="12" t="s">
        <v>162</v>
      </c>
      <c r="D83" s="12" t="s">
        <v>23</v>
      </c>
      <c r="E83" s="12" t="b">
        <v>1</v>
      </c>
      <c r="F83" s="12" t="s">
        <v>25</v>
      </c>
      <c r="H83" s="13">
        <v>46119</v>
      </c>
    </row>
    <row r="84" spans="1:8" x14ac:dyDescent="0.2">
      <c r="A84" s="12">
        <v>1365</v>
      </c>
      <c r="B84" s="12" t="s">
        <v>161</v>
      </c>
      <c r="C84" s="12" t="s">
        <v>163</v>
      </c>
      <c r="D84" s="12" t="s">
        <v>23</v>
      </c>
      <c r="E84" s="12" t="b">
        <v>1</v>
      </c>
      <c r="F84" s="12" t="s">
        <v>27</v>
      </c>
      <c r="G84" s="12">
        <v>7</v>
      </c>
      <c r="H84" s="13">
        <v>46119</v>
      </c>
    </row>
    <row r="85" spans="1:8" x14ac:dyDescent="0.2">
      <c r="A85" s="12">
        <v>897</v>
      </c>
      <c r="B85" s="12" t="s">
        <v>161</v>
      </c>
      <c r="C85" s="12" t="s">
        <v>164</v>
      </c>
      <c r="D85" s="12" t="s">
        <v>23</v>
      </c>
      <c r="E85" s="12" t="b">
        <v>0</v>
      </c>
      <c r="F85" s="12" t="s">
        <v>27</v>
      </c>
      <c r="G85" s="12">
        <v>13</v>
      </c>
      <c r="H85" s="13">
        <v>46119</v>
      </c>
    </row>
    <row r="86" spans="1:8" x14ac:dyDescent="0.2">
      <c r="A86" s="12">
        <v>1308</v>
      </c>
      <c r="B86" s="12" t="s">
        <v>165</v>
      </c>
      <c r="C86" s="12" t="s">
        <v>166</v>
      </c>
      <c r="D86" s="12" t="s">
        <v>23</v>
      </c>
      <c r="E86" s="12" t="b">
        <v>1</v>
      </c>
      <c r="F86" s="12" t="s">
        <v>27</v>
      </c>
      <c r="G86" s="12">
        <v>2</v>
      </c>
      <c r="H86" s="13">
        <v>46119</v>
      </c>
    </row>
    <row r="87" spans="1:8" x14ac:dyDescent="0.2">
      <c r="A87" s="12">
        <v>1206</v>
      </c>
      <c r="B87" s="12" t="s">
        <v>167</v>
      </c>
      <c r="C87" s="12" t="s">
        <v>168</v>
      </c>
      <c r="D87" s="12" t="s">
        <v>23</v>
      </c>
      <c r="E87" s="12" t="b">
        <v>1</v>
      </c>
      <c r="F87" s="12" t="s">
        <v>27</v>
      </c>
      <c r="G87" s="12">
        <v>8</v>
      </c>
      <c r="H87" s="13">
        <v>46119</v>
      </c>
    </row>
    <row r="88" spans="1:8" x14ac:dyDescent="0.2">
      <c r="A88" s="12">
        <v>1205</v>
      </c>
      <c r="B88" s="12" t="s">
        <v>167</v>
      </c>
      <c r="C88" s="12" t="s">
        <v>66</v>
      </c>
      <c r="D88" s="12" t="s">
        <v>23</v>
      </c>
      <c r="E88" s="12" t="b">
        <v>0</v>
      </c>
      <c r="F88" s="12" t="s">
        <v>27</v>
      </c>
      <c r="G88" s="12">
        <v>14</v>
      </c>
      <c r="H88" s="13">
        <v>46119</v>
      </c>
    </row>
    <row r="89" spans="1:8" x14ac:dyDescent="0.2">
      <c r="A89" s="12">
        <v>1406</v>
      </c>
      <c r="B89" s="12" t="s">
        <v>169</v>
      </c>
      <c r="C89" s="12" t="s">
        <v>170</v>
      </c>
      <c r="D89" s="12" t="s">
        <v>23</v>
      </c>
      <c r="E89" s="12" t="b">
        <v>0</v>
      </c>
      <c r="F89" s="12" t="s">
        <v>27</v>
      </c>
      <c r="G89" s="12">
        <v>9</v>
      </c>
      <c r="H89" s="13">
        <v>46119</v>
      </c>
    </row>
    <row r="90" spans="1:8" x14ac:dyDescent="0.2">
      <c r="A90" s="12">
        <v>1182</v>
      </c>
      <c r="B90" s="12" t="s">
        <v>171</v>
      </c>
      <c r="C90" s="12" t="s">
        <v>136</v>
      </c>
      <c r="D90" s="12" t="s">
        <v>23</v>
      </c>
      <c r="E90" s="12" t="b">
        <v>0</v>
      </c>
      <c r="F90" s="12" t="s">
        <v>27</v>
      </c>
      <c r="G90" s="12">
        <v>8</v>
      </c>
      <c r="H90" s="13">
        <v>46119</v>
      </c>
    </row>
    <row r="91" spans="1:8" x14ac:dyDescent="0.2">
      <c r="A91" s="12">
        <v>1340</v>
      </c>
      <c r="B91" s="12" t="s">
        <v>172</v>
      </c>
      <c r="C91" s="12" t="s">
        <v>173</v>
      </c>
      <c r="D91" s="12" t="s">
        <v>23</v>
      </c>
      <c r="E91" s="12" t="b">
        <v>0</v>
      </c>
      <c r="F91" s="12" t="s">
        <v>27</v>
      </c>
      <c r="G91" s="12">
        <v>8</v>
      </c>
      <c r="H91" s="13">
        <v>46119</v>
      </c>
    </row>
    <row r="92" spans="1:8" x14ac:dyDescent="0.2">
      <c r="A92" s="12">
        <v>21</v>
      </c>
      <c r="B92" s="12" t="s">
        <v>174</v>
      </c>
      <c r="C92" s="12" t="s">
        <v>175</v>
      </c>
      <c r="D92" s="12" t="s">
        <v>23</v>
      </c>
      <c r="E92" s="12" t="b">
        <v>0</v>
      </c>
      <c r="F92" s="12" t="s">
        <v>25</v>
      </c>
      <c r="H92" s="13">
        <v>46119</v>
      </c>
    </row>
    <row r="93" spans="1:8" x14ac:dyDescent="0.2">
      <c r="A93" s="12">
        <v>1049</v>
      </c>
      <c r="B93" s="12" t="s">
        <v>176</v>
      </c>
      <c r="C93" s="12" t="s">
        <v>177</v>
      </c>
      <c r="D93" s="12" t="s">
        <v>23</v>
      </c>
      <c r="E93" s="12" t="b">
        <v>0</v>
      </c>
      <c r="F93" s="12" t="s">
        <v>27</v>
      </c>
      <c r="G93" s="12">
        <v>19</v>
      </c>
      <c r="H93" s="13">
        <v>46119</v>
      </c>
    </row>
    <row r="94" spans="1:8" x14ac:dyDescent="0.2">
      <c r="A94" s="12">
        <v>120</v>
      </c>
      <c r="B94" s="12" t="s">
        <v>178</v>
      </c>
      <c r="C94" s="12" t="s">
        <v>179</v>
      </c>
      <c r="D94" s="12" t="s">
        <v>23</v>
      </c>
      <c r="E94" s="12" t="b">
        <v>1</v>
      </c>
      <c r="F94" s="12" t="s">
        <v>27</v>
      </c>
      <c r="G94" s="12">
        <v>12</v>
      </c>
      <c r="H94" s="13">
        <v>46119</v>
      </c>
    </row>
    <row r="95" spans="1:8" x14ac:dyDescent="0.2">
      <c r="A95" s="12">
        <v>990</v>
      </c>
      <c r="B95" s="12" t="s">
        <v>180</v>
      </c>
      <c r="C95" s="12" t="s">
        <v>87</v>
      </c>
      <c r="D95" s="12" t="s">
        <v>23</v>
      </c>
      <c r="E95" s="12" t="b">
        <v>1</v>
      </c>
      <c r="F95" s="12" t="s">
        <v>27</v>
      </c>
      <c r="G95" s="12">
        <v>10</v>
      </c>
      <c r="H95" s="13">
        <v>46119</v>
      </c>
    </row>
    <row r="96" spans="1:8" x14ac:dyDescent="0.2">
      <c r="A96" s="12">
        <v>1395</v>
      </c>
      <c r="B96" s="12" t="s">
        <v>181</v>
      </c>
      <c r="C96" s="12" t="s">
        <v>182</v>
      </c>
      <c r="D96" s="12" t="s">
        <v>23</v>
      </c>
      <c r="E96" s="12" t="b">
        <v>1</v>
      </c>
      <c r="F96" s="12" t="s">
        <v>35</v>
      </c>
      <c r="H96" s="13">
        <v>46119</v>
      </c>
    </row>
    <row r="97" spans="1:8" x14ac:dyDescent="0.2">
      <c r="A97" s="12">
        <v>1158</v>
      </c>
      <c r="B97" s="12" t="s">
        <v>183</v>
      </c>
      <c r="C97" s="12" t="s">
        <v>184</v>
      </c>
      <c r="D97" s="12" t="s">
        <v>23</v>
      </c>
      <c r="E97" s="12" t="b">
        <v>1</v>
      </c>
      <c r="F97" s="12" t="s">
        <v>25</v>
      </c>
      <c r="H97" s="13">
        <v>46119</v>
      </c>
    </row>
    <row r="98" spans="1:8" x14ac:dyDescent="0.2">
      <c r="A98" s="12">
        <v>23</v>
      </c>
      <c r="B98" s="12" t="s">
        <v>185</v>
      </c>
      <c r="C98" s="12" t="s">
        <v>100</v>
      </c>
      <c r="D98" s="12" t="s">
        <v>23</v>
      </c>
      <c r="E98" s="12" t="b">
        <v>0</v>
      </c>
      <c r="F98" s="12" t="s">
        <v>27</v>
      </c>
      <c r="G98" s="12">
        <v>10</v>
      </c>
      <c r="H98" s="13">
        <v>46119</v>
      </c>
    </row>
    <row r="99" spans="1:8" x14ac:dyDescent="0.2">
      <c r="A99" s="12">
        <v>1152</v>
      </c>
      <c r="B99" s="12" t="s">
        <v>186</v>
      </c>
      <c r="C99" s="12" t="s">
        <v>187</v>
      </c>
      <c r="D99" s="12" t="s">
        <v>54</v>
      </c>
      <c r="E99" s="12" t="b">
        <v>1</v>
      </c>
      <c r="F99" s="12" t="s">
        <v>188</v>
      </c>
      <c r="H99" s="13">
        <v>46119</v>
      </c>
    </row>
    <row r="100" spans="1:8" x14ac:dyDescent="0.2">
      <c r="A100" s="12">
        <v>581</v>
      </c>
      <c r="B100" s="12" t="s">
        <v>189</v>
      </c>
      <c r="C100" s="12" t="s">
        <v>190</v>
      </c>
      <c r="D100" s="12" t="s">
        <v>23</v>
      </c>
      <c r="E100" s="12" t="b">
        <v>0</v>
      </c>
      <c r="F100" s="12" t="s">
        <v>27</v>
      </c>
      <c r="G100" s="12">
        <v>13</v>
      </c>
      <c r="H100" s="13">
        <v>46119</v>
      </c>
    </row>
    <row r="101" spans="1:8" x14ac:dyDescent="0.2">
      <c r="A101" s="12">
        <v>1374</v>
      </c>
      <c r="B101" s="12" t="s">
        <v>191</v>
      </c>
      <c r="C101" s="12" t="s">
        <v>192</v>
      </c>
      <c r="D101" s="12" t="s">
        <v>23</v>
      </c>
      <c r="E101" s="12" t="b">
        <v>0</v>
      </c>
      <c r="F101" s="12" t="s">
        <v>25</v>
      </c>
      <c r="H101" s="13">
        <v>46119</v>
      </c>
    </row>
    <row r="102" spans="1:8" x14ac:dyDescent="0.2">
      <c r="A102" s="12">
        <v>25</v>
      </c>
      <c r="B102" s="12" t="s">
        <v>22</v>
      </c>
      <c r="C102" s="12" t="s">
        <v>193</v>
      </c>
      <c r="D102" s="12" t="s">
        <v>23</v>
      </c>
      <c r="E102" s="12" t="b">
        <v>0</v>
      </c>
      <c r="F102" s="12" t="s">
        <v>27</v>
      </c>
      <c r="G102" s="12">
        <v>8</v>
      </c>
      <c r="H102" s="13">
        <v>46119</v>
      </c>
    </row>
    <row r="103" spans="1:8" x14ac:dyDescent="0.2">
      <c r="A103" s="12">
        <v>415</v>
      </c>
      <c r="B103" s="12" t="s">
        <v>195</v>
      </c>
      <c r="C103" s="12" t="s">
        <v>196</v>
      </c>
      <c r="D103" s="12" t="s">
        <v>23</v>
      </c>
      <c r="E103" s="12" t="b">
        <v>0</v>
      </c>
      <c r="F103" s="12" t="s">
        <v>27</v>
      </c>
      <c r="G103" s="12">
        <v>6</v>
      </c>
      <c r="H103" s="13">
        <v>46119</v>
      </c>
    </row>
    <row r="104" spans="1:8" x14ac:dyDescent="0.2">
      <c r="A104" s="12">
        <v>1144</v>
      </c>
      <c r="B104" s="12" t="s">
        <v>195</v>
      </c>
      <c r="C104" s="12" t="s">
        <v>197</v>
      </c>
      <c r="D104" s="12" t="s">
        <v>54</v>
      </c>
      <c r="E104" s="12" t="b">
        <v>0</v>
      </c>
      <c r="F104" s="12" t="s">
        <v>188</v>
      </c>
      <c r="H104" s="13">
        <v>46119</v>
      </c>
    </row>
    <row r="105" spans="1:8" x14ac:dyDescent="0.2">
      <c r="A105" s="12">
        <v>203</v>
      </c>
      <c r="B105" s="12" t="s">
        <v>200</v>
      </c>
      <c r="C105" s="12" t="s">
        <v>201</v>
      </c>
      <c r="D105" s="12" t="s">
        <v>23</v>
      </c>
      <c r="E105" s="12" t="b">
        <v>0</v>
      </c>
      <c r="F105" s="12" t="s">
        <v>27</v>
      </c>
      <c r="G105" s="12">
        <v>9</v>
      </c>
      <c r="H105" s="13">
        <v>46119</v>
      </c>
    </row>
    <row r="106" spans="1:8" x14ac:dyDescent="0.2">
      <c r="A106" s="12">
        <v>956</v>
      </c>
      <c r="B106" s="12" t="s">
        <v>202</v>
      </c>
      <c r="C106" s="12" t="s">
        <v>94</v>
      </c>
      <c r="D106" s="12" t="s">
        <v>23</v>
      </c>
      <c r="E106" s="12" t="b">
        <v>0</v>
      </c>
      <c r="F106" s="12" t="s">
        <v>27</v>
      </c>
      <c r="G106" s="12">
        <v>13</v>
      </c>
      <c r="H106" s="13">
        <v>46119</v>
      </c>
    </row>
    <row r="107" spans="1:8" x14ac:dyDescent="0.2">
      <c r="A107" s="12">
        <v>1273</v>
      </c>
      <c r="B107" s="12" t="s">
        <v>203</v>
      </c>
      <c r="C107" s="12" t="s">
        <v>204</v>
      </c>
      <c r="D107" s="12" t="s">
        <v>23</v>
      </c>
      <c r="E107" s="12" t="b">
        <v>1</v>
      </c>
      <c r="F107" s="12" t="s">
        <v>27</v>
      </c>
      <c r="G107" s="12">
        <v>22</v>
      </c>
      <c r="H107" s="13">
        <v>46119</v>
      </c>
    </row>
    <row r="108" spans="1:8" x14ac:dyDescent="0.2">
      <c r="A108" s="12">
        <v>1272</v>
      </c>
      <c r="B108" s="12" t="s">
        <v>203</v>
      </c>
      <c r="C108" s="12" t="s">
        <v>205</v>
      </c>
      <c r="D108" s="12" t="s">
        <v>23</v>
      </c>
      <c r="E108" s="12" t="b">
        <v>0</v>
      </c>
      <c r="F108" s="12" t="s">
        <v>27</v>
      </c>
      <c r="G108" s="12">
        <v>24</v>
      </c>
      <c r="H108" s="13">
        <v>46119</v>
      </c>
    </row>
    <row r="109" spans="1:8" x14ac:dyDescent="0.2">
      <c r="A109" s="12">
        <v>846</v>
      </c>
      <c r="B109" s="12" t="s">
        <v>206</v>
      </c>
      <c r="C109" s="12" t="s">
        <v>207</v>
      </c>
      <c r="D109" s="12" t="s">
        <v>23</v>
      </c>
      <c r="E109" s="12" t="b">
        <v>0</v>
      </c>
      <c r="F109" s="12" t="s">
        <v>27</v>
      </c>
      <c r="G109" s="12">
        <v>17</v>
      </c>
      <c r="H109" s="13">
        <v>46119</v>
      </c>
    </row>
    <row r="110" spans="1:8" x14ac:dyDescent="0.2">
      <c r="A110" s="12">
        <v>1162</v>
      </c>
      <c r="B110" s="12" t="s">
        <v>208</v>
      </c>
      <c r="C110" s="12" t="s">
        <v>150</v>
      </c>
      <c r="D110" s="12" t="s">
        <v>23</v>
      </c>
      <c r="E110" s="12" t="b">
        <v>0</v>
      </c>
      <c r="F110" s="12" t="s">
        <v>25</v>
      </c>
      <c r="H110" s="13">
        <v>46119</v>
      </c>
    </row>
    <row r="111" spans="1:8" x14ac:dyDescent="0.2">
      <c r="A111" s="12">
        <v>1244</v>
      </c>
      <c r="B111" s="12" t="s">
        <v>209</v>
      </c>
      <c r="C111" s="12" t="s">
        <v>94</v>
      </c>
      <c r="D111" s="12" t="s">
        <v>23</v>
      </c>
      <c r="E111" s="12" t="b">
        <v>0</v>
      </c>
      <c r="F111" s="12" t="s">
        <v>27</v>
      </c>
      <c r="G111" s="12">
        <v>2</v>
      </c>
      <c r="H111" s="13">
        <v>46119</v>
      </c>
    </row>
    <row r="112" spans="1:8" x14ac:dyDescent="0.2">
      <c r="A112" s="12">
        <v>1379</v>
      </c>
      <c r="B112" s="12" t="s">
        <v>209</v>
      </c>
      <c r="C112" s="12" t="s">
        <v>210</v>
      </c>
      <c r="D112" s="12" t="s">
        <v>23</v>
      </c>
      <c r="E112" s="12" t="b">
        <v>1</v>
      </c>
      <c r="F112" s="12" t="s">
        <v>25</v>
      </c>
      <c r="H112" s="13">
        <v>46119</v>
      </c>
    </row>
    <row r="113" spans="1:8" x14ac:dyDescent="0.2">
      <c r="A113" s="12">
        <v>1362</v>
      </c>
      <c r="B113" s="12" t="s">
        <v>211</v>
      </c>
      <c r="C113" s="12" t="s">
        <v>212</v>
      </c>
      <c r="D113" s="12" t="s">
        <v>23</v>
      </c>
      <c r="E113" s="12" t="b">
        <v>1</v>
      </c>
      <c r="F113" s="12" t="s">
        <v>27</v>
      </c>
      <c r="G113" s="12">
        <v>22</v>
      </c>
      <c r="H113" s="13">
        <v>46119</v>
      </c>
    </row>
    <row r="114" spans="1:8" x14ac:dyDescent="0.2">
      <c r="A114" s="12">
        <v>1403</v>
      </c>
      <c r="B114" s="12" t="s">
        <v>213</v>
      </c>
      <c r="C114" s="12" t="s">
        <v>214</v>
      </c>
      <c r="D114" s="12" t="s">
        <v>23</v>
      </c>
      <c r="E114" s="12" t="b">
        <v>0</v>
      </c>
      <c r="F114" s="12" t="s">
        <v>27</v>
      </c>
      <c r="G114" s="12">
        <v>8</v>
      </c>
      <c r="H114" s="13">
        <v>46119</v>
      </c>
    </row>
    <row r="115" spans="1:8" x14ac:dyDescent="0.2">
      <c r="A115" s="12">
        <v>1404</v>
      </c>
      <c r="B115" s="12" t="s">
        <v>213</v>
      </c>
      <c r="C115" s="12" t="s">
        <v>215</v>
      </c>
      <c r="D115" s="12" t="s">
        <v>23</v>
      </c>
      <c r="E115" s="12" t="b">
        <v>1</v>
      </c>
      <c r="F115" s="12" t="s">
        <v>25</v>
      </c>
      <c r="H115" s="13">
        <v>46119</v>
      </c>
    </row>
    <row r="116" spans="1:8" x14ac:dyDescent="0.2">
      <c r="A116" s="12">
        <v>1229</v>
      </c>
      <c r="B116" s="12" t="s">
        <v>216</v>
      </c>
      <c r="C116" s="12" t="s">
        <v>217</v>
      </c>
      <c r="D116" s="12" t="s">
        <v>23</v>
      </c>
      <c r="E116" s="12" t="b">
        <v>1</v>
      </c>
      <c r="F116" s="12" t="s">
        <v>25</v>
      </c>
      <c r="H116" s="13">
        <v>46119</v>
      </c>
    </row>
    <row r="117" spans="1:8" x14ac:dyDescent="0.2">
      <c r="A117" s="12">
        <v>1408</v>
      </c>
      <c r="B117" s="12" t="s">
        <v>218</v>
      </c>
      <c r="C117" s="12" t="s">
        <v>219</v>
      </c>
      <c r="D117" s="12" t="s">
        <v>23</v>
      </c>
      <c r="E117" s="12" t="b">
        <v>0</v>
      </c>
      <c r="F117" s="12" t="s">
        <v>27</v>
      </c>
      <c r="G117" s="12">
        <v>20</v>
      </c>
      <c r="H117" s="13">
        <v>46119</v>
      </c>
    </row>
    <row r="118" spans="1:8" x14ac:dyDescent="0.2">
      <c r="A118" s="12">
        <v>1409</v>
      </c>
      <c r="B118" s="12" t="s">
        <v>218</v>
      </c>
      <c r="C118" s="12" t="s">
        <v>220</v>
      </c>
      <c r="D118" s="12" t="s">
        <v>23</v>
      </c>
      <c r="E118" s="12" t="b">
        <v>1</v>
      </c>
      <c r="F118" s="12" t="s">
        <v>27</v>
      </c>
      <c r="G118" s="12">
        <v>15</v>
      </c>
      <c r="H118" s="13">
        <v>46119</v>
      </c>
    </row>
    <row r="119" spans="1:8" x14ac:dyDescent="0.2">
      <c r="A119" s="12">
        <v>1198</v>
      </c>
      <c r="B119" s="12" t="s">
        <v>221</v>
      </c>
      <c r="C119" s="12" t="s">
        <v>222</v>
      </c>
      <c r="D119" s="12" t="s">
        <v>23</v>
      </c>
      <c r="E119" s="12" t="b">
        <v>0</v>
      </c>
      <c r="F119" s="12" t="s">
        <v>27</v>
      </c>
      <c r="G119" s="12">
        <v>5</v>
      </c>
      <c r="H119" s="13">
        <v>46119</v>
      </c>
    </row>
    <row r="120" spans="1:8" x14ac:dyDescent="0.2">
      <c r="A120" s="12">
        <v>1260</v>
      </c>
      <c r="B120" s="12" t="s">
        <v>223</v>
      </c>
      <c r="C120" s="12" t="s">
        <v>82</v>
      </c>
      <c r="D120" s="12" t="s">
        <v>23</v>
      </c>
      <c r="E120" s="12" t="b">
        <v>1</v>
      </c>
      <c r="F120" s="12" t="s">
        <v>27</v>
      </c>
      <c r="G120" s="12">
        <v>15</v>
      </c>
      <c r="H120" s="13">
        <v>46119</v>
      </c>
    </row>
    <row r="121" spans="1:8" x14ac:dyDescent="0.2">
      <c r="A121" s="12">
        <v>1361</v>
      </c>
      <c r="B121" s="12" t="s">
        <v>224</v>
      </c>
      <c r="C121" s="12" t="s">
        <v>225</v>
      </c>
      <c r="D121" s="12" t="s">
        <v>23</v>
      </c>
      <c r="E121" s="12" t="b">
        <v>0</v>
      </c>
      <c r="F121" s="12" t="s">
        <v>27</v>
      </c>
      <c r="G121" s="12">
        <v>16</v>
      </c>
      <c r="H121" s="13">
        <v>46119</v>
      </c>
    </row>
    <row r="122" spans="1:8" x14ac:dyDescent="0.2">
      <c r="A122" s="12">
        <v>1100</v>
      </c>
      <c r="B122" s="12" t="s">
        <v>226</v>
      </c>
      <c r="C122" s="12" t="s">
        <v>34</v>
      </c>
      <c r="D122" s="12" t="s">
        <v>23</v>
      </c>
      <c r="E122" s="12" t="b">
        <v>0</v>
      </c>
      <c r="F122" s="12" t="s">
        <v>27</v>
      </c>
      <c r="G122" s="12">
        <v>13</v>
      </c>
      <c r="H122" s="13">
        <v>46119</v>
      </c>
    </row>
    <row r="123" spans="1:8" x14ac:dyDescent="0.2">
      <c r="A123" s="12">
        <v>1385</v>
      </c>
      <c r="B123" s="12" t="s">
        <v>227</v>
      </c>
      <c r="C123" s="12" t="s">
        <v>228</v>
      </c>
      <c r="D123" s="12" t="s">
        <v>23</v>
      </c>
      <c r="E123" s="12" t="b">
        <v>0</v>
      </c>
      <c r="F123" s="12" t="s">
        <v>25</v>
      </c>
      <c r="H123" s="13">
        <v>46119</v>
      </c>
    </row>
    <row r="124" spans="1:8" x14ac:dyDescent="0.2">
      <c r="A124" s="12">
        <v>1394</v>
      </c>
      <c r="B124" s="12" t="s">
        <v>227</v>
      </c>
      <c r="C124" s="12" t="s">
        <v>229</v>
      </c>
      <c r="D124" s="12" t="s">
        <v>23</v>
      </c>
      <c r="E124" s="12" t="b">
        <v>0</v>
      </c>
      <c r="F124" s="12" t="s">
        <v>35</v>
      </c>
      <c r="H124" s="13">
        <v>46119</v>
      </c>
    </row>
    <row r="125" spans="1:8" x14ac:dyDescent="0.2">
      <c r="A125" s="12">
        <v>1419</v>
      </c>
      <c r="B125" s="12" t="s">
        <v>230</v>
      </c>
      <c r="C125" s="12" t="s">
        <v>231</v>
      </c>
      <c r="D125" s="12" t="s">
        <v>23</v>
      </c>
      <c r="E125" s="12" t="b">
        <v>0</v>
      </c>
      <c r="F125" s="12" t="s">
        <v>25</v>
      </c>
      <c r="H125" s="13">
        <v>46119</v>
      </c>
    </row>
    <row r="126" spans="1:8" x14ac:dyDescent="0.2">
      <c r="A126" s="12">
        <v>967</v>
      </c>
      <c r="B126" s="12" t="s">
        <v>232</v>
      </c>
      <c r="C126" s="12" t="s">
        <v>152</v>
      </c>
      <c r="D126" s="12" t="s">
        <v>23</v>
      </c>
      <c r="E126" s="12" t="b">
        <v>0</v>
      </c>
      <c r="F126" s="12" t="s">
        <v>27</v>
      </c>
      <c r="G126" s="12">
        <v>5</v>
      </c>
      <c r="H126" s="13">
        <v>46119</v>
      </c>
    </row>
    <row r="127" spans="1:8" x14ac:dyDescent="0.2">
      <c r="A127" s="12">
        <v>1373</v>
      </c>
      <c r="B127" s="12" t="s">
        <v>233</v>
      </c>
      <c r="C127" s="12" t="s">
        <v>234</v>
      </c>
      <c r="D127" s="12" t="s">
        <v>23</v>
      </c>
      <c r="E127" s="12" t="b">
        <v>0</v>
      </c>
      <c r="F127" s="12" t="s">
        <v>27</v>
      </c>
      <c r="G127" s="12">
        <v>10</v>
      </c>
      <c r="H127" s="13">
        <v>46119</v>
      </c>
    </row>
    <row r="128" spans="1:8" x14ac:dyDescent="0.2">
      <c r="A128" s="12">
        <v>1045</v>
      </c>
      <c r="B128" s="12" t="s">
        <v>235</v>
      </c>
      <c r="C128" s="12" t="s">
        <v>236</v>
      </c>
      <c r="D128" s="12" t="s">
        <v>23</v>
      </c>
      <c r="E128" s="12" t="b">
        <v>1</v>
      </c>
      <c r="F128" s="12" t="s">
        <v>27</v>
      </c>
      <c r="G128" s="12">
        <v>5</v>
      </c>
      <c r="H128" s="13">
        <v>46119</v>
      </c>
    </row>
    <row r="129" spans="1:8" x14ac:dyDescent="0.2">
      <c r="A129" s="12">
        <v>1046</v>
      </c>
      <c r="B129" s="12" t="s">
        <v>235</v>
      </c>
      <c r="C129" s="12" t="s">
        <v>237</v>
      </c>
      <c r="D129" s="12" t="s">
        <v>23</v>
      </c>
      <c r="E129" s="12" t="b">
        <v>0</v>
      </c>
      <c r="F129" s="12" t="s">
        <v>27</v>
      </c>
      <c r="G129" s="12">
        <v>35</v>
      </c>
      <c r="H129" s="13">
        <v>46119</v>
      </c>
    </row>
    <row r="130" spans="1:8" x14ac:dyDescent="0.2">
      <c r="A130" s="12">
        <v>1396</v>
      </c>
      <c r="B130" s="12" t="s">
        <v>238</v>
      </c>
      <c r="C130" s="12" t="s">
        <v>59</v>
      </c>
      <c r="D130" s="12" t="s">
        <v>23</v>
      </c>
      <c r="E130" s="12" t="b">
        <v>0</v>
      </c>
      <c r="F130" s="12" t="s">
        <v>25</v>
      </c>
      <c r="H130" s="13">
        <v>46119</v>
      </c>
    </row>
    <row r="131" spans="1:8" x14ac:dyDescent="0.2">
      <c r="A131" s="12">
        <v>1397</v>
      </c>
      <c r="B131" s="12" t="s">
        <v>238</v>
      </c>
      <c r="C131" s="12" t="s">
        <v>239</v>
      </c>
      <c r="D131" s="12" t="s">
        <v>23</v>
      </c>
      <c r="E131" s="12" t="b">
        <v>1</v>
      </c>
      <c r="F131" s="12" t="s">
        <v>25</v>
      </c>
      <c r="H131" s="13">
        <v>46119</v>
      </c>
    </row>
    <row r="132" spans="1:8" x14ac:dyDescent="0.2">
      <c r="A132" s="12">
        <v>1398</v>
      </c>
      <c r="B132" s="12" t="s">
        <v>238</v>
      </c>
      <c r="C132" s="12" t="s">
        <v>49</v>
      </c>
      <c r="D132" s="12" t="s">
        <v>23</v>
      </c>
      <c r="E132" s="12" t="b">
        <v>0</v>
      </c>
      <c r="F132" s="12" t="s">
        <v>35</v>
      </c>
      <c r="H132" s="13">
        <v>46119</v>
      </c>
    </row>
    <row r="133" spans="1:8" x14ac:dyDescent="0.2">
      <c r="A133" s="12">
        <v>1399</v>
      </c>
      <c r="B133" s="12" t="s">
        <v>238</v>
      </c>
      <c r="C133" s="12" t="s">
        <v>131</v>
      </c>
      <c r="D133" s="12" t="s">
        <v>23</v>
      </c>
      <c r="E133" s="12" t="b">
        <v>1</v>
      </c>
      <c r="F133" s="12" t="s">
        <v>35</v>
      </c>
      <c r="H133" s="13">
        <v>46119</v>
      </c>
    </row>
    <row r="134" spans="1:8" x14ac:dyDescent="0.2">
      <c r="A134" s="12">
        <v>771</v>
      </c>
      <c r="B134" s="12" t="s">
        <v>240</v>
      </c>
      <c r="C134" s="12" t="s">
        <v>241</v>
      </c>
      <c r="D134" s="12" t="s">
        <v>23</v>
      </c>
      <c r="E134" s="12" t="b">
        <v>0</v>
      </c>
      <c r="F134" s="12" t="s">
        <v>27</v>
      </c>
      <c r="G134" s="12">
        <v>14</v>
      </c>
      <c r="H134" s="13">
        <v>46119</v>
      </c>
    </row>
    <row r="135" spans="1:8" x14ac:dyDescent="0.2">
      <c r="A135" s="12">
        <v>1265</v>
      </c>
      <c r="B135" s="12" t="s">
        <v>242</v>
      </c>
      <c r="C135" s="12" t="s">
        <v>243</v>
      </c>
      <c r="D135" s="12" t="s">
        <v>23</v>
      </c>
      <c r="E135" s="12" t="b">
        <v>0</v>
      </c>
      <c r="F135" s="12" t="s">
        <v>27</v>
      </c>
      <c r="G135" s="12">
        <v>20</v>
      </c>
      <c r="H135" s="13">
        <v>46119</v>
      </c>
    </row>
    <row r="136" spans="1:8" x14ac:dyDescent="0.2">
      <c r="A136" s="12">
        <v>532</v>
      </c>
      <c r="B136" s="12" t="s">
        <v>244</v>
      </c>
      <c r="C136" s="12" t="s">
        <v>243</v>
      </c>
      <c r="D136" s="12" t="s">
        <v>23</v>
      </c>
      <c r="E136" s="12" t="b">
        <v>0</v>
      </c>
      <c r="F136" s="12" t="s">
        <v>27</v>
      </c>
      <c r="G136" s="12">
        <v>13</v>
      </c>
      <c r="H136" s="13">
        <v>46119</v>
      </c>
    </row>
    <row r="137" spans="1:8" x14ac:dyDescent="0.2">
      <c r="A137" s="12">
        <v>742</v>
      </c>
      <c r="B137" s="12" t="s">
        <v>246</v>
      </c>
      <c r="C137" s="12" t="s">
        <v>156</v>
      </c>
      <c r="D137" s="12" t="s">
        <v>23</v>
      </c>
      <c r="E137" s="12" t="b">
        <v>1</v>
      </c>
      <c r="F137" s="12" t="s">
        <v>27</v>
      </c>
      <c r="G137" s="12">
        <v>2</v>
      </c>
      <c r="H137" s="13">
        <v>46119</v>
      </c>
    </row>
    <row r="138" spans="1:8" x14ac:dyDescent="0.2">
      <c r="A138" s="12">
        <v>741</v>
      </c>
      <c r="B138" s="12" t="s">
        <v>246</v>
      </c>
      <c r="C138" s="12" t="s">
        <v>247</v>
      </c>
      <c r="D138" s="12" t="s">
        <v>23</v>
      </c>
      <c r="E138" s="12" t="b">
        <v>0</v>
      </c>
      <c r="F138" s="12" t="s">
        <v>27</v>
      </c>
      <c r="G138" s="12">
        <v>4</v>
      </c>
      <c r="H138" s="13">
        <v>46119</v>
      </c>
    </row>
    <row r="139" spans="1:8" x14ac:dyDescent="0.2">
      <c r="A139" s="12">
        <v>1298</v>
      </c>
      <c r="B139" s="12" t="s">
        <v>246</v>
      </c>
      <c r="C139" s="12" t="s">
        <v>132</v>
      </c>
      <c r="D139" s="12" t="s">
        <v>23</v>
      </c>
      <c r="E139" s="12" t="b">
        <v>1</v>
      </c>
      <c r="F139" s="12" t="s">
        <v>27</v>
      </c>
      <c r="G139" s="12">
        <v>13</v>
      </c>
      <c r="H139" s="13">
        <v>46119</v>
      </c>
    </row>
    <row r="140" spans="1:8" x14ac:dyDescent="0.2">
      <c r="A140" s="12">
        <v>747</v>
      </c>
      <c r="B140" s="12" t="s">
        <v>246</v>
      </c>
      <c r="C140" s="12" t="s">
        <v>22</v>
      </c>
      <c r="D140" s="12" t="s">
        <v>23</v>
      </c>
      <c r="E140" s="12" t="b">
        <v>0</v>
      </c>
      <c r="F140" s="12" t="s">
        <v>27</v>
      </c>
      <c r="G140" s="12">
        <v>1</v>
      </c>
      <c r="H140" s="13">
        <v>46119</v>
      </c>
    </row>
    <row r="141" spans="1:8" x14ac:dyDescent="0.2">
      <c r="A141" s="12">
        <v>1386</v>
      </c>
      <c r="B141" s="12" t="s">
        <v>246</v>
      </c>
      <c r="C141" s="12" t="s">
        <v>248</v>
      </c>
      <c r="D141" s="12" t="s">
        <v>23</v>
      </c>
      <c r="E141" s="12" t="b">
        <v>1</v>
      </c>
      <c r="F141" s="12" t="s">
        <v>35</v>
      </c>
      <c r="H141" s="13">
        <v>46119</v>
      </c>
    </row>
    <row r="142" spans="1:8" x14ac:dyDescent="0.2">
      <c r="A142" s="12">
        <v>564</v>
      </c>
      <c r="B142" s="12" t="s">
        <v>250</v>
      </c>
      <c r="C142" s="12" t="s">
        <v>34</v>
      </c>
      <c r="D142" s="12" t="s">
        <v>23</v>
      </c>
      <c r="E142" s="12" t="b">
        <v>0</v>
      </c>
      <c r="F142" s="12" t="s">
        <v>27</v>
      </c>
      <c r="G142" s="12">
        <v>7</v>
      </c>
      <c r="H142" s="13">
        <v>46119</v>
      </c>
    </row>
    <row r="143" spans="1:8" x14ac:dyDescent="0.2">
      <c r="A143" s="12">
        <v>1165</v>
      </c>
      <c r="B143" s="12" t="s">
        <v>251</v>
      </c>
      <c r="C143" s="12" t="s">
        <v>177</v>
      </c>
      <c r="D143" s="12" t="s">
        <v>23</v>
      </c>
      <c r="E143" s="12" t="b">
        <v>0</v>
      </c>
      <c r="F143" s="12" t="s">
        <v>27</v>
      </c>
      <c r="G143" s="12">
        <v>10</v>
      </c>
      <c r="H143" s="13">
        <v>46119</v>
      </c>
    </row>
    <row r="144" spans="1:8" x14ac:dyDescent="0.2">
      <c r="A144" s="12">
        <v>405</v>
      </c>
      <c r="B144" s="12" t="s">
        <v>252</v>
      </c>
      <c r="C144" s="12" t="s">
        <v>243</v>
      </c>
      <c r="D144" s="12" t="s">
        <v>23</v>
      </c>
      <c r="E144" s="12" t="b">
        <v>0</v>
      </c>
      <c r="F144" s="12" t="s">
        <v>27</v>
      </c>
      <c r="G144" s="12">
        <v>18</v>
      </c>
      <c r="H144" s="13">
        <v>46119</v>
      </c>
    </row>
    <row r="145" spans="1:8" x14ac:dyDescent="0.2">
      <c r="A145" s="12">
        <v>1346</v>
      </c>
      <c r="B145" s="12" t="s">
        <v>253</v>
      </c>
      <c r="C145" s="12" t="s">
        <v>254</v>
      </c>
      <c r="D145" s="12" t="s">
        <v>23</v>
      </c>
      <c r="E145" s="12" t="b">
        <v>0</v>
      </c>
      <c r="F145" s="12" t="s">
        <v>27</v>
      </c>
      <c r="G145" s="12">
        <v>20</v>
      </c>
      <c r="H145" s="13">
        <v>46119</v>
      </c>
    </row>
    <row r="146" spans="1:8" x14ac:dyDescent="0.2">
      <c r="A146" s="12">
        <v>1192</v>
      </c>
      <c r="B146" s="12" t="s">
        <v>255</v>
      </c>
      <c r="C146" s="12" t="s">
        <v>256</v>
      </c>
      <c r="D146" s="12" t="s">
        <v>23</v>
      </c>
      <c r="E146" s="12" t="b">
        <v>0</v>
      </c>
      <c r="F146" s="12" t="s">
        <v>27</v>
      </c>
      <c r="G146" s="12">
        <v>10</v>
      </c>
      <c r="H146" s="13">
        <v>46119</v>
      </c>
    </row>
    <row r="147" spans="1:8" x14ac:dyDescent="0.2">
      <c r="A147" s="12">
        <v>1157</v>
      </c>
      <c r="B147" s="12" t="s">
        <v>257</v>
      </c>
      <c r="C147" s="12" t="s">
        <v>100</v>
      </c>
      <c r="D147" s="12" t="s">
        <v>23</v>
      </c>
      <c r="E147" s="12" t="b">
        <v>0</v>
      </c>
      <c r="F147" s="12" t="s">
        <v>25</v>
      </c>
      <c r="H147" s="13">
        <v>46119</v>
      </c>
    </row>
    <row r="148" spans="1:8" x14ac:dyDescent="0.2">
      <c r="A148" s="12">
        <v>1359</v>
      </c>
      <c r="B148" s="12" t="s">
        <v>258</v>
      </c>
      <c r="C148" s="12" t="s">
        <v>49</v>
      </c>
      <c r="D148" s="12" t="s">
        <v>23</v>
      </c>
      <c r="E148" s="12" t="b">
        <v>0</v>
      </c>
      <c r="F148" s="12" t="s">
        <v>188</v>
      </c>
      <c r="H148" s="13">
        <v>46119</v>
      </c>
    </row>
    <row r="149" spans="1:8" x14ac:dyDescent="0.2">
      <c r="A149" s="12">
        <v>1360</v>
      </c>
      <c r="B149" s="12" t="s">
        <v>258</v>
      </c>
      <c r="C149" s="12" t="s">
        <v>259</v>
      </c>
      <c r="D149" s="12" t="s">
        <v>23</v>
      </c>
      <c r="E149" s="12" t="b">
        <v>1</v>
      </c>
      <c r="F149" s="12" t="s">
        <v>35</v>
      </c>
      <c r="H149" s="13">
        <v>46119</v>
      </c>
    </row>
    <row r="150" spans="1:8" x14ac:dyDescent="0.2">
      <c r="A150" s="12">
        <v>1357</v>
      </c>
      <c r="B150" s="12" t="s">
        <v>258</v>
      </c>
      <c r="C150" s="12" t="s">
        <v>34</v>
      </c>
      <c r="D150" s="12" t="s">
        <v>23</v>
      </c>
      <c r="E150" s="12" t="b">
        <v>0</v>
      </c>
      <c r="F150" s="12" t="s">
        <v>27</v>
      </c>
      <c r="G150" s="12">
        <v>5</v>
      </c>
      <c r="H150" s="13">
        <v>46119</v>
      </c>
    </row>
    <row r="151" spans="1:8" x14ac:dyDescent="0.2">
      <c r="A151" s="12">
        <v>1358</v>
      </c>
      <c r="B151" s="12" t="s">
        <v>258</v>
      </c>
      <c r="C151" s="12" t="s">
        <v>260</v>
      </c>
      <c r="D151" s="12" t="s">
        <v>23</v>
      </c>
      <c r="E151" s="12" t="b">
        <v>1</v>
      </c>
      <c r="F151" s="12" t="s">
        <v>27</v>
      </c>
      <c r="G151" s="12">
        <v>7</v>
      </c>
      <c r="H151" s="13">
        <v>46119</v>
      </c>
    </row>
    <row r="152" spans="1:8" x14ac:dyDescent="0.2">
      <c r="A152" s="12">
        <v>1390</v>
      </c>
      <c r="B152" s="12" t="s">
        <v>261</v>
      </c>
      <c r="C152" s="12" t="s">
        <v>262</v>
      </c>
      <c r="D152" s="12" t="s">
        <v>23</v>
      </c>
      <c r="E152" s="12" t="b">
        <v>0</v>
      </c>
      <c r="F152" s="12" t="s">
        <v>25</v>
      </c>
      <c r="H152" s="13">
        <v>46119</v>
      </c>
    </row>
    <row r="153" spans="1:8" x14ac:dyDescent="0.2">
      <c r="A153" s="12">
        <v>1107</v>
      </c>
      <c r="B153" s="12" t="s">
        <v>263</v>
      </c>
      <c r="C153" s="12" t="s">
        <v>264</v>
      </c>
      <c r="D153" s="12" t="s">
        <v>23</v>
      </c>
      <c r="E153" s="12" t="b">
        <v>1</v>
      </c>
      <c r="F153" s="12" t="s">
        <v>25</v>
      </c>
      <c r="H153" s="13">
        <v>46119</v>
      </c>
    </row>
    <row r="154" spans="1:8" x14ac:dyDescent="0.2">
      <c r="A154" s="12">
        <v>35</v>
      </c>
      <c r="B154" s="12" t="s">
        <v>265</v>
      </c>
      <c r="C154" s="12" t="s">
        <v>266</v>
      </c>
      <c r="D154" s="12" t="s">
        <v>23</v>
      </c>
      <c r="E154" s="12" t="b">
        <v>0</v>
      </c>
      <c r="F154" s="12" t="s">
        <v>27</v>
      </c>
      <c r="G154" s="12">
        <v>3</v>
      </c>
      <c r="H154" s="13">
        <v>46119</v>
      </c>
    </row>
    <row r="155" spans="1:8" x14ac:dyDescent="0.2">
      <c r="A155" s="12">
        <v>1094</v>
      </c>
      <c r="B155" s="12" t="s">
        <v>267</v>
      </c>
      <c r="C155" s="12" t="s">
        <v>268</v>
      </c>
      <c r="D155" s="12" t="s">
        <v>23</v>
      </c>
      <c r="E155" s="12" t="b">
        <v>0</v>
      </c>
      <c r="F155" s="12" t="s">
        <v>27</v>
      </c>
      <c r="G155" s="12">
        <v>12</v>
      </c>
      <c r="H155" s="13">
        <v>46119</v>
      </c>
    </row>
    <row r="156" spans="1:8" x14ac:dyDescent="0.2">
      <c r="A156" s="12">
        <v>1325</v>
      </c>
      <c r="B156" s="12" t="s">
        <v>269</v>
      </c>
      <c r="C156" s="12" t="s">
        <v>270</v>
      </c>
      <c r="D156" s="12" t="s">
        <v>23</v>
      </c>
      <c r="E156" s="12" t="b">
        <v>0</v>
      </c>
      <c r="F156" s="12" t="s">
        <v>27</v>
      </c>
      <c r="G156" s="12">
        <v>3</v>
      </c>
      <c r="H156" s="13">
        <v>46119</v>
      </c>
    </row>
    <row r="157" spans="1:8" x14ac:dyDescent="0.2">
      <c r="A157" s="12">
        <v>1143</v>
      </c>
      <c r="B157" s="12" t="s">
        <v>271</v>
      </c>
      <c r="C157" s="12" t="s">
        <v>247</v>
      </c>
      <c r="D157" s="12" t="s">
        <v>23</v>
      </c>
      <c r="E157" s="12" t="b">
        <v>0</v>
      </c>
      <c r="F157" s="12" t="s">
        <v>27</v>
      </c>
      <c r="G157" s="12">
        <v>3</v>
      </c>
      <c r="H157" s="13">
        <v>46119</v>
      </c>
    </row>
    <row r="158" spans="1:8" x14ac:dyDescent="0.2">
      <c r="A158" s="12">
        <v>1401</v>
      </c>
      <c r="B158" s="12" t="s">
        <v>272</v>
      </c>
      <c r="C158" s="12" t="s">
        <v>273</v>
      </c>
      <c r="D158" s="12" t="s">
        <v>23</v>
      </c>
      <c r="E158" s="12" t="b">
        <v>1</v>
      </c>
      <c r="F158" s="12" t="s">
        <v>25</v>
      </c>
      <c r="H158" s="13">
        <v>46119</v>
      </c>
    </row>
    <row r="159" spans="1:8" x14ac:dyDescent="0.2">
      <c r="A159" s="12">
        <v>1285</v>
      </c>
      <c r="B159" s="12" t="s">
        <v>274</v>
      </c>
      <c r="C159" s="12" t="s">
        <v>100</v>
      </c>
      <c r="D159" s="12" t="s">
        <v>23</v>
      </c>
      <c r="E159" s="12" t="b">
        <v>0</v>
      </c>
      <c r="F159" s="12" t="s">
        <v>25</v>
      </c>
      <c r="H159" s="13">
        <v>46119</v>
      </c>
    </row>
    <row r="160" spans="1:8" x14ac:dyDescent="0.2">
      <c r="A160" s="12">
        <v>38</v>
      </c>
      <c r="B160" s="12" t="s">
        <v>275</v>
      </c>
      <c r="C160" s="12" t="s">
        <v>276</v>
      </c>
      <c r="D160" s="12" t="s">
        <v>23</v>
      </c>
      <c r="E160" s="12" t="b">
        <v>0</v>
      </c>
      <c r="F160" s="12" t="s">
        <v>27</v>
      </c>
      <c r="G160" s="12">
        <v>13</v>
      </c>
      <c r="H160" s="13">
        <v>46119</v>
      </c>
    </row>
    <row r="161" spans="1:8" x14ac:dyDescent="0.2">
      <c r="A161" s="12">
        <v>245</v>
      </c>
      <c r="B161" s="12" t="s">
        <v>277</v>
      </c>
      <c r="C161" s="12" t="s">
        <v>234</v>
      </c>
      <c r="D161" s="12" t="s">
        <v>23</v>
      </c>
      <c r="E161" s="12" t="b">
        <v>0</v>
      </c>
      <c r="F161" s="12" t="s">
        <v>27</v>
      </c>
      <c r="G161" s="12">
        <v>10</v>
      </c>
      <c r="H161" s="13">
        <v>46119</v>
      </c>
    </row>
    <row r="162" spans="1:8" x14ac:dyDescent="0.2">
      <c r="A162" s="12">
        <v>39</v>
      </c>
      <c r="B162" s="12" t="s">
        <v>277</v>
      </c>
      <c r="C162" s="12" t="s">
        <v>278</v>
      </c>
      <c r="D162" s="12" t="s">
        <v>23</v>
      </c>
      <c r="E162" s="12" t="b">
        <v>0</v>
      </c>
      <c r="F162" s="12" t="s">
        <v>27</v>
      </c>
      <c r="G162" s="12">
        <v>43</v>
      </c>
      <c r="H162" s="13">
        <v>46119</v>
      </c>
    </row>
    <row r="163" spans="1:8" x14ac:dyDescent="0.2">
      <c r="A163" s="12">
        <v>508</v>
      </c>
      <c r="B163" s="12" t="s">
        <v>279</v>
      </c>
      <c r="C163" s="12" t="s">
        <v>59</v>
      </c>
      <c r="D163" s="12" t="s">
        <v>23</v>
      </c>
      <c r="E163" s="12" t="b">
        <v>0</v>
      </c>
      <c r="F163" s="12" t="s">
        <v>27</v>
      </c>
      <c r="G163" s="12">
        <v>31</v>
      </c>
      <c r="H163" s="13">
        <v>46119</v>
      </c>
    </row>
    <row r="164" spans="1:8" x14ac:dyDescent="0.2">
      <c r="A164" s="12">
        <v>1392</v>
      </c>
      <c r="B164" s="12" t="s">
        <v>284</v>
      </c>
      <c r="C164" s="12" t="s">
        <v>285</v>
      </c>
      <c r="D164" s="12" t="s">
        <v>23</v>
      </c>
      <c r="E164" s="12" t="b">
        <v>1</v>
      </c>
      <c r="F164" s="12" t="s">
        <v>25</v>
      </c>
      <c r="H164" s="13">
        <v>46119</v>
      </c>
    </row>
    <row r="165" spans="1:8" x14ac:dyDescent="0.2">
      <c r="A165" s="12">
        <v>1141</v>
      </c>
      <c r="B165" s="12" t="s">
        <v>286</v>
      </c>
      <c r="C165" s="12" t="s">
        <v>287</v>
      </c>
      <c r="D165" s="12" t="s">
        <v>23</v>
      </c>
      <c r="E165" s="12" t="b">
        <v>1</v>
      </c>
      <c r="F165" s="12" t="s">
        <v>27</v>
      </c>
      <c r="G165" s="12">
        <v>15</v>
      </c>
      <c r="H165" s="13">
        <v>46119</v>
      </c>
    </row>
    <row r="166" spans="1:8" x14ac:dyDescent="0.2">
      <c r="A166" s="12">
        <v>891</v>
      </c>
      <c r="B166" s="12" t="s">
        <v>288</v>
      </c>
      <c r="C166" s="12" t="s">
        <v>289</v>
      </c>
      <c r="D166" s="12" t="s">
        <v>23</v>
      </c>
      <c r="E166" s="12" t="b">
        <v>1</v>
      </c>
      <c r="F166" s="12" t="s">
        <v>25</v>
      </c>
      <c r="H166" s="13">
        <v>46119</v>
      </c>
    </row>
    <row r="167" spans="1:8" x14ac:dyDescent="0.2">
      <c r="A167" s="12">
        <v>1352</v>
      </c>
      <c r="B167" s="12" t="s">
        <v>290</v>
      </c>
      <c r="C167" s="12" t="s">
        <v>34</v>
      </c>
      <c r="D167" s="12" t="s">
        <v>23</v>
      </c>
      <c r="E167" s="12" t="b">
        <v>0</v>
      </c>
      <c r="F167" s="12" t="s">
        <v>27</v>
      </c>
      <c r="G167" s="12">
        <v>11</v>
      </c>
      <c r="H167" s="13">
        <v>46119</v>
      </c>
    </row>
    <row r="168" spans="1:8" x14ac:dyDescent="0.2">
      <c r="A168" s="12">
        <v>1339</v>
      </c>
      <c r="B168" s="12" t="s">
        <v>291</v>
      </c>
      <c r="C168" s="12" t="s">
        <v>292</v>
      </c>
      <c r="D168" s="12" t="s">
        <v>23</v>
      </c>
      <c r="E168" s="12" t="b">
        <v>0</v>
      </c>
      <c r="F168" s="12" t="s">
        <v>25</v>
      </c>
      <c r="H168" s="13">
        <v>46119</v>
      </c>
    </row>
    <row r="169" spans="1:8" x14ac:dyDescent="0.2">
      <c r="A169" s="12">
        <v>914</v>
      </c>
      <c r="B169" s="12" t="s">
        <v>293</v>
      </c>
      <c r="C169" s="12" t="s">
        <v>153</v>
      </c>
      <c r="D169" s="12" t="s">
        <v>23</v>
      </c>
      <c r="E169" s="12" t="b">
        <v>0</v>
      </c>
      <c r="F169" s="12" t="s">
        <v>27</v>
      </c>
      <c r="G169" s="12">
        <v>14</v>
      </c>
      <c r="H169" s="13">
        <v>46119</v>
      </c>
    </row>
    <row r="170" spans="1:8" x14ac:dyDescent="0.2">
      <c r="A170" s="12">
        <v>597</v>
      </c>
      <c r="B170" s="12" t="s">
        <v>294</v>
      </c>
      <c r="C170" s="12" t="s">
        <v>295</v>
      </c>
      <c r="D170" s="12" t="s">
        <v>23</v>
      </c>
      <c r="E170" s="12" t="b">
        <v>0</v>
      </c>
      <c r="F170" s="12" t="s">
        <v>27</v>
      </c>
      <c r="G170" s="12">
        <v>36</v>
      </c>
      <c r="H170" s="13">
        <v>46119</v>
      </c>
    </row>
    <row r="171" spans="1:8" x14ac:dyDescent="0.2">
      <c r="A171" s="12">
        <v>1038</v>
      </c>
      <c r="B171" s="12" t="s">
        <v>293</v>
      </c>
      <c r="C171" s="12" t="s">
        <v>51</v>
      </c>
      <c r="D171" s="12" t="s">
        <v>23</v>
      </c>
      <c r="E171" s="12" t="b">
        <v>0</v>
      </c>
      <c r="F171" s="12" t="s">
        <v>27</v>
      </c>
      <c r="G171" s="12">
        <v>12</v>
      </c>
      <c r="H171" s="13">
        <v>46119</v>
      </c>
    </row>
    <row r="172" spans="1:8" x14ac:dyDescent="0.2">
      <c r="A172" s="12">
        <v>1242</v>
      </c>
      <c r="B172" s="12" t="s">
        <v>297</v>
      </c>
      <c r="C172" s="12" t="s">
        <v>190</v>
      </c>
      <c r="D172" s="12" t="s">
        <v>23</v>
      </c>
      <c r="E172" s="12" t="b">
        <v>0</v>
      </c>
      <c r="F172" s="12" t="s">
        <v>27</v>
      </c>
      <c r="G172" s="12">
        <v>15</v>
      </c>
      <c r="H172" s="13">
        <v>46119</v>
      </c>
    </row>
    <row r="173" spans="1:8" x14ac:dyDescent="0.2">
      <c r="A173" s="12">
        <v>1048</v>
      </c>
      <c r="B173" s="12" t="s">
        <v>298</v>
      </c>
      <c r="C173" s="12" t="s">
        <v>268</v>
      </c>
      <c r="D173" s="12" t="s">
        <v>23</v>
      </c>
      <c r="E173" s="12" t="b">
        <v>0</v>
      </c>
      <c r="F173" s="12" t="s">
        <v>27</v>
      </c>
      <c r="G173" s="12">
        <v>16</v>
      </c>
      <c r="H173" s="13">
        <v>46119</v>
      </c>
    </row>
    <row r="174" spans="1:8" x14ac:dyDescent="0.2">
      <c r="A174" s="12">
        <v>1055</v>
      </c>
      <c r="B174" s="12" t="s">
        <v>298</v>
      </c>
      <c r="C174" s="12" t="s">
        <v>299</v>
      </c>
      <c r="D174" s="12" t="s">
        <v>23</v>
      </c>
      <c r="E174" s="12" t="b">
        <v>0</v>
      </c>
      <c r="F174" s="12" t="s">
        <v>27</v>
      </c>
      <c r="G174" s="12">
        <v>1</v>
      </c>
      <c r="H174" s="13">
        <v>46119</v>
      </c>
    </row>
    <row r="175" spans="1:8" x14ac:dyDescent="0.2">
      <c r="A175" s="12">
        <v>820</v>
      </c>
      <c r="B175" s="12" t="s">
        <v>298</v>
      </c>
      <c r="C175" s="12" t="s">
        <v>139</v>
      </c>
      <c r="D175" s="12" t="s">
        <v>23</v>
      </c>
      <c r="E175" s="12" t="b">
        <v>1</v>
      </c>
      <c r="F175" s="12" t="s">
        <v>27</v>
      </c>
      <c r="G175" s="12">
        <v>6</v>
      </c>
      <c r="H175" s="13">
        <v>46119</v>
      </c>
    </row>
    <row r="176" spans="1:8" x14ac:dyDescent="0.2">
      <c r="A176" s="12">
        <v>687</v>
      </c>
      <c r="B176" s="12" t="s">
        <v>298</v>
      </c>
      <c r="C176" s="12" t="s">
        <v>301</v>
      </c>
      <c r="D176" s="12" t="s">
        <v>23</v>
      </c>
      <c r="E176" s="12" t="b">
        <v>0</v>
      </c>
      <c r="F176" s="12" t="s">
        <v>27</v>
      </c>
      <c r="G176" s="12">
        <v>7</v>
      </c>
      <c r="H176" s="13">
        <v>46119</v>
      </c>
    </row>
    <row r="177" spans="1:8" x14ac:dyDescent="0.2">
      <c r="A177" s="12">
        <v>1420</v>
      </c>
      <c r="B177" s="12" t="s">
        <v>302</v>
      </c>
      <c r="C177" s="12" t="s">
        <v>212</v>
      </c>
      <c r="D177" s="12" t="s">
        <v>23</v>
      </c>
      <c r="E177" s="12" t="b">
        <v>1</v>
      </c>
      <c r="F177" s="12" t="s">
        <v>27</v>
      </c>
      <c r="G177" s="12">
        <v>15</v>
      </c>
      <c r="H177" s="13">
        <v>46119</v>
      </c>
    </row>
    <row r="178" spans="1:8" x14ac:dyDescent="0.2">
      <c r="A178" s="12">
        <v>1410</v>
      </c>
      <c r="B178" s="12" t="s">
        <v>104</v>
      </c>
      <c r="C178" s="12" t="s">
        <v>303</v>
      </c>
      <c r="D178" s="12" t="s">
        <v>23</v>
      </c>
      <c r="E178" s="12" t="b">
        <v>0</v>
      </c>
      <c r="F178" s="12" t="s">
        <v>25</v>
      </c>
      <c r="H178" s="13">
        <v>46119</v>
      </c>
    </row>
    <row r="179" spans="1:8" x14ac:dyDescent="0.2">
      <c r="A179" s="12">
        <v>1161</v>
      </c>
      <c r="B179" s="12" t="s">
        <v>304</v>
      </c>
      <c r="C179" s="12" t="s">
        <v>305</v>
      </c>
      <c r="D179" s="12" t="s">
        <v>23</v>
      </c>
      <c r="E179" s="12" t="b">
        <v>0</v>
      </c>
      <c r="F179" s="12" t="s">
        <v>25</v>
      </c>
      <c r="H179" s="13">
        <v>46119</v>
      </c>
    </row>
    <row r="180" spans="1:8" x14ac:dyDescent="0.2">
      <c r="A180" s="12">
        <v>890</v>
      </c>
      <c r="B180" s="12" t="s">
        <v>306</v>
      </c>
      <c r="C180" s="12" t="s">
        <v>307</v>
      </c>
      <c r="D180" s="12" t="s">
        <v>54</v>
      </c>
      <c r="E180" s="12" t="b">
        <v>0</v>
      </c>
      <c r="F180" s="12" t="s">
        <v>27</v>
      </c>
      <c r="G180" s="12">
        <v>23</v>
      </c>
      <c r="H180" s="13">
        <v>46119</v>
      </c>
    </row>
    <row r="181" spans="1:8" x14ac:dyDescent="0.2">
      <c r="A181" s="12">
        <v>1166</v>
      </c>
      <c r="B181" s="12" t="s">
        <v>308</v>
      </c>
      <c r="C181" s="12" t="s">
        <v>143</v>
      </c>
      <c r="D181" s="12" t="s">
        <v>54</v>
      </c>
      <c r="E181" s="12" t="b">
        <v>0</v>
      </c>
      <c r="F181" s="12" t="s">
        <v>27</v>
      </c>
      <c r="G181" s="12">
        <v>5</v>
      </c>
      <c r="H181" s="13">
        <v>46119</v>
      </c>
    </row>
    <row r="182" spans="1:8" x14ac:dyDescent="0.2">
      <c r="A182" s="12">
        <v>45</v>
      </c>
      <c r="B182" s="12" t="s">
        <v>309</v>
      </c>
      <c r="C182" s="12" t="s">
        <v>310</v>
      </c>
      <c r="D182" s="12" t="s">
        <v>23</v>
      </c>
      <c r="E182" s="12" t="b">
        <v>0</v>
      </c>
      <c r="F182" s="12" t="s">
        <v>27</v>
      </c>
      <c r="G182" s="12">
        <v>20</v>
      </c>
      <c r="H182" s="13">
        <v>46119</v>
      </c>
    </row>
    <row r="183" spans="1:8" x14ac:dyDescent="0.2">
      <c r="A183" s="12">
        <v>1160</v>
      </c>
      <c r="B183" s="12" t="s">
        <v>311</v>
      </c>
      <c r="C183" s="12" t="s">
        <v>312</v>
      </c>
      <c r="D183" s="12" t="s">
        <v>23</v>
      </c>
      <c r="E183" s="12" t="b">
        <v>0</v>
      </c>
      <c r="F183" s="12" t="s">
        <v>25</v>
      </c>
      <c r="H183" s="13">
        <v>46119</v>
      </c>
    </row>
    <row r="184" spans="1:8" x14ac:dyDescent="0.2">
      <c r="A184" s="12">
        <v>945</v>
      </c>
      <c r="B184" s="12" t="s">
        <v>313</v>
      </c>
      <c r="C184" s="12" t="s">
        <v>49</v>
      </c>
      <c r="D184" s="12" t="s">
        <v>23</v>
      </c>
      <c r="E184" s="12" t="b">
        <v>0</v>
      </c>
      <c r="F184" s="12" t="s">
        <v>25</v>
      </c>
      <c r="H184" s="13">
        <v>46119</v>
      </c>
    </row>
    <row r="185" spans="1:8" x14ac:dyDescent="0.2">
      <c r="A185" s="12">
        <v>813</v>
      </c>
      <c r="B185" s="12" t="s">
        <v>313</v>
      </c>
      <c r="C185" s="12" t="s">
        <v>289</v>
      </c>
      <c r="D185" s="12" t="s">
        <v>23</v>
      </c>
      <c r="E185" s="12" t="b">
        <v>1</v>
      </c>
      <c r="F185" s="12" t="s">
        <v>27</v>
      </c>
      <c r="G185" s="12">
        <v>7</v>
      </c>
      <c r="H185" s="13">
        <v>46119</v>
      </c>
    </row>
    <row r="186" spans="1:8" x14ac:dyDescent="0.2">
      <c r="A186" s="12">
        <v>812</v>
      </c>
      <c r="B186" s="12" t="s">
        <v>313</v>
      </c>
      <c r="C186" s="12" t="s">
        <v>170</v>
      </c>
      <c r="D186" s="12" t="s">
        <v>23</v>
      </c>
      <c r="E186" s="12" t="b">
        <v>0</v>
      </c>
      <c r="F186" s="12" t="s">
        <v>27</v>
      </c>
      <c r="G186" s="12">
        <v>9</v>
      </c>
      <c r="H186" s="13">
        <v>46119</v>
      </c>
    </row>
    <row r="187" spans="1:8" x14ac:dyDescent="0.2">
      <c r="A187" s="12">
        <v>1129</v>
      </c>
      <c r="B187" s="12" t="s">
        <v>314</v>
      </c>
      <c r="C187" s="12" t="s">
        <v>315</v>
      </c>
      <c r="D187" s="12" t="s">
        <v>23</v>
      </c>
      <c r="E187" s="12" t="b">
        <v>0</v>
      </c>
      <c r="F187" s="12" t="s">
        <v>27</v>
      </c>
      <c r="G187" s="12">
        <v>12</v>
      </c>
      <c r="H187" s="13">
        <v>46119</v>
      </c>
    </row>
    <row r="188" spans="1:8" x14ac:dyDescent="0.2">
      <c r="A188" s="12">
        <v>915</v>
      </c>
      <c r="B188" s="12" t="s">
        <v>316</v>
      </c>
      <c r="C188" s="12" t="s">
        <v>241</v>
      </c>
      <c r="D188" s="12" t="s">
        <v>23</v>
      </c>
      <c r="E188" s="12" t="b">
        <v>0</v>
      </c>
      <c r="F188" s="12" t="s">
        <v>27</v>
      </c>
      <c r="G188" s="12">
        <v>8</v>
      </c>
      <c r="H188" s="13">
        <v>46119</v>
      </c>
    </row>
    <row r="189" spans="1:8" x14ac:dyDescent="0.2">
      <c r="A189" s="12">
        <v>860</v>
      </c>
      <c r="B189" s="12" t="s">
        <v>321</v>
      </c>
      <c r="C189" s="12" t="s">
        <v>215</v>
      </c>
      <c r="D189" s="12" t="s">
        <v>23</v>
      </c>
      <c r="E189" s="12" t="b">
        <v>1</v>
      </c>
      <c r="F189" s="12" t="s">
        <v>25</v>
      </c>
      <c r="H189" s="13">
        <v>46119</v>
      </c>
    </row>
    <row r="190" spans="1:8" x14ac:dyDescent="0.2">
      <c r="A190" s="12">
        <v>756</v>
      </c>
      <c r="B190" s="12" t="s">
        <v>321</v>
      </c>
      <c r="C190" s="12" t="s">
        <v>322</v>
      </c>
      <c r="D190" s="12" t="s">
        <v>23</v>
      </c>
      <c r="E190" s="12" t="b">
        <v>0</v>
      </c>
      <c r="F190" s="12" t="s">
        <v>25</v>
      </c>
      <c r="H190" s="13">
        <v>46119</v>
      </c>
    </row>
    <row r="191" spans="1:8" x14ac:dyDescent="0.2">
      <c r="A191" s="12">
        <v>407</v>
      </c>
      <c r="B191" s="12" t="s">
        <v>321</v>
      </c>
      <c r="C191" s="12" t="s">
        <v>323</v>
      </c>
      <c r="D191" s="12" t="s">
        <v>23</v>
      </c>
      <c r="E191" s="12" t="b">
        <v>0</v>
      </c>
      <c r="F191" s="12" t="s">
        <v>27</v>
      </c>
      <c r="G191" s="12">
        <v>5</v>
      </c>
      <c r="H191" s="13">
        <v>46119</v>
      </c>
    </row>
    <row r="192" spans="1:8" x14ac:dyDescent="0.2">
      <c r="A192" s="12">
        <v>1312</v>
      </c>
      <c r="B192" s="12" t="s">
        <v>329</v>
      </c>
      <c r="C192" s="12" t="s">
        <v>287</v>
      </c>
      <c r="D192" s="12" t="s">
        <v>23</v>
      </c>
      <c r="E192" s="12" t="b">
        <v>1</v>
      </c>
      <c r="F192" s="12" t="s">
        <v>27</v>
      </c>
      <c r="G192" s="12">
        <v>35</v>
      </c>
      <c r="H192" s="13">
        <v>46119</v>
      </c>
    </row>
    <row r="193" spans="1:8" x14ac:dyDescent="0.2">
      <c r="A193" s="12">
        <v>935</v>
      </c>
      <c r="B193" s="12" t="s">
        <v>330</v>
      </c>
      <c r="C193" s="12" t="s">
        <v>245</v>
      </c>
      <c r="D193" s="12" t="s">
        <v>23</v>
      </c>
      <c r="E193" s="12" t="b">
        <v>1</v>
      </c>
      <c r="F193" s="12" t="s">
        <v>25</v>
      </c>
      <c r="H193" s="13">
        <v>46119</v>
      </c>
    </row>
    <row r="194" spans="1:8" x14ac:dyDescent="0.2">
      <c r="A194" s="12">
        <v>999</v>
      </c>
      <c r="B194" s="12" t="s">
        <v>330</v>
      </c>
      <c r="C194" s="12" t="s">
        <v>331</v>
      </c>
      <c r="D194" s="12" t="s">
        <v>23</v>
      </c>
      <c r="E194" s="12" t="b">
        <v>1</v>
      </c>
      <c r="F194" s="12" t="s">
        <v>25</v>
      </c>
      <c r="H194" s="13">
        <v>46119</v>
      </c>
    </row>
    <row r="195" spans="1:8" x14ac:dyDescent="0.2">
      <c r="A195" s="12">
        <v>998</v>
      </c>
      <c r="B195" s="12" t="s">
        <v>330</v>
      </c>
      <c r="C195" s="12" t="s">
        <v>332</v>
      </c>
      <c r="D195" s="12" t="s">
        <v>23</v>
      </c>
      <c r="E195" s="12" t="b">
        <v>1</v>
      </c>
      <c r="F195" s="12" t="s">
        <v>27</v>
      </c>
      <c r="G195" s="12">
        <v>5</v>
      </c>
      <c r="H195" s="13">
        <v>46119</v>
      </c>
    </row>
    <row r="196" spans="1:8" x14ac:dyDescent="0.2">
      <c r="A196" s="12">
        <v>616</v>
      </c>
      <c r="B196" s="12" t="s">
        <v>330</v>
      </c>
      <c r="C196" s="12" t="s">
        <v>41</v>
      </c>
      <c r="D196" s="12" t="s">
        <v>23</v>
      </c>
      <c r="E196" s="12" t="b">
        <v>0</v>
      </c>
      <c r="F196" s="12" t="s">
        <v>27</v>
      </c>
      <c r="G196" s="12">
        <v>7</v>
      </c>
      <c r="H196" s="13">
        <v>46119</v>
      </c>
    </row>
    <row r="197" spans="1:8" x14ac:dyDescent="0.2">
      <c r="A197" s="12">
        <v>558</v>
      </c>
      <c r="B197" s="12" t="s">
        <v>333</v>
      </c>
      <c r="C197" s="12" t="s">
        <v>334</v>
      </c>
      <c r="D197" s="12" t="s">
        <v>23</v>
      </c>
      <c r="E197" s="12" t="b">
        <v>0</v>
      </c>
      <c r="F197" s="12" t="s">
        <v>27</v>
      </c>
      <c r="G197" s="12">
        <v>15</v>
      </c>
      <c r="H197" s="13">
        <v>46119</v>
      </c>
    </row>
    <row r="198" spans="1:8" x14ac:dyDescent="0.2">
      <c r="A198" s="12">
        <v>991</v>
      </c>
      <c r="B198" s="12" t="s">
        <v>335</v>
      </c>
      <c r="C198" s="12" t="s">
        <v>184</v>
      </c>
      <c r="D198" s="12" t="s">
        <v>23</v>
      </c>
      <c r="E198" s="12" t="b">
        <v>1</v>
      </c>
      <c r="F198" s="12" t="s">
        <v>35</v>
      </c>
      <c r="H198" s="13">
        <v>46119</v>
      </c>
    </row>
    <row r="199" spans="1:8" x14ac:dyDescent="0.2">
      <c r="A199" s="12">
        <v>359</v>
      </c>
      <c r="B199" s="12" t="s">
        <v>336</v>
      </c>
      <c r="C199" s="12" t="s">
        <v>26</v>
      </c>
      <c r="D199" s="12" t="s">
        <v>23</v>
      </c>
      <c r="E199" s="12" t="b">
        <v>0</v>
      </c>
      <c r="F199" s="12" t="s">
        <v>27</v>
      </c>
      <c r="G199" s="12">
        <v>24</v>
      </c>
      <c r="H199" s="13">
        <v>46119</v>
      </c>
    </row>
    <row r="200" spans="1:8" x14ac:dyDescent="0.2">
      <c r="A200" s="12">
        <v>1310</v>
      </c>
      <c r="B200" s="12" t="s">
        <v>337</v>
      </c>
      <c r="C200" s="12" t="s">
        <v>311</v>
      </c>
      <c r="D200" s="12" t="s">
        <v>23</v>
      </c>
      <c r="E200" s="12" t="b">
        <v>0</v>
      </c>
      <c r="F200" s="12" t="s">
        <v>25</v>
      </c>
      <c r="H200" s="13">
        <v>46119</v>
      </c>
    </row>
    <row r="201" spans="1:8" x14ac:dyDescent="0.2">
      <c r="A201" s="12">
        <v>1200</v>
      </c>
      <c r="B201" s="12" t="s">
        <v>338</v>
      </c>
      <c r="C201" s="12" t="s">
        <v>339</v>
      </c>
      <c r="D201" s="12" t="s">
        <v>23</v>
      </c>
      <c r="E201" s="12" t="b">
        <v>0</v>
      </c>
      <c r="F201" s="12" t="s">
        <v>27</v>
      </c>
      <c r="G201" s="12">
        <v>6</v>
      </c>
      <c r="H201" s="13">
        <v>46119</v>
      </c>
    </row>
    <row r="202" spans="1:8" x14ac:dyDescent="0.2">
      <c r="A202" s="12">
        <v>1411</v>
      </c>
      <c r="B202" s="12" t="s">
        <v>338</v>
      </c>
      <c r="C202" s="12" t="s">
        <v>72</v>
      </c>
      <c r="D202" s="12" t="s">
        <v>23</v>
      </c>
      <c r="E202" s="12" t="b">
        <v>1</v>
      </c>
      <c r="F202" s="12" t="s">
        <v>27</v>
      </c>
      <c r="G202" s="12">
        <v>3</v>
      </c>
      <c r="H202" s="13">
        <v>46119</v>
      </c>
    </row>
    <row r="203" spans="1:8" x14ac:dyDescent="0.2">
      <c r="A203" s="12">
        <v>1412</v>
      </c>
      <c r="B203" s="12" t="s">
        <v>338</v>
      </c>
      <c r="C203" s="12" t="s">
        <v>340</v>
      </c>
      <c r="D203" s="12" t="s">
        <v>23</v>
      </c>
      <c r="E203" s="12" t="b">
        <v>1</v>
      </c>
      <c r="F203" s="12" t="s">
        <v>188</v>
      </c>
      <c r="H203" s="13">
        <v>46119</v>
      </c>
    </row>
    <row r="204" spans="1:8" x14ac:dyDescent="0.2">
      <c r="A204" s="12">
        <v>1413</v>
      </c>
      <c r="B204" s="12" t="s">
        <v>338</v>
      </c>
      <c r="C204" s="12" t="s">
        <v>214</v>
      </c>
      <c r="D204" s="12" t="s">
        <v>23</v>
      </c>
      <c r="E204" s="12" t="b">
        <v>0</v>
      </c>
      <c r="F204" s="12" t="s">
        <v>188</v>
      </c>
      <c r="H204" s="13">
        <v>46119</v>
      </c>
    </row>
    <row r="205" spans="1:8" x14ac:dyDescent="0.2">
      <c r="A205" s="12">
        <v>1376</v>
      </c>
      <c r="B205" s="12" t="s">
        <v>192</v>
      </c>
      <c r="C205" s="12" t="s">
        <v>127</v>
      </c>
      <c r="D205" s="12" t="s">
        <v>23</v>
      </c>
      <c r="E205" s="12" t="b">
        <v>1</v>
      </c>
      <c r="F205" s="12" t="s">
        <v>25</v>
      </c>
      <c r="H205" s="13">
        <v>46119</v>
      </c>
    </row>
    <row r="206" spans="1:8" x14ac:dyDescent="0.2">
      <c r="A206" s="12">
        <v>1140</v>
      </c>
      <c r="B206" s="12" t="s">
        <v>341</v>
      </c>
      <c r="C206" s="12" t="s">
        <v>243</v>
      </c>
      <c r="D206" s="12" t="s">
        <v>23</v>
      </c>
      <c r="E206" s="12" t="b">
        <v>0</v>
      </c>
      <c r="F206" s="12" t="s">
        <v>25</v>
      </c>
      <c r="H206" s="13">
        <v>46119</v>
      </c>
    </row>
    <row r="207" spans="1:8" x14ac:dyDescent="0.2">
      <c r="A207" s="12">
        <v>989</v>
      </c>
      <c r="B207" s="12" t="s">
        <v>342</v>
      </c>
      <c r="C207" s="12" t="s">
        <v>343</v>
      </c>
      <c r="D207" s="12" t="s">
        <v>23</v>
      </c>
      <c r="E207" s="12" t="b">
        <v>0</v>
      </c>
      <c r="F207" s="12" t="s">
        <v>27</v>
      </c>
      <c r="G207" s="12">
        <v>3</v>
      </c>
      <c r="H207" s="13">
        <v>46119</v>
      </c>
    </row>
    <row r="208" spans="1:8" x14ac:dyDescent="0.2">
      <c r="A208" s="12">
        <v>1417</v>
      </c>
      <c r="B208" s="12" t="s">
        <v>344</v>
      </c>
      <c r="C208" s="12" t="s">
        <v>345</v>
      </c>
      <c r="D208" s="12" t="s">
        <v>23</v>
      </c>
      <c r="E208" s="12" t="b">
        <v>1</v>
      </c>
      <c r="F208" s="12" t="s">
        <v>27</v>
      </c>
      <c r="G208" s="12">
        <v>17</v>
      </c>
      <c r="H208" s="13">
        <v>46119</v>
      </c>
    </row>
    <row r="209" spans="1:8" x14ac:dyDescent="0.2">
      <c r="A209" s="12">
        <v>52</v>
      </c>
      <c r="B209" s="12" t="s">
        <v>346</v>
      </c>
      <c r="C209" s="12" t="s">
        <v>192</v>
      </c>
      <c r="D209" s="12" t="s">
        <v>23</v>
      </c>
      <c r="E209" s="12" t="b">
        <v>0</v>
      </c>
      <c r="F209" s="12" t="s">
        <v>25</v>
      </c>
      <c r="H209" s="13">
        <v>46119</v>
      </c>
    </row>
    <row r="210" spans="1:8" x14ac:dyDescent="0.2">
      <c r="A210" s="12">
        <v>62</v>
      </c>
      <c r="B210" s="12" t="s">
        <v>344</v>
      </c>
      <c r="C210" s="12" t="s">
        <v>234</v>
      </c>
      <c r="D210" s="12" t="s">
        <v>23</v>
      </c>
      <c r="E210" s="12" t="b">
        <v>0</v>
      </c>
      <c r="F210" s="12" t="s">
        <v>27</v>
      </c>
      <c r="G210" s="12">
        <v>4</v>
      </c>
      <c r="H210" s="13">
        <v>46119</v>
      </c>
    </row>
    <row r="211" spans="1:8" x14ac:dyDescent="0.2">
      <c r="A211" s="12">
        <v>930</v>
      </c>
      <c r="B211" s="12" t="s">
        <v>347</v>
      </c>
      <c r="C211" s="12" t="s">
        <v>348</v>
      </c>
      <c r="D211" s="12" t="s">
        <v>23</v>
      </c>
      <c r="E211" s="12" t="b">
        <v>1</v>
      </c>
      <c r="F211" s="12" t="s">
        <v>27</v>
      </c>
      <c r="G211" s="12">
        <v>6</v>
      </c>
      <c r="H211" s="13">
        <v>46119</v>
      </c>
    </row>
    <row r="212" spans="1:8" x14ac:dyDescent="0.2">
      <c r="A212" s="12">
        <v>1254</v>
      </c>
      <c r="B212" s="12" t="s">
        <v>349</v>
      </c>
      <c r="C212" s="12" t="s">
        <v>51</v>
      </c>
      <c r="D212" s="12" t="s">
        <v>23</v>
      </c>
      <c r="E212" s="12" t="b">
        <v>0</v>
      </c>
      <c r="F212" s="12" t="s">
        <v>27</v>
      </c>
      <c r="G212" s="12">
        <v>21</v>
      </c>
      <c r="H212" s="13">
        <v>46119</v>
      </c>
    </row>
    <row r="213" spans="1:8" x14ac:dyDescent="0.2">
      <c r="A213" s="12">
        <v>744</v>
      </c>
      <c r="B213" s="12" t="s">
        <v>350</v>
      </c>
      <c r="C213" s="12" t="s">
        <v>351</v>
      </c>
      <c r="D213" s="12" t="s">
        <v>23</v>
      </c>
      <c r="E213" s="12" t="b">
        <v>0</v>
      </c>
      <c r="F213" s="12" t="s">
        <v>27</v>
      </c>
      <c r="G213" s="12">
        <v>28</v>
      </c>
      <c r="H213" s="13">
        <v>46119</v>
      </c>
    </row>
    <row r="214" spans="1:8" x14ac:dyDescent="0.2">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03515625" defaultRowHeight="15" x14ac:dyDescent="0.2"/>
  <cols>
    <col min="1" max="7" width="9.03515625" style="14"/>
    <col min="8" max="8" width="10.24609375" style="14" bestFit="1" customWidth="1"/>
    <col min="9" max="16384" width="9.03515625" style="14"/>
  </cols>
  <sheetData>
    <row r="1" spans="1:8" x14ac:dyDescent="0.2">
      <c r="A1" s="14" t="s">
        <v>13</v>
      </c>
      <c r="B1" s="14" t="s">
        <v>14</v>
      </c>
      <c r="C1" s="14" t="s">
        <v>15</v>
      </c>
      <c r="D1" s="14" t="s">
        <v>16</v>
      </c>
      <c r="E1" s="14" t="s">
        <v>17</v>
      </c>
      <c r="F1" s="14" t="s">
        <v>18</v>
      </c>
      <c r="G1" s="14" t="s">
        <v>19</v>
      </c>
      <c r="H1" s="14" t="s">
        <v>20</v>
      </c>
    </row>
    <row r="2" spans="1:8" x14ac:dyDescent="0.2">
      <c r="A2" s="14">
        <v>1327</v>
      </c>
      <c r="B2" s="14" t="s">
        <v>21</v>
      </c>
      <c r="C2" s="14" t="s">
        <v>22</v>
      </c>
      <c r="D2" s="14" t="s">
        <v>23</v>
      </c>
      <c r="E2" s="14" t="b">
        <v>0</v>
      </c>
      <c r="F2" s="14" t="s">
        <v>25</v>
      </c>
      <c r="H2" s="15">
        <v>46121</v>
      </c>
    </row>
    <row r="3" spans="1:8" x14ac:dyDescent="0.2">
      <c r="A3" s="14">
        <v>1237</v>
      </c>
      <c r="B3" s="14" t="s">
        <v>21</v>
      </c>
      <c r="C3" s="14" t="s">
        <v>26</v>
      </c>
      <c r="D3" s="14" t="s">
        <v>23</v>
      </c>
      <c r="E3" s="14" t="b">
        <v>0</v>
      </c>
      <c r="F3" s="14" t="s">
        <v>27</v>
      </c>
      <c r="G3" s="14">
        <v>1</v>
      </c>
      <c r="H3" s="15">
        <v>46121</v>
      </c>
    </row>
    <row r="4" spans="1:8" x14ac:dyDescent="0.2">
      <c r="A4" s="14">
        <v>819</v>
      </c>
      <c r="B4" s="14" t="s">
        <v>28</v>
      </c>
      <c r="C4" s="14" t="s">
        <v>29</v>
      </c>
      <c r="D4" s="14" t="s">
        <v>23</v>
      </c>
      <c r="E4" s="14" t="b">
        <v>1</v>
      </c>
      <c r="F4" s="14" t="s">
        <v>27</v>
      </c>
      <c r="G4" s="14">
        <v>23</v>
      </c>
      <c r="H4" s="15">
        <v>46121</v>
      </c>
    </row>
    <row r="5" spans="1:8" x14ac:dyDescent="0.2">
      <c r="A5" s="14">
        <v>2</v>
      </c>
      <c r="B5" s="14" t="s">
        <v>31</v>
      </c>
      <c r="C5" s="14" t="s">
        <v>32</v>
      </c>
      <c r="D5" s="14" t="s">
        <v>23</v>
      </c>
      <c r="E5" s="14" t="b">
        <v>0</v>
      </c>
      <c r="F5" s="14" t="s">
        <v>27</v>
      </c>
      <c r="G5" s="14">
        <v>21</v>
      </c>
      <c r="H5" s="15">
        <v>46121</v>
      </c>
    </row>
    <row r="6" spans="1:8" x14ac:dyDescent="0.2">
      <c r="A6" s="14">
        <v>1370</v>
      </c>
      <c r="B6" s="14" t="s">
        <v>33</v>
      </c>
      <c r="C6" s="14" t="s">
        <v>34</v>
      </c>
      <c r="D6" s="14" t="s">
        <v>23</v>
      </c>
      <c r="E6" s="14" t="b">
        <v>0</v>
      </c>
      <c r="F6" s="14" t="s">
        <v>27</v>
      </c>
      <c r="G6" s="14">
        <v>4</v>
      </c>
      <c r="H6" s="15">
        <v>46121</v>
      </c>
    </row>
    <row r="7" spans="1:8" x14ac:dyDescent="0.2">
      <c r="A7" s="14">
        <v>1415</v>
      </c>
      <c r="B7" s="14" t="s">
        <v>33</v>
      </c>
      <c r="C7" s="14" t="s">
        <v>22</v>
      </c>
      <c r="D7" s="14" t="s">
        <v>23</v>
      </c>
      <c r="E7" s="14" t="b">
        <v>0</v>
      </c>
      <c r="F7" s="14" t="s">
        <v>35</v>
      </c>
      <c r="H7" s="15">
        <v>46121</v>
      </c>
    </row>
    <row r="8" spans="1:8" x14ac:dyDescent="0.2">
      <c r="A8" s="14">
        <v>1286</v>
      </c>
      <c r="B8" s="14" t="s">
        <v>36</v>
      </c>
      <c r="C8" s="14" t="s">
        <v>34</v>
      </c>
      <c r="D8" s="14" t="s">
        <v>23</v>
      </c>
      <c r="E8" s="14" t="b">
        <v>0</v>
      </c>
      <c r="F8" s="14" t="s">
        <v>27</v>
      </c>
      <c r="G8" s="14">
        <v>13</v>
      </c>
      <c r="H8" s="15">
        <v>46121</v>
      </c>
    </row>
    <row r="9" spans="1:8" x14ac:dyDescent="0.2">
      <c r="A9" s="14">
        <v>1381</v>
      </c>
      <c r="B9" s="14" t="s">
        <v>36</v>
      </c>
      <c r="C9" s="14" t="s">
        <v>37</v>
      </c>
      <c r="D9" s="14" t="s">
        <v>23</v>
      </c>
      <c r="E9" s="14" t="b">
        <v>0</v>
      </c>
      <c r="F9" s="14" t="s">
        <v>25</v>
      </c>
      <c r="H9" s="15">
        <v>46121</v>
      </c>
    </row>
    <row r="10" spans="1:8" x14ac:dyDescent="0.2">
      <c r="A10" s="14">
        <v>1112</v>
      </c>
      <c r="B10" s="14" t="s">
        <v>38</v>
      </c>
      <c r="C10" s="14" t="s">
        <v>39</v>
      </c>
      <c r="D10" s="14" t="s">
        <v>23</v>
      </c>
      <c r="E10" s="14" t="b">
        <v>0</v>
      </c>
      <c r="F10" s="14" t="s">
        <v>27</v>
      </c>
      <c r="G10" s="14">
        <v>16</v>
      </c>
      <c r="H10" s="15">
        <v>46121</v>
      </c>
    </row>
    <row r="11" spans="1:8" x14ac:dyDescent="0.2">
      <c r="A11" s="14">
        <v>1135</v>
      </c>
      <c r="B11" s="14" t="s">
        <v>40</v>
      </c>
      <c r="C11" s="14" t="s">
        <v>41</v>
      </c>
      <c r="D11" s="14" t="s">
        <v>23</v>
      </c>
      <c r="E11" s="14" t="b">
        <v>0</v>
      </c>
      <c r="F11" s="14" t="s">
        <v>27</v>
      </c>
      <c r="G11" s="14">
        <v>1</v>
      </c>
      <c r="H11" s="15">
        <v>46121</v>
      </c>
    </row>
    <row r="12" spans="1:8" x14ac:dyDescent="0.2">
      <c r="A12" s="14">
        <v>982</v>
      </c>
      <c r="B12" s="14" t="s">
        <v>42</v>
      </c>
      <c r="C12" s="14" t="s">
        <v>32</v>
      </c>
      <c r="D12" s="14" t="s">
        <v>23</v>
      </c>
      <c r="E12" s="14" t="b">
        <v>0</v>
      </c>
      <c r="F12" s="14" t="s">
        <v>27</v>
      </c>
      <c r="G12" s="14">
        <v>22</v>
      </c>
      <c r="H12" s="15">
        <v>46121</v>
      </c>
    </row>
    <row r="13" spans="1:8" x14ac:dyDescent="0.2">
      <c r="A13" s="14">
        <v>1328</v>
      </c>
      <c r="B13" s="14" t="s">
        <v>43</v>
      </c>
      <c r="C13" s="14" t="s">
        <v>44</v>
      </c>
      <c r="D13" s="14" t="s">
        <v>23</v>
      </c>
      <c r="E13" s="14" t="b">
        <v>0</v>
      </c>
      <c r="F13" s="14" t="s">
        <v>27</v>
      </c>
      <c r="G13" s="14">
        <v>4</v>
      </c>
      <c r="H13" s="15">
        <v>46121</v>
      </c>
    </row>
    <row r="14" spans="1:8" x14ac:dyDescent="0.2">
      <c r="A14" s="14">
        <v>369</v>
      </c>
      <c r="B14" s="14" t="s">
        <v>45</v>
      </c>
      <c r="C14" s="14" t="s">
        <v>46</v>
      </c>
      <c r="D14" s="14" t="s">
        <v>23</v>
      </c>
      <c r="E14" s="14" t="b">
        <v>0</v>
      </c>
      <c r="F14" s="14" t="s">
        <v>27</v>
      </c>
      <c r="G14" s="14">
        <v>8</v>
      </c>
      <c r="H14" s="15">
        <v>46121</v>
      </c>
    </row>
    <row r="15" spans="1:8" x14ac:dyDescent="0.2">
      <c r="A15" s="14">
        <v>7</v>
      </c>
      <c r="B15" s="14" t="s">
        <v>45</v>
      </c>
      <c r="C15" s="14" t="s">
        <v>47</v>
      </c>
      <c r="D15" s="14" t="s">
        <v>48</v>
      </c>
      <c r="E15" s="14" t="b">
        <v>0</v>
      </c>
      <c r="F15" s="14" t="s">
        <v>27</v>
      </c>
      <c r="G15" s="14">
        <v>32</v>
      </c>
      <c r="H15" s="15">
        <v>46121</v>
      </c>
    </row>
    <row r="16" spans="1:8" x14ac:dyDescent="0.2">
      <c r="A16" s="14">
        <v>473</v>
      </c>
      <c r="B16" s="14" t="s">
        <v>45</v>
      </c>
      <c r="C16" s="14" t="s">
        <v>49</v>
      </c>
      <c r="D16" s="14" t="s">
        <v>48</v>
      </c>
      <c r="E16" s="14" t="b">
        <v>0</v>
      </c>
      <c r="F16" s="14" t="s">
        <v>27</v>
      </c>
      <c r="G16" s="14">
        <v>33</v>
      </c>
      <c r="H16" s="15">
        <v>46121</v>
      </c>
    </row>
    <row r="17" spans="1:8" x14ac:dyDescent="0.2">
      <c r="A17" s="14">
        <v>1384</v>
      </c>
      <c r="B17" s="14" t="s">
        <v>50</v>
      </c>
      <c r="C17" s="14" t="s">
        <v>51</v>
      </c>
      <c r="D17" s="14" t="s">
        <v>23</v>
      </c>
      <c r="E17" s="14" t="b">
        <v>0</v>
      </c>
      <c r="F17" s="14" t="s">
        <v>27</v>
      </c>
      <c r="G17" s="14">
        <v>30</v>
      </c>
      <c r="H17" s="15">
        <v>46121</v>
      </c>
    </row>
    <row r="18" spans="1:8" x14ac:dyDescent="0.2">
      <c r="A18" s="14">
        <v>1348</v>
      </c>
      <c r="B18" s="14" t="s">
        <v>52</v>
      </c>
      <c r="C18" s="14" t="s">
        <v>53</v>
      </c>
      <c r="D18" s="14" t="s">
        <v>54</v>
      </c>
      <c r="E18" s="14" t="b">
        <v>1</v>
      </c>
      <c r="F18" s="14" t="s">
        <v>25</v>
      </c>
      <c r="H18" s="15">
        <v>46121</v>
      </c>
    </row>
    <row r="19" spans="1:8" x14ac:dyDescent="0.2">
      <c r="A19" s="14">
        <v>1275</v>
      </c>
      <c r="B19" s="14" t="s">
        <v>52</v>
      </c>
      <c r="C19" s="14" t="s">
        <v>55</v>
      </c>
      <c r="D19" s="14" t="s">
        <v>23</v>
      </c>
      <c r="E19" s="14" t="b">
        <v>1</v>
      </c>
      <c r="F19" s="14" t="s">
        <v>35</v>
      </c>
      <c r="H19" s="15">
        <v>46121</v>
      </c>
    </row>
    <row r="20" spans="1:8" x14ac:dyDescent="0.2">
      <c r="A20" s="14">
        <v>68</v>
      </c>
      <c r="B20" s="14" t="s">
        <v>56</v>
      </c>
      <c r="C20" s="14" t="s">
        <v>57</v>
      </c>
      <c r="D20" s="14" t="s">
        <v>48</v>
      </c>
      <c r="E20" s="14" t="b">
        <v>0</v>
      </c>
      <c r="F20" s="14" t="s">
        <v>27</v>
      </c>
      <c r="G20" s="14">
        <v>35</v>
      </c>
      <c r="H20" s="15">
        <v>46121</v>
      </c>
    </row>
    <row r="21" spans="1:8" x14ac:dyDescent="0.2">
      <c r="A21" s="14">
        <v>1035</v>
      </c>
      <c r="B21" s="14" t="s">
        <v>58</v>
      </c>
      <c r="C21" s="14" t="s">
        <v>59</v>
      </c>
      <c r="D21" s="14" t="s">
        <v>23</v>
      </c>
      <c r="E21" s="14" t="b">
        <v>0</v>
      </c>
      <c r="F21" s="14" t="s">
        <v>27</v>
      </c>
      <c r="G21" s="14">
        <v>6</v>
      </c>
      <c r="H21" s="15">
        <v>46121</v>
      </c>
    </row>
    <row r="22" spans="1:8" x14ac:dyDescent="0.2">
      <c r="A22" s="14">
        <v>1416</v>
      </c>
      <c r="B22" s="14" t="s">
        <v>60</v>
      </c>
      <c r="C22" s="14" t="s">
        <v>61</v>
      </c>
      <c r="D22" s="14" t="s">
        <v>23</v>
      </c>
      <c r="E22" s="14" t="b">
        <v>0</v>
      </c>
      <c r="F22" s="14" t="s">
        <v>25</v>
      </c>
      <c r="H22" s="15">
        <v>46121</v>
      </c>
    </row>
    <row r="23" spans="1:8" x14ac:dyDescent="0.2">
      <c r="A23" s="14">
        <v>1326</v>
      </c>
      <c r="B23" s="14" t="s">
        <v>62</v>
      </c>
      <c r="C23" s="14" t="s">
        <v>63</v>
      </c>
      <c r="D23" s="14" t="s">
        <v>23</v>
      </c>
      <c r="E23" s="14" t="b">
        <v>1</v>
      </c>
      <c r="F23" s="14" t="s">
        <v>25</v>
      </c>
      <c r="H23" s="15">
        <v>46121</v>
      </c>
    </row>
    <row r="24" spans="1:8" x14ac:dyDescent="0.2">
      <c r="A24" s="14">
        <v>477</v>
      </c>
      <c r="B24" s="14" t="s">
        <v>64</v>
      </c>
      <c r="C24" s="14" t="s">
        <v>65</v>
      </c>
      <c r="D24" s="14" t="s">
        <v>23</v>
      </c>
      <c r="E24" s="14" t="b">
        <v>1</v>
      </c>
      <c r="F24" s="14" t="s">
        <v>27</v>
      </c>
      <c r="G24" s="14">
        <v>34</v>
      </c>
      <c r="H24" s="15">
        <v>46121</v>
      </c>
    </row>
    <row r="25" spans="1:8" x14ac:dyDescent="0.2">
      <c r="A25" s="14">
        <v>10</v>
      </c>
      <c r="B25" s="14" t="s">
        <v>64</v>
      </c>
      <c r="C25" s="14" t="s">
        <v>66</v>
      </c>
      <c r="D25" s="14" t="s">
        <v>48</v>
      </c>
      <c r="E25" s="14" t="b">
        <v>0</v>
      </c>
      <c r="F25" s="14" t="s">
        <v>27</v>
      </c>
      <c r="G25" s="14">
        <v>35</v>
      </c>
      <c r="H25" s="15">
        <v>46121</v>
      </c>
    </row>
    <row r="26" spans="1:8" x14ac:dyDescent="0.2">
      <c r="A26" s="14">
        <v>1414</v>
      </c>
      <c r="B26" s="14" t="s">
        <v>67</v>
      </c>
      <c r="C26" s="14" t="s">
        <v>36</v>
      </c>
      <c r="D26" s="14" t="s">
        <v>23</v>
      </c>
      <c r="E26" s="14" t="b">
        <v>0</v>
      </c>
      <c r="F26" s="14" t="s">
        <v>27</v>
      </c>
      <c r="G26" s="14">
        <v>13</v>
      </c>
      <c r="H26" s="15">
        <v>46121</v>
      </c>
    </row>
    <row r="27" spans="1:8" x14ac:dyDescent="0.2">
      <c r="A27" s="14">
        <v>1029</v>
      </c>
      <c r="B27" s="14" t="s">
        <v>68</v>
      </c>
      <c r="C27" s="14" t="s">
        <v>69</v>
      </c>
      <c r="D27" s="14" t="s">
        <v>23</v>
      </c>
      <c r="E27" s="14" t="b">
        <v>0</v>
      </c>
      <c r="F27" s="14" t="s">
        <v>27</v>
      </c>
      <c r="G27" s="14">
        <v>28</v>
      </c>
      <c r="H27" s="15">
        <v>46121</v>
      </c>
    </row>
    <row r="28" spans="1:8" x14ac:dyDescent="0.2">
      <c r="A28" s="14">
        <v>13</v>
      </c>
      <c r="B28" s="14" t="s">
        <v>70</v>
      </c>
      <c r="C28" s="14" t="s">
        <v>51</v>
      </c>
      <c r="D28" s="14" t="s">
        <v>23</v>
      </c>
      <c r="E28" s="14" t="b">
        <v>0</v>
      </c>
      <c r="F28" s="14" t="s">
        <v>27</v>
      </c>
      <c r="G28" s="14">
        <v>28</v>
      </c>
      <c r="H28" s="15">
        <v>46121</v>
      </c>
    </row>
    <row r="29" spans="1:8" x14ac:dyDescent="0.2">
      <c r="A29" s="14">
        <v>1255</v>
      </c>
      <c r="B29" s="14" t="s">
        <v>71</v>
      </c>
      <c r="C29" s="14" t="s">
        <v>72</v>
      </c>
      <c r="D29" s="14" t="s">
        <v>23</v>
      </c>
      <c r="E29" s="14" t="b">
        <v>1</v>
      </c>
      <c r="F29" s="14" t="s">
        <v>27</v>
      </c>
      <c r="G29" s="14">
        <v>13</v>
      </c>
      <c r="H29" s="15">
        <v>46121</v>
      </c>
    </row>
    <row r="30" spans="1:8" x14ac:dyDescent="0.2">
      <c r="A30" s="14">
        <v>1405</v>
      </c>
      <c r="B30" s="14" t="s">
        <v>73</v>
      </c>
      <c r="C30" s="14" t="s">
        <v>74</v>
      </c>
      <c r="D30" s="14" t="s">
        <v>23</v>
      </c>
      <c r="E30" s="14" t="b">
        <v>1</v>
      </c>
      <c r="F30" s="14" t="s">
        <v>35</v>
      </c>
      <c r="H30" s="15">
        <v>46121</v>
      </c>
    </row>
    <row r="31" spans="1:8" x14ac:dyDescent="0.2">
      <c r="A31" s="14">
        <v>1421</v>
      </c>
      <c r="B31" s="14" t="s">
        <v>75</v>
      </c>
      <c r="C31" s="14" t="s">
        <v>76</v>
      </c>
      <c r="D31" s="14" t="s">
        <v>23</v>
      </c>
      <c r="E31" s="14" t="b">
        <v>1</v>
      </c>
      <c r="F31" s="14" t="s">
        <v>27</v>
      </c>
      <c r="G31" s="14">
        <v>12</v>
      </c>
      <c r="H31" s="15">
        <v>46121</v>
      </c>
    </row>
    <row r="32" spans="1:8" x14ac:dyDescent="0.2">
      <c r="A32" s="14">
        <v>1418</v>
      </c>
      <c r="B32" s="14" t="s">
        <v>75</v>
      </c>
      <c r="C32" s="14" t="s">
        <v>22</v>
      </c>
      <c r="D32" s="14" t="s">
        <v>23</v>
      </c>
      <c r="E32" s="14" t="b">
        <v>0</v>
      </c>
      <c r="F32" s="14" t="s">
        <v>25</v>
      </c>
      <c r="H32" s="15">
        <v>46121</v>
      </c>
    </row>
    <row r="33" spans="1:8" x14ac:dyDescent="0.2">
      <c r="A33" s="14">
        <v>919</v>
      </c>
      <c r="B33" s="14" t="s">
        <v>77</v>
      </c>
      <c r="C33" s="14" t="s">
        <v>51</v>
      </c>
      <c r="D33" s="14" t="s">
        <v>23</v>
      </c>
      <c r="E33" s="14" t="b">
        <v>0</v>
      </c>
      <c r="F33" s="14" t="s">
        <v>27</v>
      </c>
      <c r="G33" s="14">
        <v>16</v>
      </c>
      <c r="H33" s="15">
        <v>46121</v>
      </c>
    </row>
    <row r="34" spans="1:8" x14ac:dyDescent="0.2">
      <c r="A34" s="14">
        <v>1319</v>
      </c>
      <c r="B34" s="14" t="s">
        <v>78</v>
      </c>
      <c r="C34" s="14" t="s">
        <v>32</v>
      </c>
      <c r="D34" s="14" t="s">
        <v>23</v>
      </c>
      <c r="E34" s="14" t="b">
        <v>0</v>
      </c>
      <c r="F34" s="14" t="s">
        <v>27</v>
      </c>
      <c r="G34" s="14">
        <v>9</v>
      </c>
      <c r="H34" s="15">
        <v>46121</v>
      </c>
    </row>
    <row r="35" spans="1:8" x14ac:dyDescent="0.2">
      <c r="A35" s="14">
        <v>1389</v>
      </c>
      <c r="B35" s="14" t="s">
        <v>79</v>
      </c>
      <c r="C35" s="14" t="s">
        <v>80</v>
      </c>
      <c r="D35" s="14" t="s">
        <v>23</v>
      </c>
      <c r="E35" s="14" t="b">
        <v>0</v>
      </c>
      <c r="F35" s="14" t="s">
        <v>25</v>
      </c>
      <c r="H35" s="15">
        <v>46121</v>
      </c>
    </row>
    <row r="36" spans="1:8" x14ac:dyDescent="0.2">
      <c r="A36" s="14">
        <v>940</v>
      </c>
      <c r="B36" s="14" t="s">
        <v>81</v>
      </c>
      <c r="C36" s="14" t="s">
        <v>82</v>
      </c>
      <c r="D36" s="14" t="s">
        <v>23</v>
      </c>
      <c r="E36" s="14" t="b">
        <v>1</v>
      </c>
      <c r="F36" s="14" t="s">
        <v>27</v>
      </c>
      <c r="G36" s="14">
        <v>9</v>
      </c>
      <c r="H36" s="15">
        <v>46121</v>
      </c>
    </row>
    <row r="37" spans="1:8" x14ac:dyDescent="0.2">
      <c r="A37" s="14">
        <v>806</v>
      </c>
      <c r="B37" s="14" t="s">
        <v>81</v>
      </c>
      <c r="C37" s="14" t="s">
        <v>83</v>
      </c>
      <c r="D37" s="14" t="s">
        <v>23</v>
      </c>
      <c r="E37" s="14" t="b">
        <v>0</v>
      </c>
      <c r="F37" s="14" t="s">
        <v>27</v>
      </c>
      <c r="G37" s="14">
        <v>11</v>
      </c>
      <c r="H37" s="15">
        <v>46121</v>
      </c>
    </row>
    <row r="38" spans="1:8" x14ac:dyDescent="0.2">
      <c r="A38" s="14">
        <v>482</v>
      </c>
      <c r="B38" s="14" t="s">
        <v>84</v>
      </c>
      <c r="C38" s="14" t="s">
        <v>85</v>
      </c>
      <c r="D38" s="14" t="s">
        <v>23</v>
      </c>
      <c r="E38" s="14" t="b">
        <v>0</v>
      </c>
      <c r="F38" s="14" t="s">
        <v>27</v>
      </c>
      <c r="G38" s="14">
        <v>13</v>
      </c>
      <c r="H38" s="15">
        <v>46121</v>
      </c>
    </row>
    <row r="39" spans="1:8" x14ac:dyDescent="0.2">
      <c r="A39" s="14">
        <v>674</v>
      </c>
      <c r="B39" s="14" t="s">
        <v>86</v>
      </c>
      <c r="C39" s="14" t="s">
        <v>87</v>
      </c>
      <c r="D39" s="14" t="s">
        <v>54</v>
      </c>
      <c r="E39" s="14" t="b">
        <v>1</v>
      </c>
      <c r="F39" s="14" t="s">
        <v>27</v>
      </c>
      <c r="G39" s="14">
        <v>23</v>
      </c>
      <c r="H39" s="15">
        <v>46121</v>
      </c>
    </row>
    <row r="40" spans="1:8" x14ac:dyDescent="0.2">
      <c r="A40" s="14">
        <v>1061</v>
      </c>
      <c r="B40" s="14" t="s">
        <v>88</v>
      </c>
      <c r="C40" s="14" t="s">
        <v>89</v>
      </c>
      <c r="D40" s="14" t="s">
        <v>23</v>
      </c>
      <c r="E40" s="14" t="b">
        <v>0</v>
      </c>
      <c r="F40" s="14" t="s">
        <v>27</v>
      </c>
      <c r="G40" s="14">
        <v>19</v>
      </c>
      <c r="H40" s="15">
        <v>46121</v>
      </c>
    </row>
    <row r="41" spans="1:8" x14ac:dyDescent="0.2">
      <c r="A41" s="14">
        <v>763</v>
      </c>
      <c r="B41" s="14" t="s">
        <v>90</v>
      </c>
      <c r="C41" s="14" t="s">
        <v>59</v>
      </c>
      <c r="D41" s="14" t="s">
        <v>23</v>
      </c>
      <c r="E41" s="14" t="b">
        <v>0</v>
      </c>
      <c r="F41" s="14" t="s">
        <v>27</v>
      </c>
      <c r="G41" s="14">
        <v>17</v>
      </c>
      <c r="H41" s="15">
        <v>46121</v>
      </c>
    </row>
    <row r="42" spans="1:8" x14ac:dyDescent="0.2">
      <c r="A42" s="14">
        <v>1227</v>
      </c>
      <c r="B42" s="14" t="s">
        <v>91</v>
      </c>
      <c r="C42" s="14" t="s">
        <v>92</v>
      </c>
      <c r="D42" s="14" t="s">
        <v>23</v>
      </c>
      <c r="E42" s="14" t="b">
        <v>1</v>
      </c>
      <c r="F42" s="14" t="s">
        <v>27</v>
      </c>
      <c r="G42" s="14">
        <v>8</v>
      </c>
      <c r="H42" s="15">
        <v>46121</v>
      </c>
    </row>
    <row r="43" spans="1:8" x14ac:dyDescent="0.2">
      <c r="A43" s="14">
        <v>715</v>
      </c>
      <c r="B43" s="14" t="s">
        <v>93</v>
      </c>
      <c r="C43" s="14" t="s">
        <v>94</v>
      </c>
      <c r="D43" s="14" t="s">
        <v>23</v>
      </c>
      <c r="E43" s="14" t="b">
        <v>0</v>
      </c>
      <c r="F43" s="14" t="s">
        <v>27</v>
      </c>
      <c r="G43" s="14">
        <v>5</v>
      </c>
      <c r="H43" s="15">
        <v>46121</v>
      </c>
    </row>
    <row r="44" spans="1:8" x14ac:dyDescent="0.2">
      <c r="A44" s="14">
        <v>567</v>
      </c>
      <c r="B44" s="14" t="s">
        <v>95</v>
      </c>
      <c r="C44" s="14" t="s">
        <v>96</v>
      </c>
      <c r="D44" s="14" t="s">
        <v>23</v>
      </c>
      <c r="E44" s="14" t="b">
        <v>0</v>
      </c>
      <c r="F44" s="14" t="s">
        <v>27</v>
      </c>
      <c r="G44" s="14">
        <v>7</v>
      </c>
      <c r="H44" s="15">
        <v>46121</v>
      </c>
    </row>
    <row r="45" spans="1:8" x14ac:dyDescent="0.2">
      <c r="A45" s="14">
        <v>1391</v>
      </c>
      <c r="B45" s="14" t="s">
        <v>97</v>
      </c>
      <c r="C45" s="14" t="s">
        <v>98</v>
      </c>
      <c r="D45" s="14" t="s">
        <v>23</v>
      </c>
      <c r="E45" s="14" t="b">
        <v>1</v>
      </c>
      <c r="F45" s="14" t="s">
        <v>25</v>
      </c>
      <c r="H45" s="15">
        <v>46121</v>
      </c>
    </row>
    <row r="46" spans="1:8" x14ac:dyDescent="0.2">
      <c r="A46" s="14">
        <v>704</v>
      </c>
      <c r="B46" s="14" t="s">
        <v>99</v>
      </c>
      <c r="C46" s="14" t="s">
        <v>100</v>
      </c>
      <c r="D46" s="14" t="s">
        <v>23</v>
      </c>
      <c r="E46" s="14" t="b">
        <v>0</v>
      </c>
      <c r="F46" s="14" t="s">
        <v>27</v>
      </c>
      <c r="G46" s="14">
        <v>21</v>
      </c>
      <c r="H46" s="15">
        <v>46121</v>
      </c>
    </row>
    <row r="47" spans="1:8" x14ac:dyDescent="0.2">
      <c r="A47" s="14">
        <v>1283</v>
      </c>
      <c r="B47" s="14" t="s">
        <v>101</v>
      </c>
      <c r="C47" s="14" t="s">
        <v>102</v>
      </c>
      <c r="D47" s="14" t="s">
        <v>23</v>
      </c>
      <c r="E47" s="14" t="b">
        <v>0</v>
      </c>
      <c r="F47" s="14" t="s">
        <v>27</v>
      </c>
      <c r="G47" s="14">
        <v>18</v>
      </c>
      <c r="H47" s="15">
        <v>46121</v>
      </c>
    </row>
    <row r="48" spans="1:8" x14ac:dyDescent="0.2">
      <c r="A48" s="14">
        <v>295</v>
      </c>
      <c r="B48" s="14" t="s">
        <v>103</v>
      </c>
      <c r="C48" s="14" t="s">
        <v>104</v>
      </c>
      <c r="D48" s="14" t="s">
        <v>23</v>
      </c>
      <c r="E48" s="14" t="b">
        <v>0</v>
      </c>
      <c r="F48" s="14" t="s">
        <v>27</v>
      </c>
      <c r="G48" s="14">
        <v>15</v>
      </c>
      <c r="H48" s="15">
        <v>46121</v>
      </c>
    </row>
    <row r="49" spans="1:8" x14ac:dyDescent="0.2">
      <c r="A49" s="14">
        <v>1226</v>
      </c>
      <c r="B49" s="14" t="s">
        <v>105</v>
      </c>
      <c r="C49" s="14" t="s">
        <v>106</v>
      </c>
      <c r="D49" s="14" t="s">
        <v>23</v>
      </c>
      <c r="E49" s="14" t="b">
        <v>1</v>
      </c>
      <c r="F49" s="14" t="s">
        <v>25</v>
      </c>
      <c r="H49" s="15">
        <v>46121</v>
      </c>
    </row>
    <row r="50" spans="1:8" x14ac:dyDescent="0.2">
      <c r="A50" s="14">
        <v>1333</v>
      </c>
      <c r="B50" s="14" t="s">
        <v>107</v>
      </c>
      <c r="C50" s="14" t="s">
        <v>108</v>
      </c>
      <c r="D50" s="14" t="s">
        <v>23</v>
      </c>
      <c r="E50" s="14" t="b">
        <v>0</v>
      </c>
      <c r="F50" s="14" t="s">
        <v>27</v>
      </c>
      <c r="G50" s="14">
        <v>3</v>
      </c>
      <c r="H50" s="15">
        <v>46121</v>
      </c>
    </row>
    <row r="51" spans="1:8" x14ac:dyDescent="0.2">
      <c r="A51" s="14">
        <v>1185</v>
      </c>
      <c r="B51" s="14" t="s">
        <v>109</v>
      </c>
      <c r="C51" s="14" t="s">
        <v>110</v>
      </c>
      <c r="D51" s="14" t="s">
        <v>23</v>
      </c>
      <c r="E51" s="14" t="b">
        <v>1</v>
      </c>
      <c r="F51" s="14" t="s">
        <v>35</v>
      </c>
      <c r="H51" s="15">
        <v>46121</v>
      </c>
    </row>
    <row r="52" spans="1:8" x14ac:dyDescent="0.2">
      <c r="A52" s="14">
        <v>1065</v>
      </c>
      <c r="B52" s="14" t="s">
        <v>109</v>
      </c>
      <c r="C52" s="14" t="s">
        <v>41</v>
      </c>
      <c r="D52" s="14" t="s">
        <v>23</v>
      </c>
      <c r="E52" s="14" t="b">
        <v>0</v>
      </c>
      <c r="F52" s="14" t="s">
        <v>27</v>
      </c>
      <c r="G52" s="14">
        <v>1</v>
      </c>
      <c r="H52" s="15">
        <v>46121</v>
      </c>
    </row>
    <row r="53" spans="1:8" x14ac:dyDescent="0.2">
      <c r="A53" s="14">
        <v>1407</v>
      </c>
      <c r="B53" s="14" t="s">
        <v>111</v>
      </c>
      <c r="C53" s="14" t="s">
        <v>112</v>
      </c>
      <c r="D53" s="14" t="s">
        <v>23</v>
      </c>
      <c r="E53" s="14" t="b">
        <v>0</v>
      </c>
      <c r="F53" s="14" t="s">
        <v>25</v>
      </c>
      <c r="H53" s="15">
        <v>46121</v>
      </c>
    </row>
    <row r="54" spans="1:8" x14ac:dyDescent="0.2">
      <c r="A54" s="14">
        <v>1096</v>
      </c>
      <c r="B54" s="14" t="s">
        <v>113</v>
      </c>
      <c r="C54" s="14" t="s">
        <v>114</v>
      </c>
      <c r="D54" s="14" t="s">
        <v>23</v>
      </c>
      <c r="E54" s="14" t="b">
        <v>0</v>
      </c>
      <c r="F54" s="14" t="s">
        <v>35</v>
      </c>
      <c r="H54" s="15">
        <v>46121</v>
      </c>
    </row>
    <row r="55" spans="1:8" x14ac:dyDescent="0.2">
      <c r="A55" s="14">
        <v>1236</v>
      </c>
      <c r="B55" s="14" t="s">
        <v>113</v>
      </c>
      <c r="C55" s="14" t="s">
        <v>115</v>
      </c>
      <c r="D55" s="14" t="s">
        <v>23</v>
      </c>
      <c r="E55" s="14" t="b">
        <v>1</v>
      </c>
      <c r="F55" s="14" t="s">
        <v>27</v>
      </c>
      <c r="G55" s="14">
        <v>5</v>
      </c>
      <c r="H55" s="15">
        <v>46121</v>
      </c>
    </row>
    <row r="56" spans="1:8" x14ac:dyDescent="0.2">
      <c r="A56" s="14">
        <v>699</v>
      </c>
      <c r="B56" s="14" t="s">
        <v>113</v>
      </c>
      <c r="C56" s="14" t="s">
        <v>116</v>
      </c>
      <c r="D56" s="14" t="s">
        <v>23</v>
      </c>
      <c r="E56" s="14" t="b">
        <v>0</v>
      </c>
      <c r="F56" s="14" t="s">
        <v>27</v>
      </c>
      <c r="G56" s="14">
        <v>5</v>
      </c>
      <c r="H56" s="15">
        <v>46121</v>
      </c>
    </row>
    <row r="57" spans="1:8" x14ac:dyDescent="0.2">
      <c r="A57" s="14">
        <v>1000</v>
      </c>
      <c r="B57" s="14" t="s">
        <v>120</v>
      </c>
      <c r="C57" s="14" t="s">
        <v>121</v>
      </c>
      <c r="D57" s="14" t="s">
        <v>23</v>
      </c>
      <c r="E57" s="14" t="b">
        <v>0</v>
      </c>
      <c r="F57" s="14" t="s">
        <v>25</v>
      </c>
      <c r="H57" s="15">
        <v>46121</v>
      </c>
    </row>
    <row r="58" spans="1:8" x14ac:dyDescent="0.2">
      <c r="A58" s="14">
        <v>1332</v>
      </c>
      <c r="B58" s="14" t="s">
        <v>122</v>
      </c>
      <c r="C58" s="14" t="s">
        <v>123</v>
      </c>
      <c r="D58" s="14" t="s">
        <v>23</v>
      </c>
      <c r="E58" s="14" t="b">
        <v>1</v>
      </c>
      <c r="F58" s="14" t="s">
        <v>25</v>
      </c>
      <c r="H58" s="15">
        <v>46121</v>
      </c>
    </row>
    <row r="59" spans="1:8" x14ac:dyDescent="0.2">
      <c r="A59" s="14">
        <v>682</v>
      </c>
      <c r="B59" s="14" t="s">
        <v>124</v>
      </c>
      <c r="C59" s="14" t="s">
        <v>125</v>
      </c>
      <c r="D59" s="14" t="s">
        <v>23</v>
      </c>
      <c r="E59" s="14" t="b">
        <v>0</v>
      </c>
      <c r="F59" s="14" t="s">
        <v>27</v>
      </c>
      <c r="G59" s="14">
        <v>11</v>
      </c>
      <c r="H59" s="15">
        <v>46121</v>
      </c>
    </row>
    <row r="60" spans="1:8" x14ac:dyDescent="0.2">
      <c r="A60" s="14">
        <v>1393</v>
      </c>
      <c r="B60" s="14" t="s">
        <v>126</v>
      </c>
      <c r="C60" s="14" t="s">
        <v>127</v>
      </c>
      <c r="D60" s="14" t="s">
        <v>23</v>
      </c>
      <c r="E60" s="14" t="b">
        <v>1</v>
      </c>
      <c r="F60" s="14" t="s">
        <v>27</v>
      </c>
      <c r="G60" s="14">
        <v>10</v>
      </c>
      <c r="H60" s="15">
        <v>46121</v>
      </c>
    </row>
    <row r="61" spans="1:8" x14ac:dyDescent="0.2">
      <c r="A61" s="14">
        <v>1355</v>
      </c>
      <c r="B61" s="14" t="s">
        <v>128</v>
      </c>
      <c r="C61" s="14" t="s">
        <v>129</v>
      </c>
      <c r="D61" s="14" t="s">
        <v>23</v>
      </c>
      <c r="E61" s="14" t="b">
        <v>0</v>
      </c>
      <c r="F61" s="14" t="s">
        <v>35</v>
      </c>
      <c r="H61" s="15">
        <v>46121</v>
      </c>
    </row>
    <row r="62" spans="1:8" x14ac:dyDescent="0.2">
      <c r="A62" s="14">
        <v>1164</v>
      </c>
      <c r="B62" s="14" t="s">
        <v>130</v>
      </c>
      <c r="C62" s="14" t="s">
        <v>131</v>
      </c>
      <c r="D62" s="14" t="s">
        <v>54</v>
      </c>
      <c r="E62" s="14" t="b">
        <v>1</v>
      </c>
      <c r="F62" s="14" t="s">
        <v>25</v>
      </c>
      <c r="H62" s="15">
        <v>46121</v>
      </c>
    </row>
    <row r="63" spans="1:8" x14ac:dyDescent="0.2">
      <c r="A63" s="14">
        <v>1062</v>
      </c>
      <c r="B63" s="14" t="s">
        <v>130</v>
      </c>
      <c r="C63" s="14" t="s">
        <v>83</v>
      </c>
      <c r="D63" s="14" t="s">
        <v>23</v>
      </c>
      <c r="E63" s="14" t="b">
        <v>0</v>
      </c>
      <c r="F63" s="14" t="s">
        <v>27</v>
      </c>
      <c r="G63" s="14">
        <v>9</v>
      </c>
      <c r="H63" s="15">
        <v>46121</v>
      </c>
    </row>
    <row r="64" spans="1:8" x14ac:dyDescent="0.2">
      <c r="A64" s="14">
        <v>938</v>
      </c>
      <c r="B64" s="14" t="s">
        <v>130</v>
      </c>
      <c r="C64" s="14" t="s">
        <v>132</v>
      </c>
      <c r="D64" s="14" t="s">
        <v>23</v>
      </c>
      <c r="E64" s="14" t="b">
        <v>1</v>
      </c>
      <c r="F64" s="14" t="s">
        <v>27</v>
      </c>
      <c r="G64" s="14">
        <v>7</v>
      </c>
      <c r="H64" s="15">
        <v>46121</v>
      </c>
    </row>
    <row r="65" spans="1:8" x14ac:dyDescent="0.2">
      <c r="A65" s="14">
        <v>1034</v>
      </c>
      <c r="B65" s="14" t="s">
        <v>134</v>
      </c>
      <c r="C65" s="14" t="s">
        <v>83</v>
      </c>
      <c r="D65" s="14" t="s">
        <v>23</v>
      </c>
      <c r="E65" s="14" t="b">
        <v>0</v>
      </c>
      <c r="F65" s="14" t="s">
        <v>25</v>
      </c>
      <c r="H65" s="15">
        <v>46121</v>
      </c>
    </row>
    <row r="66" spans="1:8" x14ac:dyDescent="0.2">
      <c r="A66" s="14">
        <v>1402</v>
      </c>
      <c r="B66" s="14" t="s">
        <v>135</v>
      </c>
      <c r="C66" s="14" t="s">
        <v>136</v>
      </c>
      <c r="D66" s="14" t="s">
        <v>23</v>
      </c>
      <c r="E66" s="14" t="b">
        <v>0</v>
      </c>
      <c r="F66" s="14" t="s">
        <v>27</v>
      </c>
      <c r="G66" s="14">
        <v>7</v>
      </c>
      <c r="H66" s="15">
        <v>46121</v>
      </c>
    </row>
    <row r="67" spans="1:8" x14ac:dyDescent="0.2">
      <c r="A67" s="14">
        <v>939</v>
      </c>
      <c r="B67" s="14" t="s">
        <v>137</v>
      </c>
      <c r="C67" s="14" t="s">
        <v>127</v>
      </c>
      <c r="D67" s="14" t="s">
        <v>23</v>
      </c>
      <c r="E67" s="14" t="b">
        <v>1</v>
      </c>
      <c r="F67" s="14" t="s">
        <v>27</v>
      </c>
      <c r="G67" s="14">
        <v>12</v>
      </c>
      <c r="H67" s="15">
        <v>46121</v>
      </c>
    </row>
    <row r="68" spans="1:8" x14ac:dyDescent="0.2">
      <c r="A68" s="14">
        <v>1377</v>
      </c>
      <c r="B68" s="14" t="s">
        <v>138</v>
      </c>
      <c r="C68" s="14" t="s">
        <v>139</v>
      </c>
      <c r="D68" s="14" t="s">
        <v>23</v>
      </c>
      <c r="E68" s="14" t="b">
        <v>1</v>
      </c>
      <c r="F68" s="14" t="s">
        <v>27</v>
      </c>
      <c r="G68" s="14">
        <v>12</v>
      </c>
      <c r="H68" s="15">
        <v>46121</v>
      </c>
    </row>
    <row r="69" spans="1:8" x14ac:dyDescent="0.2">
      <c r="A69" s="14">
        <v>1281</v>
      </c>
      <c r="B69" s="14" t="s">
        <v>140</v>
      </c>
      <c r="C69" s="14" t="s">
        <v>141</v>
      </c>
      <c r="D69" s="14" t="s">
        <v>23</v>
      </c>
      <c r="E69" s="14" t="b">
        <v>0</v>
      </c>
      <c r="F69" s="14" t="s">
        <v>27</v>
      </c>
      <c r="G69" s="14">
        <v>19</v>
      </c>
      <c r="H69" s="15">
        <v>46121</v>
      </c>
    </row>
    <row r="70" spans="1:8" x14ac:dyDescent="0.2">
      <c r="A70" s="14">
        <v>933</v>
      </c>
      <c r="B70" s="14" t="s">
        <v>142</v>
      </c>
      <c r="C70" s="14" t="s">
        <v>143</v>
      </c>
      <c r="D70" s="14" t="s">
        <v>23</v>
      </c>
      <c r="E70" s="14" t="b">
        <v>0</v>
      </c>
      <c r="F70" s="14" t="s">
        <v>25</v>
      </c>
      <c r="H70" s="15">
        <v>46121</v>
      </c>
    </row>
    <row r="71" spans="1:8" x14ac:dyDescent="0.2">
      <c r="A71" s="14">
        <v>1274</v>
      </c>
      <c r="B71" s="14" t="s">
        <v>144</v>
      </c>
      <c r="C71" s="14" t="s">
        <v>145</v>
      </c>
      <c r="D71" s="14" t="s">
        <v>23</v>
      </c>
      <c r="E71" s="14" t="b">
        <v>1</v>
      </c>
      <c r="F71" s="14" t="s">
        <v>25</v>
      </c>
      <c r="H71" s="15">
        <v>46121</v>
      </c>
    </row>
    <row r="72" spans="1:8" x14ac:dyDescent="0.2">
      <c r="A72" s="14">
        <v>493</v>
      </c>
      <c r="B72" s="14" t="s">
        <v>146</v>
      </c>
      <c r="C72" s="14" t="s">
        <v>49</v>
      </c>
      <c r="D72" s="14" t="s">
        <v>48</v>
      </c>
      <c r="E72" s="14" t="b">
        <v>0</v>
      </c>
      <c r="F72" s="14" t="s">
        <v>27</v>
      </c>
      <c r="G72" s="14">
        <v>37</v>
      </c>
      <c r="H72" s="15">
        <v>46121</v>
      </c>
    </row>
    <row r="73" spans="1:8" x14ac:dyDescent="0.2">
      <c r="A73" s="14">
        <v>1279</v>
      </c>
      <c r="B73" s="14" t="s">
        <v>147</v>
      </c>
      <c r="C73" s="14" t="s">
        <v>148</v>
      </c>
      <c r="D73" s="14" t="s">
        <v>23</v>
      </c>
      <c r="E73" s="14" t="b">
        <v>0</v>
      </c>
      <c r="F73" s="14" t="s">
        <v>27</v>
      </c>
      <c r="G73" s="14">
        <v>4</v>
      </c>
      <c r="H73" s="15">
        <v>46121</v>
      </c>
    </row>
    <row r="74" spans="1:8" x14ac:dyDescent="0.2">
      <c r="A74" s="14">
        <v>1193</v>
      </c>
      <c r="B74" s="14" t="s">
        <v>149</v>
      </c>
      <c r="C74" s="14" t="s">
        <v>150</v>
      </c>
      <c r="D74" s="14" t="s">
        <v>23</v>
      </c>
      <c r="E74" s="14" t="b">
        <v>0</v>
      </c>
      <c r="F74" s="14" t="s">
        <v>25</v>
      </c>
      <c r="H74" s="15">
        <v>46121</v>
      </c>
    </row>
    <row r="75" spans="1:8" x14ac:dyDescent="0.2">
      <c r="A75" s="14">
        <v>1194</v>
      </c>
      <c r="B75" s="14" t="s">
        <v>149</v>
      </c>
      <c r="C75" s="14" t="s">
        <v>151</v>
      </c>
      <c r="D75" s="14" t="s">
        <v>23</v>
      </c>
      <c r="E75" s="14" t="b">
        <v>1</v>
      </c>
      <c r="F75" s="14" t="s">
        <v>25</v>
      </c>
      <c r="H75" s="15">
        <v>46121</v>
      </c>
    </row>
    <row r="76" spans="1:8" x14ac:dyDescent="0.2">
      <c r="A76" s="14">
        <v>1196</v>
      </c>
      <c r="B76" s="14" t="s">
        <v>149</v>
      </c>
      <c r="C76" s="14" t="s">
        <v>152</v>
      </c>
      <c r="D76" s="14" t="s">
        <v>23</v>
      </c>
      <c r="E76" s="14" t="b">
        <v>0</v>
      </c>
      <c r="F76" s="14" t="s">
        <v>35</v>
      </c>
      <c r="H76" s="15">
        <v>46121</v>
      </c>
    </row>
    <row r="77" spans="1:8" x14ac:dyDescent="0.2">
      <c r="A77" s="14">
        <v>1195</v>
      </c>
      <c r="B77" s="14" t="s">
        <v>149</v>
      </c>
      <c r="C77" s="14" t="s">
        <v>153</v>
      </c>
      <c r="D77" s="14" t="s">
        <v>23</v>
      </c>
      <c r="E77" s="14" t="b">
        <v>0</v>
      </c>
      <c r="F77" s="14" t="s">
        <v>35</v>
      </c>
      <c r="H77" s="15">
        <v>46121</v>
      </c>
    </row>
    <row r="78" spans="1:8" x14ac:dyDescent="0.2">
      <c r="A78" s="14">
        <v>1176</v>
      </c>
      <c r="B78" s="14" t="s">
        <v>154</v>
      </c>
      <c r="C78" s="14" t="s">
        <v>155</v>
      </c>
      <c r="D78" s="14" t="s">
        <v>23</v>
      </c>
      <c r="E78" s="14" t="b">
        <v>0</v>
      </c>
      <c r="F78" s="14" t="s">
        <v>35</v>
      </c>
      <c r="H78" s="15">
        <v>46121</v>
      </c>
    </row>
    <row r="79" spans="1:8" x14ac:dyDescent="0.2">
      <c r="A79" s="14">
        <v>1174</v>
      </c>
      <c r="B79" s="14" t="s">
        <v>154</v>
      </c>
      <c r="C79" s="14" t="s">
        <v>156</v>
      </c>
      <c r="D79" s="14" t="s">
        <v>23</v>
      </c>
      <c r="E79" s="14" t="b">
        <v>1</v>
      </c>
      <c r="F79" s="14" t="s">
        <v>27</v>
      </c>
      <c r="G79" s="14">
        <v>6</v>
      </c>
      <c r="H79" s="15">
        <v>46121</v>
      </c>
    </row>
    <row r="80" spans="1:8" x14ac:dyDescent="0.2">
      <c r="A80" s="14">
        <v>1175</v>
      </c>
      <c r="B80" s="14" t="s">
        <v>154</v>
      </c>
      <c r="C80" s="14" t="s">
        <v>150</v>
      </c>
      <c r="D80" s="14" t="s">
        <v>23</v>
      </c>
      <c r="E80" s="14" t="b">
        <v>0</v>
      </c>
      <c r="F80" s="14" t="s">
        <v>27</v>
      </c>
      <c r="G80" s="14">
        <v>12</v>
      </c>
      <c r="H80" s="15">
        <v>46121</v>
      </c>
    </row>
    <row r="81" spans="1:8" x14ac:dyDescent="0.2">
      <c r="A81" s="14">
        <v>1109</v>
      </c>
      <c r="B81" s="14" t="s">
        <v>157</v>
      </c>
      <c r="C81" s="14" t="s">
        <v>104</v>
      </c>
      <c r="D81" s="14" t="s">
        <v>23</v>
      </c>
      <c r="E81" s="14" t="b">
        <v>0</v>
      </c>
      <c r="F81" s="14" t="s">
        <v>25</v>
      </c>
      <c r="H81" s="15">
        <v>46121</v>
      </c>
    </row>
    <row r="82" spans="1:8" x14ac:dyDescent="0.2">
      <c r="A82" s="14">
        <v>1073</v>
      </c>
      <c r="B82" s="14" t="s">
        <v>158</v>
      </c>
      <c r="C82" s="14" t="s">
        <v>150</v>
      </c>
      <c r="D82" s="14" t="s">
        <v>23</v>
      </c>
      <c r="E82" s="14" t="b">
        <v>0</v>
      </c>
      <c r="F82" s="14" t="s">
        <v>27</v>
      </c>
      <c r="G82" s="14">
        <v>3</v>
      </c>
      <c r="H82" s="15">
        <v>46121</v>
      </c>
    </row>
    <row r="83" spans="1:8" x14ac:dyDescent="0.2">
      <c r="A83" s="14">
        <v>1400</v>
      </c>
      <c r="B83" s="14" t="s">
        <v>159</v>
      </c>
      <c r="C83" s="14" t="s">
        <v>160</v>
      </c>
      <c r="D83" s="14" t="s">
        <v>23</v>
      </c>
      <c r="E83" s="14" t="b">
        <v>0</v>
      </c>
      <c r="F83" s="14" t="s">
        <v>25</v>
      </c>
      <c r="H83" s="15">
        <v>46121</v>
      </c>
    </row>
    <row r="84" spans="1:8" x14ac:dyDescent="0.2">
      <c r="A84" s="14">
        <v>1367</v>
      </c>
      <c r="B84" s="14" t="s">
        <v>161</v>
      </c>
      <c r="C84" s="14" t="s">
        <v>152</v>
      </c>
      <c r="D84" s="14" t="s">
        <v>23</v>
      </c>
      <c r="E84" s="14" t="b">
        <v>0</v>
      </c>
      <c r="F84" s="14" t="s">
        <v>35</v>
      </c>
      <c r="H84" s="15">
        <v>46121</v>
      </c>
    </row>
    <row r="85" spans="1:8" x14ac:dyDescent="0.2">
      <c r="A85" s="14">
        <v>1366</v>
      </c>
      <c r="B85" s="14" t="s">
        <v>161</v>
      </c>
      <c r="C85" s="14" t="s">
        <v>162</v>
      </c>
      <c r="D85" s="14" t="s">
        <v>23</v>
      </c>
      <c r="E85" s="14" t="b">
        <v>1</v>
      </c>
      <c r="F85" s="14" t="s">
        <v>25</v>
      </c>
      <c r="H85" s="15">
        <v>46121</v>
      </c>
    </row>
    <row r="86" spans="1:8" x14ac:dyDescent="0.2">
      <c r="A86" s="14">
        <v>1365</v>
      </c>
      <c r="B86" s="14" t="s">
        <v>161</v>
      </c>
      <c r="C86" s="14" t="s">
        <v>163</v>
      </c>
      <c r="D86" s="14" t="s">
        <v>23</v>
      </c>
      <c r="E86" s="14" t="b">
        <v>1</v>
      </c>
      <c r="F86" s="14" t="s">
        <v>27</v>
      </c>
      <c r="G86" s="14">
        <v>7</v>
      </c>
      <c r="H86" s="15">
        <v>46121</v>
      </c>
    </row>
    <row r="87" spans="1:8" x14ac:dyDescent="0.2">
      <c r="A87" s="14">
        <v>897</v>
      </c>
      <c r="B87" s="14" t="s">
        <v>161</v>
      </c>
      <c r="C87" s="14" t="s">
        <v>164</v>
      </c>
      <c r="D87" s="14" t="s">
        <v>23</v>
      </c>
      <c r="E87" s="14" t="b">
        <v>0</v>
      </c>
      <c r="F87" s="14" t="s">
        <v>27</v>
      </c>
      <c r="G87" s="14">
        <v>13</v>
      </c>
      <c r="H87" s="15">
        <v>46121</v>
      </c>
    </row>
    <row r="88" spans="1:8" x14ac:dyDescent="0.2">
      <c r="A88" s="14">
        <v>1308</v>
      </c>
      <c r="B88" s="14" t="s">
        <v>165</v>
      </c>
      <c r="C88" s="14" t="s">
        <v>166</v>
      </c>
      <c r="D88" s="14" t="s">
        <v>23</v>
      </c>
      <c r="E88" s="14" t="b">
        <v>1</v>
      </c>
      <c r="F88" s="14" t="s">
        <v>27</v>
      </c>
      <c r="G88" s="14">
        <v>2</v>
      </c>
      <c r="H88" s="15">
        <v>46121</v>
      </c>
    </row>
    <row r="89" spans="1:8" x14ac:dyDescent="0.2">
      <c r="A89" s="14">
        <v>1206</v>
      </c>
      <c r="B89" s="14" t="s">
        <v>167</v>
      </c>
      <c r="C89" s="14" t="s">
        <v>168</v>
      </c>
      <c r="D89" s="14" t="s">
        <v>23</v>
      </c>
      <c r="E89" s="14" t="b">
        <v>1</v>
      </c>
      <c r="F89" s="14" t="s">
        <v>27</v>
      </c>
      <c r="G89" s="14">
        <v>8</v>
      </c>
      <c r="H89" s="15">
        <v>46121</v>
      </c>
    </row>
    <row r="90" spans="1:8" x14ac:dyDescent="0.2">
      <c r="A90" s="14">
        <v>1205</v>
      </c>
      <c r="B90" s="14" t="s">
        <v>167</v>
      </c>
      <c r="C90" s="14" t="s">
        <v>66</v>
      </c>
      <c r="D90" s="14" t="s">
        <v>23</v>
      </c>
      <c r="E90" s="14" t="b">
        <v>0</v>
      </c>
      <c r="F90" s="14" t="s">
        <v>27</v>
      </c>
      <c r="G90" s="14">
        <v>14</v>
      </c>
      <c r="H90" s="15">
        <v>46121</v>
      </c>
    </row>
    <row r="91" spans="1:8" x14ac:dyDescent="0.2">
      <c r="A91" s="14">
        <v>1406</v>
      </c>
      <c r="B91" s="14" t="s">
        <v>169</v>
      </c>
      <c r="C91" s="14" t="s">
        <v>170</v>
      </c>
      <c r="D91" s="14" t="s">
        <v>23</v>
      </c>
      <c r="E91" s="14" t="b">
        <v>0</v>
      </c>
      <c r="F91" s="14" t="s">
        <v>27</v>
      </c>
      <c r="G91" s="14">
        <v>9</v>
      </c>
      <c r="H91" s="15">
        <v>46121</v>
      </c>
    </row>
    <row r="92" spans="1:8" x14ac:dyDescent="0.2">
      <c r="A92" s="14">
        <v>1182</v>
      </c>
      <c r="B92" s="14" t="s">
        <v>171</v>
      </c>
      <c r="C92" s="14" t="s">
        <v>136</v>
      </c>
      <c r="D92" s="14" t="s">
        <v>23</v>
      </c>
      <c r="E92" s="14" t="b">
        <v>0</v>
      </c>
      <c r="F92" s="14" t="s">
        <v>27</v>
      </c>
      <c r="G92" s="14">
        <v>8</v>
      </c>
      <c r="H92" s="15">
        <v>46121</v>
      </c>
    </row>
    <row r="93" spans="1:8" x14ac:dyDescent="0.2">
      <c r="A93" s="14">
        <v>1340</v>
      </c>
      <c r="B93" s="14" t="s">
        <v>172</v>
      </c>
      <c r="C93" s="14" t="s">
        <v>173</v>
      </c>
      <c r="D93" s="14" t="s">
        <v>23</v>
      </c>
      <c r="E93" s="14" t="b">
        <v>0</v>
      </c>
      <c r="F93" s="14" t="s">
        <v>27</v>
      </c>
      <c r="G93" s="14">
        <v>8</v>
      </c>
      <c r="H93" s="15">
        <v>46121</v>
      </c>
    </row>
    <row r="94" spans="1:8" x14ac:dyDescent="0.2">
      <c r="A94" s="14">
        <v>21</v>
      </c>
      <c r="B94" s="14" t="s">
        <v>174</v>
      </c>
      <c r="C94" s="14" t="s">
        <v>175</v>
      </c>
      <c r="D94" s="14" t="s">
        <v>23</v>
      </c>
      <c r="E94" s="14" t="b">
        <v>0</v>
      </c>
      <c r="F94" s="14" t="s">
        <v>25</v>
      </c>
      <c r="H94" s="15">
        <v>46121</v>
      </c>
    </row>
    <row r="95" spans="1:8" x14ac:dyDescent="0.2">
      <c r="A95" s="14">
        <v>1049</v>
      </c>
      <c r="B95" s="14" t="s">
        <v>176</v>
      </c>
      <c r="C95" s="14" t="s">
        <v>177</v>
      </c>
      <c r="D95" s="14" t="s">
        <v>23</v>
      </c>
      <c r="E95" s="14" t="b">
        <v>0</v>
      </c>
      <c r="F95" s="14" t="s">
        <v>27</v>
      </c>
      <c r="G95" s="14">
        <v>19</v>
      </c>
      <c r="H95" s="15">
        <v>46121</v>
      </c>
    </row>
    <row r="96" spans="1:8" x14ac:dyDescent="0.2">
      <c r="A96" s="14">
        <v>120</v>
      </c>
      <c r="B96" s="14" t="s">
        <v>178</v>
      </c>
      <c r="C96" s="14" t="s">
        <v>179</v>
      </c>
      <c r="D96" s="14" t="s">
        <v>23</v>
      </c>
      <c r="E96" s="14" t="b">
        <v>1</v>
      </c>
      <c r="F96" s="14" t="s">
        <v>27</v>
      </c>
      <c r="G96" s="14">
        <v>12</v>
      </c>
      <c r="H96" s="15">
        <v>46121</v>
      </c>
    </row>
    <row r="97" spans="1:8" x14ac:dyDescent="0.2">
      <c r="A97" s="14">
        <v>990</v>
      </c>
      <c r="B97" s="14" t="s">
        <v>180</v>
      </c>
      <c r="C97" s="14" t="s">
        <v>87</v>
      </c>
      <c r="D97" s="14" t="s">
        <v>23</v>
      </c>
      <c r="E97" s="14" t="b">
        <v>1</v>
      </c>
      <c r="F97" s="14" t="s">
        <v>27</v>
      </c>
      <c r="G97" s="14">
        <v>10</v>
      </c>
      <c r="H97" s="15">
        <v>46121</v>
      </c>
    </row>
    <row r="98" spans="1:8" x14ac:dyDescent="0.2">
      <c r="A98" s="14">
        <v>1395</v>
      </c>
      <c r="B98" s="14" t="s">
        <v>181</v>
      </c>
      <c r="C98" s="14" t="s">
        <v>182</v>
      </c>
      <c r="D98" s="14" t="s">
        <v>23</v>
      </c>
      <c r="E98" s="14" t="b">
        <v>1</v>
      </c>
      <c r="F98" s="14" t="s">
        <v>35</v>
      </c>
      <c r="H98" s="15">
        <v>46121</v>
      </c>
    </row>
    <row r="99" spans="1:8" x14ac:dyDescent="0.2">
      <c r="A99" s="14">
        <v>1158</v>
      </c>
      <c r="B99" s="14" t="s">
        <v>183</v>
      </c>
      <c r="C99" s="14" t="s">
        <v>184</v>
      </c>
      <c r="D99" s="14" t="s">
        <v>23</v>
      </c>
      <c r="E99" s="14" t="b">
        <v>1</v>
      </c>
      <c r="F99" s="14" t="s">
        <v>25</v>
      </c>
      <c r="H99" s="15">
        <v>46121</v>
      </c>
    </row>
    <row r="100" spans="1:8" x14ac:dyDescent="0.2">
      <c r="A100" s="14">
        <v>23</v>
      </c>
      <c r="B100" s="14" t="s">
        <v>185</v>
      </c>
      <c r="C100" s="14" t="s">
        <v>100</v>
      </c>
      <c r="D100" s="14" t="s">
        <v>23</v>
      </c>
      <c r="E100" s="14" t="b">
        <v>0</v>
      </c>
      <c r="F100" s="14" t="s">
        <v>27</v>
      </c>
      <c r="G100" s="14">
        <v>10</v>
      </c>
      <c r="H100" s="15">
        <v>46121</v>
      </c>
    </row>
    <row r="101" spans="1:8" x14ac:dyDescent="0.2">
      <c r="A101" s="14">
        <v>1152</v>
      </c>
      <c r="B101" s="14" t="s">
        <v>186</v>
      </c>
      <c r="C101" s="14" t="s">
        <v>187</v>
      </c>
      <c r="D101" s="14" t="s">
        <v>54</v>
      </c>
      <c r="E101" s="14" t="b">
        <v>1</v>
      </c>
      <c r="F101" s="14" t="s">
        <v>188</v>
      </c>
      <c r="H101" s="15">
        <v>46121</v>
      </c>
    </row>
    <row r="102" spans="1:8" x14ac:dyDescent="0.2">
      <c r="A102" s="14">
        <v>581</v>
      </c>
      <c r="B102" s="14" t="s">
        <v>189</v>
      </c>
      <c r="C102" s="14" t="s">
        <v>190</v>
      </c>
      <c r="D102" s="14" t="s">
        <v>23</v>
      </c>
      <c r="E102" s="14" t="b">
        <v>0</v>
      </c>
      <c r="F102" s="14" t="s">
        <v>27</v>
      </c>
      <c r="G102" s="14">
        <v>13</v>
      </c>
      <c r="H102" s="15">
        <v>46121</v>
      </c>
    </row>
    <row r="103" spans="1:8" x14ac:dyDescent="0.2">
      <c r="A103" s="14">
        <v>1374</v>
      </c>
      <c r="B103" s="14" t="s">
        <v>191</v>
      </c>
      <c r="C103" s="14" t="s">
        <v>192</v>
      </c>
      <c r="D103" s="14" t="s">
        <v>23</v>
      </c>
      <c r="E103" s="14" t="b">
        <v>0</v>
      </c>
      <c r="F103" s="14" t="s">
        <v>25</v>
      </c>
      <c r="H103" s="15">
        <v>46121</v>
      </c>
    </row>
    <row r="104" spans="1:8" x14ac:dyDescent="0.2">
      <c r="A104" s="14">
        <v>25</v>
      </c>
      <c r="B104" s="14" t="s">
        <v>22</v>
      </c>
      <c r="C104" s="14" t="s">
        <v>193</v>
      </c>
      <c r="D104" s="14" t="s">
        <v>23</v>
      </c>
      <c r="E104" s="14" t="b">
        <v>0</v>
      </c>
      <c r="F104" s="14" t="s">
        <v>27</v>
      </c>
      <c r="G104" s="14">
        <v>8</v>
      </c>
      <c r="H104" s="15">
        <v>46121</v>
      </c>
    </row>
    <row r="105" spans="1:8" x14ac:dyDescent="0.2">
      <c r="A105" s="14">
        <v>415</v>
      </c>
      <c r="B105" s="14" t="s">
        <v>195</v>
      </c>
      <c r="C105" s="14" t="s">
        <v>196</v>
      </c>
      <c r="D105" s="14" t="s">
        <v>23</v>
      </c>
      <c r="E105" s="14" t="b">
        <v>0</v>
      </c>
      <c r="F105" s="14" t="s">
        <v>27</v>
      </c>
      <c r="G105" s="14">
        <v>6</v>
      </c>
      <c r="H105" s="15">
        <v>46121</v>
      </c>
    </row>
    <row r="106" spans="1:8" x14ac:dyDescent="0.2">
      <c r="A106" s="14">
        <v>1144</v>
      </c>
      <c r="B106" s="14" t="s">
        <v>195</v>
      </c>
      <c r="C106" s="14" t="s">
        <v>197</v>
      </c>
      <c r="D106" s="14" t="s">
        <v>54</v>
      </c>
      <c r="E106" s="14" t="b">
        <v>0</v>
      </c>
      <c r="F106" s="14" t="s">
        <v>188</v>
      </c>
      <c r="H106" s="15">
        <v>46121</v>
      </c>
    </row>
    <row r="107" spans="1:8" x14ac:dyDescent="0.2">
      <c r="A107" s="14">
        <v>203</v>
      </c>
      <c r="B107" s="14" t="s">
        <v>200</v>
      </c>
      <c r="C107" s="14" t="s">
        <v>201</v>
      </c>
      <c r="D107" s="14" t="s">
        <v>23</v>
      </c>
      <c r="E107" s="14" t="b">
        <v>0</v>
      </c>
      <c r="F107" s="14" t="s">
        <v>27</v>
      </c>
      <c r="G107" s="14">
        <v>9</v>
      </c>
      <c r="H107" s="15">
        <v>46121</v>
      </c>
    </row>
    <row r="108" spans="1:8" x14ac:dyDescent="0.2">
      <c r="A108" s="14">
        <v>956</v>
      </c>
      <c r="B108" s="14" t="s">
        <v>202</v>
      </c>
      <c r="C108" s="14" t="s">
        <v>94</v>
      </c>
      <c r="D108" s="14" t="s">
        <v>23</v>
      </c>
      <c r="E108" s="14" t="b">
        <v>0</v>
      </c>
      <c r="F108" s="14" t="s">
        <v>27</v>
      </c>
      <c r="G108" s="14">
        <v>13</v>
      </c>
      <c r="H108" s="15">
        <v>46121</v>
      </c>
    </row>
    <row r="109" spans="1:8" x14ac:dyDescent="0.2">
      <c r="A109" s="14">
        <v>1273</v>
      </c>
      <c r="B109" s="14" t="s">
        <v>203</v>
      </c>
      <c r="C109" s="14" t="s">
        <v>204</v>
      </c>
      <c r="D109" s="14" t="s">
        <v>23</v>
      </c>
      <c r="E109" s="14" t="b">
        <v>1</v>
      </c>
      <c r="F109" s="14" t="s">
        <v>27</v>
      </c>
      <c r="G109" s="14">
        <v>22</v>
      </c>
      <c r="H109" s="15">
        <v>46121</v>
      </c>
    </row>
    <row r="110" spans="1:8" x14ac:dyDescent="0.2">
      <c r="A110" s="14">
        <v>1272</v>
      </c>
      <c r="B110" s="14" t="s">
        <v>203</v>
      </c>
      <c r="C110" s="14" t="s">
        <v>205</v>
      </c>
      <c r="D110" s="14" t="s">
        <v>23</v>
      </c>
      <c r="E110" s="14" t="b">
        <v>0</v>
      </c>
      <c r="F110" s="14" t="s">
        <v>27</v>
      </c>
      <c r="G110" s="14">
        <v>24</v>
      </c>
      <c r="H110" s="15">
        <v>46121</v>
      </c>
    </row>
    <row r="111" spans="1:8" x14ac:dyDescent="0.2">
      <c r="A111" s="14">
        <v>846</v>
      </c>
      <c r="B111" s="14" t="s">
        <v>206</v>
      </c>
      <c r="C111" s="14" t="s">
        <v>207</v>
      </c>
      <c r="D111" s="14" t="s">
        <v>23</v>
      </c>
      <c r="E111" s="14" t="b">
        <v>0</v>
      </c>
      <c r="F111" s="14" t="s">
        <v>27</v>
      </c>
      <c r="G111" s="14">
        <v>17</v>
      </c>
      <c r="H111" s="15">
        <v>46121</v>
      </c>
    </row>
    <row r="112" spans="1:8" x14ac:dyDescent="0.2">
      <c r="A112" s="14">
        <v>1162</v>
      </c>
      <c r="B112" s="14" t="s">
        <v>208</v>
      </c>
      <c r="C112" s="14" t="s">
        <v>150</v>
      </c>
      <c r="D112" s="14" t="s">
        <v>23</v>
      </c>
      <c r="E112" s="14" t="b">
        <v>0</v>
      </c>
      <c r="F112" s="14" t="s">
        <v>25</v>
      </c>
      <c r="H112" s="15">
        <v>46121</v>
      </c>
    </row>
    <row r="113" spans="1:8" x14ac:dyDescent="0.2">
      <c r="A113" s="14">
        <v>1244</v>
      </c>
      <c r="B113" s="14" t="s">
        <v>209</v>
      </c>
      <c r="C113" s="14" t="s">
        <v>94</v>
      </c>
      <c r="D113" s="14" t="s">
        <v>23</v>
      </c>
      <c r="E113" s="14" t="b">
        <v>0</v>
      </c>
      <c r="F113" s="14" t="s">
        <v>27</v>
      </c>
      <c r="G113" s="14">
        <v>2</v>
      </c>
      <c r="H113" s="15">
        <v>46121</v>
      </c>
    </row>
    <row r="114" spans="1:8" x14ac:dyDescent="0.2">
      <c r="A114" s="14">
        <v>1379</v>
      </c>
      <c r="B114" s="14" t="s">
        <v>209</v>
      </c>
      <c r="C114" s="14" t="s">
        <v>210</v>
      </c>
      <c r="D114" s="14" t="s">
        <v>23</v>
      </c>
      <c r="E114" s="14" t="b">
        <v>1</v>
      </c>
      <c r="F114" s="14" t="s">
        <v>25</v>
      </c>
      <c r="H114" s="15">
        <v>46121</v>
      </c>
    </row>
    <row r="115" spans="1:8" x14ac:dyDescent="0.2">
      <c r="A115" s="14">
        <v>1362</v>
      </c>
      <c r="B115" s="14" t="s">
        <v>211</v>
      </c>
      <c r="C115" s="14" t="s">
        <v>212</v>
      </c>
      <c r="D115" s="14" t="s">
        <v>23</v>
      </c>
      <c r="E115" s="14" t="b">
        <v>1</v>
      </c>
      <c r="F115" s="14" t="s">
        <v>27</v>
      </c>
      <c r="G115" s="14">
        <v>22</v>
      </c>
      <c r="H115" s="15">
        <v>46121</v>
      </c>
    </row>
    <row r="116" spans="1:8" x14ac:dyDescent="0.2">
      <c r="A116" s="14">
        <v>1403</v>
      </c>
      <c r="B116" s="14" t="s">
        <v>213</v>
      </c>
      <c r="C116" s="14" t="s">
        <v>214</v>
      </c>
      <c r="D116" s="14" t="s">
        <v>23</v>
      </c>
      <c r="E116" s="14" t="b">
        <v>0</v>
      </c>
      <c r="F116" s="14" t="s">
        <v>27</v>
      </c>
      <c r="G116" s="14">
        <v>8</v>
      </c>
      <c r="H116" s="15">
        <v>46121</v>
      </c>
    </row>
    <row r="117" spans="1:8" x14ac:dyDescent="0.2">
      <c r="A117" s="14">
        <v>1404</v>
      </c>
      <c r="B117" s="14" t="s">
        <v>213</v>
      </c>
      <c r="C117" s="14" t="s">
        <v>215</v>
      </c>
      <c r="D117" s="14" t="s">
        <v>23</v>
      </c>
      <c r="E117" s="14" t="b">
        <v>1</v>
      </c>
      <c r="F117" s="14" t="s">
        <v>25</v>
      </c>
      <c r="H117" s="15">
        <v>46121</v>
      </c>
    </row>
    <row r="118" spans="1:8" x14ac:dyDescent="0.2">
      <c r="A118" s="14">
        <v>1229</v>
      </c>
      <c r="B118" s="14" t="s">
        <v>216</v>
      </c>
      <c r="C118" s="14" t="s">
        <v>217</v>
      </c>
      <c r="D118" s="14" t="s">
        <v>23</v>
      </c>
      <c r="E118" s="14" t="b">
        <v>1</v>
      </c>
      <c r="F118" s="14" t="s">
        <v>25</v>
      </c>
      <c r="H118" s="15">
        <v>46121</v>
      </c>
    </row>
    <row r="119" spans="1:8" x14ac:dyDescent="0.2">
      <c r="A119" s="14">
        <v>1408</v>
      </c>
      <c r="B119" s="14" t="s">
        <v>218</v>
      </c>
      <c r="C119" s="14" t="s">
        <v>219</v>
      </c>
      <c r="D119" s="14" t="s">
        <v>23</v>
      </c>
      <c r="E119" s="14" t="b">
        <v>0</v>
      </c>
      <c r="F119" s="14" t="s">
        <v>27</v>
      </c>
      <c r="G119" s="14">
        <v>20</v>
      </c>
      <c r="H119" s="15">
        <v>46121</v>
      </c>
    </row>
    <row r="120" spans="1:8" x14ac:dyDescent="0.2">
      <c r="A120" s="14">
        <v>1409</v>
      </c>
      <c r="B120" s="14" t="s">
        <v>218</v>
      </c>
      <c r="C120" s="14" t="s">
        <v>220</v>
      </c>
      <c r="D120" s="14" t="s">
        <v>23</v>
      </c>
      <c r="E120" s="14" t="b">
        <v>1</v>
      </c>
      <c r="F120" s="14" t="s">
        <v>27</v>
      </c>
      <c r="G120" s="14">
        <v>15</v>
      </c>
      <c r="H120" s="15">
        <v>46121</v>
      </c>
    </row>
    <row r="121" spans="1:8" x14ac:dyDescent="0.2">
      <c r="A121" s="14">
        <v>1198</v>
      </c>
      <c r="B121" s="14" t="s">
        <v>221</v>
      </c>
      <c r="C121" s="14" t="s">
        <v>222</v>
      </c>
      <c r="D121" s="14" t="s">
        <v>23</v>
      </c>
      <c r="E121" s="14" t="b">
        <v>0</v>
      </c>
      <c r="F121" s="14" t="s">
        <v>27</v>
      </c>
      <c r="G121" s="14">
        <v>5</v>
      </c>
      <c r="H121" s="15">
        <v>46121</v>
      </c>
    </row>
    <row r="122" spans="1:8" x14ac:dyDescent="0.2">
      <c r="A122" s="14">
        <v>1260</v>
      </c>
      <c r="B122" s="14" t="s">
        <v>223</v>
      </c>
      <c r="C122" s="14" t="s">
        <v>82</v>
      </c>
      <c r="D122" s="14" t="s">
        <v>23</v>
      </c>
      <c r="E122" s="14" t="b">
        <v>1</v>
      </c>
      <c r="F122" s="14" t="s">
        <v>27</v>
      </c>
      <c r="G122" s="14">
        <v>15</v>
      </c>
      <c r="H122" s="15">
        <v>46121</v>
      </c>
    </row>
    <row r="123" spans="1:8" x14ac:dyDescent="0.2">
      <c r="A123" s="14">
        <v>1361</v>
      </c>
      <c r="B123" s="14" t="s">
        <v>224</v>
      </c>
      <c r="C123" s="14" t="s">
        <v>225</v>
      </c>
      <c r="D123" s="14" t="s">
        <v>23</v>
      </c>
      <c r="E123" s="14" t="b">
        <v>0</v>
      </c>
      <c r="F123" s="14" t="s">
        <v>27</v>
      </c>
      <c r="G123" s="14">
        <v>16</v>
      </c>
      <c r="H123" s="15">
        <v>46121</v>
      </c>
    </row>
    <row r="124" spans="1:8" x14ac:dyDescent="0.2">
      <c r="A124" s="14">
        <v>1100</v>
      </c>
      <c r="B124" s="14" t="s">
        <v>226</v>
      </c>
      <c r="C124" s="14" t="s">
        <v>34</v>
      </c>
      <c r="D124" s="14" t="s">
        <v>23</v>
      </c>
      <c r="E124" s="14" t="b">
        <v>0</v>
      </c>
      <c r="F124" s="14" t="s">
        <v>27</v>
      </c>
      <c r="G124" s="14">
        <v>13</v>
      </c>
      <c r="H124" s="15">
        <v>46121</v>
      </c>
    </row>
    <row r="125" spans="1:8" x14ac:dyDescent="0.2">
      <c r="A125" s="14">
        <v>1385</v>
      </c>
      <c r="B125" s="14" t="s">
        <v>227</v>
      </c>
      <c r="C125" s="14" t="s">
        <v>228</v>
      </c>
      <c r="D125" s="14" t="s">
        <v>23</v>
      </c>
      <c r="E125" s="14" t="b">
        <v>0</v>
      </c>
      <c r="F125" s="14" t="s">
        <v>25</v>
      </c>
      <c r="H125" s="15">
        <v>46121</v>
      </c>
    </row>
    <row r="126" spans="1:8" x14ac:dyDescent="0.2">
      <c r="A126" s="14">
        <v>1394</v>
      </c>
      <c r="B126" s="14" t="s">
        <v>227</v>
      </c>
      <c r="C126" s="14" t="s">
        <v>229</v>
      </c>
      <c r="D126" s="14" t="s">
        <v>23</v>
      </c>
      <c r="E126" s="14" t="b">
        <v>0</v>
      </c>
      <c r="F126" s="14" t="s">
        <v>35</v>
      </c>
      <c r="H126" s="15">
        <v>46121</v>
      </c>
    </row>
    <row r="127" spans="1:8" x14ac:dyDescent="0.2">
      <c r="A127" s="14">
        <v>1419</v>
      </c>
      <c r="B127" s="14" t="s">
        <v>230</v>
      </c>
      <c r="C127" s="14" t="s">
        <v>231</v>
      </c>
      <c r="D127" s="14" t="s">
        <v>23</v>
      </c>
      <c r="E127" s="14" t="b">
        <v>0</v>
      </c>
      <c r="F127" s="14" t="s">
        <v>25</v>
      </c>
      <c r="H127" s="15">
        <v>46121</v>
      </c>
    </row>
    <row r="128" spans="1:8" x14ac:dyDescent="0.2">
      <c r="A128" s="14">
        <v>967</v>
      </c>
      <c r="B128" s="14" t="s">
        <v>232</v>
      </c>
      <c r="C128" s="14" t="s">
        <v>152</v>
      </c>
      <c r="D128" s="14" t="s">
        <v>23</v>
      </c>
      <c r="E128" s="14" t="b">
        <v>0</v>
      </c>
      <c r="F128" s="14" t="s">
        <v>27</v>
      </c>
      <c r="G128" s="14">
        <v>5</v>
      </c>
      <c r="H128" s="15">
        <v>46121</v>
      </c>
    </row>
    <row r="129" spans="1:8" x14ac:dyDescent="0.2">
      <c r="A129" s="14">
        <v>1373</v>
      </c>
      <c r="B129" s="14" t="s">
        <v>233</v>
      </c>
      <c r="C129" s="14" t="s">
        <v>234</v>
      </c>
      <c r="D129" s="14" t="s">
        <v>23</v>
      </c>
      <c r="E129" s="14" t="b">
        <v>0</v>
      </c>
      <c r="F129" s="14" t="s">
        <v>27</v>
      </c>
      <c r="G129" s="14">
        <v>10</v>
      </c>
      <c r="H129" s="15">
        <v>46121</v>
      </c>
    </row>
    <row r="130" spans="1:8" x14ac:dyDescent="0.2">
      <c r="A130" s="14">
        <v>1045</v>
      </c>
      <c r="B130" s="14" t="s">
        <v>235</v>
      </c>
      <c r="C130" s="14" t="s">
        <v>236</v>
      </c>
      <c r="D130" s="14" t="s">
        <v>23</v>
      </c>
      <c r="E130" s="14" t="b">
        <v>1</v>
      </c>
      <c r="F130" s="14" t="s">
        <v>27</v>
      </c>
      <c r="G130" s="14">
        <v>5</v>
      </c>
      <c r="H130" s="15">
        <v>46121</v>
      </c>
    </row>
    <row r="131" spans="1:8" x14ac:dyDescent="0.2">
      <c r="A131" s="14">
        <v>1046</v>
      </c>
      <c r="B131" s="14" t="s">
        <v>235</v>
      </c>
      <c r="C131" s="14" t="s">
        <v>237</v>
      </c>
      <c r="D131" s="14" t="s">
        <v>23</v>
      </c>
      <c r="E131" s="14" t="b">
        <v>0</v>
      </c>
      <c r="F131" s="14" t="s">
        <v>27</v>
      </c>
      <c r="G131" s="14">
        <v>35</v>
      </c>
      <c r="H131" s="15">
        <v>46121</v>
      </c>
    </row>
    <row r="132" spans="1:8" x14ac:dyDescent="0.2">
      <c r="A132" s="14">
        <v>1396</v>
      </c>
      <c r="B132" s="14" t="s">
        <v>238</v>
      </c>
      <c r="C132" s="14" t="s">
        <v>59</v>
      </c>
      <c r="D132" s="14" t="s">
        <v>23</v>
      </c>
      <c r="E132" s="14" t="b">
        <v>0</v>
      </c>
      <c r="F132" s="14" t="s">
        <v>25</v>
      </c>
      <c r="H132" s="15">
        <v>46121</v>
      </c>
    </row>
    <row r="133" spans="1:8" x14ac:dyDescent="0.2">
      <c r="A133" s="14">
        <v>1397</v>
      </c>
      <c r="B133" s="14" t="s">
        <v>238</v>
      </c>
      <c r="C133" s="14" t="s">
        <v>239</v>
      </c>
      <c r="D133" s="14" t="s">
        <v>23</v>
      </c>
      <c r="E133" s="14" t="b">
        <v>1</v>
      </c>
      <c r="F133" s="14" t="s">
        <v>25</v>
      </c>
      <c r="H133" s="15">
        <v>46121</v>
      </c>
    </row>
    <row r="134" spans="1:8" x14ac:dyDescent="0.2">
      <c r="A134" s="14">
        <v>1398</v>
      </c>
      <c r="B134" s="14" t="s">
        <v>238</v>
      </c>
      <c r="C134" s="14" t="s">
        <v>49</v>
      </c>
      <c r="D134" s="14" t="s">
        <v>23</v>
      </c>
      <c r="E134" s="14" t="b">
        <v>0</v>
      </c>
      <c r="F134" s="14" t="s">
        <v>35</v>
      </c>
      <c r="H134" s="15">
        <v>46121</v>
      </c>
    </row>
    <row r="135" spans="1:8" x14ac:dyDescent="0.2">
      <c r="A135" s="14">
        <v>1399</v>
      </c>
      <c r="B135" s="14" t="s">
        <v>238</v>
      </c>
      <c r="C135" s="14" t="s">
        <v>131</v>
      </c>
      <c r="D135" s="14" t="s">
        <v>23</v>
      </c>
      <c r="E135" s="14" t="b">
        <v>1</v>
      </c>
      <c r="F135" s="14" t="s">
        <v>35</v>
      </c>
      <c r="H135" s="15">
        <v>46121</v>
      </c>
    </row>
    <row r="136" spans="1:8" x14ac:dyDescent="0.2">
      <c r="A136" s="14">
        <v>771</v>
      </c>
      <c r="B136" s="14" t="s">
        <v>240</v>
      </c>
      <c r="C136" s="14" t="s">
        <v>241</v>
      </c>
      <c r="D136" s="14" t="s">
        <v>23</v>
      </c>
      <c r="E136" s="14" t="b">
        <v>0</v>
      </c>
      <c r="F136" s="14" t="s">
        <v>27</v>
      </c>
      <c r="G136" s="14">
        <v>14</v>
      </c>
      <c r="H136" s="15">
        <v>46121</v>
      </c>
    </row>
    <row r="137" spans="1:8" x14ac:dyDescent="0.2">
      <c r="A137" s="14">
        <v>1265</v>
      </c>
      <c r="B137" s="14" t="s">
        <v>242</v>
      </c>
      <c r="C137" s="14" t="s">
        <v>243</v>
      </c>
      <c r="D137" s="14" t="s">
        <v>23</v>
      </c>
      <c r="E137" s="14" t="b">
        <v>0</v>
      </c>
      <c r="F137" s="14" t="s">
        <v>27</v>
      </c>
      <c r="G137" s="14">
        <v>20</v>
      </c>
      <c r="H137" s="15">
        <v>46121</v>
      </c>
    </row>
    <row r="138" spans="1:8" x14ac:dyDescent="0.2">
      <c r="A138" s="14">
        <v>532</v>
      </c>
      <c r="B138" s="14" t="s">
        <v>244</v>
      </c>
      <c r="C138" s="14" t="s">
        <v>243</v>
      </c>
      <c r="D138" s="14" t="s">
        <v>23</v>
      </c>
      <c r="E138" s="14" t="b">
        <v>0</v>
      </c>
      <c r="F138" s="14" t="s">
        <v>27</v>
      </c>
      <c r="G138" s="14">
        <v>13</v>
      </c>
      <c r="H138" s="15">
        <v>46121</v>
      </c>
    </row>
    <row r="139" spans="1:8" x14ac:dyDescent="0.2">
      <c r="A139" s="14">
        <v>742</v>
      </c>
      <c r="B139" s="14" t="s">
        <v>246</v>
      </c>
      <c r="C139" s="14" t="s">
        <v>156</v>
      </c>
      <c r="D139" s="14" t="s">
        <v>23</v>
      </c>
      <c r="E139" s="14" t="b">
        <v>1</v>
      </c>
      <c r="F139" s="14" t="s">
        <v>27</v>
      </c>
      <c r="G139" s="14">
        <v>2</v>
      </c>
      <c r="H139" s="15">
        <v>46121</v>
      </c>
    </row>
    <row r="140" spans="1:8" x14ac:dyDescent="0.2">
      <c r="A140" s="14">
        <v>741</v>
      </c>
      <c r="B140" s="14" t="s">
        <v>246</v>
      </c>
      <c r="C140" s="14" t="s">
        <v>247</v>
      </c>
      <c r="D140" s="14" t="s">
        <v>23</v>
      </c>
      <c r="E140" s="14" t="b">
        <v>0</v>
      </c>
      <c r="F140" s="14" t="s">
        <v>27</v>
      </c>
      <c r="G140" s="14">
        <v>4</v>
      </c>
      <c r="H140" s="15">
        <v>46121</v>
      </c>
    </row>
    <row r="141" spans="1:8" x14ac:dyDescent="0.2">
      <c r="A141" s="14">
        <v>1298</v>
      </c>
      <c r="B141" s="14" t="s">
        <v>246</v>
      </c>
      <c r="C141" s="14" t="s">
        <v>132</v>
      </c>
      <c r="D141" s="14" t="s">
        <v>23</v>
      </c>
      <c r="E141" s="14" t="b">
        <v>1</v>
      </c>
      <c r="F141" s="14" t="s">
        <v>27</v>
      </c>
      <c r="G141" s="14">
        <v>13</v>
      </c>
      <c r="H141" s="15">
        <v>46121</v>
      </c>
    </row>
    <row r="142" spans="1:8" x14ac:dyDescent="0.2">
      <c r="A142" s="14">
        <v>747</v>
      </c>
      <c r="B142" s="14" t="s">
        <v>246</v>
      </c>
      <c r="C142" s="14" t="s">
        <v>22</v>
      </c>
      <c r="D142" s="14" t="s">
        <v>23</v>
      </c>
      <c r="E142" s="14" t="b">
        <v>0</v>
      </c>
      <c r="F142" s="14" t="s">
        <v>27</v>
      </c>
      <c r="G142" s="14">
        <v>1</v>
      </c>
      <c r="H142" s="15">
        <v>46121</v>
      </c>
    </row>
    <row r="143" spans="1:8" x14ac:dyDescent="0.2">
      <c r="A143" s="14">
        <v>1386</v>
      </c>
      <c r="B143" s="14" t="s">
        <v>246</v>
      </c>
      <c r="C143" s="14" t="s">
        <v>248</v>
      </c>
      <c r="D143" s="14" t="s">
        <v>23</v>
      </c>
      <c r="E143" s="14" t="b">
        <v>1</v>
      </c>
      <c r="F143" s="14" t="s">
        <v>35</v>
      </c>
      <c r="H143" s="15">
        <v>46121</v>
      </c>
    </row>
    <row r="144" spans="1:8" x14ac:dyDescent="0.2">
      <c r="A144" s="14">
        <v>564</v>
      </c>
      <c r="B144" s="14" t="s">
        <v>250</v>
      </c>
      <c r="C144" s="14" t="s">
        <v>34</v>
      </c>
      <c r="D144" s="14" t="s">
        <v>23</v>
      </c>
      <c r="E144" s="14" t="b">
        <v>0</v>
      </c>
      <c r="F144" s="14" t="s">
        <v>27</v>
      </c>
      <c r="G144" s="14">
        <v>7</v>
      </c>
      <c r="H144" s="15">
        <v>46121</v>
      </c>
    </row>
    <row r="145" spans="1:8" x14ac:dyDescent="0.2">
      <c r="A145" s="14">
        <v>1165</v>
      </c>
      <c r="B145" s="14" t="s">
        <v>251</v>
      </c>
      <c r="C145" s="14" t="s">
        <v>177</v>
      </c>
      <c r="D145" s="14" t="s">
        <v>23</v>
      </c>
      <c r="E145" s="14" t="b">
        <v>0</v>
      </c>
      <c r="F145" s="14" t="s">
        <v>27</v>
      </c>
      <c r="G145" s="14">
        <v>10</v>
      </c>
      <c r="H145" s="15">
        <v>46121</v>
      </c>
    </row>
    <row r="146" spans="1:8" x14ac:dyDescent="0.2">
      <c r="A146" s="14">
        <v>405</v>
      </c>
      <c r="B146" s="14" t="s">
        <v>252</v>
      </c>
      <c r="C146" s="14" t="s">
        <v>243</v>
      </c>
      <c r="D146" s="14" t="s">
        <v>23</v>
      </c>
      <c r="E146" s="14" t="b">
        <v>0</v>
      </c>
      <c r="F146" s="14" t="s">
        <v>27</v>
      </c>
      <c r="G146" s="14">
        <v>18</v>
      </c>
      <c r="H146" s="15">
        <v>46121</v>
      </c>
    </row>
    <row r="147" spans="1:8" x14ac:dyDescent="0.2">
      <c r="A147" s="14">
        <v>1346</v>
      </c>
      <c r="B147" s="14" t="s">
        <v>253</v>
      </c>
      <c r="C147" s="14" t="s">
        <v>254</v>
      </c>
      <c r="D147" s="14" t="s">
        <v>23</v>
      </c>
      <c r="E147" s="14" t="b">
        <v>0</v>
      </c>
      <c r="F147" s="14" t="s">
        <v>27</v>
      </c>
      <c r="G147" s="14">
        <v>20</v>
      </c>
      <c r="H147" s="15">
        <v>46121</v>
      </c>
    </row>
    <row r="148" spans="1:8" x14ac:dyDescent="0.2">
      <c r="A148" s="14">
        <v>1192</v>
      </c>
      <c r="B148" s="14" t="s">
        <v>255</v>
      </c>
      <c r="C148" s="14" t="s">
        <v>256</v>
      </c>
      <c r="D148" s="14" t="s">
        <v>23</v>
      </c>
      <c r="E148" s="14" t="b">
        <v>0</v>
      </c>
      <c r="F148" s="14" t="s">
        <v>27</v>
      </c>
      <c r="G148" s="14">
        <v>10</v>
      </c>
      <c r="H148" s="15">
        <v>46121</v>
      </c>
    </row>
    <row r="149" spans="1:8" x14ac:dyDescent="0.2">
      <c r="A149" s="14">
        <v>1157</v>
      </c>
      <c r="B149" s="14" t="s">
        <v>257</v>
      </c>
      <c r="C149" s="14" t="s">
        <v>100</v>
      </c>
      <c r="D149" s="14" t="s">
        <v>23</v>
      </c>
      <c r="E149" s="14" t="b">
        <v>0</v>
      </c>
      <c r="F149" s="14" t="s">
        <v>25</v>
      </c>
      <c r="H149" s="15">
        <v>46121</v>
      </c>
    </row>
    <row r="150" spans="1:8" x14ac:dyDescent="0.2">
      <c r="A150" s="14">
        <v>1359</v>
      </c>
      <c r="B150" s="14" t="s">
        <v>258</v>
      </c>
      <c r="C150" s="14" t="s">
        <v>49</v>
      </c>
      <c r="D150" s="14" t="s">
        <v>23</v>
      </c>
      <c r="E150" s="14" t="b">
        <v>0</v>
      </c>
      <c r="F150" s="14" t="s">
        <v>188</v>
      </c>
      <c r="H150" s="15">
        <v>46121</v>
      </c>
    </row>
    <row r="151" spans="1:8" x14ac:dyDescent="0.2">
      <c r="A151" s="14">
        <v>1360</v>
      </c>
      <c r="B151" s="14" t="s">
        <v>258</v>
      </c>
      <c r="C151" s="14" t="s">
        <v>259</v>
      </c>
      <c r="D151" s="14" t="s">
        <v>23</v>
      </c>
      <c r="E151" s="14" t="b">
        <v>1</v>
      </c>
      <c r="F151" s="14" t="s">
        <v>35</v>
      </c>
      <c r="H151" s="15">
        <v>46121</v>
      </c>
    </row>
    <row r="152" spans="1:8" x14ac:dyDescent="0.2">
      <c r="A152" s="14">
        <v>1357</v>
      </c>
      <c r="B152" s="14" t="s">
        <v>258</v>
      </c>
      <c r="C152" s="14" t="s">
        <v>34</v>
      </c>
      <c r="D152" s="14" t="s">
        <v>23</v>
      </c>
      <c r="E152" s="14" t="b">
        <v>0</v>
      </c>
      <c r="F152" s="14" t="s">
        <v>27</v>
      </c>
      <c r="G152" s="14">
        <v>5</v>
      </c>
      <c r="H152" s="15">
        <v>46121</v>
      </c>
    </row>
    <row r="153" spans="1:8" x14ac:dyDescent="0.2">
      <c r="A153" s="14">
        <v>1358</v>
      </c>
      <c r="B153" s="14" t="s">
        <v>258</v>
      </c>
      <c r="C153" s="14" t="s">
        <v>260</v>
      </c>
      <c r="D153" s="14" t="s">
        <v>23</v>
      </c>
      <c r="E153" s="14" t="b">
        <v>1</v>
      </c>
      <c r="F153" s="14" t="s">
        <v>27</v>
      </c>
      <c r="G153" s="14">
        <v>7</v>
      </c>
      <c r="H153" s="15">
        <v>46121</v>
      </c>
    </row>
    <row r="154" spans="1:8" x14ac:dyDescent="0.2">
      <c r="A154" s="14">
        <v>1390</v>
      </c>
      <c r="B154" s="14" t="s">
        <v>261</v>
      </c>
      <c r="C154" s="14" t="s">
        <v>262</v>
      </c>
      <c r="D154" s="14" t="s">
        <v>23</v>
      </c>
      <c r="E154" s="14" t="b">
        <v>0</v>
      </c>
      <c r="F154" s="14" t="s">
        <v>25</v>
      </c>
      <c r="H154" s="15">
        <v>46121</v>
      </c>
    </row>
    <row r="155" spans="1:8" x14ac:dyDescent="0.2">
      <c r="A155" s="14">
        <v>1107</v>
      </c>
      <c r="B155" s="14" t="s">
        <v>263</v>
      </c>
      <c r="C155" s="14" t="s">
        <v>264</v>
      </c>
      <c r="D155" s="14" t="s">
        <v>23</v>
      </c>
      <c r="E155" s="14" t="b">
        <v>1</v>
      </c>
      <c r="F155" s="14" t="s">
        <v>25</v>
      </c>
      <c r="H155" s="15">
        <v>46121</v>
      </c>
    </row>
    <row r="156" spans="1:8" x14ac:dyDescent="0.2">
      <c r="A156" s="14">
        <v>35</v>
      </c>
      <c r="B156" s="14" t="s">
        <v>265</v>
      </c>
      <c r="C156" s="14" t="s">
        <v>266</v>
      </c>
      <c r="D156" s="14" t="s">
        <v>23</v>
      </c>
      <c r="E156" s="14" t="b">
        <v>0</v>
      </c>
      <c r="F156" s="14" t="s">
        <v>27</v>
      </c>
      <c r="G156" s="14">
        <v>3</v>
      </c>
      <c r="H156" s="15">
        <v>46121</v>
      </c>
    </row>
    <row r="157" spans="1:8" x14ac:dyDescent="0.2">
      <c r="A157" s="14">
        <v>1094</v>
      </c>
      <c r="B157" s="14" t="s">
        <v>267</v>
      </c>
      <c r="C157" s="14" t="s">
        <v>268</v>
      </c>
      <c r="D157" s="14" t="s">
        <v>23</v>
      </c>
      <c r="E157" s="14" t="b">
        <v>0</v>
      </c>
      <c r="F157" s="14" t="s">
        <v>27</v>
      </c>
      <c r="G157" s="14">
        <v>12</v>
      </c>
      <c r="H157" s="15">
        <v>46121</v>
      </c>
    </row>
    <row r="158" spans="1:8" x14ac:dyDescent="0.2">
      <c r="A158" s="14">
        <v>1325</v>
      </c>
      <c r="B158" s="14" t="s">
        <v>269</v>
      </c>
      <c r="C158" s="14" t="s">
        <v>270</v>
      </c>
      <c r="D158" s="14" t="s">
        <v>23</v>
      </c>
      <c r="E158" s="14" t="b">
        <v>0</v>
      </c>
      <c r="F158" s="14" t="s">
        <v>27</v>
      </c>
      <c r="G158" s="14">
        <v>3</v>
      </c>
      <c r="H158" s="15">
        <v>46121</v>
      </c>
    </row>
    <row r="159" spans="1:8" x14ac:dyDescent="0.2">
      <c r="A159" s="14">
        <v>1143</v>
      </c>
      <c r="B159" s="14" t="s">
        <v>271</v>
      </c>
      <c r="C159" s="14" t="s">
        <v>247</v>
      </c>
      <c r="D159" s="14" t="s">
        <v>23</v>
      </c>
      <c r="E159" s="14" t="b">
        <v>0</v>
      </c>
      <c r="F159" s="14" t="s">
        <v>27</v>
      </c>
      <c r="G159" s="14">
        <v>3</v>
      </c>
      <c r="H159" s="15">
        <v>46121</v>
      </c>
    </row>
    <row r="160" spans="1:8" x14ac:dyDescent="0.2">
      <c r="A160" s="14">
        <v>1401</v>
      </c>
      <c r="B160" s="14" t="s">
        <v>272</v>
      </c>
      <c r="C160" s="14" t="s">
        <v>273</v>
      </c>
      <c r="D160" s="14" t="s">
        <v>23</v>
      </c>
      <c r="E160" s="14" t="b">
        <v>1</v>
      </c>
      <c r="F160" s="14" t="s">
        <v>25</v>
      </c>
      <c r="H160" s="15">
        <v>46121</v>
      </c>
    </row>
    <row r="161" spans="1:8" x14ac:dyDescent="0.2">
      <c r="A161" s="14">
        <v>1285</v>
      </c>
      <c r="B161" s="14" t="s">
        <v>274</v>
      </c>
      <c r="C161" s="14" t="s">
        <v>100</v>
      </c>
      <c r="D161" s="14" t="s">
        <v>23</v>
      </c>
      <c r="E161" s="14" t="b">
        <v>0</v>
      </c>
      <c r="F161" s="14" t="s">
        <v>25</v>
      </c>
      <c r="H161" s="15">
        <v>46121</v>
      </c>
    </row>
    <row r="162" spans="1:8" x14ac:dyDescent="0.2">
      <c r="A162" s="14">
        <v>38</v>
      </c>
      <c r="B162" s="14" t="s">
        <v>275</v>
      </c>
      <c r="C162" s="14" t="s">
        <v>276</v>
      </c>
      <c r="D162" s="14" t="s">
        <v>23</v>
      </c>
      <c r="E162" s="14" t="b">
        <v>0</v>
      </c>
      <c r="F162" s="14" t="s">
        <v>27</v>
      </c>
      <c r="G162" s="14">
        <v>13</v>
      </c>
      <c r="H162" s="15">
        <v>46121</v>
      </c>
    </row>
    <row r="163" spans="1:8" x14ac:dyDescent="0.2">
      <c r="A163" s="14">
        <v>245</v>
      </c>
      <c r="B163" s="14" t="s">
        <v>277</v>
      </c>
      <c r="C163" s="14" t="s">
        <v>234</v>
      </c>
      <c r="D163" s="14" t="s">
        <v>23</v>
      </c>
      <c r="E163" s="14" t="b">
        <v>0</v>
      </c>
      <c r="F163" s="14" t="s">
        <v>27</v>
      </c>
      <c r="G163" s="14">
        <v>10</v>
      </c>
      <c r="H163" s="15">
        <v>46121</v>
      </c>
    </row>
    <row r="164" spans="1:8" x14ac:dyDescent="0.2">
      <c r="A164" s="14">
        <v>39</v>
      </c>
      <c r="B164" s="14" t="s">
        <v>277</v>
      </c>
      <c r="C164" s="14" t="s">
        <v>278</v>
      </c>
      <c r="D164" s="14" t="s">
        <v>23</v>
      </c>
      <c r="E164" s="14" t="b">
        <v>0</v>
      </c>
      <c r="F164" s="14" t="s">
        <v>27</v>
      </c>
      <c r="G164" s="14">
        <v>43</v>
      </c>
      <c r="H164" s="15">
        <v>46121</v>
      </c>
    </row>
    <row r="165" spans="1:8" x14ac:dyDescent="0.2">
      <c r="A165" s="14">
        <v>508</v>
      </c>
      <c r="B165" s="14" t="s">
        <v>279</v>
      </c>
      <c r="C165" s="14" t="s">
        <v>59</v>
      </c>
      <c r="D165" s="14" t="s">
        <v>23</v>
      </c>
      <c r="E165" s="14" t="b">
        <v>0</v>
      </c>
      <c r="F165" s="14" t="s">
        <v>27</v>
      </c>
      <c r="G165" s="14">
        <v>31</v>
      </c>
      <c r="H165" s="15">
        <v>46121</v>
      </c>
    </row>
    <row r="166" spans="1:8" x14ac:dyDescent="0.2">
      <c r="A166" s="14">
        <v>1392</v>
      </c>
      <c r="B166" s="14" t="s">
        <v>284</v>
      </c>
      <c r="C166" s="14" t="s">
        <v>285</v>
      </c>
      <c r="D166" s="14" t="s">
        <v>23</v>
      </c>
      <c r="E166" s="14" t="b">
        <v>1</v>
      </c>
      <c r="F166" s="14" t="s">
        <v>25</v>
      </c>
      <c r="H166" s="15">
        <v>46121</v>
      </c>
    </row>
    <row r="167" spans="1:8" x14ac:dyDescent="0.2">
      <c r="A167" s="14">
        <v>1141</v>
      </c>
      <c r="B167" s="14" t="s">
        <v>286</v>
      </c>
      <c r="C167" s="14" t="s">
        <v>287</v>
      </c>
      <c r="D167" s="14" t="s">
        <v>23</v>
      </c>
      <c r="E167" s="14" t="b">
        <v>1</v>
      </c>
      <c r="F167" s="14" t="s">
        <v>27</v>
      </c>
      <c r="G167" s="14">
        <v>15</v>
      </c>
      <c r="H167" s="15">
        <v>46121</v>
      </c>
    </row>
    <row r="168" spans="1:8" x14ac:dyDescent="0.2">
      <c r="A168" s="14">
        <v>891</v>
      </c>
      <c r="B168" s="14" t="s">
        <v>288</v>
      </c>
      <c r="C168" s="14" t="s">
        <v>289</v>
      </c>
      <c r="D168" s="14" t="s">
        <v>23</v>
      </c>
      <c r="E168" s="14" t="b">
        <v>1</v>
      </c>
      <c r="F168" s="14" t="s">
        <v>25</v>
      </c>
      <c r="H168" s="15">
        <v>46121</v>
      </c>
    </row>
    <row r="169" spans="1:8" x14ac:dyDescent="0.2">
      <c r="A169" s="14">
        <v>1352</v>
      </c>
      <c r="B169" s="14" t="s">
        <v>290</v>
      </c>
      <c r="C169" s="14" t="s">
        <v>34</v>
      </c>
      <c r="D169" s="14" t="s">
        <v>23</v>
      </c>
      <c r="E169" s="14" t="b">
        <v>0</v>
      </c>
      <c r="F169" s="14" t="s">
        <v>27</v>
      </c>
      <c r="G169" s="14">
        <v>11</v>
      </c>
      <c r="H169" s="15">
        <v>46121</v>
      </c>
    </row>
    <row r="170" spans="1:8" x14ac:dyDescent="0.2">
      <c r="A170" s="14">
        <v>1339</v>
      </c>
      <c r="B170" s="14" t="s">
        <v>291</v>
      </c>
      <c r="C170" s="14" t="s">
        <v>292</v>
      </c>
      <c r="D170" s="14" t="s">
        <v>23</v>
      </c>
      <c r="E170" s="14" t="b">
        <v>0</v>
      </c>
      <c r="F170" s="14" t="s">
        <v>25</v>
      </c>
      <c r="H170" s="15">
        <v>46121</v>
      </c>
    </row>
    <row r="171" spans="1:8" x14ac:dyDescent="0.2">
      <c r="A171" s="14">
        <v>914</v>
      </c>
      <c r="B171" s="14" t="s">
        <v>293</v>
      </c>
      <c r="C171" s="14" t="s">
        <v>153</v>
      </c>
      <c r="D171" s="14" t="s">
        <v>23</v>
      </c>
      <c r="E171" s="14" t="b">
        <v>0</v>
      </c>
      <c r="F171" s="14" t="s">
        <v>27</v>
      </c>
      <c r="G171" s="14">
        <v>14</v>
      </c>
      <c r="H171" s="15">
        <v>46121</v>
      </c>
    </row>
    <row r="172" spans="1:8" x14ac:dyDescent="0.2">
      <c r="A172" s="14">
        <v>597</v>
      </c>
      <c r="B172" s="14" t="s">
        <v>294</v>
      </c>
      <c r="C172" s="14" t="s">
        <v>295</v>
      </c>
      <c r="D172" s="14" t="s">
        <v>23</v>
      </c>
      <c r="E172" s="14" t="b">
        <v>0</v>
      </c>
      <c r="F172" s="14" t="s">
        <v>27</v>
      </c>
      <c r="G172" s="14">
        <v>36</v>
      </c>
      <c r="H172" s="15">
        <v>46121</v>
      </c>
    </row>
    <row r="173" spans="1:8" x14ac:dyDescent="0.2">
      <c r="A173" s="14">
        <v>1038</v>
      </c>
      <c r="B173" s="14" t="s">
        <v>293</v>
      </c>
      <c r="C173" s="14" t="s">
        <v>51</v>
      </c>
      <c r="D173" s="14" t="s">
        <v>23</v>
      </c>
      <c r="E173" s="14" t="b">
        <v>0</v>
      </c>
      <c r="F173" s="14" t="s">
        <v>27</v>
      </c>
      <c r="G173" s="14">
        <v>12</v>
      </c>
      <c r="H173" s="15">
        <v>46121</v>
      </c>
    </row>
    <row r="174" spans="1:8" x14ac:dyDescent="0.2">
      <c r="A174" s="14">
        <v>1242</v>
      </c>
      <c r="B174" s="14" t="s">
        <v>297</v>
      </c>
      <c r="C174" s="14" t="s">
        <v>190</v>
      </c>
      <c r="D174" s="14" t="s">
        <v>23</v>
      </c>
      <c r="E174" s="14" t="b">
        <v>0</v>
      </c>
      <c r="F174" s="14" t="s">
        <v>27</v>
      </c>
      <c r="G174" s="14">
        <v>15</v>
      </c>
      <c r="H174" s="15">
        <v>46121</v>
      </c>
    </row>
    <row r="175" spans="1:8" x14ac:dyDescent="0.2">
      <c r="A175" s="14">
        <v>1048</v>
      </c>
      <c r="B175" s="14" t="s">
        <v>298</v>
      </c>
      <c r="C175" s="14" t="s">
        <v>268</v>
      </c>
      <c r="D175" s="14" t="s">
        <v>23</v>
      </c>
      <c r="E175" s="14" t="b">
        <v>0</v>
      </c>
      <c r="F175" s="14" t="s">
        <v>27</v>
      </c>
      <c r="G175" s="14">
        <v>16</v>
      </c>
      <c r="H175" s="15">
        <v>46121</v>
      </c>
    </row>
    <row r="176" spans="1:8" x14ac:dyDescent="0.2">
      <c r="A176" s="14">
        <v>1055</v>
      </c>
      <c r="B176" s="14" t="s">
        <v>298</v>
      </c>
      <c r="C176" s="14" t="s">
        <v>299</v>
      </c>
      <c r="D176" s="14" t="s">
        <v>23</v>
      </c>
      <c r="E176" s="14" t="b">
        <v>0</v>
      </c>
      <c r="F176" s="14" t="s">
        <v>27</v>
      </c>
      <c r="G176" s="14">
        <v>1</v>
      </c>
      <c r="H176" s="15">
        <v>46121</v>
      </c>
    </row>
    <row r="177" spans="1:8" x14ac:dyDescent="0.2">
      <c r="A177" s="14">
        <v>1095</v>
      </c>
      <c r="B177" s="14" t="s">
        <v>298</v>
      </c>
      <c r="C177" s="14" t="s">
        <v>300</v>
      </c>
      <c r="D177" s="14" t="s">
        <v>23</v>
      </c>
      <c r="E177" s="14" t="b">
        <v>0</v>
      </c>
      <c r="F177" s="14" t="s">
        <v>27</v>
      </c>
      <c r="G177" s="14">
        <v>33</v>
      </c>
      <c r="H177" s="15">
        <v>46121</v>
      </c>
    </row>
    <row r="178" spans="1:8" x14ac:dyDescent="0.2">
      <c r="A178" s="14">
        <v>820</v>
      </c>
      <c r="B178" s="14" t="s">
        <v>298</v>
      </c>
      <c r="C178" s="14" t="s">
        <v>139</v>
      </c>
      <c r="D178" s="14" t="s">
        <v>23</v>
      </c>
      <c r="E178" s="14" t="b">
        <v>1</v>
      </c>
      <c r="F178" s="14" t="s">
        <v>27</v>
      </c>
      <c r="G178" s="14">
        <v>6</v>
      </c>
      <c r="H178" s="15">
        <v>46121</v>
      </c>
    </row>
    <row r="179" spans="1:8" x14ac:dyDescent="0.2">
      <c r="A179" s="14">
        <v>687</v>
      </c>
      <c r="B179" s="14" t="s">
        <v>298</v>
      </c>
      <c r="C179" s="14" t="s">
        <v>301</v>
      </c>
      <c r="D179" s="14" t="s">
        <v>23</v>
      </c>
      <c r="E179" s="14" t="b">
        <v>0</v>
      </c>
      <c r="F179" s="14" t="s">
        <v>27</v>
      </c>
      <c r="G179" s="14">
        <v>7</v>
      </c>
      <c r="H179" s="15">
        <v>46121</v>
      </c>
    </row>
    <row r="180" spans="1:8" x14ac:dyDescent="0.2">
      <c r="A180" s="14">
        <v>1420</v>
      </c>
      <c r="B180" s="14" t="s">
        <v>302</v>
      </c>
      <c r="C180" s="14" t="s">
        <v>212</v>
      </c>
      <c r="D180" s="14" t="s">
        <v>23</v>
      </c>
      <c r="E180" s="14" t="b">
        <v>1</v>
      </c>
      <c r="F180" s="14" t="s">
        <v>27</v>
      </c>
      <c r="G180" s="14">
        <v>15</v>
      </c>
      <c r="H180" s="15">
        <v>46121</v>
      </c>
    </row>
    <row r="181" spans="1:8" x14ac:dyDescent="0.2">
      <c r="A181" s="14">
        <v>1410</v>
      </c>
      <c r="B181" s="14" t="s">
        <v>104</v>
      </c>
      <c r="C181" s="14" t="s">
        <v>303</v>
      </c>
      <c r="D181" s="14" t="s">
        <v>23</v>
      </c>
      <c r="E181" s="14" t="b">
        <v>0</v>
      </c>
      <c r="F181" s="14" t="s">
        <v>25</v>
      </c>
      <c r="H181" s="15">
        <v>46121</v>
      </c>
    </row>
    <row r="182" spans="1:8" x14ac:dyDescent="0.2">
      <c r="A182" s="14">
        <v>1161</v>
      </c>
      <c r="B182" s="14" t="s">
        <v>304</v>
      </c>
      <c r="C182" s="14" t="s">
        <v>305</v>
      </c>
      <c r="D182" s="14" t="s">
        <v>23</v>
      </c>
      <c r="E182" s="14" t="b">
        <v>0</v>
      </c>
      <c r="F182" s="14" t="s">
        <v>25</v>
      </c>
      <c r="H182" s="15">
        <v>46121</v>
      </c>
    </row>
    <row r="183" spans="1:8" x14ac:dyDescent="0.2">
      <c r="A183" s="14">
        <v>890</v>
      </c>
      <c r="B183" s="14" t="s">
        <v>306</v>
      </c>
      <c r="C183" s="14" t="s">
        <v>307</v>
      </c>
      <c r="D183" s="14" t="s">
        <v>54</v>
      </c>
      <c r="E183" s="14" t="b">
        <v>0</v>
      </c>
      <c r="F183" s="14" t="s">
        <v>27</v>
      </c>
      <c r="G183" s="14">
        <v>23</v>
      </c>
      <c r="H183" s="15">
        <v>46121</v>
      </c>
    </row>
    <row r="184" spans="1:8" x14ac:dyDescent="0.2">
      <c r="A184" s="14">
        <v>1166</v>
      </c>
      <c r="B184" s="14" t="s">
        <v>308</v>
      </c>
      <c r="C184" s="14" t="s">
        <v>143</v>
      </c>
      <c r="D184" s="14" t="s">
        <v>54</v>
      </c>
      <c r="E184" s="14" t="b">
        <v>0</v>
      </c>
      <c r="F184" s="14" t="s">
        <v>27</v>
      </c>
      <c r="G184" s="14">
        <v>5</v>
      </c>
      <c r="H184" s="15">
        <v>46121</v>
      </c>
    </row>
    <row r="185" spans="1:8" x14ac:dyDescent="0.2">
      <c r="A185" s="14">
        <v>45</v>
      </c>
      <c r="B185" s="14" t="s">
        <v>309</v>
      </c>
      <c r="C185" s="14" t="s">
        <v>310</v>
      </c>
      <c r="D185" s="14" t="s">
        <v>23</v>
      </c>
      <c r="E185" s="14" t="b">
        <v>0</v>
      </c>
      <c r="F185" s="14" t="s">
        <v>27</v>
      </c>
      <c r="G185" s="14">
        <v>20</v>
      </c>
      <c r="H185" s="15">
        <v>46121</v>
      </c>
    </row>
    <row r="186" spans="1:8" x14ac:dyDescent="0.2">
      <c r="A186" s="14">
        <v>1160</v>
      </c>
      <c r="B186" s="14" t="s">
        <v>311</v>
      </c>
      <c r="C186" s="14" t="s">
        <v>312</v>
      </c>
      <c r="D186" s="14" t="s">
        <v>23</v>
      </c>
      <c r="E186" s="14" t="b">
        <v>0</v>
      </c>
      <c r="F186" s="14" t="s">
        <v>25</v>
      </c>
      <c r="H186" s="15">
        <v>46121</v>
      </c>
    </row>
    <row r="187" spans="1:8" x14ac:dyDescent="0.2">
      <c r="A187" s="14">
        <v>945</v>
      </c>
      <c r="B187" s="14" t="s">
        <v>313</v>
      </c>
      <c r="C187" s="14" t="s">
        <v>49</v>
      </c>
      <c r="D187" s="14" t="s">
        <v>23</v>
      </c>
      <c r="E187" s="14" t="b">
        <v>0</v>
      </c>
      <c r="F187" s="14" t="s">
        <v>25</v>
      </c>
      <c r="H187" s="15">
        <v>46121</v>
      </c>
    </row>
    <row r="188" spans="1:8" x14ac:dyDescent="0.2">
      <c r="A188" s="14">
        <v>813</v>
      </c>
      <c r="B188" s="14" t="s">
        <v>313</v>
      </c>
      <c r="C188" s="14" t="s">
        <v>289</v>
      </c>
      <c r="D188" s="14" t="s">
        <v>23</v>
      </c>
      <c r="E188" s="14" t="b">
        <v>1</v>
      </c>
      <c r="F188" s="14" t="s">
        <v>27</v>
      </c>
      <c r="G188" s="14">
        <v>7</v>
      </c>
      <c r="H188" s="15">
        <v>46121</v>
      </c>
    </row>
    <row r="189" spans="1:8" x14ac:dyDescent="0.2">
      <c r="A189" s="14">
        <v>812</v>
      </c>
      <c r="B189" s="14" t="s">
        <v>313</v>
      </c>
      <c r="C189" s="14" t="s">
        <v>170</v>
      </c>
      <c r="D189" s="14" t="s">
        <v>23</v>
      </c>
      <c r="E189" s="14" t="b">
        <v>0</v>
      </c>
      <c r="F189" s="14" t="s">
        <v>27</v>
      </c>
      <c r="G189" s="14">
        <v>9</v>
      </c>
      <c r="H189" s="15">
        <v>46121</v>
      </c>
    </row>
    <row r="190" spans="1:8" x14ac:dyDescent="0.2">
      <c r="A190" s="14">
        <v>1129</v>
      </c>
      <c r="B190" s="14" t="s">
        <v>314</v>
      </c>
      <c r="C190" s="14" t="s">
        <v>315</v>
      </c>
      <c r="D190" s="14" t="s">
        <v>23</v>
      </c>
      <c r="E190" s="14" t="b">
        <v>0</v>
      </c>
      <c r="F190" s="14" t="s">
        <v>27</v>
      </c>
      <c r="G190" s="14">
        <v>12</v>
      </c>
      <c r="H190" s="15">
        <v>46121</v>
      </c>
    </row>
    <row r="191" spans="1:8" x14ac:dyDescent="0.2">
      <c r="A191" s="14">
        <v>915</v>
      </c>
      <c r="B191" s="14" t="s">
        <v>316</v>
      </c>
      <c r="C191" s="14" t="s">
        <v>241</v>
      </c>
      <c r="D191" s="14" t="s">
        <v>23</v>
      </c>
      <c r="E191" s="14" t="b">
        <v>0</v>
      </c>
      <c r="F191" s="14" t="s">
        <v>27</v>
      </c>
      <c r="G191" s="14">
        <v>8</v>
      </c>
      <c r="H191" s="15">
        <v>46121</v>
      </c>
    </row>
    <row r="192" spans="1:8" x14ac:dyDescent="0.2">
      <c r="A192" s="14">
        <v>860</v>
      </c>
      <c r="B192" s="14" t="s">
        <v>321</v>
      </c>
      <c r="C192" s="14" t="s">
        <v>215</v>
      </c>
      <c r="D192" s="14" t="s">
        <v>23</v>
      </c>
      <c r="E192" s="14" t="b">
        <v>1</v>
      </c>
      <c r="F192" s="14" t="s">
        <v>25</v>
      </c>
      <c r="H192" s="15">
        <v>46121</v>
      </c>
    </row>
    <row r="193" spans="1:8" x14ac:dyDescent="0.2">
      <c r="A193" s="14">
        <v>756</v>
      </c>
      <c r="B193" s="14" t="s">
        <v>321</v>
      </c>
      <c r="C193" s="14" t="s">
        <v>322</v>
      </c>
      <c r="D193" s="14" t="s">
        <v>23</v>
      </c>
      <c r="E193" s="14" t="b">
        <v>0</v>
      </c>
      <c r="F193" s="14" t="s">
        <v>25</v>
      </c>
      <c r="H193" s="15">
        <v>46121</v>
      </c>
    </row>
    <row r="194" spans="1:8" x14ac:dyDescent="0.2">
      <c r="A194" s="14">
        <v>407</v>
      </c>
      <c r="B194" s="14" t="s">
        <v>321</v>
      </c>
      <c r="C194" s="14" t="s">
        <v>323</v>
      </c>
      <c r="D194" s="14" t="s">
        <v>23</v>
      </c>
      <c r="E194" s="14" t="b">
        <v>0</v>
      </c>
      <c r="F194" s="14" t="s">
        <v>27</v>
      </c>
      <c r="G194" s="14">
        <v>5</v>
      </c>
      <c r="H194" s="15">
        <v>46121</v>
      </c>
    </row>
    <row r="195" spans="1:8" x14ac:dyDescent="0.2">
      <c r="A195" s="14">
        <v>1312</v>
      </c>
      <c r="B195" s="14" t="s">
        <v>329</v>
      </c>
      <c r="C195" s="14" t="s">
        <v>287</v>
      </c>
      <c r="D195" s="14" t="s">
        <v>23</v>
      </c>
      <c r="E195" s="14" t="b">
        <v>1</v>
      </c>
      <c r="F195" s="14" t="s">
        <v>27</v>
      </c>
      <c r="G195" s="14">
        <v>35</v>
      </c>
      <c r="H195" s="15">
        <v>46121</v>
      </c>
    </row>
    <row r="196" spans="1:8" x14ac:dyDescent="0.2">
      <c r="A196" s="14">
        <v>935</v>
      </c>
      <c r="B196" s="14" t="s">
        <v>330</v>
      </c>
      <c r="C196" s="14" t="s">
        <v>245</v>
      </c>
      <c r="D196" s="14" t="s">
        <v>23</v>
      </c>
      <c r="E196" s="14" t="b">
        <v>1</v>
      </c>
      <c r="F196" s="14" t="s">
        <v>25</v>
      </c>
      <c r="H196" s="15">
        <v>46121</v>
      </c>
    </row>
    <row r="197" spans="1:8" x14ac:dyDescent="0.2">
      <c r="A197" s="14">
        <v>999</v>
      </c>
      <c r="B197" s="14" t="s">
        <v>330</v>
      </c>
      <c r="C197" s="14" t="s">
        <v>331</v>
      </c>
      <c r="D197" s="14" t="s">
        <v>23</v>
      </c>
      <c r="E197" s="14" t="b">
        <v>1</v>
      </c>
      <c r="F197" s="14" t="s">
        <v>25</v>
      </c>
      <c r="H197" s="15">
        <v>46121</v>
      </c>
    </row>
    <row r="198" spans="1:8" x14ac:dyDescent="0.2">
      <c r="A198" s="14">
        <v>998</v>
      </c>
      <c r="B198" s="14" t="s">
        <v>330</v>
      </c>
      <c r="C198" s="14" t="s">
        <v>332</v>
      </c>
      <c r="D198" s="14" t="s">
        <v>23</v>
      </c>
      <c r="E198" s="14" t="b">
        <v>1</v>
      </c>
      <c r="F198" s="14" t="s">
        <v>27</v>
      </c>
      <c r="G198" s="14">
        <v>5</v>
      </c>
      <c r="H198" s="15">
        <v>46121</v>
      </c>
    </row>
    <row r="199" spans="1:8" x14ac:dyDescent="0.2">
      <c r="A199" s="14">
        <v>616</v>
      </c>
      <c r="B199" s="14" t="s">
        <v>330</v>
      </c>
      <c r="C199" s="14" t="s">
        <v>41</v>
      </c>
      <c r="D199" s="14" t="s">
        <v>23</v>
      </c>
      <c r="E199" s="14" t="b">
        <v>0</v>
      </c>
      <c r="F199" s="14" t="s">
        <v>27</v>
      </c>
      <c r="G199" s="14">
        <v>7</v>
      </c>
      <c r="H199" s="15">
        <v>46121</v>
      </c>
    </row>
    <row r="200" spans="1:8" x14ac:dyDescent="0.2">
      <c r="A200" s="14">
        <v>558</v>
      </c>
      <c r="B200" s="14" t="s">
        <v>333</v>
      </c>
      <c r="C200" s="14" t="s">
        <v>334</v>
      </c>
      <c r="D200" s="14" t="s">
        <v>23</v>
      </c>
      <c r="E200" s="14" t="b">
        <v>0</v>
      </c>
      <c r="F200" s="14" t="s">
        <v>27</v>
      </c>
      <c r="G200" s="14">
        <v>15</v>
      </c>
      <c r="H200" s="15">
        <v>46121</v>
      </c>
    </row>
    <row r="201" spans="1:8" x14ac:dyDescent="0.2">
      <c r="A201" s="14">
        <v>991</v>
      </c>
      <c r="B201" s="14" t="s">
        <v>335</v>
      </c>
      <c r="C201" s="14" t="s">
        <v>184</v>
      </c>
      <c r="D201" s="14" t="s">
        <v>23</v>
      </c>
      <c r="E201" s="14" t="b">
        <v>1</v>
      </c>
      <c r="F201" s="14" t="s">
        <v>35</v>
      </c>
      <c r="H201" s="15">
        <v>46121</v>
      </c>
    </row>
    <row r="202" spans="1:8" x14ac:dyDescent="0.2">
      <c r="A202" s="14">
        <v>359</v>
      </c>
      <c r="B202" s="14" t="s">
        <v>336</v>
      </c>
      <c r="C202" s="14" t="s">
        <v>26</v>
      </c>
      <c r="D202" s="14" t="s">
        <v>23</v>
      </c>
      <c r="E202" s="14" t="b">
        <v>0</v>
      </c>
      <c r="F202" s="14" t="s">
        <v>27</v>
      </c>
      <c r="G202" s="14">
        <v>24</v>
      </c>
      <c r="H202" s="15">
        <v>46121</v>
      </c>
    </row>
    <row r="203" spans="1:8" x14ac:dyDescent="0.2">
      <c r="A203" s="14">
        <v>1310</v>
      </c>
      <c r="B203" s="14" t="s">
        <v>337</v>
      </c>
      <c r="C203" s="14" t="s">
        <v>311</v>
      </c>
      <c r="D203" s="14" t="s">
        <v>23</v>
      </c>
      <c r="E203" s="14" t="b">
        <v>0</v>
      </c>
      <c r="F203" s="14" t="s">
        <v>25</v>
      </c>
      <c r="H203" s="15">
        <v>46121</v>
      </c>
    </row>
    <row r="204" spans="1:8" x14ac:dyDescent="0.2">
      <c r="A204" s="14">
        <v>1200</v>
      </c>
      <c r="B204" s="14" t="s">
        <v>338</v>
      </c>
      <c r="C204" s="14" t="s">
        <v>339</v>
      </c>
      <c r="D204" s="14" t="s">
        <v>23</v>
      </c>
      <c r="E204" s="14" t="b">
        <v>0</v>
      </c>
      <c r="F204" s="14" t="s">
        <v>27</v>
      </c>
      <c r="G204" s="14">
        <v>6</v>
      </c>
      <c r="H204" s="15">
        <v>46121</v>
      </c>
    </row>
    <row r="205" spans="1:8" x14ac:dyDescent="0.2">
      <c r="A205" s="14">
        <v>1411</v>
      </c>
      <c r="B205" s="14" t="s">
        <v>338</v>
      </c>
      <c r="C205" s="14" t="s">
        <v>72</v>
      </c>
      <c r="D205" s="14" t="s">
        <v>23</v>
      </c>
      <c r="E205" s="14" t="b">
        <v>1</v>
      </c>
      <c r="F205" s="14" t="s">
        <v>27</v>
      </c>
      <c r="G205" s="14">
        <v>3</v>
      </c>
      <c r="H205" s="15">
        <v>46121</v>
      </c>
    </row>
    <row r="206" spans="1:8" x14ac:dyDescent="0.2">
      <c r="A206" s="14">
        <v>1412</v>
      </c>
      <c r="B206" s="14" t="s">
        <v>338</v>
      </c>
      <c r="C206" s="14" t="s">
        <v>340</v>
      </c>
      <c r="D206" s="14" t="s">
        <v>23</v>
      </c>
      <c r="E206" s="14" t="b">
        <v>1</v>
      </c>
      <c r="F206" s="14" t="s">
        <v>188</v>
      </c>
      <c r="H206" s="15">
        <v>46121</v>
      </c>
    </row>
    <row r="207" spans="1:8" x14ac:dyDescent="0.2">
      <c r="A207" s="14">
        <v>1413</v>
      </c>
      <c r="B207" s="14" t="s">
        <v>338</v>
      </c>
      <c r="C207" s="14" t="s">
        <v>214</v>
      </c>
      <c r="D207" s="14" t="s">
        <v>23</v>
      </c>
      <c r="E207" s="14" t="b">
        <v>0</v>
      </c>
      <c r="F207" s="14" t="s">
        <v>188</v>
      </c>
      <c r="H207" s="15">
        <v>46121</v>
      </c>
    </row>
    <row r="208" spans="1:8" x14ac:dyDescent="0.2">
      <c r="A208" s="14">
        <v>1376</v>
      </c>
      <c r="B208" s="14" t="s">
        <v>192</v>
      </c>
      <c r="C208" s="14" t="s">
        <v>127</v>
      </c>
      <c r="D208" s="14" t="s">
        <v>23</v>
      </c>
      <c r="E208" s="14" t="b">
        <v>1</v>
      </c>
      <c r="F208" s="14" t="s">
        <v>25</v>
      </c>
      <c r="H208" s="15">
        <v>46121</v>
      </c>
    </row>
    <row r="209" spans="1:8" x14ac:dyDescent="0.2">
      <c r="A209" s="14">
        <v>1140</v>
      </c>
      <c r="B209" s="14" t="s">
        <v>341</v>
      </c>
      <c r="C209" s="14" t="s">
        <v>243</v>
      </c>
      <c r="D209" s="14" t="s">
        <v>23</v>
      </c>
      <c r="E209" s="14" t="b">
        <v>0</v>
      </c>
      <c r="F209" s="14" t="s">
        <v>25</v>
      </c>
      <c r="H209" s="15">
        <v>46121</v>
      </c>
    </row>
    <row r="210" spans="1:8" x14ac:dyDescent="0.2">
      <c r="A210" s="14">
        <v>989</v>
      </c>
      <c r="B210" s="14" t="s">
        <v>342</v>
      </c>
      <c r="C210" s="14" t="s">
        <v>343</v>
      </c>
      <c r="D210" s="14" t="s">
        <v>23</v>
      </c>
      <c r="E210" s="14" t="b">
        <v>0</v>
      </c>
      <c r="F210" s="14" t="s">
        <v>27</v>
      </c>
      <c r="G210" s="14">
        <v>3</v>
      </c>
      <c r="H210" s="15">
        <v>46121</v>
      </c>
    </row>
    <row r="211" spans="1:8" x14ac:dyDescent="0.2">
      <c r="A211" s="14">
        <v>1417</v>
      </c>
      <c r="B211" s="14" t="s">
        <v>344</v>
      </c>
      <c r="C211" s="14" t="s">
        <v>345</v>
      </c>
      <c r="D211" s="14" t="s">
        <v>23</v>
      </c>
      <c r="E211" s="14" t="b">
        <v>1</v>
      </c>
      <c r="F211" s="14" t="s">
        <v>27</v>
      </c>
      <c r="G211" s="14">
        <v>17</v>
      </c>
      <c r="H211" s="15">
        <v>46121</v>
      </c>
    </row>
    <row r="212" spans="1:8" x14ac:dyDescent="0.2">
      <c r="A212" s="14">
        <v>52</v>
      </c>
      <c r="B212" s="14" t="s">
        <v>346</v>
      </c>
      <c r="C212" s="14" t="s">
        <v>192</v>
      </c>
      <c r="D212" s="14" t="s">
        <v>23</v>
      </c>
      <c r="E212" s="14" t="b">
        <v>0</v>
      </c>
      <c r="F212" s="14" t="s">
        <v>25</v>
      </c>
      <c r="H212" s="15">
        <v>46121</v>
      </c>
    </row>
    <row r="213" spans="1:8" x14ac:dyDescent="0.2">
      <c r="A213" s="14">
        <v>62</v>
      </c>
      <c r="B213" s="14" t="s">
        <v>344</v>
      </c>
      <c r="C213" s="14" t="s">
        <v>234</v>
      </c>
      <c r="D213" s="14" t="s">
        <v>23</v>
      </c>
      <c r="E213" s="14" t="b">
        <v>0</v>
      </c>
      <c r="F213" s="14" t="s">
        <v>27</v>
      </c>
      <c r="G213" s="14">
        <v>4</v>
      </c>
      <c r="H213" s="15">
        <v>46121</v>
      </c>
    </row>
    <row r="214" spans="1:8" x14ac:dyDescent="0.2">
      <c r="A214" s="14">
        <v>930</v>
      </c>
      <c r="B214" s="14" t="s">
        <v>347</v>
      </c>
      <c r="C214" s="14" t="s">
        <v>348</v>
      </c>
      <c r="D214" s="14" t="s">
        <v>23</v>
      </c>
      <c r="E214" s="14" t="b">
        <v>1</v>
      </c>
      <c r="F214" s="14" t="s">
        <v>27</v>
      </c>
      <c r="G214" s="14">
        <v>6</v>
      </c>
      <c r="H214" s="15">
        <v>46121</v>
      </c>
    </row>
    <row r="215" spans="1:8" x14ac:dyDescent="0.2">
      <c r="A215" s="14">
        <v>1254</v>
      </c>
      <c r="B215" s="14" t="s">
        <v>349</v>
      </c>
      <c r="C215" s="14" t="s">
        <v>51</v>
      </c>
      <c r="D215" s="14" t="s">
        <v>23</v>
      </c>
      <c r="E215" s="14" t="b">
        <v>0</v>
      </c>
      <c r="F215" s="14" t="s">
        <v>27</v>
      </c>
      <c r="G215" s="14">
        <v>21</v>
      </c>
      <c r="H215" s="15">
        <v>46121</v>
      </c>
    </row>
    <row r="216" spans="1:8" x14ac:dyDescent="0.2">
      <c r="A216" s="14">
        <v>744</v>
      </c>
      <c r="B216" s="14" t="s">
        <v>350</v>
      </c>
      <c r="C216" s="14" t="s">
        <v>351</v>
      </c>
      <c r="D216" s="14" t="s">
        <v>23</v>
      </c>
      <c r="E216" s="14" t="b">
        <v>0</v>
      </c>
      <c r="F216" s="14" t="s">
        <v>27</v>
      </c>
      <c r="G216" s="14">
        <v>28</v>
      </c>
      <c r="H216" s="15">
        <v>46121</v>
      </c>
    </row>
    <row r="217" spans="1:8" x14ac:dyDescent="0.2">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03515625" defaultRowHeight="15" x14ac:dyDescent="0.2"/>
  <cols>
    <col min="1" max="7" width="9.03515625" style="16"/>
    <col min="8" max="8" width="10.24609375" style="16" bestFit="1" customWidth="1"/>
    <col min="9" max="16384" width="9.03515625" style="16"/>
  </cols>
  <sheetData>
    <row r="1" spans="1:8" x14ac:dyDescent="0.2">
      <c r="A1" s="16" t="s">
        <v>13</v>
      </c>
      <c r="B1" s="16" t="s">
        <v>14</v>
      </c>
      <c r="C1" s="16" t="s">
        <v>15</v>
      </c>
      <c r="D1" s="16" t="s">
        <v>16</v>
      </c>
      <c r="E1" s="16" t="s">
        <v>17</v>
      </c>
      <c r="F1" s="16" t="s">
        <v>18</v>
      </c>
      <c r="G1" s="16" t="s">
        <v>19</v>
      </c>
      <c r="H1" s="16" t="s">
        <v>20</v>
      </c>
    </row>
    <row r="2" spans="1:8" x14ac:dyDescent="0.2">
      <c r="A2" s="16">
        <v>1327</v>
      </c>
      <c r="B2" s="16" t="s">
        <v>21</v>
      </c>
      <c r="C2" s="16" t="s">
        <v>22</v>
      </c>
      <c r="D2" s="16" t="s">
        <v>23</v>
      </c>
      <c r="E2" s="16" t="b">
        <v>0</v>
      </c>
      <c r="F2" s="16" t="s">
        <v>25</v>
      </c>
      <c r="H2" s="17">
        <v>46125</v>
      </c>
    </row>
    <row r="3" spans="1:8" x14ac:dyDescent="0.2">
      <c r="A3" s="16">
        <v>1237</v>
      </c>
      <c r="B3" s="16" t="s">
        <v>21</v>
      </c>
      <c r="C3" s="16" t="s">
        <v>26</v>
      </c>
      <c r="D3" s="16" t="s">
        <v>23</v>
      </c>
      <c r="E3" s="16" t="b">
        <v>0</v>
      </c>
      <c r="F3" s="16" t="s">
        <v>27</v>
      </c>
      <c r="G3" s="16">
        <v>1</v>
      </c>
      <c r="H3" s="17">
        <v>46125</v>
      </c>
    </row>
    <row r="4" spans="1:8" x14ac:dyDescent="0.2">
      <c r="A4" s="16">
        <v>819</v>
      </c>
      <c r="B4" s="16" t="s">
        <v>28</v>
      </c>
      <c r="C4" s="16" t="s">
        <v>29</v>
      </c>
      <c r="D4" s="16" t="s">
        <v>23</v>
      </c>
      <c r="E4" s="16" t="b">
        <v>1</v>
      </c>
      <c r="F4" s="16" t="s">
        <v>27</v>
      </c>
      <c r="G4" s="16">
        <v>23</v>
      </c>
      <c r="H4" s="17">
        <v>46125</v>
      </c>
    </row>
    <row r="5" spans="1:8" x14ac:dyDescent="0.2">
      <c r="A5" s="16">
        <v>2</v>
      </c>
      <c r="B5" s="16" t="s">
        <v>31</v>
      </c>
      <c r="C5" s="16" t="s">
        <v>32</v>
      </c>
      <c r="D5" s="16" t="s">
        <v>23</v>
      </c>
      <c r="E5" s="16" t="b">
        <v>0</v>
      </c>
      <c r="F5" s="16" t="s">
        <v>27</v>
      </c>
      <c r="G5" s="16">
        <v>21</v>
      </c>
      <c r="H5" s="17">
        <v>46125</v>
      </c>
    </row>
    <row r="6" spans="1:8" x14ac:dyDescent="0.2">
      <c r="A6" s="16">
        <v>1370</v>
      </c>
      <c r="B6" s="16" t="s">
        <v>33</v>
      </c>
      <c r="C6" s="16" t="s">
        <v>34</v>
      </c>
      <c r="D6" s="16" t="s">
        <v>23</v>
      </c>
      <c r="E6" s="16" t="b">
        <v>0</v>
      </c>
      <c r="F6" s="16" t="s">
        <v>27</v>
      </c>
      <c r="G6" s="16">
        <v>4</v>
      </c>
      <c r="H6" s="17">
        <v>46125</v>
      </c>
    </row>
    <row r="7" spans="1:8" x14ac:dyDescent="0.2">
      <c r="A7" s="16">
        <v>1415</v>
      </c>
      <c r="B7" s="16" t="s">
        <v>33</v>
      </c>
      <c r="C7" s="16" t="s">
        <v>22</v>
      </c>
      <c r="D7" s="16" t="s">
        <v>23</v>
      </c>
      <c r="E7" s="16" t="b">
        <v>0</v>
      </c>
      <c r="F7" s="16" t="s">
        <v>35</v>
      </c>
      <c r="H7" s="17">
        <v>46125</v>
      </c>
    </row>
    <row r="8" spans="1:8" x14ac:dyDescent="0.2">
      <c r="A8" s="16">
        <v>1286</v>
      </c>
      <c r="B8" s="16" t="s">
        <v>36</v>
      </c>
      <c r="C8" s="16" t="s">
        <v>34</v>
      </c>
      <c r="D8" s="16" t="s">
        <v>23</v>
      </c>
      <c r="E8" s="16" t="b">
        <v>0</v>
      </c>
      <c r="F8" s="16" t="s">
        <v>27</v>
      </c>
      <c r="G8" s="16">
        <v>13</v>
      </c>
      <c r="H8" s="17">
        <v>46125</v>
      </c>
    </row>
    <row r="9" spans="1:8" x14ac:dyDescent="0.2">
      <c r="A9" s="16">
        <v>1381</v>
      </c>
      <c r="B9" s="16" t="s">
        <v>36</v>
      </c>
      <c r="C9" s="16" t="s">
        <v>37</v>
      </c>
      <c r="D9" s="16" t="s">
        <v>23</v>
      </c>
      <c r="E9" s="16" t="b">
        <v>0</v>
      </c>
      <c r="F9" s="16" t="s">
        <v>25</v>
      </c>
      <c r="H9" s="17">
        <v>46125</v>
      </c>
    </row>
    <row r="10" spans="1:8" x14ac:dyDescent="0.2">
      <c r="A10" s="16">
        <v>1112</v>
      </c>
      <c r="B10" s="16" t="s">
        <v>38</v>
      </c>
      <c r="C10" s="16" t="s">
        <v>39</v>
      </c>
      <c r="D10" s="16" t="s">
        <v>23</v>
      </c>
      <c r="E10" s="16" t="b">
        <v>0</v>
      </c>
      <c r="F10" s="16" t="s">
        <v>27</v>
      </c>
      <c r="G10" s="16">
        <v>16</v>
      </c>
      <c r="H10" s="17">
        <v>46125</v>
      </c>
    </row>
    <row r="11" spans="1:8" x14ac:dyDescent="0.2">
      <c r="A11" s="16">
        <v>1135</v>
      </c>
      <c r="B11" s="16" t="s">
        <v>40</v>
      </c>
      <c r="C11" s="16" t="s">
        <v>41</v>
      </c>
      <c r="D11" s="16" t="s">
        <v>23</v>
      </c>
      <c r="E11" s="16" t="b">
        <v>0</v>
      </c>
      <c r="F11" s="16" t="s">
        <v>27</v>
      </c>
      <c r="G11" s="16">
        <v>1</v>
      </c>
      <c r="H11" s="17">
        <v>46125</v>
      </c>
    </row>
    <row r="12" spans="1:8" x14ac:dyDescent="0.2">
      <c r="A12" s="16">
        <v>982</v>
      </c>
      <c r="B12" s="16" t="s">
        <v>42</v>
      </c>
      <c r="C12" s="16" t="s">
        <v>32</v>
      </c>
      <c r="D12" s="16" t="s">
        <v>23</v>
      </c>
      <c r="E12" s="16" t="b">
        <v>0</v>
      </c>
      <c r="F12" s="16" t="s">
        <v>27</v>
      </c>
      <c r="G12" s="16">
        <v>22</v>
      </c>
      <c r="H12" s="17">
        <v>46125</v>
      </c>
    </row>
    <row r="13" spans="1:8" x14ac:dyDescent="0.2">
      <c r="A13" s="16">
        <v>1328</v>
      </c>
      <c r="B13" s="16" t="s">
        <v>43</v>
      </c>
      <c r="C13" s="16" t="s">
        <v>44</v>
      </c>
      <c r="D13" s="16" t="s">
        <v>23</v>
      </c>
      <c r="E13" s="16" t="b">
        <v>0</v>
      </c>
      <c r="F13" s="16" t="s">
        <v>27</v>
      </c>
      <c r="G13" s="16">
        <v>4</v>
      </c>
      <c r="H13" s="17">
        <v>46125</v>
      </c>
    </row>
    <row r="14" spans="1:8" x14ac:dyDescent="0.2">
      <c r="A14" s="16">
        <v>369</v>
      </c>
      <c r="B14" s="16" t="s">
        <v>45</v>
      </c>
      <c r="C14" s="16" t="s">
        <v>46</v>
      </c>
      <c r="D14" s="16" t="s">
        <v>23</v>
      </c>
      <c r="E14" s="16" t="b">
        <v>0</v>
      </c>
      <c r="F14" s="16" t="s">
        <v>27</v>
      </c>
      <c r="G14" s="16">
        <v>8</v>
      </c>
      <c r="H14" s="17">
        <v>46125</v>
      </c>
    </row>
    <row r="15" spans="1:8" x14ac:dyDescent="0.2">
      <c r="A15" s="16">
        <v>7</v>
      </c>
      <c r="B15" s="16" t="s">
        <v>45</v>
      </c>
      <c r="C15" s="16" t="s">
        <v>47</v>
      </c>
      <c r="D15" s="16" t="s">
        <v>48</v>
      </c>
      <c r="E15" s="16" t="b">
        <v>0</v>
      </c>
      <c r="F15" s="16" t="s">
        <v>27</v>
      </c>
      <c r="G15" s="16">
        <v>32</v>
      </c>
      <c r="H15" s="17">
        <v>46125</v>
      </c>
    </row>
    <row r="16" spans="1:8" x14ac:dyDescent="0.2">
      <c r="A16" s="16">
        <v>473</v>
      </c>
      <c r="B16" s="16" t="s">
        <v>45</v>
      </c>
      <c r="C16" s="16" t="s">
        <v>49</v>
      </c>
      <c r="D16" s="16" t="s">
        <v>48</v>
      </c>
      <c r="E16" s="16" t="b">
        <v>0</v>
      </c>
      <c r="F16" s="16" t="s">
        <v>27</v>
      </c>
      <c r="G16" s="16">
        <v>33</v>
      </c>
      <c r="H16" s="17">
        <v>46125</v>
      </c>
    </row>
    <row r="17" spans="1:8" x14ac:dyDescent="0.2">
      <c r="A17" s="16">
        <v>1384</v>
      </c>
      <c r="B17" s="16" t="s">
        <v>50</v>
      </c>
      <c r="C17" s="16" t="s">
        <v>51</v>
      </c>
      <c r="D17" s="16" t="s">
        <v>23</v>
      </c>
      <c r="E17" s="16" t="b">
        <v>0</v>
      </c>
      <c r="F17" s="16" t="s">
        <v>27</v>
      </c>
      <c r="G17" s="16">
        <v>30</v>
      </c>
      <c r="H17" s="17">
        <v>46125</v>
      </c>
    </row>
    <row r="18" spans="1:8" x14ac:dyDescent="0.2">
      <c r="A18" s="16">
        <v>1348</v>
      </c>
      <c r="B18" s="16" t="s">
        <v>52</v>
      </c>
      <c r="C18" s="16" t="s">
        <v>53</v>
      </c>
      <c r="D18" s="16" t="s">
        <v>54</v>
      </c>
      <c r="E18" s="16" t="b">
        <v>1</v>
      </c>
      <c r="F18" s="16" t="s">
        <v>25</v>
      </c>
      <c r="H18" s="17">
        <v>46125</v>
      </c>
    </row>
    <row r="19" spans="1:8" x14ac:dyDescent="0.2">
      <c r="A19" s="16">
        <v>1275</v>
      </c>
      <c r="B19" s="16" t="s">
        <v>52</v>
      </c>
      <c r="C19" s="16" t="s">
        <v>55</v>
      </c>
      <c r="D19" s="16" t="s">
        <v>23</v>
      </c>
      <c r="E19" s="16" t="b">
        <v>1</v>
      </c>
      <c r="F19" s="16" t="s">
        <v>35</v>
      </c>
      <c r="H19" s="17">
        <v>46125</v>
      </c>
    </row>
    <row r="20" spans="1:8" x14ac:dyDescent="0.2">
      <c r="A20" s="16">
        <v>68</v>
      </c>
      <c r="B20" s="16" t="s">
        <v>56</v>
      </c>
      <c r="C20" s="16" t="s">
        <v>57</v>
      </c>
      <c r="D20" s="16" t="s">
        <v>48</v>
      </c>
      <c r="E20" s="16" t="b">
        <v>0</v>
      </c>
      <c r="F20" s="16" t="s">
        <v>27</v>
      </c>
      <c r="G20" s="16">
        <v>35</v>
      </c>
      <c r="H20" s="17">
        <v>46125</v>
      </c>
    </row>
    <row r="21" spans="1:8" x14ac:dyDescent="0.2">
      <c r="A21" s="16">
        <v>1035</v>
      </c>
      <c r="B21" s="16" t="s">
        <v>58</v>
      </c>
      <c r="C21" s="16" t="s">
        <v>59</v>
      </c>
      <c r="D21" s="16" t="s">
        <v>23</v>
      </c>
      <c r="E21" s="16" t="b">
        <v>0</v>
      </c>
      <c r="F21" s="16" t="s">
        <v>27</v>
      </c>
      <c r="G21" s="16">
        <v>6</v>
      </c>
      <c r="H21" s="17">
        <v>46125</v>
      </c>
    </row>
    <row r="22" spans="1:8" x14ac:dyDescent="0.2">
      <c r="A22" s="16">
        <v>1416</v>
      </c>
      <c r="B22" s="16" t="s">
        <v>60</v>
      </c>
      <c r="C22" s="16" t="s">
        <v>61</v>
      </c>
      <c r="D22" s="16" t="s">
        <v>23</v>
      </c>
      <c r="E22" s="16" t="b">
        <v>0</v>
      </c>
      <c r="F22" s="16" t="s">
        <v>25</v>
      </c>
      <c r="H22" s="17">
        <v>46125</v>
      </c>
    </row>
    <row r="23" spans="1:8" x14ac:dyDescent="0.2">
      <c r="A23" s="16">
        <v>1326</v>
      </c>
      <c r="B23" s="16" t="s">
        <v>62</v>
      </c>
      <c r="C23" s="16" t="s">
        <v>63</v>
      </c>
      <c r="D23" s="16" t="s">
        <v>23</v>
      </c>
      <c r="E23" s="16" t="b">
        <v>1</v>
      </c>
      <c r="F23" s="16" t="s">
        <v>25</v>
      </c>
      <c r="H23" s="17">
        <v>46125</v>
      </c>
    </row>
    <row r="24" spans="1:8" x14ac:dyDescent="0.2">
      <c r="A24" s="16">
        <v>477</v>
      </c>
      <c r="B24" s="16" t="s">
        <v>64</v>
      </c>
      <c r="C24" s="16" t="s">
        <v>65</v>
      </c>
      <c r="D24" s="16" t="s">
        <v>23</v>
      </c>
      <c r="E24" s="16" t="b">
        <v>1</v>
      </c>
      <c r="F24" s="16" t="s">
        <v>27</v>
      </c>
      <c r="G24" s="16">
        <v>34</v>
      </c>
      <c r="H24" s="17">
        <v>46125</v>
      </c>
    </row>
    <row r="25" spans="1:8" x14ac:dyDescent="0.2">
      <c r="A25" s="16">
        <v>10</v>
      </c>
      <c r="B25" s="16" t="s">
        <v>64</v>
      </c>
      <c r="C25" s="16" t="s">
        <v>66</v>
      </c>
      <c r="D25" s="16" t="s">
        <v>48</v>
      </c>
      <c r="E25" s="16" t="b">
        <v>0</v>
      </c>
      <c r="F25" s="16" t="s">
        <v>27</v>
      </c>
      <c r="G25" s="16">
        <v>35</v>
      </c>
      <c r="H25" s="17">
        <v>46125</v>
      </c>
    </row>
    <row r="26" spans="1:8" x14ac:dyDescent="0.2">
      <c r="A26" s="16">
        <v>1414</v>
      </c>
      <c r="B26" s="16" t="s">
        <v>67</v>
      </c>
      <c r="C26" s="16" t="s">
        <v>36</v>
      </c>
      <c r="D26" s="16" t="s">
        <v>23</v>
      </c>
      <c r="E26" s="16" t="b">
        <v>0</v>
      </c>
      <c r="F26" s="16" t="s">
        <v>27</v>
      </c>
      <c r="G26" s="16">
        <v>13</v>
      </c>
      <c r="H26" s="17">
        <v>46125</v>
      </c>
    </row>
    <row r="27" spans="1:8" x14ac:dyDescent="0.2">
      <c r="A27" s="16">
        <v>1029</v>
      </c>
      <c r="B27" s="16" t="s">
        <v>68</v>
      </c>
      <c r="C27" s="16" t="s">
        <v>69</v>
      </c>
      <c r="D27" s="16" t="s">
        <v>23</v>
      </c>
      <c r="E27" s="16" t="b">
        <v>0</v>
      </c>
      <c r="F27" s="16" t="s">
        <v>27</v>
      </c>
      <c r="G27" s="16">
        <v>28</v>
      </c>
      <c r="H27" s="17">
        <v>46125</v>
      </c>
    </row>
    <row r="28" spans="1:8" x14ac:dyDescent="0.2">
      <c r="A28" s="16">
        <v>13</v>
      </c>
      <c r="B28" s="16" t="s">
        <v>70</v>
      </c>
      <c r="C28" s="16" t="s">
        <v>51</v>
      </c>
      <c r="D28" s="16" t="s">
        <v>23</v>
      </c>
      <c r="E28" s="16" t="b">
        <v>0</v>
      </c>
      <c r="F28" s="16" t="s">
        <v>27</v>
      </c>
      <c r="G28" s="16">
        <v>28</v>
      </c>
      <c r="H28" s="17">
        <v>46125</v>
      </c>
    </row>
    <row r="29" spans="1:8" x14ac:dyDescent="0.2">
      <c r="A29" s="16">
        <v>1255</v>
      </c>
      <c r="B29" s="16" t="s">
        <v>71</v>
      </c>
      <c r="C29" s="16" t="s">
        <v>72</v>
      </c>
      <c r="D29" s="16" t="s">
        <v>23</v>
      </c>
      <c r="E29" s="16" t="b">
        <v>1</v>
      </c>
      <c r="F29" s="16" t="s">
        <v>27</v>
      </c>
      <c r="G29" s="16">
        <v>13</v>
      </c>
      <c r="H29" s="17">
        <v>46125</v>
      </c>
    </row>
    <row r="30" spans="1:8" x14ac:dyDescent="0.2">
      <c r="A30" s="16">
        <v>1405</v>
      </c>
      <c r="B30" s="16" t="s">
        <v>73</v>
      </c>
      <c r="C30" s="16" t="s">
        <v>74</v>
      </c>
      <c r="D30" s="16" t="s">
        <v>23</v>
      </c>
      <c r="E30" s="16" t="b">
        <v>1</v>
      </c>
      <c r="F30" s="16" t="s">
        <v>35</v>
      </c>
      <c r="H30" s="17">
        <v>46125</v>
      </c>
    </row>
    <row r="31" spans="1:8" x14ac:dyDescent="0.2">
      <c r="A31" s="16">
        <v>1421</v>
      </c>
      <c r="B31" s="16" t="s">
        <v>75</v>
      </c>
      <c r="C31" s="16" t="s">
        <v>76</v>
      </c>
      <c r="D31" s="16" t="s">
        <v>23</v>
      </c>
      <c r="E31" s="16" t="b">
        <v>1</v>
      </c>
      <c r="F31" s="16" t="s">
        <v>27</v>
      </c>
      <c r="G31" s="16">
        <v>12</v>
      </c>
      <c r="H31" s="17">
        <v>46125</v>
      </c>
    </row>
    <row r="32" spans="1:8" x14ac:dyDescent="0.2">
      <c r="A32" s="16">
        <v>1418</v>
      </c>
      <c r="B32" s="16" t="s">
        <v>75</v>
      </c>
      <c r="C32" s="16" t="s">
        <v>22</v>
      </c>
      <c r="D32" s="16" t="s">
        <v>23</v>
      </c>
      <c r="E32" s="16" t="b">
        <v>0</v>
      </c>
      <c r="F32" s="16" t="s">
        <v>25</v>
      </c>
      <c r="H32" s="17">
        <v>46125</v>
      </c>
    </row>
    <row r="33" spans="1:8" x14ac:dyDescent="0.2">
      <c r="A33" s="16">
        <v>919</v>
      </c>
      <c r="B33" s="16" t="s">
        <v>77</v>
      </c>
      <c r="C33" s="16" t="s">
        <v>51</v>
      </c>
      <c r="D33" s="16" t="s">
        <v>23</v>
      </c>
      <c r="E33" s="16" t="b">
        <v>0</v>
      </c>
      <c r="F33" s="16" t="s">
        <v>27</v>
      </c>
      <c r="G33" s="16">
        <v>16</v>
      </c>
      <c r="H33" s="17">
        <v>46125</v>
      </c>
    </row>
    <row r="34" spans="1:8" x14ac:dyDescent="0.2">
      <c r="A34" s="16">
        <v>1319</v>
      </c>
      <c r="B34" s="16" t="s">
        <v>78</v>
      </c>
      <c r="C34" s="16" t="s">
        <v>32</v>
      </c>
      <c r="D34" s="16" t="s">
        <v>23</v>
      </c>
      <c r="E34" s="16" t="b">
        <v>0</v>
      </c>
      <c r="F34" s="16" t="s">
        <v>27</v>
      </c>
      <c r="G34" s="16">
        <v>9</v>
      </c>
      <c r="H34" s="17">
        <v>46125</v>
      </c>
    </row>
    <row r="35" spans="1:8" x14ac:dyDescent="0.2">
      <c r="A35" s="16">
        <v>1389</v>
      </c>
      <c r="B35" s="16" t="s">
        <v>79</v>
      </c>
      <c r="C35" s="16" t="s">
        <v>80</v>
      </c>
      <c r="D35" s="16" t="s">
        <v>23</v>
      </c>
      <c r="E35" s="16" t="b">
        <v>0</v>
      </c>
      <c r="F35" s="16" t="s">
        <v>25</v>
      </c>
      <c r="H35" s="17">
        <v>46125</v>
      </c>
    </row>
    <row r="36" spans="1:8" x14ac:dyDescent="0.2">
      <c r="A36" s="16">
        <v>940</v>
      </c>
      <c r="B36" s="16" t="s">
        <v>81</v>
      </c>
      <c r="C36" s="16" t="s">
        <v>82</v>
      </c>
      <c r="D36" s="16" t="s">
        <v>23</v>
      </c>
      <c r="E36" s="16" t="b">
        <v>1</v>
      </c>
      <c r="F36" s="16" t="s">
        <v>27</v>
      </c>
      <c r="G36" s="16">
        <v>9</v>
      </c>
      <c r="H36" s="17">
        <v>46125</v>
      </c>
    </row>
    <row r="37" spans="1:8" x14ac:dyDescent="0.2">
      <c r="A37" s="16">
        <v>806</v>
      </c>
      <c r="B37" s="16" t="s">
        <v>81</v>
      </c>
      <c r="C37" s="16" t="s">
        <v>83</v>
      </c>
      <c r="D37" s="16" t="s">
        <v>23</v>
      </c>
      <c r="E37" s="16" t="b">
        <v>0</v>
      </c>
      <c r="F37" s="16" t="s">
        <v>27</v>
      </c>
      <c r="G37" s="16">
        <v>11</v>
      </c>
      <c r="H37" s="17">
        <v>46125</v>
      </c>
    </row>
    <row r="38" spans="1:8" x14ac:dyDescent="0.2">
      <c r="A38" s="16">
        <v>482</v>
      </c>
      <c r="B38" s="16" t="s">
        <v>84</v>
      </c>
      <c r="C38" s="16" t="s">
        <v>85</v>
      </c>
      <c r="D38" s="16" t="s">
        <v>23</v>
      </c>
      <c r="E38" s="16" t="b">
        <v>0</v>
      </c>
      <c r="F38" s="16" t="s">
        <v>27</v>
      </c>
      <c r="G38" s="16">
        <v>13</v>
      </c>
      <c r="H38" s="17">
        <v>46125</v>
      </c>
    </row>
    <row r="39" spans="1:8" x14ac:dyDescent="0.2">
      <c r="A39" s="16">
        <v>674</v>
      </c>
      <c r="B39" s="16" t="s">
        <v>86</v>
      </c>
      <c r="C39" s="16" t="s">
        <v>87</v>
      </c>
      <c r="D39" s="16" t="s">
        <v>54</v>
      </c>
      <c r="E39" s="16" t="b">
        <v>1</v>
      </c>
      <c r="F39" s="16" t="s">
        <v>27</v>
      </c>
      <c r="G39" s="16">
        <v>23</v>
      </c>
      <c r="H39" s="17">
        <v>46125</v>
      </c>
    </row>
    <row r="40" spans="1:8" x14ac:dyDescent="0.2">
      <c r="A40" s="16">
        <v>1061</v>
      </c>
      <c r="B40" s="16" t="s">
        <v>88</v>
      </c>
      <c r="C40" s="16" t="s">
        <v>89</v>
      </c>
      <c r="D40" s="16" t="s">
        <v>23</v>
      </c>
      <c r="E40" s="16" t="b">
        <v>0</v>
      </c>
      <c r="F40" s="16" t="s">
        <v>27</v>
      </c>
      <c r="G40" s="16">
        <v>19</v>
      </c>
      <c r="H40" s="17">
        <v>46125</v>
      </c>
    </row>
    <row r="41" spans="1:8" x14ac:dyDescent="0.2">
      <c r="A41" s="16">
        <v>763</v>
      </c>
      <c r="B41" s="16" t="s">
        <v>90</v>
      </c>
      <c r="C41" s="16" t="s">
        <v>59</v>
      </c>
      <c r="D41" s="16" t="s">
        <v>23</v>
      </c>
      <c r="E41" s="16" t="b">
        <v>0</v>
      </c>
      <c r="F41" s="16" t="s">
        <v>27</v>
      </c>
      <c r="G41" s="16">
        <v>17</v>
      </c>
      <c r="H41" s="17">
        <v>46125</v>
      </c>
    </row>
    <row r="42" spans="1:8" x14ac:dyDescent="0.2">
      <c r="A42" s="16">
        <v>1227</v>
      </c>
      <c r="B42" s="16" t="s">
        <v>91</v>
      </c>
      <c r="C42" s="16" t="s">
        <v>92</v>
      </c>
      <c r="D42" s="16" t="s">
        <v>23</v>
      </c>
      <c r="E42" s="16" t="b">
        <v>1</v>
      </c>
      <c r="F42" s="16" t="s">
        <v>27</v>
      </c>
      <c r="G42" s="16">
        <v>8</v>
      </c>
      <c r="H42" s="17">
        <v>46125</v>
      </c>
    </row>
    <row r="43" spans="1:8" x14ac:dyDescent="0.2">
      <c r="A43" s="16">
        <v>715</v>
      </c>
      <c r="B43" s="16" t="s">
        <v>93</v>
      </c>
      <c r="C43" s="16" t="s">
        <v>94</v>
      </c>
      <c r="D43" s="16" t="s">
        <v>23</v>
      </c>
      <c r="E43" s="16" t="b">
        <v>0</v>
      </c>
      <c r="F43" s="16" t="s">
        <v>27</v>
      </c>
      <c r="G43" s="16">
        <v>5</v>
      </c>
      <c r="H43" s="17">
        <v>46125</v>
      </c>
    </row>
    <row r="44" spans="1:8" x14ac:dyDescent="0.2">
      <c r="A44" s="16">
        <v>567</v>
      </c>
      <c r="B44" s="16" t="s">
        <v>95</v>
      </c>
      <c r="C44" s="16" t="s">
        <v>96</v>
      </c>
      <c r="D44" s="16" t="s">
        <v>23</v>
      </c>
      <c r="E44" s="16" t="b">
        <v>0</v>
      </c>
      <c r="F44" s="16" t="s">
        <v>27</v>
      </c>
      <c r="G44" s="16">
        <v>7</v>
      </c>
      <c r="H44" s="17">
        <v>46125</v>
      </c>
    </row>
    <row r="45" spans="1:8" x14ac:dyDescent="0.2">
      <c r="A45" s="16">
        <v>1391</v>
      </c>
      <c r="B45" s="16" t="s">
        <v>97</v>
      </c>
      <c r="C45" s="16" t="s">
        <v>98</v>
      </c>
      <c r="D45" s="16" t="s">
        <v>23</v>
      </c>
      <c r="E45" s="16" t="b">
        <v>1</v>
      </c>
      <c r="F45" s="16" t="s">
        <v>25</v>
      </c>
      <c r="H45" s="17">
        <v>46125</v>
      </c>
    </row>
    <row r="46" spans="1:8" x14ac:dyDescent="0.2">
      <c r="A46" s="16">
        <v>704</v>
      </c>
      <c r="B46" s="16" t="s">
        <v>99</v>
      </c>
      <c r="C46" s="16" t="s">
        <v>100</v>
      </c>
      <c r="D46" s="16" t="s">
        <v>23</v>
      </c>
      <c r="E46" s="16" t="b">
        <v>0</v>
      </c>
      <c r="F46" s="16" t="s">
        <v>27</v>
      </c>
      <c r="G46" s="16">
        <v>21</v>
      </c>
      <c r="H46" s="17">
        <v>46125</v>
      </c>
    </row>
    <row r="47" spans="1:8" x14ac:dyDescent="0.2">
      <c r="A47" s="16">
        <v>1283</v>
      </c>
      <c r="B47" s="16" t="s">
        <v>101</v>
      </c>
      <c r="C47" s="16" t="s">
        <v>102</v>
      </c>
      <c r="D47" s="16" t="s">
        <v>23</v>
      </c>
      <c r="E47" s="16" t="b">
        <v>0</v>
      </c>
      <c r="F47" s="16" t="s">
        <v>27</v>
      </c>
      <c r="G47" s="16">
        <v>18</v>
      </c>
      <c r="H47" s="17">
        <v>46125</v>
      </c>
    </row>
    <row r="48" spans="1:8" x14ac:dyDescent="0.2">
      <c r="A48" s="16">
        <v>295</v>
      </c>
      <c r="B48" s="16" t="s">
        <v>103</v>
      </c>
      <c r="C48" s="16" t="s">
        <v>104</v>
      </c>
      <c r="D48" s="16" t="s">
        <v>23</v>
      </c>
      <c r="E48" s="16" t="b">
        <v>0</v>
      </c>
      <c r="F48" s="16" t="s">
        <v>27</v>
      </c>
      <c r="G48" s="16">
        <v>15</v>
      </c>
      <c r="H48" s="17">
        <v>46125</v>
      </c>
    </row>
    <row r="49" spans="1:8" x14ac:dyDescent="0.2">
      <c r="A49" s="16">
        <v>1226</v>
      </c>
      <c r="B49" s="16" t="s">
        <v>105</v>
      </c>
      <c r="C49" s="16" t="s">
        <v>106</v>
      </c>
      <c r="D49" s="16" t="s">
        <v>23</v>
      </c>
      <c r="E49" s="16" t="b">
        <v>1</v>
      </c>
      <c r="F49" s="16" t="s">
        <v>25</v>
      </c>
      <c r="H49" s="17">
        <v>46125</v>
      </c>
    </row>
    <row r="50" spans="1:8" x14ac:dyDescent="0.2">
      <c r="A50" s="16">
        <v>1333</v>
      </c>
      <c r="B50" s="16" t="s">
        <v>107</v>
      </c>
      <c r="C50" s="16" t="s">
        <v>108</v>
      </c>
      <c r="D50" s="16" t="s">
        <v>23</v>
      </c>
      <c r="E50" s="16" t="b">
        <v>0</v>
      </c>
      <c r="F50" s="16" t="s">
        <v>27</v>
      </c>
      <c r="G50" s="16">
        <v>3</v>
      </c>
      <c r="H50" s="17">
        <v>46125</v>
      </c>
    </row>
    <row r="51" spans="1:8" x14ac:dyDescent="0.2">
      <c r="A51" s="16">
        <v>1185</v>
      </c>
      <c r="B51" s="16" t="s">
        <v>109</v>
      </c>
      <c r="C51" s="16" t="s">
        <v>110</v>
      </c>
      <c r="D51" s="16" t="s">
        <v>23</v>
      </c>
      <c r="E51" s="16" t="b">
        <v>1</v>
      </c>
      <c r="F51" s="16" t="s">
        <v>35</v>
      </c>
      <c r="H51" s="17">
        <v>46125</v>
      </c>
    </row>
    <row r="52" spans="1:8" x14ac:dyDescent="0.2">
      <c r="A52" s="16">
        <v>1065</v>
      </c>
      <c r="B52" s="16" t="s">
        <v>109</v>
      </c>
      <c r="C52" s="16" t="s">
        <v>41</v>
      </c>
      <c r="D52" s="16" t="s">
        <v>23</v>
      </c>
      <c r="E52" s="16" t="b">
        <v>0</v>
      </c>
      <c r="F52" s="16" t="s">
        <v>27</v>
      </c>
      <c r="G52" s="16">
        <v>1</v>
      </c>
      <c r="H52" s="17">
        <v>46125</v>
      </c>
    </row>
    <row r="53" spans="1:8" x14ac:dyDescent="0.2">
      <c r="A53" s="16">
        <v>1407</v>
      </c>
      <c r="B53" s="16" t="s">
        <v>111</v>
      </c>
      <c r="C53" s="16" t="s">
        <v>112</v>
      </c>
      <c r="D53" s="16" t="s">
        <v>23</v>
      </c>
      <c r="E53" s="16" t="b">
        <v>0</v>
      </c>
      <c r="F53" s="16" t="s">
        <v>25</v>
      </c>
      <c r="H53" s="17">
        <v>46125</v>
      </c>
    </row>
    <row r="54" spans="1:8" x14ac:dyDescent="0.2">
      <c r="A54" s="16">
        <v>1096</v>
      </c>
      <c r="B54" s="16" t="s">
        <v>113</v>
      </c>
      <c r="C54" s="16" t="s">
        <v>114</v>
      </c>
      <c r="D54" s="16" t="s">
        <v>23</v>
      </c>
      <c r="E54" s="16" t="b">
        <v>0</v>
      </c>
      <c r="F54" s="16" t="s">
        <v>35</v>
      </c>
      <c r="H54" s="17">
        <v>46125</v>
      </c>
    </row>
    <row r="55" spans="1:8" x14ac:dyDescent="0.2">
      <c r="A55" s="16">
        <v>1236</v>
      </c>
      <c r="B55" s="16" t="s">
        <v>113</v>
      </c>
      <c r="C55" s="16" t="s">
        <v>115</v>
      </c>
      <c r="D55" s="16" t="s">
        <v>23</v>
      </c>
      <c r="E55" s="16" t="b">
        <v>1</v>
      </c>
      <c r="F55" s="16" t="s">
        <v>27</v>
      </c>
      <c r="G55" s="16">
        <v>5</v>
      </c>
      <c r="H55" s="17">
        <v>46125</v>
      </c>
    </row>
    <row r="56" spans="1:8" x14ac:dyDescent="0.2">
      <c r="A56" s="16">
        <v>699</v>
      </c>
      <c r="B56" s="16" t="s">
        <v>113</v>
      </c>
      <c r="C56" s="16" t="s">
        <v>116</v>
      </c>
      <c r="D56" s="16" t="s">
        <v>23</v>
      </c>
      <c r="E56" s="16" t="b">
        <v>0</v>
      </c>
      <c r="F56" s="16" t="s">
        <v>27</v>
      </c>
      <c r="G56" s="16">
        <v>5</v>
      </c>
      <c r="H56" s="17">
        <v>46125</v>
      </c>
    </row>
    <row r="57" spans="1:8" x14ac:dyDescent="0.2">
      <c r="A57" s="16">
        <v>1000</v>
      </c>
      <c r="B57" s="16" t="s">
        <v>120</v>
      </c>
      <c r="C57" s="16" t="s">
        <v>121</v>
      </c>
      <c r="D57" s="16" t="s">
        <v>23</v>
      </c>
      <c r="E57" s="16" t="b">
        <v>0</v>
      </c>
      <c r="F57" s="16" t="s">
        <v>25</v>
      </c>
      <c r="H57" s="17">
        <v>46125</v>
      </c>
    </row>
    <row r="58" spans="1:8" x14ac:dyDescent="0.2">
      <c r="A58" s="16">
        <v>1332</v>
      </c>
      <c r="B58" s="16" t="s">
        <v>122</v>
      </c>
      <c r="C58" s="16" t="s">
        <v>123</v>
      </c>
      <c r="D58" s="16" t="s">
        <v>23</v>
      </c>
      <c r="E58" s="16" t="b">
        <v>1</v>
      </c>
      <c r="F58" s="16" t="s">
        <v>25</v>
      </c>
      <c r="H58" s="17">
        <v>46125</v>
      </c>
    </row>
    <row r="59" spans="1:8" x14ac:dyDescent="0.2">
      <c r="A59" s="16">
        <v>682</v>
      </c>
      <c r="B59" s="16" t="s">
        <v>124</v>
      </c>
      <c r="C59" s="16" t="s">
        <v>125</v>
      </c>
      <c r="D59" s="16" t="s">
        <v>23</v>
      </c>
      <c r="E59" s="16" t="b">
        <v>0</v>
      </c>
      <c r="F59" s="16" t="s">
        <v>27</v>
      </c>
      <c r="G59" s="16">
        <v>11</v>
      </c>
      <c r="H59" s="17">
        <v>46125</v>
      </c>
    </row>
    <row r="60" spans="1:8" x14ac:dyDescent="0.2">
      <c r="A60" s="16">
        <v>1393</v>
      </c>
      <c r="B60" s="16" t="s">
        <v>126</v>
      </c>
      <c r="C60" s="16" t="s">
        <v>127</v>
      </c>
      <c r="D60" s="16" t="s">
        <v>23</v>
      </c>
      <c r="E60" s="16" t="b">
        <v>1</v>
      </c>
      <c r="F60" s="16" t="s">
        <v>27</v>
      </c>
      <c r="G60" s="16">
        <v>10</v>
      </c>
      <c r="H60" s="17">
        <v>46125</v>
      </c>
    </row>
    <row r="61" spans="1:8" x14ac:dyDescent="0.2">
      <c r="A61" s="16">
        <v>1355</v>
      </c>
      <c r="B61" s="16" t="s">
        <v>128</v>
      </c>
      <c r="C61" s="16" t="s">
        <v>129</v>
      </c>
      <c r="D61" s="16" t="s">
        <v>23</v>
      </c>
      <c r="E61" s="16" t="b">
        <v>0</v>
      </c>
      <c r="F61" s="16" t="s">
        <v>35</v>
      </c>
      <c r="H61" s="17">
        <v>46125</v>
      </c>
    </row>
    <row r="62" spans="1:8" x14ac:dyDescent="0.2">
      <c r="A62" s="16">
        <v>1164</v>
      </c>
      <c r="B62" s="16" t="s">
        <v>130</v>
      </c>
      <c r="C62" s="16" t="s">
        <v>131</v>
      </c>
      <c r="D62" s="16" t="s">
        <v>54</v>
      </c>
      <c r="E62" s="16" t="b">
        <v>1</v>
      </c>
      <c r="F62" s="16" t="s">
        <v>25</v>
      </c>
      <c r="H62" s="17">
        <v>46125</v>
      </c>
    </row>
    <row r="63" spans="1:8" x14ac:dyDescent="0.2">
      <c r="A63" s="16">
        <v>1062</v>
      </c>
      <c r="B63" s="16" t="s">
        <v>130</v>
      </c>
      <c r="C63" s="16" t="s">
        <v>83</v>
      </c>
      <c r="D63" s="16" t="s">
        <v>23</v>
      </c>
      <c r="E63" s="16" t="b">
        <v>0</v>
      </c>
      <c r="F63" s="16" t="s">
        <v>27</v>
      </c>
      <c r="G63" s="16">
        <v>9</v>
      </c>
      <c r="H63" s="17">
        <v>46125</v>
      </c>
    </row>
    <row r="64" spans="1:8" x14ac:dyDescent="0.2">
      <c r="A64" s="16">
        <v>938</v>
      </c>
      <c r="B64" s="16" t="s">
        <v>130</v>
      </c>
      <c r="C64" s="16" t="s">
        <v>132</v>
      </c>
      <c r="D64" s="16" t="s">
        <v>23</v>
      </c>
      <c r="E64" s="16" t="b">
        <v>1</v>
      </c>
      <c r="F64" s="16" t="s">
        <v>27</v>
      </c>
      <c r="G64" s="16">
        <v>7</v>
      </c>
      <c r="H64" s="17">
        <v>46125</v>
      </c>
    </row>
    <row r="65" spans="1:8" x14ac:dyDescent="0.2">
      <c r="A65" s="16">
        <v>1034</v>
      </c>
      <c r="B65" s="16" t="s">
        <v>134</v>
      </c>
      <c r="C65" s="16" t="s">
        <v>83</v>
      </c>
      <c r="D65" s="16" t="s">
        <v>23</v>
      </c>
      <c r="E65" s="16" t="b">
        <v>0</v>
      </c>
      <c r="F65" s="16" t="s">
        <v>25</v>
      </c>
      <c r="H65" s="17">
        <v>46125</v>
      </c>
    </row>
    <row r="66" spans="1:8" x14ac:dyDescent="0.2">
      <c r="A66" s="16">
        <v>1402</v>
      </c>
      <c r="B66" s="16" t="s">
        <v>135</v>
      </c>
      <c r="C66" s="16" t="s">
        <v>136</v>
      </c>
      <c r="D66" s="16" t="s">
        <v>23</v>
      </c>
      <c r="E66" s="16" t="b">
        <v>0</v>
      </c>
      <c r="F66" s="16" t="s">
        <v>27</v>
      </c>
      <c r="G66" s="16">
        <v>7</v>
      </c>
      <c r="H66" s="17">
        <v>46125</v>
      </c>
    </row>
    <row r="67" spans="1:8" x14ac:dyDescent="0.2">
      <c r="A67" s="16">
        <v>939</v>
      </c>
      <c r="B67" s="16" t="s">
        <v>137</v>
      </c>
      <c r="C67" s="16" t="s">
        <v>127</v>
      </c>
      <c r="D67" s="16" t="s">
        <v>23</v>
      </c>
      <c r="E67" s="16" t="b">
        <v>1</v>
      </c>
      <c r="F67" s="16" t="s">
        <v>27</v>
      </c>
      <c r="G67" s="16">
        <v>12</v>
      </c>
      <c r="H67" s="17">
        <v>46125</v>
      </c>
    </row>
    <row r="68" spans="1:8" x14ac:dyDescent="0.2">
      <c r="A68" s="16">
        <v>1377</v>
      </c>
      <c r="B68" s="16" t="s">
        <v>138</v>
      </c>
      <c r="C68" s="16" t="s">
        <v>139</v>
      </c>
      <c r="D68" s="16" t="s">
        <v>23</v>
      </c>
      <c r="E68" s="16" t="b">
        <v>1</v>
      </c>
      <c r="F68" s="16" t="s">
        <v>27</v>
      </c>
      <c r="G68" s="16">
        <v>12</v>
      </c>
      <c r="H68" s="17">
        <v>46125</v>
      </c>
    </row>
    <row r="69" spans="1:8" x14ac:dyDescent="0.2">
      <c r="A69" s="16">
        <v>1281</v>
      </c>
      <c r="B69" s="16" t="s">
        <v>140</v>
      </c>
      <c r="C69" s="16" t="s">
        <v>141</v>
      </c>
      <c r="D69" s="16" t="s">
        <v>23</v>
      </c>
      <c r="E69" s="16" t="b">
        <v>0</v>
      </c>
      <c r="F69" s="16" t="s">
        <v>27</v>
      </c>
      <c r="G69" s="16">
        <v>19</v>
      </c>
      <c r="H69" s="17">
        <v>46125</v>
      </c>
    </row>
    <row r="70" spans="1:8" x14ac:dyDescent="0.2">
      <c r="A70" s="16">
        <v>933</v>
      </c>
      <c r="B70" s="16" t="s">
        <v>142</v>
      </c>
      <c r="C70" s="16" t="s">
        <v>143</v>
      </c>
      <c r="D70" s="16" t="s">
        <v>23</v>
      </c>
      <c r="E70" s="16" t="b">
        <v>0</v>
      </c>
      <c r="F70" s="16" t="s">
        <v>25</v>
      </c>
      <c r="H70" s="17">
        <v>46125</v>
      </c>
    </row>
    <row r="71" spans="1:8" x14ac:dyDescent="0.2">
      <c r="A71" s="16">
        <v>1274</v>
      </c>
      <c r="B71" s="16" t="s">
        <v>144</v>
      </c>
      <c r="C71" s="16" t="s">
        <v>145</v>
      </c>
      <c r="D71" s="16" t="s">
        <v>23</v>
      </c>
      <c r="E71" s="16" t="b">
        <v>1</v>
      </c>
      <c r="F71" s="16" t="s">
        <v>25</v>
      </c>
      <c r="H71" s="17">
        <v>46125</v>
      </c>
    </row>
    <row r="72" spans="1:8" x14ac:dyDescent="0.2">
      <c r="A72" s="16">
        <v>493</v>
      </c>
      <c r="B72" s="16" t="s">
        <v>146</v>
      </c>
      <c r="C72" s="16" t="s">
        <v>49</v>
      </c>
      <c r="D72" s="16" t="s">
        <v>48</v>
      </c>
      <c r="E72" s="16" t="b">
        <v>0</v>
      </c>
      <c r="F72" s="16" t="s">
        <v>27</v>
      </c>
      <c r="G72" s="16">
        <v>37</v>
      </c>
      <c r="H72" s="17">
        <v>46125</v>
      </c>
    </row>
    <row r="73" spans="1:8" x14ac:dyDescent="0.2">
      <c r="A73" s="16">
        <v>1279</v>
      </c>
      <c r="B73" s="16" t="s">
        <v>147</v>
      </c>
      <c r="C73" s="16" t="s">
        <v>148</v>
      </c>
      <c r="D73" s="16" t="s">
        <v>23</v>
      </c>
      <c r="E73" s="16" t="b">
        <v>0</v>
      </c>
      <c r="F73" s="16" t="s">
        <v>27</v>
      </c>
      <c r="G73" s="16">
        <v>4</v>
      </c>
      <c r="H73" s="17">
        <v>46125</v>
      </c>
    </row>
    <row r="74" spans="1:8" x14ac:dyDescent="0.2">
      <c r="A74" s="16">
        <v>1193</v>
      </c>
      <c r="B74" s="16" t="s">
        <v>149</v>
      </c>
      <c r="C74" s="16" t="s">
        <v>150</v>
      </c>
      <c r="D74" s="16" t="s">
        <v>23</v>
      </c>
      <c r="E74" s="16" t="b">
        <v>0</v>
      </c>
      <c r="F74" s="16" t="s">
        <v>25</v>
      </c>
      <c r="H74" s="17">
        <v>46125</v>
      </c>
    </row>
    <row r="75" spans="1:8" x14ac:dyDescent="0.2">
      <c r="A75" s="16">
        <v>1194</v>
      </c>
      <c r="B75" s="16" t="s">
        <v>149</v>
      </c>
      <c r="C75" s="16" t="s">
        <v>151</v>
      </c>
      <c r="D75" s="16" t="s">
        <v>23</v>
      </c>
      <c r="E75" s="16" t="b">
        <v>1</v>
      </c>
      <c r="F75" s="16" t="s">
        <v>25</v>
      </c>
      <c r="H75" s="17">
        <v>46125</v>
      </c>
    </row>
    <row r="76" spans="1:8" x14ac:dyDescent="0.2">
      <c r="A76" s="16">
        <v>1196</v>
      </c>
      <c r="B76" s="16" t="s">
        <v>149</v>
      </c>
      <c r="C76" s="16" t="s">
        <v>152</v>
      </c>
      <c r="D76" s="16" t="s">
        <v>23</v>
      </c>
      <c r="E76" s="16" t="b">
        <v>0</v>
      </c>
      <c r="F76" s="16" t="s">
        <v>35</v>
      </c>
      <c r="H76" s="17">
        <v>46125</v>
      </c>
    </row>
    <row r="77" spans="1:8" x14ac:dyDescent="0.2">
      <c r="A77" s="16">
        <v>1195</v>
      </c>
      <c r="B77" s="16" t="s">
        <v>149</v>
      </c>
      <c r="C77" s="16" t="s">
        <v>153</v>
      </c>
      <c r="D77" s="16" t="s">
        <v>23</v>
      </c>
      <c r="E77" s="16" t="b">
        <v>0</v>
      </c>
      <c r="F77" s="16" t="s">
        <v>35</v>
      </c>
      <c r="H77" s="17">
        <v>46125</v>
      </c>
    </row>
    <row r="78" spans="1:8" x14ac:dyDescent="0.2">
      <c r="A78" s="16">
        <v>1176</v>
      </c>
      <c r="B78" s="16" t="s">
        <v>154</v>
      </c>
      <c r="C78" s="16" t="s">
        <v>155</v>
      </c>
      <c r="D78" s="16" t="s">
        <v>23</v>
      </c>
      <c r="E78" s="16" t="b">
        <v>0</v>
      </c>
      <c r="F78" s="16" t="s">
        <v>35</v>
      </c>
      <c r="H78" s="17">
        <v>46125</v>
      </c>
    </row>
    <row r="79" spans="1:8" x14ac:dyDescent="0.2">
      <c r="A79" s="16">
        <v>1174</v>
      </c>
      <c r="B79" s="16" t="s">
        <v>154</v>
      </c>
      <c r="C79" s="16" t="s">
        <v>156</v>
      </c>
      <c r="D79" s="16" t="s">
        <v>23</v>
      </c>
      <c r="E79" s="16" t="b">
        <v>1</v>
      </c>
      <c r="F79" s="16" t="s">
        <v>27</v>
      </c>
      <c r="G79" s="16">
        <v>6</v>
      </c>
      <c r="H79" s="17">
        <v>46125</v>
      </c>
    </row>
    <row r="80" spans="1:8" x14ac:dyDescent="0.2">
      <c r="A80" s="16">
        <v>1175</v>
      </c>
      <c r="B80" s="16" t="s">
        <v>154</v>
      </c>
      <c r="C80" s="16" t="s">
        <v>150</v>
      </c>
      <c r="D80" s="16" t="s">
        <v>23</v>
      </c>
      <c r="E80" s="16" t="b">
        <v>0</v>
      </c>
      <c r="F80" s="16" t="s">
        <v>27</v>
      </c>
      <c r="G80" s="16">
        <v>12</v>
      </c>
      <c r="H80" s="17">
        <v>46125</v>
      </c>
    </row>
    <row r="81" spans="1:8" x14ac:dyDescent="0.2">
      <c r="A81" s="16">
        <v>1109</v>
      </c>
      <c r="B81" s="16" t="s">
        <v>157</v>
      </c>
      <c r="C81" s="16" t="s">
        <v>104</v>
      </c>
      <c r="D81" s="16" t="s">
        <v>23</v>
      </c>
      <c r="E81" s="16" t="b">
        <v>0</v>
      </c>
      <c r="F81" s="16" t="s">
        <v>25</v>
      </c>
      <c r="H81" s="17">
        <v>46125</v>
      </c>
    </row>
    <row r="82" spans="1:8" x14ac:dyDescent="0.2">
      <c r="A82" s="16">
        <v>1073</v>
      </c>
      <c r="B82" s="16" t="s">
        <v>158</v>
      </c>
      <c r="C82" s="16" t="s">
        <v>150</v>
      </c>
      <c r="D82" s="16" t="s">
        <v>23</v>
      </c>
      <c r="E82" s="16" t="b">
        <v>0</v>
      </c>
      <c r="F82" s="16" t="s">
        <v>27</v>
      </c>
      <c r="G82" s="16">
        <v>3</v>
      </c>
      <c r="H82" s="17">
        <v>46125</v>
      </c>
    </row>
    <row r="83" spans="1:8" x14ac:dyDescent="0.2">
      <c r="A83" s="16">
        <v>1400</v>
      </c>
      <c r="B83" s="16" t="s">
        <v>159</v>
      </c>
      <c r="C83" s="16" t="s">
        <v>160</v>
      </c>
      <c r="D83" s="16" t="s">
        <v>23</v>
      </c>
      <c r="E83" s="16" t="b">
        <v>0</v>
      </c>
      <c r="F83" s="16" t="s">
        <v>25</v>
      </c>
      <c r="H83" s="17">
        <v>46125</v>
      </c>
    </row>
    <row r="84" spans="1:8" x14ac:dyDescent="0.2">
      <c r="A84" s="16">
        <v>1367</v>
      </c>
      <c r="B84" s="16" t="s">
        <v>161</v>
      </c>
      <c r="C84" s="16" t="s">
        <v>152</v>
      </c>
      <c r="D84" s="16" t="s">
        <v>23</v>
      </c>
      <c r="E84" s="16" t="b">
        <v>0</v>
      </c>
      <c r="F84" s="16" t="s">
        <v>35</v>
      </c>
      <c r="H84" s="17">
        <v>46125</v>
      </c>
    </row>
    <row r="85" spans="1:8" x14ac:dyDescent="0.2">
      <c r="A85" s="16">
        <v>1366</v>
      </c>
      <c r="B85" s="16" t="s">
        <v>161</v>
      </c>
      <c r="C85" s="16" t="s">
        <v>162</v>
      </c>
      <c r="D85" s="16" t="s">
        <v>23</v>
      </c>
      <c r="E85" s="16" t="b">
        <v>1</v>
      </c>
      <c r="F85" s="16" t="s">
        <v>25</v>
      </c>
      <c r="H85" s="17">
        <v>46125</v>
      </c>
    </row>
    <row r="86" spans="1:8" x14ac:dyDescent="0.2">
      <c r="A86" s="16">
        <v>1365</v>
      </c>
      <c r="B86" s="16" t="s">
        <v>161</v>
      </c>
      <c r="C86" s="16" t="s">
        <v>163</v>
      </c>
      <c r="D86" s="16" t="s">
        <v>23</v>
      </c>
      <c r="E86" s="16" t="b">
        <v>1</v>
      </c>
      <c r="F86" s="16" t="s">
        <v>27</v>
      </c>
      <c r="G86" s="16">
        <v>7</v>
      </c>
      <c r="H86" s="17">
        <v>46125</v>
      </c>
    </row>
    <row r="87" spans="1:8" x14ac:dyDescent="0.2">
      <c r="A87" s="16">
        <v>897</v>
      </c>
      <c r="B87" s="16" t="s">
        <v>161</v>
      </c>
      <c r="C87" s="16" t="s">
        <v>164</v>
      </c>
      <c r="D87" s="16" t="s">
        <v>23</v>
      </c>
      <c r="E87" s="16" t="b">
        <v>0</v>
      </c>
      <c r="F87" s="16" t="s">
        <v>27</v>
      </c>
      <c r="G87" s="16">
        <v>13</v>
      </c>
      <c r="H87" s="17">
        <v>46125</v>
      </c>
    </row>
    <row r="88" spans="1:8" x14ac:dyDescent="0.2">
      <c r="A88" s="16">
        <v>1308</v>
      </c>
      <c r="B88" s="16" t="s">
        <v>165</v>
      </c>
      <c r="C88" s="16" t="s">
        <v>166</v>
      </c>
      <c r="D88" s="16" t="s">
        <v>23</v>
      </c>
      <c r="E88" s="16" t="b">
        <v>1</v>
      </c>
      <c r="F88" s="16" t="s">
        <v>27</v>
      </c>
      <c r="G88" s="16">
        <v>2</v>
      </c>
      <c r="H88" s="17">
        <v>46125</v>
      </c>
    </row>
    <row r="89" spans="1:8" x14ac:dyDescent="0.2">
      <c r="A89" s="16">
        <v>1206</v>
      </c>
      <c r="B89" s="16" t="s">
        <v>167</v>
      </c>
      <c r="C89" s="16" t="s">
        <v>168</v>
      </c>
      <c r="D89" s="16" t="s">
        <v>23</v>
      </c>
      <c r="E89" s="16" t="b">
        <v>1</v>
      </c>
      <c r="F89" s="16" t="s">
        <v>27</v>
      </c>
      <c r="G89" s="16">
        <v>8</v>
      </c>
      <c r="H89" s="17">
        <v>46125</v>
      </c>
    </row>
    <row r="90" spans="1:8" x14ac:dyDescent="0.2">
      <c r="A90" s="16">
        <v>1205</v>
      </c>
      <c r="B90" s="16" t="s">
        <v>167</v>
      </c>
      <c r="C90" s="16" t="s">
        <v>66</v>
      </c>
      <c r="D90" s="16" t="s">
        <v>23</v>
      </c>
      <c r="E90" s="16" t="b">
        <v>0</v>
      </c>
      <c r="F90" s="16" t="s">
        <v>27</v>
      </c>
      <c r="G90" s="16">
        <v>14</v>
      </c>
      <c r="H90" s="17">
        <v>46125</v>
      </c>
    </row>
    <row r="91" spans="1:8" x14ac:dyDescent="0.2">
      <c r="A91" s="16">
        <v>1406</v>
      </c>
      <c r="B91" s="16" t="s">
        <v>169</v>
      </c>
      <c r="C91" s="16" t="s">
        <v>170</v>
      </c>
      <c r="D91" s="16" t="s">
        <v>23</v>
      </c>
      <c r="E91" s="16" t="b">
        <v>0</v>
      </c>
      <c r="F91" s="16" t="s">
        <v>27</v>
      </c>
      <c r="G91" s="16">
        <v>9</v>
      </c>
      <c r="H91" s="17">
        <v>46125</v>
      </c>
    </row>
    <row r="92" spans="1:8" x14ac:dyDescent="0.2">
      <c r="A92" s="16">
        <v>1182</v>
      </c>
      <c r="B92" s="16" t="s">
        <v>171</v>
      </c>
      <c r="C92" s="16" t="s">
        <v>136</v>
      </c>
      <c r="D92" s="16" t="s">
        <v>23</v>
      </c>
      <c r="E92" s="16" t="b">
        <v>0</v>
      </c>
      <c r="F92" s="16" t="s">
        <v>27</v>
      </c>
      <c r="G92" s="16">
        <v>8</v>
      </c>
      <c r="H92" s="17">
        <v>46125</v>
      </c>
    </row>
    <row r="93" spans="1:8" x14ac:dyDescent="0.2">
      <c r="A93" s="16">
        <v>1340</v>
      </c>
      <c r="B93" s="16" t="s">
        <v>172</v>
      </c>
      <c r="C93" s="16" t="s">
        <v>173</v>
      </c>
      <c r="D93" s="16" t="s">
        <v>23</v>
      </c>
      <c r="E93" s="16" t="b">
        <v>0</v>
      </c>
      <c r="F93" s="16" t="s">
        <v>27</v>
      </c>
      <c r="G93" s="16">
        <v>8</v>
      </c>
      <c r="H93" s="17">
        <v>46125</v>
      </c>
    </row>
    <row r="94" spans="1:8" x14ac:dyDescent="0.2">
      <c r="A94" s="16">
        <v>21</v>
      </c>
      <c r="B94" s="16" t="s">
        <v>174</v>
      </c>
      <c r="C94" s="16" t="s">
        <v>175</v>
      </c>
      <c r="D94" s="16" t="s">
        <v>23</v>
      </c>
      <c r="E94" s="16" t="b">
        <v>0</v>
      </c>
      <c r="F94" s="16" t="s">
        <v>25</v>
      </c>
      <c r="H94" s="17">
        <v>46125</v>
      </c>
    </row>
    <row r="95" spans="1:8" x14ac:dyDescent="0.2">
      <c r="A95" s="16">
        <v>1049</v>
      </c>
      <c r="B95" s="16" t="s">
        <v>176</v>
      </c>
      <c r="C95" s="16" t="s">
        <v>177</v>
      </c>
      <c r="D95" s="16" t="s">
        <v>23</v>
      </c>
      <c r="E95" s="16" t="b">
        <v>0</v>
      </c>
      <c r="F95" s="16" t="s">
        <v>27</v>
      </c>
      <c r="G95" s="16">
        <v>19</v>
      </c>
      <c r="H95" s="17">
        <v>46125</v>
      </c>
    </row>
    <row r="96" spans="1:8" x14ac:dyDescent="0.2">
      <c r="A96" s="16">
        <v>120</v>
      </c>
      <c r="B96" s="16" t="s">
        <v>178</v>
      </c>
      <c r="C96" s="16" t="s">
        <v>179</v>
      </c>
      <c r="D96" s="16" t="s">
        <v>23</v>
      </c>
      <c r="E96" s="16" t="b">
        <v>1</v>
      </c>
      <c r="F96" s="16" t="s">
        <v>27</v>
      </c>
      <c r="G96" s="16">
        <v>12</v>
      </c>
      <c r="H96" s="17">
        <v>46125</v>
      </c>
    </row>
    <row r="97" spans="1:8" x14ac:dyDescent="0.2">
      <c r="A97" s="16">
        <v>990</v>
      </c>
      <c r="B97" s="16" t="s">
        <v>180</v>
      </c>
      <c r="C97" s="16" t="s">
        <v>87</v>
      </c>
      <c r="D97" s="16" t="s">
        <v>23</v>
      </c>
      <c r="E97" s="16" t="b">
        <v>1</v>
      </c>
      <c r="F97" s="16" t="s">
        <v>27</v>
      </c>
      <c r="G97" s="16">
        <v>10</v>
      </c>
      <c r="H97" s="17">
        <v>46125</v>
      </c>
    </row>
    <row r="98" spans="1:8" x14ac:dyDescent="0.2">
      <c r="A98" s="16">
        <v>1395</v>
      </c>
      <c r="B98" s="16" t="s">
        <v>181</v>
      </c>
      <c r="C98" s="16" t="s">
        <v>182</v>
      </c>
      <c r="D98" s="16" t="s">
        <v>23</v>
      </c>
      <c r="E98" s="16" t="b">
        <v>1</v>
      </c>
      <c r="F98" s="16" t="s">
        <v>35</v>
      </c>
      <c r="H98" s="17">
        <v>46125</v>
      </c>
    </row>
    <row r="99" spans="1:8" x14ac:dyDescent="0.2">
      <c r="A99" s="16">
        <v>1158</v>
      </c>
      <c r="B99" s="16" t="s">
        <v>183</v>
      </c>
      <c r="C99" s="16" t="s">
        <v>184</v>
      </c>
      <c r="D99" s="16" t="s">
        <v>23</v>
      </c>
      <c r="E99" s="16" t="b">
        <v>1</v>
      </c>
      <c r="F99" s="16" t="s">
        <v>25</v>
      </c>
      <c r="H99" s="17">
        <v>46125</v>
      </c>
    </row>
    <row r="100" spans="1:8" x14ac:dyDescent="0.2">
      <c r="A100" s="16">
        <v>23</v>
      </c>
      <c r="B100" s="16" t="s">
        <v>185</v>
      </c>
      <c r="C100" s="16" t="s">
        <v>100</v>
      </c>
      <c r="D100" s="16" t="s">
        <v>23</v>
      </c>
      <c r="E100" s="16" t="b">
        <v>0</v>
      </c>
      <c r="F100" s="16" t="s">
        <v>27</v>
      </c>
      <c r="G100" s="16">
        <v>10</v>
      </c>
      <c r="H100" s="17">
        <v>46125</v>
      </c>
    </row>
    <row r="101" spans="1:8" x14ac:dyDescent="0.2">
      <c r="A101" s="16">
        <v>1152</v>
      </c>
      <c r="B101" s="16" t="s">
        <v>186</v>
      </c>
      <c r="C101" s="16" t="s">
        <v>187</v>
      </c>
      <c r="D101" s="16" t="s">
        <v>54</v>
      </c>
      <c r="E101" s="16" t="b">
        <v>1</v>
      </c>
      <c r="F101" s="16" t="s">
        <v>188</v>
      </c>
      <c r="H101" s="17">
        <v>46125</v>
      </c>
    </row>
    <row r="102" spans="1:8" x14ac:dyDescent="0.2">
      <c r="A102" s="16">
        <v>581</v>
      </c>
      <c r="B102" s="16" t="s">
        <v>189</v>
      </c>
      <c r="C102" s="16" t="s">
        <v>190</v>
      </c>
      <c r="D102" s="16" t="s">
        <v>23</v>
      </c>
      <c r="E102" s="16" t="b">
        <v>0</v>
      </c>
      <c r="F102" s="16" t="s">
        <v>27</v>
      </c>
      <c r="G102" s="16">
        <v>13</v>
      </c>
      <c r="H102" s="17">
        <v>46125</v>
      </c>
    </row>
    <row r="103" spans="1:8" x14ac:dyDescent="0.2">
      <c r="A103" s="16">
        <v>1374</v>
      </c>
      <c r="B103" s="16" t="s">
        <v>191</v>
      </c>
      <c r="C103" s="16" t="s">
        <v>192</v>
      </c>
      <c r="D103" s="16" t="s">
        <v>23</v>
      </c>
      <c r="E103" s="16" t="b">
        <v>0</v>
      </c>
      <c r="F103" s="16" t="s">
        <v>25</v>
      </c>
      <c r="H103" s="17">
        <v>46125</v>
      </c>
    </row>
    <row r="104" spans="1:8" x14ac:dyDescent="0.2">
      <c r="A104" s="16">
        <v>25</v>
      </c>
      <c r="B104" s="16" t="s">
        <v>22</v>
      </c>
      <c r="C104" s="16" t="s">
        <v>193</v>
      </c>
      <c r="D104" s="16" t="s">
        <v>23</v>
      </c>
      <c r="E104" s="16" t="b">
        <v>0</v>
      </c>
      <c r="F104" s="16" t="s">
        <v>27</v>
      </c>
      <c r="G104" s="16">
        <v>8</v>
      </c>
      <c r="H104" s="17">
        <v>46125</v>
      </c>
    </row>
    <row r="105" spans="1:8" x14ac:dyDescent="0.2">
      <c r="A105" s="16">
        <v>415</v>
      </c>
      <c r="B105" s="16" t="s">
        <v>195</v>
      </c>
      <c r="C105" s="16" t="s">
        <v>196</v>
      </c>
      <c r="D105" s="16" t="s">
        <v>23</v>
      </c>
      <c r="E105" s="16" t="b">
        <v>0</v>
      </c>
      <c r="F105" s="16" t="s">
        <v>27</v>
      </c>
      <c r="G105" s="16">
        <v>6</v>
      </c>
      <c r="H105" s="17">
        <v>46125</v>
      </c>
    </row>
    <row r="106" spans="1:8" x14ac:dyDescent="0.2">
      <c r="A106" s="16">
        <v>1144</v>
      </c>
      <c r="B106" s="16" t="s">
        <v>195</v>
      </c>
      <c r="C106" s="16" t="s">
        <v>197</v>
      </c>
      <c r="D106" s="16" t="s">
        <v>54</v>
      </c>
      <c r="E106" s="16" t="b">
        <v>0</v>
      </c>
      <c r="F106" s="16" t="s">
        <v>188</v>
      </c>
      <c r="H106" s="17">
        <v>46125</v>
      </c>
    </row>
    <row r="107" spans="1:8" x14ac:dyDescent="0.2">
      <c r="A107" s="16">
        <v>203</v>
      </c>
      <c r="B107" s="16" t="s">
        <v>200</v>
      </c>
      <c r="C107" s="16" t="s">
        <v>201</v>
      </c>
      <c r="D107" s="16" t="s">
        <v>23</v>
      </c>
      <c r="E107" s="16" t="b">
        <v>0</v>
      </c>
      <c r="F107" s="16" t="s">
        <v>27</v>
      </c>
      <c r="G107" s="16">
        <v>9</v>
      </c>
      <c r="H107" s="17">
        <v>46125</v>
      </c>
    </row>
    <row r="108" spans="1:8" x14ac:dyDescent="0.2">
      <c r="A108" s="16">
        <v>956</v>
      </c>
      <c r="B108" s="16" t="s">
        <v>202</v>
      </c>
      <c r="C108" s="16" t="s">
        <v>94</v>
      </c>
      <c r="D108" s="16" t="s">
        <v>23</v>
      </c>
      <c r="E108" s="16" t="b">
        <v>0</v>
      </c>
      <c r="F108" s="16" t="s">
        <v>27</v>
      </c>
      <c r="G108" s="16">
        <v>13</v>
      </c>
      <c r="H108" s="17">
        <v>46125</v>
      </c>
    </row>
    <row r="109" spans="1:8" x14ac:dyDescent="0.2">
      <c r="A109" s="16">
        <v>1273</v>
      </c>
      <c r="B109" s="16" t="s">
        <v>203</v>
      </c>
      <c r="C109" s="16" t="s">
        <v>204</v>
      </c>
      <c r="D109" s="16" t="s">
        <v>23</v>
      </c>
      <c r="E109" s="16" t="b">
        <v>1</v>
      </c>
      <c r="F109" s="16" t="s">
        <v>27</v>
      </c>
      <c r="G109" s="16">
        <v>22</v>
      </c>
      <c r="H109" s="17">
        <v>46125</v>
      </c>
    </row>
    <row r="110" spans="1:8" x14ac:dyDescent="0.2">
      <c r="A110" s="16">
        <v>1272</v>
      </c>
      <c r="B110" s="16" t="s">
        <v>203</v>
      </c>
      <c r="C110" s="16" t="s">
        <v>205</v>
      </c>
      <c r="D110" s="16" t="s">
        <v>23</v>
      </c>
      <c r="E110" s="16" t="b">
        <v>0</v>
      </c>
      <c r="F110" s="16" t="s">
        <v>27</v>
      </c>
      <c r="G110" s="16">
        <v>24</v>
      </c>
      <c r="H110" s="17">
        <v>46125</v>
      </c>
    </row>
    <row r="111" spans="1:8" x14ac:dyDescent="0.2">
      <c r="A111" s="16">
        <v>846</v>
      </c>
      <c r="B111" s="16" t="s">
        <v>206</v>
      </c>
      <c r="C111" s="16" t="s">
        <v>207</v>
      </c>
      <c r="D111" s="16" t="s">
        <v>23</v>
      </c>
      <c r="E111" s="16" t="b">
        <v>0</v>
      </c>
      <c r="F111" s="16" t="s">
        <v>27</v>
      </c>
      <c r="G111" s="16">
        <v>17</v>
      </c>
      <c r="H111" s="17">
        <v>46125</v>
      </c>
    </row>
    <row r="112" spans="1:8" x14ac:dyDescent="0.2">
      <c r="A112" s="16">
        <v>1162</v>
      </c>
      <c r="B112" s="16" t="s">
        <v>208</v>
      </c>
      <c r="C112" s="16" t="s">
        <v>150</v>
      </c>
      <c r="D112" s="16" t="s">
        <v>23</v>
      </c>
      <c r="E112" s="16" t="b">
        <v>0</v>
      </c>
      <c r="F112" s="16" t="s">
        <v>25</v>
      </c>
      <c r="H112" s="17">
        <v>46125</v>
      </c>
    </row>
    <row r="113" spans="1:8" x14ac:dyDescent="0.2">
      <c r="A113" s="16">
        <v>1244</v>
      </c>
      <c r="B113" s="16" t="s">
        <v>209</v>
      </c>
      <c r="C113" s="16" t="s">
        <v>94</v>
      </c>
      <c r="D113" s="16" t="s">
        <v>23</v>
      </c>
      <c r="E113" s="16" t="b">
        <v>0</v>
      </c>
      <c r="F113" s="16" t="s">
        <v>27</v>
      </c>
      <c r="G113" s="16">
        <v>2</v>
      </c>
      <c r="H113" s="17">
        <v>46125</v>
      </c>
    </row>
    <row r="114" spans="1:8" x14ac:dyDescent="0.2">
      <c r="A114" s="16">
        <v>1379</v>
      </c>
      <c r="B114" s="16" t="s">
        <v>209</v>
      </c>
      <c r="C114" s="16" t="s">
        <v>210</v>
      </c>
      <c r="D114" s="16" t="s">
        <v>23</v>
      </c>
      <c r="E114" s="16" t="b">
        <v>1</v>
      </c>
      <c r="F114" s="16" t="s">
        <v>25</v>
      </c>
      <c r="H114" s="17">
        <v>46125</v>
      </c>
    </row>
    <row r="115" spans="1:8" x14ac:dyDescent="0.2">
      <c r="A115" s="16">
        <v>1362</v>
      </c>
      <c r="B115" s="16" t="s">
        <v>211</v>
      </c>
      <c r="C115" s="16" t="s">
        <v>212</v>
      </c>
      <c r="D115" s="16" t="s">
        <v>23</v>
      </c>
      <c r="E115" s="16" t="b">
        <v>1</v>
      </c>
      <c r="F115" s="16" t="s">
        <v>27</v>
      </c>
      <c r="G115" s="16">
        <v>22</v>
      </c>
      <c r="H115" s="17">
        <v>46125</v>
      </c>
    </row>
    <row r="116" spans="1:8" x14ac:dyDescent="0.2">
      <c r="A116" s="16">
        <v>1403</v>
      </c>
      <c r="B116" s="16" t="s">
        <v>213</v>
      </c>
      <c r="C116" s="16" t="s">
        <v>214</v>
      </c>
      <c r="D116" s="16" t="s">
        <v>23</v>
      </c>
      <c r="E116" s="16" t="b">
        <v>0</v>
      </c>
      <c r="F116" s="16" t="s">
        <v>27</v>
      </c>
      <c r="G116" s="16">
        <v>8</v>
      </c>
      <c r="H116" s="17">
        <v>46125</v>
      </c>
    </row>
    <row r="117" spans="1:8" x14ac:dyDescent="0.2">
      <c r="A117" s="16">
        <v>1404</v>
      </c>
      <c r="B117" s="16" t="s">
        <v>213</v>
      </c>
      <c r="C117" s="16" t="s">
        <v>215</v>
      </c>
      <c r="D117" s="16" t="s">
        <v>23</v>
      </c>
      <c r="E117" s="16" t="b">
        <v>1</v>
      </c>
      <c r="F117" s="16" t="s">
        <v>25</v>
      </c>
      <c r="H117" s="17">
        <v>46125</v>
      </c>
    </row>
    <row r="118" spans="1:8" x14ac:dyDescent="0.2">
      <c r="A118" s="16">
        <v>1229</v>
      </c>
      <c r="B118" s="16" t="s">
        <v>216</v>
      </c>
      <c r="C118" s="16" t="s">
        <v>217</v>
      </c>
      <c r="D118" s="16" t="s">
        <v>23</v>
      </c>
      <c r="E118" s="16" t="b">
        <v>1</v>
      </c>
      <c r="F118" s="16" t="s">
        <v>25</v>
      </c>
      <c r="H118" s="17">
        <v>46125</v>
      </c>
    </row>
    <row r="119" spans="1:8" x14ac:dyDescent="0.2">
      <c r="A119" s="16">
        <v>1408</v>
      </c>
      <c r="B119" s="16" t="s">
        <v>218</v>
      </c>
      <c r="C119" s="16" t="s">
        <v>219</v>
      </c>
      <c r="D119" s="16" t="s">
        <v>23</v>
      </c>
      <c r="E119" s="16" t="b">
        <v>0</v>
      </c>
      <c r="F119" s="16" t="s">
        <v>27</v>
      </c>
      <c r="G119" s="16">
        <v>20</v>
      </c>
      <c r="H119" s="17">
        <v>46125</v>
      </c>
    </row>
    <row r="120" spans="1:8" x14ac:dyDescent="0.2">
      <c r="A120" s="16">
        <v>1409</v>
      </c>
      <c r="B120" s="16" t="s">
        <v>218</v>
      </c>
      <c r="C120" s="16" t="s">
        <v>220</v>
      </c>
      <c r="D120" s="16" t="s">
        <v>23</v>
      </c>
      <c r="E120" s="16" t="b">
        <v>1</v>
      </c>
      <c r="F120" s="16" t="s">
        <v>27</v>
      </c>
      <c r="G120" s="16">
        <v>15</v>
      </c>
      <c r="H120" s="17">
        <v>46125</v>
      </c>
    </row>
    <row r="121" spans="1:8" x14ac:dyDescent="0.2">
      <c r="A121" s="16">
        <v>1198</v>
      </c>
      <c r="B121" s="16" t="s">
        <v>221</v>
      </c>
      <c r="C121" s="16" t="s">
        <v>222</v>
      </c>
      <c r="D121" s="16" t="s">
        <v>23</v>
      </c>
      <c r="E121" s="16" t="b">
        <v>0</v>
      </c>
      <c r="F121" s="16" t="s">
        <v>27</v>
      </c>
      <c r="G121" s="16">
        <v>5</v>
      </c>
      <c r="H121" s="17">
        <v>46125</v>
      </c>
    </row>
    <row r="122" spans="1:8" x14ac:dyDescent="0.2">
      <c r="A122" s="16">
        <v>1260</v>
      </c>
      <c r="B122" s="16" t="s">
        <v>223</v>
      </c>
      <c r="C122" s="16" t="s">
        <v>82</v>
      </c>
      <c r="D122" s="16" t="s">
        <v>23</v>
      </c>
      <c r="E122" s="16" t="b">
        <v>1</v>
      </c>
      <c r="F122" s="16" t="s">
        <v>27</v>
      </c>
      <c r="G122" s="16">
        <v>15</v>
      </c>
      <c r="H122" s="17">
        <v>46125</v>
      </c>
    </row>
    <row r="123" spans="1:8" x14ac:dyDescent="0.2">
      <c r="A123" s="16">
        <v>1361</v>
      </c>
      <c r="B123" s="16" t="s">
        <v>224</v>
      </c>
      <c r="C123" s="16" t="s">
        <v>225</v>
      </c>
      <c r="D123" s="16" t="s">
        <v>23</v>
      </c>
      <c r="E123" s="16" t="b">
        <v>0</v>
      </c>
      <c r="F123" s="16" t="s">
        <v>27</v>
      </c>
      <c r="G123" s="16">
        <v>16</v>
      </c>
      <c r="H123" s="17">
        <v>46125</v>
      </c>
    </row>
    <row r="124" spans="1:8" x14ac:dyDescent="0.2">
      <c r="A124" s="16">
        <v>1100</v>
      </c>
      <c r="B124" s="16" t="s">
        <v>226</v>
      </c>
      <c r="C124" s="16" t="s">
        <v>34</v>
      </c>
      <c r="D124" s="16" t="s">
        <v>23</v>
      </c>
      <c r="E124" s="16" t="b">
        <v>0</v>
      </c>
      <c r="F124" s="16" t="s">
        <v>27</v>
      </c>
      <c r="G124" s="16">
        <v>13</v>
      </c>
      <c r="H124" s="17">
        <v>46125</v>
      </c>
    </row>
    <row r="125" spans="1:8" x14ac:dyDescent="0.2">
      <c r="A125" s="16">
        <v>1385</v>
      </c>
      <c r="B125" s="16" t="s">
        <v>227</v>
      </c>
      <c r="C125" s="16" t="s">
        <v>228</v>
      </c>
      <c r="D125" s="16" t="s">
        <v>23</v>
      </c>
      <c r="E125" s="16" t="b">
        <v>0</v>
      </c>
      <c r="F125" s="16" t="s">
        <v>25</v>
      </c>
      <c r="H125" s="17">
        <v>46125</v>
      </c>
    </row>
    <row r="126" spans="1:8" x14ac:dyDescent="0.2">
      <c r="A126" s="16">
        <v>1394</v>
      </c>
      <c r="B126" s="16" t="s">
        <v>227</v>
      </c>
      <c r="C126" s="16" t="s">
        <v>229</v>
      </c>
      <c r="D126" s="16" t="s">
        <v>23</v>
      </c>
      <c r="E126" s="16" t="b">
        <v>0</v>
      </c>
      <c r="F126" s="16" t="s">
        <v>35</v>
      </c>
      <c r="H126" s="17">
        <v>46125</v>
      </c>
    </row>
    <row r="127" spans="1:8" x14ac:dyDescent="0.2">
      <c r="A127" s="16">
        <v>1419</v>
      </c>
      <c r="B127" s="16" t="s">
        <v>230</v>
      </c>
      <c r="C127" s="16" t="s">
        <v>231</v>
      </c>
      <c r="D127" s="16" t="s">
        <v>23</v>
      </c>
      <c r="E127" s="16" t="b">
        <v>0</v>
      </c>
      <c r="F127" s="16" t="s">
        <v>25</v>
      </c>
      <c r="H127" s="17">
        <v>46125</v>
      </c>
    </row>
    <row r="128" spans="1:8" x14ac:dyDescent="0.2">
      <c r="A128" s="16">
        <v>967</v>
      </c>
      <c r="B128" s="16" t="s">
        <v>232</v>
      </c>
      <c r="C128" s="16" t="s">
        <v>152</v>
      </c>
      <c r="D128" s="16" t="s">
        <v>23</v>
      </c>
      <c r="E128" s="16" t="b">
        <v>0</v>
      </c>
      <c r="F128" s="16" t="s">
        <v>27</v>
      </c>
      <c r="G128" s="16">
        <v>5</v>
      </c>
      <c r="H128" s="17">
        <v>46125</v>
      </c>
    </row>
    <row r="129" spans="1:8" x14ac:dyDescent="0.2">
      <c r="A129" s="16">
        <v>1373</v>
      </c>
      <c r="B129" s="16" t="s">
        <v>233</v>
      </c>
      <c r="C129" s="16" t="s">
        <v>234</v>
      </c>
      <c r="D129" s="16" t="s">
        <v>23</v>
      </c>
      <c r="E129" s="16" t="b">
        <v>0</v>
      </c>
      <c r="F129" s="16" t="s">
        <v>27</v>
      </c>
      <c r="G129" s="16">
        <v>10</v>
      </c>
      <c r="H129" s="17">
        <v>46125</v>
      </c>
    </row>
    <row r="130" spans="1:8" x14ac:dyDescent="0.2">
      <c r="A130" s="16">
        <v>1045</v>
      </c>
      <c r="B130" s="16" t="s">
        <v>235</v>
      </c>
      <c r="C130" s="16" t="s">
        <v>236</v>
      </c>
      <c r="D130" s="16" t="s">
        <v>23</v>
      </c>
      <c r="E130" s="16" t="b">
        <v>1</v>
      </c>
      <c r="F130" s="16" t="s">
        <v>27</v>
      </c>
      <c r="G130" s="16">
        <v>5</v>
      </c>
      <c r="H130" s="17">
        <v>46125</v>
      </c>
    </row>
    <row r="131" spans="1:8" x14ac:dyDescent="0.2">
      <c r="A131" s="16">
        <v>1046</v>
      </c>
      <c r="B131" s="16" t="s">
        <v>235</v>
      </c>
      <c r="C131" s="16" t="s">
        <v>237</v>
      </c>
      <c r="D131" s="16" t="s">
        <v>23</v>
      </c>
      <c r="E131" s="16" t="b">
        <v>0</v>
      </c>
      <c r="F131" s="16" t="s">
        <v>27</v>
      </c>
      <c r="G131" s="16">
        <v>35</v>
      </c>
      <c r="H131" s="17">
        <v>46125</v>
      </c>
    </row>
    <row r="132" spans="1:8" x14ac:dyDescent="0.2">
      <c r="A132" s="16">
        <v>1396</v>
      </c>
      <c r="B132" s="16" t="s">
        <v>238</v>
      </c>
      <c r="C132" s="16" t="s">
        <v>59</v>
      </c>
      <c r="D132" s="16" t="s">
        <v>23</v>
      </c>
      <c r="E132" s="16" t="b">
        <v>0</v>
      </c>
      <c r="F132" s="16" t="s">
        <v>25</v>
      </c>
      <c r="H132" s="17">
        <v>46125</v>
      </c>
    </row>
    <row r="133" spans="1:8" x14ac:dyDescent="0.2">
      <c r="A133" s="16">
        <v>1397</v>
      </c>
      <c r="B133" s="16" t="s">
        <v>238</v>
      </c>
      <c r="C133" s="16" t="s">
        <v>239</v>
      </c>
      <c r="D133" s="16" t="s">
        <v>23</v>
      </c>
      <c r="E133" s="16" t="b">
        <v>1</v>
      </c>
      <c r="F133" s="16" t="s">
        <v>25</v>
      </c>
      <c r="H133" s="17">
        <v>46125</v>
      </c>
    </row>
    <row r="134" spans="1:8" x14ac:dyDescent="0.2">
      <c r="A134" s="16">
        <v>1398</v>
      </c>
      <c r="B134" s="16" t="s">
        <v>238</v>
      </c>
      <c r="C134" s="16" t="s">
        <v>49</v>
      </c>
      <c r="D134" s="16" t="s">
        <v>23</v>
      </c>
      <c r="E134" s="16" t="b">
        <v>0</v>
      </c>
      <c r="F134" s="16" t="s">
        <v>35</v>
      </c>
      <c r="H134" s="17">
        <v>46125</v>
      </c>
    </row>
    <row r="135" spans="1:8" x14ac:dyDescent="0.2">
      <c r="A135" s="16">
        <v>1399</v>
      </c>
      <c r="B135" s="16" t="s">
        <v>238</v>
      </c>
      <c r="C135" s="16" t="s">
        <v>131</v>
      </c>
      <c r="D135" s="16" t="s">
        <v>23</v>
      </c>
      <c r="E135" s="16" t="b">
        <v>1</v>
      </c>
      <c r="F135" s="16" t="s">
        <v>35</v>
      </c>
      <c r="H135" s="17">
        <v>46125</v>
      </c>
    </row>
    <row r="136" spans="1:8" x14ac:dyDescent="0.2">
      <c r="A136" s="16">
        <v>771</v>
      </c>
      <c r="B136" s="16" t="s">
        <v>240</v>
      </c>
      <c r="C136" s="16" t="s">
        <v>241</v>
      </c>
      <c r="D136" s="16" t="s">
        <v>23</v>
      </c>
      <c r="E136" s="16" t="b">
        <v>0</v>
      </c>
      <c r="F136" s="16" t="s">
        <v>27</v>
      </c>
      <c r="G136" s="16">
        <v>14</v>
      </c>
      <c r="H136" s="17">
        <v>46125</v>
      </c>
    </row>
    <row r="137" spans="1:8" x14ac:dyDescent="0.2">
      <c r="A137" s="16">
        <v>1265</v>
      </c>
      <c r="B137" s="16" t="s">
        <v>242</v>
      </c>
      <c r="C137" s="16" t="s">
        <v>243</v>
      </c>
      <c r="D137" s="16" t="s">
        <v>23</v>
      </c>
      <c r="E137" s="16" t="b">
        <v>0</v>
      </c>
      <c r="F137" s="16" t="s">
        <v>27</v>
      </c>
      <c r="G137" s="16">
        <v>20</v>
      </c>
      <c r="H137" s="17">
        <v>46125</v>
      </c>
    </row>
    <row r="138" spans="1:8" x14ac:dyDescent="0.2">
      <c r="A138" s="16">
        <v>532</v>
      </c>
      <c r="B138" s="16" t="s">
        <v>244</v>
      </c>
      <c r="C138" s="16" t="s">
        <v>243</v>
      </c>
      <c r="D138" s="16" t="s">
        <v>23</v>
      </c>
      <c r="E138" s="16" t="b">
        <v>0</v>
      </c>
      <c r="F138" s="16" t="s">
        <v>27</v>
      </c>
      <c r="G138" s="16">
        <v>13</v>
      </c>
      <c r="H138" s="17">
        <v>46125</v>
      </c>
    </row>
    <row r="139" spans="1:8" x14ac:dyDescent="0.2">
      <c r="A139" s="16">
        <v>742</v>
      </c>
      <c r="B139" s="16" t="s">
        <v>246</v>
      </c>
      <c r="C139" s="16" t="s">
        <v>156</v>
      </c>
      <c r="D139" s="16" t="s">
        <v>23</v>
      </c>
      <c r="E139" s="16" t="b">
        <v>1</v>
      </c>
      <c r="F139" s="16" t="s">
        <v>27</v>
      </c>
      <c r="G139" s="16">
        <v>2</v>
      </c>
      <c r="H139" s="17">
        <v>46125</v>
      </c>
    </row>
    <row r="140" spans="1:8" x14ac:dyDescent="0.2">
      <c r="A140" s="16">
        <v>741</v>
      </c>
      <c r="B140" s="16" t="s">
        <v>246</v>
      </c>
      <c r="C140" s="16" t="s">
        <v>247</v>
      </c>
      <c r="D140" s="16" t="s">
        <v>23</v>
      </c>
      <c r="E140" s="16" t="b">
        <v>0</v>
      </c>
      <c r="F140" s="16" t="s">
        <v>27</v>
      </c>
      <c r="G140" s="16">
        <v>4</v>
      </c>
      <c r="H140" s="17">
        <v>46125</v>
      </c>
    </row>
    <row r="141" spans="1:8" x14ac:dyDescent="0.2">
      <c r="A141" s="16">
        <v>1298</v>
      </c>
      <c r="B141" s="16" t="s">
        <v>246</v>
      </c>
      <c r="C141" s="16" t="s">
        <v>132</v>
      </c>
      <c r="D141" s="16" t="s">
        <v>23</v>
      </c>
      <c r="E141" s="16" t="b">
        <v>1</v>
      </c>
      <c r="F141" s="16" t="s">
        <v>27</v>
      </c>
      <c r="G141" s="16">
        <v>13</v>
      </c>
      <c r="H141" s="17">
        <v>46125</v>
      </c>
    </row>
    <row r="142" spans="1:8" x14ac:dyDescent="0.2">
      <c r="A142" s="16">
        <v>747</v>
      </c>
      <c r="B142" s="16" t="s">
        <v>246</v>
      </c>
      <c r="C142" s="16" t="s">
        <v>22</v>
      </c>
      <c r="D142" s="16" t="s">
        <v>23</v>
      </c>
      <c r="E142" s="16" t="b">
        <v>0</v>
      </c>
      <c r="F142" s="16" t="s">
        <v>27</v>
      </c>
      <c r="G142" s="16">
        <v>1</v>
      </c>
      <c r="H142" s="17">
        <v>46125</v>
      </c>
    </row>
    <row r="143" spans="1:8" x14ac:dyDescent="0.2">
      <c r="A143" s="16">
        <v>1386</v>
      </c>
      <c r="B143" s="16" t="s">
        <v>246</v>
      </c>
      <c r="C143" s="16" t="s">
        <v>248</v>
      </c>
      <c r="D143" s="16" t="s">
        <v>23</v>
      </c>
      <c r="E143" s="16" t="b">
        <v>1</v>
      </c>
      <c r="F143" s="16" t="s">
        <v>35</v>
      </c>
      <c r="H143" s="17">
        <v>46125</v>
      </c>
    </row>
    <row r="144" spans="1:8" x14ac:dyDescent="0.2">
      <c r="A144" s="16">
        <v>564</v>
      </c>
      <c r="B144" s="16" t="s">
        <v>250</v>
      </c>
      <c r="C144" s="16" t="s">
        <v>34</v>
      </c>
      <c r="D144" s="16" t="s">
        <v>23</v>
      </c>
      <c r="E144" s="16" t="b">
        <v>0</v>
      </c>
      <c r="F144" s="16" t="s">
        <v>27</v>
      </c>
      <c r="G144" s="16">
        <v>7</v>
      </c>
      <c r="H144" s="17">
        <v>46125</v>
      </c>
    </row>
    <row r="145" spans="1:8" x14ac:dyDescent="0.2">
      <c r="A145" s="16">
        <v>1165</v>
      </c>
      <c r="B145" s="16" t="s">
        <v>251</v>
      </c>
      <c r="C145" s="16" t="s">
        <v>177</v>
      </c>
      <c r="D145" s="16" t="s">
        <v>23</v>
      </c>
      <c r="E145" s="16" t="b">
        <v>0</v>
      </c>
      <c r="F145" s="16" t="s">
        <v>27</v>
      </c>
      <c r="G145" s="16">
        <v>10</v>
      </c>
      <c r="H145" s="17">
        <v>46125</v>
      </c>
    </row>
    <row r="146" spans="1:8" x14ac:dyDescent="0.2">
      <c r="A146" s="16">
        <v>405</v>
      </c>
      <c r="B146" s="16" t="s">
        <v>252</v>
      </c>
      <c r="C146" s="16" t="s">
        <v>243</v>
      </c>
      <c r="D146" s="16" t="s">
        <v>23</v>
      </c>
      <c r="E146" s="16" t="b">
        <v>0</v>
      </c>
      <c r="F146" s="16" t="s">
        <v>27</v>
      </c>
      <c r="G146" s="16">
        <v>18</v>
      </c>
      <c r="H146" s="17">
        <v>46125</v>
      </c>
    </row>
    <row r="147" spans="1:8" x14ac:dyDescent="0.2">
      <c r="A147" s="16">
        <v>1346</v>
      </c>
      <c r="B147" s="16" t="s">
        <v>253</v>
      </c>
      <c r="C147" s="16" t="s">
        <v>254</v>
      </c>
      <c r="D147" s="16" t="s">
        <v>23</v>
      </c>
      <c r="E147" s="16" t="b">
        <v>0</v>
      </c>
      <c r="F147" s="16" t="s">
        <v>27</v>
      </c>
      <c r="G147" s="16">
        <v>20</v>
      </c>
      <c r="H147" s="17">
        <v>46125</v>
      </c>
    </row>
    <row r="148" spans="1:8" x14ac:dyDescent="0.2">
      <c r="A148" s="16">
        <v>1192</v>
      </c>
      <c r="B148" s="16" t="s">
        <v>255</v>
      </c>
      <c r="C148" s="16" t="s">
        <v>256</v>
      </c>
      <c r="D148" s="16" t="s">
        <v>23</v>
      </c>
      <c r="E148" s="16" t="b">
        <v>0</v>
      </c>
      <c r="F148" s="16" t="s">
        <v>27</v>
      </c>
      <c r="G148" s="16">
        <v>10</v>
      </c>
      <c r="H148" s="17">
        <v>46125</v>
      </c>
    </row>
    <row r="149" spans="1:8" x14ac:dyDescent="0.2">
      <c r="A149" s="16">
        <v>1157</v>
      </c>
      <c r="B149" s="16" t="s">
        <v>257</v>
      </c>
      <c r="C149" s="16" t="s">
        <v>100</v>
      </c>
      <c r="D149" s="16" t="s">
        <v>23</v>
      </c>
      <c r="E149" s="16" t="b">
        <v>0</v>
      </c>
      <c r="F149" s="16" t="s">
        <v>25</v>
      </c>
      <c r="H149" s="17">
        <v>46125</v>
      </c>
    </row>
    <row r="150" spans="1:8" x14ac:dyDescent="0.2">
      <c r="A150" s="16">
        <v>1359</v>
      </c>
      <c r="B150" s="16" t="s">
        <v>258</v>
      </c>
      <c r="C150" s="16" t="s">
        <v>49</v>
      </c>
      <c r="D150" s="16" t="s">
        <v>23</v>
      </c>
      <c r="E150" s="16" t="b">
        <v>0</v>
      </c>
      <c r="F150" s="16" t="s">
        <v>188</v>
      </c>
      <c r="H150" s="17">
        <v>46125</v>
      </c>
    </row>
    <row r="151" spans="1:8" x14ac:dyDescent="0.2">
      <c r="A151" s="16">
        <v>1360</v>
      </c>
      <c r="B151" s="16" t="s">
        <v>258</v>
      </c>
      <c r="C151" s="16" t="s">
        <v>259</v>
      </c>
      <c r="D151" s="16" t="s">
        <v>23</v>
      </c>
      <c r="E151" s="16" t="b">
        <v>1</v>
      </c>
      <c r="F151" s="16" t="s">
        <v>35</v>
      </c>
      <c r="H151" s="17">
        <v>46125</v>
      </c>
    </row>
    <row r="152" spans="1:8" x14ac:dyDescent="0.2">
      <c r="A152" s="16">
        <v>1357</v>
      </c>
      <c r="B152" s="16" t="s">
        <v>258</v>
      </c>
      <c r="C152" s="16" t="s">
        <v>34</v>
      </c>
      <c r="D152" s="16" t="s">
        <v>23</v>
      </c>
      <c r="E152" s="16" t="b">
        <v>0</v>
      </c>
      <c r="F152" s="16" t="s">
        <v>27</v>
      </c>
      <c r="G152" s="16">
        <v>5</v>
      </c>
      <c r="H152" s="17">
        <v>46125</v>
      </c>
    </row>
    <row r="153" spans="1:8" x14ac:dyDescent="0.2">
      <c r="A153" s="16">
        <v>1358</v>
      </c>
      <c r="B153" s="16" t="s">
        <v>258</v>
      </c>
      <c r="C153" s="16" t="s">
        <v>260</v>
      </c>
      <c r="D153" s="16" t="s">
        <v>23</v>
      </c>
      <c r="E153" s="16" t="b">
        <v>1</v>
      </c>
      <c r="F153" s="16" t="s">
        <v>27</v>
      </c>
      <c r="G153" s="16">
        <v>7</v>
      </c>
      <c r="H153" s="17">
        <v>46125</v>
      </c>
    </row>
    <row r="154" spans="1:8" x14ac:dyDescent="0.2">
      <c r="A154" s="16">
        <v>1390</v>
      </c>
      <c r="B154" s="16" t="s">
        <v>261</v>
      </c>
      <c r="C154" s="16" t="s">
        <v>262</v>
      </c>
      <c r="D154" s="16" t="s">
        <v>23</v>
      </c>
      <c r="E154" s="16" t="b">
        <v>0</v>
      </c>
      <c r="F154" s="16" t="s">
        <v>25</v>
      </c>
      <c r="H154" s="17">
        <v>46125</v>
      </c>
    </row>
    <row r="155" spans="1:8" x14ac:dyDescent="0.2">
      <c r="A155" s="16">
        <v>1107</v>
      </c>
      <c r="B155" s="16" t="s">
        <v>263</v>
      </c>
      <c r="C155" s="16" t="s">
        <v>264</v>
      </c>
      <c r="D155" s="16" t="s">
        <v>23</v>
      </c>
      <c r="E155" s="16" t="b">
        <v>1</v>
      </c>
      <c r="F155" s="16" t="s">
        <v>25</v>
      </c>
      <c r="H155" s="17">
        <v>46125</v>
      </c>
    </row>
    <row r="156" spans="1:8" x14ac:dyDescent="0.2">
      <c r="A156" s="16">
        <v>35</v>
      </c>
      <c r="B156" s="16" t="s">
        <v>265</v>
      </c>
      <c r="C156" s="16" t="s">
        <v>266</v>
      </c>
      <c r="D156" s="16" t="s">
        <v>23</v>
      </c>
      <c r="E156" s="16" t="b">
        <v>0</v>
      </c>
      <c r="F156" s="16" t="s">
        <v>27</v>
      </c>
      <c r="G156" s="16">
        <v>3</v>
      </c>
      <c r="H156" s="17">
        <v>46125</v>
      </c>
    </row>
    <row r="157" spans="1:8" x14ac:dyDescent="0.2">
      <c r="A157" s="16">
        <v>1094</v>
      </c>
      <c r="B157" s="16" t="s">
        <v>267</v>
      </c>
      <c r="C157" s="16" t="s">
        <v>268</v>
      </c>
      <c r="D157" s="16" t="s">
        <v>23</v>
      </c>
      <c r="E157" s="16" t="b">
        <v>0</v>
      </c>
      <c r="F157" s="16" t="s">
        <v>27</v>
      </c>
      <c r="G157" s="16">
        <v>12</v>
      </c>
      <c r="H157" s="17">
        <v>46125</v>
      </c>
    </row>
    <row r="158" spans="1:8" x14ac:dyDescent="0.2">
      <c r="A158" s="16">
        <v>1325</v>
      </c>
      <c r="B158" s="16" t="s">
        <v>269</v>
      </c>
      <c r="C158" s="16" t="s">
        <v>270</v>
      </c>
      <c r="D158" s="16" t="s">
        <v>23</v>
      </c>
      <c r="E158" s="16" t="b">
        <v>0</v>
      </c>
      <c r="F158" s="16" t="s">
        <v>27</v>
      </c>
      <c r="G158" s="16">
        <v>3</v>
      </c>
      <c r="H158" s="17">
        <v>46125</v>
      </c>
    </row>
    <row r="159" spans="1:8" x14ac:dyDescent="0.2">
      <c r="A159" s="16">
        <v>1143</v>
      </c>
      <c r="B159" s="16" t="s">
        <v>271</v>
      </c>
      <c r="C159" s="16" t="s">
        <v>247</v>
      </c>
      <c r="D159" s="16" t="s">
        <v>23</v>
      </c>
      <c r="E159" s="16" t="b">
        <v>0</v>
      </c>
      <c r="F159" s="16" t="s">
        <v>27</v>
      </c>
      <c r="G159" s="16">
        <v>3</v>
      </c>
      <c r="H159" s="17">
        <v>46125</v>
      </c>
    </row>
    <row r="160" spans="1:8" x14ac:dyDescent="0.2">
      <c r="A160" s="16">
        <v>1401</v>
      </c>
      <c r="B160" s="16" t="s">
        <v>272</v>
      </c>
      <c r="C160" s="16" t="s">
        <v>273</v>
      </c>
      <c r="D160" s="16" t="s">
        <v>23</v>
      </c>
      <c r="E160" s="16" t="b">
        <v>1</v>
      </c>
      <c r="F160" s="16" t="s">
        <v>25</v>
      </c>
      <c r="H160" s="17">
        <v>46125</v>
      </c>
    </row>
    <row r="161" spans="1:8" x14ac:dyDescent="0.2">
      <c r="A161" s="16">
        <v>1285</v>
      </c>
      <c r="B161" s="16" t="s">
        <v>274</v>
      </c>
      <c r="C161" s="16" t="s">
        <v>100</v>
      </c>
      <c r="D161" s="16" t="s">
        <v>23</v>
      </c>
      <c r="E161" s="16" t="b">
        <v>0</v>
      </c>
      <c r="F161" s="16" t="s">
        <v>25</v>
      </c>
      <c r="H161" s="17">
        <v>46125</v>
      </c>
    </row>
    <row r="162" spans="1:8" x14ac:dyDescent="0.2">
      <c r="A162" s="16">
        <v>38</v>
      </c>
      <c r="B162" s="16" t="s">
        <v>275</v>
      </c>
      <c r="C162" s="16" t="s">
        <v>276</v>
      </c>
      <c r="D162" s="16" t="s">
        <v>23</v>
      </c>
      <c r="E162" s="16" t="b">
        <v>0</v>
      </c>
      <c r="F162" s="16" t="s">
        <v>27</v>
      </c>
      <c r="G162" s="16">
        <v>13</v>
      </c>
      <c r="H162" s="17">
        <v>46125</v>
      </c>
    </row>
    <row r="163" spans="1:8" x14ac:dyDescent="0.2">
      <c r="A163" s="16">
        <v>245</v>
      </c>
      <c r="B163" s="16" t="s">
        <v>277</v>
      </c>
      <c r="C163" s="16" t="s">
        <v>234</v>
      </c>
      <c r="D163" s="16" t="s">
        <v>23</v>
      </c>
      <c r="E163" s="16" t="b">
        <v>0</v>
      </c>
      <c r="F163" s="16" t="s">
        <v>27</v>
      </c>
      <c r="G163" s="16">
        <v>10</v>
      </c>
      <c r="H163" s="17">
        <v>46125</v>
      </c>
    </row>
    <row r="164" spans="1:8" x14ac:dyDescent="0.2">
      <c r="A164" s="16">
        <v>39</v>
      </c>
      <c r="B164" s="16" t="s">
        <v>277</v>
      </c>
      <c r="C164" s="16" t="s">
        <v>278</v>
      </c>
      <c r="D164" s="16" t="s">
        <v>23</v>
      </c>
      <c r="E164" s="16" t="b">
        <v>0</v>
      </c>
      <c r="F164" s="16" t="s">
        <v>27</v>
      </c>
      <c r="G164" s="16">
        <v>43</v>
      </c>
      <c r="H164" s="17">
        <v>46125</v>
      </c>
    </row>
    <row r="165" spans="1:8" x14ac:dyDescent="0.2">
      <c r="A165" s="16">
        <v>508</v>
      </c>
      <c r="B165" s="16" t="s">
        <v>279</v>
      </c>
      <c r="C165" s="16" t="s">
        <v>59</v>
      </c>
      <c r="D165" s="16" t="s">
        <v>23</v>
      </c>
      <c r="E165" s="16" t="b">
        <v>0</v>
      </c>
      <c r="F165" s="16" t="s">
        <v>27</v>
      </c>
      <c r="G165" s="16">
        <v>31</v>
      </c>
      <c r="H165" s="17">
        <v>46125</v>
      </c>
    </row>
    <row r="166" spans="1:8" x14ac:dyDescent="0.2">
      <c r="A166" s="16">
        <v>1392</v>
      </c>
      <c r="B166" s="16" t="s">
        <v>284</v>
      </c>
      <c r="C166" s="16" t="s">
        <v>285</v>
      </c>
      <c r="D166" s="16" t="s">
        <v>23</v>
      </c>
      <c r="E166" s="16" t="b">
        <v>1</v>
      </c>
      <c r="F166" s="16" t="s">
        <v>25</v>
      </c>
      <c r="H166" s="17">
        <v>46125</v>
      </c>
    </row>
    <row r="167" spans="1:8" x14ac:dyDescent="0.2">
      <c r="A167" s="16">
        <v>1141</v>
      </c>
      <c r="B167" s="16" t="s">
        <v>286</v>
      </c>
      <c r="C167" s="16" t="s">
        <v>287</v>
      </c>
      <c r="D167" s="16" t="s">
        <v>23</v>
      </c>
      <c r="E167" s="16" t="b">
        <v>1</v>
      </c>
      <c r="F167" s="16" t="s">
        <v>27</v>
      </c>
      <c r="G167" s="16">
        <v>15</v>
      </c>
      <c r="H167" s="17">
        <v>46125</v>
      </c>
    </row>
    <row r="168" spans="1:8" x14ac:dyDescent="0.2">
      <c r="A168" s="16">
        <v>891</v>
      </c>
      <c r="B168" s="16" t="s">
        <v>288</v>
      </c>
      <c r="C168" s="16" t="s">
        <v>289</v>
      </c>
      <c r="D168" s="16" t="s">
        <v>23</v>
      </c>
      <c r="E168" s="16" t="b">
        <v>1</v>
      </c>
      <c r="F168" s="16" t="s">
        <v>25</v>
      </c>
      <c r="H168" s="17">
        <v>46125</v>
      </c>
    </row>
    <row r="169" spans="1:8" x14ac:dyDescent="0.2">
      <c r="A169" s="16">
        <v>1352</v>
      </c>
      <c r="B169" s="16" t="s">
        <v>290</v>
      </c>
      <c r="C169" s="16" t="s">
        <v>34</v>
      </c>
      <c r="D169" s="16" t="s">
        <v>23</v>
      </c>
      <c r="E169" s="16" t="b">
        <v>0</v>
      </c>
      <c r="F169" s="16" t="s">
        <v>27</v>
      </c>
      <c r="G169" s="16">
        <v>11</v>
      </c>
      <c r="H169" s="17">
        <v>46125</v>
      </c>
    </row>
    <row r="170" spans="1:8" x14ac:dyDescent="0.2">
      <c r="A170" s="16">
        <v>1339</v>
      </c>
      <c r="B170" s="16" t="s">
        <v>291</v>
      </c>
      <c r="C170" s="16" t="s">
        <v>292</v>
      </c>
      <c r="D170" s="16" t="s">
        <v>23</v>
      </c>
      <c r="E170" s="16" t="b">
        <v>0</v>
      </c>
      <c r="F170" s="16" t="s">
        <v>25</v>
      </c>
      <c r="H170" s="17">
        <v>46125</v>
      </c>
    </row>
    <row r="171" spans="1:8" x14ac:dyDescent="0.2">
      <c r="A171" s="16">
        <v>914</v>
      </c>
      <c r="B171" s="16" t="s">
        <v>293</v>
      </c>
      <c r="C171" s="16" t="s">
        <v>153</v>
      </c>
      <c r="D171" s="16" t="s">
        <v>23</v>
      </c>
      <c r="E171" s="16" t="b">
        <v>0</v>
      </c>
      <c r="F171" s="16" t="s">
        <v>27</v>
      </c>
      <c r="G171" s="16">
        <v>14</v>
      </c>
      <c r="H171" s="17">
        <v>46125</v>
      </c>
    </row>
    <row r="172" spans="1:8" x14ac:dyDescent="0.2">
      <c r="A172" s="16">
        <v>597</v>
      </c>
      <c r="B172" s="16" t="s">
        <v>294</v>
      </c>
      <c r="C172" s="16" t="s">
        <v>295</v>
      </c>
      <c r="D172" s="16" t="s">
        <v>23</v>
      </c>
      <c r="E172" s="16" t="b">
        <v>0</v>
      </c>
      <c r="F172" s="16" t="s">
        <v>27</v>
      </c>
      <c r="G172" s="16">
        <v>36</v>
      </c>
      <c r="H172" s="17">
        <v>46125</v>
      </c>
    </row>
    <row r="173" spans="1:8" x14ac:dyDescent="0.2">
      <c r="A173" s="16">
        <v>1038</v>
      </c>
      <c r="B173" s="16" t="s">
        <v>293</v>
      </c>
      <c r="C173" s="16" t="s">
        <v>51</v>
      </c>
      <c r="D173" s="16" t="s">
        <v>23</v>
      </c>
      <c r="E173" s="16" t="b">
        <v>0</v>
      </c>
      <c r="F173" s="16" t="s">
        <v>27</v>
      </c>
      <c r="G173" s="16">
        <v>12</v>
      </c>
      <c r="H173" s="17">
        <v>46125</v>
      </c>
    </row>
    <row r="174" spans="1:8" x14ac:dyDescent="0.2">
      <c r="A174" s="16">
        <v>1242</v>
      </c>
      <c r="B174" s="16" t="s">
        <v>297</v>
      </c>
      <c r="C174" s="16" t="s">
        <v>190</v>
      </c>
      <c r="D174" s="16" t="s">
        <v>23</v>
      </c>
      <c r="E174" s="16" t="b">
        <v>0</v>
      </c>
      <c r="F174" s="16" t="s">
        <v>27</v>
      </c>
      <c r="G174" s="16">
        <v>15</v>
      </c>
      <c r="H174" s="17">
        <v>46125</v>
      </c>
    </row>
    <row r="175" spans="1:8" x14ac:dyDescent="0.2">
      <c r="A175" s="16">
        <v>1048</v>
      </c>
      <c r="B175" s="16" t="s">
        <v>298</v>
      </c>
      <c r="C175" s="16" t="s">
        <v>268</v>
      </c>
      <c r="D175" s="16" t="s">
        <v>23</v>
      </c>
      <c r="E175" s="16" t="b">
        <v>0</v>
      </c>
      <c r="F175" s="16" t="s">
        <v>27</v>
      </c>
      <c r="G175" s="16">
        <v>16</v>
      </c>
      <c r="H175" s="17">
        <v>46125</v>
      </c>
    </row>
    <row r="176" spans="1:8" x14ac:dyDescent="0.2">
      <c r="A176" s="16">
        <v>1055</v>
      </c>
      <c r="B176" s="16" t="s">
        <v>298</v>
      </c>
      <c r="C176" s="16" t="s">
        <v>299</v>
      </c>
      <c r="D176" s="16" t="s">
        <v>23</v>
      </c>
      <c r="E176" s="16" t="b">
        <v>0</v>
      </c>
      <c r="F176" s="16" t="s">
        <v>27</v>
      </c>
      <c r="G176" s="16">
        <v>1</v>
      </c>
      <c r="H176" s="17">
        <v>46125</v>
      </c>
    </row>
    <row r="177" spans="1:8" x14ac:dyDescent="0.2">
      <c r="A177" s="16">
        <v>1095</v>
      </c>
      <c r="B177" s="16" t="s">
        <v>298</v>
      </c>
      <c r="C177" s="16" t="s">
        <v>300</v>
      </c>
      <c r="D177" s="16" t="s">
        <v>23</v>
      </c>
      <c r="E177" s="16" t="b">
        <v>0</v>
      </c>
      <c r="F177" s="16" t="s">
        <v>27</v>
      </c>
      <c r="G177" s="16">
        <v>33</v>
      </c>
      <c r="H177" s="17">
        <v>46125</v>
      </c>
    </row>
    <row r="178" spans="1:8" x14ac:dyDescent="0.2">
      <c r="A178" s="16">
        <v>820</v>
      </c>
      <c r="B178" s="16" t="s">
        <v>298</v>
      </c>
      <c r="C178" s="16" t="s">
        <v>139</v>
      </c>
      <c r="D178" s="16" t="s">
        <v>23</v>
      </c>
      <c r="E178" s="16" t="b">
        <v>1</v>
      </c>
      <c r="F178" s="16" t="s">
        <v>27</v>
      </c>
      <c r="G178" s="16">
        <v>6</v>
      </c>
      <c r="H178" s="17">
        <v>46125</v>
      </c>
    </row>
    <row r="179" spans="1:8" x14ac:dyDescent="0.2">
      <c r="A179" s="16">
        <v>687</v>
      </c>
      <c r="B179" s="16" t="s">
        <v>298</v>
      </c>
      <c r="C179" s="16" t="s">
        <v>301</v>
      </c>
      <c r="D179" s="16" t="s">
        <v>23</v>
      </c>
      <c r="E179" s="16" t="b">
        <v>0</v>
      </c>
      <c r="F179" s="16" t="s">
        <v>27</v>
      </c>
      <c r="G179" s="16">
        <v>7</v>
      </c>
      <c r="H179" s="17">
        <v>46125</v>
      </c>
    </row>
    <row r="180" spans="1:8" x14ac:dyDescent="0.2">
      <c r="A180" s="16">
        <v>1420</v>
      </c>
      <c r="B180" s="16" t="s">
        <v>302</v>
      </c>
      <c r="C180" s="16" t="s">
        <v>212</v>
      </c>
      <c r="D180" s="16" t="s">
        <v>23</v>
      </c>
      <c r="E180" s="16" t="b">
        <v>1</v>
      </c>
      <c r="F180" s="16" t="s">
        <v>27</v>
      </c>
      <c r="G180" s="16">
        <v>15</v>
      </c>
      <c r="H180" s="17">
        <v>46125</v>
      </c>
    </row>
    <row r="181" spans="1:8" x14ac:dyDescent="0.2">
      <c r="A181" s="16">
        <v>1410</v>
      </c>
      <c r="B181" s="16" t="s">
        <v>104</v>
      </c>
      <c r="C181" s="16" t="s">
        <v>303</v>
      </c>
      <c r="D181" s="16" t="s">
        <v>23</v>
      </c>
      <c r="E181" s="16" t="b">
        <v>0</v>
      </c>
      <c r="F181" s="16" t="s">
        <v>25</v>
      </c>
      <c r="H181" s="17">
        <v>46125</v>
      </c>
    </row>
    <row r="182" spans="1:8" x14ac:dyDescent="0.2">
      <c r="A182" s="16">
        <v>1161</v>
      </c>
      <c r="B182" s="16" t="s">
        <v>304</v>
      </c>
      <c r="C182" s="16" t="s">
        <v>305</v>
      </c>
      <c r="D182" s="16" t="s">
        <v>23</v>
      </c>
      <c r="E182" s="16" t="b">
        <v>0</v>
      </c>
      <c r="F182" s="16" t="s">
        <v>25</v>
      </c>
      <c r="H182" s="17">
        <v>46125</v>
      </c>
    </row>
    <row r="183" spans="1:8" x14ac:dyDescent="0.2">
      <c r="A183" s="16">
        <v>890</v>
      </c>
      <c r="B183" s="16" t="s">
        <v>306</v>
      </c>
      <c r="C183" s="16" t="s">
        <v>307</v>
      </c>
      <c r="D183" s="16" t="s">
        <v>54</v>
      </c>
      <c r="E183" s="16" t="b">
        <v>0</v>
      </c>
      <c r="F183" s="16" t="s">
        <v>27</v>
      </c>
      <c r="G183" s="16">
        <v>23</v>
      </c>
      <c r="H183" s="17">
        <v>46125</v>
      </c>
    </row>
    <row r="184" spans="1:8" x14ac:dyDescent="0.2">
      <c r="A184" s="16">
        <v>1166</v>
      </c>
      <c r="B184" s="16" t="s">
        <v>308</v>
      </c>
      <c r="C184" s="16" t="s">
        <v>143</v>
      </c>
      <c r="D184" s="16" t="s">
        <v>54</v>
      </c>
      <c r="E184" s="16" t="b">
        <v>0</v>
      </c>
      <c r="F184" s="16" t="s">
        <v>27</v>
      </c>
      <c r="G184" s="16">
        <v>5</v>
      </c>
      <c r="H184" s="17">
        <v>46125</v>
      </c>
    </row>
    <row r="185" spans="1:8" x14ac:dyDescent="0.2">
      <c r="A185" s="16">
        <v>45</v>
      </c>
      <c r="B185" s="16" t="s">
        <v>309</v>
      </c>
      <c r="C185" s="16" t="s">
        <v>310</v>
      </c>
      <c r="D185" s="16" t="s">
        <v>23</v>
      </c>
      <c r="E185" s="16" t="b">
        <v>0</v>
      </c>
      <c r="F185" s="16" t="s">
        <v>27</v>
      </c>
      <c r="G185" s="16">
        <v>20</v>
      </c>
      <c r="H185" s="17">
        <v>46125</v>
      </c>
    </row>
    <row r="186" spans="1:8" x14ac:dyDescent="0.2">
      <c r="A186" s="16">
        <v>1160</v>
      </c>
      <c r="B186" s="16" t="s">
        <v>311</v>
      </c>
      <c r="C186" s="16" t="s">
        <v>312</v>
      </c>
      <c r="D186" s="16" t="s">
        <v>23</v>
      </c>
      <c r="E186" s="16" t="b">
        <v>0</v>
      </c>
      <c r="F186" s="16" t="s">
        <v>25</v>
      </c>
      <c r="H186" s="17">
        <v>46125</v>
      </c>
    </row>
    <row r="187" spans="1:8" x14ac:dyDescent="0.2">
      <c r="A187" s="16">
        <v>945</v>
      </c>
      <c r="B187" s="16" t="s">
        <v>313</v>
      </c>
      <c r="C187" s="16" t="s">
        <v>49</v>
      </c>
      <c r="D187" s="16" t="s">
        <v>23</v>
      </c>
      <c r="E187" s="16" t="b">
        <v>0</v>
      </c>
      <c r="F187" s="16" t="s">
        <v>25</v>
      </c>
      <c r="H187" s="17">
        <v>46125</v>
      </c>
    </row>
    <row r="188" spans="1:8" x14ac:dyDescent="0.2">
      <c r="A188" s="16">
        <v>813</v>
      </c>
      <c r="B188" s="16" t="s">
        <v>313</v>
      </c>
      <c r="C188" s="16" t="s">
        <v>289</v>
      </c>
      <c r="D188" s="16" t="s">
        <v>23</v>
      </c>
      <c r="E188" s="16" t="b">
        <v>1</v>
      </c>
      <c r="F188" s="16" t="s">
        <v>27</v>
      </c>
      <c r="G188" s="16">
        <v>7</v>
      </c>
      <c r="H188" s="17">
        <v>46125</v>
      </c>
    </row>
    <row r="189" spans="1:8" x14ac:dyDescent="0.2">
      <c r="A189" s="16">
        <v>812</v>
      </c>
      <c r="B189" s="16" t="s">
        <v>313</v>
      </c>
      <c r="C189" s="16" t="s">
        <v>170</v>
      </c>
      <c r="D189" s="16" t="s">
        <v>23</v>
      </c>
      <c r="E189" s="16" t="b">
        <v>0</v>
      </c>
      <c r="F189" s="16" t="s">
        <v>27</v>
      </c>
      <c r="G189" s="16">
        <v>9</v>
      </c>
      <c r="H189" s="17">
        <v>46125</v>
      </c>
    </row>
    <row r="190" spans="1:8" x14ac:dyDescent="0.2">
      <c r="A190" s="16">
        <v>1129</v>
      </c>
      <c r="B190" s="16" t="s">
        <v>314</v>
      </c>
      <c r="C190" s="16" t="s">
        <v>315</v>
      </c>
      <c r="D190" s="16" t="s">
        <v>23</v>
      </c>
      <c r="E190" s="16" t="b">
        <v>0</v>
      </c>
      <c r="F190" s="16" t="s">
        <v>27</v>
      </c>
      <c r="G190" s="16">
        <v>12</v>
      </c>
      <c r="H190" s="17">
        <v>46125</v>
      </c>
    </row>
    <row r="191" spans="1:8" x14ac:dyDescent="0.2">
      <c r="A191" s="16">
        <v>915</v>
      </c>
      <c r="B191" s="16" t="s">
        <v>316</v>
      </c>
      <c r="C191" s="16" t="s">
        <v>241</v>
      </c>
      <c r="D191" s="16" t="s">
        <v>23</v>
      </c>
      <c r="E191" s="16" t="b">
        <v>0</v>
      </c>
      <c r="F191" s="16" t="s">
        <v>27</v>
      </c>
      <c r="G191" s="16">
        <v>8</v>
      </c>
      <c r="H191" s="17">
        <v>46125</v>
      </c>
    </row>
    <row r="192" spans="1:8" x14ac:dyDescent="0.2">
      <c r="A192" s="16">
        <v>860</v>
      </c>
      <c r="B192" s="16" t="s">
        <v>321</v>
      </c>
      <c r="C192" s="16" t="s">
        <v>215</v>
      </c>
      <c r="D192" s="16" t="s">
        <v>23</v>
      </c>
      <c r="E192" s="16" t="b">
        <v>1</v>
      </c>
      <c r="F192" s="16" t="s">
        <v>25</v>
      </c>
      <c r="H192" s="17">
        <v>46125</v>
      </c>
    </row>
    <row r="193" spans="1:8" x14ac:dyDescent="0.2">
      <c r="A193" s="16">
        <v>756</v>
      </c>
      <c r="B193" s="16" t="s">
        <v>321</v>
      </c>
      <c r="C193" s="16" t="s">
        <v>322</v>
      </c>
      <c r="D193" s="16" t="s">
        <v>23</v>
      </c>
      <c r="E193" s="16" t="b">
        <v>0</v>
      </c>
      <c r="F193" s="16" t="s">
        <v>25</v>
      </c>
      <c r="H193" s="17">
        <v>46125</v>
      </c>
    </row>
    <row r="194" spans="1:8" x14ac:dyDescent="0.2">
      <c r="A194" s="16">
        <v>407</v>
      </c>
      <c r="B194" s="16" t="s">
        <v>321</v>
      </c>
      <c r="C194" s="16" t="s">
        <v>323</v>
      </c>
      <c r="D194" s="16" t="s">
        <v>23</v>
      </c>
      <c r="E194" s="16" t="b">
        <v>0</v>
      </c>
      <c r="F194" s="16" t="s">
        <v>27</v>
      </c>
      <c r="G194" s="16">
        <v>5</v>
      </c>
      <c r="H194" s="17">
        <v>46125</v>
      </c>
    </row>
    <row r="195" spans="1:8" x14ac:dyDescent="0.2">
      <c r="A195" s="16">
        <v>1312</v>
      </c>
      <c r="B195" s="16" t="s">
        <v>329</v>
      </c>
      <c r="C195" s="16" t="s">
        <v>287</v>
      </c>
      <c r="D195" s="16" t="s">
        <v>23</v>
      </c>
      <c r="E195" s="16" t="b">
        <v>1</v>
      </c>
      <c r="F195" s="16" t="s">
        <v>27</v>
      </c>
      <c r="G195" s="16">
        <v>35</v>
      </c>
      <c r="H195" s="17">
        <v>46125</v>
      </c>
    </row>
    <row r="196" spans="1:8" x14ac:dyDescent="0.2">
      <c r="A196" s="16">
        <v>935</v>
      </c>
      <c r="B196" s="16" t="s">
        <v>330</v>
      </c>
      <c r="C196" s="16" t="s">
        <v>245</v>
      </c>
      <c r="D196" s="16" t="s">
        <v>23</v>
      </c>
      <c r="E196" s="16" t="b">
        <v>1</v>
      </c>
      <c r="F196" s="16" t="s">
        <v>25</v>
      </c>
      <c r="H196" s="17">
        <v>46125</v>
      </c>
    </row>
    <row r="197" spans="1:8" x14ac:dyDescent="0.2">
      <c r="A197" s="16">
        <v>999</v>
      </c>
      <c r="B197" s="16" t="s">
        <v>330</v>
      </c>
      <c r="C197" s="16" t="s">
        <v>331</v>
      </c>
      <c r="D197" s="16" t="s">
        <v>23</v>
      </c>
      <c r="E197" s="16" t="b">
        <v>1</v>
      </c>
      <c r="F197" s="16" t="s">
        <v>25</v>
      </c>
      <c r="H197" s="17">
        <v>46125</v>
      </c>
    </row>
    <row r="198" spans="1:8" x14ac:dyDescent="0.2">
      <c r="A198" s="16">
        <v>998</v>
      </c>
      <c r="B198" s="16" t="s">
        <v>330</v>
      </c>
      <c r="C198" s="16" t="s">
        <v>332</v>
      </c>
      <c r="D198" s="16" t="s">
        <v>23</v>
      </c>
      <c r="E198" s="16" t="b">
        <v>1</v>
      </c>
      <c r="F198" s="16" t="s">
        <v>27</v>
      </c>
      <c r="G198" s="16">
        <v>5</v>
      </c>
      <c r="H198" s="17">
        <v>46125</v>
      </c>
    </row>
    <row r="199" spans="1:8" x14ac:dyDescent="0.2">
      <c r="A199" s="16">
        <v>616</v>
      </c>
      <c r="B199" s="16" t="s">
        <v>330</v>
      </c>
      <c r="C199" s="16" t="s">
        <v>41</v>
      </c>
      <c r="D199" s="16" t="s">
        <v>23</v>
      </c>
      <c r="E199" s="16" t="b">
        <v>0</v>
      </c>
      <c r="F199" s="16" t="s">
        <v>27</v>
      </c>
      <c r="G199" s="16">
        <v>7</v>
      </c>
      <c r="H199" s="17">
        <v>46125</v>
      </c>
    </row>
    <row r="200" spans="1:8" x14ac:dyDescent="0.2">
      <c r="A200" s="16">
        <v>558</v>
      </c>
      <c r="B200" s="16" t="s">
        <v>333</v>
      </c>
      <c r="C200" s="16" t="s">
        <v>334</v>
      </c>
      <c r="D200" s="16" t="s">
        <v>23</v>
      </c>
      <c r="E200" s="16" t="b">
        <v>0</v>
      </c>
      <c r="F200" s="16" t="s">
        <v>27</v>
      </c>
      <c r="G200" s="16">
        <v>15</v>
      </c>
      <c r="H200" s="17">
        <v>46125</v>
      </c>
    </row>
    <row r="201" spans="1:8" x14ac:dyDescent="0.2">
      <c r="A201" s="16">
        <v>991</v>
      </c>
      <c r="B201" s="16" t="s">
        <v>335</v>
      </c>
      <c r="C201" s="16" t="s">
        <v>184</v>
      </c>
      <c r="D201" s="16" t="s">
        <v>23</v>
      </c>
      <c r="E201" s="16" t="b">
        <v>1</v>
      </c>
      <c r="F201" s="16" t="s">
        <v>35</v>
      </c>
      <c r="H201" s="17">
        <v>46125</v>
      </c>
    </row>
    <row r="202" spans="1:8" x14ac:dyDescent="0.2">
      <c r="A202" s="16">
        <v>359</v>
      </c>
      <c r="B202" s="16" t="s">
        <v>336</v>
      </c>
      <c r="C202" s="16" t="s">
        <v>26</v>
      </c>
      <c r="D202" s="16" t="s">
        <v>23</v>
      </c>
      <c r="E202" s="16" t="b">
        <v>0</v>
      </c>
      <c r="F202" s="16" t="s">
        <v>27</v>
      </c>
      <c r="G202" s="16">
        <v>24</v>
      </c>
      <c r="H202" s="17">
        <v>46125</v>
      </c>
    </row>
    <row r="203" spans="1:8" x14ac:dyDescent="0.2">
      <c r="A203" s="16">
        <v>1310</v>
      </c>
      <c r="B203" s="16" t="s">
        <v>337</v>
      </c>
      <c r="C203" s="16" t="s">
        <v>311</v>
      </c>
      <c r="D203" s="16" t="s">
        <v>23</v>
      </c>
      <c r="E203" s="16" t="b">
        <v>0</v>
      </c>
      <c r="F203" s="16" t="s">
        <v>25</v>
      </c>
      <c r="H203" s="17">
        <v>46125</v>
      </c>
    </row>
    <row r="204" spans="1:8" x14ac:dyDescent="0.2">
      <c r="A204" s="16">
        <v>1200</v>
      </c>
      <c r="B204" s="16" t="s">
        <v>338</v>
      </c>
      <c r="C204" s="16" t="s">
        <v>339</v>
      </c>
      <c r="D204" s="16" t="s">
        <v>23</v>
      </c>
      <c r="E204" s="16" t="b">
        <v>0</v>
      </c>
      <c r="F204" s="16" t="s">
        <v>27</v>
      </c>
      <c r="G204" s="16">
        <v>6</v>
      </c>
      <c r="H204" s="17">
        <v>46125</v>
      </c>
    </row>
    <row r="205" spans="1:8" x14ac:dyDescent="0.2">
      <c r="A205" s="16">
        <v>1411</v>
      </c>
      <c r="B205" s="16" t="s">
        <v>338</v>
      </c>
      <c r="C205" s="16" t="s">
        <v>72</v>
      </c>
      <c r="D205" s="16" t="s">
        <v>23</v>
      </c>
      <c r="E205" s="16" t="b">
        <v>1</v>
      </c>
      <c r="F205" s="16" t="s">
        <v>27</v>
      </c>
      <c r="G205" s="16">
        <v>3</v>
      </c>
      <c r="H205" s="17">
        <v>46125</v>
      </c>
    </row>
    <row r="206" spans="1:8" x14ac:dyDescent="0.2">
      <c r="A206" s="16">
        <v>1412</v>
      </c>
      <c r="B206" s="16" t="s">
        <v>338</v>
      </c>
      <c r="C206" s="16" t="s">
        <v>340</v>
      </c>
      <c r="D206" s="16" t="s">
        <v>23</v>
      </c>
      <c r="E206" s="16" t="b">
        <v>1</v>
      </c>
      <c r="F206" s="16" t="s">
        <v>188</v>
      </c>
      <c r="H206" s="17">
        <v>46125</v>
      </c>
    </row>
    <row r="207" spans="1:8" x14ac:dyDescent="0.2">
      <c r="A207" s="16">
        <v>1413</v>
      </c>
      <c r="B207" s="16" t="s">
        <v>338</v>
      </c>
      <c r="C207" s="16" t="s">
        <v>214</v>
      </c>
      <c r="D207" s="16" t="s">
        <v>23</v>
      </c>
      <c r="E207" s="16" t="b">
        <v>0</v>
      </c>
      <c r="F207" s="16" t="s">
        <v>188</v>
      </c>
      <c r="H207" s="17">
        <v>46125</v>
      </c>
    </row>
    <row r="208" spans="1:8" x14ac:dyDescent="0.2">
      <c r="A208" s="16">
        <v>1376</v>
      </c>
      <c r="B208" s="16" t="s">
        <v>192</v>
      </c>
      <c r="C208" s="16" t="s">
        <v>127</v>
      </c>
      <c r="D208" s="16" t="s">
        <v>23</v>
      </c>
      <c r="E208" s="16" t="b">
        <v>1</v>
      </c>
      <c r="F208" s="16" t="s">
        <v>25</v>
      </c>
      <c r="H208" s="17">
        <v>46125</v>
      </c>
    </row>
    <row r="209" spans="1:8" x14ac:dyDescent="0.2">
      <c r="A209" s="16">
        <v>1140</v>
      </c>
      <c r="B209" s="16" t="s">
        <v>341</v>
      </c>
      <c r="C209" s="16" t="s">
        <v>243</v>
      </c>
      <c r="D209" s="16" t="s">
        <v>23</v>
      </c>
      <c r="E209" s="16" t="b">
        <v>0</v>
      </c>
      <c r="F209" s="16" t="s">
        <v>25</v>
      </c>
      <c r="H209" s="17">
        <v>46125</v>
      </c>
    </row>
    <row r="210" spans="1:8" x14ac:dyDescent="0.2">
      <c r="A210" s="16">
        <v>989</v>
      </c>
      <c r="B210" s="16" t="s">
        <v>342</v>
      </c>
      <c r="C210" s="16" t="s">
        <v>343</v>
      </c>
      <c r="D210" s="16" t="s">
        <v>23</v>
      </c>
      <c r="E210" s="16" t="b">
        <v>0</v>
      </c>
      <c r="F210" s="16" t="s">
        <v>27</v>
      </c>
      <c r="G210" s="16">
        <v>3</v>
      </c>
      <c r="H210" s="17">
        <v>46125</v>
      </c>
    </row>
    <row r="211" spans="1:8" x14ac:dyDescent="0.2">
      <c r="A211" s="16">
        <v>1417</v>
      </c>
      <c r="B211" s="16" t="s">
        <v>344</v>
      </c>
      <c r="C211" s="16" t="s">
        <v>345</v>
      </c>
      <c r="D211" s="16" t="s">
        <v>23</v>
      </c>
      <c r="E211" s="16" t="b">
        <v>1</v>
      </c>
      <c r="F211" s="16" t="s">
        <v>27</v>
      </c>
      <c r="G211" s="16">
        <v>17</v>
      </c>
      <c r="H211" s="17">
        <v>46125</v>
      </c>
    </row>
    <row r="212" spans="1:8" x14ac:dyDescent="0.2">
      <c r="A212" s="16">
        <v>52</v>
      </c>
      <c r="B212" s="16" t="s">
        <v>346</v>
      </c>
      <c r="C212" s="16" t="s">
        <v>192</v>
      </c>
      <c r="D212" s="16" t="s">
        <v>23</v>
      </c>
      <c r="E212" s="16" t="b">
        <v>0</v>
      </c>
      <c r="F212" s="16" t="s">
        <v>25</v>
      </c>
      <c r="H212" s="17">
        <v>46125</v>
      </c>
    </row>
    <row r="213" spans="1:8" x14ac:dyDescent="0.2">
      <c r="A213" s="16">
        <v>62</v>
      </c>
      <c r="B213" s="16" t="s">
        <v>344</v>
      </c>
      <c r="C213" s="16" t="s">
        <v>234</v>
      </c>
      <c r="D213" s="16" t="s">
        <v>23</v>
      </c>
      <c r="E213" s="16" t="b">
        <v>0</v>
      </c>
      <c r="F213" s="16" t="s">
        <v>27</v>
      </c>
      <c r="G213" s="16">
        <v>4</v>
      </c>
      <c r="H213" s="17">
        <v>46125</v>
      </c>
    </row>
    <row r="214" spans="1:8" x14ac:dyDescent="0.2">
      <c r="A214" s="16">
        <v>930</v>
      </c>
      <c r="B214" s="16" t="s">
        <v>347</v>
      </c>
      <c r="C214" s="16" t="s">
        <v>348</v>
      </c>
      <c r="D214" s="16" t="s">
        <v>23</v>
      </c>
      <c r="E214" s="16" t="b">
        <v>1</v>
      </c>
      <c r="F214" s="16" t="s">
        <v>27</v>
      </c>
      <c r="G214" s="16">
        <v>6</v>
      </c>
      <c r="H214" s="17">
        <v>46125</v>
      </c>
    </row>
    <row r="215" spans="1:8" x14ac:dyDescent="0.2">
      <c r="A215" s="16">
        <v>1254</v>
      </c>
      <c r="B215" s="16" t="s">
        <v>349</v>
      </c>
      <c r="C215" s="16" t="s">
        <v>51</v>
      </c>
      <c r="D215" s="16" t="s">
        <v>23</v>
      </c>
      <c r="E215" s="16" t="b">
        <v>0</v>
      </c>
      <c r="F215" s="16" t="s">
        <v>27</v>
      </c>
      <c r="G215" s="16">
        <v>21</v>
      </c>
      <c r="H215" s="17">
        <v>46125</v>
      </c>
    </row>
    <row r="216" spans="1:8" x14ac:dyDescent="0.2">
      <c r="A216" s="16">
        <v>744</v>
      </c>
      <c r="B216" s="16" t="s">
        <v>350</v>
      </c>
      <c r="C216" s="16" t="s">
        <v>351</v>
      </c>
      <c r="D216" s="16" t="s">
        <v>23</v>
      </c>
      <c r="E216" s="16" t="b">
        <v>0</v>
      </c>
      <c r="F216" s="16" t="s">
        <v>27</v>
      </c>
      <c r="G216" s="16">
        <v>28</v>
      </c>
      <c r="H216" s="17">
        <v>46125</v>
      </c>
    </row>
    <row r="217" spans="1:8" x14ac:dyDescent="0.2">
      <c r="A217" s="16">
        <v>337</v>
      </c>
      <c r="B217" s="16" t="s">
        <v>352</v>
      </c>
      <c r="C217" s="16" t="s">
        <v>179</v>
      </c>
      <c r="D217" s="16" t="s">
        <v>23</v>
      </c>
      <c r="E217" s="16" t="b">
        <v>1</v>
      </c>
      <c r="F217" s="16" t="s">
        <v>27</v>
      </c>
      <c r="G217" s="16">
        <v>21</v>
      </c>
      <c r="H217" s="17">
        <v>46125</v>
      </c>
    </row>
    <row r="218" spans="1:8" x14ac:dyDescent="0.2">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46154</v>
      </c>
    </row>
    <row r="3" spans="1:8" ht="15" x14ac:dyDescent="0.2">
      <c r="A3">
        <v>1237</v>
      </c>
      <c r="B3" t="s">
        <v>21</v>
      </c>
      <c r="C3" t="s">
        <v>26</v>
      </c>
      <c r="D3" t="s">
        <v>23</v>
      </c>
      <c r="E3" t="s">
        <v>24</v>
      </c>
      <c r="F3" t="s">
        <v>27</v>
      </c>
      <c r="G3">
        <v>1</v>
      </c>
      <c r="H3" s="3">
        <v>46154</v>
      </c>
    </row>
    <row r="4" spans="1:8" ht="15" x14ac:dyDescent="0.2">
      <c r="A4">
        <v>819</v>
      </c>
      <c r="B4" t="s">
        <v>28</v>
      </c>
      <c r="C4" t="s">
        <v>29</v>
      </c>
      <c r="D4" t="s">
        <v>23</v>
      </c>
      <c r="E4" t="s">
        <v>30</v>
      </c>
      <c r="F4" t="s">
        <v>27</v>
      </c>
      <c r="G4">
        <v>23</v>
      </c>
      <c r="H4" s="3">
        <v>46154</v>
      </c>
    </row>
    <row r="5" spans="1:8" ht="15" x14ac:dyDescent="0.2">
      <c r="A5">
        <v>2</v>
      </c>
      <c r="B5" t="s">
        <v>31</v>
      </c>
      <c r="C5" t="s">
        <v>32</v>
      </c>
      <c r="D5" t="s">
        <v>23</v>
      </c>
      <c r="E5" t="s">
        <v>24</v>
      </c>
      <c r="F5" t="s">
        <v>27</v>
      </c>
      <c r="G5">
        <v>21</v>
      </c>
      <c r="H5" s="3">
        <v>46154</v>
      </c>
    </row>
    <row r="6" spans="1:8" ht="15" x14ac:dyDescent="0.2">
      <c r="A6">
        <v>1370</v>
      </c>
      <c r="B6" t="s">
        <v>33</v>
      </c>
      <c r="C6" t="s">
        <v>34</v>
      </c>
      <c r="D6" t="s">
        <v>23</v>
      </c>
      <c r="E6" t="s">
        <v>24</v>
      </c>
      <c r="F6" t="s">
        <v>27</v>
      </c>
      <c r="G6">
        <v>4</v>
      </c>
      <c r="H6" s="3">
        <v>46154</v>
      </c>
    </row>
    <row r="7" spans="1:8" ht="15" x14ac:dyDescent="0.2">
      <c r="A7">
        <v>1415</v>
      </c>
      <c r="B7" t="s">
        <v>33</v>
      </c>
      <c r="C7" t="s">
        <v>22</v>
      </c>
      <c r="D7" t="s">
        <v>23</v>
      </c>
      <c r="E7" t="s">
        <v>24</v>
      </c>
      <c r="F7" t="s">
        <v>35</v>
      </c>
      <c r="H7" s="3">
        <v>46154</v>
      </c>
    </row>
    <row r="8" spans="1:8" ht="15" x14ac:dyDescent="0.2">
      <c r="A8">
        <v>1286</v>
      </c>
      <c r="B8" t="s">
        <v>36</v>
      </c>
      <c r="C8" t="s">
        <v>34</v>
      </c>
      <c r="D8" t="s">
        <v>23</v>
      </c>
      <c r="E8" t="s">
        <v>24</v>
      </c>
      <c r="F8" t="s">
        <v>27</v>
      </c>
      <c r="G8">
        <v>13</v>
      </c>
      <c r="H8" s="3">
        <v>46154</v>
      </c>
    </row>
    <row r="9" spans="1:8" ht="15" x14ac:dyDescent="0.2">
      <c r="A9">
        <v>1381</v>
      </c>
      <c r="B9" t="s">
        <v>36</v>
      </c>
      <c r="C9" t="s">
        <v>37</v>
      </c>
      <c r="D9" t="s">
        <v>23</v>
      </c>
      <c r="E9" t="s">
        <v>24</v>
      </c>
      <c r="F9" t="s">
        <v>25</v>
      </c>
      <c r="H9" s="3">
        <v>46154</v>
      </c>
    </row>
    <row r="10" spans="1:8" ht="15" x14ac:dyDescent="0.2">
      <c r="A10">
        <v>1112</v>
      </c>
      <c r="B10" t="s">
        <v>38</v>
      </c>
      <c r="C10" t="s">
        <v>39</v>
      </c>
      <c r="D10" t="s">
        <v>23</v>
      </c>
      <c r="E10" t="s">
        <v>24</v>
      </c>
      <c r="F10" t="s">
        <v>27</v>
      </c>
      <c r="G10">
        <v>16</v>
      </c>
      <c r="H10" s="3">
        <v>46154</v>
      </c>
    </row>
    <row r="11" spans="1:8" ht="15" x14ac:dyDescent="0.2">
      <c r="A11">
        <v>1135</v>
      </c>
      <c r="B11" t="s">
        <v>40</v>
      </c>
      <c r="C11" t="s">
        <v>41</v>
      </c>
      <c r="D11" t="s">
        <v>23</v>
      </c>
      <c r="E11" t="s">
        <v>24</v>
      </c>
      <c r="F11" t="s">
        <v>27</v>
      </c>
      <c r="G11">
        <v>1</v>
      </c>
      <c r="H11" s="3">
        <v>46154</v>
      </c>
    </row>
    <row r="12" spans="1:8" ht="15" x14ac:dyDescent="0.2">
      <c r="A12">
        <v>982</v>
      </c>
      <c r="B12" t="s">
        <v>42</v>
      </c>
      <c r="C12" t="s">
        <v>32</v>
      </c>
      <c r="D12" t="s">
        <v>23</v>
      </c>
      <c r="E12" t="s">
        <v>24</v>
      </c>
      <c r="F12" t="s">
        <v>27</v>
      </c>
      <c r="G12">
        <v>22</v>
      </c>
      <c r="H12" s="3">
        <v>46154</v>
      </c>
    </row>
    <row r="13" spans="1:8" ht="15" x14ac:dyDescent="0.2">
      <c r="A13">
        <v>1328</v>
      </c>
      <c r="B13" t="s">
        <v>43</v>
      </c>
      <c r="C13" t="s">
        <v>44</v>
      </c>
      <c r="D13" t="s">
        <v>23</v>
      </c>
      <c r="E13" t="s">
        <v>24</v>
      </c>
      <c r="F13" t="s">
        <v>27</v>
      </c>
      <c r="G13">
        <v>4</v>
      </c>
      <c r="H13" s="3">
        <v>46154</v>
      </c>
    </row>
    <row r="14" spans="1:8" ht="15" x14ac:dyDescent="0.2">
      <c r="A14">
        <v>369</v>
      </c>
      <c r="B14" t="s">
        <v>45</v>
      </c>
      <c r="C14" t="s">
        <v>46</v>
      </c>
      <c r="D14" t="s">
        <v>23</v>
      </c>
      <c r="E14" t="s">
        <v>24</v>
      </c>
      <c r="F14" t="s">
        <v>27</v>
      </c>
      <c r="G14">
        <v>8</v>
      </c>
      <c r="H14" s="3">
        <v>46154</v>
      </c>
    </row>
    <row r="15" spans="1:8" ht="15" x14ac:dyDescent="0.2">
      <c r="A15">
        <v>7</v>
      </c>
      <c r="B15" t="s">
        <v>45</v>
      </c>
      <c r="C15" t="s">
        <v>47</v>
      </c>
      <c r="D15" t="s">
        <v>48</v>
      </c>
      <c r="E15" t="s">
        <v>24</v>
      </c>
      <c r="F15" t="s">
        <v>27</v>
      </c>
      <c r="G15">
        <v>32</v>
      </c>
      <c r="H15" s="3">
        <v>46154</v>
      </c>
    </row>
    <row r="16" spans="1:8" ht="15" x14ac:dyDescent="0.2">
      <c r="A16">
        <v>473</v>
      </c>
      <c r="B16" t="s">
        <v>45</v>
      </c>
      <c r="C16" t="s">
        <v>49</v>
      </c>
      <c r="D16" t="s">
        <v>48</v>
      </c>
      <c r="E16" t="s">
        <v>24</v>
      </c>
      <c r="F16" t="s">
        <v>27</v>
      </c>
      <c r="G16">
        <v>33</v>
      </c>
      <c r="H16" s="3">
        <v>46154</v>
      </c>
    </row>
    <row r="17" spans="1:8" ht="15" x14ac:dyDescent="0.2">
      <c r="A17">
        <v>1384</v>
      </c>
      <c r="B17" t="s">
        <v>50</v>
      </c>
      <c r="C17" t="s">
        <v>51</v>
      </c>
      <c r="D17" t="s">
        <v>23</v>
      </c>
      <c r="E17" t="s">
        <v>24</v>
      </c>
      <c r="F17" t="s">
        <v>27</v>
      </c>
      <c r="G17">
        <v>30</v>
      </c>
      <c r="H17" s="3">
        <v>46154</v>
      </c>
    </row>
    <row r="18" spans="1:8" ht="15" x14ac:dyDescent="0.2">
      <c r="A18">
        <v>1348</v>
      </c>
      <c r="B18" t="s">
        <v>52</v>
      </c>
      <c r="C18" t="s">
        <v>53</v>
      </c>
      <c r="D18" t="s">
        <v>54</v>
      </c>
      <c r="E18" t="s">
        <v>30</v>
      </c>
      <c r="F18" t="s">
        <v>25</v>
      </c>
      <c r="H18" s="3">
        <v>46154</v>
      </c>
    </row>
    <row r="19" spans="1:8" ht="15" x14ac:dyDescent="0.2">
      <c r="A19">
        <v>1275</v>
      </c>
      <c r="B19" t="s">
        <v>52</v>
      </c>
      <c r="C19" t="s">
        <v>55</v>
      </c>
      <c r="D19" t="s">
        <v>23</v>
      </c>
      <c r="E19" t="s">
        <v>30</v>
      </c>
      <c r="F19" t="s">
        <v>35</v>
      </c>
      <c r="H19" s="3">
        <v>46154</v>
      </c>
    </row>
    <row r="20" spans="1:8" ht="15" x14ac:dyDescent="0.2">
      <c r="A20">
        <v>68</v>
      </c>
      <c r="B20" t="s">
        <v>56</v>
      </c>
      <c r="C20" t="s">
        <v>57</v>
      </c>
      <c r="D20" t="s">
        <v>48</v>
      </c>
      <c r="E20" t="s">
        <v>24</v>
      </c>
      <c r="F20" t="s">
        <v>27</v>
      </c>
      <c r="G20">
        <v>35</v>
      </c>
      <c r="H20" s="3">
        <v>46154</v>
      </c>
    </row>
    <row r="21" spans="1:8" ht="15" x14ac:dyDescent="0.2">
      <c r="A21">
        <v>1035</v>
      </c>
      <c r="B21" t="s">
        <v>58</v>
      </c>
      <c r="C21" t="s">
        <v>59</v>
      </c>
      <c r="D21" t="s">
        <v>23</v>
      </c>
      <c r="E21" t="s">
        <v>24</v>
      </c>
      <c r="F21" t="s">
        <v>27</v>
      </c>
      <c r="G21">
        <v>6</v>
      </c>
      <c r="H21" s="3">
        <v>46154</v>
      </c>
    </row>
    <row r="22" spans="1:8" ht="15" x14ac:dyDescent="0.2">
      <c r="A22">
        <v>1416</v>
      </c>
      <c r="B22" t="s">
        <v>60</v>
      </c>
      <c r="C22" t="s">
        <v>61</v>
      </c>
      <c r="D22" t="s">
        <v>23</v>
      </c>
      <c r="E22" t="s">
        <v>24</v>
      </c>
      <c r="F22" t="s">
        <v>25</v>
      </c>
      <c r="H22" s="3">
        <v>46154</v>
      </c>
    </row>
    <row r="23" spans="1:8" ht="15" x14ac:dyDescent="0.2">
      <c r="A23">
        <v>1326</v>
      </c>
      <c r="B23" t="s">
        <v>62</v>
      </c>
      <c r="C23" t="s">
        <v>63</v>
      </c>
      <c r="D23" t="s">
        <v>23</v>
      </c>
      <c r="E23" t="s">
        <v>30</v>
      </c>
      <c r="F23" t="s">
        <v>25</v>
      </c>
      <c r="H23" s="3">
        <v>46154</v>
      </c>
    </row>
    <row r="24" spans="1:8" ht="15" x14ac:dyDescent="0.2">
      <c r="A24">
        <v>477</v>
      </c>
      <c r="B24" t="s">
        <v>64</v>
      </c>
      <c r="C24" t="s">
        <v>65</v>
      </c>
      <c r="D24" t="s">
        <v>23</v>
      </c>
      <c r="E24" t="s">
        <v>30</v>
      </c>
      <c r="F24" t="s">
        <v>27</v>
      </c>
      <c r="G24">
        <v>34</v>
      </c>
      <c r="H24" s="3">
        <v>46154</v>
      </c>
    </row>
    <row r="25" spans="1:8" ht="15" x14ac:dyDescent="0.2">
      <c r="A25">
        <v>10</v>
      </c>
      <c r="B25" t="s">
        <v>64</v>
      </c>
      <c r="C25" t="s">
        <v>66</v>
      </c>
      <c r="D25" t="s">
        <v>48</v>
      </c>
      <c r="E25" t="s">
        <v>24</v>
      </c>
      <c r="F25" t="s">
        <v>27</v>
      </c>
      <c r="G25">
        <v>35</v>
      </c>
      <c r="H25" s="3">
        <v>46154</v>
      </c>
    </row>
    <row r="26" spans="1:8" ht="15" x14ac:dyDescent="0.2">
      <c r="A26">
        <v>1414</v>
      </c>
      <c r="B26" t="s">
        <v>67</v>
      </c>
      <c r="C26" t="s">
        <v>36</v>
      </c>
      <c r="D26" t="s">
        <v>23</v>
      </c>
      <c r="E26" t="s">
        <v>24</v>
      </c>
      <c r="F26" t="s">
        <v>27</v>
      </c>
      <c r="G26">
        <v>13</v>
      </c>
      <c r="H26" s="3">
        <v>46154</v>
      </c>
    </row>
    <row r="27" spans="1:8" ht="15" x14ac:dyDescent="0.2">
      <c r="A27">
        <v>1029</v>
      </c>
      <c r="B27" t="s">
        <v>68</v>
      </c>
      <c r="C27" t="s">
        <v>69</v>
      </c>
      <c r="D27" t="s">
        <v>23</v>
      </c>
      <c r="E27" t="s">
        <v>24</v>
      </c>
      <c r="F27" t="s">
        <v>27</v>
      </c>
      <c r="G27">
        <v>28</v>
      </c>
      <c r="H27" s="3">
        <v>46154</v>
      </c>
    </row>
    <row r="28" spans="1:8" ht="15" x14ac:dyDescent="0.2">
      <c r="A28">
        <v>13</v>
      </c>
      <c r="B28" t="s">
        <v>70</v>
      </c>
      <c r="C28" t="s">
        <v>51</v>
      </c>
      <c r="D28" t="s">
        <v>23</v>
      </c>
      <c r="E28" t="s">
        <v>24</v>
      </c>
      <c r="F28" t="s">
        <v>27</v>
      </c>
      <c r="G28">
        <v>28</v>
      </c>
      <c r="H28" s="3">
        <v>46154</v>
      </c>
    </row>
    <row r="29" spans="1:8" ht="15" x14ac:dyDescent="0.2">
      <c r="A29">
        <v>1255</v>
      </c>
      <c r="B29" t="s">
        <v>71</v>
      </c>
      <c r="C29" t="s">
        <v>72</v>
      </c>
      <c r="D29" t="s">
        <v>23</v>
      </c>
      <c r="E29" t="s">
        <v>30</v>
      </c>
      <c r="F29" t="s">
        <v>27</v>
      </c>
      <c r="G29">
        <v>13</v>
      </c>
      <c r="H29" s="3">
        <v>46154</v>
      </c>
    </row>
    <row r="30" spans="1:8" ht="15" x14ac:dyDescent="0.2">
      <c r="A30">
        <v>1405</v>
      </c>
      <c r="B30" t="s">
        <v>73</v>
      </c>
      <c r="C30" t="s">
        <v>74</v>
      </c>
      <c r="D30" t="s">
        <v>23</v>
      </c>
      <c r="E30" t="s">
        <v>30</v>
      </c>
      <c r="F30" t="s">
        <v>35</v>
      </c>
      <c r="H30" s="3">
        <v>46154</v>
      </c>
    </row>
    <row r="31" spans="1:8" ht="15" x14ac:dyDescent="0.2">
      <c r="A31">
        <v>1421</v>
      </c>
      <c r="B31" t="s">
        <v>75</v>
      </c>
      <c r="C31" t="s">
        <v>76</v>
      </c>
      <c r="D31" t="s">
        <v>23</v>
      </c>
      <c r="E31" t="s">
        <v>30</v>
      </c>
      <c r="F31" t="s">
        <v>27</v>
      </c>
      <c r="G31">
        <v>12</v>
      </c>
      <c r="H31" s="3">
        <v>46154</v>
      </c>
    </row>
    <row r="32" spans="1:8" ht="15" x14ac:dyDescent="0.2">
      <c r="A32">
        <v>1418</v>
      </c>
      <c r="B32" t="s">
        <v>75</v>
      </c>
      <c r="C32" t="s">
        <v>22</v>
      </c>
      <c r="D32" t="s">
        <v>23</v>
      </c>
      <c r="E32" t="s">
        <v>24</v>
      </c>
      <c r="F32" t="s">
        <v>25</v>
      </c>
      <c r="H32" s="3">
        <v>46154</v>
      </c>
    </row>
    <row r="33" spans="1:8" ht="15" x14ac:dyDescent="0.2">
      <c r="A33">
        <v>919</v>
      </c>
      <c r="B33" t="s">
        <v>77</v>
      </c>
      <c r="C33" t="s">
        <v>51</v>
      </c>
      <c r="D33" t="s">
        <v>23</v>
      </c>
      <c r="E33" t="s">
        <v>24</v>
      </c>
      <c r="F33" t="s">
        <v>27</v>
      </c>
      <c r="G33">
        <v>16</v>
      </c>
      <c r="H33" s="3">
        <v>46154</v>
      </c>
    </row>
    <row r="34" spans="1:8" ht="15" x14ac:dyDescent="0.2">
      <c r="A34">
        <v>1319</v>
      </c>
      <c r="B34" t="s">
        <v>78</v>
      </c>
      <c r="C34" t="s">
        <v>32</v>
      </c>
      <c r="D34" t="s">
        <v>23</v>
      </c>
      <c r="E34" t="s">
        <v>24</v>
      </c>
      <c r="F34" t="s">
        <v>27</v>
      </c>
      <c r="G34">
        <v>9</v>
      </c>
      <c r="H34" s="3">
        <v>46154</v>
      </c>
    </row>
    <row r="35" spans="1:8" ht="15" x14ac:dyDescent="0.2">
      <c r="A35">
        <v>1389</v>
      </c>
      <c r="B35" t="s">
        <v>79</v>
      </c>
      <c r="C35" t="s">
        <v>80</v>
      </c>
      <c r="D35" t="s">
        <v>23</v>
      </c>
      <c r="E35" t="s">
        <v>24</v>
      </c>
      <c r="F35" t="s">
        <v>25</v>
      </c>
      <c r="H35" s="3">
        <v>46154</v>
      </c>
    </row>
    <row r="36" spans="1:8" ht="15" x14ac:dyDescent="0.2">
      <c r="A36">
        <v>940</v>
      </c>
      <c r="B36" t="s">
        <v>81</v>
      </c>
      <c r="C36" t="s">
        <v>82</v>
      </c>
      <c r="D36" t="s">
        <v>23</v>
      </c>
      <c r="E36" t="s">
        <v>30</v>
      </c>
      <c r="F36" t="s">
        <v>27</v>
      </c>
      <c r="G36">
        <v>9</v>
      </c>
      <c r="H36" s="3">
        <v>46154</v>
      </c>
    </row>
    <row r="37" spans="1:8" ht="15" x14ac:dyDescent="0.2">
      <c r="A37">
        <v>806</v>
      </c>
      <c r="B37" t="s">
        <v>81</v>
      </c>
      <c r="C37" t="s">
        <v>83</v>
      </c>
      <c r="D37" t="s">
        <v>23</v>
      </c>
      <c r="E37" t="s">
        <v>24</v>
      </c>
      <c r="F37" t="s">
        <v>27</v>
      </c>
      <c r="G37">
        <v>11</v>
      </c>
      <c r="H37" s="3">
        <v>46154</v>
      </c>
    </row>
    <row r="38" spans="1:8" ht="15" x14ac:dyDescent="0.2">
      <c r="A38">
        <v>482</v>
      </c>
      <c r="B38" t="s">
        <v>84</v>
      </c>
      <c r="C38" t="s">
        <v>85</v>
      </c>
      <c r="D38" t="s">
        <v>23</v>
      </c>
      <c r="E38" t="s">
        <v>24</v>
      </c>
      <c r="F38" t="s">
        <v>27</v>
      </c>
      <c r="G38">
        <v>13</v>
      </c>
      <c r="H38" s="3">
        <v>46154</v>
      </c>
    </row>
    <row r="39" spans="1:8" ht="15" x14ac:dyDescent="0.2">
      <c r="A39">
        <v>674</v>
      </c>
      <c r="B39" t="s">
        <v>86</v>
      </c>
      <c r="C39" t="s">
        <v>87</v>
      </c>
      <c r="D39" t="s">
        <v>54</v>
      </c>
      <c r="E39" t="s">
        <v>30</v>
      </c>
      <c r="F39" t="s">
        <v>27</v>
      </c>
      <c r="G39">
        <v>23</v>
      </c>
      <c r="H39" s="3">
        <v>46154</v>
      </c>
    </row>
    <row r="40" spans="1:8" ht="15" x14ac:dyDescent="0.2">
      <c r="A40">
        <v>1061</v>
      </c>
      <c r="B40" t="s">
        <v>88</v>
      </c>
      <c r="C40" t="s">
        <v>89</v>
      </c>
      <c r="D40" t="s">
        <v>23</v>
      </c>
      <c r="E40" t="s">
        <v>24</v>
      </c>
      <c r="F40" t="s">
        <v>27</v>
      </c>
      <c r="G40">
        <v>19</v>
      </c>
      <c r="H40" s="3">
        <v>46154</v>
      </c>
    </row>
    <row r="41" spans="1:8" ht="15" x14ac:dyDescent="0.2">
      <c r="A41">
        <v>763</v>
      </c>
      <c r="B41" t="s">
        <v>90</v>
      </c>
      <c r="C41" t="s">
        <v>59</v>
      </c>
      <c r="D41" t="s">
        <v>23</v>
      </c>
      <c r="E41" t="s">
        <v>24</v>
      </c>
      <c r="F41" t="s">
        <v>27</v>
      </c>
      <c r="G41">
        <v>17</v>
      </c>
      <c r="H41" s="3">
        <v>46154</v>
      </c>
    </row>
    <row r="42" spans="1:8" ht="15" x14ac:dyDescent="0.2">
      <c r="A42">
        <v>1227</v>
      </c>
      <c r="B42" t="s">
        <v>91</v>
      </c>
      <c r="C42" t="s">
        <v>92</v>
      </c>
      <c r="D42" t="s">
        <v>23</v>
      </c>
      <c r="E42" t="s">
        <v>30</v>
      </c>
      <c r="F42" t="s">
        <v>27</v>
      </c>
      <c r="G42">
        <v>8</v>
      </c>
      <c r="H42" s="3">
        <v>46154</v>
      </c>
    </row>
    <row r="43" spans="1:8" ht="15" x14ac:dyDescent="0.2">
      <c r="A43">
        <v>715</v>
      </c>
      <c r="B43" t="s">
        <v>93</v>
      </c>
      <c r="C43" t="s">
        <v>94</v>
      </c>
      <c r="D43" t="s">
        <v>23</v>
      </c>
      <c r="E43" t="s">
        <v>24</v>
      </c>
      <c r="F43" t="s">
        <v>27</v>
      </c>
      <c r="G43">
        <v>5</v>
      </c>
      <c r="H43" s="3">
        <v>46154</v>
      </c>
    </row>
    <row r="44" spans="1:8" ht="15" x14ac:dyDescent="0.2">
      <c r="A44">
        <v>567</v>
      </c>
      <c r="B44" t="s">
        <v>95</v>
      </c>
      <c r="C44" t="s">
        <v>96</v>
      </c>
      <c r="D44" t="s">
        <v>23</v>
      </c>
      <c r="E44" t="s">
        <v>24</v>
      </c>
      <c r="F44" t="s">
        <v>27</v>
      </c>
      <c r="G44">
        <v>7</v>
      </c>
      <c r="H44" s="3">
        <v>46154</v>
      </c>
    </row>
    <row r="45" spans="1:8" ht="15" x14ac:dyDescent="0.2">
      <c r="A45">
        <v>1391</v>
      </c>
      <c r="B45" t="s">
        <v>97</v>
      </c>
      <c r="C45" t="s">
        <v>98</v>
      </c>
      <c r="D45" t="s">
        <v>23</v>
      </c>
      <c r="E45" t="s">
        <v>30</v>
      </c>
      <c r="F45" t="s">
        <v>25</v>
      </c>
      <c r="H45" s="3">
        <v>46154</v>
      </c>
    </row>
    <row r="46" spans="1:8" ht="15" x14ac:dyDescent="0.2">
      <c r="A46">
        <v>704</v>
      </c>
      <c r="B46" t="s">
        <v>99</v>
      </c>
      <c r="C46" t="s">
        <v>100</v>
      </c>
      <c r="D46" t="s">
        <v>23</v>
      </c>
      <c r="E46" t="s">
        <v>24</v>
      </c>
      <c r="F46" t="s">
        <v>27</v>
      </c>
      <c r="G46">
        <v>21</v>
      </c>
      <c r="H46" s="3">
        <v>46154</v>
      </c>
    </row>
    <row r="47" spans="1:8" ht="15" x14ac:dyDescent="0.2">
      <c r="A47">
        <v>1283</v>
      </c>
      <c r="B47" t="s">
        <v>101</v>
      </c>
      <c r="C47" t="s">
        <v>102</v>
      </c>
      <c r="D47" t="s">
        <v>23</v>
      </c>
      <c r="E47" t="s">
        <v>24</v>
      </c>
      <c r="F47" t="s">
        <v>27</v>
      </c>
      <c r="G47">
        <v>18</v>
      </c>
      <c r="H47" s="3">
        <v>46154</v>
      </c>
    </row>
    <row r="48" spans="1:8" ht="15" x14ac:dyDescent="0.2">
      <c r="A48">
        <v>295</v>
      </c>
      <c r="B48" t="s">
        <v>103</v>
      </c>
      <c r="C48" t="s">
        <v>104</v>
      </c>
      <c r="D48" t="s">
        <v>23</v>
      </c>
      <c r="E48" t="s">
        <v>24</v>
      </c>
      <c r="F48" t="s">
        <v>27</v>
      </c>
      <c r="G48">
        <v>15</v>
      </c>
      <c r="H48" s="3">
        <v>46154</v>
      </c>
    </row>
    <row r="49" spans="1:8" ht="15" x14ac:dyDescent="0.2">
      <c r="A49">
        <v>1226</v>
      </c>
      <c r="B49" t="s">
        <v>105</v>
      </c>
      <c r="C49" t="s">
        <v>106</v>
      </c>
      <c r="D49" t="s">
        <v>23</v>
      </c>
      <c r="E49" t="s">
        <v>30</v>
      </c>
      <c r="F49" t="s">
        <v>25</v>
      </c>
      <c r="H49" s="3">
        <v>46154</v>
      </c>
    </row>
    <row r="50" spans="1:8" ht="15" x14ac:dyDescent="0.2">
      <c r="A50">
        <v>1333</v>
      </c>
      <c r="B50" t="s">
        <v>107</v>
      </c>
      <c r="C50" t="s">
        <v>108</v>
      </c>
      <c r="D50" t="s">
        <v>23</v>
      </c>
      <c r="E50" t="s">
        <v>24</v>
      </c>
      <c r="F50" t="s">
        <v>27</v>
      </c>
      <c r="G50">
        <v>3</v>
      </c>
      <c r="H50" s="3">
        <v>46154</v>
      </c>
    </row>
    <row r="51" spans="1:8" ht="15" x14ac:dyDescent="0.2">
      <c r="A51">
        <v>1185</v>
      </c>
      <c r="B51" t="s">
        <v>109</v>
      </c>
      <c r="C51" t="s">
        <v>110</v>
      </c>
      <c r="D51" t="s">
        <v>23</v>
      </c>
      <c r="E51" t="s">
        <v>30</v>
      </c>
      <c r="F51" t="s">
        <v>35</v>
      </c>
      <c r="H51" s="3">
        <v>46154</v>
      </c>
    </row>
    <row r="52" spans="1:8" ht="15" x14ac:dyDescent="0.2">
      <c r="A52">
        <v>1065</v>
      </c>
      <c r="B52" t="s">
        <v>109</v>
      </c>
      <c r="C52" t="s">
        <v>41</v>
      </c>
      <c r="D52" t="s">
        <v>23</v>
      </c>
      <c r="E52" t="s">
        <v>24</v>
      </c>
      <c r="F52" t="s">
        <v>27</v>
      </c>
      <c r="G52">
        <v>1</v>
      </c>
      <c r="H52" s="3">
        <v>46154</v>
      </c>
    </row>
    <row r="53" spans="1:8" ht="15" x14ac:dyDescent="0.2">
      <c r="A53">
        <v>1407</v>
      </c>
      <c r="B53" t="s">
        <v>111</v>
      </c>
      <c r="C53" t="s">
        <v>112</v>
      </c>
      <c r="D53" t="s">
        <v>23</v>
      </c>
      <c r="E53" t="s">
        <v>24</v>
      </c>
      <c r="F53" t="s">
        <v>25</v>
      </c>
      <c r="H53" s="3">
        <v>46154</v>
      </c>
    </row>
    <row r="54" spans="1:8" ht="15" x14ac:dyDescent="0.2">
      <c r="A54">
        <v>1096</v>
      </c>
      <c r="B54" t="s">
        <v>113</v>
      </c>
      <c r="C54" t="s">
        <v>114</v>
      </c>
      <c r="D54" t="s">
        <v>23</v>
      </c>
      <c r="E54" t="s">
        <v>24</v>
      </c>
      <c r="F54" t="s">
        <v>35</v>
      </c>
      <c r="H54" s="3">
        <v>46154</v>
      </c>
    </row>
    <row r="55" spans="1:8" ht="15" x14ac:dyDescent="0.2">
      <c r="A55">
        <v>1236</v>
      </c>
      <c r="B55" t="s">
        <v>113</v>
      </c>
      <c r="C55" t="s">
        <v>115</v>
      </c>
      <c r="D55" t="s">
        <v>23</v>
      </c>
      <c r="E55" t="s">
        <v>30</v>
      </c>
      <c r="F55" t="s">
        <v>27</v>
      </c>
      <c r="G55">
        <v>5</v>
      </c>
      <c r="H55" s="3">
        <v>46154</v>
      </c>
    </row>
    <row r="56" spans="1:8" ht="15" x14ac:dyDescent="0.2">
      <c r="A56">
        <v>699</v>
      </c>
      <c r="B56" t="s">
        <v>113</v>
      </c>
      <c r="C56" t="s">
        <v>116</v>
      </c>
      <c r="D56" t="s">
        <v>23</v>
      </c>
      <c r="E56" t="s">
        <v>24</v>
      </c>
      <c r="F56" t="s">
        <v>27</v>
      </c>
      <c r="G56">
        <v>5</v>
      </c>
      <c r="H56" s="3">
        <v>46154</v>
      </c>
    </row>
    <row r="57" spans="1:8" ht="15" x14ac:dyDescent="0.2">
      <c r="A57">
        <v>1000</v>
      </c>
      <c r="B57" t="s">
        <v>120</v>
      </c>
      <c r="C57" t="s">
        <v>121</v>
      </c>
      <c r="D57" t="s">
        <v>23</v>
      </c>
      <c r="E57" t="s">
        <v>24</v>
      </c>
      <c r="F57" t="s">
        <v>25</v>
      </c>
      <c r="H57" s="3">
        <v>46154</v>
      </c>
    </row>
    <row r="58" spans="1:8" ht="15" x14ac:dyDescent="0.2">
      <c r="A58">
        <v>1332</v>
      </c>
      <c r="B58" t="s">
        <v>122</v>
      </c>
      <c r="C58" t="s">
        <v>123</v>
      </c>
      <c r="D58" t="s">
        <v>23</v>
      </c>
      <c r="E58" t="s">
        <v>30</v>
      </c>
      <c r="F58" t="s">
        <v>25</v>
      </c>
      <c r="H58" s="3">
        <v>46154</v>
      </c>
    </row>
    <row r="59" spans="1:8" ht="15" x14ac:dyDescent="0.2">
      <c r="A59">
        <v>682</v>
      </c>
      <c r="B59" t="s">
        <v>124</v>
      </c>
      <c r="C59" t="s">
        <v>125</v>
      </c>
      <c r="D59" t="s">
        <v>23</v>
      </c>
      <c r="E59" t="s">
        <v>24</v>
      </c>
      <c r="F59" t="s">
        <v>27</v>
      </c>
      <c r="G59">
        <v>11</v>
      </c>
      <c r="H59" s="3">
        <v>46154</v>
      </c>
    </row>
    <row r="60" spans="1:8" ht="15" x14ac:dyDescent="0.2">
      <c r="A60">
        <v>1393</v>
      </c>
      <c r="B60" t="s">
        <v>126</v>
      </c>
      <c r="C60" t="s">
        <v>127</v>
      </c>
      <c r="D60" t="s">
        <v>23</v>
      </c>
      <c r="E60" t="s">
        <v>30</v>
      </c>
      <c r="F60" t="s">
        <v>27</v>
      </c>
      <c r="G60">
        <v>10</v>
      </c>
      <c r="H60" s="3">
        <v>46154</v>
      </c>
    </row>
    <row r="61" spans="1:8" ht="15" x14ac:dyDescent="0.2">
      <c r="A61">
        <v>1355</v>
      </c>
      <c r="B61" t="s">
        <v>128</v>
      </c>
      <c r="C61" t="s">
        <v>129</v>
      </c>
      <c r="D61" t="s">
        <v>23</v>
      </c>
      <c r="E61" t="s">
        <v>24</v>
      </c>
      <c r="F61" t="s">
        <v>35</v>
      </c>
      <c r="H61" s="3">
        <v>46154</v>
      </c>
    </row>
    <row r="62" spans="1:8" ht="15" x14ac:dyDescent="0.2">
      <c r="A62">
        <v>1164</v>
      </c>
      <c r="B62" t="s">
        <v>130</v>
      </c>
      <c r="C62" t="s">
        <v>131</v>
      </c>
      <c r="D62" t="s">
        <v>54</v>
      </c>
      <c r="E62" t="s">
        <v>30</v>
      </c>
      <c r="F62" t="s">
        <v>25</v>
      </c>
      <c r="H62" s="3">
        <v>46154</v>
      </c>
    </row>
    <row r="63" spans="1:8" ht="15" x14ac:dyDescent="0.2">
      <c r="A63">
        <v>1062</v>
      </c>
      <c r="B63" t="s">
        <v>130</v>
      </c>
      <c r="C63" t="s">
        <v>83</v>
      </c>
      <c r="D63" t="s">
        <v>23</v>
      </c>
      <c r="E63" t="s">
        <v>24</v>
      </c>
      <c r="F63" t="s">
        <v>27</v>
      </c>
      <c r="G63">
        <v>9</v>
      </c>
      <c r="H63" s="3">
        <v>46154</v>
      </c>
    </row>
    <row r="64" spans="1:8" ht="15" x14ac:dyDescent="0.2">
      <c r="A64">
        <v>938</v>
      </c>
      <c r="B64" t="s">
        <v>130</v>
      </c>
      <c r="C64" t="s">
        <v>132</v>
      </c>
      <c r="D64" t="s">
        <v>23</v>
      </c>
      <c r="E64" t="s">
        <v>30</v>
      </c>
      <c r="F64" t="s">
        <v>27</v>
      </c>
      <c r="G64">
        <v>7</v>
      </c>
      <c r="H64" s="3">
        <v>46154</v>
      </c>
    </row>
    <row r="65" spans="1:8" ht="15" x14ac:dyDescent="0.2">
      <c r="A65">
        <v>1427</v>
      </c>
      <c r="B65" t="s">
        <v>130</v>
      </c>
      <c r="C65" t="s">
        <v>133</v>
      </c>
      <c r="D65" t="s">
        <v>23</v>
      </c>
      <c r="E65" t="s">
        <v>30</v>
      </c>
      <c r="F65" t="s">
        <v>27</v>
      </c>
      <c r="G65">
        <v>16</v>
      </c>
      <c r="H65" s="3">
        <v>46154</v>
      </c>
    </row>
    <row r="66" spans="1:8" ht="15" x14ac:dyDescent="0.2">
      <c r="A66">
        <v>1034</v>
      </c>
      <c r="B66" t="s">
        <v>134</v>
      </c>
      <c r="C66" t="s">
        <v>83</v>
      </c>
      <c r="D66" t="s">
        <v>23</v>
      </c>
      <c r="E66" t="s">
        <v>24</v>
      </c>
      <c r="F66" t="s">
        <v>25</v>
      </c>
      <c r="H66" s="3">
        <v>46154</v>
      </c>
    </row>
    <row r="67" spans="1:8" ht="15" x14ac:dyDescent="0.2">
      <c r="A67">
        <v>1402</v>
      </c>
      <c r="B67" t="s">
        <v>135</v>
      </c>
      <c r="C67" t="s">
        <v>136</v>
      </c>
      <c r="D67" t="s">
        <v>23</v>
      </c>
      <c r="E67" t="s">
        <v>24</v>
      </c>
      <c r="F67" t="s">
        <v>27</v>
      </c>
      <c r="G67">
        <v>7</v>
      </c>
      <c r="H67" s="3">
        <v>46154</v>
      </c>
    </row>
    <row r="68" spans="1:8" ht="15" x14ac:dyDescent="0.2">
      <c r="A68">
        <v>939</v>
      </c>
      <c r="B68" t="s">
        <v>137</v>
      </c>
      <c r="C68" t="s">
        <v>127</v>
      </c>
      <c r="D68" t="s">
        <v>23</v>
      </c>
      <c r="E68" t="s">
        <v>30</v>
      </c>
      <c r="F68" t="s">
        <v>27</v>
      </c>
      <c r="G68">
        <v>12</v>
      </c>
      <c r="H68" s="3">
        <v>46154</v>
      </c>
    </row>
    <row r="69" spans="1:8" ht="15" x14ac:dyDescent="0.2">
      <c r="A69">
        <v>1377</v>
      </c>
      <c r="B69" t="s">
        <v>138</v>
      </c>
      <c r="C69" t="s">
        <v>139</v>
      </c>
      <c r="D69" t="s">
        <v>23</v>
      </c>
      <c r="E69" t="s">
        <v>30</v>
      </c>
      <c r="F69" t="s">
        <v>27</v>
      </c>
      <c r="G69">
        <v>12</v>
      </c>
      <c r="H69" s="3">
        <v>46154</v>
      </c>
    </row>
    <row r="70" spans="1:8" ht="15" x14ac:dyDescent="0.2">
      <c r="A70">
        <v>1281</v>
      </c>
      <c r="B70" t="s">
        <v>140</v>
      </c>
      <c r="C70" t="s">
        <v>141</v>
      </c>
      <c r="D70" t="s">
        <v>23</v>
      </c>
      <c r="E70" t="s">
        <v>24</v>
      </c>
      <c r="F70" t="s">
        <v>27</v>
      </c>
      <c r="G70">
        <v>19</v>
      </c>
      <c r="H70" s="3">
        <v>46154</v>
      </c>
    </row>
    <row r="71" spans="1:8" ht="15" x14ac:dyDescent="0.2">
      <c r="A71">
        <v>933</v>
      </c>
      <c r="B71" t="s">
        <v>142</v>
      </c>
      <c r="C71" t="s">
        <v>143</v>
      </c>
      <c r="D71" t="s">
        <v>23</v>
      </c>
      <c r="E71" t="s">
        <v>24</v>
      </c>
      <c r="F71" t="s">
        <v>25</v>
      </c>
      <c r="H71" s="3">
        <v>46154</v>
      </c>
    </row>
    <row r="72" spans="1:8" ht="15" x14ac:dyDescent="0.2">
      <c r="A72">
        <v>1274</v>
      </c>
      <c r="B72" t="s">
        <v>144</v>
      </c>
      <c r="C72" t="s">
        <v>145</v>
      </c>
      <c r="D72" t="s">
        <v>23</v>
      </c>
      <c r="E72" t="s">
        <v>30</v>
      </c>
      <c r="F72" t="s">
        <v>25</v>
      </c>
      <c r="H72" s="3">
        <v>46154</v>
      </c>
    </row>
    <row r="73" spans="1:8" ht="15" x14ac:dyDescent="0.2">
      <c r="A73">
        <v>493</v>
      </c>
      <c r="B73" t="s">
        <v>146</v>
      </c>
      <c r="C73" t="s">
        <v>49</v>
      </c>
      <c r="D73" t="s">
        <v>48</v>
      </c>
      <c r="E73" t="s">
        <v>24</v>
      </c>
      <c r="F73" t="s">
        <v>27</v>
      </c>
      <c r="G73">
        <v>37</v>
      </c>
      <c r="H73" s="3">
        <v>46154</v>
      </c>
    </row>
    <row r="74" spans="1:8" ht="15" x14ac:dyDescent="0.2">
      <c r="A74">
        <v>1279</v>
      </c>
      <c r="B74" t="s">
        <v>147</v>
      </c>
      <c r="C74" t="s">
        <v>148</v>
      </c>
      <c r="D74" t="s">
        <v>23</v>
      </c>
      <c r="E74" t="s">
        <v>24</v>
      </c>
      <c r="F74" t="s">
        <v>27</v>
      </c>
      <c r="G74">
        <v>4</v>
      </c>
      <c r="H74" s="3">
        <v>46154</v>
      </c>
    </row>
    <row r="75" spans="1:8" ht="15" x14ac:dyDescent="0.2">
      <c r="A75">
        <v>1193</v>
      </c>
      <c r="B75" t="s">
        <v>149</v>
      </c>
      <c r="C75" t="s">
        <v>150</v>
      </c>
      <c r="D75" t="s">
        <v>23</v>
      </c>
      <c r="E75" t="s">
        <v>24</v>
      </c>
      <c r="F75" t="s">
        <v>25</v>
      </c>
      <c r="H75" s="3">
        <v>46154</v>
      </c>
    </row>
    <row r="76" spans="1:8" ht="15" x14ac:dyDescent="0.2">
      <c r="A76">
        <v>1194</v>
      </c>
      <c r="B76" t="s">
        <v>149</v>
      </c>
      <c r="C76" t="s">
        <v>151</v>
      </c>
      <c r="D76" t="s">
        <v>23</v>
      </c>
      <c r="E76" t="s">
        <v>30</v>
      </c>
      <c r="F76" t="s">
        <v>25</v>
      </c>
      <c r="H76" s="3">
        <v>46154</v>
      </c>
    </row>
    <row r="77" spans="1:8" ht="15" x14ac:dyDescent="0.2">
      <c r="A77">
        <v>1196</v>
      </c>
      <c r="B77" t="s">
        <v>149</v>
      </c>
      <c r="C77" t="s">
        <v>152</v>
      </c>
      <c r="D77" t="s">
        <v>23</v>
      </c>
      <c r="E77" t="s">
        <v>24</v>
      </c>
      <c r="F77" t="s">
        <v>35</v>
      </c>
      <c r="H77" s="3">
        <v>46154</v>
      </c>
    </row>
    <row r="78" spans="1:8" ht="15" x14ac:dyDescent="0.2">
      <c r="A78">
        <v>1195</v>
      </c>
      <c r="B78" t="s">
        <v>149</v>
      </c>
      <c r="C78" t="s">
        <v>153</v>
      </c>
      <c r="D78" t="s">
        <v>23</v>
      </c>
      <c r="E78" t="s">
        <v>24</v>
      </c>
      <c r="F78" t="s">
        <v>35</v>
      </c>
      <c r="H78" s="3">
        <v>46154</v>
      </c>
    </row>
    <row r="79" spans="1:8" ht="15" x14ac:dyDescent="0.2">
      <c r="A79">
        <v>1176</v>
      </c>
      <c r="B79" t="s">
        <v>154</v>
      </c>
      <c r="C79" t="s">
        <v>155</v>
      </c>
      <c r="D79" t="s">
        <v>23</v>
      </c>
      <c r="E79" t="s">
        <v>24</v>
      </c>
      <c r="F79" t="s">
        <v>35</v>
      </c>
      <c r="H79" s="3">
        <v>46154</v>
      </c>
    </row>
    <row r="80" spans="1:8" ht="15" x14ac:dyDescent="0.2">
      <c r="A80">
        <v>1174</v>
      </c>
      <c r="B80" t="s">
        <v>154</v>
      </c>
      <c r="C80" t="s">
        <v>156</v>
      </c>
      <c r="D80" t="s">
        <v>23</v>
      </c>
      <c r="E80" t="s">
        <v>30</v>
      </c>
      <c r="F80" t="s">
        <v>27</v>
      </c>
      <c r="G80">
        <v>6</v>
      </c>
      <c r="H80" s="3">
        <v>46154</v>
      </c>
    </row>
    <row r="81" spans="1:8" ht="15" x14ac:dyDescent="0.2">
      <c r="A81">
        <v>1175</v>
      </c>
      <c r="B81" t="s">
        <v>154</v>
      </c>
      <c r="C81" t="s">
        <v>150</v>
      </c>
      <c r="D81" t="s">
        <v>23</v>
      </c>
      <c r="E81" t="s">
        <v>24</v>
      </c>
      <c r="F81" t="s">
        <v>27</v>
      </c>
      <c r="G81">
        <v>12</v>
      </c>
      <c r="H81" s="3">
        <v>46154</v>
      </c>
    </row>
    <row r="82" spans="1:8" ht="15" x14ac:dyDescent="0.2">
      <c r="A82">
        <v>1109</v>
      </c>
      <c r="B82" t="s">
        <v>157</v>
      </c>
      <c r="C82" t="s">
        <v>104</v>
      </c>
      <c r="D82" t="s">
        <v>23</v>
      </c>
      <c r="E82" t="s">
        <v>24</v>
      </c>
      <c r="F82" t="s">
        <v>25</v>
      </c>
      <c r="H82" s="3">
        <v>46154</v>
      </c>
    </row>
    <row r="83" spans="1:8" ht="15" x14ac:dyDescent="0.2">
      <c r="A83">
        <v>1073</v>
      </c>
      <c r="B83" t="s">
        <v>158</v>
      </c>
      <c r="C83" t="s">
        <v>150</v>
      </c>
      <c r="D83" t="s">
        <v>23</v>
      </c>
      <c r="E83" t="s">
        <v>24</v>
      </c>
      <c r="F83" t="s">
        <v>27</v>
      </c>
      <c r="G83">
        <v>3</v>
      </c>
      <c r="H83" s="3">
        <v>46154</v>
      </c>
    </row>
    <row r="84" spans="1:8" ht="15" x14ac:dyDescent="0.2">
      <c r="A84">
        <v>1400</v>
      </c>
      <c r="B84" t="s">
        <v>159</v>
      </c>
      <c r="C84" t="s">
        <v>160</v>
      </c>
      <c r="D84" t="s">
        <v>23</v>
      </c>
      <c r="E84" t="s">
        <v>24</v>
      </c>
      <c r="F84" t="s">
        <v>25</v>
      </c>
      <c r="H84" s="3">
        <v>46154</v>
      </c>
    </row>
    <row r="85" spans="1:8" ht="15" x14ac:dyDescent="0.2">
      <c r="A85">
        <v>1367</v>
      </c>
      <c r="B85" t="s">
        <v>161</v>
      </c>
      <c r="C85" t="s">
        <v>152</v>
      </c>
      <c r="D85" t="s">
        <v>23</v>
      </c>
      <c r="E85" t="s">
        <v>24</v>
      </c>
      <c r="F85" t="s">
        <v>35</v>
      </c>
      <c r="H85" s="3">
        <v>46154</v>
      </c>
    </row>
    <row r="86" spans="1:8" ht="15" x14ac:dyDescent="0.2">
      <c r="A86">
        <v>1366</v>
      </c>
      <c r="B86" t="s">
        <v>161</v>
      </c>
      <c r="C86" t="s">
        <v>162</v>
      </c>
      <c r="D86" t="s">
        <v>23</v>
      </c>
      <c r="E86" t="s">
        <v>30</v>
      </c>
      <c r="F86" t="s">
        <v>25</v>
      </c>
      <c r="H86" s="3">
        <v>46154</v>
      </c>
    </row>
    <row r="87" spans="1:8" ht="15" x14ac:dyDescent="0.2">
      <c r="A87">
        <v>1365</v>
      </c>
      <c r="B87" t="s">
        <v>161</v>
      </c>
      <c r="C87" t="s">
        <v>163</v>
      </c>
      <c r="D87" t="s">
        <v>23</v>
      </c>
      <c r="E87" t="s">
        <v>30</v>
      </c>
      <c r="F87" t="s">
        <v>27</v>
      </c>
      <c r="G87">
        <v>7</v>
      </c>
      <c r="H87" s="3">
        <v>46154</v>
      </c>
    </row>
    <row r="88" spans="1:8" ht="15" x14ac:dyDescent="0.2">
      <c r="A88">
        <v>897</v>
      </c>
      <c r="B88" t="s">
        <v>161</v>
      </c>
      <c r="C88" t="s">
        <v>164</v>
      </c>
      <c r="D88" t="s">
        <v>23</v>
      </c>
      <c r="E88" t="s">
        <v>24</v>
      </c>
      <c r="F88" t="s">
        <v>27</v>
      </c>
      <c r="G88">
        <v>13</v>
      </c>
      <c r="H88" s="3">
        <v>46154</v>
      </c>
    </row>
    <row r="89" spans="1:8" ht="15" x14ac:dyDescent="0.2">
      <c r="A89">
        <v>1308</v>
      </c>
      <c r="B89" t="s">
        <v>165</v>
      </c>
      <c r="C89" t="s">
        <v>166</v>
      </c>
      <c r="D89" t="s">
        <v>23</v>
      </c>
      <c r="E89" t="s">
        <v>30</v>
      </c>
      <c r="F89" t="s">
        <v>27</v>
      </c>
      <c r="G89">
        <v>2</v>
      </c>
      <c r="H89" s="3">
        <v>46154</v>
      </c>
    </row>
    <row r="90" spans="1:8" ht="15" x14ac:dyDescent="0.2">
      <c r="A90">
        <v>1206</v>
      </c>
      <c r="B90" t="s">
        <v>167</v>
      </c>
      <c r="C90" t="s">
        <v>168</v>
      </c>
      <c r="D90" t="s">
        <v>23</v>
      </c>
      <c r="E90" t="s">
        <v>30</v>
      </c>
      <c r="F90" t="s">
        <v>27</v>
      </c>
      <c r="G90">
        <v>8</v>
      </c>
      <c r="H90" s="3">
        <v>46154</v>
      </c>
    </row>
    <row r="91" spans="1:8" ht="15" x14ac:dyDescent="0.2">
      <c r="A91">
        <v>1205</v>
      </c>
      <c r="B91" t="s">
        <v>167</v>
      </c>
      <c r="C91" t="s">
        <v>66</v>
      </c>
      <c r="D91" t="s">
        <v>23</v>
      </c>
      <c r="E91" t="s">
        <v>24</v>
      </c>
      <c r="F91" t="s">
        <v>27</v>
      </c>
      <c r="G91">
        <v>14</v>
      </c>
      <c r="H91" s="3">
        <v>46154</v>
      </c>
    </row>
    <row r="92" spans="1:8" ht="15" x14ac:dyDescent="0.2">
      <c r="A92">
        <v>1406</v>
      </c>
      <c r="B92" t="s">
        <v>169</v>
      </c>
      <c r="C92" t="s">
        <v>170</v>
      </c>
      <c r="D92" t="s">
        <v>23</v>
      </c>
      <c r="E92" t="s">
        <v>24</v>
      </c>
      <c r="F92" t="s">
        <v>27</v>
      </c>
      <c r="G92">
        <v>9</v>
      </c>
      <c r="H92" s="3">
        <v>46154</v>
      </c>
    </row>
    <row r="93" spans="1:8" ht="15" x14ac:dyDescent="0.2">
      <c r="A93">
        <v>1182</v>
      </c>
      <c r="B93" t="s">
        <v>171</v>
      </c>
      <c r="C93" t="s">
        <v>136</v>
      </c>
      <c r="D93" t="s">
        <v>23</v>
      </c>
      <c r="E93" t="s">
        <v>24</v>
      </c>
      <c r="F93" t="s">
        <v>27</v>
      </c>
      <c r="G93">
        <v>8</v>
      </c>
      <c r="H93" s="3">
        <v>46154</v>
      </c>
    </row>
    <row r="94" spans="1:8" ht="15" x14ac:dyDescent="0.2">
      <c r="A94">
        <v>1340</v>
      </c>
      <c r="B94" t="s">
        <v>172</v>
      </c>
      <c r="C94" t="s">
        <v>173</v>
      </c>
      <c r="D94" t="s">
        <v>23</v>
      </c>
      <c r="E94" t="s">
        <v>24</v>
      </c>
      <c r="F94" t="s">
        <v>27</v>
      </c>
      <c r="G94">
        <v>8</v>
      </c>
      <c r="H94" s="3">
        <v>46154</v>
      </c>
    </row>
    <row r="95" spans="1:8" ht="15" x14ac:dyDescent="0.2">
      <c r="A95">
        <v>21</v>
      </c>
      <c r="B95" t="s">
        <v>174</v>
      </c>
      <c r="C95" t="s">
        <v>175</v>
      </c>
      <c r="D95" t="s">
        <v>23</v>
      </c>
      <c r="E95" t="s">
        <v>24</v>
      </c>
      <c r="F95" t="s">
        <v>25</v>
      </c>
      <c r="H95" s="3">
        <v>46154</v>
      </c>
    </row>
    <row r="96" spans="1:8" ht="15" x14ac:dyDescent="0.2">
      <c r="A96">
        <v>1049</v>
      </c>
      <c r="B96" t="s">
        <v>176</v>
      </c>
      <c r="C96" t="s">
        <v>177</v>
      </c>
      <c r="D96" t="s">
        <v>23</v>
      </c>
      <c r="E96" t="s">
        <v>24</v>
      </c>
      <c r="F96" t="s">
        <v>27</v>
      </c>
      <c r="G96">
        <v>19</v>
      </c>
      <c r="H96" s="3">
        <v>46154</v>
      </c>
    </row>
    <row r="97" spans="1:8" ht="15" x14ac:dyDescent="0.2">
      <c r="A97">
        <v>120</v>
      </c>
      <c r="B97" t="s">
        <v>178</v>
      </c>
      <c r="C97" t="s">
        <v>179</v>
      </c>
      <c r="D97" t="s">
        <v>23</v>
      </c>
      <c r="E97" t="s">
        <v>30</v>
      </c>
      <c r="F97" t="s">
        <v>27</v>
      </c>
      <c r="G97">
        <v>12</v>
      </c>
      <c r="H97" s="3">
        <v>46154</v>
      </c>
    </row>
    <row r="98" spans="1:8" ht="15" x14ac:dyDescent="0.2">
      <c r="A98">
        <v>990</v>
      </c>
      <c r="B98" t="s">
        <v>180</v>
      </c>
      <c r="C98" t="s">
        <v>87</v>
      </c>
      <c r="D98" t="s">
        <v>23</v>
      </c>
      <c r="E98" t="s">
        <v>30</v>
      </c>
      <c r="F98" t="s">
        <v>27</v>
      </c>
      <c r="G98">
        <v>10</v>
      </c>
      <c r="H98" s="3">
        <v>46154</v>
      </c>
    </row>
    <row r="99" spans="1:8" ht="15" x14ac:dyDescent="0.2">
      <c r="A99">
        <v>1395</v>
      </c>
      <c r="B99" t="s">
        <v>181</v>
      </c>
      <c r="C99" t="s">
        <v>182</v>
      </c>
      <c r="D99" t="s">
        <v>23</v>
      </c>
      <c r="E99" t="s">
        <v>30</v>
      </c>
      <c r="F99" t="s">
        <v>35</v>
      </c>
      <c r="H99" s="3">
        <v>46154</v>
      </c>
    </row>
    <row r="100" spans="1:8" ht="15" x14ac:dyDescent="0.2">
      <c r="A100">
        <v>1158</v>
      </c>
      <c r="B100" t="s">
        <v>183</v>
      </c>
      <c r="C100" t="s">
        <v>184</v>
      </c>
      <c r="D100" t="s">
        <v>23</v>
      </c>
      <c r="E100" t="s">
        <v>30</v>
      </c>
      <c r="F100" t="s">
        <v>25</v>
      </c>
      <c r="H100" s="3">
        <v>46154</v>
      </c>
    </row>
    <row r="101" spans="1:8" ht="15" x14ac:dyDescent="0.2">
      <c r="A101">
        <v>23</v>
      </c>
      <c r="B101" t="s">
        <v>185</v>
      </c>
      <c r="C101" t="s">
        <v>100</v>
      </c>
      <c r="D101" t="s">
        <v>23</v>
      </c>
      <c r="E101" t="s">
        <v>24</v>
      </c>
      <c r="F101" t="s">
        <v>27</v>
      </c>
      <c r="G101">
        <v>10</v>
      </c>
      <c r="H101" s="3">
        <v>46154</v>
      </c>
    </row>
    <row r="102" spans="1:8" ht="15" x14ac:dyDescent="0.2">
      <c r="A102">
        <v>1152</v>
      </c>
      <c r="B102" t="s">
        <v>186</v>
      </c>
      <c r="C102" t="s">
        <v>187</v>
      </c>
      <c r="D102" t="s">
        <v>54</v>
      </c>
      <c r="E102" t="s">
        <v>30</v>
      </c>
      <c r="F102" t="s">
        <v>188</v>
      </c>
      <c r="H102" s="3">
        <v>46154</v>
      </c>
    </row>
    <row r="103" spans="1:8" ht="15" x14ac:dyDescent="0.2">
      <c r="A103">
        <v>581</v>
      </c>
      <c r="B103" t="s">
        <v>189</v>
      </c>
      <c r="C103" t="s">
        <v>190</v>
      </c>
      <c r="D103" t="s">
        <v>23</v>
      </c>
      <c r="E103" t="s">
        <v>24</v>
      </c>
      <c r="F103" t="s">
        <v>27</v>
      </c>
      <c r="G103">
        <v>13</v>
      </c>
      <c r="H103" s="3">
        <v>46154</v>
      </c>
    </row>
    <row r="104" spans="1:8" ht="15" x14ac:dyDescent="0.2">
      <c r="A104">
        <v>1374</v>
      </c>
      <c r="B104" t="s">
        <v>191</v>
      </c>
      <c r="C104" t="s">
        <v>192</v>
      </c>
      <c r="D104" t="s">
        <v>23</v>
      </c>
      <c r="E104" t="s">
        <v>24</v>
      </c>
      <c r="F104" t="s">
        <v>25</v>
      </c>
      <c r="H104" s="3">
        <v>46154</v>
      </c>
    </row>
    <row r="105" spans="1:8" ht="15" x14ac:dyDescent="0.2">
      <c r="A105">
        <v>25</v>
      </c>
      <c r="B105" t="s">
        <v>22</v>
      </c>
      <c r="C105" t="s">
        <v>193</v>
      </c>
      <c r="D105" t="s">
        <v>23</v>
      </c>
      <c r="E105" t="s">
        <v>24</v>
      </c>
      <c r="F105" t="s">
        <v>27</v>
      </c>
      <c r="G105">
        <v>8</v>
      </c>
      <c r="H105" s="3">
        <v>46154</v>
      </c>
    </row>
    <row r="106" spans="1:8" ht="15" x14ac:dyDescent="0.2">
      <c r="A106">
        <v>1257</v>
      </c>
      <c r="B106" t="s">
        <v>194</v>
      </c>
      <c r="C106" t="s">
        <v>150</v>
      </c>
      <c r="D106" t="s">
        <v>54</v>
      </c>
      <c r="E106" t="s">
        <v>24</v>
      </c>
      <c r="F106" t="s">
        <v>25</v>
      </c>
      <c r="H106" s="3">
        <v>46154</v>
      </c>
    </row>
    <row r="107" spans="1:8" ht="15" x14ac:dyDescent="0.2">
      <c r="A107">
        <v>415</v>
      </c>
      <c r="B107" t="s">
        <v>195</v>
      </c>
      <c r="C107" t="s">
        <v>196</v>
      </c>
      <c r="D107" t="s">
        <v>23</v>
      </c>
      <c r="E107" t="s">
        <v>24</v>
      </c>
      <c r="F107" t="s">
        <v>27</v>
      </c>
      <c r="G107">
        <v>6</v>
      </c>
      <c r="H107" s="3">
        <v>46154</v>
      </c>
    </row>
    <row r="108" spans="1:8" ht="15" x14ac:dyDescent="0.2">
      <c r="A108">
        <v>1144</v>
      </c>
      <c r="B108" t="s">
        <v>195</v>
      </c>
      <c r="C108" t="s">
        <v>197</v>
      </c>
      <c r="D108" t="s">
        <v>54</v>
      </c>
      <c r="E108" t="s">
        <v>24</v>
      </c>
      <c r="F108" t="s">
        <v>188</v>
      </c>
      <c r="H108" s="3">
        <v>46154</v>
      </c>
    </row>
    <row r="109" spans="1:8" ht="15" x14ac:dyDescent="0.2">
      <c r="A109">
        <v>203</v>
      </c>
      <c r="B109" t="s">
        <v>200</v>
      </c>
      <c r="C109" t="s">
        <v>201</v>
      </c>
      <c r="D109" t="s">
        <v>23</v>
      </c>
      <c r="E109" t="s">
        <v>24</v>
      </c>
      <c r="F109" t="s">
        <v>27</v>
      </c>
      <c r="G109">
        <v>9</v>
      </c>
      <c r="H109" s="3">
        <v>46154</v>
      </c>
    </row>
    <row r="110" spans="1:8" ht="15" x14ac:dyDescent="0.2">
      <c r="A110">
        <v>956</v>
      </c>
      <c r="B110" t="s">
        <v>202</v>
      </c>
      <c r="C110" t="s">
        <v>94</v>
      </c>
      <c r="D110" t="s">
        <v>23</v>
      </c>
      <c r="E110" t="s">
        <v>24</v>
      </c>
      <c r="F110" t="s">
        <v>27</v>
      </c>
      <c r="G110">
        <v>13</v>
      </c>
      <c r="H110" s="3">
        <v>46154</v>
      </c>
    </row>
    <row r="111" spans="1:8" ht="15" x14ac:dyDescent="0.2">
      <c r="A111">
        <v>1273</v>
      </c>
      <c r="B111" t="s">
        <v>203</v>
      </c>
      <c r="C111" t="s">
        <v>204</v>
      </c>
      <c r="D111" t="s">
        <v>23</v>
      </c>
      <c r="E111" t="s">
        <v>30</v>
      </c>
      <c r="F111" t="s">
        <v>27</v>
      </c>
      <c r="G111">
        <v>22</v>
      </c>
      <c r="H111" s="3">
        <v>46154</v>
      </c>
    </row>
    <row r="112" spans="1:8" ht="15" x14ac:dyDescent="0.2">
      <c r="A112">
        <v>1272</v>
      </c>
      <c r="B112" t="s">
        <v>203</v>
      </c>
      <c r="C112" t="s">
        <v>205</v>
      </c>
      <c r="D112" t="s">
        <v>23</v>
      </c>
      <c r="E112" t="s">
        <v>24</v>
      </c>
      <c r="F112" t="s">
        <v>27</v>
      </c>
      <c r="G112">
        <v>24</v>
      </c>
      <c r="H112" s="3">
        <v>46154</v>
      </c>
    </row>
    <row r="113" spans="1:8" ht="15" x14ac:dyDescent="0.2">
      <c r="A113">
        <v>846</v>
      </c>
      <c r="B113" t="s">
        <v>206</v>
      </c>
      <c r="C113" t="s">
        <v>207</v>
      </c>
      <c r="D113" t="s">
        <v>23</v>
      </c>
      <c r="E113" t="s">
        <v>24</v>
      </c>
      <c r="F113" t="s">
        <v>27</v>
      </c>
      <c r="G113">
        <v>17</v>
      </c>
      <c r="H113" s="3">
        <v>46154</v>
      </c>
    </row>
    <row r="114" spans="1:8" ht="15" x14ac:dyDescent="0.2">
      <c r="A114">
        <v>1162</v>
      </c>
      <c r="B114" t="s">
        <v>208</v>
      </c>
      <c r="C114" t="s">
        <v>150</v>
      </c>
      <c r="D114" t="s">
        <v>23</v>
      </c>
      <c r="E114" t="s">
        <v>24</v>
      </c>
      <c r="F114" t="s">
        <v>25</v>
      </c>
      <c r="H114" s="3">
        <v>46154</v>
      </c>
    </row>
    <row r="115" spans="1:8" ht="15" x14ac:dyDescent="0.2">
      <c r="A115">
        <v>1244</v>
      </c>
      <c r="B115" t="s">
        <v>209</v>
      </c>
      <c r="C115" t="s">
        <v>94</v>
      </c>
      <c r="D115" t="s">
        <v>23</v>
      </c>
      <c r="E115" t="s">
        <v>24</v>
      </c>
      <c r="F115" t="s">
        <v>27</v>
      </c>
      <c r="G115">
        <v>2</v>
      </c>
      <c r="H115" s="3">
        <v>46154</v>
      </c>
    </row>
    <row r="116" spans="1:8" ht="15" x14ac:dyDescent="0.2">
      <c r="A116">
        <v>1379</v>
      </c>
      <c r="B116" t="s">
        <v>209</v>
      </c>
      <c r="C116" t="s">
        <v>210</v>
      </c>
      <c r="D116" t="s">
        <v>23</v>
      </c>
      <c r="E116" t="s">
        <v>30</v>
      </c>
      <c r="F116" t="s">
        <v>25</v>
      </c>
      <c r="H116" s="3">
        <v>46154</v>
      </c>
    </row>
    <row r="117" spans="1:8" ht="15" x14ac:dyDescent="0.2">
      <c r="A117">
        <v>1362</v>
      </c>
      <c r="B117" t="s">
        <v>211</v>
      </c>
      <c r="C117" t="s">
        <v>212</v>
      </c>
      <c r="D117" t="s">
        <v>23</v>
      </c>
      <c r="E117" t="s">
        <v>30</v>
      </c>
      <c r="F117" t="s">
        <v>27</v>
      </c>
      <c r="G117">
        <v>22</v>
      </c>
      <c r="H117" s="3">
        <v>46154</v>
      </c>
    </row>
    <row r="118" spans="1:8" ht="15" x14ac:dyDescent="0.2">
      <c r="A118">
        <v>1403</v>
      </c>
      <c r="B118" t="s">
        <v>213</v>
      </c>
      <c r="C118" t="s">
        <v>214</v>
      </c>
      <c r="D118" t="s">
        <v>23</v>
      </c>
      <c r="E118" t="s">
        <v>24</v>
      </c>
      <c r="F118" t="s">
        <v>27</v>
      </c>
      <c r="G118">
        <v>8</v>
      </c>
      <c r="H118" s="3">
        <v>46154</v>
      </c>
    </row>
    <row r="119" spans="1:8" ht="15" x14ac:dyDescent="0.2">
      <c r="A119">
        <v>1404</v>
      </c>
      <c r="B119" t="s">
        <v>213</v>
      </c>
      <c r="C119" t="s">
        <v>215</v>
      </c>
      <c r="D119" t="s">
        <v>23</v>
      </c>
      <c r="E119" t="s">
        <v>30</v>
      </c>
      <c r="F119" t="s">
        <v>25</v>
      </c>
      <c r="H119" s="3">
        <v>46154</v>
      </c>
    </row>
    <row r="120" spans="1:8" ht="15" x14ac:dyDescent="0.2">
      <c r="A120">
        <v>1229</v>
      </c>
      <c r="B120" t="s">
        <v>216</v>
      </c>
      <c r="C120" t="s">
        <v>217</v>
      </c>
      <c r="D120" t="s">
        <v>23</v>
      </c>
      <c r="E120" t="s">
        <v>30</v>
      </c>
      <c r="F120" t="s">
        <v>25</v>
      </c>
      <c r="H120" s="3">
        <v>46154</v>
      </c>
    </row>
    <row r="121" spans="1:8" ht="15" x14ac:dyDescent="0.2">
      <c r="A121">
        <v>1408</v>
      </c>
      <c r="B121" t="s">
        <v>218</v>
      </c>
      <c r="C121" t="s">
        <v>219</v>
      </c>
      <c r="D121" t="s">
        <v>23</v>
      </c>
      <c r="E121" t="s">
        <v>24</v>
      </c>
      <c r="F121" t="s">
        <v>27</v>
      </c>
      <c r="G121">
        <v>20</v>
      </c>
      <c r="H121" s="3">
        <v>46154</v>
      </c>
    </row>
    <row r="122" spans="1:8" ht="15" x14ac:dyDescent="0.2">
      <c r="A122">
        <v>1409</v>
      </c>
      <c r="B122" t="s">
        <v>218</v>
      </c>
      <c r="C122" t="s">
        <v>220</v>
      </c>
      <c r="D122" t="s">
        <v>23</v>
      </c>
      <c r="E122" t="s">
        <v>30</v>
      </c>
      <c r="F122" t="s">
        <v>27</v>
      </c>
      <c r="G122">
        <v>15</v>
      </c>
      <c r="H122" s="3">
        <v>46154</v>
      </c>
    </row>
    <row r="123" spans="1:8" ht="15" x14ac:dyDescent="0.2">
      <c r="A123">
        <v>1198</v>
      </c>
      <c r="B123" t="s">
        <v>221</v>
      </c>
      <c r="C123" t="s">
        <v>222</v>
      </c>
      <c r="D123" t="s">
        <v>23</v>
      </c>
      <c r="E123" t="s">
        <v>24</v>
      </c>
      <c r="F123" t="s">
        <v>27</v>
      </c>
      <c r="G123">
        <v>5</v>
      </c>
      <c r="H123" s="3">
        <v>46154</v>
      </c>
    </row>
    <row r="124" spans="1:8" ht="15" x14ac:dyDescent="0.2">
      <c r="A124">
        <v>1260</v>
      </c>
      <c r="B124" t="s">
        <v>223</v>
      </c>
      <c r="C124" t="s">
        <v>82</v>
      </c>
      <c r="D124" t="s">
        <v>23</v>
      </c>
      <c r="E124" t="s">
        <v>30</v>
      </c>
      <c r="F124" t="s">
        <v>27</v>
      </c>
      <c r="G124">
        <v>15</v>
      </c>
      <c r="H124" s="3">
        <v>46154</v>
      </c>
    </row>
    <row r="125" spans="1:8" ht="15" x14ac:dyDescent="0.2">
      <c r="A125">
        <v>1361</v>
      </c>
      <c r="B125" t="s">
        <v>224</v>
      </c>
      <c r="C125" t="s">
        <v>225</v>
      </c>
      <c r="D125" t="s">
        <v>23</v>
      </c>
      <c r="E125" t="s">
        <v>24</v>
      </c>
      <c r="F125" t="s">
        <v>27</v>
      </c>
      <c r="G125">
        <v>16</v>
      </c>
      <c r="H125" s="3">
        <v>46154</v>
      </c>
    </row>
    <row r="126" spans="1:8" ht="15" x14ac:dyDescent="0.2">
      <c r="A126">
        <v>1100</v>
      </c>
      <c r="B126" t="s">
        <v>226</v>
      </c>
      <c r="C126" t="s">
        <v>34</v>
      </c>
      <c r="D126" t="s">
        <v>23</v>
      </c>
      <c r="E126" t="s">
        <v>24</v>
      </c>
      <c r="F126" t="s">
        <v>27</v>
      </c>
      <c r="G126">
        <v>13</v>
      </c>
      <c r="H126" s="3">
        <v>46154</v>
      </c>
    </row>
    <row r="127" spans="1:8" ht="15" x14ac:dyDescent="0.2">
      <c r="A127">
        <v>1385</v>
      </c>
      <c r="B127" t="s">
        <v>227</v>
      </c>
      <c r="C127" t="s">
        <v>228</v>
      </c>
      <c r="D127" t="s">
        <v>23</v>
      </c>
      <c r="E127" t="s">
        <v>24</v>
      </c>
      <c r="F127" t="s">
        <v>25</v>
      </c>
      <c r="H127" s="3">
        <v>46154</v>
      </c>
    </row>
    <row r="128" spans="1:8" ht="15" x14ac:dyDescent="0.2">
      <c r="A128">
        <v>1394</v>
      </c>
      <c r="B128" t="s">
        <v>227</v>
      </c>
      <c r="C128" t="s">
        <v>229</v>
      </c>
      <c r="D128" t="s">
        <v>23</v>
      </c>
      <c r="E128" t="s">
        <v>24</v>
      </c>
      <c r="F128" t="s">
        <v>35</v>
      </c>
      <c r="H128" s="3">
        <v>46154</v>
      </c>
    </row>
    <row r="129" spans="1:8" ht="15" x14ac:dyDescent="0.2">
      <c r="A129">
        <v>1419</v>
      </c>
      <c r="B129" t="s">
        <v>230</v>
      </c>
      <c r="C129" t="s">
        <v>231</v>
      </c>
      <c r="D129" t="s">
        <v>23</v>
      </c>
      <c r="E129" t="s">
        <v>24</v>
      </c>
      <c r="F129" t="s">
        <v>25</v>
      </c>
      <c r="H129" s="3">
        <v>46154</v>
      </c>
    </row>
    <row r="130" spans="1:8" ht="15" x14ac:dyDescent="0.2">
      <c r="A130">
        <v>967</v>
      </c>
      <c r="B130" t="s">
        <v>232</v>
      </c>
      <c r="C130" t="s">
        <v>152</v>
      </c>
      <c r="D130" t="s">
        <v>23</v>
      </c>
      <c r="E130" t="s">
        <v>24</v>
      </c>
      <c r="F130" t="s">
        <v>27</v>
      </c>
      <c r="G130">
        <v>5</v>
      </c>
      <c r="H130" s="3">
        <v>46154</v>
      </c>
    </row>
    <row r="131" spans="1:8" ht="15" x14ac:dyDescent="0.2">
      <c r="A131">
        <v>1373</v>
      </c>
      <c r="B131" t="s">
        <v>233</v>
      </c>
      <c r="C131" t="s">
        <v>234</v>
      </c>
      <c r="D131" t="s">
        <v>23</v>
      </c>
      <c r="E131" t="s">
        <v>24</v>
      </c>
      <c r="F131" t="s">
        <v>27</v>
      </c>
      <c r="G131">
        <v>10</v>
      </c>
      <c r="H131" s="3">
        <v>46154</v>
      </c>
    </row>
    <row r="132" spans="1:8" ht="15" x14ac:dyDescent="0.2">
      <c r="A132">
        <v>1045</v>
      </c>
      <c r="B132" t="s">
        <v>235</v>
      </c>
      <c r="C132" t="s">
        <v>236</v>
      </c>
      <c r="D132" t="s">
        <v>23</v>
      </c>
      <c r="E132" t="s">
        <v>30</v>
      </c>
      <c r="F132" t="s">
        <v>27</v>
      </c>
      <c r="G132">
        <v>5</v>
      </c>
      <c r="H132" s="3">
        <v>46154</v>
      </c>
    </row>
    <row r="133" spans="1:8" ht="15" x14ac:dyDescent="0.2">
      <c r="A133">
        <v>1046</v>
      </c>
      <c r="B133" t="s">
        <v>235</v>
      </c>
      <c r="C133" t="s">
        <v>237</v>
      </c>
      <c r="D133" t="s">
        <v>23</v>
      </c>
      <c r="E133" t="s">
        <v>24</v>
      </c>
      <c r="F133" t="s">
        <v>27</v>
      </c>
      <c r="G133">
        <v>35</v>
      </c>
      <c r="H133" s="3">
        <v>46154</v>
      </c>
    </row>
    <row r="134" spans="1:8" ht="15" x14ac:dyDescent="0.2">
      <c r="A134">
        <v>1396</v>
      </c>
      <c r="B134" t="s">
        <v>238</v>
      </c>
      <c r="C134" t="s">
        <v>59</v>
      </c>
      <c r="D134" t="s">
        <v>23</v>
      </c>
      <c r="E134" t="s">
        <v>24</v>
      </c>
      <c r="F134" t="s">
        <v>25</v>
      </c>
      <c r="H134" s="3">
        <v>46154</v>
      </c>
    </row>
    <row r="135" spans="1:8" ht="15" x14ac:dyDescent="0.2">
      <c r="A135">
        <v>1397</v>
      </c>
      <c r="B135" t="s">
        <v>238</v>
      </c>
      <c r="C135" t="s">
        <v>239</v>
      </c>
      <c r="D135" t="s">
        <v>23</v>
      </c>
      <c r="E135" t="s">
        <v>30</v>
      </c>
      <c r="F135" t="s">
        <v>25</v>
      </c>
      <c r="H135" s="3">
        <v>46154</v>
      </c>
    </row>
    <row r="136" spans="1:8" ht="15" x14ac:dyDescent="0.2">
      <c r="A136">
        <v>1398</v>
      </c>
      <c r="B136" t="s">
        <v>238</v>
      </c>
      <c r="C136" t="s">
        <v>49</v>
      </c>
      <c r="D136" t="s">
        <v>23</v>
      </c>
      <c r="E136" t="s">
        <v>24</v>
      </c>
      <c r="F136" t="s">
        <v>35</v>
      </c>
      <c r="H136" s="3">
        <v>46154</v>
      </c>
    </row>
    <row r="137" spans="1:8" ht="15" x14ac:dyDescent="0.2">
      <c r="A137">
        <v>1399</v>
      </c>
      <c r="B137" t="s">
        <v>238</v>
      </c>
      <c r="C137" t="s">
        <v>131</v>
      </c>
      <c r="D137" t="s">
        <v>23</v>
      </c>
      <c r="E137" t="s">
        <v>30</v>
      </c>
      <c r="F137" t="s">
        <v>35</v>
      </c>
      <c r="H137" s="3">
        <v>46154</v>
      </c>
    </row>
    <row r="138" spans="1:8" ht="15" x14ac:dyDescent="0.2">
      <c r="A138">
        <v>771</v>
      </c>
      <c r="B138" t="s">
        <v>240</v>
      </c>
      <c r="C138" t="s">
        <v>241</v>
      </c>
      <c r="D138" t="s">
        <v>23</v>
      </c>
      <c r="E138" t="s">
        <v>24</v>
      </c>
      <c r="F138" t="s">
        <v>27</v>
      </c>
      <c r="G138">
        <v>14</v>
      </c>
      <c r="H138" s="3">
        <v>46154</v>
      </c>
    </row>
    <row r="139" spans="1:8" ht="15" x14ac:dyDescent="0.2">
      <c r="A139">
        <v>1265</v>
      </c>
      <c r="B139" t="s">
        <v>242</v>
      </c>
      <c r="C139" t="s">
        <v>243</v>
      </c>
      <c r="D139" t="s">
        <v>23</v>
      </c>
      <c r="E139" t="s">
        <v>24</v>
      </c>
      <c r="F139" t="s">
        <v>27</v>
      </c>
      <c r="G139">
        <v>20</v>
      </c>
      <c r="H139" s="3">
        <v>46154</v>
      </c>
    </row>
    <row r="140" spans="1:8" ht="15" x14ac:dyDescent="0.2">
      <c r="A140">
        <v>532</v>
      </c>
      <c r="B140" t="s">
        <v>244</v>
      </c>
      <c r="C140" t="s">
        <v>243</v>
      </c>
      <c r="D140" t="s">
        <v>23</v>
      </c>
      <c r="E140" t="s">
        <v>24</v>
      </c>
      <c r="F140" t="s">
        <v>27</v>
      </c>
      <c r="G140">
        <v>13</v>
      </c>
      <c r="H140" s="3">
        <v>46154</v>
      </c>
    </row>
    <row r="141" spans="1:8" ht="15" x14ac:dyDescent="0.2">
      <c r="A141">
        <v>742</v>
      </c>
      <c r="B141" t="s">
        <v>246</v>
      </c>
      <c r="C141" t="s">
        <v>156</v>
      </c>
      <c r="D141" t="s">
        <v>23</v>
      </c>
      <c r="E141" t="s">
        <v>30</v>
      </c>
      <c r="F141" t="s">
        <v>27</v>
      </c>
      <c r="G141">
        <v>2</v>
      </c>
      <c r="H141" s="3">
        <v>46154</v>
      </c>
    </row>
    <row r="142" spans="1:8" ht="15" x14ac:dyDescent="0.2">
      <c r="A142">
        <v>741</v>
      </c>
      <c r="B142" t="s">
        <v>246</v>
      </c>
      <c r="C142" t="s">
        <v>247</v>
      </c>
      <c r="D142" t="s">
        <v>23</v>
      </c>
      <c r="E142" t="s">
        <v>24</v>
      </c>
      <c r="F142" t="s">
        <v>27</v>
      </c>
      <c r="G142">
        <v>4</v>
      </c>
      <c r="H142" s="3">
        <v>46154</v>
      </c>
    </row>
    <row r="143" spans="1:8" ht="15" x14ac:dyDescent="0.2">
      <c r="A143">
        <v>1298</v>
      </c>
      <c r="B143" t="s">
        <v>246</v>
      </c>
      <c r="C143" t="s">
        <v>132</v>
      </c>
      <c r="D143" t="s">
        <v>23</v>
      </c>
      <c r="E143" t="s">
        <v>30</v>
      </c>
      <c r="F143" t="s">
        <v>27</v>
      </c>
      <c r="G143">
        <v>13</v>
      </c>
      <c r="H143" s="3">
        <v>46154</v>
      </c>
    </row>
    <row r="144" spans="1:8" ht="15" x14ac:dyDescent="0.2">
      <c r="A144">
        <v>747</v>
      </c>
      <c r="B144" t="s">
        <v>246</v>
      </c>
      <c r="C144" t="s">
        <v>22</v>
      </c>
      <c r="D144" t="s">
        <v>23</v>
      </c>
      <c r="E144" t="s">
        <v>24</v>
      </c>
      <c r="F144" t="s">
        <v>27</v>
      </c>
      <c r="G144">
        <v>1</v>
      </c>
      <c r="H144" s="3">
        <v>46154</v>
      </c>
    </row>
    <row r="145" spans="1:8" ht="15" x14ac:dyDescent="0.2">
      <c r="A145">
        <v>1386</v>
      </c>
      <c r="B145" t="s">
        <v>246</v>
      </c>
      <c r="C145" t="s">
        <v>248</v>
      </c>
      <c r="D145" t="s">
        <v>23</v>
      </c>
      <c r="E145" t="s">
        <v>30</v>
      </c>
      <c r="F145" t="s">
        <v>35</v>
      </c>
      <c r="H145" s="3">
        <v>46154</v>
      </c>
    </row>
    <row r="146" spans="1:8" ht="15" x14ac:dyDescent="0.2">
      <c r="A146">
        <v>1221</v>
      </c>
      <c r="B146" t="s">
        <v>249</v>
      </c>
      <c r="C146" t="s">
        <v>234</v>
      </c>
      <c r="D146" t="s">
        <v>23</v>
      </c>
      <c r="E146" t="s">
        <v>24</v>
      </c>
      <c r="F146" t="s">
        <v>25</v>
      </c>
      <c r="H146" s="3">
        <v>46154</v>
      </c>
    </row>
    <row r="147" spans="1:8" ht="15" x14ac:dyDescent="0.2">
      <c r="A147">
        <v>564</v>
      </c>
      <c r="B147" t="s">
        <v>250</v>
      </c>
      <c r="C147" t="s">
        <v>34</v>
      </c>
      <c r="D147" t="s">
        <v>23</v>
      </c>
      <c r="E147" t="s">
        <v>24</v>
      </c>
      <c r="F147" t="s">
        <v>27</v>
      </c>
      <c r="G147">
        <v>7</v>
      </c>
      <c r="H147" s="3">
        <v>46154</v>
      </c>
    </row>
    <row r="148" spans="1:8" ht="15" x14ac:dyDescent="0.2">
      <c r="A148">
        <v>1165</v>
      </c>
      <c r="B148" t="s">
        <v>251</v>
      </c>
      <c r="C148" t="s">
        <v>177</v>
      </c>
      <c r="D148" t="s">
        <v>23</v>
      </c>
      <c r="E148" t="s">
        <v>24</v>
      </c>
      <c r="F148" t="s">
        <v>27</v>
      </c>
      <c r="G148">
        <v>10</v>
      </c>
      <c r="H148" s="3">
        <v>46154</v>
      </c>
    </row>
    <row r="149" spans="1:8" ht="15" x14ac:dyDescent="0.2">
      <c r="A149">
        <v>405</v>
      </c>
      <c r="B149" t="s">
        <v>252</v>
      </c>
      <c r="C149" t="s">
        <v>243</v>
      </c>
      <c r="D149" t="s">
        <v>23</v>
      </c>
      <c r="E149" t="s">
        <v>24</v>
      </c>
      <c r="F149" t="s">
        <v>27</v>
      </c>
      <c r="G149">
        <v>18</v>
      </c>
      <c r="H149" s="3">
        <v>46154</v>
      </c>
    </row>
    <row r="150" spans="1:8" ht="15" x14ac:dyDescent="0.2">
      <c r="A150">
        <v>1346</v>
      </c>
      <c r="B150" t="s">
        <v>253</v>
      </c>
      <c r="C150" t="s">
        <v>254</v>
      </c>
      <c r="D150" t="s">
        <v>23</v>
      </c>
      <c r="E150" t="s">
        <v>24</v>
      </c>
      <c r="F150" t="s">
        <v>27</v>
      </c>
      <c r="G150">
        <v>20</v>
      </c>
      <c r="H150" s="3">
        <v>46154</v>
      </c>
    </row>
    <row r="151" spans="1:8" ht="15" x14ac:dyDescent="0.2">
      <c r="A151">
        <v>1192</v>
      </c>
      <c r="B151" t="s">
        <v>255</v>
      </c>
      <c r="C151" t="s">
        <v>256</v>
      </c>
      <c r="D151" t="s">
        <v>23</v>
      </c>
      <c r="E151" t="s">
        <v>24</v>
      </c>
      <c r="F151" t="s">
        <v>27</v>
      </c>
      <c r="G151">
        <v>10</v>
      </c>
      <c r="H151" s="3">
        <v>46154</v>
      </c>
    </row>
    <row r="152" spans="1:8" ht="15" x14ac:dyDescent="0.2">
      <c r="A152">
        <v>1157</v>
      </c>
      <c r="B152" t="s">
        <v>257</v>
      </c>
      <c r="C152" t="s">
        <v>100</v>
      </c>
      <c r="D152" t="s">
        <v>23</v>
      </c>
      <c r="E152" t="s">
        <v>24</v>
      </c>
      <c r="F152" t="s">
        <v>25</v>
      </c>
      <c r="H152" s="3">
        <v>46154</v>
      </c>
    </row>
    <row r="153" spans="1:8" ht="15" x14ac:dyDescent="0.2">
      <c r="A153">
        <v>1359</v>
      </c>
      <c r="B153" t="s">
        <v>258</v>
      </c>
      <c r="C153" t="s">
        <v>49</v>
      </c>
      <c r="D153" t="s">
        <v>23</v>
      </c>
      <c r="E153" t="s">
        <v>24</v>
      </c>
      <c r="F153" t="s">
        <v>188</v>
      </c>
      <c r="H153" s="3">
        <v>46154</v>
      </c>
    </row>
    <row r="154" spans="1:8" ht="15" x14ac:dyDescent="0.2">
      <c r="A154">
        <v>1360</v>
      </c>
      <c r="B154" t="s">
        <v>258</v>
      </c>
      <c r="C154" t="s">
        <v>259</v>
      </c>
      <c r="D154" t="s">
        <v>23</v>
      </c>
      <c r="E154" t="s">
        <v>30</v>
      </c>
      <c r="F154" t="s">
        <v>35</v>
      </c>
      <c r="H154" s="3">
        <v>46154</v>
      </c>
    </row>
    <row r="155" spans="1:8" ht="15" x14ac:dyDescent="0.2">
      <c r="A155">
        <v>1357</v>
      </c>
      <c r="B155" t="s">
        <v>258</v>
      </c>
      <c r="C155" t="s">
        <v>34</v>
      </c>
      <c r="D155" t="s">
        <v>23</v>
      </c>
      <c r="E155" t="s">
        <v>24</v>
      </c>
      <c r="F155" t="s">
        <v>27</v>
      </c>
      <c r="G155">
        <v>5</v>
      </c>
      <c r="H155" s="3">
        <v>46154</v>
      </c>
    </row>
    <row r="156" spans="1:8" ht="15" x14ac:dyDescent="0.2">
      <c r="A156">
        <v>1358</v>
      </c>
      <c r="B156" t="s">
        <v>258</v>
      </c>
      <c r="C156" t="s">
        <v>260</v>
      </c>
      <c r="D156" t="s">
        <v>23</v>
      </c>
      <c r="E156" t="s">
        <v>30</v>
      </c>
      <c r="F156" t="s">
        <v>27</v>
      </c>
      <c r="G156">
        <v>7</v>
      </c>
      <c r="H156" s="3">
        <v>46154</v>
      </c>
    </row>
    <row r="157" spans="1:8" ht="15" x14ac:dyDescent="0.2">
      <c r="A157">
        <v>1390</v>
      </c>
      <c r="B157" t="s">
        <v>261</v>
      </c>
      <c r="C157" t="s">
        <v>262</v>
      </c>
      <c r="D157" t="s">
        <v>23</v>
      </c>
      <c r="E157" t="s">
        <v>24</v>
      </c>
      <c r="F157" t="s">
        <v>25</v>
      </c>
      <c r="H157" s="3">
        <v>46154</v>
      </c>
    </row>
    <row r="158" spans="1:8" ht="15" x14ac:dyDescent="0.2">
      <c r="A158">
        <v>1107</v>
      </c>
      <c r="B158" t="s">
        <v>263</v>
      </c>
      <c r="C158" t="s">
        <v>264</v>
      </c>
      <c r="D158" t="s">
        <v>23</v>
      </c>
      <c r="E158" t="s">
        <v>30</v>
      </c>
      <c r="F158" t="s">
        <v>25</v>
      </c>
      <c r="H158" s="3">
        <v>46154</v>
      </c>
    </row>
    <row r="159" spans="1:8" ht="15" x14ac:dyDescent="0.2">
      <c r="A159">
        <v>35</v>
      </c>
      <c r="B159" t="s">
        <v>265</v>
      </c>
      <c r="C159" t="s">
        <v>266</v>
      </c>
      <c r="D159" t="s">
        <v>23</v>
      </c>
      <c r="E159" t="s">
        <v>24</v>
      </c>
      <c r="F159" t="s">
        <v>27</v>
      </c>
      <c r="G159">
        <v>3</v>
      </c>
      <c r="H159" s="3">
        <v>46154</v>
      </c>
    </row>
    <row r="160" spans="1:8" ht="15" x14ac:dyDescent="0.2">
      <c r="A160">
        <v>1094</v>
      </c>
      <c r="B160" t="s">
        <v>267</v>
      </c>
      <c r="C160" t="s">
        <v>268</v>
      </c>
      <c r="D160" t="s">
        <v>23</v>
      </c>
      <c r="E160" t="s">
        <v>24</v>
      </c>
      <c r="F160" t="s">
        <v>27</v>
      </c>
      <c r="G160">
        <v>12</v>
      </c>
      <c r="H160" s="3">
        <v>46154</v>
      </c>
    </row>
    <row r="161" spans="1:8" ht="15" x14ac:dyDescent="0.2">
      <c r="A161">
        <v>1325</v>
      </c>
      <c r="B161" t="s">
        <v>269</v>
      </c>
      <c r="C161" t="s">
        <v>270</v>
      </c>
      <c r="D161" t="s">
        <v>23</v>
      </c>
      <c r="E161" t="s">
        <v>24</v>
      </c>
      <c r="F161" t="s">
        <v>27</v>
      </c>
      <c r="G161">
        <v>3</v>
      </c>
      <c r="H161" s="3">
        <v>46154</v>
      </c>
    </row>
    <row r="162" spans="1:8" ht="15" x14ac:dyDescent="0.2">
      <c r="A162">
        <v>1143</v>
      </c>
      <c r="B162" t="s">
        <v>271</v>
      </c>
      <c r="C162" t="s">
        <v>247</v>
      </c>
      <c r="D162" t="s">
        <v>23</v>
      </c>
      <c r="E162" t="s">
        <v>24</v>
      </c>
      <c r="F162" t="s">
        <v>27</v>
      </c>
      <c r="G162">
        <v>3</v>
      </c>
      <c r="H162" s="3">
        <v>46154</v>
      </c>
    </row>
    <row r="163" spans="1:8" ht="15" x14ac:dyDescent="0.2">
      <c r="A163">
        <v>1401</v>
      </c>
      <c r="B163" t="s">
        <v>272</v>
      </c>
      <c r="C163" t="s">
        <v>273</v>
      </c>
      <c r="D163" t="s">
        <v>23</v>
      </c>
      <c r="E163" t="s">
        <v>30</v>
      </c>
      <c r="F163" t="s">
        <v>25</v>
      </c>
      <c r="H163" s="3">
        <v>46154</v>
      </c>
    </row>
    <row r="164" spans="1:8" ht="15" x14ac:dyDescent="0.2">
      <c r="A164">
        <v>1285</v>
      </c>
      <c r="B164" t="s">
        <v>274</v>
      </c>
      <c r="C164" t="s">
        <v>100</v>
      </c>
      <c r="D164" t="s">
        <v>23</v>
      </c>
      <c r="E164" t="s">
        <v>24</v>
      </c>
      <c r="F164" t="s">
        <v>25</v>
      </c>
      <c r="H164" s="3">
        <v>46154</v>
      </c>
    </row>
    <row r="165" spans="1:8" ht="15" x14ac:dyDescent="0.2">
      <c r="A165">
        <v>38</v>
      </c>
      <c r="B165" t="s">
        <v>275</v>
      </c>
      <c r="C165" t="s">
        <v>276</v>
      </c>
      <c r="D165" t="s">
        <v>23</v>
      </c>
      <c r="E165" t="s">
        <v>24</v>
      </c>
      <c r="F165" t="s">
        <v>27</v>
      </c>
      <c r="G165">
        <v>13</v>
      </c>
      <c r="H165" s="3">
        <v>46154</v>
      </c>
    </row>
    <row r="166" spans="1:8" ht="15" x14ac:dyDescent="0.2">
      <c r="A166">
        <v>245</v>
      </c>
      <c r="B166" t="s">
        <v>277</v>
      </c>
      <c r="C166" t="s">
        <v>234</v>
      </c>
      <c r="D166" t="s">
        <v>23</v>
      </c>
      <c r="E166" t="s">
        <v>24</v>
      </c>
      <c r="F166" t="s">
        <v>27</v>
      </c>
      <c r="G166">
        <v>10</v>
      </c>
      <c r="H166" s="3">
        <v>46154</v>
      </c>
    </row>
    <row r="167" spans="1:8" ht="15" x14ac:dyDescent="0.2">
      <c r="A167">
        <v>39</v>
      </c>
      <c r="B167" t="s">
        <v>277</v>
      </c>
      <c r="C167" t="s">
        <v>278</v>
      </c>
      <c r="D167" t="s">
        <v>23</v>
      </c>
      <c r="E167" t="s">
        <v>24</v>
      </c>
      <c r="F167" t="s">
        <v>27</v>
      </c>
      <c r="G167">
        <v>43</v>
      </c>
      <c r="H167" s="3">
        <v>46154</v>
      </c>
    </row>
    <row r="168" spans="1:8" ht="15" x14ac:dyDescent="0.2">
      <c r="A168">
        <v>508</v>
      </c>
      <c r="B168" t="s">
        <v>279</v>
      </c>
      <c r="C168" t="s">
        <v>59</v>
      </c>
      <c r="D168" t="s">
        <v>23</v>
      </c>
      <c r="E168" t="s">
        <v>24</v>
      </c>
      <c r="F168" t="s">
        <v>27</v>
      </c>
      <c r="G168">
        <v>31</v>
      </c>
      <c r="H168" s="3">
        <v>46154</v>
      </c>
    </row>
    <row r="169" spans="1:8" ht="15" x14ac:dyDescent="0.2">
      <c r="A169">
        <v>1025</v>
      </c>
      <c r="B169" t="s">
        <v>280</v>
      </c>
      <c r="C169" t="s">
        <v>281</v>
      </c>
      <c r="D169" t="s">
        <v>23</v>
      </c>
      <c r="E169" t="s">
        <v>24</v>
      </c>
      <c r="F169" t="s">
        <v>35</v>
      </c>
      <c r="H169" s="3">
        <v>46154</v>
      </c>
    </row>
    <row r="170" spans="1:8" ht="15" x14ac:dyDescent="0.2">
      <c r="A170">
        <v>1024</v>
      </c>
      <c r="B170" t="s">
        <v>280</v>
      </c>
      <c r="C170" t="s">
        <v>282</v>
      </c>
      <c r="D170" t="s">
        <v>23</v>
      </c>
      <c r="E170" t="s">
        <v>24</v>
      </c>
      <c r="F170" t="s">
        <v>188</v>
      </c>
      <c r="H170" s="3">
        <v>46154</v>
      </c>
    </row>
    <row r="171" spans="1:8" ht="15" x14ac:dyDescent="0.2">
      <c r="A171">
        <v>1023</v>
      </c>
      <c r="B171" t="s">
        <v>280</v>
      </c>
      <c r="C171" t="s">
        <v>39</v>
      </c>
      <c r="D171" t="s">
        <v>23</v>
      </c>
      <c r="E171" t="s">
        <v>24</v>
      </c>
      <c r="F171" t="s">
        <v>25</v>
      </c>
      <c r="H171" s="3">
        <v>46154</v>
      </c>
    </row>
    <row r="172" spans="1:8" ht="15" x14ac:dyDescent="0.2">
      <c r="A172">
        <v>1232</v>
      </c>
      <c r="B172" t="s">
        <v>280</v>
      </c>
      <c r="C172" t="s">
        <v>283</v>
      </c>
      <c r="D172" t="s">
        <v>23</v>
      </c>
      <c r="E172" t="s">
        <v>30</v>
      </c>
      <c r="F172" t="s">
        <v>27</v>
      </c>
      <c r="G172">
        <v>4</v>
      </c>
      <c r="H172" s="3">
        <v>46154</v>
      </c>
    </row>
    <row r="173" spans="1:8" ht="15" x14ac:dyDescent="0.2">
      <c r="A173">
        <v>1392</v>
      </c>
      <c r="B173" t="s">
        <v>284</v>
      </c>
      <c r="C173" t="s">
        <v>285</v>
      </c>
      <c r="D173" t="s">
        <v>23</v>
      </c>
      <c r="E173" t="s">
        <v>30</v>
      </c>
      <c r="F173" t="s">
        <v>25</v>
      </c>
      <c r="H173" s="3">
        <v>46154</v>
      </c>
    </row>
    <row r="174" spans="1:8" ht="15" x14ac:dyDescent="0.2">
      <c r="A174">
        <v>1141</v>
      </c>
      <c r="B174" t="s">
        <v>286</v>
      </c>
      <c r="C174" t="s">
        <v>287</v>
      </c>
      <c r="D174" t="s">
        <v>23</v>
      </c>
      <c r="E174" t="s">
        <v>30</v>
      </c>
      <c r="F174" t="s">
        <v>27</v>
      </c>
      <c r="G174">
        <v>15</v>
      </c>
      <c r="H174" s="3">
        <v>46154</v>
      </c>
    </row>
    <row r="175" spans="1:8" ht="15" x14ac:dyDescent="0.2">
      <c r="A175">
        <v>891</v>
      </c>
      <c r="B175" t="s">
        <v>288</v>
      </c>
      <c r="C175" t="s">
        <v>289</v>
      </c>
      <c r="D175" t="s">
        <v>23</v>
      </c>
      <c r="E175" t="s">
        <v>30</v>
      </c>
      <c r="F175" t="s">
        <v>25</v>
      </c>
      <c r="H175" s="3">
        <v>46154</v>
      </c>
    </row>
    <row r="176" spans="1:8" ht="15" x14ac:dyDescent="0.2">
      <c r="A176">
        <v>1352</v>
      </c>
      <c r="B176" t="s">
        <v>290</v>
      </c>
      <c r="C176" t="s">
        <v>34</v>
      </c>
      <c r="D176" t="s">
        <v>23</v>
      </c>
      <c r="E176" t="s">
        <v>24</v>
      </c>
      <c r="F176" t="s">
        <v>27</v>
      </c>
      <c r="G176">
        <v>11</v>
      </c>
      <c r="H176" s="3">
        <v>46154</v>
      </c>
    </row>
    <row r="177" spans="1:8" ht="15" x14ac:dyDescent="0.2">
      <c r="A177">
        <v>1339</v>
      </c>
      <c r="B177" t="s">
        <v>291</v>
      </c>
      <c r="C177" t="s">
        <v>292</v>
      </c>
      <c r="D177" t="s">
        <v>23</v>
      </c>
      <c r="E177" t="s">
        <v>24</v>
      </c>
      <c r="F177" t="s">
        <v>25</v>
      </c>
      <c r="H177" s="3">
        <v>46154</v>
      </c>
    </row>
    <row r="178" spans="1:8" ht="15" x14ac:dyDescent="0.2">
      <c r="A178">
        <v>914</v>
      </c>
      <c r="B178" t="s">
        <v>293</v>
      </c>
      <c r="C178" t="s">
        <v>153</v>
      </c>
      <c r="D178" t="s">
        <v>23</v>
      </c>
      <c r="E178" t="s">
        <v>24</v>
      </c>
      <c r="F178" t="s">
        <v>27</v>
      </c>
      <c r="G178">
        <v>14</v>
      </c>
      <c r="H178" s="3">
        <v>46154</v>
      </c>
    </row>
    <row r="179" spans="1:8" ht="15" x14ac:dyDescent="0.2">
      <c r="A179">
        <v>597</v>
      </c>
      <c r="B179" t="s">
        <v>294</v>
      </c>
      <c r="C179" t="s">
        <v>295</v>
      </c>
      <c r="D179" t="s">
        <v>23</v>
      </c>
      <c r="E179" t="s">
        <v>24</v>
      </c>
      <c r="F179" t="s">
        <v>27</v>
      </c>
      <c r="G179">
        <v>36</v>
      </c>
      <c r="H179" s="3">
        <v>46154</v>
      </c>
    </row>
    <row r="180" spans="1:8" ht="15" x14ac:dyDescent="0.2">
      <c r="A180">
        <v>1038</v>
      </c>
      <c r="B180" t="s">
        <v>293</v>
      </c>
      <c r="C180" t="s">
        <v>51</v>
      </c>
      <c r="D180" t="s">
        <v>23</v>
      </c>
      <c r="E180" t="s">
        <v>24</v>
      </c>
      <c r="F180" t="s">
        <v>27</v>
      </c>
      <c r="G180">
        <v>12</v>
      </c>
      <c r="H180" s="3">
        <v>46154</v>
      </c>
    </row>
    <row r="181" spans="1:8" ht="15" x14ac:dyDescent="0.2">
      <c r="A181">
        <v>1347</v>
      </c>
      <c r="B181" t="s">
        <v>296</v>
      </c>
      <c r="C181" t="s">
        <v>104</v>
      </c>
      <c r="D181" t="s">
        <v>23</v>
      </c>
      <c r="E181" t="s">
        <v>24</v>
      </c>
      <c r="F181" t="s">
        <v>25</v>
      </c>
      <c r="H181" s="3">
        <v>46154</v>
      </c>
    </row>
    <row r="182" spans="1:8" ht="15" x14ac:dyDescent="0.2">
      <c r="A182">
        <v>1242</v>
      </c>
      <c r="B182" t="s">
        <v>297</v>
      </c>
      <c r="C182" t="s">
        <v>190</v>
      </c>
      <c r="D182" t="s">
        <v>23</v>
      </c>
      <c r="E182" t="s">
        <v>24</v>
      </c>
      <c r="F182" t="s">
        <v>27</v>
      </c>
      <c r="G182">
        <v>15</v>
      </c>
      <c r="H182" s="3">
        <v>46154</v>
      </c>
    </row>
    <row r="183" spans="1:8" ht="15" x14ac:dyDescent="0.2">
      <c r="A183">
        <v>1048</v>
      </c>
      <c r="B183" t="s">
        <v>298</v>
      </c>
      <c r="C183" t="s">
        <v>268</v>
      </c>
      <c r="D183" t="s">
        <v>23</v>
      </c>
      <c r="E183" t="s">
        <v>24</v>
      </c>
      <c r="F183" t="s">
        <v>27</v>
      </c>
      <c r="G183">
        <v>16</v>
      </c>
      <c r="H183" s="3">
        <v>46154</v>
      </c>
    </row>
    <row r="184" spans="1:8" ht="15" x14ac:dyDescent="0.2">
      <c r="A184">
        <v>1055</v>
      </c>
      <c r="B184" t="s">
        <v>298</v>
      </c>
      <c r="C184" t="s">
        <v>299</v>
      </c>
      <c r="D184" t="s">
        <v>23</v>
      </c>
      <c r="E184" t="s">
        <v>24</v>
      </c>
      <c r="F184" t="s">
        <v>27</v>
      </c>
      <c r="G184">
        <v>1</v>
      </c>
      <c r="H184" s="3">
        <v>46154</v>
      </c>
    </row>
    <row r="185" spans="1:8" ht="15" x14ac:dyDescent="0.2">
      <c r="A185">
        <v>1095</v>
      </c>
      <c r="B185" t="s">
        <v>298</v>
      </c>
      <c r="C185" t="s">
        <v>300</v>
      </c>
      <c r="D185" t="s">
        <v>23</v>
      </c>
      <c r="E185" t="s">
        <v>24</v>
      </c>
      <c r="F185" t="s">
        <v>27</v>
      </c>
      <c r="G185">
        <v>33</v>
      </c>
      <c r="H185" s="3">
        <v>46154</v>
      </c>
    </row>
    <row r="186" spans="1:8" ht="15" x14ac:dyDescent="0.2">
      <c r="A186">
        <v>820</v>
      </c>
      <c r="B186" t="s">
        <v>298</v>
      </c>
      <c r="C186" t="s">
        <v>139</v>
      </c>
      <c r="D186" t="s">
        <v>23</v>
      </c>
      <c r="E186" t="s">
        <v>30</v>
      </c>
      <c r="F186" t="s">
        <v>27</v>
      </c>
      <c r="G186">
        <v>6</v>
      </c>
      <c r="H186" s="3">
        <v>46154</v>
      </c>
    </row>
    <row r="187" spans="1:8" ht="15" x14ac:dyDescent="0.2">
      <c r="A187">
        <v>687</v>
      </c>
      <c r="B187" t="s">
        <v>298</v>
      </c>
      <c r="C187" t="s">
        <v>301</v>
      </c>
      <c r="D187" t="s">
        <v>23</v>
      </c>
      <c r="E187" t="s">
        <v>24</v>
      </c>
      <c r="F187" t="s">
        <v>27</v>
      </c>
      <c r="G187">
        <v>7</v>
      </c>
      <c r="H187" s="3">
        <v>46154</v>
      </c>
    </row>
    <row r="188" spans="1:8" ht="15" x14ac:dyDescent="0.2">
      <c r="A188">
        <v>1420</v>
      </c>
      <c r="B188" t="s">
        <v>302</v>
      </c>
      <c r="C188" t="s">
        <v>212</v>
      </c>
      <c r="D188" t="s">
        <v>23</v>
      </c>
      <c r="E188" t="s">
        <v>30</v>
      </c>
      <c r="F188" t="s">
        <v>27</v>
      </c>
      <c r="G188">
        <v>15</v>
      </c>
      <c r="H188" s="3">
        <v>46154</v>
      </c>
    </row>
    <row r="189" spans="1:8" ht="15" x14ac:dyDescent="0.2">
      <c r="A189">
        <v>1410</v>
      </c>
      <c r="B189" t="s">
        <v>104</v>
      </c>
      <c r="C189" t="s">
        <v>303</v>
      </c>
      <c r="D189" t="s">
        <v>23</v>
      </c>
      <c r="E189" t="s">
        <v>24</v>
      </c>
      <c r="F189" t="s">
        <v>25</v>
      </c>
      <c r="H189" s="3">
        <v>46154</v>
      </c>
    </row>
    <row r="190" spans="1:8" ht="15" x14ac:dyDescent="0.2">
      <c r="A190">
        <v>1161</v>
      </c>
      <c r="B190" t="s">
        <v>304</v>
      </c>
      <c r="C190" t="s">
        <v>305</v>
      </c>
      <c r="D190" t="s">
        <v>23</v>
      </c>
      <c r="E190" t="s">
        <v>24</v>
      </c>
      <c r="F190" t="s">
        <v>25</v>
      </c>
      <c r="H190" s="3">
        <v>46154</v>
      </c>
    </row>
    <row r="191" spans="1:8" ht="15" x14ac:dyDescent="0.2">
      <c r="A191">
        <v>890</v>
      </c>
      <c r="B191" t="s">
        <v>306</v>
      </c>
      <c r="C191" t="s">
        <v>307</v>
      </c>
      <c r="D191" t="s">
        <v>54</v>
      </c>
      <c r="E191" t="s">
        <v>24</v>
      </c>
      <c r="F191" t="s">
        <v>27</v>
      </c>
      <c r="G191">
        <v>23</v>
      </c>
      <c r="H191" s="3">
        <v>46154</v>
      </c>
    </row>
    <row r="192" spans="1:8" ht="15" x14ac:dyDescent="0.2">
      <c r="A192">
        <v>1166</v>
      </c>
      <c r="B192" t="s">
        <v>308</v>
      </c>
      <c r="C192" t="s">
        <v>143</v>
      </c>
      <c r="D192" t="s">
        <v>54</v>
      </c>
      <c r="E192" t="s">
        <v>24</v>
      </c>
      <c r="F192" t="s">
        <v>27</v>
      </c>
      <c r="G192">
        <v>5</v>
      </c>
      <c r="H192" s="3">
        <v>46154</v>
      </c>
    </row>
    <row r="193" spans="1:8" ht="15" x14ac:dyDescent="0.2">
      <c r="A193">
        <v>45</v>
      </c>
      <c r="B193" t="s">
        <v>309</v>
      </c>
      <c r="C193" t="s">
        <v>310</v>
      </c>
      <c r="D193" t="s">
        <v>23</v>
      </c>
      <c r="E193" t="s">
        <v>24</v>
      </c>
      <c r="F193" t="s">
        <v>27</v>
      </c>
      <c r="G193">
        <v>20</v>
      </c>
      <c r="H193" s="3">
        <v>46154</v>
      </c>
    </row>
    <row r="194" spans="1:8" ht="15" x14ac:dyDescent="0.2">
      <c r="A194">
        <v>1160</v>
      </c>
      <c r="B194" t="s">
        <v>311</v>
      </c>
      <c r="C194" t="s">
        <v>312</v>
      </c>
      <c r="D194" t="s">
        <v>23</v>
      </c>
      <c r="E194" t="s">
        <v>24</v>
      </c>
      <c r="F194" t="s">
        <v>25</v>
      </c>
      <c r="H194" s="3">
        <v>46154</v>
      </c>
    </row>
    <row r="195" spans="1:8" ht="15" x14ac:dyDescent="0.2">
      <c r="A195">
        <v>945</v>
      </c>
      <c r="B195" t="s">
        <v>313</v>
      </c>
      <c r="C195" t="s">
        <v>49</v>
      </c>
      <c r="D195" t="s">
        <v>23</v>
      </c>
      <c r="E195" t="s">
        <v>24</v>
      </c>
      <c r="F195" t="s">
        <v>25</v>
      </c>
      <c r="H195" s="3">
        <v>46154</v>
      </c>
    </row>
    <row r="196" spans="1:8" ht="15" x14ac:dyDescent="0.2">
      <c r="A196">
        <v>813</v>
      </c>
      <c r="B196" t="s">
        <v>313</v>
      </c>
      <c r="C196" t="s">
        <v>289</v>
      </c>
      <c r="D196" t="s">
        <v>23</v>
      </c>
      <c r="E196" t="s">
        <v>30</v>
      </c>
      <c r="F196" t="s">
        <v>27</v>
      </c>
      <c r="G196">
        <v>7</v>
      </c>
      <c r="H196" s="3">
        <v>46154</v>
      </c>
    </row>
    <row r="197" spans="1:8" ht="15" x14ac:dyDescent="0.2">
      <c r="A197">
        <v>812</v>
      </c>
      <c r="B197" t="s">
        <v>313</v>
      </c>
      <c r="C197" t="s">
        <v>170</v>
      </c>
      <c r="D197" t="s">
        <v>23</v>
      </c>
      <c r="E197" t="s">
        <v>24</v>
      </c>
      <c r="F197" t="s">
        <v>27</v>
      </c>
      <c r="G197">
        <v>9</v>
      </c>
      <c r="H197" s="3">
        <v>46154</v>
      </c>
    </row>
    <row r="198" spans="1:8" ht="15" x14ac:dyDescent="0.2">
      <c r="A198">
        <v>1129</v>
      </c>
      <c r="B198" t="s">
        <v>314</v>
      </c>
      <c r="C198" t="s">
        <v>315</v>
      </c>
      <c r="D198" t="s">
        <v>23</v>
      </c>
      <c r="E198" t="s">
        <v>24</v>
      </c>
      <c r="F198" t="s">
        <v>27</v>
      </c>
      <c r="G198">
        <v>12</v>
      </c>
      <c r="H198" s="3">
        <v>46154</v>
      </c>
    </row>
    <row r="199" spans="1:8" ht="15" x14ac:dyDescent="0.2">
      <c r="A199">
        <v>915</v>
      </c>
      <c r="B199" t="s">
        <v>316</v>
      </c>
      <c r="C199" t="s">
        <v>241</v>
      </c>
      <c r="D199" t="s">
        <v>23</v>
      </c>
      <c r="E199" t="s">
        <v>24</v>
      </c>
      <c r="F199" t="s">
        <v>27</v>
      </c>
      <c r="G199">
        <v>8</v>
      </c>
      <c r="H199" s="3">
        <v>46154</v>
      </c>
    </row>
    <row r="200" spans="1:8" ht="15" x14ac:dyDescent="0.2">
      <c r="A200">
        <v>1356</v>
      </c>
      <c r="B200" t="s">
        <v>317</v>
      </c>
      <c r="C200" t="s">
        <v>318</v>
      </c>
      <c r="D200" t="s">
        <v>54</v>
      </c>
      <c r="E200" t="s">
        <v>24</v>
      </c>
      <c r="F200" t="s">
        <v>27</v>
      </c>
      <c r="G200">
        <v>15</v>
      </c>
      <c r="H200" s="3">
        <v>46154</v>
      </c>
    </row>
    <row r="201" spans="1:8" ht="15" x14ac:dyDescent="0.2">
      <c r="A201">
        <v>1422</v>
      </c>
      <c r="B201" t="s">
        <v>319</v>
      </c>
      <c r="C201" t="s">
        <v>320</v>
      </c>
      <c r="D201" t="s">
        <v>54</v>
      </c>
      <c r="E201" t="s">
        <v>30</v>
      </c>
      <c r="F201" t="s">
        <v>25</v>
      </c>
      <c r="H201" s="3">
        <v>46154</v>
      </c>
    </row>
    <row r="202" spans="1:8" ht="15" x14ac:dyDescent="0.2">
      <c r="A202">
        <v>860</v>
      </c>
      <c r="B202" t="s">
        <v>321</v>
      </c>
      <c r="C202" t="s">
        <v>215</v>
      </c>
      <c r="D202" t="s">
        <v>23</v>
      </c>
      <c r="E202" t="s">
        <v>30</v>
      </c>
      <c r="F202" t="s">
        <v>25</v>
      </c>
      <c r="H202" s="3">
        <v>46154</v>
      </c>
    </row>
    <row r="203" spans="1:8" ht="15" x14ac:dyDescent="0.2">
      <c r="A203">
        <v>756</v>
      </c>
      <c r="B203" t="s">
        <v>321</v>
      </c>
      <c r="C203" t="s">
        <v>322</v>
      </c>
      <c r="D203" t="s">
        <v>23</v>
      </c>
      <c r="E203" t="s">
        <v>24</v>
      </c>
      <c r="F203" t="s">
        <v>25</v>
      </c>
      <c r="H203" s="3">
        <v>46154</v>
      </c>
    </row>
    <row r="204" spans="1:8" ht="15" x14ac:dyDescent="0.2">
      <c r="A204">
        <v>407</v>
      </c>
      <c r="B204" t="s">
        <v>321</v>
      </c>
      <c r="C204" t="s">
        <v>323</v>
      </c>
      <c r="D204" t="s">
        <v>23</v>
      </c>
      <c r="E204" t="s">
        <v>24</v>
      </c>
      <c r="F204" t="s">
        <v>27</v>
      </c>
      <c r="G204">
        <v>5</v>
      </c>
      <c r="H204" s="3">
        <v>46154</v>
      </c>
    </row>
    <row r="205" spans="1:8" ht="15" x14ac:dyDescent="0.2">
      <c r="A205">
        <v>1423</v>
      </c>
      <c r="B205" t="s">
        <v>326</v>
      </c>
      <c r="C205" t="s">
        <v>83</v>
      </c>
      <c r="D205" t="s">
        <v>23</v>
      </c>
      <c r="E205" t="s">
        <v>24</v>
      </c>
      <c r="F205" t="s">
        <v>25</v>
      </c>
      <c r="H205" s="3">
        <v>46154</v>
      </c>
    </row>
    <row r="206" spans="1:8" ht="15" x14ac:dyDescent="0.2">
      <c r="A206">
        <v>1424</v>
      </c>
      <c r="B206" t="s">
        <v>326</v>
      </c>
      <c r="C206" t="s">
        <v>259</v>
      </c>
      <c r="D206" t="s">
        <v>23</v>
      </c>
      <c r="E206" t="s">
        <v>30</v>
      </c>
      <c r="F206" t="s">
        <v>25</v>
      </c>
      <c r="H206" s="3">
        <v>46154</v>
      </c>
    </row>
    <row r="207" spans="1:8" ht="15" x14ac:dyDescent="0.2">
      <c r="A207">
        <v>1425</v>
      </c>
      <c r="B207" t="s">
        <v>326</v>
      </c>
      <c r="C207" t="s">
        <v>327</v>
      </c>
      <c r="D207" t="s">
        <v>23</v>
      </c>
      <c r="E207" t="s">
        <v>24</v>
      </c>
      <c r="F207" t="s">
        <v>35</v>
      </c>
      <c r="H207" s="3">
        <v>46154</v>
      </c>
    </row>
    <row r="208" spans="1:8" ht="15" x14ac:dyDescent="0.2">
      <c r="A208">
        <v>1426</v>
      </c>
      <c r="B208" t="s">
        <v>326</v>
      </c>
      <c r="C208" t="s">
        <v>328</v>
      </c>
      <c r="D208" t="s">
        <v>23</v>
      </c>
      <c r="E208" t="s">
        <v>30</v>
      </c>
      <c r="F208" t="s">
        <v>35</v>
      </c>
      <c r="H208" s="3">
        <v>46154</v>
      </c>
    </row>
    <row r="209" spans="1:8" ht="15" x14ac:dyDescent="0.2">
      <c r="A209">
        <v>1312</v>
      </c>
      <c r="B209" t="s">
        <v>329</v>
      </c>
      <c r="C209" t="s">
        <v>287</v>
      </c>
      <c r="D209" t="s">
        <v>23</v>
      </c>
      <c r="E209" t="s">
        <v>30</v>
      </c>
      <c r="F209" t="s">
        <v>27</v>
      </c>
      <c r="G209">
        <v>35</v>
      </c>
      <c r="H209" s="3">
        <v>46154</v>
      </c>
    </row>
    <row r="210" spans="1:8" ht="15" x14ac:dyDescent="0.2">
      <c r="A210">
        <v>935</v>
      </c>
      <c r="B210" t="s">
        <v>330</v>
      </c>
      <c r="C210" t="s">
        <v>245</v>
      </c>
      <c r="D210" t="s">
        <v>23</v>
      </c>
      <c r="E210" t="s">
        <v>30</v>
      </c>
      <c r="F210" t="s">
        <v>25</v>
      </c>
      <c r="H210" s="3">
        <v>46154</v>
      </c>
    </row>
    <row r="211" spans="1:8" ht="15" x14ac:dyDescent="0.2">
      <c r="A211">
        <v>999</v>
      </c>
      <c r="B211" t="s">
        <v>330</v>
      </c>
      <c r="C211" t="s">
        <v>331</v>
      </c>
      <c r="D211" t="s">
        <v>23</v>
      </c>
      <c r="E211" t="s">
        <v>30</v>
      </c>
      <c r="F211" t="s">
        <v>25</v>
      </c>
      <c r="H211" s="3">
        <v>46154</v>
      </c>
    </row>
    <row r="212" spans="1:8" ht="15" x14ac:dyDescent="0.2">
      <c r="A212">
        <v>998</v>
      </c>
      <c r="B212" t="s">
        <v>330</v>
      </c>
      <c r="C212" t="s">
        <v>332</v>
      </c>
      <c r="D212" t="s">
        <v>23</v>
      </c>
      <c r="E212" t="s">
        <v>30</v>
      </c>
      <c r="F212" t="s">
        <v>27</v>
      </c>
      <c r="G212">
        <v>5</v>
      </c>
      <c r="H212" s="3">
        <v>46154</v>
      </c>
    </row>
    <row r="213" spans="1:8" ht="15" x14ac:dyDescent="0.2">
      <c r="A213">
        <v>616</v>
      </c>
      <c r="B213" t="s">
        <v>330</v>
      </c>
      <c r="C213" t="s">
        <v>41</v>
      </c>
      <c r="D213" t="s">
        <v>23</v>
      </c>
      <c r="E213" t="s">
        <v>24</v>
      </c>
      <c r="F213" t="s">
        <v>27</v>
      </c>
      <c r="G213">
        <v>7</v>
      </c>
      <c r="H213" s="3">
        <v>46154</v>
      </c>
    </row>
    <row r="214" spans="1:8" ht="15" x14ac:dyDescent="0.2">
      <c r="A214">
        <v>558</v>
      </c>
      <c r="B214" t="s">
        <v>333</v>
      </c>
      <c r="C214" t="s">
        <v>334</v>
      </c>
      <c r="D214" t="s">
        <v>23</v>
      </c>
      <c r="E214" t="s">
        <v>24</v>
      </c>
      <c r="F214" t="s">
        <v>27</v>
      </c>
      <c r="G214">
        <v>15</v>
      </c>
      <c r="H214" s="3">
        <v>46154</v>
      </c>
    </row>
    <row r="215" spans="1:8" ht="15" x14ac:dyDescent="0.2">
      <c r="A215">
        <v>991</v>
      </c>
      <c r="B215" t="s">
        <v>335</v>
      </c>
      <c r="C215" t="s">
        <v>184</v>
      </c>
      <c r="D215" t="s">
        <v>23</v>
      </c>
      <c r="E215" t="s">
        <v>30</v>
      </c>
      <c r="F215" t="s">
        <v>35</v>
      </c>
      <c r="H215" s="3">
        <v>46154</v>
      </c>
    </row>
    <row r="216" spans="1:8" ht="15" x14ac:dyDescent="0.2">
      <c r="A216">
        <v>359</v>
      </c>
      <c r="B216" t="s">
        <v>336</v>
      </c>
      <c r="C216" t="s">
        <v>26</v>
      </c>
      <c r="D216" t="s">
        <v>23</v>
      </c>
      <c r="E216" t="s">
        <v>24</v>
      </c>
      <c r="F216" t="s">
        <v>27</v>
      </c>
      <c r="G216">
        <v>24</v>
      </c>
      <c r="H216" s="3">
        <v>46154</v>
      </c>
    </row>
    <row r="217" spans="1:8" ht="15" x14ac:dyDescent="0.2">
      <c r="A217">
        <v>1310</v>
      </c>
      <c r="B217" t="s">
        <v>337</v>
      </c>
      <c r="C217" t="s">
        <v>311</v>
      </c>
      <c r="D217" t="s">
        <v>23</v>
      </c>
      <c r="E217" t="s">
        <v>24</v>
      </c>
      <c r="F217" t="s">
        <v>25</v>
      </c>
      <c r="H217" s="3">
        <v>46154</v>
      </c>
    </row>
    <row r="218" spans="1:8" ht="15" x14ac:dyDescent="0.2">
      <c r="A218">
        <v>1200</v>
      </c>
      <c r="B218" t="s">
        <v>338</v>
      </c>
      <c r="C218" t="s">
        <v>339</v>
      </c>
      <c r="D218" t="s">
        <v>23</v>
      </c>
      <c r="E218" t="s">
        <v>24</v>
      </c>
      <c r="F218" t="s">
        <v>27</v>
      </c>
      <c r="G218">
        <v>6</v>
      </c>
      <c r="H218" s="3">
        <v>46154</v>
      </c>
    </row>
    <row r="219" spans="1:8" ht="15" x14ac:dyDescent="0.2">
      <c r="A219">
        <v>1411</v>
      </c>
      <c r="B219" t="s">
        <v>338</v>
      </c>
      <c r="C219" t="s">
        <v>72</v>
      </c>
      <c r="D219" t="s">
        <v>23</v>
      </c>
      <c r="E219" t="s">
        <v>30</v>
      </c>
      <c r="F219" t="s">
        <v>27</v>
      </c>
      <c r="G219">
        <v>3</v>
      </c>
      <c r="H219" s="3">
        <v>46154</v>
      </c>
    </row>
    <row r="220" spans="1:8" ht="15" x14ac:dyDescent="0.2">
      <c r="A220">
        <v>1412</v>
      </c>
      <c r="B220" t="s">
        <v>338</v>
      </c>
      <c r="C220" t="s">
        <v>340</v>
      </c>
      <c r="D220" t="s">
        <v>23</v>
      </c>
      <c r="E220" t="s">
        <v>30</v>
      </c>
      <c r="F220" t="s">
        <v>188</v>
      </c>
      <c r="H220" s="3">
        <v>46154</v>
      </c>
    </row>
    <row r="221" spans="1:8" ht="15" x14ac:dyDescent="0.2">
      <c r="A221">
        <v>1413</v>
      </c>
      <c r="B221" t="s">
        <v>338</v>
      </c>
      <c r="C221" t="s">
        <v>214</v>
      </c>
      <c r="D221" t="s">
        <v>23</v>
      </c>
      <c r="E221" t="s">
        <v>24</v>
      </c>
      <c r="F221" t="s">
        <v>188</v>
      </c>
      <c r="H221" s="3">
        <v>46154</v>
      </c>
    </row>
    <row r="222" spans="1:8" ht="15" x14ac:dyDescent="0.2">
      <c r="A222">
        <v>1376</v>
      </c>
      <c r="B222" t="s">
        <v>192</v>
      </c>
      <c r="C222" t="s">
        <v>127</v>
      </c>
      <c r="D222" t="s">
        <v>23</v>
      </c>
      <c r="E222" t="s">
        <v>30</v>
      </c>
      <c r="F222" t="s">
        <v>25</v>
      </c>
      <c r="H222" s="3">
        <v>46154</v>
      </c>
    </row>
    <row r="223" spans="1:8" ht="15" x14ac:dyDescent="0.2">
      <c r="A223">
        <v>1140</v>
      </c>
      <c r="B223" t="s">
        <v>341</v>
      </c>
      <c r="C223" t="s">
        <v>243</v>
      </c>
      <c r="D223" t="s">
        <v>23</v>
      </c>
      <c r="E223" t="s">
        <v>24</v>
      </c>
      <c r="F223" t="s">
        <v>25</v>
      </c>
      <c r="H223" s="3">
        <v>46154</v>
      </c>
    </row>
    <row r="224" spans="1:8" ht="15" x14ac:dyDescent="0.2">
      <c r="A224">
        <v>989</v>
      </c>
      <c r="B224" t="s">
        <v>342</v>
      </c>
      <c r="C224" t="s">
        <v>343</v>
      </c>
      <c r="D224" t="s">
        <v>23</v>
      </c>
      <c r="E224" t="s">
        <v>24</v>
      </c>
      <c r="F224" t="s">
        <v>27</v>
      </c>
      <c r="G224">
        <v>3</v>
      </c>
      <c r="H224" s="3">
        <v>46154</v>
      </c>
    </row>
    <row r="225" spans="1:8" ht="15" x14ac:dyDescent="0.2">
      <c r="A225">
        <v>1417</v>
      </c>
      <c r="B225" t="s">
        <v>344</v>
      </c>
      <c r="C225" t="s">
        <v>345</v>
      </c>
      <c r="D225" t="s">
        <v>23</v>
      </c>
      <c r="E225" t="s">
        <v>30</v>
      </c>
      <c r="F225" t="s">
        <v>27</v>
      </c>
      <c r="G225">
        <v>17</v>
      </c>
      <c r="H225" s="3">
        <v>46154</v>
      </c>
    </row>
    <row r="226" spans="1:8" ht="15" x14ac:dyDescent="0.2">
      <c r="A226">
        <v>52</v>
      </c>
      <c r="B226" t="s">
        <v>346</v>
      </c>
      <c r="C226" t="s">
        <v>192</v>
      </c>
      <c r="D226" t="s">
        <v>23</v>
      </c>
      <c r="E226" t="s">
        <v>24</v>
      </c>
      <c r="F226" t="s">
        <v>25</v>
      </c>
      <c r="H226" s="3">
        <v>46154</v>
      </c>
    </row>
    <row r="227" spans="1:8" ht="15" x14ac:dyDescent="0.2">
      <c r="A227">
        <v>62</v>
      </c>
      <c r="B227" t="s">
        <v>344</v>
      </c>
      <c r="C227" t="s">
        <v>234</v>
      </c>
      <c r="D227" t="s">
        <v>23</v>
      </c>
      <c r="E227" t="s">
        <v>24</v>
      </c>
      <c r="F227" t="s">
        <v>27</v>
      </c>
      <c r="G227">
        <v>4</v>
      </c>
      <c r="H227" s="3">
        <v>46154</v>
      </c>
    </row>
    <row r="228" spans="1:8" ht="15" x14ac:dyDescent="0.2">
      <c r="A228">
        <v>930</v>
      </c>
      <c r="B228" t="s">
        <v>347</v>
      </c>
      <c r="C228" t="s">
        <v>348</v>
      </c>
      <c r="D228" t="s">
        <v>23</v>
      </c>
      <c r="E228" t="s">
        <v>30</v>
      </c>
      <c r="F228" t="s">
        <v>27</v>
      </c>
      <c r="G228">
        <v>6</v>
      </c>
      <c r="H228" s="3">
        <v>46154</v>
      </c>
    </row>
    <row r="229" spans="1:8" ht="15" x14ac:dyDescent="0.2">
      <c r="A229">
        <v>1254</v>
      </c>
      <c r="B229" t="s">
        <v>349</v>
      </c>
      <c r="C229" t="s">
        <v>51</v>
      </c>
      <c r="D229" t="s">
        <v>23</v>
      </c>
      <c r="E229" t="s">
        <v>24</v>
      </c>
      <c r="F229" t="s">
        <v>27</v>
      </c>
      <c r="G229">
        <v>21</v>
      </c>
      <c r="H229" s="3">
        <v>46154</v>
      </c>
    </row>
    <row r="230" spans="1:8" ht="15" x14ac:dyDescent="0.2">
      <c r="A230">
        <v>744</v>
      </c>
      <c r="B230" t="s">
        <v>350</v>
      </c>
      <c r="C230" t="s">
        <v>351</v>
      </c>
      <c r="D230" t="s">
        <v>23</v>
      </c>
      <c r="E230" t="s">
        <v>24</v>
      </c>
      <c r="F230" t="s">
        <v>27</v>
      </c>
      <c r="G230">
        <v>28</v>
      </c>
      <c r="H230" s="3">
        <v>46154</v>
      </c>
    </row>
    <row r="231" spans="1:8" ht="15" x14ac:dyDescent="0.2">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46157</v>
      </c>
    </row>
    <row r="3" spans="1:8" ht="15" x14ac:dyDescent="0.2">
      <c r="A3">
        <v>1237</v>
      </c>
      <c r="B3" t="s">
        <v>21</v>
      </c>
      <c r="C3" t="s">
        <v>26</v>
      </c>
      <c r="D3" t="s">
        <v>23</v>
      </c>
      <c r="E3" t="s">
        <v>24</v>
      </c>
      <c r="F3" t="s">
        <v>27</v>
      </c>
      <c r="G3">
        <v>1</v>
      </c>
      <c r="H3" s="3">
        <v>46157</v>
      </c>
    </row>
    <row r="4" spans="1:8" ht="15" x14ac:dyDescent="0.2">
      <c r="A4">
        <v>819</v>
      </c>
      <c r="B4" t="s">
        <v>28</v>
      </c>
      <c r="C4" t="s">
        <v>29</v>
      </c>
      <c r="D4" t="s">
        <v>23</v>
      </c>
      <c r="E4" t="s">
        <v>30</v>
      </c>
      <c r="F4" t="s">
        <v>27</v>
      </c>
      <c r="G4">
        <v>23</v>
      </c>
      <c r="H4" s="3">
        <v>46157</v>
      </c>
    </row>
    <row r="5" spans="1:8" ht="15" x14ac:dyDescent="0.2">
      <c r="A5">
        <v>2</v>
      </c>
      <c r="B5" t="s">
        <v>31</v>
      </c>
      <c r="C5" t="s">
        <v>32</v>
      </c>
      <c r="D5" t="s">
        <v>23</v>
      </c>
      <c r="E5" t="s">
        <v>24</v>
      </c>
      <c r="F5" t="s">
        <v>27</v>
      </c>
      <c r="G5">
        <v>21</v>
      </c>
      <c r="H5" s="3">
        <v>46157</v>
      </c>
    </row>
    <row r="6" spans="1:8" ht="15" x14ac:dyDescent="0.2">
      <c r="A6">
        <v>1370</v>
      </c>
      <c r="B6" t="s">
        <v>33</v>
      </c>
      <c r="C6" t="s">
        <v>34</v>
      </c>
      <c r="D6" t="s">
        <v>23</v>
      </c>
      <c r="E6" t="s">
        <v>24</v>
      </c>
      <c r="F6" t="s">
        <v>27</v>
      </c>
      <c r="G6">
        <v>4</v>
      </c>
      <c r="H6" s="3">
        <v>46157</v>
      </c>
    </row>
    <row r="7" spans="1:8" ht="15" x14ac:dyDescent="0.2">
      <c r="A7">
        <v>1415</v>
      </c>
      <c r="B7" t="s">
        <v>33</v>
      </c>
      <c r="C7" t="s">
        <v>22</v>
      </c>
      <c r="D7" t="s">
        <v>23</v>
      </c>
      <c r="E7" t="s">
        <v>24</v>
      </c>
      <c r="F7" t="s">
        <v>35</v>
      </c>
      <c r="H7" s="3">
        <v>46157</v>
      </c>
    </row>
    <row r="8" spans="1:8" ht="15" x14ac:dyDescent="0.2">
      <c r="A8">
        <v>1286</v>
      </c>
      <c r="B8" t="s">
        <v>36</v>
      </c>
      <c r="C8" t="s">
        <v>34</v>
      </c>
      <c r="D8" t="s">
        <v>23</v>
      </c>
      <c r="E8" t="s">
        <v>24</v>
      </c>
      <c r="F8" t="s">
        <v>27</v>
      </c>
      <c r="G8">
        <v>13</v>
      </c>
      <c r="H8" s="3">
        <v>46157</v>
      </c>
    </row>
    <row r="9" spans="1:8" ht="15" x14ac:dyDescent="0.2">
      <c r="A9">
        <v>1381</v>
      </c>
      <c r="B9" t="s">
        <v>36</v>
      </c>
      <c r="C9" t="s">
        <v>37</v>
      </c>
      <c r="D9" t="s">
        <v>23</v>
      </c>
      <c r="E9" t="s">
        <v>24</v>
      </c>
      <c r="F9" t="s">
        <v>25</v>
      </c>
      <c r="H9" s="3">
        <v>46157</v>
      </c>
    </row>
    <row r="10" spans="1:8" ht="15" x14ac:dyDescent="0.2">
      <c r="A10">
        <v>1112</v>
      </c>
      <c r="B10" t="s">
        <v>38</v>
      </c>
      <c r="C10" t="s">
        <v>39</v>
      </c>
      <c r="D10" t="s">
        <v>23</v>
      </c>
      <c r="E10" t="s">
        <v>24</v>
      </c>
      <c r="F10" t="s">
        <v>27</v>
      </c>
      <c r="G10">
        <v>16</v>
      </c>
      <c r="H10" s="3">
        <v>46157</v>
      </c>
    </row>
    <row r="11" spans="1:8" ht="15" x14ac:dyDescent="0.2">
      <c r="A11">
        <v>1135</v>
      </c>
      <c r="B11" t="s">
        <v>40</v>
      </c>
      <c r="C11" t="s">
        <v>41</v>
      </c>
      <c r="D11" t="s">
        <v>23</v>
      </c>
      <c r="E11" t="s">
        <v>24</v>
      </c>
      <c r="F11" t="s">
        <v>27</v>
      </c>
      <c r="G11">
        <v>1</v>
      </c>
      <c r="H11" s="3">
        <v>46157</v>
      </c>
    </row>
    <row r="12" spans="1:8" ht="15" x14ac:dyDescent="0.2">
      <c r="A12">
        <v>982</v>
      </c>
      <c r="B12" t="s">
        <v>42</v>
      </c>
      <c r="C12" t="s">
        <v>32</v>
      </c>
      <c r="D12" t="s">
        <v>23</v>
      </c>
      <c r="E12" t="s">
        <v>24</v>
      </c>
      <c r="F12" t="s">
        <v>27</v>
      </c>
      <c r="G12">
        <v>22</v>
      </c>
      <c r="H12" s="3">
        <v>46157</v>
      </c>
    </row>
    <row r="13" spans="1:8" ht="15" x14ac:dyDescent="0.2">
      <c r="A13">
        <v>1328</v>
      </c>
      <c r="B13" t="s">
        <v>43</v>
      </c>
      <c r="C13" t="s">
        <v>44</v>
      </c>
      <c r="D13" t="s">
        <v>23</v>
      </c>
      <c r="E13" t="s">
        <v>24</v>
      </c>
      <c r="F13" t="s">
        <v>27</v>
      </c>
      <c r="G13">
        <v>4</v>
      </c>
      <c r="H13" s="3">
        <v>46157</v>
      </c>
    </row>
    <row r="14" spans="1:8" ht="15" x14ac:dyDescent="0.2">
      <c r="A14">
        <v>369</v>
      </c>
      <c r="B14" t="s">
        <v>45</v>
      </c>
      <c r="C14" t="s">
        <v>46</v>
      </c>
      <c r="D14" t="s">
        <v>23</v>
      </c>
      <c r="E14" t="s">
        <v>24</v>
      </c>
      <c r="F14" t="s">
        <v>27</v>
      </c>
      <c r="G14">
        <v>8</v>
      </c>
      <c r="H14" s="3">
        <v>46157</v>
      </c>
    </row>
    <row r="15" spans="1:8" ht="15" x14ac:dyDescent="0.2">
      <c r="A15">
        <v>7</v>
      </c>
      <c r="B15" t="s">
        <v>45</v>
      </c>
      <c r="C15" t="s">
        <v>47</v>
      </c>
      <c r="D15" t="s">
        <v>48</v>
      </c>
      <c r="E15" t="s">
        <v>24</v>
      </c>
      <c r="F15" t="s">
        <v>27</v>
      </c>
      <c r="G15">
        <v>32</v>
      </c>
      <c r="H15" s="3">
        <v>46157</v>
      </c>
    </row>
    <row r="16" spans="1:8" ht="15" x14ac:dyDescent="0.2">
      <c r="A16">
        <v>473</v>
      </c>
      <c r="B16" t="s">
        <v>45</v>
      </c>
      <c r="C16" t="s">
        <v>49</v>
      </c>
      <c r="D16" t="s">
        <v>48</v>
      </c>
      <c r="E16" t="s">
        <v>24</v>
      </c>
      <c r="F16" t="s">
        <v>27</v>
      </c>
      <c r="G16">
        <v>33</v>
      </c>
      <c r="H16" s="3">
        <v>46157</v>
      </c>
    </row>
    <row r="17" spans="1:8" ht="15" x14ac:dyDescent="0.2">
      <c r="A17">
        <v>1384</v>
      </c>
      <c r="B17" t="s">
        <v>50</v>
      </c>
      <c r="C17" t="s">
        <v>51</v>
      </c>
      <c r="D17" t="s">
        <v>23</v>
      </c>
      <c r="E17" t="s">
        <v>24</v>
      </c>
      <c r="F17" t="s">
        <v>27</v>
      </c>
      <c r="G17">
        <v>30</v>
      </c>
      <c r="H17" s="3">
        <v>46157</v>
      </c>
    </row>
    <row r="18" spans="1:8" ht="15" x14ac:dyDescent="0.2">
      <c r="A18">
        <v>1348</v>
      </c>
      <c r="B18" t="s">
        <v>52</v>
      </c>
      <c r="C18" t="s">
        <v>53</v>
      </c>
      <c r="D18" t="s">
        <v>54</v>
      </c>
      <c r="E18" t="s">
        <v>30</v>
      </c>
      <c r="F18" t="s">
        <v>25</v>
      </c>
      <c r="H18" s="3">
        <v>46157</v>
      </c>
    </row>
    <row r="19" spans="1:8" ht="15" x14ac:dyDescent="0.2">
      <c r="A19">
        <v>1275</v>
      </c>
      <c r="B19" t="s">
        <v>52</v>
      </c>
      <c r="C19" t="s">
        <v>55</v>
      </c>
      <c r="D19" t="s">
        <v>23</v>
      </c>
      <c r="E19" t="s">
        <v>30</v>
      </c>
      <c r="F19" t="s">
        <v>35</v>
      </c>
      <c r="H19" s="3">
        <v>46157</v>
      </c>
    </row>
    <row r="20" spans="1:8" ht="15" x14ac:dyDescent="0.2">
      <c r="A20">
        <v>68</v>
      </c>
      <c r="B20" t="s">
        <v>56</v>
      </c>
      <c r="C20" t="s">
        <v>57</v>
      </c>
      <c r="D20" t="s">
        <v>48</v>
      </c>
      <c r="E20" t="s">
        <v>24</v>
      </c>
      <c r="F20" t="s">
        <v>27</v>
      </c>
      <c r="G20">
        <v>35</v>
      </c>
      <c r="H20" s="3">
        <v>46157</v>
      </c>
    </row>
    <row r="21" spans="1:8" ht="15" x14ac:dyDescent="0.2">
      <c r="A21">
        <v>1035</v>
      </c>
      <c r="B21" t="s">
        <v>58</v>
      </c>
      <c r="C21" t="s">
        <v>59</v>
      </c>
      <c r="D21" t="s">
        <v>23</v>
      </c>
      <c r="E21" t="s">
        <v>24</v>
      </c>
      <c r="F21" t="s">
        <v>27</v>
      </c>
      <c r="G21">
        <v>6</v>
      </c>
      <c r="H21" s="3">
        <v>46157</v>
      </c>
    </row>
    <row r="22" spans="1:8" ht="15" x14ac:dyDescent="0.2">
      <c r="A22">
        <v>1416</v>
      </c>
      <c r="B22" t="s">
        <v>60</v>
      </c>
      <c r="C22" t="s">
        <v>61</v>
      </c>
      <c r="D22" t="s">
        <v>23</v>
      </c>
      <c r="E22" t="s">
        <v>24</v>
      </c>
      <c r="F22" t="s">
        <v>25</v>
      </c>
      <c r="H22" s="3">
        <v>46157</v>
      </c>
    </row>
    <row r="23" spans="1:8" ht="15" x14ac:dyDescent="0.2">
      <c r="A23">
        <v>1326</v>
      </c>
      <c r="B23" t="s">
        <v>62</v>
      </c>
      <c r="C23" t="s">
        <v>63</v>
      </c>
      <c r="D23" t="s">
        <v>23</v>
      </c>
      <c r="E23" t="s">
        <v>30</v>
      </c>
      <c r="F23" t="s">
        <v>25</v>
      </c>
      <c r="H23" s="3">
        <v>46157</v>
      </c>
    </row>
    <row r="24" spans="1:8" ht="15" x14ac:dyDescent="0.2">
      <c r="A24">
        <v>477</v>
      </c>
      <c r="B24" t="s">
        <v>64</v>
      </c>
      <c r="C24" t="s">
        <v>65</v>
      </c>
      <c r="D24" t="s">
        <v>23</v>
      </c>
      <c r="E24" t="s">
        <v>30</v>
      </c>
      <c r="F24" t="s">
        <v>27</v>
      </c>
      <c r="G24">
        <v>34</v>
      </c>
      <c r="H24" s="3">
        <v>46157</v>
      </c>
    </row>
    <row r="25" spans="1:8" ht="15" x14ac:dyDescent="0.2">
      <c r="A25">
        <v>10</v>
      </c>
      <c r="B25" t="s">
        <v>64</v>
      </c>
      <c r="C25" t="s">
        <v>66</v>
      </c>
      <c r="D25" t="s">
        <v>48</v>
      </c>
      <c r="E25" t="s">
        <v>24</v>
      </c>
      <c r="F25" t="s">
        <v>27</v>
      </c>
      <c r="G25">
        <v>35</v>
      </c>
      <c r="H25" s="3">
        <v>46157</v>
      </c>
    </row>
    <row r="26" spans="1:8" ht="15" x14ac:dyDescent="0.2">
      <c r="A26">
        <v>1414</v>
      </c>
      <c r="B26" t="s">
        <v>67</v>
      </c>
      <c r="C26" t="s">
        <v>36</v>
      </c>
      <c r="D26" t="s">
        <v>23</v>
      </c>
      <c r="E26" t="s">
        <v>24</v>
      </c>
      <c r="F26" t="s">
        <v>27</v>
      </c>
      <c r="G26">
        <v>13</v>
      </c>
      <c r="H26" s="3">
        <v>46157</v>
      </c>
    </row>
    <row r="27" spans="1:8" ht="15" x14ac:dyDescent="0.2">
      <c r="A27">
        <v>1029</v>
      </c>
      <c r="B27" t="s">
        <v>68</v>
      </c>
      <c r="C27" t="s">
        <v>69</v>
      </c>
      <c r="D27" t="s">
        <v>23</v>
      </c>
      <c r="E27" t="s">
        <v>24</v>
      </c>
      <c r="F27" t="s">
        <v>27</v>
      </c>
      <c r="G27">
        <v>28</v>
      </c>
      <c r="H27" s="3">
        <v>46157</v>
      </c>
    </row>
    <row r="28" spans="1:8" ht="15" x14ac:dyDescent="0.2">
      <c r="A28">
        <v>13</v>
      </c>
      <c r="B28" t="s">
        <v>70</v>
      </c>
      <c r="C28" t="s">
        <v>51</v>
      </c>
      <c r="D28" t="s">
        <v>23</v>
      </c>
      <c r="E28" t="s">
        <v>24</v>
      </c>
      <c r="F28" t="s">
        <v>27</v>
      </c>
      <c r="G28">
        <v>28</v>
      </c>
      <c r="H28" s="3">
        <v>46157</v>
      </c>
    </row>
    <row r="29" spans="1:8" ht="15" x14ac:dyDescent="0.2">
      <c r="A29">
        <v>1255</v>
      </c>
      <c r="B29" t="s">
        <v>71</v>
      </c>
      <c r="C29" t="s">
        <v>72</v>
      </c>
      <c r="D29" t="s">
        <v>23</v>
      </c>
      <c r="E29" t="s">
        <v>30</v>
      </c>
      <c r="F29" t="s">
        <v>27</v>
      </c>
      <c r="G29">
        <v>13</v>
      </c>
      <c r="H29" s="3">
        <v>46157</v>
      </c>
    </row>
    <row r="30" spans="1:8" ht="15" x14ac:dyDescent="0.2">
      <c r="A30">
        <v>1405</v>
      </c>
      <c r="B30" t="s">
        <v>73</v>
      </c>
      <c r="C30" t="s">
        <v>74</v>
      </c>
      <c r="D30" t="s">
        <v>23</v>
      </c>
      <c r="E30" t="s">
        <v>30</v>
      </c>
      <c r="F30" t="s">
        <v>35</v>
      </c>
      <c r="H30" s="3">
        <v>46157</v>
      </c>
    </row>
    <row r="31" spans="1:8" ht="15" x14ac:dyDescent="0.2">
      <c r="A31">
        <v>1421</v>
      </c>
      <c r="B31" t="s">
        <v>75</v>
      </c>
      <c r="C31" t="s">
        <v>76</v>
      </c>
      <c r="D31" t="s">
        <v>23</v>
      </c>
      <c r="E31" t="s">
        <v>30</v>
      </c>
      <c r="F31" t="s">
        <v>27</v>
      </c>
      <c r="G31">
        <v>12</v>
      </c>
      <c r="H31" s="3">
        <v>46157</v>
      </c>
    </row>
    <row r="32" spans="1:8" ht="15" x14ac:dyDescent="0.2">
      <c r="A32">
        <v>1418</v>
      </c>
      <c r="B32" t="s">
        <v>75</v>
      </c>
      <c r="C32" t="s">
        <v>22</v>
      </c>
      <c r="D32" t="s">
        <v>23</v>
      </c>
      <c r="E32" t="s">
        <v>24</v>
      </c>
      <c r="F32" t="s">
        <v>25</v>
      </c>
      <c r="H32" s="3">
        <v>46157</v>
      </c>
    </row>
    <row r="33" spans="1:8" ht="15" x14ac:dyDescent="0.2">
      <c r="A33">
        <v>919</v>
      </c>
      <c r="B33" t="s">
        <v>77</v>
      </c>
      <c r="C33" t="s">
        <v>51</v>
      </c>
      <c r="D33" t="s">
        <v>23</v>
      </c>
      <c r="E33" t="s">
        <v>24</v>
      </c>
      <c r="F33" t="s">
        <v>27</v>
      </c>
      <c r="G33">
        <v>16</v>
      </c>
      <c r="H33" s="3">
        <v>46157</v>
      </c>
    </row>
    <row r="34" spans="1:8" ht="15" x14ac:dyDescent="0.2">
      <c r="A34">
        <v>1319</v>
      </c>
      <c r="B34" t="s">
        <v>78</v>
      </c>
      <c r="C34" t="s">
        <v>32</v>
      </c>
      <c r="D34" t="s">
        <v>23</v>
      </c>
      <c r="E34" t="s">
        <v>24</v>
      </c>
      <c r="F34" t="s">
        <v>27</v>
      </c>
      <c r="G34">
        <v>9</v>
      </c>
      <c r="H34" s="3">
        <v>46157</v>
      </c>
    </row>
    <row r="35" spans="1:8" ht="15" x14ac:dyDescent="0.2">
      <c r="A35">
        <v>1389</v>
      </c>
      <c r="B35" t="s">
        <v>79</v>
      </c>
      <c r="C35" t="s">
        <v>80</v>
      </c>
      <c r="D35" t="s">
        <v>23</v>
      </c>
      <c r="E35" t="s">
        <v>24</v>
      </c>
      <c r="F35" t="s">
        <v>25</v>
      </c>
      <c r="H35" s="3">
        <v>46157</v>
      </c>
    </row>
    <row r="36" spans="1:8" ht="15" x14ac:dyDescent="0.2">
      <c r="A36">
        <v>940</v>
      </c>
      <c r="B36" t="s">
        <v>81</v>
      </c>
      <c r="C36" t="s">
        <v>82</v>
      </c>
      <c r="D36" t="s">
        <v>23</v>
      </c>
      <c r="E36" t="s">
        <v>30</v>
      </c>
      <c r="F36" t="s">
        <v>27</v>
      </c>
      <c r="G36">
        <v>9</v>
      </c>
      <c r="H36" s="3">
        <v>46157</v>
      </c>
    </row>
    <row r="37" spans="1:8" ht="15" x14ac:dyDescent="0.2">
      <c r="A37">
        <v>806</v>
      </c>
      <c r="B37" t="s">
        <v>81</v>
      </c>
      <c r="C37" t="s">
        <v>83</v>
      </c>
      <c r="D37" t="s">
        <v>23</v>
      </c>
      <c r="E37" t="s">
        <v>24</v>
      </c>
      <c r="F37" t="s">
        <v>27</v>
      </c>
      <c r="G37">
        <v>11</v>
      </c>
      <c r="H37" s="3">
        <v>46157</v>
      </c>
    </row>
    <row r="38" spans="1:8" ht="15" x14ac:dyDescent="0.2">
      <c r="A38">
        <v>482</v>
      </c>
      <c r="B38" t="s">
        <v>84</v>
      </c>
      <c r="C38" t="s">
        <v>85</v>
      </c>
      <c r="D38" t="s">
        <v>23</v>
      </c>
      <c r="E38" t="s">
        <v>24</v>
      </c>
      <c r="F38" t="s">
        <v>27</v>
      </c>
      <c r="G38">
        <v>13</v>
      </c>
      <c r="H38" s="3">
        <v>46157</v>
      </c>
    </row>
    <row r="39" spans="1:8" ht="15" x14ac:dyDescent="0.2">
      <c r="A39">
        <v>674</v>
      </c>
      <c r="B39" t="s">
        <v>86</v>
      </c>
      <c r="C39" t="s">
        <v>87</v>
      </c>
      <c r="D39" t="s">
        <v>54</v>
      </c>
      <c r="E39" t="s">
        <v>30</v>
      </c>
      <c r="F39" t="s">
        <v>27</v>
      </c>
      <c r="G39">
        <v>23</v>
      </c>
      <c r="H39" s="3">
        <v>46157</v>
      </c>
    </row>
    <row r="40" spans="1:8" ht="15" x14ac:dyDescent="0.2">
      <c r="A40">
        <v>1061</v>
      </c>
      <c r="B40" t="s">
        <v>88</v>
      </c>
      <c r="C40" t="s">
        <v>89</v>
      </c>
      <c r="D40" t="s">
        <v>23</v>
      </c>
      <c r="E40" t="s">
        <v>24</v>
      </c>
      <c r="F40" t="s">
        <v>27</v>
      </c>
      <c r="G40">
        <v>19</v>
      </c>
      <c r="H40" s="3">
        <v>46157</v>
      </c>
    </row>
    <row r="41" spans="1:8" ht="15" x14ac:dyDescent="0.2">
      <c r="A41">
        <v>763</v>
      </c>
      <c r="B41" t="s">
        <v>90</v>
      </c>
      <c r="C41" t="s">
        <v>59</v>
      </c>
      <c r="D41" t="s">
        <v>23</v>
      </c>
      <c r="E41" t="s">
        <v>24</v>
      </c>
      <c r="F41" t="s">
        <v>27</v>
      </c>
      <c r="G41">
        <v>17</v>
      </c>
      <c r="H41" s="3">
        <v>46157</v>
      </c>
    </row>
    <row r="42" spans="1:8" ht="15" x14ac:dyDescent="0.2">
      <c r="A42">
        <v>1227</v>
      </c>
      <c r="B42" t="s">
        <v>91</v>
      </c>
      <c r="C42" t="s">
        <v>92</v>
      </c>
      <c r="D42" t="s">
        <v>23</v>
      </c>
      <c r="E42" t="s">
        <v>30</v>
      </c>
      <c r="F42" t="s">
        <v>27</v>
      </c>
      <c r="G42">
        <v>8</v>
      </c>
      <c r="H42" s="3">
        <v>46157</v>
      </c>
    </row>
    <row r="43" spans="1:8" ht="15" x14ac:dyDescent="0.2">
      <c r="A43">
        <v>715</v>
      </c>
      <c r="B43" t="s">
        <v>93</v>
      </c>
      <c r="C43" t="s">
        <v>94</v>
      </c>
      <c r="D43" t="s">
        <v>23</v>
      </c>
      <c r="E43" t="s">
        <v>24</v>
      </c>
      <c r="F43" t="s">
        <v>27</v>
      </c>
      <c r="G43">
        <v>5</v>
      </c>
      <c r="H43" s="3">
        <v>46157</v>
      </c>
    </row>
    <row r="44" spans="1:8" ht="15" x14ac:dyDescent="0.2">
      <c r="A44">
        <v>567</v>
      </c>
      <c r="B44" t="s">
        <v>95</v>
      </c>
      <c r="C44" t="s">
        <v>96</v>
      </c>
      <c r="D44" t="s">
        <v>23</v>
      </c>
      <c r="E44" t="s">
        <v>24</v>
      </c>
      <c r="F44" t="s">
        <v>27</v>
      </c>
      <c r="G44">
        <v>7</v>
      </c>
      <c r="H44" s="3">
        <v>46157</v>
      </c>
    </row>
    <row r="45" spans="1:8" ht="15" x14ac:dyDescent="0.2">
      <c r="A45">
        <v>1391</v>
      </c>
      <c r="B45" t="s">
        <v>97</v>
      </c>
      <c r="C45" t="s">
        <v>98</v>
      </c>
      <c r="D45" t="s">
        <v>23</v>
      </c>
      <c r="E45" t="s">
        <v>30</v>
      </c>
      <c r="F45" t="s">
        <v>25</v>
      </c>
      <c r="H45" s="3">
        <v>46157</v>
      </c>
    </row>
    <row r="46" spans="1:8" ht="15" x14ac:dyDescent="0.2">
      <c r="A46">
        <v>704</v>
      </c>
      <c r="B46" t="s">
        <v>99</v>
      </c>
      <c r="C46" t="s">
        <v>100</v>
      </c>
      <c r="D46" t="s">
        <v>23</v>
      </c>
      <c r="E46" t="s">
        <v>24</v>
      </c>
      <c r="F46" t="s">
        <v>27</v>
      </c>
      <c r="G46">
        <v>21</v>
      </c>
      <c r="H46" s="3">
        <v>46157</v>
      </c>
    </row>
    <row r="47" spans="1:8" ht="15" x14ac:dyDescent="0.2">
      <c r="A47">
        <v>1283</v>
      </c>
      <c r="B47" t="s">
        <v>101</v>
      </c>
      <c r="C47" t="s">
        <v>102</v>
      </c>
      <c r="D47" t="s">
        <v>23</v>
      </c>
      <c r="E47" t="s">
        <v>24</v>
      </c>
      <c r="F47" t="s">
        <v>27</v>
      </c>
      <c r="G47">
        <v>18</v>
      </c>
      <c r="H47" s="3">
        <v>46157</v>
      </c>
    </row>
    <row r="48" spans="1:8" ht="15" x14ac:dyDescent="0.2">
      <c r="A48">
        <v>295</v>
      </c>
      <c r="B48" t="s">
        <v>103</v>
      </c>
      <c r="C48" t="s">
        <v>104</v>
      </c>
      <c r="D48" t="s">
        <v>23</v>
      </c>
      <c r="E48" t="s">
        <v>24</v>
      </c>
      <c r="F48" t="s">
        <v>27</v>
      </c>
      <c r="G48">
        <v>15</v>
      </c>
      <c r="H48" s="3">
        <v>46157</v>
      </c>
    </row>
    <row r="49" spans="1:8" ht="15" x14ac:dyDescent="0.2">
      <c r="A49">
        <v>1226</v>
      </c>
      <c r="B49" t="s">
        <v>105</v>
      </c>
      <c r="C49" t="s">
        <v>106</v>
      </c>
      <c r="D49" t="s">
        <v>23</v>
      </c>
      <c r="E49" t="s">
        <v>30</v>
      </c>
      <c r="F49" t="s">
        <v>25</v>
      </c>
      <c r="H49" s="3">
        <v>46157</v>
      </c>
    </row>
    <row r="50" spans="1:8" ht="15" x14ac:dyDescent="0.2">
      <c r="A50">
        <v>1333</v>
      </c>
      <c r="B50" t="s">
        <v>107</v>
      </c>
      <c r="C50" t="s">
        <v>108</v>
      </c>
      <c r="D50" t="s">
        <v>23</v>
      </c>
      <c r="E50" t="s">
        <v>24</v>
      </c>
      <c r="F50" t="s">
        <v>27</v>
      </c>
      <c r="G50">
        <v>3</v>
      </c>
      <c r="H50" s="3">
        <v>46157</v>
      </c>
    </row>
    <row r="51" spans="1:8" ht="15" x14ac:dyDescent="0.2">
      <c r="A51">
        <v>1185</v>
      </c>
      <c r="B51" t="s">
        <v>109</v>
      </c>
      <c r="C51" t="s">
        <v>110</v>
      </c>
      <c r="D51" t="s">
        <v>23</v>
      </c>
      <c r="E51" t="s">
        <v>30</v>
      </c>
      <c r="F51" t="s">
        <v>35</v>
      </c>
      <c r="H51" s="3">
        <v>46157</v>
      </c>
    </row>
    <row r="52" spans="1:8" ht="15" x14ac:dyDescent="0.2">
      <c r="A52">
        <v>1065</v>
      </c>
      <c r="B52" t="s">
        <v>109</v>
      </c>
      <c r="C52" t="s">
        <v>41</v>
      </c>
      <c r="D52" t="s">
        <v>23</v>
      </c>
      <c r="E52" t="s">
        <v>24</v>
      </c>
      <c r="F52" t="s">
        <v>27</v>
      </c>
      <c r="G52">
        <v>1</v>
      </c>
      <c r="H52" s="3">
        <v>46157</v>
      </c>
    </row>
    <row r="53" spans="1:8" ht="15" x14ac:dyDescent="0.2">
      <c r="A53">
        <v>1407</v>
      </c>
      <c r="B53" t="s">
        <v>111</v>
      </c>
      <c r="C53" t="s">
        <v>112</v>
      </c>
      <c r="D53" t="s">
        <v>23</v>
      </c>
      <c r="E53" t="s">
        <v>24</v>
      </c>
      <c r="F53" t="s">
        <v>25</v>
      </c>
      <c r="H53" s="3">
        <v>46157</v>
      </c>
    </row>
    <row r="54" spans="1:8" ht="15" x14ac:dyDescent="0.2">
      <c r="A54">
        <v>1096</v>
      </c>
      <c r="B54" t="s">
        <v>113</v>
      </c>
      <c r="C54" t="s">
        <v>114</v>
      </c>
      <c r="D54" t="s">
        <v>23</v>
      </c>
      <c r="E54" t="s">
        <v>24</v>
      </c>
      <c r="F54" t="s">
        <v>35</v>
      </c>
      <c r="H54" s="3">
        <v>46157</v>
      </c>
    </row>
    <row r="55" spans="1:8" ht="15" x14ac:dyDescent="0.2">
      <c r="A55">
        <v>1236</v>
      </c>
      <c r="B55" t="s">
        <v>113</v>
      </c>
      <c r="C55" t="s">
        <v>115</v>
      </c>
      <c r="D55" t="s">
        <v>23</v>
      </c>
      <c r="E55" t="s">
        <v>30</v>
      </c>
      <c r="F55" t="s">
        <v>27</v>
      </c>
      <c r="G55">
        <v>5</v>
      </c>
      <c r="H55" s="3">
        <v>46157</v>
      </c>
    </row>
    <row r="56" spans="1:8" ht="15" x14ac:dyDescent="0.2">
      <c r="A56">
        <v>699</v>
      </c>
      <c r="B56" t="s">
        <v>113</v>
      </c>
      <c r="C56" t="s">
        <v>116</v>
      </c>
      <c r="D56" t="s">
        <v>23</v>
      </c>
      <c r="E56" t="s">
        <v>24</v>
      </c>
      <c r="F56" t="s">
        <v>27</v>
      </c>
      <c r="G56">
        <v>5</v>
      </c>
      <c r="H56" s="3">
        <v>46157</v>
      </c>
    </row>
    <row r="57" spans="1:8" ht="15" x14ac:dyDescent="0.2">
      <c r="A57">
        <v>1000</v>
      </c>
      <c r="B57" t="s">
        <v>120</v>
      </c>
      <c r="C57" t="s">
        <v>121</v>
      </c>
      <c r="D57" t="s">
        <v>23</v>
      </c>
      <c r="E57" t="s">
        <v>24</v>
      </c>
      <c r="F57" t="s">
        <v>25</v>
      </c>
      <c r="H57" s="3">
        <v>46157</v>
      </c>
    </row>
    <row r="58" spans="1:8" ht="15" x14ac:dyDescent="0.2">
      <c r="A58">
        <v>1332</v>
      </c>
      <c r="B58" t="s">
        <v>122</v>
      </c>
      <c r="C58" t="s">
        <v>123</v>
      </c>
      <c r="D58" t="s">
        <v>23</v>
      </c>
      <c r="E58" t="s">
        <v>30</v>
      </c>
      <c r="F58" t="s">
        <v>25</v>
      </c>
      <c r="H58" s="3">
        <v>46157</v>
      </c>
    </row>
    <row r="59" spans="1:8" ht="15" x14ac:dyDescent="0.2">
      <c r="A59">
        <v>682</v>
      </c>
      <c r="B59" t="s">
        <v>124</v>
      </c>
      <c r="C59" t="s">
        <v>125</v>
      </c>
      <c r="D59" t="s">
        <v>23</v>
      </c>
      <c r="E59" t="s">
        <v>24</v>
      </c>
      <c r="F59" t="s">
        <v>27</v>
      </c>
      <c r="G59">
        <v>11</v>
      </c>
      <c r="H59" s="3">
        <v>46157</v>
      </c>
    </row>
    <row r="60" spans="1:8" ht="15" x14ac:dyDescent="0.2">
      <c r="A60">
        <v>1393</v>
      </c>
      <c r="B60" t="s">
        <v>126</v>
      </c>
      <c r="C60" t="s">
        <v>127</v>
      </c>
      <c r="D60" t="s">
        <v>23</v>
      </c>
      <c r="E60" t="s">
        <v>30</v>
      </c>
      <c r="F60" t="s">
        <v>27</v>
      </c>
      <c r="G60">
        <v>10</v>
      </c>
      <c r="H60" s="3">
        <v>46157</v>
      </c>
    </row>
    <row r="61" spans="1:8" ht="15" x14ac:dyDescent="0.2">
      <c r="A61">
        <v>1355</v>
      </c>
      <c r="B61" t="s">
        <v>128</v>
      </c>
      <c r="C61" t="s">
        <v>129</v>
      </c>
      <c r="D61" t="s">
        <v>23</v>
      </c>
      <c r="E61" t="s">
        <v>24</v>
      </c>
      <c r="F61" t="s">
        <v>35</v>
      </c>
      <c r="H61" s="3">
        <v>46157</v>
      </c>
    </row>
    <row r="62" spans="1:8" ht="15" x14ac:dyDescent="0.2">
      <c r="A62">
        <v>1164</v>
      </c>
      <c r="B62" t="s">
        <v>130</v>
      </c>
      <c r="C62" t="s">
        <v>131</v>
      </c>
      <c r="D62" t="s">
        <v>54</v>
      </c>
      <c r="E62" t="s">
        <v>30</v>
      </c>
      <c r="F62" t="s">
        <v>25</v>
      </c>
      <c r="H62" s="3">
        <v>46157</v>
      </c>
    </row>
    <row r="63" spans="1:8" ht="15" x14ac:dyDescent="0.2">
      <c r="A63">
        <v>1062</v>
      </c>
      <c r="B63" t="s">
        <v>130</v>
      </c>
      <c r="C63" t="s">
        <v>83</v>
      </c>
      <c r="D63" t="s">
        <v>23</v>
      </c>
      <c r="E63" t="s">
        <v>24</v>
      </c>
      <c r="F63" t="s">
        <v>27</v>
      </c>
      <c r="G63">
        <v>9</v>
      </c>
      <c r="H63" s="3">
        <v>46157</v>
      </c>
    </row>
    <row r="64" spans="1:8" ht="15" x14ac:dyDescent="0.2">
      <c r="A64">
        <v>938</v>
      </c>
      <c r="B64" t="s">
        <v>130</v>
      </c>
      <c r="C64" t="s">
        <v>132</v>
      </c>
      <c r="D64" t="s">
        <v>23</v>
      </c>
      <c r="E64" t="s">
        <v>30</v>
      </c>
      <c r="F64" t="s">
        <v>27</v>
      </c>
      <c r="G64">
        <v>7</v>
      </c>
      <c r="H64" s="3">
        <v>46157</v>
      </c>
    </row>
    <row r="65" spans="1:8" ht="15" x14ac:dyDescent="0.2">
      <c r="A65">
        <v>1427</v>
      </c>
      <c r="B65" t="s">
        <v>130</v>
      </c>
      <c r="C65" t="s">
        <v>133</v>
      </c>
      <c r="D65" t="s">
        <v>23</v>
      </c>
      <c r="E65" t="s">
        <v>30</v>
      </c>
      <c r="F65" t="s">
        <v>27</v>
      </c>
      <c r="G65">
        <v>16</v>
      </c>
      <c r="H65" s="3">
        <v>46157</v>
      </c>
    </row>
    <row r="66" spans="1:8" ht="15" x14ac:dyDescent="0.2">
      <c r="A66">
        <v>1034</v>
      </c>
      <c r="B66" t="s">
        <v>134</v>
      </c>
      <c r="C66" t="s">
        <v>83</v>
      </c>
      <c r="D66" t="s">
        <v>23</v>
      </c>
      <c r="E66" t="s">
        <v>24</v>
      </c>
      <c r="F66" t="s">
        <v>25</v>
      </c>
      <c r="H66" s="3">
        <v>46157</v>
      </c>
    </row>
    <row r="67" spans="1:8" ht="15" x14ac:dyDescent="0.2">
      <c r="A67">
        <v>1402</v>
      </c>
      <c r="B67" t="s">
        <v>135</v>
      </c>
      <c r="C67" t="s">
        <v>136</v>
      </c>
      <c r="D67" t="s">
        <v>23</v>
      </c>
      <c r="E67" t="s">
        <v>24</v>
      </c>
      <c r="F67" t="s">
        <v>27</v>
      </c>
      <c r="G67">
        <v>7</v>
      </c>
      <c r="H67" s="3">
        <v>46157</v>
      </c>
    </row>
    <row r="68" spans="1:8" ht="15" x14ac:dyDescent="0.2">
      <c r="A68">
        <v>939</v>
      </c>
      <c r="B68" t="s">
        <v>137</v>
      </c>
      <c r="C68" t="s">
        <v>127</v>
      </c>
      <c r="D68" t="s">
        <v>23</v>
      </c>
      <c r="E68" t="s">
        <v>30</v>
      </c>
      <c r="F68" t="s">
        <v>27</v>
      </c>
      <c r="G68">
        <v>12</v>
      </c>
      <c r="H68" s="3">
        <v>46157</v>
      </c>
    </row>
    <row r="69" spans="1:8" ht="15" x14ac:dyDescent="0.2">
      <c r="A69">
        <v>1377</v>
      </c>
      <c r="B69" t="s">
        <v>138</v>
      </c>
      <c r="C69" t="s">
        <v>139</v>
      </c>
      <c r="D69" t="s">
        <v>23</v>
      </c>
      <c r="E69" t="s">
        <v>30</v>
      </c>
      <c r="F69" t="s">
        <v>27</v>
      </c>
      <c r="G69">
        <v>12</v>
      </c>
      <c r="H69" s="3">
        <v>46157</v>
      </c>
    </row>
    <row r="70" spans="1:8" ht="15" x14ac:dyDescent="0.2">
      <c r="A70">
        <v>1281</v>
      </c>
      <c r="B70" t="s">
        <v>140</v>
      </c>
      <c r="C70" t="s">
        <v>141</v>
      </c>
      <c r="D70" t="s">
        <v>23</v>
      </c>
      <c r="E70" t="s">
        <v>24</v>
      </c>
      <c r="F70" t="s">
        <v>27</v>
      </c>
      <c r="G70">
        <v>19</v>
      </c>
      <c r="H70" s="3">
        <v>46157</v>
      </c>
    </row>
    <row r="71" spans="1:8" ht="15" x14ac:dyDescent="0.2">
      <c r="A71">
        <v>933</v>
      </c>
      <c r="B71" t="s">
        <v>142</v>
      </c>
      <c r="C71" t="s">
        <v>143</v>
      </c>
      <c r="D71" t="s">
        <v>23</v>
      </c>
      <c r="E71" t="s">
        <v>24</v>
      </c>
      <c r="F71" t="s">
        <v>25</v>
      </c>
      <c r="H71" s="3">
        <v>46157</v>
      </c>
    </row>
    <row r="72" spans="1:8" ht="15" x14ac:dyDescent="0.2">
      <c r="A72">
        <v>1274</v>
      </c>
      <c r="B72" t="s">
        <v>144</v>
      </c>
      <c r="C72" t="s">
        <v>145</v>
      </c>
      <c r="D72" t="s">
        <v>23</v>
      </c>
      <c r="E72" t="s">
        <v>30</v>
      </c>
      <c r="F72" t="s">
        <v>25</v>
      </c>
      <c r="H72" s="3">
        <v>46157</v>
      </c>
    </row>
    <row r="73" spans="1:8" ht="15" x14ac:dyDescent="0.2">
      <c r="A73">
        <v>493</v>
      </c>
      <c r="B73" t="s">
        <v>146</v>
      </c>
      <c r="C73" t="s">
        <v>49</v>
      </c>
      <c r="D73" t="s">
        <v>48</v>
      </c>
      <c r="E73" t="s">
        <v>24</v>
      </c>
      <c r="F73" t="s">
        <v>27</v>
      </c>
      <c r="G73">
        <v>37</v>
      </c>
      <c r="H73" s="3">
        <v>46157</v>
      </c>
    </row>
    <row r="74" spans="1:8" ht="15" x14ac:dyDescent="0.2">
      <c r="A74">
        <v>1279</v>
      </c>
      <c r="B74" t="s">
        <v>147</v>
      </c>
      <c r="C74" t="s">
        <v>148</v>
      </c>
      <c r="D74" t="s">
        <v>23</v>
      </c>
      <c r="E74" t="s">
        <v>24</v>
      </c>
      <c r="F74" t="s">
        <v>27</v>
      </c>
      <c r="G74">
        <v>4</v>
      </c>
      <c r="H74" s="3">
        <v>46157</v>
      </c>
    </row>
    <row r="75" spans="1:8" ht="15" x14ac:dyDescent="0.2">
      <c r="A75">
        <v>1193</v>
      </c>
      <c r="B75" t="s">
        <v>149</v>
      </c>
      <c r="C75" t="s">
        <v>150</v>
      </c>
      <c r="D75" t="s">
        <v>23</v>
      </c>
      <c r="E75" t="s">
        <v>24</v>
      </c>
      <c r="F75" t="s">
        <v>25</v>
      </c>
      <c r="H75" s="3">
        <v>46157</v>
      </c>
    </row>
    <row r="76" spans="1:8" ht="15" x14ac:dyDescent="0.2">
      <c r="A76">
        <v>1194</v>
      </c>
      <c r="B76" t="s">
        <v>149</v>
      </c>
      <c r="C76" t="s">
        <v>151</v>
      </c>
      <c r="D76" t="s">
        <v>23</v>
      </c>
      <c r="E76" t="s">
        <v>30</v>
      </c>
      <c r="F76" t="s">
        <v>25</v>
      </c>
      <c r="H76" s="3">
        <v>46157</v>
      </c>
    </row>
    <row r="77" spans="1:8" ht="15" x14ac:dyDescent="0.2">
      <c r="A77">
        <v>1196</v>
      </c>
      <c r="B77" t="s">
        <v>149</v>
      </c>
      <c r="C77" t="s">
        <v>152</v>
      </c>
      <c r="D77" t="s">
        <v>23</v>
      </c>
      <c r="E77" t="s">
        <v>24</v>
      </c>
      <c r="F77" t="s">
        <v>35</v>
      </c>
      <c r="H77" s="3">
        <v>46157</v>
      </c>
    </row>
    <row r="78" spans="1:8" ht="15" x14ac:dyDescent="0.2">
      <c r="A78">
        <v>1195</v>
      </c>
      <c r="B78" t="s">
        <v>149</v>
      </c>
      <c r="C78" t="s">
        <v>153</v>
      </c>
      <c r="D78" t="s">
        <v>23</v>
      </c>
      <c r="E78" t="s">
        <v>24</v>
      </c>
      <c r="F78" t="s">
        <v>35</v>
      </c>
      <c r="H78" s="3">
        <v>46157</v>
      </c>
    </row>
    <row r="79" spans="1:8" ht="15" x14ac:dyDescent="0.2">
      <c r="A79">
        <v>1176</v>
      </c>
      <c r="B79" t="s">
        <v>154</v>
      </c>
      <c r="C79" t="s">
        <v>155</v>
      </c>
      <c r="D79" t="s">
        <v>23</v>
      </c>
      <c r="E79" t="s">
        <v>24</v>
      </c>
      <c r="F79" t="s">
        <v>35</v>
      </c>
      <c r="H79" s="3">
        <v>46157</v>
      </c>
    </row>
    <row r="80" spans="1:8" ht="15" x14ac:dyDescent="0.2">
      <c r="A80">
        <v>1174</v>
      </c>
      <c r="B80" t="s">
        <v>154</v>
      </c>
      <c r="C80" t="s">
        <v>156</v>
      </c>
      <c r="D80" t="s">
        <v>23</v>
      </c>
      <c r="E80" t="s">
        <v>30</v>
      </c>
      <c r="F80" t="s">
        <v>27</v>
      </c>
      <c r="G80">
        <v>6</v>
      </c>
      <c r="H80" s="3">
        <v>46157</v>
      </c>
    </row>
    <row r="81" spans="1:8" ht="15" x14ac:dyDescent="0.2">
      <c r="A81">
        <v>1175</v>
      </c>
      <c r="B81" t="s">
        <v>154</v>
      </c>
      <c r="C81" t="s">
        <v>150</v>
      </c>
      <c r="D81" t="s">
        <v>23</v>
      </c>
      <c r="E81" t="s">
        <v>24</v>
      </c>
      <c r="F81" t="s">
        <v>27</v>
      </c>
      <c r="G81">
        <v>12</v>
      </c>
      <c r="H81" s="3">
        <v>46157</v>
      </c>
    </row>
    <row r="82" spans="1:8" ht="15" x14ac:dyDescent="0.2">
      <c r="A82">
        <v>1109</v>
      </c>
      <c r="B82" t="s">
        <v>157</v>
      </c>
      <c r="C82" t="s">
        <v>104</v>
      </c>
      <c r="D82" t="s">
        <v>23</v>
      </c>
      <c r="E82" t="s">
        <v>24</v>
      </c>
      <c r="F82" t="s">
        <v>25</v>
      </c>
      <c r="H82" s="3">
        <v>46157</v>
      </c>
    </row>
    <row r="83" spans="1:8" ht="15" x14ac:dyDescent="0.2">
      <c r="A83">
        <v>1073</v>
      </c>
      <c r="B83" t="s">
        <v>158</v>
      </c>
      <c r="C83" t="s">
        <v>150</v>
      </c>
      <c r="D83" t="s">
        <v>23</v>
      </c>
      <c r="E83" t="s">
        <v>24</v>
      </c>
      <c r="F83" t="s">
        <v>27</v>
      </c>
      <c r="G83">
        <v>3</v>
      </c>
      <c r="H83" s="3">
        <v>46157</v>
      </c>
    </row>
    <row r="84" spans="1:8" ht="15" x14ac:dyDescent="0.2">
      <c r="A84">
        <v>1400</v>
      </c>
      <c r="B84" t="s">
        <v>159</v>
      </c>
      <c r="C84" t="s">
        <v>160</v>
      </c>
      <c r="D84" t="s">
        <v>23</v>
      </c>
      <c r="E84" t="s">
        <v>24</v>
      </c>
      <c r="F84" t="s">
        <v>25</v>
      </c>
      <c r="H84" s="3">
        <v>46157</v>
      </c>
    </row>
    <row r="85" spans="1:8" ht="15" x14ac:dyDescent="0.2">
      <c r="A85">
        <v>1367</v>
      </c>
      <c r="B85" t="s">
        <v>161</v>
      </c>
      <c r="C85" t="s">
        <v>152</v>
      </c>
      <c r="D85" t="s">
        <v>23</v>
      </c>
      <c r="E85" t="s">
        <v>24</v>
      </c>
      <c r="F85" t="s">
        <v>35</v>
      </c>
      <c r="H85" s="3">
        <v>46157</v>
      </c>
    </row>
    <row r="86" spans="1:8" ht="15" x14ac:dyDescent="0.2">
      <c r="A86">
        <v>1366</v>
      </c>
      <c r="B86" t="s">
        <v>161</v>
      </c>
      <c r="C86" t="s">
        <v>162</v>
      </c>
      <c r="D86" t="s">
        <v>23</v>
      </c>
      <c r="E86" t="s">
        <v>30</v>
      </c>
      <c r="F86" t="s">
        <v>25</v>
      </c>
      <c r="H86" s="3">
        <v>46157</v>
      </c>
    </row>
    <row r="87" spans="1:8" ht="15" x14ac:dyDescent="0.2">
      <c r="A87">
        <v>1365</v>
      </c>
      <c r="B87" t="s">
        <v>161</v>
      </c>
      <c r="C87" t="s">
        <v>163</v>
      </c>
      <c r="D87" t="s">
        <v>23</v>
      </c>
      <c r="E87" t="s">
        <v>30</v>
      </c>
      <c r="F87" t="s">
        <v>27</v>
      </c>
      <c r="G87">
        <v>7</v>
      </c>
      <c r="H87" s="3">
        <v>46157</v>
      </c>
    </row>
    <row r="88" spans="1:8" ht="15" x14ac:dyDescent="0.2">
      <c r="A88">
        <v>897</v>
      </c>
      <c r="B88" t="s">
        <v>161</v>
      </c>
      <c r="C88" t="s">
        <v>164</v>
      </c>
      <c r="D88" t="s">
        <v>23</v>
      </c>
      <c r="E88" t="s">
        <v>24</v>
      </c>
      <c r="F88" t="s">
        <v>27</v>
      </c>
      <c r="G88">
        <v>13</v>
      </c>
      <c r="H88" s="3">
        <v>46157</v>
      </c>
    </row>
    <row r="89" spans="1:8" ht="15" x14ac:dyDescent="0.2">
      <c r="A89">
        <v>1308</v>
      </c>
      <c r="B89" t="s">
        <v>165</v>
      </c>
      <c r="C89" t="s">
        <v>166</v>
      </c>
      <c r="D89" t="s">
        <v>23</v>
      </c>
      <c r="E89" t="s">
        <v>30</v>
      </c>
      <c r="F89" t="s">
        <v>27</v>
      </c>
      <c r="G89">
        <v>2</v>
      </c>
      <c r="H89" s="3">
        <v>46157</v>
      </c>
    </row>
    <row r="90" spans="1:8" ht="15" x14ac:dyDescent="0.2">
      <c r="A90">
        <v>1206</v>
      </c>
      <c r="B90" t="s">
        <v>167</v>
      </c>
      <c r="C90" t="s">
        <v>168</v>
      </c>
      <c r="D90" t="s">
        <v>23</v>
      </c>
      <c r="E90" t="s">
        <v>30</v>
      </c>
      <c r="F90" t="s">
        <v>27</v>
      </c>
      <c r="G90">
        <v>8</v>
      </c>
      <c r="H90" s="3">
        <v>46157</v>
      </c>
    </row>
    <row r="91" spans="1:8" ht="15" x14ac:dyDescent="0.2">
      <c r="A91">
        <v>1205</v>
      </c>
      <c r="B91" t="s">
        <v>167</v>
      </c>
      <c r="C91" t="s">
        <v>66</v>
      </c>
      <c r="D91" t="s">
        <v>23</v>
      </c>
      <c r="E91" t="s">
        <v>24</v>
      </c>
      <c r="F91" t="s">
        <v>27</v>
      </c>
      <c r="G91">
        <v>14</v>
      </c>
      <c r="H91" s="3">
        <v>46157</v>
      </c>
    </row>
    <row r="92" spans="1:8" ht="15" x14ac:dyDescent="0.2">
      <c r="A92">
        <v>1406</v>
      </c>
      <c r="B92" t="s">
        <v>169</v>
      </c>
      <c r="C92" t="s">
        <v>170</v>
      </c>
      <c r="D92" t="s">
        <v>23</v>
      </c>
      <c r="E92" t="s">
        <v>24</v>
      </c>
      <c r="F92" t="s">
        <v>27</v>
      </c>
      <c r="G92">
        <v>9</v>
      </c>
      <c r="H92" s="3">
        <v>46157</v>
      </c>
    </row>
    <row r="93" spans="1:8" ht="15" x14ac:dyDescent="0.2">
      <c r="A93">
        <v>1182</v>
      </c>
      <c r="B93" t="s">
        <v>171</v>
      </c>
      <c r="C93" t="s">
        <v>136</v>
      </c>
      <c r="D93" t="s">
        <v>23</v>
      </c>
      <c r="E93" t="s">
        <v>24</v>
      </c>
      <c r="F93" t="s">
        <v>27</v>
      </c>
      <c r="G93">
        <v>8</v>
      </c>
      <c r="H93" s="3">
        <v>46157</v>
      </c>
    </row>
    <row r="94" spans="1:8" ht="15" x14ac:dyDescent="0.2">
      <c r="A94">
        <v>1340</v>
      </c>
      <c r="B94" t="s">
        <v>172</v>
      </c>
      <c r="C94" t="s">
        <v>173</v>
      </c>
      <c r="D94" t="s">
        <v>23</v>
      </c>
      <c r="E94" t="s">
        <v>24</v>
      </c>
      <c r="F94" t="s">
        <v>27</v>
      </c>
      <c r="G94">
        <v>8</v>
      </c>
      <c r="H94" s="3">
        <v>46157</v>
      </c>
    </row>
    <row r="95" spans="1:8" ht="15" x14ac:dyDescent="0.2">
      <c r="A95">
        <v>21</v>
      </c>
      <c r="B95" t="s">
        <v>174</v>
      </c>
      <c r="C95" t="s">
        <v>175</v>
      </c>
      <c r="D95" t="s">
        <v>23</v>
      </c>
      <c r="E95" t="s">
        <v>24</v>
      </c>
      <c r="F95" t="s">
        <v>25</v>
      </c>
      <c r="H95" s="3">
        <v>46157</v>
      </c>
    </row>
    <row r="96" spans="1:8" ht="15" x14ac:dyDescent="0.2">
      <c r="A96">
        <v>1049</v>
      </c>
      <c r="B96" t="s">
        <v>176</v>
      </c>
      <c r="C96" t="s">
        <v>177</v>
      </c>
      <c r="D96" t="s">
        <v>23</v>
      </c>
      <c r="E96" t="s">
        <v>24</v>
      </c>
      <c r="F96" t="s">
        <v>27</v>
      </c>
      <c r="G96">
        <v>19</v>
      </c>
      <c r="H96" s="3">
        <v>46157</v>
      </c>
    </row>
    <row r="97" spans="1:8" ht="15" x14ac:dyDescent="0.2">
      <c r="A97">
        <v>120</v>
      </c>
      <c r="B97" t="s">
        <v>178</v>
      </c>
      <c r="C97" t="s">
        <v>179</v>
      </c>
      <c r="D97" t="s">
        <v>23</v>
      </c>
      <c r="E97" t="s">
        <v>30</v>
      </c>
      <c r="F97" t="s">
        <v>27</v>
      </c>
      <c r="G97">
        <v>12</v>
      </c>
      <c r="H97" s="3">
        <v>46157</v>
      </c>
    </row>
    <row r="98" spans="1:8" ht="15" x14ac:dyDescent="0.2">
      <c r="A98">
        <v>990</v>
      </c>
      <c r="B98" t="s">
        <v>180</v>
      </c>
      <c r="C98" t="s">
        <v>87</v>
      </c>
      <c r="D98" t="s">
        <v>23</v>
      </c>
      <c r="E98" t="s">
        <v>30</v>
      </c>
      <c r="F98" t="s">
        <v>27</v>
      </c>
      <c r="G98">
        <v>10</v>
      </c>
      <c r="H98" s="3">
        <v>46157</v>
      </c>
    </row>
    <row r="99" spans="1:8" ht="15" x14ac:dyDescent="0.2">
      <c r="A99">
        <v>1395</v>
      </c>
      <c r="B99" t="s">
        <v>181</v>
      </c>
      <c r="C99" t="s">
        <v>182</v>
      </c>
      <c r="D99" t="s">
        <v>23</v>
      </c>
      <c r="E99" t="s">
        <v>30</v>
      </c>
      <c r="F99" t="s">
        <v>35</v>
      </c>
      <c r="H99" s="3">
        <v>46157</v>
      </c>
    </row>
    <row r="100" spans="1:8" ht="15" x14ac:dyDescent="0.2">
      <c r="A100">
        <v>1158</v>
      </c>
      <c r="B100" t="s">
        <v>183</v>
      </c>
      <c r="C100" t="s">
        <v>184</v>
      </c>
      <c r="D100" t="s">
        <v>23</v>
      </c>
      <c r="E100" t="s">
        <v>30</v>
      </c>
      <c r="F100" t="s">
        <v>25</v>
      </c>
      <c r="H100" s="3">
        <v>46157</v>
      </c>
    </row>
    <row r="101" spans="1:8" ht="15" x14ac:dyDescent="0.2">
      <c r="A101">
        <v>23</v>
      </c>
      <c r="B101" t="s">
        <v>185</v>
      </c>
      <c r="C101" t="s">
        <v>100</v>
      </c>
      <c r="D101" t="s">
        <v>23</v>
      </c>
      <c r="E101" t="s">
        <v>24</v>
      </c>
      <c r="F101" t="s">
        <v>27</v>
      </c>
      <c r="G101">
        <v>10</v>
      </c>
      <c r="H101" s="3">
        <v>46157</v>
      </c>
    </row>
    <row r="102" spans="1:8" ht="15" x14ac:dyDescent="0.2">
      <c r="A102">
        <v>1152</v>
      </c>
      <c r="B102" t="s">
        <v>186</v>
      </c>
      <c r="C102" t="s">
        <v>187</v>
      </c>
      <c r="D102" t="s">
        <v>54</v>
      </c>
      <c r="E102" t="s">
        <v>30</v>
      </c>
      <c r="F102" t="s">
        <v>188</v>
      </c>
      <c r="H102" s="3">
        <v>46157</v>
      </c>
    </row>
    <row r="103" spans="1:8" ht="15" x14ac:dyDescent="0.2">
      <c r="A103">
        <v>581</v>
      </c>
      <c r="B103" t="s">
        <v>189</v>
      </c>
      <c r="C103" t="s">
        <v>190</v>
      </c>
      <c r="D103" t="s">
        <v>23</v>
      </c>
      <c r="E103" t="s">
        <v>24</v>
      </c>
      <c r="F103" t="s">
        <v>27</v>
      </c>
      <c r="G103">
        <v>13</v>
      </c>
      <c r="H103" s="3">
        <v>46157</v>
      </c>
    </row>
    <row r="104" spans="1:8" ht="15" x14ac:dyDescent="0.2">
      <c r="A104">
        <v>1374</v>
      </c>
      <c r="B104" t="s">
        <v>191</v>
      </c>
      <c r="C104" t="s">
        <v>192</v>
      </c>
      <c r="D104" t="s">
        <v>23</v>
      </c>
      <c r="E104" t="s">
        <v>24</v>
      </c>
      <c r="F104" t="s">
        <v>25</v>
      </c>
      <c r="H104" s="3">
        <v>46157</v>
      </c>
    </row>
    <row r="105" spans="1:8" ht="15" x14ac:dyDescent="0.2">
      <c r="A105">
        <v>25</v>
      </c>
      <c r="B105" t="s">
        <v>22</v>
      </c>
      <c r="C105" t="s">
        <v>193</v>
      </c>
      <c r="D105" t="s">
        <v>23</v>
      </c>
      <c r="E105" t="s">
        <v>24</v>
      </c>
      <c r="F105" t="s">
        <v>27</v>
      </c>
      <c r="G105">
        <v>8</v>
      </c>
      <c r="H105" s="3">
        <v>46157</v>
      </c>
    </row>
    <row r="106" spans="1:8" ht="15" x14ac:dyDescent="0.2">
      <c r="A106">
        <v>1257</v>
      </c>
      <c r="B106" t="s">
        <v>194</v>
      </c>
      <c r="C106" t="s">
        <v>150</v>
      </c>
      <c r="D106" t="s">
        <v>54</v>
      </c>
      <c r="E106" t="s">
        <v>24</v>
      </c>
      <c r="F106" t="s">
        <v>25</v>
      </c>
      <c r="H106" s="3">
        <v>46157</v>
      </c>
    </row>
    <row r="107" spans="1:8" ht="15" x14ac:dyDescent="0.2">
      <c r="A107">
        <v>415</v>
      </c>
      <c r="B107" t="s">
        <v>195</v>
      </c>
      <c r="C107" t="s">
        <v>196</v>
      </c>
      <c r="D107" t="s">
        <v>23</v>
      </c>
      <c r="E107" t="s">
        <v>24</v>
      </c>
      <c r="F107" t="s">
        <v>27</v>
      </c>
      <c r="G107">
        <v>6</v>
      </c>
      <c r="H107" s="3">
        <v>46157</v>
      </c>
    </row>
    <row r="108" spans="1:8" ht="15" x14ac:dyDescent="0.2">
      <c r="A108">
        <v>1144</v>
      </c>
      <c r="B108" t="s">
        <v>195</v>
      </c>
      <c r="C108" t="s">
        <v>197</v>
      </c>
      <c r="D108" t="s">
        <v>54</v>
      </c>
      <c r="E108" t="s">
        <v>24</v>
      </c>
      <c r="F108" t="s">
        <v>188</v>
      </c>
      <c r="H108" s="3">
        <v>46157</v>
      </c>
    </row>
    <row r="109" spans="1:8" ht="15" x14ac:dyDescent="0.2">
      <c r="A109">
        <v>1292</v>
      </c>
      <c r="B109" t="s">
        <v>198</v>
      </c>
      <c r="C109" t="s">
        <v>199</v>
      </c>
      <c r="D109" t="s">
        <v>23</v>
      </c>
      <c r="E109" t="s">
        <v>30</v>
      </c>
      <c r="F109" t="s">
        <v>25</v>
      </c>
      <c r="H109" s="3">
        <v>46157</v>
      </c>
    </row>
    <row r="110" spans="1:8" ht="15" x14ac:dyDescent="0.2">
      <c r="A110">
        <v>203</v>
      </c>
      <c r="B110" t="s">
        <v>200</v>
      </c>
      <c r="C110" t="s">
        <v>201</v>
      </c>
      <c r="D110" t="s">
        <v>23</v>
      </c>
      <c r="E110" t="s">
        <v>24</v>
      </c>
      <c r="F110" t="s">
        <v>27</v>
      </c>
      <c r="G110">
        <v>9</v>
      </c>
      <c r="H110" s="3">
        <v>46157</v>
      </c>
    </row>
    <row r="111" spans="1:8" ht="15" x14ac:dyDescent="0.2">
      <c r="A111">
        <v>956</v>
      </c>
      <c r="B111" t="s">
        <v>202</v>
      </c>
      <c r="C111" t="s">
        <v>94</v>
      </c>
      <c r="D111" t="s">
        <v>23</v>
      </c>
      <c r="E111" t="s">
        <v>24</v>
      </c>
      <c r="F111" t="s">
        <v>27</v>
      </c>
      <c r="G111">
        <v>13</v>
      </c>
      <c r="H111" s="3">
        <v>46157</v>
      </c>
    </row>
    <row r="112" spans="1:8" ht="15" x14ac:dyDescent="0.2">
      <c r="A112">
        <v>1273</v>
      </c>
      <c r="B112" t="s">
        <v>203</v>
      </c>
      <c r="C112" t="s">
        <v>204</v>
      </c>
      <c r="D112" t="s">
        <v>23</v>
      </c>
      <c r="E112" t="s">
        <v>30</v>
      </c>
      <c r="F112" t="s">
        <v>27</v>
      </c>
      <c r="G112">
        <v>22</v>
      </c>
      <c r="H112" s="3">
        <v>46157</v>
      </c>
    </row>
    <row r="113" spans="1:8" ht="15" x14ac:dyDescent="0.2">
      <c r="A113">
        <v>1272</v>
      </c>
      <c r="B113" t="s">
        <v>203</v>
      </c>
      <c r="C113" t="s">
        <v>205</v>
      </c>
      <c r="D113" t="s">
        <v>23</v>
      </c>
      <c r="E113" t="s">
        <v>24</v>
      </c>
      <c r="F113" t="s">
        <v>27</v>
      </c>
      <c r="G113">
        <v>24</v>
      </c>
      <c r="H113" s="3">
        <v>46157</v>
      </c>
    </row>
    <row r="114" spans="1:8" ht="15" x14ac:dyDescent="0.2">
      <c r="A114">
        <v>846</v>
      </c>
      <c r="B114" t="s">
        <v>206</v>
      </c>
      <c r="C114" t="s">
        <v>207</v>
      </c>
      <c r="D114" t="s">
        <v>23</v>
      </c>
      <c r="E114" t="s">
        <v>24</v>
      </c>
      <c r="F114" t="s">
        <v>27</v>
      </c>
      <c r="G114">
        <v>17</v>
      </c>
      <c r="H114" s="3">
        <v>46157</v>
      </c>
    </row>
    <row r="115" spans="1:8" ht="15" x14ac:dyDescent="0.2">
      <c r="A115">
        <v>1162</v>
      </c>
      <c r="B115" t="s">
        <v>208</v>
      </c>
      <c r="C115" t="s">
        <v>150</v>
      </c>
      <c r="D115" t="s">
        <v>23</v>
      </c>
      <c r="E115" t="s">
        <v>24</v>
      </c>
      <c r="F115" t="s">
        <v>25</v>
      </c>
      <c r="H115" s="3">
        <v>46157</v>
      </c>
    </row>
    <row r="116" spans="1:8" ht="15" x14ac:dyDescent="0.2">
      <c r="A116">
        <v>1244</v>
      </c>
      <c r="B116" t="s">
        <v>209</v>
      </c>
      <c r="C116" t="s">
        <v>94</v>
      </c>
      <c r="D116" t="s">
        <v>23</v>
      </c>
      <c r="E116" t="s">
        <v>24</v>
      </c>
      <c r="F116" t="s">
        <v>27</v>
      </c>
      <c r="G116">
        <v>2</v>
      </c>
      <c r="H116" s="3">
        <v>46157</v>
      </c>
    </row>
    <row r="117" spans="1:8" ht="15" x14ac:dyDescent="0.2">
      <c r="A117">
        <v>1379</v>
      </c>
      <c r="B117" t="s">
        <v>209</v>
      </c>
      <c r="C117" t="s">
        <v>210</v>
      </c>
      <c r="D117" t="s">
        <v>23</v>
      </c>
      <c r="E117" t="s">
        <v>30</v>
      </c>
      <c r="F117" t="s">
        <v>25</v>
      </c>
      <c r="H117" s="3">
        <v>46157</v>
      </c>
    </row>
    <row r="118" spans="1:8" ht="15" x14ac:dyDescent="0.2">
      <c r="A118">
        <v>1362</v>
      </c>
      <c r="B118" t="s">
        <v>211</v>
      </c>
      <c r="C118" t="s">
        <v>212</v>
      </c>
      <c r="D118" t="s">
        <v>23</v>
      </c>
      <c r="E118" t="s">
        <v>30</v>
      </c>
      <c r="F118" t="s">
        <v>27</v>
      </c>
      <c r="G118">
        <v>22</v>
      </c>
      <c r="H118" s="3">
        <v>46157</v>
      </c>
    </row>
    <row r="119" spans="1:8" ht="15" x14ac:dyDescent="0.2">
      <c r="A119">
        <v>1403</v>
      </c>
      <c r="B119" t="s">
        <v>213</v>
      </c>
      <c r="C119" t="s">
        <v>214</v>
      </c>
      <c r="D119" t="s">
        <v>23</v>
      </c>
      <c r="E119" t="s">
        <v>24</v>
      </c>
      <c r="F119" t="s">
        <v>27</v>
      </c>
      <c r="G119">
        <v>8</v>
      </c>
      <c r="H119" s="3">
        <v>46157</v>
      </c>
    </row>
    <row r="120" spans="1:8" ht="15" x14ac:dyDescent="0.2">
      <c r="A120">
        <v>1404</v>
      </c>
      <c r="B120" t="s">
        <v>213</v>
      </c>
      <c r="C120" t="s">
        <v>215</v>
      </c>
      <c r="D120" t="s">
        <v>23</v>
      </c>
      <c r="E120" t="s">
        <v>30</v>
      </c>
      <c r="F120" t="s">
        <v>25</v>
      </c>
      <c r="H120" s="3">
        <v>46157</v>
      </c>
    </row>
    <row r="121" spans="1:8" ht="15" x14ac:dyDescent="0.2">
      <c r="A121">
        <v>1229</v>
      </c>
      <c r="B121" t="s">
        <v>216</v>
      </c>
      <c r="C121" t="s">
        <v>217</v>
      </c>
      <c r="D121" t="s">
        <v>23</v>
      </c>
      <c r="E121" t="s">
        <v>30</v>
      </c>
      <c r="F121" t="s">
        <v>25</v>
      </c>
      <c r="H121" s="3">
        <v>46157</v>
      </c>
    </row>
    <row r="122" spans="1:8" ht="15" x14ac:dyDescent="0.2">
      <c r="A122">
        <v>1408</v>
      </c>
      <c r="B122" t="s">
        <v>218</v>
      </c>
      <c r="C122" t="s">
        <v>219</v>
      </c>
      <c r="D122" t="s">
        <v>23</v>
      </c>
      <c r="E122" t="s">
        <v>24</v>
      </c>
      <c r="F122" t="s">
        <v>27</v>
      </c>
      <c r="G122">
        <v>20</v>
      </c>
      <c r="H122" s="3">
        <v>46157</v>
      </c>
    </row>
    <row r="123" spans="1:8" ht="15" x14ac:dyDescent="0.2">
      <c r="A123">
        <v>1409</v>
      </c>
      <c r="B123" t="s">
        <v>218</v>
      </c>
      <c r="C123" t="s">
        <v>220</v>
      </c>
      <c r="D123" t="s">
        <v>23</v>
      </c>
      <c r="E123" t="s">
        <v>30</v>
      </c>
      <c r="F123" t="s">
        <v>27</v>
      </c>
      <c r="G123">
        <v>15</v>
      </c>
      <c r="H123" s="3">
        <v>46157</v>
      </c>
    </row>
    <row r="124" spans="1:8" ht="15" x14ac:dyDescent="0.2">
      <c r="A124">
        <v>1198</v>
      </c>
      <c r="B124" t="s">
        <v>221</v>
      </c>
      <c r="C124" t="s">
        <v>222</v>
      </c>
      <c r="D124" t="s">
        <v>23</v>
      </c>
      <c r="E124" t="s">
        <v>24</v>
      </c>
      <c r="F124" t="s">
        <v>27</v>
      </c>
      <c r="G124">
        <v>5</v>
      </c>
      <c r="H124" s="3">
        <v>46157</v>
      </c>
    </row>
    <row r="125" spans="1:8" ht="15" x14ac:dyDescent="0.2">
      <c r="A125">
        <v>1260</v>
      </c>
      <c r="B125" t="s">
        <v>223</v>
      </c>
      <c r="C125" t="s">
        <v>82</v>
      </c>
      <c r="D125" t="s">
        <v>23</v>
      </c>
      <c r="E125" t="s">
        <v>30</v>
      </c>
      <c r="F125" t="s">
        <v>27</v>
      </c>
      <c r="G125">
        <v>15</v>
      </c>
      <c r="H125" s="3">
        <v>46157</v>
      </c>
    </row>
    <row r="126" spans="1:8" ht="15" x14ac:dyDescent="0.2">
      <c r="A126">
        <v>1361</v>
      </c>
      <c r="B126" t="s">
        <v>224</v>
      </c>
      <c r="C126" t="s">
        <v>225</v>
      </c>
      <c r="D126" t="s">
        <v>23</v>
      </c>
      <c r="E126" t="s">
        <v>24</v>
      </c>
      <c r="F126" t="s">
        <v>27</v>
      </c>
      <c r="G126">
        <v>16</v>
      </c>
      <c r="H126" s="3">
        <v>46157</v>
      </c>
    </row>
    <row r="127" spans="1:8" ht="15" x14ac:dyDescent="0.2">
      <c r="A127">
        <v>1100</v>
      </c>
      <c r="B127" t="s">
        <v>226</v>
      </c>
      <c r="C127" t="s">
        <v>34</v>
      </c>
      <c r="D127" t="s">
        <v>23</v>
      </c>
      <c r="E127" t="s">
        <v>24</v>
      </c>
      <c r="F127" t="s">
        <v>27</v>
      </c>
      <c r="G127">
        <v>13</v>
      </c>
      <c r="H127" s="3">
        <v>46157</v>
      </c>
    </row>
    <row r="128" spans="1:8" ht="15" x14ac:dyDescent="0.2">
      <c r="A128">
        <v>1385</v>
      </c>
      <c r="B128" t="s">
        <v>227</v>
      </c>
      <c r="C128" t="s">
        <v>228</v>
      </c>
      <c r="D128" t="s">
        <v>23</v>
      </c>
      <c r="E128" t="s">
        <v>24</v>
      </c>
      <c r="F128" t="s">
        <v>25</v>
      </c>
      <c r="H128" s="3">
        <v>46157</v>
      </c>
    </row>
    <row r="129" spans="1:8" ht="15" x14ac:dyDescent="0.2">
      <c r="A129">
        <v>1394</v>
      </c>
      <c r="B129" t="s">
        <v>227</v>
      </c>
      <c r="C129" t="s">
        <v>229</v>
      </c>
      <c r="D129" t="s">
        <v>23</v>
      </c>
      <c r="E129" t="s">
        <v>24</v>
      </c>
      <c r="F129" t="s">
        <v>35</v>
      </c>
      <c r="H129" s="3">
        <v>46157</v>
      </c>
    </row>
    <row r="130" spans="1:8" ht="15" x14ac:dyDescent="0.2">
      <c r="A130">
        <v>1419</v>
      </c>
      <c r="B130" t="s">
        <v>230</v>
      </c>
      <c r="C130" t="s">
        <v>231</v>
      </c>
      <c r="D130" t="s">
        <v>23</v>
      </c>
      <c r="E130" t="s">
        <v>24</v>
      </c>
      <c r="F130" t="s">
        <v>25</v>
      </c>
      <c r="H130" s="3">
        <v>46157</v>
      </c>
    </row>
    <row r="131" spans="1:8" ht="15" x14ac:dyDescent="0.2">
      <c r="A131">
        <v>967</v>
      </c>
      <c r="B131" t="s">
        <v>232</v>
      </c>
      <c r="C131" t="s">
        <v>152</v>
      </c>
      <c r="D131" t="s">
        <v>23</v>
      </c>
      <c r="E131" t="s">
        <v>24</v>
      </c>
      <c r="F131" t="s">
        <v>27</v>
      </c>
      <c r="G131">
        <v>5</v>
      </c>
      <c r="H131" s="3">
        <v>46157</v>
      </c>
    </row>
    <row r="132" spans="1:8" ht="15" x14ac:dyDescent="0.2">
      <c r="A132">
        <v>1373</v>
      </c>
      <c r="B132" t="s">
        <v>233</v>
      </c>
      <c r="C132" t="s">
        <v>234</v>
      </c>
      <c r="D132" t="s">
        <v>23</v>
      </c>
      <c r="E132" t="s">
        <v>24</v>
      </c>
      <c r="F132" t="s">
        <v>27</v>
      </c>
      <c r="G132">
        <v>10</v>
      </c>
      <c r="H132" s="3">
        <v>46157</v>
      </c>
    </row>
    <row r="133" spans="1:8" ht="15" x14ac:dyDescent="0.2">
      <c r="A133">
        <v>1045</v>
      </c>
      <c r="B133" t="s">
        <v>235</v>
      </c>
      <c r="C133" t="s">
        <v>236</v>
      </c>
      <c r="D133" t="s">
        <v>23</v>
      </c>
      <c r="E133" t="s">
        <v>30</v>
      </c>
      <c r="F133" t="s">
        <v>27</v>
      </c>
      <c r="G133">
        <v>5</v>
      </c>
      <c r="H133" s="3">
        <v>46157</v>
      </c>
    </row>
    <row r="134" spans="1:8" ht="15" x14ac:dyDescent="0.2">
      <c r="A134">
        <v>1046</v>
      </c>
      <c r="B134" t="s">
        <v>235</v>
      </c>
      <c r="C134" t="s">
        <v>237</v>
      </c>
      <c r="D134" t="s">
        <v>23</v>
      </c>
      <c r="E134" t="s">
        <v>24</v>
      </c>
      <c r="F134" t="s">
        <v>27</v>
      </c>
      <c r="G134">
        <v>35</v>
      </c>
      <c r="H134" s="3">
        <v>46157</v>
      </c>
    </row>
    <row r="135" spans="1:8" ht="15" x14ac:dyDescent="0.2">
      <c r="A135">
        <v>1396</v>
      </c>
      <c r="B135" t="s">
        <v>238</v>
      </c>
      <c r="C135" t="s">
        <v>59</v>
      </c>
      <c r="D135" t="s">
        <v>23</v>
      </c>
      <c r="E135" t="s">
        <v>24</v>
      </c>
      <c r="F135" t="s">
        <v>25</v>
      </c>
      <c r="H135" s="3">
        <v>46157</v>
      </c>
    </row>
    <row r="136" spans="1:8" ht="15" x14ac:dyDescent="0.2">
      <c r="A136">
        <v>1397</v>
      </c>
      <c r="B136" t="s">
        <v>238</v>
      </c>
      <c r="C136" t="s">
        <v>239</v>
      </c>
      <c r="D136" t="s">
        <v>23</v>
      </c>
      <c r="E136" t="s">
        <v>30</v>
      </c>
      <c r="F136" t="s">
        <v>25</v>
      </c>
      <c r="H136" s="3">
        <v>46157</v>
      </c>
    </row>
    <row r="137" spans="1:8" ht="15" x14ac:dyDescent="0.2">
      <c r="A137">
        <v>1398</v>
      </c>
      <c r="B137" t="s">
        <v>238</v>
      </c>
      <c r="C137" t="s">
        <v>49</v>
      </c>
      <c r="D137" t="s">
        <v>23</v>
      </c>
      <c r="E137" t="s">
        <v>24</v>
      </c>
      <c r="F137" t="s">
        <v>35</v>
      </c>
      <c r="H137" s="3">
        <v>46157</v>
      </c>
    </row>
    <row r="138" spans="1:8" ht="15" x14ac:dyDescent="0.2">
      <c r="A138">
        <v>1399</v>
      </c>
      <c r="B138" t="s">
        <v>238</v>
      </c>
      <c r="C138" t="s">
        <v>131</v>
      </c>
      <c r="D138" t="s">
        <v>23</v>
      </c>
      <c r="E138" t="s">
        <v>30</v>
      </c>
      <c r="F138" t="s">
        <v>35</v>
      </c>
      <c r="H138" s="3">
        <v>46157</v>
      </c>
    </row>
    <row r="139" spans="1:8" ht="15" x14ac:dyDescent="0.2">
      <c r="A139">
        <v>771</v>
      </c>
      <c r="B139" t="s">
        <v>240</v>
      </c>
      <c r="C139" t="s">
        <v>241</v>
      </c>
      <c r="D139" t="s">
        <v>23</v>
      </c>
      <c r="E139" t="s">
        <v>24</v>
      </c>
      <c r="F139" t="s">
        <v>27</v>
      </c>
      <c r="G139">
        <v>14</v>
      </c>
      <c r="H139" s="3">
        <v>46157</v>
      </c>
    </row>
    <row r="140" spans="1:8" ht="15" x14ac:dyDescent="0.2">
      <c r="A140">
        <v>1265</v>
      </c>
      <c r="B140" t="s">
        <v>242</v>
      </c>
      <c r="C140" t="s">
        <v>243</v>
      </c>
      <c r="D140" t="s">
        <v>23</v>
      </c>
      <c r="E140" t="s">
        <v>24</v>
      </c>
      <c r="F140" t="s">
        <v>27</v>
      </c>
      <c r="G140">
        <v>20</v>
      </c>
      <c r="H140" s="3">
        <v>46157</v>
      </c>
    </row>
    <row r="141" spans="1:8" ht="15" x14ac:dyDescent="0.2">
      <c r="A141">
        <v>532</v>
      </c>
      <c r="B141" t="s">
        <v>244</v>
      </c>
      <c r="C141" t="s">
        <v>243</v>
      </c>
      <c r="D141" t="s">
        <v>23</v>
      </c>
      <c r="E141" t="s">
        <v>24</v>
      </c>
      <c r="F141" t="s">
        <v>27</v>
      </c>
      <c r="G141">
        <v>13</v>
      </c>
      <c r="H141" s="3">
        <v>46157</v>
      </c>
    </row>
    <row r="142" spans="1:8" ht="15" x14ac:dyDescent="0.2">
      <c r="A142">
        <v>742</v>
      </c>
      <c r="B142" t="s">
        <v>246</v>
      </c>
      <c r="C142" t="s">
        <v>156</v>
      </c>
      <c r="D142" t="s">
        <v>23</v>
      </c>
      <c r="E142" t="s">
        <v>30</v>
      </c>
      <c r="F142" t="s">
        <v>27</v>
      </c>
      <c r="G142">
        <v>2</v>
      </c>
      <c r="H142" s="3">
        <v>46157</v>
      </c>
    </row>
    <row r="143" spans="1:8" ht="15" x14ac:dyDescent="0.2">
      <c r="A143">
        <v>741</v>
      </c>
      <c r="B143" t="s">
        <v>246</v>
      </c>
      <c r="C143" t="s">
        <v>247</v>
      </c>
      <c r="D143" t="s">
        <v>23</v>
      </c>
      <c r="E143" t="s">
        <v>24</v>
      </c>
      <c r="F143" t="s">
        <v>27</v>
      </c>
      <c r="G143">
        <v>4</v>
      </c>
      <c r="H143" s="3">
        <v>46157</v>
      </c>
    </row>
    <row r="144" spans="1:8" ht="15" x14ac:dyDescent="0.2">
      <c r="A144">
        <v>1298</v>
      </c>
      <c r="B144" t="s">
        <v>246</v>
      </c>
      <c r="C144" t="s">
        <v>132</v>
      </c>
      <c r="D144" t="s">
        <v>23</v>
      </c>
      <c r="E144" t="s">
        <v>30</v>
      </c>
      <c r="F144" t="s">
        <v>27</v>
      </c>
      <c r="G144">
        <v>13</v>
      </c>
      <c r="H144" s="3">
        <v>46157</v>
      </c>
    </row>
    <row r="145" spans="1:8" ht="15" x14ac:dyDescent="0.2">
      <c r="A145">
        <v>747</v>
      </c>
      <c r="B145" t="s">
        <v>246</v>
      </c>
      <c r="C145" t="s">
        <v>22</v>
      </c>
      <c r="D145" t="s">
        <v>23</v>
      </c>
      <c r="E145" t="s">
        <v>24</v>
      </c>
      <c r="F145" t="s">
        <v>27</v>
      </c>
      <c r="G145">
        <v>1</v>
      </c>
      <c r="H145" s="3">
        <v>46157</v>
      </c>
    </row>
    <row r="146" spans="1:8" ht="15" x14ac:dyDescent="0.2">
      <c r="A146">
        <v>1386</v>
      </c>
      <c r="B146" t="s">
        <v>246</v>
      </c>
      <c r="C146" t="s">
        <v>248</v>
      </c>
      <c r="D146" t="s">
        <v>23</v>
      </c>
      <c r="E146" t="s">
        <v>30</v>
      </c>
      <c r="F146" t="s">
        <v>35</v>
      </c>
      <c r="H146" s="3">
        <v>46157</v>
      </c>
    </row>
    <row r="147" spans="1:8" ht="15" x14ac:dyDescent="0.2">
      <c r="A147">
        <v>1221</v>
      </c>
      <c r="B147" t="s">
        <v>249</v>
      </c>
      <c r="C147" t="s">
        <v>234</v>
      </c>
      <c r="D147" t="s">
        <v>23</v>
      </c>
      <c r="E147" t="s">
        <v>24</v>
      </c>
      <c r="F147" t="s">
        <v>25</v>
      </c>
      <c r="H147" s="3">
        <v>46157</v>
      </c>
    </row>
    <row r="148" spans="1:8" ht="15" x14ac:dyDescent="0.2">
      <c r="A148">
        <v>564</v>
      </c>
      <c r="B148" t="s">
        <v>250</v>
      </c>
      <c r="C148" t="s">
        <v>34</v>
      </c>
      <c r="D148" t="s">
        <v>23</v>
      </c>
      <c r="E148" t="s">
        <v>24</v>
      </c>
      <c r="F148" t="s">
        <v>27</v>
      </c>
      <c r="G148">
        <v>7</v>
      </c>
      <c r="H148" s="3">
        <v>46157</v>
      </c>
    </row>
    <row r="149" spans="1:8" ht="15" x14ac:dyDescent="0.2">
      <c r="A149">
        <v>1165</v>
      </c>
      <c r="B149" t="s">
        <v>251</v>
      </c>
      <c r="C149" t="s">
        <v>177</v>
      </c>
      <c r="D149" t="s">
        <v>23</v>
      </c>
      <c r="E149" t="s">
        <v>24</v>
      </c>
      <c r="F149" t="s">
        <v>27</v>
      </c>
      <c r="G149">
        <v>10</v>
      </c>
      <c r="H149" s="3">
        <v>46157</v>
      </c>
    </row>
    <row r="150" spans="1:8" ht="15" x14ac:dyDescent="0.2">
      <c r="A150">
        <v>405</v>
      </c>
      <c r="B150" t="s">
        <v>252</v>
      </c>
      <c r="C150" t="s">
        <v>243</v>
      </c>
      <c r="D150" t="s">
        <v>23</v>
      </c>
      <c r="E150" t="s">
        <v>24</v>
      </c>
      <c r="F150" t="s">
        <v>27</v>
      </c>
      <c r="G150">
        <v>18</v>
      </c>
      <c r="H150" s="3">
        <v>46157</v>
      </c>
    </row>
    <row r="151" spans="1:8" ht="15" x14ac:dyDescent="0.2">
      <c r="A151">
        <v>1346</v>
      </c>
      <c r="B151" t="s">
        <v>253</v>
      </c>
      <c r="C151" t="s">
        <v>254</v>
      </c>
      <c r="D151" t="s">
        <v>23</v>
      </c>
      <c r="E151" t="s">
        <v>24</v>
      </c>
      <c r="F151" t="s">
        <v>27</v>
      </c>
      <c r="G151">
        <v>20</v>
      </c>
      <c r="H151" s="3">
        <v>46157</v>
      </c>
    </row>
    <row r="152" spans="1:8" ht="15" x14ac:dyDescent="0.2">
      <c r="A152">
        <v>1192</v>
      </c>
      <c r="B152" t="s">
        <v>255</v>
      </c>
      <c r="C152" t="s">
        <v>256</v>
      </c>
      <c r="D152" t="s">
        <v>23</v>
      </c>
      <c r="E152" t="s">
        <v>24</v>
      </c>
      <c r="F152" t="s">
        <v>27</v>
      </c>
      <c r="G152">
        <v>10</v>
      </c>
      <c r="H152" s="3">
        <v>46157</v>
      </c>
    </row>
    <row r="153" spans="1:8" ht="15" x14ac:dyDescent="0.2">
      <c r="A153">
        <v>1157</v>
      </c>
      <c r="B153" t="s">
        <v>257</v>
      </c>
      <c r="C153" t="s">
        <v>100</v>
      </c>
      <c r="D153" t="s">
        <v>23</v>
      </c>
      <c r="E153" t="s">
        <v>24</v>
      </c>
      <c r="F153" t="s">
        <v>25</v>
      </c>
      <c r="H153" s="3">
        <v>46157</v>
      </c>
    </row>
    <row r="154" spans="1:8" ht="15" x14ac:dyDescent="0.2">
      <c r="A154">
        <v>1359</v>
      </c>
      <c r="B154" t="s">
        <v>258</v>
      </c>
      <c r="C154" t="s">
        <v>49</v>
      </c>
      <c r="D154" t="s">
        <v>23</v>
      </c>
      <c r="E154" t="s">
        <v>24</v>
      </c>
      <c r="F154" t="s">
        <v>188</v>
      </c>
      <c r="H154" s="3">
        <v>46157</v>
      </c>
    </row>
    <row r="155" spans="1:8" ht="15" x14ac:dyDescent="0.2">
      <c r="A155">
        <v>1360</v>
      </c>
      <c r="B155" t="s">
        <v>258</v>
      </c>
      <c r="C155" t="s">
        <v>259</v>
      </c>
      <c r="D155" t="s">
        <v>23</v>
      </c>
      <c r="E155" t="s">
        <v>30</v>
      </c>
      <c r="F155" t="s">
        <v>35</v>
      </c>
      <c r="H155" s="3">
        <v>46157</v>
      </c>
    </row>
    <row r="156" spans="1:8" ht="15" x14ac:dyDescent="0.2">
      <c r="A156">
        <v>1357</v>
      </c>
      <c r="B156" t="s">
        <v>258</v>
      </c>
      <c r="C156" t="s">
        <v>34</v>
      </c>
      <c r="D156" t="s">
        <v>23</v>
      </c>
      <c r="E156" t="s">
        <v>24</v>
      </c>
      <c r="F156" t="s">
        <v>27</v>
      </c>
      <c r="G156">
        <v>5</v>
      </c>
      <c r="H156" s="3">
        <v>46157</v>
      </c>
    </row>
    <row r="157" spans="1:8" ht="15" x14ac:dyDescent="0.2">
      <c r="A157">
        <v>1358</v>
      </c>
      <c r="B157" t="s">
        <v>258</v>
      </c>
      <c r="C157" t="s">
        <v>260</v>
      </c>
      <c r="D157" t="s">
        <v>23</v>
      </c>
      <c r="E157" t="s">
        <v>30</v>
      </c>
      <c r="F157" t="s">
        <v>27</v>
      </c>
      <c r="G157">
        <v>7</v>
      </c>
      <c r="H157" s="3">
        <v>46157</v>
      </c>
    </row>
    <row r="158" spans="1:8" ht="15" x14ac:dyDescent="0.2">
      <c r="A158">
        <v>1390</v>
      </c>
      <c r="B158" t="s">
        <v>261</v>
      </c>
      <c r="C158" t="s">
        <v>262</v>
      </c>
      <c r="D158" t="s">
        <v>23</v>
      </c>
      <c r="E158" t="s">
        <v>24</v>
      </c>
      <c r="F158" t="s">
        <v>25</v>
      </c>
      <c r="H158" s="3">
        <v>46157</v>
      </c>
    </row>
    <row r="159" spans="1:8" ht="15" x14ac:dyDescent="0.2">
      <c r="A159">
        <v>1107</v>
      </c>
      <c r="B159" t="s">
        <v>263</v>
      </c>
      <c r="C159" t="s">
        <v>264</v>
      </c>
      <c r="D159" t="s">
        <v>23</v>
      </c>
      <c r="E159" t="s">
        <v>30</v>
      </c>
      <c r="F159" t="s">
        <v>25</v>
      </c>
      <c r="H159" s="3">
        <v>46157</v>
      </c>
    </row>
    <row r="160" spans="1:8" ht="15" x14ac:dyDescent="0.2">
      <c r="A160">
        <v>35</v>
      </c>
      <c r="B160" t="s">
        <v>265</v>
      </c>
      <c r="C160" t="s">
        <v>266</v>
      </c>
      <c r="D160" t="s">
        <v>23</v>
      </c>
      <c r="E160" t="s">
        <v>24</v>
      </c>
      <c r="F160" t="s">
        <v>27</v>
      </c>
      <c r="G160">
        <v>3</v>
      </c>
      <c r="H160" s="3">
        <v>46157</v>
      </c>
    </row>
    <row r="161" spans="1:8" ht="15" x14ac:dyDescent="0.2">
      <c r="A161">
        <v>1094</v>
      </c>
      <c r="B161" t="s">
        <v>267</v>
      </c>
      <c r="C161" t="s">
        <v>268</v>
      </c>
      <c r="D161" t="s">
        <v>23</v>
      </c>
      <c r="E161" t="s">
        <v>24</v>
      </c>
      <c r="F161" t="s">
        <v>27</v>
      </c>
      <c r="G161">
        <v>12</v>
      </c>
      <c r="H161" s="3">
        <v>46157</v>
      </c>
    </row>
    <row r="162" spans="1:8" ht="15" x14ac:dyDescent="0.2">
      <c r="A162">
        <v>1325</v>
      </c>
      <c r="B162" t="s">
        <v>269</v>
      </c>
      <c r="C162" t="s">
        <v>270</v>
      </c>
      <c r="D162" t="s">
        <v>23</v>
      </c>
      <c r="E162" t="s">
        <v>24</v>
      </c>
      <c r="F162" t="s">
        <v>27</v>
      </c>
      <c r="G162">
        <v>3</v>
      </c>
      <c r="H162" s="3">
        <v>46157</v>
      </c>
    </row>
    <row r="163" spans="1:8" ht="15" x14ac:dyDescent="0.2">
      <c r="A163">
        <v>1143</v>
      </c>
      <c r="B163" t="s">
        <v>271</v>
      </c>
      <c r="C163" t="s">
        <v>247</v>
      </c>
      <c r="D163" t="s">
        <v>23</v>
      </c>
      <c r="E163" t="s">
        <v>24</v>
      </c>
      <c r="F163" t="s">
        <v>27</v>
      </c>
      <c r="G163">
        <v>3</v>
      </c>
      <c r="H163" s="3">
        <v>46157</v>
      </c>
    </row>
    <row r="164" spans="1:8" ht="15" x14ac:dyDescent="0.2">
      <c r="A164">
        <v>1401</v>
      </c>
      <c r="B164" t="s">
        <v>272</v>
      </c>
      <c r="C164" t="s">
        <v>273</v>
      </c>
      <c r="D164" t="s">
        <v>23</v>
      </c>
      <c r="E164" t="s">
        <v>30</v>
      </c>
      <c r="F164" t="s">
        <v>25</v>
      </c>
      <c r="H164" s="3">
        <v>46157</v>
      </c>
    </row>
    <row r="165" spans="1:8" ht="15" x14ac:dyDescent="0.2">
      <c r="A165">
        <v>1285</v>
      </c>
      <c r="B165" t="s">
        <v>274</v>
      </c>
      <c r="C165" t="s">
        <v>100</v>
      </c>
      <c r="D165" t="s">
        <v>23</v>
      </c>
      <c r="E165" t="s">
        <v>24</v>
      </c>
      <c r="F165" t="s">
        <v>25</v>
      </c>
      <c r="H165" s="3">
        <v>46157</v>
      </c>
    </row>
    <row r="166" spans="1:8" ht="15" x14ac:dyDescent="0.2">
      <c r="A166">
        <v>38</v>
      </c>
      <c r="B166" t="s">
        <v>275</v>
      </c>
      <c r="C166" t="s">
        <v>276</v>
      </c>
      <c r="D166" t="s">
        <v>23</v>
      </c>
      <c r="E166" t="s">
        <v>24</v>
      </c>
      <c r="F166" t="s">
        <v>27</v>
      </c>
      <c r="G166">
        <v>13</v>
      </c>
      <c r="H166" s="3">
        <v>46157</v>
      </c>
    </row>
    <row r="167" spans="1:8" ht="15" x14ac:dyDescent="0.2">
      <c r="A167">
        <v>245</v>
      </c>
      <c r="B167" t="s">
        <v>277</v>
      </c>
      <c r="C167" t="s">
        <v>234</v>
      </c>
      <c r="D167" t="s">
        <v>23</v>
      </c>
      <c r="E167" t="s">
        <v>24</v>
      </c>
      <c r="F167" t="s">
        <v>27</v>
      </c>
      <c r="G167">
        <v>10</v>
      </c>
      <c r="H167" s="3">
        <v>46157</v>
      </c>
    </row>
    <row r="168" spans="1:8" ht="15" x14ac:dyDescent="0.2">
      <c r="A168">
        <v>39</v>
      </c>
      <c r="B168" t="s">
        <v>277</v>
      </c>
      <c r="C168" t="s">
        <v>278</v>
      </c>
      <c r="D168" t="s">
        <v>23</v>
      </c>
      <c r="E168" t="s">
        <v>24</v>
      </c>
      <c r="F168" t="s">
        <v>27</v>
      </c>
      <c r="G168">
        <v>43</v>
      </c>
      <c r="H168" s="3">
        <v>46157</v>
      </c>
    </row>
    <row r="169" spans="1:8" ht="15" x14ac:dyDescent="0.2">
      <c r="A169">
        <v>508</v>
      </c>
      <c r="B169" t="s">
        <v>279</v>
      </c>
      <c r="C169" t="s">
        <v>59</v>
      </c>
      <c r="D169" t="s">
        <v>23</v>
      </c>
      <c r="E169" t="s">
        <v>24</v>
      </c>
      <c r="F169" t="s">
        <v>27</v>
      </c>
      <c r="G169">
        <v>31</v>
      </c>
      <c r="H169" s="3">
        <v>46157</v>
      </c>
    </row>
    <row r="170" spans="1:8" ht="15" x14ac:dyDescent="0.2">
      <c r="A170">
        <v>1025</v>
      </c>
      <c r="B170" t="s">
        <v>280</v>
      </c>
      <c r="C170" t="s">
        <v>281</v>
      </c>
      <c r="D170" t="s">
        <v>23</v>
      </c>
      <c r="E170" t="s">
        <v>24</v>
      </c>
      <c r="F170" t="s">
        <v>35</v>
      </c>
      <c r="H170" s="3">
        <v>46157</v>
      </c>
    </row>
    <row r="171" spans="1:8" ht="15" x14ac:dyDescent="0.2">
      <c r="A171">
        <v>1024</v>
      </c>
      <c r="B171" t="s">
        <v>280</v>
      </c>
      <c r="C171" t="s">
        <v>282</v>
      </c>
      <c r="D171" t="s">
        <v>23</v>
      </c>
      <c r="E171" t="s">
        <v>24</v>
      </c>
      <c r="F171" t="s">
        <v>188</v>
      </c>
      <c r="H171" s="3">
        <v>46157</v>
      </c>
    </row>
    <row r="172" spans="1:8" ht="15" x14ac:dyDescent="0.2">
      <c r="A172">
        <v>1023</v>
      </c>
      <c r="B172" t="s">
        <v>280</v>
      </c>
      <c r="C172" t="s">
        <v>39</v>
      </c>
      <c r="D172" t="s">
        <v>23</v>
      </c>
      <c r="E172" t="s">
        <v>24</v>
      </c>
      <c r="F172" t="s">
        <v>25</v>
      </c>
      <c r="H172" s="3">
        <v>46157</v>
      </c>
    </row>
    <row r="173" spans="1:8" ht="15" x14ac:dyDescent="0.2">
      <c r="A173">
        <v>1232</v>
      </c>
      <c r="B173" t="s">
        <v>280</v>
      </c>
      <c r="C173" t="s">
        <v>283</v>
      </c>
      <c r="D173" t="s">
        <v>23</v>
      </c>
      <c r="E173" t="s">
        <v>30</v>
      </c>
      <c r="F173" t="s">
        <v>27</v>
      </c>
      <c r="G173">
        <v>4</v>
      </c>
      <c r="H173" s="3">
        <v>46157</v>
      </c>
    </row>
    <row r="174" spans="1:8" ht="15" x14ac:dyDescent="0.2">
      <c r="A174">
        <v>1392</v>
      </c>
      <c r="B174" t="s">
        <v>284</v>
      </c>
      <c r="C174" t="s">
        <v>285</v>
      </c>
      <c r="D174" t="s">
        <v>23</v>
      </c>
      <c r="E174" t="s">
        <v>30</v>
      </c>
      <c r="F174" t="s">
        <v>25</v>
      </c>
      <c r="H174" s="3">
        <v>46157</v>
      </c>
    </row>
    <row r="175" spans="1:8" ht="15" x14ac:dyDescent="0.2">
      <c r="A175">
        <v>1141</v>
      </c>
      <c r="B175" t="s">
        <v>286</v>
      </c>
      <c r="C175" t="s">
        <v>287</v>
      </c>
      <c r="D175" t="s">
        <v>23</v>
      </c>
      <c r="E175" t="s">
        <v>30</v>
      </c>
      <c r="F175" t="s">
        <v>27</v>
      </c>
      <c r="G175">
        <v>15</v>
      </c>
      <c r="H175" s="3">
        <v>46157</v>
      </c>
    </row>
    <row r="176" spans="1:8" ht="15" x14ac:dyDescent="0.2">
      <c r="A176">
        <v>891</v>
      </c>
      <c r="B176" t="s">
        <v>288</v>
      </c>
      <c r="C176" t="s">
        <v>289</v>
      </c>
      <c r="D176" t="s">
        <v>23</v>
      </c>
      <c r="E176" t="s">
        <v>30</v>
      </c>
      <c r="F176" t="s">
        <v>25</v>
      </c>
      <c r="H176" s="3">
        <v>46157</v>
      </c>
    </row>
    <row r="177" spans="1:8" ht="15" x14ac:dyDescent="0.2">
      <c r="A177">
        <v>1352</v>
      </c>
      <c r="B177" t="s">
        <v>290</v>
      </c>
      <c r="C177" t="s">
        <v>34</v>
      </c>
      <c r="D177" t="s">
        <v>23</v>
      </c>
      <c r="E177" t="s">
        <v>24</v>
      </c>
      <c r="F177" t="s">
        <v>27</v>
      </c>
      <c r="G177">
        <v>11</v>
      </c>
      <c r="H177" s="3">
        <v>46157</v>
      </c>
    </row>
    <row r="178" spans="1:8" ht="15" x14ac:dyDescent="0.2">
      <c r="A178">
        <v>1339</v>
      </c>
      <c r="B178" t="s">
        <v>291</v>
      </c>
      <c r="C178" t="s">
        <v>292</v>
      </c>
      <c r="D178" t="s">
        <v>23</v>
      </c>
      <c r="E178" t="s">
        <v>24</v>
      </c>
      <c r="F178" t="s">
        <v>25</v>
      </c>
      <c r="H178" s="3">
        <v>46157</v>
      </c>
    </row>
    <row r="179" spans="1:8" ht="15" x14ac:dyDescent="0.2">
      <c r="A179">
        <v>914</v>
      </c>
      <c r="B179" t="s">
        <v>293</v>
      </c>
      <c r="C179" t="s">
        <v>153</v>
      </c>
      <c r="D179" t="s">
        <v>23</v>
      </c>
      <c r="E179" t="s">
        <v>24</v>
      </c>
      <c r="F179" t="s">
        <v>27</v>
      </c>
      <c r="G179">
        <v>14</v>
      </c>
      <c r="H179" s="3">
        <v>46157</v>
      </c>
    </row>
    <row r="180" spans="1:8" ht="15" x14ac:dyDescent="0.2">
      <c r="A180">
        <v>597</v>
      </c>
      <c r="B180" t="s">
        <v>294</v>
      </c>
      <c r="C180" t="s">
        <v>295</v>
      </c>
      <c r="D180" t="s">
        <v>23</v>
      </c>
      <c r="E180" t="s">
        <v>24</v>
      </c>
      <c r="F180" t="s">
        <v>27</v>
      </c>
      <c r="G180">
        <v>36</v>
      </c>
      <c r="H180" s="3">
        <v>46157</v>
      </c>
    </row>
    <row r="181" spans="1:8" ht="15" x14ac:dyDescent="0.2">
      <c r="A181">
        <v>1038</v>
      </c>
      <c r="B181" t="s">
        <v>293</v>
      </c>
      <c r="C181" t="s">
        <v>51</v>
      </c>
      <c r="D181" t="s">
        <v>23</v>
      </c>
      <c r="E181" t="s">
        <v>24</v>
      </c>
      <c r="F181" t="s">
        <v>27</v>
      </c>
      <c r="G181">
        <v>12</v>
      </c>
      <c r="H181" s="3">
        <v>46157</v>
      </c>
    </row>
    <row r="182" spans="1:8" ht="15" x14ac:dyDescent="0.2">
      <c r="A182">
        <v>1347</v>
      </c>
      <c r="B182" t="s">
        <v>296</v>
      </c>
      <c r="C182" t="s">
        <v>104</v>
      </c>
      <c r="D182" t="s">
        <v>23</v>
      </c>
      <c r="E182" t="s">
        <v>24</v>
      </c>
      <c r="F182" t="s">
        <v>25</v>
      </c>
      <c r="H182" s="3">
        <v>46157</v>
      </c>
    </row>
    <row r="183" spans="1:8" ht="15" x14ac:dyDescent="0.2">
      <c r="A183">
        <v>1242</v>
      </c>
      <c r="B183" t="s">
        <v>297</v>
      </c>
      <c r="C183" t="s">
        <v>190</v>
      </c>
      <c r="D183" t="s">
        <v>23</v>
      </c>
      <c r="E183" t="s">
        <v>24</v>
      </c>
      <c r="F183" t="s">
        <v>27</v>
      </c>
      <c r="G183">
        <v>15</v>
      </c>
      <c r="H183" s="3">
        <v>46157</v>
      </c>
    </row>
    <row r="184" spans="1:8" ht="15" x14ac:dyDescent="0.2">
      <c r="A184">
        <v>1048</v>
      </c>
      <c r="B184" t="s">
        <v>298</v>
      </c>
      <c r="C184" t="s">
        <v>268</v>
      </c>
      <c r="D184" t="s">
        <v>23</v>
      </c>
      <c r="E184" t="s">
        <v>24</v>
      </c>
      <c r="F184" t="s">
        <v>27</v>
      </c>
      <c r="G184">
        <v>16</v>
      </c>
      <c r="H184" s="3">
        <v>46157</v>
      </c>
    </row>
    <row r="185" spans="1:8" ht="15" x14ac:dyDescent="0.2">
      <c r="A185">
        <v>1055</v>
      </c>
      <c r="B185" t="s">
        <v>298</v>
      </c>
      <c r="C185" t="s">
        <v>299</v>
      </c>
      <c r="D185" t="s">
        <v>23</v>
      </c>
      <c r="E185" t="s">
        <v>24</v>
      </c>
      <c r="F185" t="s">
        <v>27</v>
      </c>
      <c r="G185">
        <v>1</v>
      </c>
      <c r="H185" s="3">
        <v>46157</v>
      </c>
    </row>
    <row r="186" spans="1:8" ht="15" x14ac:dyDescent="0.2">
      <c r="A186">
        <v>1095</v>
      </c>
      <c r="B186" t="s">
        <v>298</v>
      </c>
      <c r="C186" t="s">
        <v>300</v>
      </c>
      <c r="D186" t="s">
        <v>23</v>
      </c>
      <c r="E186" t="s">
        <v>24</v>
      </c>
      <c r="F186" t="s">
        <v>27</v>
      </c>
      <c r="G186">
        <v>33</v>
      </c>
      <c r="H186" s="3">
        <v>46157</v>
      </c>
    </row>
    <row r="187" spans="1:8" ht="15" x14ac:dyDescent="0.2">
      <c r="A187">
        <v>820</v>
      </c>
      <c r="B187" t="s">
        <v>298</v>
      </c>
      <c r="C187" t="s">
        <v>139</v>
      </c>
      <c r="D187" t="s">
        <v>23</v>
      </c>
      <c r="E187" t="s">
        <v>30</v>
      </c>
      <c r="F187" t="s">
        <v>27</v>
      </c>
      <c r="G187">
        <v>6</v>
      </c>
      <c r="H187" s="3">
        <v>46157</v>
      </c>
    </row>
    <row r="188" spans="1:8" ht="15" x14ac:dyDescent="0.2">
      <c r="A188">
        <v>687</v>
      </c>
      <c r="B188" t="s">
        <v>298</v>
      </c>
      <c r="C188" t="s">
        <v>301</v>
      </c>
      <c r="D188" t="s">
        <v>23</v>
      </c>
      <c r="E188" t="s">
        <v>24</v>
      </c>
      <c r="F188" t="s">
        <v>27</v>
      </c>
      <c r="G188">
        <v>7</v>
      </c>
      <c r="H188" s="3">
        <v>46157</v>
      </c>
    </row>
    <row r="189" spans="1:8" ht="15" x14ac:dyDescent="0.2">
      <c r="A189">
        <v>1420</v>
      </c>
      <c r="B189" t="s">
        <v>302</v>
      </c>
      <c r="C189" t="s">
        <v>212</v>
      </c>
      <c r="D189" t="s">
        <v>23</v>
      </c>
      <c r="E189" t="s">
        <v>30</v>
      </c>
      <c r="F189" t="s">
        <v>27</v>
      </c>
      <c r="G189">
        <v>15</v>
      </c>
      <c r="H189" s="3">
        <v>46157</v>
      </c>
    </row>
    <row r="190" spans="1:8" ht="15" x14ac:dyDescent="0.2">
      <c r="A190">
        <v>1410</v>
      </c>
      <c r="B190" t="s">
        <v>104</v>
      </c>
      <c r="C190" t="s">
        <v>303</v>
      </c>
      <c r="D190" t="s">
        <v>23</v>
      </c>
      <c r="E190" t="s">
        <v>24</v>
      </c>
      <c r="F190" t="s">
        <v>25</v>
      </c>
      <c r="H190" s="3">
        <v>46157</v>
      </c>
    </row>
    <row r="191" spans="1:8" ht="15" x14ac:dyDescent="0.2">
      <c r="A191">
        <v>1161</v>
      </c>
      <c r="B191" t="s">
        <v>304</v>
      </c>
      <c r="C191" t="s">
        <v>305</v>
      </c>
      <c r="D191" t="s">
        <v>23</v>
      </c>
      <c r="E191" t="s">
        <v>24</v>
      </c>
      <c r="F191" t="s">
        <v>25</v>
      </c>
      <c r="H191" s="3">
        <v>46157</v>
      </c>
    </row>
    <row r="192" spans="1:8" ht="15" x14ac:dyDescent="0.2">
      <c r="A192">
        <v>890</v>
      </c>
      <c r="B192" t="s">
        <v>306</v>
      </c>
      <c r="C192" t="s">
        <v>307</v>
      </c>
      <c r="D192" t="s">
        <v>54</v>
      </c>
      <c r="E192" t="s">
        <v>24</v>
      </c>
      <c r="F192" t="s">
        <v>27</v>
      </c>
      <c r="G192">
        <v>23</v>
      </c>
      <c r="H192" s="3">
        <v>46157</v>
      </c>
    </row>
    <row r="193" spans="1:8" ht="15" x14ac:dyDescent="0.2">
      <c r="A193">
        <v>1166</v>
      </c>
      <c r="B193" t="s">
        <v>308</v>
      </c>
      <c r="C193" t="s">
        <v>143</v>
      </c>
      <c r="D193" t="s">
        <v>54</v>
      </c>
      <c r="E193" t="s">
        <v>24</v>
      </c>
      <c r="F193" t="s">
        <v>27</v>
      </c>
      <c r="G193">
        <v>5</v>
      </c>
      <c r="H193" s="3">
        <v>46157</v>
      </c>
    </row>
    <row r="194" spans="1:8" ht="15" x14ac:dyDescent="0.2">
      <c r="A194">
        <v>45</v>
      </c>
      <c r="B194" t="s">
        <v>309</v>
      </c>
      <c r="C194" t="s">
        <v>310</v>
      </c>
      <c r="D194" t="s">
        <v>23</v>
      </c>
      <c r="E194" t="s">
        <v>24</v>
      </c>
      <c r="F194" t="s">
        <v>27</v>
      </c>
      <c r="G194">
        <v>20</v>
      </c>
      <c r="H194" s="3">
        <v>46157</v>
      </c>
    </row>
    <row r="195" spans="1:8" ht="15" x14ac:dyDescent="0.2">
      <c r="A195">
        <v>1160</v>
      </c>
      <c r="B195" t="s">
        <v>311</v>
      </c>
      <c r="C195" t="s">
        <v>312</v>
      </c>
      <c r="D195" t="s">
        <v>23</v>
      </c>
      <c r="E195" t="s">
        <v>24</v>
      </c>
      <c r="F195" t="s">
        <v>25</v>
      </c>
      <c r="H195" s="3">
        <v>46157</v>
      </c>
    </row>
    <row r="196" spans="1:8" ht="15" x14ac:dyDescent="0.2">
      <c r="A196">
        <v>945</v>
      </c>
      <c r="B196" t="s">
        <v>313</v>
      </c>
      <c r="C196" t="s">
        <v>49</v>
      </c>
      <c r="D196" t="s">
        <v>23</v>
      </c>
      <c r="E196" t="s">
        <v>24</v>
      </c>
      <c r="F196" t="s">
        <v>25</v>
      </c>
      <c r="H196" s="3">
        <v>46157</v>
      </c>
    </row>
    <row r="197" spans="1:8" ht="15" x14ac:dyDescent="0.2">
      <c r="A197">
        <v>813</v>
      </c>
      <c r="B197" t="s">
        <v>313</v>
      </c>
      <c r="C197" t="s">
        <v>289</v>
      </c>
      <c r="D197" t="s">
        <v>23</v>
      </c>
      <c r="E197" t="s">
        <v>30</v>
      </c>
      <c r="F197" t="s">
        <v>27</v>
      </c>
      <c r="G197">
        <v>7</v>
      </c>
      <c r="H197" s="3">
        <v>46157</v>
      </c>
    </row>
    <row r="198" spans="1:8" ht="15" x14ac:dyDescent="0.2">
      <c r="A198">
        <v>812</v>
      </c>
      <c r="B198" t="s">
        <v>313</v>
      </c>
      <c r="C198" t="s">
        <v>170</v>
      </c>
      <c r="D198" t="s">
        <v>23</v>
      </c>
      <c r="E198" t="s">
        <v>24</v>
      </c>
      <c r="F198" t="s">
        <v>27</v>
      </c>
      <c r="G198">
        <v>9</v>
      </c>
      <c r="H198" s="3">
        <v>46157</v>
      </c>
    </row>
    <row r="199" spans="1:8" ht="15" x14ac:dyDescent="0.2">
      <c r="A199">
        <v>1129</v>
      </c>
      <c r="B199" t="s">
        <v>314</v>
      </c>
      <c r="C199" t="s">
        <v>315</v>
      </c>
      <c r="D199" t="s">
        <v>23</v>
      </c>
      <c r="E199" t="s">
        <v>24</v>
      </c>
      <c r="F199" t="s">
        <v>27</v>
      </c>
      <c r="G199">
        <v>12</v>
      </c>
      <c r="H199" s="3">
        <v>46157</v>
      </c>
    </row>
    <row r="200" spans="1:8" ht="15" x14ac:dyDescent="0.2">
      <c r="A200">
        <v>915</v>
      </c>
      <c r="B200" t="s">
        <v>316</v>
      </c>
      <c r="C200" t="s">
        <v>241</v>
      </c>
      <c r="D200" t="s">
        <v>23</v>
      </c>
      <c r="E200" t="s">
        <v>24</v>
      </c>
      <c r="F200" t="s">
        <v>27</v>
      </c>
      <c r="G200">
        <v>8</v>
      </c>
      <c r="H200" s="3">
        <v>46157</v>
      </c>
    </row>
    <row r="201" spans="1:8" ht="15" x14ac:dyDescent="0.2">
      <c r="A201">
        <v>1356</v>
      </c>
      <c r="B201" t="s">
        <v>317</v>
      </c>
      <c r="C201" t="s">
        <v>318</v>
      </c>
      <c r="D201" t="s">
        <v>54</v>
      </c>
      <c r="E201" t="s">
        <v>24</v>
      </c>
      <c r="F201" t="s">
        <v>27</v>
      </c>
      <c r="G201">
        <v>15</v>
      </c>
      <c r="H201" s="3">
        <v>46157</v>
      </c>
    </row>
    <row r="202" spans="1:8" ht="15" x14ac:dyDescent="0.2">
      <c r="A202">
        <v>1422</v>
      </c>
      <c r="B202" t="s">
        <v>319</v>
      </c>
      <c r="C202" t="s">
        <v>320</v>
      </c>
      <c r="D202" t="s">
        <v>54</v>
      </c>
      <c r="E202" t="s">
        <v>30</v>
      </c>
      <c r="F202" t="s">
        <v>25</v>
      </c>
      <c r="H202" s="3">
        <v>46157</v>
      </c>
    </row>
    <row r="203" spans="1:8" ht="15" x14ac:dyDescent="0.2">
      <c r="A203">
        <v>860</v>
      </c>
      <c r="B203" t="s">
        <v>321</v>
      </c>
      <c r="C203" t="s">
        <v>215</v>
      </c>
      <c r="D203" t="s">
        <v>23</v>
      </c>
      <c r="E203" t="s">
        <v>30</v>
      </c>
      <c r="F203" t="s">
        <v>25</v>
      </c>
      <c r="H203" s="3">
        <v>46157</v>
      </c>
    </row>
    <row r="204" spans="1:8" ht="15" x14ac:dyDescent="0.2">
      <c r="A204">
        <v>756</v>
      </c>
      <c r="B204" t="s">
        <v>321</v>
      </c>
      <c r="C204" t="s">
        <v>322</v>
      </c>
      <c r="D204" t="s">
        <v>23</v>
      </c>
      <c r="E204" t="s">
        <v>24</v>
      </c>
      <c r="F204" t="s">
        <v>25</v>
      </c>
      <c r="H204" s="3">
        <v>46157</v>
      </c>
    </row>
    <row r="205" spans="1:8" ht="15" x14ac:dyDescent="0.2">
      <c r="A205">
        <v>407</v>
      </c>
      <c r="B205" t="s">
        <v>321</v>
      </c>
      <c r="C205" t="s">
        <v>323</v>
      </c>
      <c r="D205" t="s">
        <v>23</v>
      </c>
      <c r="E205" t="s">
        <v>24</v>
      </c>
      <c r="F205" t="s">
        <v>27</v>
      </c>
      <c r="G205">
        <v>5</v>
      </c>
      <c r="H205" s="3">
        <v>46157</v>
      </c>
    </row>
    <row r="206" spans="1:8" ht="15" x14ac:dyDescent="0.2">
      <c r="A206">
        <v>1428</v>
      </c>
      <c r="B206" t="s">
        <v>324</v>
      </c>
      <c r="C206" t="s">
        <v>325</v>
      </c>
      <c r="D206" t="s">
        <v>23</v>
      </c>
      <c r="E206" t="s">
        <v>24</v>
      </c>
      <c r="F206" t="s">
        <v>35</v>
      </c>
      <c r="H206" s="3">
        <v>46157</v>
      </c>
    </row>
    <row r="207" spans="1:8" ht="15" x14ac:dyDescent="0.2">
      <c r="A207">
        <v>1423</v>
      </c>
      <c r="B207" t="s">
        <v>326</v>
      </c>
      <c r="C207" t="s">
        <v>83</v>
      </c>
      <c r="D207" t="s">
        <v>23</v>
      </c>
      <c r="E207" t="s">
        <v>24</v>
      </c>
      <c r="F207" t="s">
        <v>25</v>
      </c>
      <c r="H207" s="3">
        <v>46157</v>
      </c>
    </row>
    <row r="208" spans="1:8" ht="15" x14ac:dyDescent="0.2">
      <c r="A208">
        <v>1424</v>
      </c>
      <c r="B208" t="s">
        <v>326</v>
      </c>
      <c r="C208" t="s">
        <v>259</v>
      </c>
      <c r="D208" t="s">
        <v>23</v>
      </c>
      <c r="E208" t="s">
        <v>30</v>
      </c>
      <c r="F208" t="s">
        <v>25</v>
      </c>
      <c r="H208" s="3">
        <v>46157</v>
      </c>
    </row>
    <row r="209" spans="1:8" ht="15" x14ac:dyDescent="0.2">
      <c r="A209">
        <v>1425</v>
      </c>
      <c r="B209" t="s">
        <v>326</v>
      </c>
      <c r="C209" t="s">
        <v>327</v>
      </c>
      <c r="D209" t="s">
        <v>23</v>
      </c>
      <c r="E209" t="s">
        <v>24</v>
      </c>
      <c r="F209" t="s">
        <v>35</v>
      </c>
      <c r="H209" s="3">
        <v>46157</v>
      </c>
    </row>
    <row r="210" spans="1:8" ht="15" x14ac:dyDescent="0.2">
      <c r="A210">
        <v>1426</v>
      </c>
      <c r="B210" t="s">
        <v>326</v>
      </c>
      <c r="C210" t="s">
        <v>328</v>
      </c>
      <c r="D210" t="s">
        <v>23</v>
      </c>
      <c r="E210" t="s">
        <v>30</v>
      </c>
      <c r="F210" t="s">
        <v>35</v>
      </c>
      <c r="H210" s="3">
        <v>46157</v>
      </c>
    </row>
    <row r="211" spans="1:8" ht="15" x14ac:dyDescent="0.2">
      <c r="A211">
        <v>1312</v>
      </c>
      <c r="B211" t="s">
        <v>329</v>
      </c>
      <c r="C211" t="s">
        <v>287</v>
      </c>
      <c r="D211" t="s">
        <v>23</v>
      </c>
      <c r="E211" t="s">
        <v>30</v>
      </c>
      <c r="F211" t="s">
        <v>27</v>
      </c>
      <c r="G211">
        <v>35</v>
      </c>
      <c r="H211" s="3">
        <v>46157</v>
      </c>
    </row>
    <row r="212" spans="1:8" ht="15" x14ac:dyDescent="0.2">
      <c r="A212">
        <v>935</v>
      </c>
      <c r="B212" t="s">
        <v>330</v>
      </c>
      <c r="C212" t="s">
        <v>245</v>
      </c>
      <c r="D212" t="s">
        <v>23</v>
      </c>
      <c r="E212" t="s">
        <v>30</v>
      </c>
      <c r="F212" t="s">
        <v>25</v>
      </c>
      <c r="H212" s="3">
        <v>46157</v>
      </c>
    </row>
    <row r="213" spans="1:8" ht="15" x14ac:dyDescent="0.2">
      <c r="A213">
        <v>999</v>
      </c>
      <c r="B213" t="s">
        <v>330</v>
      </c>
      <c r="C213" t="s">
        <v>331</v>
      </c>
      <c r="D213" t="s">
        <v>23</v>
      </c>
      <c r="E213" t="s">
        <v>30</v>
      </c>
      <c r="F213" t="s">
        <v>25</v>
      </c>
      <c r="H213" s="3">
        <v>46157</v>
      </c>
    </row>
    <row r="214" spans="1:8" ht="15" x14ac:dyDescent="0.2">
      <c r="A214">
        <v>998</v>
      </c>
      <c r="B214" t="s">
        <v>330</v>
      </c>
      <c r="C214" t="s">
        <v>332</v>
      </c>
      <c r="D214" t="s">
        <v>23</v>
      </c>
      <c r="E214" t="s">
        <v>30</v>
      </c>
      <c r="F214" t="s">
        <v>27</v>
      </c>
      <c r="G214">
        <v>5</v>
      </c>
      <c r="H214" s="3">
        <v>46157</v>
      </c>
    </row>
    <row r="215" spans="1:8" ht="15" x14ac:dyDescent="0.2">
      <c r="A215">
        <v>616</v>
      </c>
      <c r="B215" t="s">
        <v>330</v>
      </c>
      <c r="C215" t="s">
        <v>41</v>
      </c>
      <c r="D215" t="s">
        <v>23</v>
      </c>
      <c r="E215" t="s">
        <v>24</v>
      </c>
      <c r="F215" t="s">
        <v>27</v>
      </c>
      <c r="G215">
        <v>7</v>
      </c>
      <c r="H215" s="3">
        <v>46157</v>
      </c>
    </row>
    <row r="216" spans="1:8" ht="15" x14ac:dyDescent="0.2">
      <c r="A216">
        <v>558</v>
      </c>
      <c r="B216" t="s">
        <v>333</v>
      </c>
      <c r="C216" t="s">
        <v>334</v>
      </c>
      <c r="D216" t="s">
        <v>23</v>
      </c>
      <c r="E216" t="s">
        <v>24</v>
      </c>
      <c r="F216" t="s">
        <v>27</v>
      </c>
      <c r="G216">
        <v>15</v>
      </c>
      <c r="H216" s="3">
        <v>46157</v>
      </c>
    </row>
    <row r="217" spans="1:8" ht="15" x14ac:dyDescent="0.2">
      <c r="A217">
        <v>991</v>
      </c>
      <c r="B217" t="s">
        <v>335</v>
      </c>
      <c r="C217" t="s">
        <v>184</v>
      </c>
      <c r="D217" t="s">
        <v>23</v>
      </c>
      <c r="E217" t="s">
        <v>30</v>
      </c>
      <c r="F217" t="s">
        <v>35</v>
      </c>
      <c r="H217" s="3">
        <v>46157</v>
      </c>
    </row>
    <row r="218" spans="1:8" ht="15" x14ac:dyDescent="0.2">
      <c r="A218">
        <v>359</v>
      </c>
      <c r="B218" t="s">
        <v>336</v>
      </c>
      <c r="C218" t="s">
        <v>26</v>
      </c>
      <c r="D218" t="s">
        <v>23</v>
      </c>
      <c r="E218" t="s">
        <v>24</v>
      </c>
      <c r="F218" t="s">
        <v>27</v>
      </c>
      <c r="G218">
        <v>24</v>
      </c>
      <c r="H218" s="3">
        <v>46157</v>
      </c>
    </row>
    <row r="219" spans="1:8" ht="15" x14ac:dyDescent="0.2">
      <c r="A219">
        <v>1310</v>
      </c>
      <c r="B219" t="s">
        <v>337</v>
      </c>
      <c r="C219" t="s">
        <v>311</v>
      </c>
      <c r="D219" t="s">
        <v>23</v>
      </c>
      <c r="E219" t="s">
        <v>24</v>
      </c>
      <c r="F219" t="s">
        <v>25</v>
      </c>
      <c r="H219" s="3">
        <v>46157</v>
      </c>
    </row>
    <row r="220" spans="1:8" ht="15" x14ac:dyDescent="0.2">
      <c r="A220">
        <v>1200</v>
      </c>
      <c r="B220" t="s">
        <v>338</v>
      </c>
      <c r="C220" t="s">
        <v>339</v>
      </c>
      <c r="D220" t="s">
        <v>23</v>
      </c>
      <c r="E220" t="s">
        <v>24</v>
      </c>
      <c r="F220" t="s">
        <v>27</v>
      </c>
      <c r="G220">
        <v>6</v>
      </c>
      <c r="H220" s="3">
        <v>46157</v>
      </c>
    </row>
    <row r="221" spans="1:8" ht="15" x14ac:dyDescent="0.2">
      <c r="A221">
        <v>1411</v>
      </c>
      <c r="B221" t="s">
        <v>338</v>
      </c>
      <c r="C221" t="s">
        <v>72</v>
      </c>
      <c r="D221" t="s">
        <v>23</v>
      </c>
      <c r="E221" t="s">
        <v>30</v>
      </c>
      <c r="F221" t="s">
        <v>27</v>
      </c>
      <c r="G221">
        <v>3</v>
      </c>
      <c r="H221" s="3">
        <v>46157</v>
      </c>
    </row>
    <row r="222" spans="1:8" ht="15" x14ac:dyDescent="0.2">
      <c r="A222">
        <v>1412</v>
      </c>
      <c r="B222" t="s">
        <v>338</v>
      </c>
      <c r="C222" t="s">
        <v>340</v>
      </c>
      <c r="D222" t="s">
        <v>23</v>
      </c>
      <c r="E222" t="s">
        <v>30</v>
      </c>
      <c r="F222" t="s">
        <v>188</v>
      </c>
      <c r="H222" s="3">
        <v>46157</v>
      </c>
    </row>
    <row r="223" spans="1:8" ht="15" x14ac:dyDescent="0.2">
      <c r="A223">
        <v>1413</v>
      </c>
      <c r="B223" t="s">
        <v>338</v>
      </c>
      <c r="C223" t="s">
        <v>214</v>
      </c>
      <c r="D223" t="s">
        <v>23</v>
      </c>
      <c r="E223" t="s">
        <v>24</v>
      </c>
      <c r="F223" t="s">
        <v>188</v>
      </c>
      <c r="H223" s="3">
        <v>46157</v>
      </c>
    </row>
    <row r="224" spans="1:8" ht="15" x14ac:dyDescent="0.2">
      <c r="A224">
        <v>1376</v>
      </c>
      <c r="B224" t="s">
        <v>192</v>
      </c>
      <c r="C224" t="s">
        <v>127</v>
      </c>
      <c r="D224" t="s">
        <v>23</v>
      </c>
      <c r="E224" t="s">
        <v>30</v>
      </c>
      <c r="F224" t="s">
        <v>25</v>
      </c>
      <c r="H224" s="3">
        <v>46157</v>
      </c>
    </row>
    <row r="225" spans="1:8" ht="15" x14ac:dyDescent="0.2">
      <c r="A225">
        <v>1140</v>
      </c>
      <c r="B225" t="s">
        <v>341</v>
      </c>
      <c r="C225" t="s">
        <v>243</v>
      </c>
      <c r="D225" t="s">
        <v>23</v>
      </c>
      <c r="E225" t="s">
        <v>24</v>
      </c>
      <c r="F225" t="s">
        <v>25</v>
      </c>
      <c r="H225" s="3">
        <v>46157</v>
      </c>
    </row>
    <row r="226" spans="1:8" ht="15" x14ac:dyDescent="0.2">
      <c r="A226">
        <v>989</v>
      </c>
      <c r="B226" t="s">
        <v>342</v>
      </c>
      <c r="C226" t="s">
        <v>343</v>
      </c>
      <c r="D226" t="s">
        <v>23</v>
      </c>
      <c r="E226" t="s">
        <v>24</v>
      </c>
      <c r="F226" t="s">
        <v>27</v>
      </c>
      <c r="G226">
        <v>3</v>
      </c>
      <c r="H226" s="3">
        <v>46157</v>
      </c>
    </row>
    <row r="227" spans="1:8" ht="15" x14ac:dyDescent="0.2">
      <c r="A227">
        <v>1417</v>
      </c>
      <c r="B227" t="s">
        <v>344</v>
      </c>
      <c r="C227" t="s">
        <v>345</v>
      </c>
      <c r="D227" t="s">
        <v>23</v>
      </c>
      <c r="E227" t="s">
        <v>30</v>
      </c>
      <c r="F227" t="s">
        <v>27</v>
      </c>
      <c r="G227">
        <v>17</v>
      </c>
      <c r="H227" s="3">
        <v>46157</v>
      </c>
    </row>
    <row r="228" spans="1:8" ht="15" x14ac:dyDescent="0.2">
      <c r="A228">
        <v>52</v>
      </c>
      <c r="B228" t="s">
        <v>346</v>
      </c>
      <c r="C228" t="s">
        <v>192</v>
      </c>
      <c r="D228" t="s">
        <v>23</v>
      </c>
      <c r="E228" t="s">
        <v>24</v>
      </c>
      <c r="F228" t="s">
        <v>25</v>
      </c>
      <c r="H228" s="3">
        <v>46157</v>
      </c>
    </row>
    <row r="229" spans="1:8" ht="15" x14ac:dyDescent="0.2">
      <c r="A229">
        <v>62</v>
      </c>
      <c r="B229" t="s">
        <v>344</v>
      </c>
      <c r="C229" t="s">
        <v>234</v>
      </c>
      <c r="D229" t="s">
        <v>23</v>
      </c>
      <c r="E229" t="s">
        <v>24</v>
      </c>
      <c r="F229" t="s">
        <v>27</v>
      </c>
      <c r="G229">
        <v>4</v>
      </c>
      <c r="H229" s="3">
        <v>46157</v>
      </c>
    </row>
    <row r="230" spans="1:8" ht="15" x14ac:dyDescent="0.2">
      <c r="A230">
        <v>930</v>
      </c>
      <c r="B230" t="s">
        <v>347</v>
      </c>
      <c r="C230" t="s">
        <v>348</v>
      </c>
      <c r="D230" t="s">
        <v>23</v>
      </c>
      <c r="E230" t="s">
        <v>30</v>
      </c>
      <c r="F230" t="s">
        <v>27</v>
      </c>
      <c r="G230">
        <v>6</v>
      </c>
      <c r="H230" s="3">
        <v>46157</v>
      </c>
    </row>
    <row r="231" spans="1:8" ht="15" x14ac:dyDescent="0.2">
      <c r="A231">
        <v>1254</v>
      </c>
      <c r="B231" t="s">
        <v>349</v>
      </c>
      <c r="C231" t="s">
        <v>51</v>
      </c>
      <c r="D231" t="s">
        <v>23</v>
      </c>
      <c r="E231" t="s">
        <v>24</v>
      </c>
      <c r="F231" t="s">
        <v>27</v>
      </c>
      <c r="G231">
        <v>21</v>
      </c>
      <c r="H231" s="3">
        <v>46157</v>
      </c>
    </row>
    <row r="232" spans="1:8" ht="15" x14ac:dyDescent="0.2">
      <c r="A232">
        <v>744</v>
      </c>
      <c r="B232" t="s">
        <v>350</v>
      </c>
      <c r="C232" t="s">
        <v>351</v>
      </c>
      <c r="D232" t="s">
        <v>23</v>
      </c>
      <c r="E232" t="s">
        <v>24</v>
      </c>
      <c r="F232" t="s">
        <v>27</v>
      </c>
      <c r="G232">
        <v>28</v>
      </c>
      <c r="H232" s="3">
        <v>46157</v>
      </c>
    </row>
    <row r="233" spans="1:8" ht="15" x14ac:dyDescent="0.2">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46159</v>
      </c>
    </row>
    <row r="3" spans="1:8" ht="15" x14ac:dyDescent="0.2">
      <c r="A3">
        <v>1237</v>
      </c>
      <c r="B3" t="s">
        <v>21</v>
      </c>
      <c r="C3" t="s">
        <v>26</v>
      </c>
      <c r="D3" t="s">
        <v>23</v>
      </c>
      <c r="E3" t="s">
        <v>24</v>
      </c>
      <c r="F3" t="s">
        <v>27</v>
      </c>
      <c r="G3">
        <v>1</v>
      </c>
      <c r="H3" s="3">
        <v>46159</v>
      </c>
    </row>
    <row r="4" spans="1:8" ht="15" x14ac:dyDescent="0.2">
      <c r="A4">
        <v>819</v>
      </c>
      <c r="B4" t="s">
        <v>28</v>
      </c>
      <c r="C4" t="s">
        <v>29</v>
      </c>
      <c r="D4" t="s">
        <v>23</v>
      </c>
      <c r="E4" t="s">
        <v>30</v>
      </c>
      <c r="F4" t="s">
        <v>27</v>
      </c>
      <c r="G4">
        <v>23</v>
      </c>
      <c r="H4" s="3">
        <v>46159</v>
      </c>
    </row>
    <row r="5" spans="1:8" ht="15" x14ac:dyDescent="0.2">
      <c r="A5">
        <v>2</v>
      </c>
      <c r="B5" t="s">
        <v>31</v>
      </c>
      <c r="C5" t="s">
        <v>32</v>
      </c>
      <c r="D5" t="s">
        <v>23</v>
      </c>
      <c r="E5" t="s">
        <v>24</v>
      </c>
      <c r="F5" t="s">
        <v>27</v>
      </c>
      <c r="G5">
        <v>21</v>
      </c>
      <c r="H5" s="3">
        <v>46159</v>
      </c>
    </row>
    <row r="6" spans="1:8" ht="15" x14ac:dyDescent="0.2">
      <c r="A6">
        <v>1370</v>
      </c>
      <c r="B6" t="s">
        <v>33</v>
      </c>
      <c r="C6" t="s">
        <v>34</v>
      </c>
      <c r="D6" t="s">
        <v>23</v>
      </c>
      <c r="E6" t="s">
        <v>24</v>
      </c>
      <c r="F6" t="s">
        <v>27</v>
      </c>
      <c r="G6">
        <v>4</v>
      </c>
      <c r="H6" s="3">
        <v>46159</v>
      </c>
    </row>
    <row r="7" spans="1:8" ht="15" x14ac:dyDescent="0.2">
      <c r="A7">
        <v>1415</v>
      </c>
      <c r="B7" t="s">
        <v>33</v>
      </c>
      <c r="C7" t="s">
        <v>22</v>
      </c>
      <c r="D7" t="s">
        <v>23</v>
      </c>
      <c r="E7" t="s">
        <v>24</v>
      </c>
      <c r="F7" t="s">
        <v>35</v>
      </c>
      <c r="H7" s="3">
        <v>46159</v>
      </c>
    </row>
    <row r="8" spans="1:8" ht="15" x14ac:dyDescent="0.2">
      <c r="A8">
        <v>1286</v>
      </c>
      <c r="B8" t="s">
        <v>36</v>
      </c>
      <c r="C8" t="s">
        <v>34</v>
      </c>
      <c r="D8" t="s">
        <v>23</v>
      </c>
      <c r="E8" t="s">
        <v>24</v>
      </c>
      <c r="F8" t="s">
        <v>27</v>
      </c>
      <c r="G8">
        <v>13</v>
      </c>
      <c r="H8" s="3">
        <v>46159</v>
      </c>
    </row>
    <row r="9" spans="1:8" ht="15" x14ac:dyDescent="0.2">
      <c r="A9">
        <v>1381</v>
      </c>
      <c r="B9" t="s">
        <v>36</v>
      </c>
      <c r="C9" t="s">
        <v>37</v>
      </c>
      <c r="D9" t="s">
        <v>23</v>
      </c>
      <c r="E9" t="s">
        <v>24</v>
      </c>
      <c r="F9" t="s">
        <v>25</v>
      </c>
      <c r="H9" s="3">
        <v>46159</v>
      </c>
    </row>
    <row r="10" spans="1:8" ht="15" x14ac:dyDescent="0.2">
      <c r="A10">
        <v>1112</v>
      </c>
      <c r="B10" t="s">
        <v>38</v>
      </c>
      <c r="C10" t="s">
        <v>39</v>
      </c>
      <c r="D10" t="s">
        <v>23</v>
      </c>
      <c r="E10" t="s">
        <v>24</v>
      </c>
      <c r="F10" t="s">
        <v>27</v>
      </c>
      <c r="G10">
        <v>16</v>
      </c>
      <c r="H10" s="3">
        <v>46159</v>
      </c>
    </row>
    <row r="11" spans="1:8" ht="15" x14ac:dyDescent="0.2">
      <c r="A11">
        <v>1135</v>
      </c>
      <c r="B11" t="s">
        <v>40</v>
      </c>
      <c r="C11" t="s">
        <v>41</v>
      </c>
      <c r="D11" t="s">
        <v>23</v>
      </c>
      <c r="E11" t="s">
        <v>24</v>
      </c>
      <c r="F11" t="s">
        <v>27</v>
      </c>
      <c r="G11">
        <v>1</v>
      </c>
      <c r="H11" s="3">
        <v>46159</v>
      </c>
    </row>
    <row r="12" spans="1:8" ht="15" x14ac:dyDescent="0.2">
      <c r="A12">
        <v>982</v>
      </c>
      <c r="B12" t="s">
        <v>42</v>
      </c>
      <c r="C12" t="s">
        <v>32</v>
      </c>
      <c r="D12" t="s">
        <v>23</v>
      </c>
      <c r="E12" t="s">
        <v>24</v>
      </c>
      <c r="F12" t="s">
        <v>27</v>
      </c>
      <c r="G12">
        <v>22</v>
      </c>
      <c r="H12" s="3">
        <v>46159</v>
      </c>
    </row>
    <row r="13" spans="1:8" ht="15" x14ac:dyDescent="0.2">
      <c r="A13">
        <v>1328</v>
      </c>
      <c r="B13" t="s">
        <v>43</v>
      </c>
      <c r="C13" t="s">
        <v>44</v>
      </c>
      <c r="D13" t="s">
        <v>23</v>
      </c>
      <c r="E13" t="s">
        <v>24</v>
      </c>
      <c r="F13" t="s">
        <v>27</v>
      </c>
      <c r="G13">
        <v>4</v>
      </c>
      <c r="H13" s="3">
        <v>46159</v>
      </c>
    </row>
    <row r="14" spans="1:8" ht="15" x14ac:dyDescent="0.2">
      <c r="A14">
        <v>369</v>
      </c>
      <c r="B14" t="s">
        <v>45</v>
      </c>
      <c r="C14" t="s">
        <v>46</v>
      </c>
      <c r="D14" t="s">
        <v>23</v>
      </c>
      <c r="E14" t="s">
        <v>24</v>
      </c>
      <c r="F14" t="s">
        <v>27</v>
      </c>
      <c r="G14">
        <v>8</v>
      </c>
      <c r="H14" s="3">
        <v>46159</v>
      </c>
    </row>
    <row r="15" spans="1:8" ht="15" x14ac:dyDescent="0.2">
      <c r="A15">
        <v>7</v>
      </c>
      <c r="B15" t="s">
        <v>45</v>
      </c>
      <c r="C15" t="s">
        <v>47</v>
      </c>
      <c r="D15" t="s">
        <v>48</v>
      </c>
      <c r="E15" t="s">
        <v>24</v>
      </c>
      <c r="F15" t="s">
        <v>27</v>
      </c>
      <c r="G15">
        <v>32</v>
      </c>
      <c r="H15" s="3">
        <v>46159</v>
      </c>
    </row>
    <row r="16" spans="1:8" ht="15" x14ac:dyDescent="0.2">
      <c r="A16">
        <v>473</v>
      </c>
      <c r="B16" t="s">
        <v>45</v>
      </c>
      <c r="C16" t="s">
        <v>49</v>
      </c>
      <c r="D16" t="s">
        <v>48</v>
      </c>
      <c r="E16" t="s">
        <v>24</v>
      </c>
      <c r="F16" t="s">
        <v>27</v>
      </c>
      <c r="G16">
        <v>33</v>
      </c>
      <c r="H16" s="3">
        <v>46159</v>
      </c>
    </row>
    <row r="17" spans="1:8" ht="15" x14ac:dyDescent="0.2">
      <c r="A17">
        <v>1384</v>
      </c>
      <c r="B17" t="s">
        <v>50</v>
      </c>
      <c r="C17" t="s">
        <v>51</v>
      </c>
      <c r="D17" t="s">
        <v>23</v>
      </c>
      <c r="E17" t="s">
        <v>24</v>
      </c>
      <c r="F17" t="s">
        <v>27</v>
      </c>
      <c r="G17">
        <v>30</v>
      </c>
      <c r="H17" s="3">
        <v>46159</v>
      </c>
    </row>
    <row r="18" spans="1:8" ht="15" x14ac:dyDescent="0.2">
      <c r="A18">
        <v>1348</v>
      </c>
      <c r="B18" t="s">
        <v>52</v>
      </c>
      <c r="C18" t="s">
        <v>53</v>
      </c>
      <c r="D18" t="s">
        <v>54</v>
      </c>
      <c r="E18" t="s">
        <v>30</v>
      </c>
      <c r="F18" t="s">
        <v>25</v>
      </c>
      <c r="H18" s="3">
        <v>46159</v>
      </c>
    </row>
    <row r="19" spans="1:8" ht="15" x14ac:dyDescent="0.2">
      <c r="A19">
        <v>1275</v>
      </c>
      <c r="B19" t="s">
        <v>52</v>
      </c>
      <c r="C19" t="s">
        <v>55</v>
      </c>
      <c r="D19" t="s">
        <v>23</v>
      </c>
      <c r="E19" t="s">
        <v>30</v>
      </c>
      <c r="F19" t="s">
        <v>35</v>
      </c>
      <c r="H19" s="3">
        <v>46159</v>
      </c>
    </row>
    <row r="20" spans="1:8" ht="15" x14ac:dyDescent="0.2">
      <c r="A20">
        <v>68</v>
      </c>
      <c r="B20" t="s">
        <v>56</v>
      </c>
      <c r="C20" t="s">
        <v>57</v>
      </c>
      <c r="D20" t="s">
        <v>48</v>
      </c>
      <c r="E20" t="s">
        <v>24</v>
      </c>
      <c r="F20" t="s">
        <v>27</v>
      </c>
      <c r="G20">
        <v>35</v>
      </c>
      <c r="H20" s="3">
        <v>46159</v>
      </c>
    </row>
    <row r="21" spans="1:8" ht="15" x14ac:dyDescent="0.2">
      <c r="A21">
        <v>1035</v>
      </c>
      <c r="B21" t="s">
        <v>58</v>
      </c>
      <c r="C21" t="s">
        <v>59</v>
      </c>
      <c r="D21" t="s">
        <v>23</v>
      </c>
      <c r="E21" t="s">
        <v>24</v>
      </c>
      <c r="F21" t="s">
        <v>27</v>
      </c>
      <c r="G21">
        <v>6</v>
      </c>
      <c r="H21" s="3">
        <v>46159</v>
      </c>
    </row>
    <row r="22" spans="1:8" ht="15" x14ac:dyDescent="0.2">
      <c r="A22">
        <v>1416</v>
      </c>
      <c r="B22" t="s">
        <v>60</v>
      </c>
      <c r="C22" t="s">
        <v>61</v>
      </c>
      <c r="D22" t="s">
        <v>23</v>
      </c>
      <c r="E22" t="s">
        <v>24</v>
      </c>
      <c r="F22" t="s">
        <v>25</v>
      </c>
      <c r="H22" s="3">
        <v>46159</v>
      </c>
    </row>
    <row r="23" spans="1:8" ht="15" x14ac:dyDescent="0.2">
      <c r="A23">
        <v>1326</v>
      </c>
      <c r="B23" t="s">
        <v>62</v>
      </c>
      <c r="C23" t="s">
        <v>63</v>
      </c>
      <c r="D23" t="s">
        <v>23</v>
      </c>
      <c r="E23" t="s">
        <v>30</v>
      </c>
      <c r="F23" t="s">
        <v>25</v>
      </c>
      <c r="H23" s="3">
        <v>46159</v>
      </c>
    </row>
    <row r="24" spans="1:8" ht="15" x14ac:dyDescent="0.2">
      <c r="A24">
        <v>477</v>
      </c>
      <c r="B24" t="s">
        <v>64</v>
      </c>
      <c r="C24" t="s">
        <v>65</v>
      </c>
      <c r="D24" t="s">
        <v>23</v>
      </c>
      <c r="E24" t="s">
        <v>30</v>
      </c>
      <c r="F24" t="s">
        <v>27</v>
      </c>
      <c r="G24">
        <v>34</v>
      </c>
      <c r="H24" s="3">
        <v>46159</v>
      </c>
    </row>
    <row r="25" spans="1:8" ht="15" x14ac:dyDescent="0.2">
      <c r="A25">
        <v>10</v>
      </c>
      <c r="B25" t="s">
        <v>64</v>
      </c>
      <c r="C25" t="s">
        <v>66</v>
      </c>
      <c r="D25" t="s">
        <v>48</v>
      </c>
      <c r="E25" t="s">
        <v>24</v>
      </c>
      <c r="F25" t="s">
        <v>27</v>
      </c>
      <c r="G25">
        <v>35</v>
      </c>
      <c r="H25" s="3">
        <v>46159</v>
      </c>
    </row>
    <row r="26" spans="1:8" ht="15" x14ac:dyDescent="0.2">
      <c r="A26">
        <v>1414</v>
      </c>
      <c r="B26" t="s">
        <v>67</v>
      </c>
      <c r="C26" t="s">
        <v>36</v>
      </c>
      <c r="D26" t="s">
        <v>23</v>
      </c>
      <c r="E26" t="s">
        <v>24</v>
      </c>
      <c r="F26" t="s">
        <v>27</v>
      </c>
      <c r="G26">
        <v>13</v>
      </c>
      <c r="H26" s="3">
        <v>46159</v>
      </c>
    </row>
    <row r="27" spans="1:8" ht="15" x14ac:dyDescent="0.2">
      <c r="A27">
        <v>1029</v>
      </c>
      <c r="B27" t="s">
        <v>68</v>
      </c>
      <c r="C27" t="s">
        <v>69</v>
      </c>
      <c r="D27" t="s">
        <v>23</v>
      </c>
      <c r="E27" t="s">
        <v>24</v>
      </c>
      <c r="F27" t="s">
        <v>27</v>
      </c>
      <c r="G27">
        <v>28</v>
      </c>
      <c r="H27" s="3">
        <v>46159</v>
      </c>
    </row>
    <row r="28" spans="1:8" ht="15" x14ac:dyDescent="0.2">
      <c r="A28">
        <v>13</v>
      </c>
      <c r="B28" t="s">
        <v>70</v>
      </c>
      <c r="C28" t="s">
        <v>51</v>
      </c>
      <c r="D28" t="s">
        <v>23</v>
      </c>
      <c r="E28" t="s">
        <v>24</v>
      </c>
      <c r="F28" t="s">
        <v>27</v>
      </c>
      <c r="G28">
        <v>28</v>
      </c>
      <c r="H28" s="3">
        <v>46159</v>
      </c>
    </row>
    <row r="29" spans="1:8" ht="15" x14ac:dyDescent="0.2">
      <c r="A29">
        <v>1255</v>
      </c>
      <c r="B29" t="s">
        <v>71</v>
      </c>
      <c r="C29" t="s">
        <v>72</v>
      </c>
      <c r="D29" t="s">
        <v>23</v>
      </c>
      <c r="E29" t="s">
        <v>30</v>
      </c>
      <c r="F29" t="s">
        <v>27</v>
      </c>
      <c r="G29">
        <v>13</v>
      </c>
      <c r="H29" s="3">
        <v>46159</v>
      </c>
    </row>
    <row r="30" spans="1:8" ht="15" x14ac:dyDescent="0.2">
      <c r="A30">
        <v>1405</v>
      </c>
      <c r="B30" t="s">
        <v>73</v>
      </c>
      <c r="C30" t="s">
        <v>74</v>
      </c>
      <c r="D30" t="s">
        <v>23</v>
      </c>
      <c r="E30" t="s">
        <v>30</v>
      </c>
      <c r="F30" t="s">
        <v>35</v>
      </c>
      <c r="H30" s="3">
        <v>46159</v>
      </c>
    </row>
    <row r="31" spans="1:8" ht="15" x14ac:dyDescent="0.2">
      <c r="A31">
        <v>1421</v>
      </c>
      <c r="B31" t="s">
        <v>75</v>
      </c>
      <c r="C31" t="s">
        <v>76</v>
      </c>
      <c r="D31" t="s">
        <v>23</v>
      </c>
      <c r="E31" t="s">
        <v>30</v>
      </c>
      <c r="F31" t="s">
        <v>27</v>
      </c>
      <c r="G31">
        <v>12</v>
      </c>
      <c r="H31" s="3">
        <v>46159</v>
      </c>
    </row>
    <row r="32" spans="1:8" ht="15" x14ac:dyDescent="0.2">
      <c r="A32">
        <v>1418</v>
      </c>
      <c r="B32" t="s">
        <v>75</v>
      </c>
      <c r="C32" t="s">
        <v>22</v>
      </c>
      <c r="D32" t="s">
        <v>23</v>
      </c>
      <c r="E32" t="s">
        <v>24</v>
      </c>
      <c r="F32" t="s">
        <v>25</v>
      </c>
      <c r="H32" s="3">
        <v>46159</v>
      </c>
    </row>
    <row r="33" spans="1:8" ht="15" x14ac:dyDescent="0.2">
      <c r="A33">
        <v>919</v>
      </c>
      <c r="B33" t="s">
        <v>77</v>
      </c>
      <c r="C33" t="s">
        <v>51</v>
      </c>
      <c r="D33" t="s">
        <v>23</v>
      </c>
      <c r="E33" t="s">
        <v>24</v>
      </c>
      <c r="F33" t="s">
        <v>27</v>
      </c>
      <c r="G33">
        <v>16</v>
      </c>
      <c r="H33" s="3">
        <v>46159</v>
      </c>
    </row>
    <row r="34" spans="1:8" ht="15" x14ac:dyDescent="0.2">
      <c r="A34">
        <v>1319</v>
      </c>
      <c r="B34" t="s">
        <v>78</v>
      </c>
      <c r="C34" t="s">
        <v>32</v>
      </c>
      <c r="D34" t="s">
        <v>23</v>
      </c>
      <c r="E34" t="s">
        <v>24</v>
      </c>
      <c r="F34" t="s">
        <v>27</v>
      </c>
      <c r="G34">
        <v>9</v>
      </c>
      <c r="H34" s="3">
        <v>46159</v>
      </c>
    </row>
    <row r="35" spans="1:8" ht="15" x14ac:dyDescent="0.2">
      <c r="A35">
        <v>1389</v>
      </c>
      <c r="B35" t="s">
        <v>79</v>
      </c>
      <c r="C35" t="s">
        <v>80</v>
      </c>
      <c r="D35" t="s">
        <v>23</v>
      </c>
      <c r="E35" t="s">
        <v>24</v>
      </c>
      <c r="F35" t="s">
        <v>25</v>
      </c>
      <c r="H35" s="3">
        <v>46159</v>
      </c>
    </row>
    <row r="36" spans="1:8" ht="15" x14ac:dyDescent="0.2">
      <c r="A36">
        <v>940</v>
      </c>
      <c r="B36" t="s">
        <v>81</v>
      </c>
      <c r="C36" t="s">
        <v>82</v>
      </c>
      <c r="D36" t="s">
        <v>23</v>
      </c>
      <c r="E36" t="s">
        <v>30</v>
      </c>
      <c r="F36" t="s">
        <v>27</v>
      </c>
      <c r="G36">
        <v>9</v>
      </c>
      <c r="H36" s="3">
        <v>46159</v>
      </c>
    </row>
    <row r="37" spans="1:8" ht="15" x14ac:dyDescent="0.2">
      <c r="A37">
        <v>806</v>
      </c>
      <c r="B37" t="s">
        <v>81</v>
      </c>
      <c r="C37" t="s">
        <v>83</v>
      </c>
      <c r="D37" t="s">
        <v>23</v>
      </c>
      <c r="E37" t="s">
        <v>24</v>
      </c>
      <c r="F37" t="s">
        <v>27</v>
      </c>
      <c r="G37">
        <v>11</v>
      </c>
      <c r="H37" s="3">
        <v>46159</v>
      </c>
    </row>
    <row r="38" spans="1:8" ht="15" x14ac:dyDescent="0.2">
      <c r="A38">
        <v>482</v>
      </c>
      <c r="B38" t="s">
        <v>84</v>
      </c>
      <c r="C38" t="s">
        <v>85</v>
      </c>
      <c r="D38" t="s">
        <v>23</v>
      </c>
      <c r="E38" t="s">
        <v>24</v>
      </c>
      <c r="F38" t="s">
        <v>27</v>
      </c>
      <c r="G38">
        <v>13</v>
      </c>
      <c r="H38" s="3">
        <v>46159</v>
      </c>
    </row>
    <row r="39" spans="1:8" ht="15" x14ac:dyDescent="0.2">
      <c r="A39">
        <v>674</v>
      </c>
      <c r="B39" t="s">
        <v>86</v>
      </c>
      <c r="C39" t="s">
        <v>87</v>
      </c>
      <c r="D39" t="s">
        <v>54</v>
      </c>
      <c r="E39" t="s">
        <v>30</v>
      </c>
      <c r="F39" t="s">
        <v>27</v>
      </c>
      <c r="G39">
        <v>23</v>
      </c>
      <c r="H39" s="3">
        <v>46159</v>
      </c>
    </row>
    <row r="40" spans="1:8" ht="15" x14ac:dyDescent="0.2">
      <c r="A40">
        <v>1061</v>
      </c>
      <c r="B40" t="s">
        <v>88</v>
      </c>
      <c r="C40" t="s">
        <v>89</v>
      </c>
      <c r="D40" t="s">
        <v>23</v>
      </c>
      <c r="E40" t="s">
        <v>24</v>
      </c>
      <c r="F40" t="s">
        <v>27</v>
      </c>
      <c r="G40">
        <v>19</v>
      </c>
      <c r="H40" s="3">
        <v>46159</v>
      </c>
    </row>
    <row r="41" spans="1:8" ht="15" x14ac:dyDescent="0.2">
      <c r="A41">
        <v>763</v>
      </c>
      <c r="B41" t="s">
        <v>90</v>
      </c>
      <c r="C41" t="s">
        <v>59</v>
      </c>
      <c r="D41" t="s">
        <v>23</v>
      </c>
      <c r="E41" t="s">
        <v>24</v>
      </c>
      <c r="F41" t="s">
        <v>27</v>
      </c>
      <c r="G41">
        <v>17</v>
      </c>
      <c r="H41" s="3">
        <v>46159</v>
      </c>
    </row>
    <row r="42" spans="1:8" ht="15" x14ac:dyDescent="0.2">
      <c r="A42">
        <v>1227</v>
      </c>
      <c r="B42" t="s">
        <v>91</v>
      </c>
      <c r="C42" t="s">
        <v>92</v>
      </c>
      <c r="D42" t="s">
        <v>23</v>
      </c>
      <c r="E42" t="s">
        <v>30</v>
      </c>
      <c r="F42" t="s">
        <v>27</v>
      </c>
      <c r="G42">
        <v>8</v>
      </c>
      <c r="H42" s="3">
        <v>46159</v>
      </c>
    </row>
    <row r="43" spans="1:8" ht="15" x14ac:dyDescent="0.2">
      <c r="A43">
        <v>715</v>
      </c>
      <c r="B43" t="s">
        <v>93</v>
      </c>
      <c r="C43" t="s">
        <v>94</v>
      </c>
      <c r="D43" t="s">
        <v>23</v>
      </c>
      <c r="E43" t="s">
        <v>24</v>
      </c>
      <c r="F43" t="s">
        <v>27</v>
      </c>
      <c r="G43">
        <v>5</v>
      </c>
      <c r="H43" s="3">
        <v>46159</v>
      </c>
    </row>
    <row r="44" spans="1:8" ht="15" x14ac:dyDescent="0.2">
      <c r="A44">
        <v>567</v>
      </c>
      <c r="B44" t="s">
        <v>95</v>
      </c>
      <c r="C44" t="s">
        <v>96</v>
      </c>
      <c r="D44" t="s">
        <v>23</v>
      </c>
      <c r="E44" t="s">
        <v>24</v>
      </c>
      <c r="F44" t="s">
        <v>27</v>
      </c>
      <c r="G44">
        <v>7</v>
      </c>
      <c r="H44" s="3">
        <v>46159</v>
      </c>
    </row>
    <row r="45" spans="1:8" ht="15" x14ac:dyDescent="0.2">
      <c r="A45">
        <v>1391</v>
      </c>
      <c r="B45" t="s">
        <v>97</v>
      </c>
      <c r="C45" t="s">
        <v>98</v>
      </c>
      <c r="D45" t="s">
        <v>23</v>
      </c>
      <c r="E45" t="s">
        <v>30</v>
      </c>
      <c r="F45" t="s">
        <v>25</v>
      </c>
      <c r="H45" s="3">
        <v>46159</v>
      </c>
    </row>
    <row r="46" spans="1:8" ht="15" x14ac:dyDescent="0.2">
      <c r="A46">
        <v>704</v>
      </c>
      <c r="B46" t="s">
        <v>99</v>
      </c>
      <c r="C46" t="s">
        <v>100</v>
      </c>
      <c r="D46" t="s">
        <v>23</v>
      </c>
      <c r="E46" t="s">
        <v>24</v>
      </c>
      <c r="F46" t="s">
        <v>27</v>
      </c>
      <c r="G46">
        <v>21</v>
      </c>
      <c r="H46" s="3">
        <v>46159</v>
      </c>
    </row>
    <row r="47" spans="1:8" ht="15" x14ac:dyDescent="0.2">
      <c r="A47">
        <v>1283</v>
      </c>
      <c r="B47" t="s">
        <v>101</v>
      </c>
      <c r="C47" t="s">
        <v>102</v>
      </c>
      <c r="D47" t="s">
        <v>23</v>
      </c>
      <c r="E47" t="s">
        <v>24</v>
      </c>
      <c r="F47" t="s">
        <v>27</v>
      </c>
      <c r="G47">
        <v>18</v>
      </c>
      <c r="H47" s="3">
        <v>46159</v>
      </c>
    </row>
    <row r="48" spans="1:8" ht="15" x14ac:dyDescent="0.2">
      <c r="A48">
        <v>295</v>
      </c>
      <c r="B48" t="s">
        <v>103</v>
      </c>
      <c r="C48" t="s">
        <v>104</v>
      </c>
      <c r="D48" t="s">
        <v>23</v>
      </c>
      <c r="E48" t="s">
        <v>24</v>
      </c>
      <c r="F48" t="s">
        <v>27</v>
      </c>
      <c r="G48">
        <v>15</v>
      </c>
      <c r="H48" s="3">
        <v>46159</v>
      </c>
    </row>
    <row r="49" spans="1:8" ht="15" x14ac:dyDescent="0.2">
      <c r="A49">
        <v>1226</v>
      </c>
      <c r="B49" t="s">
        <v>105</v>
      </c>
      <c r="C49" t="s">
        <v>106</v>
      </c>
      <c r="D49" t="s">
        <v>23</v>
      </c>
      <c r="E49" t="s">
        <v>30</v>
      </c>
      <c r="F49" t="s">
        <v>25</v>
      </c>
      <c r="H49" s="3">
        <v>46159</v>
      </c>
    </row>
    <row r="50" spans="1:8" ht="15" x14ac:dyDescent="0.2">
      <c r="A50">
        <v>1333</v>
      </c>
      <c r="B50" t="s">
        <v>107</v>
      </c>
      <c r="C50" t="s">
        <v>108</v>
      </c>
      <c r="D50" t="s">
        <v>23</v>
      </c>
      <c r="E50" t="s">
        <v>24</v>
      </c>
      <c r="F50" t="s">
        <v>27</v>
      </c>
      <c r="G50">
        <v>3</v>
      </c>
      <c r="H50" s="3">
        <v>46159</v>
      </c>
    </row>
    <row r="51" spans="1:8" ht="15" x14ac:dyDescent="0.2">
      <c r="A51">
        <v>1185</v>
      </c>
      <c r="B51" t="s">
        <v>109</v>
      </c>
      <c r="C51" t="s">
        <v>110</v>
      </c>
      <c r="D51" t="s">
        <v>23</v>
      </c>
      <c r="E51" t="s">
        <v>30</v>
      </c>
      <c r="F51" t="s">
        <v>35</v>
      </c>
      <c r="H51" s="3">
        <v>46159</v>
      </c>
    </row>
    <row r="52" spans="1:8" ht="15" x14ac:dyDescent="0.2">
      <c r="A52">
        <v>1065</v>
      </c>
      <c r="B52" t="s">
        <v>109</v>
      </c>
      <c r="C52" t="s">
        <v>41</v>
      </c>
      <c r="D52" t="s">
        <v>23</v>
      </c>
      <c r="E52" t="s">
        <v>24</v>
      </c>
      <c r="F52" t="s">
        <v>27</v>
      </c>
      <c r="G52">
        <v>1</v>
      </c>
      <c r="H52" s="3">
        <v>46159</v>
      </c>
    </row>
    <row r="53" spans="1:8" ht="15" x14ac:dyDescent="0.2">
      <c r="A53">
        <v>1407</v>
      </c>
      <c r="B53" t="s">
        <v>111</v>
      </c>
      <c r="C53" t="s">
        <v>112</v>
      </c>
      <c r="D53" t="s">
        <v>23</v>
      </c>
      <c r="E53" t="s">
        <v>24</v>
      </c>
      <c r="F53" t="s">
        <v>25</v>
      </c>
      <c r="H53" s="3">
        <v>46159</v>
      </c>
    </row>
    <row r="54" spans="1:8" ht="15" x14ac:dyDescent="0.2">
      <c r="A54">
        <v>1096</v>
      </c>
      <c r="B54" t="s">
        <v>113</v>
      </c>
      <c r="C54" t="s">
        <v>114</v>
      </c>
      <c r="D54" t="s">
        <v>23</v>
      </c>
      <c r="E54" t="s">
        <v>24</v>
      </c>
      <c r="F54" t="s">
        <v>35</v>
      </c>
      <c r="H54" s="3">
        <v>46159</v>
      </c>
    </row>
    <row r="55" spans="1:8" ht="15" x14ac:dyDescent="0.2">
      <c r="A55">
        <v>1236</v>
      </c>
      <c r="B55" t="s">
        <v>113</v>
      </c>
      <c r="C55" t="s">
        <v>115</v>
      </c>
      <c r="D55" t="s">
        <v>23</v>
      </c>
      <c r="E55" t="s">
        <v>30</v>
      </c>
      <c r="F55" t="s">
        <v>27</v>
      </c>
      <c r="G55">
        <v>5</v>
      </c>
      <c r="H55" s="3">
        <v>46159</v>
      </c>
    </row>
    <row r="56" spans="1:8" ht="15" x14ac:dyDescent="0.2">
      <c r="A56">
        <v>699</v>
      </c>
      <c r="B56" t="s">
        <v>113</v>
      </c>
      <c r="C56" t="s">
        <v>116</v>
      </c>
      <c r="D56" t="s">
        <v>23</v>
      </c>
      <c r="E56" t="s">
        <v>24</v>
      </c>
      <c r="F56" t="s">
        <v>27</v>
      </c>
      <c r="G56">
        <v>5</v>
      </c>
      <c r="H56" s="3">
        <v>46159</v>
      </c>
    </row>
    <row r="57" spans="1:8" ht="15" x14ac:dyDescent="0.2">
      <c r="A57">
        <v>1000</v>
      </c>
      <c r="B57" t="s">
        <v>120</v>
      </c>
      <c r="C57" t="s">
        <v>121</v>
      </c>
      <c r="D57" t="s">
        <v>23</v>
      </c>
      <c r="E57" t="s">
        <v>24</v>
      </c>
      <c r="F57" t="s">
        <v>25</v>
      </c>
      <c r="H57" s="3">
        <v>46159</v>
      </c>
    </row>
    <row r="58" spans="1:8" ht="15" x14ac:dyDescent="0.2">
      <c r="A58">
        <v>1332</v>
      </c>
      <c r="B58" t="s">
        <v>122</v>
      </c>
      <c r="C58" t="s">
        <v>123</v>
      </c>
      <c r="D58" t="s">
        <v>23</v>
      </c>
      <c r="E58" t="s">
        <v>30</v>
      </c>
      <c r="F58" t="s">
        <v>25</v>
      </c>
      <c r="H58" s="3">
        <v>46159</v>
      </c>
    </row>
    <row r="59" spans="1:8" ht="15" x14ac:dyDescent="0.2">
      <c r="A59">
        <v>682</v>
      </c>
      <c r="B59" t="s">
        <v>124</v>
      </c>
      <c r="C59" t="s">
        <v>125</v>
      </c>
      <c r="D59" t="s">
        <v>23</v>
      </c>
      <c r="E59" t="s">
        <v>24</v>
      </c>
      <c r="F59" t="s">
        <v>27</v>
      </c>
      <c r="G59">
        <v>11</v>
      </c>
      <c r="H59" s="3">
        <v>46159</v>
      </c>
    </row>
    <row r="60" spans="1:8" ht="15" x14ac:dyDescent="0.2">
      <c r="A60">
        <v>1393</v>
      </c>
      <c r="B60" t="s">
        <v>126</v>
      </c>
      <c r="C60" t="s">
        <v>127</v>
      </c>
      <c r="D60" t="s">
        <v>23</v>
      </c>
      <c r="E60" t="s">
        <v>30</v>
      </c>
      <c r="F60" t="s">
        <v>27</v>
      </c>
      <c r="G60">
        <v>10</v>
      </c>
      <c r="H60" s="3">
        <v>46159</v>
      </c>
    </row>
    <row r="61" spans="1:8" ht="15" x14ac:dyDescent="0.2">
      <c r="A61">
        <v>1355</v>
      </c>
      <c r="B61" t="s">
        <v>128</v>
      </c>
      <c r="C61" t="s">
        <v>129</v>
      </c>
      <c r="D61" t="s">
        <v>23</v>
      </c>
      <c r="E61" t="s">
        <v>24</v>
      </c>
      <c r="F61" t="s">
        <v>35</v>
      </c>
      <c r="H61" s="3">
        <v>46159</v>
      </c>
    </row>
    <row r="62" spans="1:8" ht="15" x14ac:dyDescent="0.2">
      <c r="A62">
        <v>1164</v>
      </c>
      <c r="B62" t="s">
        <v>130</v>
      </c>
      <c r="C62" t="s">
        <v>131</v>
      </c>
      <c r="D62" t="s">
        <v>54</v>
      </c>
      <c r="E62" t="s">
        <v>30</v>
      </c>
      <c r="F62" t="s">
        <v>25</v>
      </c>
      <c r="H62" s="3">
        <v>46159</v>
      </c>
    </row>
    <row r="63" spans="1:8" ht="15" x14ac:dyDescent="0.2">
      <c r="A63">
        <v>1062</v>
      </c>
      <c r="B63" t="s">
        <v>130</v>
      </c>
      <c r="C63" t="s">
        <v>83</v>
      </c>
      <c r="D63" t="s">
        <v>23</v>
      </c>
      <c r="E63" t="s">
        <v>24</v>
      </c>
      <c r="F63" t="s">
        <v>27</v>
      </c>
      <c r="G63">
        <v>9</v>
      </c>
      <c r="H63" s="3">
        <v>46159</v>
      </c>
    </row>
    <row r="64" spans="1:8" ht="15" x14ac:dyDescent="0.2">
      <c r="A64">
        <v>938</v>
      </c>
      <c r="B64" t="s">
        <v>130</v>
      </c>
      <c r="C64" t="s">
        <v>132</v>
      </c>
      <c r="D64" t="s">
        <v>23</v>
      </c>
      <c r="E64" t="s">
        <v>30</v>
      </c>
      <c r="F64" t="s">
        <v>27</v>
      </c>
      <c r="G64">
        <v>7</v>
      </c>
      <c r="H64" s="3">
        <v>46159</v>
      </c>
    </row>
    <row r="65" spans="1:8" ht="15" x14ac:dyDescent="0.2">
      <c r="A65">
        <v>1427</v>
      </c>
      <c r="B65" t="s">
        <v>130</v>
      </c>
      <c r="C65" t="s">
        <v>133</v>
      </c>
      <c r="D65" t="s">
        <v>23</v>
      </c>
      <c r="E65" t="s">
        <v>30</v>
      </c>
      <c r="F65" t="s">
        <v>27</v>
      </c>
      <c r="G65">
        <v>16</v>
      </c>
      <c r="H65" s="3">
        <v>46159</v>
      </c>
    </row>
    <row r="66" spans="1:8" ht="15" x14ac:dyDescent="0.2">
      <c r="A66">
        <v>1034</v>
      </c>
      <c r="B66" t="s">
        <v>134</v>
      </c>
      <c r="C66" t="s">
        <v>83</v>
      </c>
      <c r="D66" t="s">
        <v>23</v>
      </c>
      <c r="E66" t="s">
        <v>24</v>
      </c>
      <c r="F66" t="s">
        <v>25</v>
      </c>
      <c r="H66" s="3">
        <v>46159</v>
      </c>
    </row>
    <row r="67" spans="1:8" ht="15" x14ac:dyDescent="0.2">
      <c r="A67">
        <v>1402</v>
      </c>
      <c r="B67" t="s">
        <v>135</v>
      </c>
      <c r="C67" t="s">
        <v>136</v>
      </c>
      <c r="D67" t="s">
        <v>23</v>
      </c>
      <c r="E67" t="s">
        <v>24</v>
      </c>
      <c r="F67" t="s">
        <v>27</v>
      </c>
      <c r="G67">
        <v>7</v>
      </c>
      <c r="H67" s="3">
        <v>46159</v>
      </c>
    </row>
    <row r="68" spans="1:8" ht="15" x14ac:dyDescent="0.2">
      <c r="A68">
        <v>939</v>
      </c>
      <c r="B68" t="s">
        <v>137</v>
      </c>
      <c r="C68" t="s">
        <v>127</v>
      </c>
      <c r="D68" t="s">
        <v>23</v>
      </c>
      <c r="E68" t="s">
        <v>30</v>
      </c>
      <c r="F68" t="s">
        <v>27</v>
      </c>
      <c r="G68">
        <v>12</v>
      </c>
      <c r="H68" s="3">
        <v>46159</v>
      </c>
    </row>
    <row r="69" spans="1:8" ht="15" x14ac:dyDescent="0.2">
      <c r="A69">
        <v>1377</v>
      </c>
      <c r="B69" t="s">
        <v>138</v>
      </c>
      <c r="C69" t="s">
        <v>139</v>
      </c>
      <c r="D69" t="s">
        <v>23</v>
      </c>
      <c r="E69" t="s">
        <v>30</v>
      </c>
      <c r="F69" t="s">
        <v>27</v>
      </c>
      <c r="G69">
        <v>12</v>
      </c>
      <c r="H69" s="3">
        <v>46159</v>
      </c>
    </row>
    <row r="70" spans="1:8" ht="15" x14ac:dyDescent="0.2">
      <c r="A70">
        <v>1281</v>
      </c>
      <c r="B70" t="s">
        <v>140</v>
      </c>
      <c r="C70" t="s">
        <v>141</v>
      </c>
      <c r="D70" t="s">
        <v>23</v>
      </c>
      <c r="E70" t="s">
        <v>24</v>
      </c>
      <c r="F70" t="s">
        <v>27</v>
      </c>
      <c r="G70">
        <v>19</v>
      </c>
      <c r="H70" s="3">
        <v>46159</v>
      </c>
    </row>
    <row r="71" spans="1:8" ht="15" x14ac:dyDescent="0.2">
      <c r="A71">
        <v>933</v>
      </c>
      <c r="B71" t="s">
        <v>142</v>
      </c>
      <c r="C71" t="s">
        <v>143</v>
      </c>
      <c r="D71" t="s">
        <v>23</v>
      </c>
      <c r="E71" t="s">
        <v>24</v>
      </c>
      <c r="F71" t="s">
        <v>25</v>
      </c>
      <c r="H71" s="3">
        <v>46159</v>
      </c>
    </row>
    <row r="72" spans="1:8" ht="15" x14ac:dyDescent="0.2">
      <c r="A72">
        <v>1274</v>
      </c>
      <c r="B72" t="s">
        <v>144</v>
      </c>
      <c r="C72" t="s">
        <v>145</v>
      </c>
      <c r="D72" t="s">
        <v>23</v>
      </c>
      <c r="E72" t="s">
        <v>30</v>
      </c>
      <c r="F72" t="s">
        <v>25</v>
      </c>
      <c r="H72" s="3">
        <v>46159</v>
      </c>
    </row>
    <row r="73" spans="1:8" ht="15" x14ac:dyDescent="0.2">
      <c r="A73">
        <v>493</v>
      </c>
      <c r="B73" t="s">
        <v>146</v>
      </c>
      <c r="C73" t="s">
        <v>49</v>
      </c>
      <c r="D73" t="s">
        <v>48</v>
      </c>
      <c r="E73" t="s">
        <v>24</v>
      </c>
      <c r="F73" t="s">
        <v>27</v>
      </c>
      <c r="G73">
        <v>37</v>
      </c>
      <c r="H73" s="3">
        <v>46159</v>
      </c>
    </row>
    <row r="74" spans="1:8" ht="15" x14ac:dyDescent="0.2">
      <c r="A74">
        <v>1279</v>
      </c>
      <c r="B74" t="s">
        <v>147</v>
      </c>
      <c r="C74" t="s">
        <v>148</v>
      </c>
      <c r="D74" t="s">
        <v>23</v>
      </c>
      <c r="E74" t="s">
        <v>24</v>
      </c>
      <c r="F74" t="s">
        <v>27</v>
      </c>
      <c r="G74">
        <v>4</v>
      </c>
      <c r="H74" s="3">
        <v>46159</v>
      </c>
    </row>
    <row r="75" spans="1:8" ht="15" x14ac:dyDescent="0.2">
      <c r="A75">
        <v>1193</v>
      </c>
      <c r="B75" t="s">
        <v>149</v>
      </c>
      <c r="C75" t="s">
        <v>150</v>
      </c>
      <c r="D75" t="s">
        <v>23</v>
      </c>
      <c r="E75" t="s">
        <v>24</v>
      </c>
      <c r="F75" t="s">
        <v>25</v>
      </c>
      <c r="H75" s="3">
        <v>46159</v>
      </c>
    </row>
    <row r="76" spans="1:8" ht="15" x14ac:dyDescent="0.2">
      <c r="A76">
        <v>1194</v>
      </c>
      <c r="B76" t="s">
        <v>149</v>
      </c>
      <c r="C76" t="s">
        <v>151</v>
      </c>
      <c r="D76" t="s">
        <v>23</v>
      </c>
      <c r="E76" t="s">
        <v>30</v>
      </c>
      <c r="F76" t="s">
        <v>25</v>
      </c>
      <c r="H76" s="3">
        <v>46159</v>
      </c>
    </row>
    <row r="77" spans="1:8" ht="15" x14ac:dyDescent="0.2">
      <c r="A77">
        <v>1196</v>
      </c>
      <c r="B77" t="s">
        <v>149</v>
      </c>
      <c r="C77" t="s">
        <v>152</v>
      </c>
      <c r="D77" t="s">
        <v>23</v>
      </c>
      <c r="E77" t="s">
        <v>24</v>
      </c>
      <c r="F77" t="s">
        <v>35</v>
      </c>
      <c r="H77" s="3">
        <v>46159</v>
      </c>
    </row>
    <row r="78" spans="1:8" ht="15" x14ac:dyDescent="0.2">
      <c r="A78">
        <v>1195</v>
      </c>
      <c r="B78" t="s">
        <v>149</v>
      </c>
      <c r="C78" t="s">
        <v>153</v>
      </c>
      <c r="D78" t="s">
        <v>23</v>
      </c>
      <c r="E78" t="s">
        <v>24</v>
      </c>
      <c r="F78" t="s">
        <v>35</v>
      </c>
      <c r="H78" s="3">
        <v>46159</v>
      </c>
    </row>
    <row r="79" spans="1:8" ht="15" x14ac:dyDescent="0.2">
      <c r="A79">
        <v>1176</v>
      </c>
      <c r="B79" t="s">
        <v>154</v>
      </c>
      <c r="C79" t="s">
        <v>155</v>
      </c>
      <c r="D79" t="s">
        <v>23</v>
      </c>
      <c r="E79" t="s">
        <v>24</v>
      </c>
      <c r="F79" t="s">
        <v>35</v>
      </c>
      <c r="H79" s="3">
        <v>46159</v>
      </c>
    </row>
    <row r="80" spans="1:8" ht="15" x14ac:dyDescent="0.2">
      <c r="A80">
        <v>1174</v>
      </c>
      <c r="B80" t="s">
        <v>154</v>
      </c>
      <c r="C80" t="s">
        <v>156</v>
      </c>
      <c r="D80" t="s">
        <v>23</v>
      </c>
      <c r="E80" t="s">
        <v>30</v>
      </c>
      <c r="F80" t="s">
        <v>27</v>
      </c>
      <c r="G80">
        <v>6</v>
      </c>
      <c r="H80" s="3">
        <v>46159</v>
      </c>
    </row>
    <row r="81" spans="1:8" ht="15" x14ac:dyDescent="0.2">
      <c r="A81">
        <v>1175</v>
      </c>
      <c r="B81" t="s">
        <v>154</v>
      </c>
      <c r="C81" t="s">
        <v>150</v>
      </c>
      <c r="D81" t="s">
        <v>23</v>
      </c>
      <c r="E81" t="s">
        <v>24</v>
      </c>
      <c r="F81" t="s">
        <v>27</v>
      </c>
      <c r="G81">
        <v>12</v>
      </c>
      <c r="H81" s="3">
        <v>46159</v>
      </c>
    </row>
    <row r="82" spans="1:8" ht="15" x14ac:dyDescent="0.2">
      <c r="A82">
        <v>1109</v>
      </c>
      <c r="B82" t="s">
        <v>157</v>
      </c>
      <c r="C82" t="s">
        <v>104</v>
      </c>
      <c r="D82" t="s">
        <v>23</v>
      </c>
      <c r="E82" t="s">
        <v>24</v>
      </c>
      <c r="F82" t="s">
        <v>25</v>
      </c>
      <c r="H82" s="3">
        <v>46159</v>
      </c>
    </row>
    <row r="83" spans="1:8" ht="15" x14ac:dyDescent="0.2">
      <c r="A83">
        <v>1073</v>
      </c>
      <c r="B83" t="s">
        <v>158</v>
      </c>
      <c r="C83" t="s">
        <v>150</v>
      </c>
      <c r="D83" t="s">
        <v>23</v>
      </c>
      <c r="E83" t="s">
        <v>24</v>
      </c>
      <c r="F83" t="s">
        <v>27</v>
      </c>
      <c r="G83">
        <v>3</v>
      </c>
      <c r="H83" s="3">
        <v>46159</v>
      </c>
    </row>
    <row r="84" spans="1:8" ht="15" x14ac:dyDescent="0.2">
      <c r="A84">
        <v>1400</v>
      </c>
      <c r="B84" t="s">
        <v>159</v>
      </c>
      <c r="C84" t="s">
        <v>160</v>
      </c>
      <c r="D84" t="s">
        <v>23</v>
      </c>
      <c r="E84" t="s">
        <v>24</v>
      </c>
      <c r="F84" t="s">
        <v>25</v>
      </c>
      <c r="H84" s="3">
        <v>46159</v>
      </c>
    </row>
    <row r="85" spans="1:8" ht="15" x14ac:dyDescent="0.2">
      <c r="A85">
        <v>1367</v>
      </c>
      <c r="B85" t="s">
        <v>161</v>
      </c>
      <c r="C85" t="s">
        <v>152</v>
      </c>
      <c r="D85" t="s">
        <v>23</v>
      </c>
      <c r="E85" t="s">
        <v>24</v>
      </c>
      <c r="F85" t="s">
        <v>35</v>
      </c>
      <c r="H85" s="3">
        <v>46159</v>
      </c>
    </row>
    <row r="86" spans="1:8" ht="15" x14ac:dyDescent="0.2">
      <c r="A86">
        <v>1366</v>
      </c>
      <c r="B86" t="s">
        <v>161</v>
      </c>
      <c r="C86" t="s">
        <v>162</v>
      </c>
      <c r="D86" t="s">
        <v>23</v>
      </c>
      <c r="E86" t="s">
        <v>30</v>
      </c>
      <c r="F86" t="s">
        <v>25</v>
      </c>
      <c r="H86" s="3">
        <v>46159</v>
      </c>
    </row>
    <row r="87" spans="1:8" ht="15" x14ac:dyDescent="0.2">
      <c r="A87">
        <v>1365</v>
      </c>
      <c r="B87" t="s">
        <v>161</v>
      </c>
      <c r="C87" t="s">
        <v>163</v>
      </c>
      <c r="D87" t="s">
        <v>23</v>
      </c>
      <c r="E87" t="s">
        <v>30</v>
      </c>
      <c r="F87" t="s">
        <v>27</v>
      </c>
      <c r="G87">
        <v>7</v>
      </c>
      <c r="H87" s="3">
        <v>46159</v>
      </c>
    </row>
    <row r="88" spans="1:8" ht="15" x14ac:dyDescent="0.2">
      <c r="A88">
        <v>897</v>
      </c>
      <c r="B88" t="s">
        <v>161</v>
      </c>
      <c r="C88" t="s">
        <v>164</v>
      </c>
      <c r="D88" t="s">
        <v>23</v>
      </c>
      <c r="E88" t="s">
        <v>24</v>
      </c>
      <c r="F88" t="s">
        <v>27</v>
      </c>
      <c r="G88">
        <v>13</v>
      </c>
      <c r="H88" s="3">
        <v>46159</v>
      </c>
    </row>
    <row r="89" spans="1:8" ht="15" x14ac:dyDescent="0.2">
      <c r="A89">
        <v>1308</v>
      </c>
      <c r="B89" t="s">
        <v>165</v>
      </c>
      <c r="C89" t="s">
        <v>166</v>
      </c>
      <c r="D89" t="s">
        <v>23</v>
      </c>
      <c r="E89" t="s">
        <v>30</v>
      </c>
      <c r="F89" t="s">
        <v>27</v>
      </c>
      <c r="G89">
        <v>2</v>
      </c>
      <c r="H89" s="3">
        <v>46159</v>
      </c>
    </row>
    <row r="90" spans="1:8" ht="15" x14ac:dyDescent="0.2">
      <c r="A90">
        <v>1206</v>
      </c>
      <c r="B90" t="s">
        <v>167</v>
      </c>
      <c r="C90" t="s">
        <v>168</v>
      </c>
      <c r="D90" t="s">
        <v>23</v>
      </c>
      <c r="E90" t="s">
        <v>30</v>
      </c>
      <c r="F90" t="s">
        <v>27</v>
      </c>
      <c r="G90">
        <v>8</v>
      </c>
      <c r="H90" s="3">
        <v>46159</v>
      </c>
    </row>
    <row r="91" spans="1:8" ht="15" x14ac:dyDescent="0.2">
      <c r="A91">
        <v>1205</v>
      </c>
      <c r="B91" t="s">
        <v>167</v>
      </c>
      <c r="C91" t="s">
        <v>66</v>
      </c>
      <c r="D91" t="s">
        <v>23</v>
      </c>
      <c r="E91" t="s">
        <v>24</v>
      </c>
      <c r="F91" t="s">
        <v>27</v>
      </c>
      <c r="G91">
        <v>14</v>
      </c>
      <c r="H91" s="3">
        <v>46159</v>
      </c>
    </row>
    <row r="92" spans="1:8" ht="15" x14ac:dyDescent="0.2">
      <c r="A92">
        <v>1406</v>
      </c>
      <c r="B92" t="s">
        <v>169</v>
      </c>
      <c r="C92" t="s">
        <v>170</v>
      </c>
      <c r="D92" t="s">
        <v>23</v>
      </c>
      <c r="E92" t="s">
        <v>24</v>
      </c>
      <c r="F92" t="s">
        <v>27</v>
      </c>
      <c r="G92">
        <v>9</v>
      </c>
      <c r="H92" s="3">
        <v>46159</v>
      </c>
    </row>
    <row r="93" spans="1:8" ht="15" x14ac:dyDescent="0.2">
      <c r="A93">
        <v>1182</v>
      </c>
      <c r="B93" t="s">
        <v>171</v>
      </c>
      <c r="C93" t="s">
        <v>136</v>
      </c>
      <c r="D93" t="s">
        <v>23</v>
      </c>
      <c r="E93" t="s">
        <v>24</v>
      </c>
      <c r="F93" t="s">
        <v>27</v>
      </c>
      <c r="G93">
        <v>8</v>
      </c>
      <c r="H93" s="3">
        <v>46159</v>
      </c>
    </row>
    <row r="94" spans="1:8" ht="15" x14ac:dyDescent="0.2">
      <c r="A94">
        <v>1340</v>
      </c>
      <c r="B94" t="s">
        <v>172</v>
      </c>
      <c r="C94" t="s">
        <v>173</v>
      </c>
      <c r="D94" t="s">
        <v>23</v>
      </c>
      <c r="E94" t="s">
        <v>24</v>
      </c>
      <c r="F94" t="s">
        <v>27</v>
      </c>
      <c r="G94">
        <v>8</v>
      </c>
      <c r="H94" s="3">
        <v>46159</v>
      </c>
    </row>
    <row r="95" spans="1:8" ht="15" x14ac:dyDescent="0.2">
      <c r="A95">
        <v>21</v>
      </c>
      <c r="B95" t="s">
        <v>174</v>
      </c>
      <c r="C95" t="s">
        <v>175</v>
      </c>
      <c r="D95" t="s">
        <v>23</v>
      </c>
      <c r="E95" t="s">
        <v>24</v>
      </c>
      <c r="F95" t="s">
        <v>25</v>
      </c>
      <c r="H95" s="3">
        <v>46159</v>
      </c>
    </row>
    <row r="96" spans="1:8" ht="15" x14ac:dyDescent="0.2">
      <c r="A96">
        <v>1049</v>
      </c>
      <c r="B96" t="s">
        <v>176</v>
      </c>
      <c r="C96" t="s">
        <v>177</v>
      </c>
      <c r="D96" t="s">
        <v>23</v>
      </c>
      <c r="E96" t="s">
        <v>24</v>
      </c>
      <c r="F96" t="s">
        <v>27</v>
      </c>
      <c r="G96">
        <v>19</v>
      </c>
      <c r="H96" s="3">
        <v>46159</v>
      </c>
    </row>
    <row r="97" spans="1:8" ht="15" x14ac:dyDescent="0.2">
      <c r="A97">
        <v>120</v>
      </c>
      <c r="B97" t="s">
        <v>178</v>
      </c>
      <c r="C97" t="s">
        <v>179</v>
      </c>
      <c r="D97" t="s">
        <v>23</v>
      </c>
      <c r="E97" t="s">
        <v>30</v>
      </c>
      <c r="F97" t="s">
        <v>27</v>
      </c>
      <c r="G97">
        <v>12</v>
      </c>
      <c r="H97" s="3">
        <v>46159</v>
      </c>
    </row>
    <row r="98" spans="1:8" ht="15" x14ac:dyDescent="0.2">
      <c r="A98">
        <v>990</v>
      </c>
      <c r="B98" t="s">
        <v>180</v>
      </c>
      <c r="C98" t="s">
        <v>87</v>
      </c>
      <c r="D98" t="s">
        <v>23</v>
      </c>
      <c r="E98" t="s">
        <v>30</v>
      </c>
      <c r="F98" t="s">
        <v>27</v>
      </c>
      <c r="G98">
        <v>10</v>
      </c>
      <c r="H98" s="3">
        <v>46159</v>
      </c>
    </row>
    <row r="99" spans="1:8" ht="15" x14ac:dyDescent="0.2">
      <c r="A99">
        <v>1395</v>
      </c>
      <c r="B99" t="s">
        <v>181</v>
      </c>
      <c r="C99" t="s">
        <v>182</v>
      </c>
      <c r="D99" t="s">
        <v>23</v>
      </c>
      <c r="E99" t="s">
        <v>30</v>
      </c>
      <c r="F99" t="s">
        <v>35</v>
      </c>
      <c r="H99" s="3">
        <v>46159</v>
      </c>
    </row>
    <row r="100" spans="1:8" ht="15" x14ac:dyDescent="0.2">
      <c r="A100">
        <v>1158</v>
      </c>
      <c r="B100" t="s">
        <v>183</v>
      </c>
      <c r="C100" t="s">
        <v>184</v>
      </c>
      <c r="D100" t="s">
        <v>23</v>
      </c>
      <c r="E100" t="s">
        <v>30</v>
      </c>
      <c r="F100" t="s">
        <v>25</v>
      </c>
      <c r="H100" s="3">
        <v>46159</v>
      </c>
    </row>
    <row r="101" spans="1:8" ht="15" x14ac:dyDescent="0.2">
      <c r="A101">
        <v>23</v>
      </c>
      <c r="B101" t="s">
        <v>185</v>
      </c>
      <c r="C101" t="s">
        <v>100</v>
      </c>
      <c r="D101" t="s">
        <v>23</v>
      </c>
      <c r="E101" t="s">
        <v>24</v>
      </c>
      <c r="F101" t="s">
        <v>27</v>
      </c>
      <c r="G101">
        <v>10</v>
      </c>
      <c r="H101" s="3">
        <v>46159</v>
      </c>
    </row>
    <row r="102" spans="1:8" ht="15" x14ac:dyDescent="0.2">
      <c r="A102">
        <v>1152</v>
      </c>
      <c r="B102" t="s">
        <v>186</v>
      </c>
      <c r="C102" t="s">
        <v>187</v>
      </c>
      <c r="D102" t="s">
        <v>54</v>
      </c>
      <c r="E102" t="s">
        <v>30</v>
      </c>
      <c r="F102" t="s">
        <v>188</v>
      </c>
      <c r="H102" s="3">
        <v>46159</v>
      </c>
    </row>
    <row r="103" spans="1:8" ht="15" x14ac:dyDescent="0.2">
      <c r="A103">
        <v>581</v>
      </c>
      <c r="B103" t="s">
        <v>189</v>
      </c>
      <c r="C103" t="s">
        <v>190</v>
      </c>
      <c r="D103" t="s">
        <v>23</v>
      </c>
      <c r="E103" t="s">
        <v>24</v>
      </c>
      <c r="F103" t="s">
        <v>27</v>
      </c>
      <c r="G103">
        <v>13</v>
      </c>
      <c r="H103" s="3">
        <v>46159</v>
      </c>
    </row>
    <row r="104" spans="1:8" ht="15" x14ac:dyDescent="0.2">
      <c r="A104">
        <v>1374</v>
      </c>
      <c r="B104" t="s">
        <v>191</v>
      </c>
      <c r="C104" t="s">
        <v>192</v>
      </c>
      <c r="D104" t="s">
        <v>23</v>
      </c>
      <c r="E104" t="s">
        <v>24</v>
      </c>
      <c r="F104" t="s">
        <v>25</v>
      </c>
      <c r="H104" s="3">
        <v>46159</v>
      </c>
    </row>
    <row r="105" spans="1:8" ht="15" x14ac:dyDescent="0.2">
      <c r="A105">
        <v>25</v>
      </c>
      <c r="B105" t="s">
        <v>22</v>
      </c>
      <c r="C105" t="s">
        <v>193</v>
      </c>
      <c r="D105" t="s">
        <v>23</v>
      </c>
      <c r="E105" t="s">
        <v>24</v>
      </c>
      <c r="F105" t="s">
        <v>27</v>
      </c>
      <c r="G105">
        <v>8</v>
      </c>
      <c r="H105" s="3">
        <v>46159</v>
      </c>
    </row>
    <row r="106" spans="1:8" ht="15" x14ac:dyDescent="0.2">
      <c r="A106">
        <v>1257</v>
      </c>
      <c r="B106" t="s">
        <v>194</v>
      </c>
      <c r="C106" t="s">
        <v>150</v>
      </c>
      <c r="D106" t="s">
        <v>54</v>
      </c>
      <c r="E106" t="s">
        <v>24</v>
      </c>
      <c r="F106" t="s">
        <v>25</v>
      </c>
      <c r="H106" s="3">
        <v>46159</v>
      </c>
    </row>
    <row r="107" spans="1:8" ht="15" x14ac:dyDescent="0.2">
      <c r="A107">
        <v>415</v>
      </c>
      <c r="B107" t="s">
        <v>195</v>
      </c>
      <c r="C107" t="s">
        <v>196</v>
      </c>
      <c r="D107" t="s">
        <v>23</v>
      </c>
      <c r="E107" t="s">
        <v>24</v>
      </c>
      <c r="F107" t="s">
        <v>27</v>
      </c>
      <c r="G107">
        <v>6</v>
      </c>
      <c r="H107" s="3">
        <v>46159</v>
      </c>
    </row>
    <row r="108" spans="1:8" ht="15" x14ac:dyDescent="0.2">
      <c r="A108">
        <v>1144</v>
      </c>
      <c r="B108" t="s">
        <v>195</v>
      </c>
      <c r="C108" t="s">
        <v>197</v>
      </c>
      <c r="D108" t="s">
        <v>54</v>
      </c>
      <c r="E108" t="s">
        <v>24</v>
      </c>
      <c r="F108" t="s">
        <v>188</v>
      </c>
      <c r="H108" s="3">
        <v>46159</v>
      </c>
    </row>
    <row r="109" spans="1:8" ht="15" x14ac:dyDescent="0.2">
      <c r="A109">
        <v>1292</v>
      </c>
      <c r="B109" t="s">
        <v>198</v>
      </c>
      <c r="C109" t="s">
        <v>199</v>
      </c>
      <c r="D109" t="s">
        <v>23</v>
      </c>
      <c r="E109" t="s">
        <v>30</v>
      </c>
      <c r="F109" t="s">
        <v>25</v>
      </c>
      <c r="H109" s="3">
        <v>46159</v>
      </c>
    </row>
    <row r="110" spans="1:8" ht="15" x14ac:dyDescent="0.2">
      <c r="A110">
        <v>203</v>
      </c>
      <c r="B110" t="s">
        <v>200</v>
      </c>
      <c r="C110" t="s">
        <v>201</v>
      </c>
      <c r="D110" t="s">
        <v>23</v>
      </c>
      <c r="E110" t="s">
        <v>24</v>
      </c>
      <c r="F110" t="s">
        <v>27</v>
      </c>
      <c r="G110">
        <v>9</v>
      </c>
      <c r="H110" s="3">
        <v>46159</v>
      </c>
    </row>
    <row r="111" spans="1:8" ht="15" x14ac:dyDescent="0.2">
      <c r="A111">
        <v>956</v>
      </c>
      <c r="B111" t="s">
        <v>202</v>
      </c>
      <c r="C111" t="s">
        <v>94</v>
      </c>
      <c r="D111" t="s">
        <v>23</v>
      </c>
      <c r="E111" t="s">
        <v>24</v>
      </c>
      <c r="F111" t="s">
        <v>27</v>
      </c>
      <c r="G111">
        <v>13</v>
      </c>
      <c r="H111" s="3">
        <v>46159</v>
      </c>
    </row>
    <row r="112" spans="1:8" ht="15" x14ac:dyDescent="0.2">
      <c r="A112">
        <v>1273</v>
      </c>
      <c r="B112" t="s">
        <v>203</v>
      </c>
      <c r="C112" t="s">
        <v>204</v>
      </c>
      <c r="D112" t="s">
        <v>23</v>
      </c>
      <c r="E112" t="s">
        <v>30</v>
      </c>
      <c r="F112" t="s">
        <v>27</v>
      </c>
      <c r="G112">
        <v>22</v>
      </c>
      <c r="H112" s="3">
        <v>46159</v>
      </c>
    </row>
    <row r="113" spans="1:8" ht="15" x14ac:dyDescent="0.2">
      <c r="A113">
        <v>1272</v>
      </c>
      <c r="B113" t="s">
        <v>203</v>
      </c>
      <c r="C113" t="s">
        <v>205</v>
      </c>
      <c r="D113" t="s">
        <v>23</v>
      </c>
      <c r="E113" t="s">
        <v>24</v>
      </c>
      <c r="F113" t="s">
        <v>27</v>
      </c>
      <c r="G113">
        <v>24</v>
      </c>
      <c r="H113" s="3">
        <v>46159</v>
      </c>
    </row>
    <row r="114" spans="1:8" ht="15" x14ac:dyDescent="0.2">
      <c r="A114">
        <v>846</v>
      </c>
      <c r="B114" t="s">
        <v>206</v>
      </c>
      <c r="C114" t="s">
        <v>207</v>
      </c>
      <c r="D114" t="s">
        <v>23</v>
      </c>
      <c r="E114" t="s">
        <v>24</v>
      </c>
      <c r="F114" t="s">
        <v>27</v>
      </c>
      <c r="G114">
        <v>17</v>
      </c>
      <c r="H114" s="3">
        <v>46159</v>
      </c>
    </row>
    <row r="115" spans="1:8" ht="15" x14ac:dyDescent="0.2">
      <c r="A115">
        <v>1162</v>
      </c>
      <c r="B115" t="s">
        <v>208</v>
      </c>
      <c r="C115" t="s">
        <v>150</v>
      </c>
      <c r="D115" t="s">
        <v>23</v>
      </c>
      <c r="E115" t="s">
        <v>24</v>
      </c>
      <c r="F115" t="s">
        <v>25</v>
      </c>
      <c r="H115" s="3">
        <v>46159</v>
      </c>
    </row>
    <row r="116" spans="1:8" ht="15" x14ac:dyDescent="0.2">
      <c r="A116">
        <v>1244</v>
      </c>
      <c r="B116" t="s">
        <v>209</v>
      </c>
      <c r="C116" t="s">
        <v>94</v>
      </c>
      <c r="D116" t="s">
        <v>23</v>
      </c>
      <c r="E116" t="s">
        <v>24</v>
      </c>
      <c r="F116" t="s">
        <v>27</v>
      </c>
      <c r="G116">
        <v>2</v>
      </c>
      <c r="H116" s="3">
        <v>46159</v>
      </c>
    </row>
    <row r="117" spans="1:8" ht="15" x14ac:dyDescent="0.2">
      <c r="A117">
        <v>1379</v>
      </c>
      <c r="B117" t="s">
        <v>209</v>
      </c>
      <c r="C117" t="s">
        <v>210</v>
      </c>
      <c r="D117" t="s">
        <v>23</v>
      </c>
      <c r="E117" t="s">
        <v>30</v>
      </c>
      <c r="F117" t="s">
        <v>25</v>
      </c>
      <c r="H117" s="3">
        <v>46159</v>
      </c>
    </row>
    <row r="118" spans="1:8" ht="15" x14ac:dyDescent="0.2">
      <c r="A118">
        <v>1362</v>
      </c>
      <c r="B118" t="s">
        <v>211</v>
      </c>
      <c r="C118" t="s">
        <v>212</v>
      </c>
      <c r="D118" t="s">
        <v>23</v>
      </c>
      <c r="E118" t="s">
        <v>30</v>
      </c>
      <c r="F118" t="s">
        <v>27</v>
      </c>
      <c r="G118">
        <v>22</v>
      </c>
      <c r="H118" s="3">
        <v>46159</v>
      </c>
    </row>
    <row r="119" spans="1:8" ht="15" x14ac:dyDescent="0.2">
      <c r="A119">
        <v>1403</v>
      </c>
      <c r="B119" t="s">
        <v>213</v>
      </c>
      <c r="C119" t="s">
        <v>214</v>
      </c>
      <c r="D119" t="s">
        <v>23</v>
      </c>
      <c r="E119" t="s">
        <v>24</v>
      </c>
      <c r="F119" t="s">
        <v>27</v>
      </c>
      <c r="G119">
        <v>8</v>
      </c>
      <c r="H119" s="3">
        <v>46159</v>
      </c>
    </row>
    <row r="120" spans="1:8" ht="15" x14ac:dyDescent="0.2">
      <c r="A120">
        <v>1404</v>
      </c>
      <c r="B120" t="s">
        <v>213</v>
      </c>
      <c r="C120" t="s">
        <v>215</v>
      </c>
      <c r="D120" t="s">
        <v>23</v>
      </c>
      <c r="E120" t="s">
        <v>30</v>
      </c>
      <c r="F120" t="s">
        <v>25</v>
      </c>
      <c r="H120" s="3">
        <v>46159</v>
      </c>
    </row>
    <row r="121" spans="1:8" ht="15" x14ac:dyDescent="0.2">
      <c r="A121">
        <v>1229</v>
      </c>
      <c r="B121" t="s">
        <v>216</v>
      </c>
      <c r="C121" t="s">
        <v>217</v>
      </c>
      <c r="D121" t="s">
        <v>23</v>
      </c>
      <c r="E121" t="s">
        <v>30</v>
      </c>
      <c r="F121" t="s">
        <v>25</v>
      </c>
      <c r="H121" s="3">
        <v>46159</v>
      </c>
    </row>
    <row r="122" spans="1:8" ht="15" x14ac:dyDescent="0.2">
      <c r="A122">
        <v>1408</v>
      </c>
      <c r="B122" t="s">
        <v>218</v>
      </c>
      <c r="C122" t="s">
        <v>219</v>
      </c>
      <c r="D122" t="s">
        <v>23</v>
      </c>
      <c r="E122" t="s">
        <v>24</v>
      </c>
      <c r="F122" t="s">
        <v>27</v>
      </c>
      <c r="G122">
        <v>20</v>
      </c>
      <c r="H122" s="3">
        <v>46159</v>
      </c>
    </row>
    <row r="123" spans="1:8" ht="15" x14ac:dyDescent="0.2">
      <c r="A123">
        <v>1409</v>
      </c>
      <c r="B123" t="s">
        <v>218</v>
      </c>
      <c r="C123" t="s">
        <v>220</v>
      </c>
      <c r="D123" t="s">
        <v>23</v>
      </c>
      <c r="E123" t="s">
        <v>30</v>
      </c>
      <c r="F123" t="s">
        <v>27</v>
      </c>
      <c r="G123">
        <v>15</v>
      </c>
      <c r="H123" s="3">
        <v>46159</v>
      </c>
    </row>
    <row r="124" spans="1:8" ht="15" x14ac:dyDescent="0.2">
      <c r="A124">
        <v>1198</v>
      </c>
      <c r="B124" t="s">
        <v>221</v>
      </c>
      <c r="C124" t="s">
        <v>222</v>
      </c>
      <c r="D124" t="s">
        <v>23</v>
      </c>
      <c r="E124" t="s">
        <v>24</v>
      </c>
      <c r="F124" t="s">
        <v>27</v>
      </c>
      <c r="G124">
        <v>5</v>
      </c>
      <c r="H124" s="3">
        <v>46159</v>
      </c>
    </row>
    <row r="125" spans="1:8" ht="15" x14ac:dyDescent="0.2">
      <c r="A125">
        <v>1260</v>
      </c>
      <c r="B125" t="s">
        <v>223</v>
      </c>
      <c r="C125" t="s">
        <v>82</v>
      </c>
      <c r="D125" t="s">
        <v>23</v>
      </c>
      <c r="E125" t="s">
        <v>30</v>
      </c>
      <c r="F125" t="s">
        <v>27</v>
      </c>
      <c r="G125">
        <v>15</v>
      </c>
      <c r="H125" s="3">
        <v>46159</v>
      </c>
    </row>
    <row r="126" spans="1:8" ht="15" x14ac:dyDescent="0.2">
      <c r="A126">
        <v>1361</v>
      </c>
      <c r="B126" t="s">
        <v>224</v>
      </c>
      <c r="C126" t="s">
        <v>225</v>
      </c>
      <c r="D126" t="s">
        <v>23</v>
      </c>
      <c r="E126" t="s">
        <v>24</v>
      </c>
      <c r="F126" t="s">
        <v>27</v>
      </c>
      <c r="G126">
        <v>16</v>
      </c>
      <c r="H126" s="3">
        <v>46159</v>
      </c>
    </row>
    <row r="127" spans="1:8" ht="15" x14ac:dyDescent="0.2">
      <c r="A127">
        <v>1100</v>
      </c>
      <c r="B127" t="s">
        <v>226</v>
      </c>
      <c r="C127" t="s">
        <v>34</v>
      </c>
      <c r="D127" t="s">
        <v>23</v>
      </c>
      <c r="E127" t="s">
        <v>24</v>
      </c>
      <c r="F127" t="s">
        <v>27</v>
      </c>
      <c r="G127">
        <v>13</v>
      </c>
      <c r="H127" s="3">
        <v>46159</v>
      </c>
    </row>
    <row r="128" spans="1:8" ht="15" x14ac:dyDescent="0.2">
      <c r="A128">
        <v>1385</v>
      </c>
      <c r="B128" t="s">
        <v>227</v>
      </c>
      <c r="C128" t="s">
        <v>228</v>
      </c>
      <c r="D128" t="s">
        <v>23</v>
      </c>
      <c r="E128" t="s">
        <v>24</v>
      </c>
      <c r="F128" t="s">
        <v>25</v>
      </c>
      <c r="H128" s="3">
        <v>46159</v>
      </c>
    </row>
    <row r="129" spans="1:8" ht="15" x14ac:dyDescent="0.2">
      <c r="A129">
        <v>1394</v>
      </c>
      <c r="B129" t="s">
        <v>227</v>
      </c>
      <c r="C129" t="s">
        <v>229</v>
      </c>
      <c r="D129" t="s">
        <v>23</v>
      </c>
      <c r="E129" t="s">
        <v>24</v>
      </c>
      <c r="F129" t="s">
        <v>35</v>
      </c>
      <c r="H129" s="3">
        <v>46159</v>
      </c>
    </row>
    <row r="130" spans="1:8" ht="15" x14ac:dyDescent="0.2">
      <c r="A130">
        <v>1419</v>
      </c>
      <c r="B130" t="s">
        <v>230</v>
      </c>
      <c r="C130" t="s">
        <v>231</v>
      </c>
      <c r="D130" t="s">
        <v>23</v>
      </c>
      <c r="E130" t="s">
        <v>24</v>
      </c>
      <c r="F130" t="s">
        <v>25</v>
      </c>
      <c r="H130" s="3">
        <v>46159</v>
      </c>
    </row>
    <row r="131" spans="1:8" ht="15" x14ac:dyDescent="0.2">
      <c r="A131">
        <v>967</v>
      </c>
      <c r="B131" t="s">
        <v>232</v>
      </c>
      <c r="C131" t="s">
        <v>152</v>
      </c>
      <c r="D131" t="s">
        <v>23</v>
      </c>
      <c r="E131" t="s">
        <v>24</v>
      </c>
      <c r="F131" t="s">
        <v>27</v>
      </c>
      <c r="G131">
        <v>5</v>
      </c>
      <c r="H131" s="3">
        <v>46159</v>
      </c>
    </row>
    <row r="132" spans="1:8" ht="15" x14ac:dyDescent="0.2">
      <c r="A132">
        <v>1373</v>
      </c>
      <c r="B132" t="s">
        <v>233</v>
      </c>
      <c r="C132" t="s">
        <v>234</v>
      </c>
      <c r="D132" t="s">
        <v>23</v>
      </c>
      <c r="E132" t="s">
        <v>24</v>
      </c>
      <c r="F132" t="s">
        <v>27</v>
      </c>
      <c r="G132">
        <v>10</v>
      </c>
      <c r="H132" s="3">
        <v>46159</v>
      </c>
    </row>
    <row r="133" spans="1:8" ht="15" x14ac:dyDescent="0.2">
      <c r="A133">
        <v>1045</v>
      </c>
      <c r="B133" t="s">
        <v>235</v>
      </c>
      <c r="C133" t="s">
        <v>236</v>
      </c>
      <c r="D133" t="s">
        <v>23</v>
      </c>
      <c r="E133" t="s">
        <v>30</v>
      </c>
      <c r="F133" t="s">
        <v>27</v>
      </c>
      <c r="G133">
        <v>5</v>
      </c>
      <c r="H133" s="3">
        <v>46159</v>
      </c>
    </row>
    <row r="134" spans="1:8" ht="15" x14ac:dyDescent="0.2">
      <c r="A134">
        <v>1046</v>
      </c>
      <c r="B134" t="s">
        <v>235</v>
      </c>
      <c r="C134" t="s">
        <v>237</v>
      </c>
      <c r="D134" t="s">
        <v>23</v>
      </c>
      <c r="E134" t="s">
        <v>24</v>
      </c>
      <c r="F134" t="s">
        <v>27</v>
      </c>
      <c r="G134">
        <v>35</v>
      </c>
      <c r="H134" s="3">
        <v>46159</v>
      </c>
    </row>
    <row r="135" spans="1:8" ht="15" x14ac:dyDescent="0.2">
      <c r="A135">
        <v>1396</v>
      </c>
      <c r="B135" t="s">
        <v>238</v>
      </c>
      <c r="C135" t="s">
        <v>59</v>
      </c>
      <c r="D135" t="s">
        <v>23</v>
      </c>
      <c r="E135" t="s">
        <v>24</v>
      </c>
      <c r="F135" t="s">
        <v>25</v>
      </c>
      <c r="H135" s="3">
        <v>46159</v>
      </c>
    </row>
    <row r="136" spans="1:8" ht="15" x14ac:dyDescent="0.2">
      <c r="A136">
        <v>1397</v>
      </c>
      <c r="B136" t="s">
        <v>238</v>
      </c>
      <c r="C136" t="s">
        <v>239</v>
      </c>
      <c r="D136" t="s">
        <v>23</v>
      </c>
      <c r="E136" t="s">
        <v>30</v>
      </c>
      <c r="F136" t="s">
        <v>25</v>
      </c>
      <c r="H136" s="3">
        <v>46159</v>
      </c>
    </row>
    <row r="137" spans="1:8" ht="15" x14ac:dyDescent="0.2">
      <c r="A137">
        <v>1398</v>
      </c>
      <c r="B137" t="s">
        <v>238</v>
      </c>
      <c r="C137" t="s">
        <v>49</v>
      </c>
      <c r="D137" t="s">
        <v>23</v>
      </c>
      <c r="E137" t="s">
        <v>24</v>
      </c>
      <c r="F137" t="s">
        <v>35</v>
      </c>
      <c r="H137" s="3">
        <v>46159</v>
      </c>
    </row>
    <row r="138" spans="1:8" ht="15" x14ac:dyDescent="0.2">
      <c r="A138">
        <v>1399</v>
      </c>
      <c r="B138" t="s">
        <v>238</v>
      </c>
      <c r="C138" t="s">
        <v>131</v>
      </c>
      <c r="D138" t="s">
        <v>23</v>
      </c>
      <c r="E138" t="s">
        <v>30</v>
      </c>
      <c r="F138" t="s">
        <v>35</v>
      </c>
      <c r="H138" s="3">
        <v>46159</v>
      </c>
    </row>
    <row r="139" spans="1:8" ht="15" x14ac:dyDescent="0.2">
      <c r="A139">
        <v>771</v>
      </c>
      <c r="B139" t="s">
        <v>240</v>
      </c>
      <c r="C139" t="s">
        <v>241</v>
      </c>
      <c r="D139" t="s">
        <v>23</v>
      </c>
      <c r="E139" t="s">
        <v>24</v>
      </c>
      <c r="F139" t="s">
        <v>27</v>
      </c>
      <c r="G139">
        <v>14</v>
      </c>
      <c r="H139" s="3">
        <v>46159</v>
      </c>
    </row>
    <row r="140" spans="1:8" ht="15" x14ac:dyDescent="0.2">
      <c r="A140">
        <v>1265</v>
      </c>
      <c r="B140" t="s">
        <v>242</v>
      </c>
      <c r="C140" t="s">
        <v>243</v>
      </c>
      <c r="D140" t="s">
        <v>23</v>
      </c>
      <c r="E140" t="s">
        <v>24</v>
      </c>
      <c r="F140" t="s">
        <v>27</v>
      </c>
      <c r="G140">
        <v>20</v>
      </c>
      <c r="H140" s="3">
        <v>46159</v>
      </c>
    </row>
    <row r="141" spans="1:8" ht="15" x14ac:dyDescent="0.2">
      <c r="A141">
        <v>532</v>
      </c>
      <c r="B141" t="s">
        <v>244</v>
      </c>
      <c r="C141" t="s">
        <v>243</v>
      </c>
      <c r="D141" t="s">
        <v>23</v>
      </c>
      <c r="E141" t="s">
        <v>24</v>
      </c>
      <c r="F141" t="s">
        <v>27</v>
      </c>
      <c r="G141">
        <v>13</v>
      </c>
      <c r="H141" s="3">
        <v>46159</v>
      </c>
    </row>
    <row r="142" spans="1:8" ht="15" x14ac:dyDescent="0.2">
      <c r="A142">
        <v>1388</v>
      </c>
      <c r="B142" t="s">
        <v>193</v>
      </c>
      <c r="C142" t="s">
        <v>245</v>
      </c>
      <c r="D142" t="s">
        <v>23</v>
      </c>
      <c r="E142" t="s">
        <v>30</v>
      </c>
      <c r="F142" t="s">
        <v>25</v>
      </c>
      <c r="H142" s="3">
        <v>46159</v>
      </c>
    </row>
    <row r="143" spans="1:8" ht="15" x14ac:dyDescent="0.2">
      <c r="A143">
        <v>742</v>
      </c>
      <c r="B143" t="s">
        <v>246</v>
      </c>
      <c r="C143" t="s">
        <v>156</v>
      </c>
      <c r="D143" t="s">
        <v>23</v>
      </c>
      <c r="E143" t="s">
        <v>30</v>
      </c>
      <c r="F143" t="s">
        <v>27</v>
      </c>
      <c r="G143">
        <v>2</v>
      </c>
      <c r="H143" s="3">
        <v>46159</v>
      </c>
    </row>
    <row r="144" spans="1:8" ht="15" x14ac:dyDescent="0.2">
      <c r="A144">
        <v>741</v>
      </c>
      <c r="B144" t="s">
        <v>246</v>
      </c>
      <c r="C144" t="s">
        <v>247</v>
      </c>
      <c r="D144" t="s">
        <v>23</v>
      </c>
      <c r="E144" t="s">
        <v>24</v>
      </c>
      <c r="F144" t="s">
        <v>27</v>
      </c>
      <c r="G144">
        <v>4</v>
      </c>
      <c r="H144" s="3">
        <v>46159</v>
      </c>
    </row>
    <row r="145" spans="1:8" ht="15" x14ac:dyDescent="0.2">
      <c r="A145">
        <v>1298</v>
      </c>
      <c r="B145" t="s">
        <v>246</v>
      </c>
      <c r="C145" t="s">
        <v>132</v>
      </c>
      <c r="D145" t="s">
        <v>23</v>
      </c>
      <c r="E145" t="s">
        <v>30</v>
      </c>
      <c r="F145" t="s">
        <v>27</v>
      </c>
      <c r="G145">
        <v>13</v>
      </c>
      <c r="H145" s="3">
        <v>46159</v>
      </c>
    </row>
    <row r="146" spans="1:8" ht="15" x14ac:dyDescent="0.2">
      <c r="A146">
        <v>747</v>
      </c>
      <c r="B146" t="s">
        <v>246</v>
      </c>
      <c r="C146" t="s">
        <v>22</v>
      </c>
      <c r="D146" t="s">
        <v>23</v>
      </c>
      <c r="E146" t="s">
        <v>24</v>
      </c>
      <c r="F146" t="s">
        <v>27</v>
      </c>
      <c r="G146">
        <v>1</v>
      </c>
      <c r="H146" s="3">
        <v>46159</v>
      </c>
    </row>
    <row r="147" spans="1:8" ht="15" x14ac:dyDescent="0.2">
      <c r="A147">
        <v>1386</v>
      </c>
      <c r="B147" t="s">
        <v>246</v>
      </c>
      <c r="C147" t="s">
        <v>248</v>
      </c>
      <c r="D147" t="s">
        <v>23</v>
      </c>
      <c r="E147" t="s">
        <v>30</v>
      </c>
      <c r="F147" t="s">
        <v>35</v>
      </c>
      <c r="H147" s="3">
        <v>46159</v>
      </c>
    </row>
    <row r="148" spans="1:8" ht="15" x14ac:dyDescent="0.2">
      <c r="A148">
        <v>1221</v>
      </c>
      <c r="B148" t="s">
        <v>249</v>
      </c>
      <c r="C148" t="s">
        <v>234</v>
      </c>
      <c r="D148" t="s">
        <v>23</v>
      </c>
      <c r="E148" t="s">
        <v>24</v>
      </c>
      <c r="F148" t="s">
        <v>25</v>
      </c>
      <c r="H148" s="3">
        <v>46159</v>
      </c>
    </row>
    <row r="149" spans="1:8" ht="15" x14ac:dyDescent="0.2">
      <c r="A149">
        <v>564</v>
      </c>
      <c r="B149" t="s">
        <v>250</v>
      </c>
      <c r="C149" t="s">
        <v>34</v>
      </c>
      <c r="D149" t="s">
        <v>23</v>
      </c>
      <c r="E149" t="s">
        <v>24</v>
      </c>
      <c r="F149" t="s">
        <v>27</v>
      </c>
      <c r="G149">
        <v>7</v>
      </c>
      <c r="H149" s="3">
        <v>46159</v>
      </c>
    </row>
    <row r="150" spans="1:8" ht="15" x14ac:dyDescent="0.2">
      <c r="A150">
        <v>1165</v>
      </c>
      <c r="B150" t="s">
        <v>251</v>
      </c>
      <c r="C150" t="s">
        <v>177</v>
      </c>
      <c r="D150" t="s">
        <v>23</v>
      </c>
      <c r="E150" t="s">
        <v>24</v>
      </c>
      <c r="F150" t="s">
        <v>27</v>
      </c>
      <c r="G150">
        <v>10</v>
      </c>
      <c r="H150" s="3">
        <v>46159</v>
      </c>
    </row>
    <row r="151" spans="1:8" ht="15" x14ac:dyDescent="0.2">
      <c r="A151">
        <v>405</v>
      </c>
      <c r="B151" t="s">
        <v>252</v>
      </c>
      <c r="C151" t="s">
        <v>243</v>
      </c>
      <c r="D151" t="s">
        <v>23</v>
      </c>
      <c r="E151" t="s">
        <v>24</v>
      </c>
      <c r="F151" t="s">
        <v>27</v>
      </c>
      <c r="G151">
        <v>18</v>
      </c>
      <c r="H151" s="3">
        <v>46159</v>
      </c>
    </row>
    <row r="152" spans="1:8" ht="15" x14ac:dyDescent="0.2">
      <c r="A152">
        <v>1346</v>
      </c>
      <c r="B152" t="s">
        <v>253</v>
      </c>
      <c r="C152" t="s">
        <v>254</v>
      </c>
      <c r="D152" t="s">
        <v>23</v>
      </c>
      <c r="E152" t="s">
        <v>24</v>
      </c>
      <c r="F152" t="s">
        <v>27</v>
      </c>
      <c r="G152">
        <v>20</v>
      </c>
      <c r="H152" s="3">
        <v>46159</v>
      </c>
    </row>
    <row r="153" spans="1:8" ht="15" x14ac:dyDescent="0.2">
      <c r="A153">
        <v>1192</v>
      </c>
      <c r="B153" t="s">
        <v>255</v>
      </c>
      <c r="C153" t="s">
        <v>256</v>
      </c>
      <c r="D153" t="s">
        <v>23</v>
      </c>
      <c r="E153" t="s">
        <v>24</v>
      </c>
      <c r="F153" t="s">
        <v>27</v>
      </c>
      <c r="G153">
        <v>10</v>
      </c>
      <c r="H153" s="3">
        <v>46159</v>
      </c>
    </row>
    <row r="154" spans="1:8" ht="15" x14ac:dyDescent="0.2">
      <c r="A154">
        <v>1157</v>
      </c>
      <c r="B154" t="s">
        <v>257</v>
      </c>
      <c r="C154" t="s">
        <v>100</v>
      </c>
      <c r="D154" t="s">
        <v>23</v>
      </c>
      <c r="E154" t="s">
        <v>24</v>
      </c>
      <c r="F154" t="s">
        <v>25</v>
      </c>
      <c r="H154" s="3">
        <v>46159</v>
      </c>
    </row>
    <row r="155" spans="1:8" ht="15" x14ac:dyDescent="0.2">
      <c r="A155">
        <v>1359</v>
      </c>
      <c r="B155" t="s">
        <v>258</v>
      </c>
      <c r="C155" t="s">
        <v>49</v>
      </c>
      <c r="D155" t="s">
        <v>23</v>
      </c>
      <c r="E155" t="s">
        <v>24</v>
      </c>
      <c r="F155" t="s">
        <v>188</v>
      </c>
      <c r="H155" s="3">
        <v>46159</v>
      </c>
    </row>
    <row r="156" spans="1:8" ht="15" x14ac:dyDescent="0.2">
      <c r="A156">
        <v>1360</v>
      </c>
      <c r="B156" t="s">
        <v>258</v>
      </c>
      <c r="C156" t="s">
        <v>259</v>
      </c>
      <c r="D156" t="s">
        <v>23</v>
      </c>
      <c r="E156" t="s">
        <v>30</v>
      </c>
      <c r="F156" t="s">
        <v>35</v>
      </c>
      <c r="H156" s="3">
        <v>46159</v>
      </c>
    </row>
    <row r="157" spans="1:8" ht="15" x14ac:dyDescent="0.2">
      <c r="A157">
        <v>1357</v>
      </c>
      <c r="B157" t="s">
        <v>258</v>
      </c>
      <c r="C157" t="s">
        <v>34</v>
      </c>
      <c r="D157" t="s">
        <v>23</v>
      </c>
      <c r="E157" t="s">
        <v>24</v>
      </c>
      <c r="F157" t="s">
        <v>27</v>
      </c>
      <c r="G157">
        <v>5</v>
      </c>
      <c r="H157" s="3">
        <v>46159</v>
      </c>
    </row>
    <row r="158" spans="1:8" ht="15" x14ac:dyDescent="0.2">
      <c r="A158">
        <v>1358</v>
      </c>
      <c r="B158" t="s">
        <v>258</v>
      </c>
      <c r="C158" t="s">
        <v>260</v>
      </c>
      <c r="D158" t="s">
        <v>23</v>
      </c>
      <c r="E158" t="s">
        <v>30</v>
      </c>
      <c r="F158" t="s">
        <v>27</v>
      </c>
      <c r="G158">
        <v>7</v>
      </c>
      <c r="H158" s="3">
        <v>46159</v>
      </c>
    </row>
    <row r="159" spans="1:8" ht="15" x14ac:dyDescent="0.2">
      <c r="A159">
        <v>1390</v>
      </c>
      <c r="B159" t="s">
        <v>261</v>
      </c>
      <c r="C159" t="s">
        <v>262</v>
      </c>
      <c r="D159" t="s">
        <v>23</v>
      </c>
      <c r="E159" t="s">
        <v>24</v>
      </c>
      <c r="F159" t="s">
        <v>25</v>
      </c>
      <c r="H159" s="3">
        <v>46159</v>
      </c>
    </row>
    <row r="160" spans="1:8" ht="15" x14ac:dyDescent="0.2">
      <c r="A160">
        <v>1107</v>
      </c>
      <c r="B160" t="s">
        <v>263</v>
      </c>
      <c r="C160" t="s">
        <v>264</v>
      </c>
      <c r="D160" t="s">
        <v>23</v>
      </c>
      <c r="E160" t="s">
        <v>30</v>
      </c>
      <c r="F160" t="s">
        <v>25</v>
      </c>
      <c r="H160" s="3">
        <v>46159</v>
      </c>
    </row>
    <row r="161" spans="1:8" ht="15" x14ac:dyDescent="0.2">
      <c r="A161">
        <v>35</v>
      </c>
      <c r="B161" t="s">
        <v>265</v>
      </c>
      <c r="C161" t="s">
        <v>266</v>
      </c>
      <c r="D161" t="s">
        <v>23</v>
      </c>
      <c r="E161" t="s">
        <v>24</v>
      </c>
      <c r="F161" t="s">
        <v>27</v>
      </c>
      <c r="G161">
        <v>3</v>
      </c>
      <c r="H161" s="3">
        <v>46159</v>
      </c>
    </row>
    <row r="162" spans="1:8" ht="15" x14ac:dyDescent="0.2">
      <c r="A162">
        <v>1094</v>
      </c>
      <c r="B162" t="s">
        <v>267</v>
      </c>
      <c r="C162" t="s">
        <v>268</v>
      </c>
      <c r="D162" t="s">
        <v>23</v>
      </c>
      <c r="E162" t="s">
        <v>24</v>
      </c>
      <c r="F162" t="s">
        <v>27</v>
      </c>
      <c r="G162">
        <v>12</v>
      </c>
      <c r="H162" s="3">
        <v>46159</v>
      </c>
    </row>
    <row r="163" spans="1:8" ht="15" x14ac:dyDescent="0.2">
      <c r="A163">
        <v>1325</v>
      </c>
      <c r="B163" t="s">
        <v>269</v>
      </c>
      <c r="C163" t="s">
        <v>270</v>
      </c>
      <c r="D163" t="s">
        <v>23</v>
      </c>
      <c r="E163" t="s">
        <v>24</v>
      </c>
      <c r="F163" t="s">
        <v>27</v>
      </c>
      <c r="G163">
        <v>3</v>
      </c>
      <c r="H163" s="3">
        <v>46159</v>
      </c>
    </row>
    <row r="164" spans="1:8" ht="15" x14ac:dyDescent="0.2">
      <c r="A164">
        <v>1143</v>
      </c>
      <c r="B164" t="s">
        <v>271</v>
      </c>
      <c r="C164" t="s">
        <v>247</v>
      </c>
      <c r="D164" t="s">
        <v>23</v>
      </c>
      <c r="E164" t="s">
        <v>24</v>
      </c>
      <c r="F164" t="s">
        <v>27</v>
      </c>
      <c r="G164">
        <v>3</v>
      </c>
      <c r="H164" s="3">
        <v>46159</v>
      </c>
    </row>
    <row r="165" spans="1:8" ht="15" x14ac:dyDescent="0.2">
      <c r="A165">
        <v>1401</v>
      </c>
      <c r="B165" t="s">
        <v>272</v>
      </c>
      <c r="C165" t="s">
        <v>273</v>
      </c>
      <c r="D165" t="s">
        <v>23</v>
      </c>
      <c r="E165" t="s">
        <v>30</v>
      </c>
      <c r="F165" t="s">
        <v>25</v>
      </c>
      <c r="H165" s="3">
        <v>46159</v>
      </c>
    </row>
    <row r="166" spans="1:8" ht="15" x14ac:dyDescent="0.2">
      <c r="A166">
        <v>1285</v>
      </c>
      <c r="B166" t="s">
        <v>274</v>
      </c>
      <c r="C166" t="s">
        <v>100</v>
      </c>
      <c r="D166" t="s">
        <v>23</v>
      </c>
      <c r="E166" t="s">
        <v>24</v>
      </c>
      <c r="F166" t="s">
        <v>25</v>
      </c>
      <c r="H166" s="3">
        <v>46159</v>
      </c>
    </row>
    <row r="167" spans="1:8" ht="15" x14ac:dyDescent="0.2">
      <c r="A167">
        <v>38</v>
      </c>
      <c r="B167" t="s">
        <v>275</v>
      </c>
      <c r="C167" t="s">
        <v>276</v>
      </c>
      <c r="D167" t="s">
        <v>23</v>
      </c>
      <c r="E167" t="s">
        <v>24</v>
      </c>
      <c r="F167" t="s">
        <v>27</v>
      </c>
      <c r="G167">
        <v>13</v>
      </c>
      <c r="H167" s="3">
        <v>46159</v>
      </c>
    </row>
    <row r="168" spans="1:8" ht="15" x14ac:dyDescent="0.2">
      <c r="A168">
        <v>245</v>
      </c>
      <c r="B168" t="s">
        <v>277</v>
      </c>
      <c r="C168" t="s">
        <v>234</v>
      </c>
      <c r="D168" t="s">
        <v>23</v>
      </c>
      <c r="E168" t="s">
        <v>24</v>
      </c>
      <c r="F168" t="s">
        <v>27</v>
      </c>
      <c r="G168">
        <v>10</v>
      </c>
      <c r="H168" s="3">
        <v>46159</v>
      </c>
    </row>
    <row r="169" spans="1:8" ht="15" x14ac:dyDescent="0.2">
      <c r="A169">
        <v>39</v>
      </c>
      <c r="B169" t="s">
        <v>277</v>
      </c>
      <c r="C169" t="s">
        <v>278</v>
      </c>
      <c r="D169" t="s">
        <v>23</v>
      </c>
      <c r="E169" t="s">
        <v>24</v>
      </c>
      <c r="F169" t="s">
        <v>27</v>
      </c>
      <c r="G169">
        <v>43</v>
      </c>
      <c r="H169" s="3">
        <v>46159</v>
      </c>
    </row>
    <row r="170" spans="1:8" ht="15" x14ac:dyDescent="0.2">
      <c r="A170">
        <v>508</v>
      </c>
      <c r="B170" t="s">
        <v>279</v>
      </c>
      <c r="C170" t="s">
        <v>59</v>
      </c>
      <c r="D170" t="s">
        <v>23</v>
      </c>
      <c r="E170" t="s">
        <v>24</v>
      </c>
      <c r="F170" t="s">
        <v>27</v>
      </c>
      <c r="G170">
        <v>31</v>
      </c>
      <c r="H170" s="3">
        <v>46159</v>
      </c>
    </row>
    <row r="171" spans="1:8" ht="15" x14ac:dyDescent="0.2">
      <c r="A171">
        <v>1025</v>
      </c>
      <c r="B171" t="s">
        <v>280</v>
      </c>
      <c r="C171" t="s">
        <v>281</v>
      </c>
      <c r="D171" t="s">
        <v>23</v>
      </c>
      <c r="E171" t="s">
        <v>24</v>
      </c>
      <c r="F171" t="s">
        <v>35</v>
      </c>
      <c r="H171" s="3">
        <v>46159</v>
      </c>
    </row>
    <row r="172" spans="1:8" ht="15" x14ac:dyDescent="0.2">
      <c r="A172">
        <v>1024</v>
      </c>
      <c r="B172" t="s">
        <v>280</v>
      </c>
      <c r="C172" t="s">
        <v>282</v>
      </c>
      <c r="D172" t="s">
        <v>23</v>
      </c>
      <c r="E172" t="s">
        <v>24</v>
      </c>
      <c r="F172" t="s">
        <v>188</v>
      </c>
      <c r="H172" s="3">
        <v>46159</v>
      </c>
    </row>
    <row r="173" spans="1:8" ht="15" x14ac:dyDescent="0.2">
      <c r="A173">
        <v>1023</v>
      </c>
      <c r="B173" t="s">
        <v>280</v>
      </c>
      <c r="C173" t="s">
        <v>39</v>
      </c>
      <c r="D173" t="s">
        <v>23</v>
      </c>
      <c r="E173" t="s">
        <v>24</v>
      </c>
      <c r="F173" t="s">
        <v>25</v>
      </c>
      <c r="H173" s="3">
        <v>46159</v>
      </c>
    </row>
    <row r="174" spans="1:8" ht="15" x14ac:dyDescent="0.2">
      <c r="A174">
        <v>1232</v>
      </c>
      <c r="B174" t="s">
        <v>280</v>
      </c>
      <c r="C174" t="s">
        <v>283</v>
      </c>
      <c r="D174" t="s">
        <v>23</v>
      </c>
      <c r="E174" t="s">
        <v>30</v>
      </c>
      <c r="F174" t="s">
        <v>27</v>
      </c>
      <c r="G174">
        <v>4</v>
      </c>
      <c r="H174" s="3">
        <v>46159</v>
      </c>
    </row>
    <row r="175" spans="1:8" ht="15" x14ac:dyDescent="0.2">
      <c r="A175">
        <v>1392</v>
      </c>
      <c r="B175" t="s">
        <v>284</v>
      </c>
      <c r="C175" t="s">
        <v>285</v>
      </c>
      <c r="D175" t="s">
        <v>23</v>
      </c>
      <c r="E175" t="s">
        <v>30</v>
      </c>
      <c r="F175" t="s">
        <v>25</v>
      </c>
      <c r="H175" s="3">
        <v>46159</v>
      </c>
    </row>
    <row r="176" spans="1:8" ht="15" x14ac:dyDescent="0.2">
      <c r="A176">
        <v>1141</v>
      </c>
      <c r="B176" t="s">
        <v>286</v>
      </c>
      <c r="C176" t="s">
        <v>287</v>
      </c>
      <c r="D176" t="s">
        <v>23</v>
      </c>
      <c r="E176" t="s">
        <v>30</v>
      </c>
      <c r="F176" t="s">
        <v>27</v>
      </c>
      <c r="G176">
        <v>15</v>
      </c>
      <c r="H176" s="3">
        <v>46159</v>
      </c>
    </row>
    <row r="177" spans="1:8" ht="15" x14ac:dyDescent="0.2">
      <c r="A177">
        <v>891</v>
      </c>
      <c r="B177" t="s">
        <v>288</v>
      </c>
      <c r="C177" t="s">
        <v>289</v>
      </c>
      <c r="D177" t="s">
        <v>23</v>
      </c>
      <c r="E177" t="s">
        <v>30</v>
      </c>
      <c r="F177" t="s">
        <v>25</v>
      </c>
      <c r="H177" s="3">
        <v>46159</v>
      </c>
    </row>
    <row r="178" spans="1:8" ht="15" x14ac:dyDescent="0.2">
      <c r="A178">
        <v>1352</v>
      </c>
      <c r="B178" t="s">
        <v>290</v>
      </c>
      <c r="C178" t="s">
        <v>34</v>
      </c>
      <c r="D178" t="s">
        <v>23</v>
      </c>
      <c r="E178" t="s">
        <v>24</v>
      </c>
      <c r="F178" t="s">
        <v>27</v>
      </c>
      <c r="G178">
        <v>11</v>
      </c>
      <c r="H178" s="3">
        <v>46159</v>
      </c>
    </row>
    <row r="179" spans="1:8" ht="15" x14ac:dyDescent="0.2">
      <c r="A179">
        <v>1339</v>
      </c>
      <c r="B179" t="s">
        <v>291</v>
      </c>
      <c r="C179" t="s">
        <v>292</v>
      </c>
      <c r="D179" t="s">
        <v>23</v>
      </c>
      <c r="E179" t="s">
        <v>24</v>
      </c>
      <c r="F179" t="s">
        <v>25</v>
      </c>
      <c r="H179" s="3">
        <v>46159</v>
      </c>
    </row>
    <row r="180" spans="1:8" ht="15" x14ac:dyDescent="0.2">
      <c r="A180">
        <v>914</v>
      </c>
      <c r="B180" t="s">
        <v>293</v>
      </c>
      <c r="C180" t="s">
        <v>153</v>
      </c>
      <c r="D180" t="s">
        <v>23</v>
      </c>
      <c r="E180" t="s">
        <v>24</v>
      </c>
      <c r="F180" t="s">
        <v>27</v>
      </c>
      <c r="G180">
        <v>14</v>
      </c>
      <c r="H180" s="3">
        <v>46159</v>
      </c>
    </row>
    <row r="181" spans="1:8" ht="15" x14ac:dyDescent="0.2">
      <c r="A181">
        <v>597</v>
      </c>
      <c r="B181" t="s">
        <v>294</v>
      </c>
      <c r="C181" t="s">
        <v>295</v>
      </c>
      <c r="D181" t="s">
        <v>23</v>
      </c>
      <c r="E181" t="s">
        <v>24</v>
      </c>
      <c r="F181" t="s">
        <v>27</v>
      </c>
      <c r="G181">
        <v>36</v>
      </c>
      <c r="H181" s="3">
        <v>46159</v>
      </c>
    </row>
    <row r="182" spans="1:8" ht="15" x14ac:dyDescent="0.2">
      <c r="A182">
        <v>1038</v>
      </c>
      <c r="B182" t="s">
        <v>293</v>
      </c>
      <c r="C182" t="s">
        <v>51</v>
      </c>
      <c r="D182" t="s">
        <v>23</v>
      </c>
      <c r="E182" t="s">
        <v>24</v>
      </c>
      <c r="F182" t="s">
        <v>27</v>
      </c>
      <c r="G182">
        <v>12</v>
      </c>
      <c r="H182" s="3">
        <v>46159</v>
      </c>
    </row>
    <row r="183" spans="1:8" ht="15" x14ac:dyDescent="0.2">
      <c r="A183">
        <v>1347</v>
      </c>
      <c r="B183" t="s">
        <v>296</v>
      </c>
      <c r="C183" t="s">
        <v>104</v>
      </c>
      <c r="D183" t="s">
        <v>23</v>
      </c>
      <c r="E183" t="s">
        <v>24</v>
      </c>
      <c r="F183" t="s">
        <v>25</v>
      </c>
      <c r="H183" s="3">
        <v>46159</v>
      </c>
    </row>
    <row r="184" spans="1:8" ht="15" x14ac:dyDescent="0.2">
      <c r="A184">
        <v>1242</v>
      </c>
      <c r="B184" t="s">
        <v>297</v>
      </c>
      <c r="C184" t="s">
        <v>190</v>
      </c>
      <c r="D184" t="s">
        <v>23</v>
      </c>
      <c r="E184" t="s">
        <v>24</v>
      </c>
      <c r="F184" t="s">
        <v>27</v>
      </c>
      <c r="G184">
        <v>15</v>
      </c>
      <c r="H184" s="3">
        <v>46159</v>
      </c>
    </row>
    <row r="185" spans="1:8" ht="15" x14ac:dyDescent="0.2">
      <c r="A185">
        <v>1048</v>
      </c>
      <c r="B185" t="s">
        <v>298</v>
      </c>
      <c r="C185" t="s">
        <v>268</v>
      </c>
      <c r="D185" t="s">
        <v>23</v>
      </c>
      <c r="E185" t="s">
        <v>24</v>
      </c>
      <c r="F185" t="s">
        <v>27</v>
      </c>
      <c r="G185">
        <v>16</v>
      </c>
      <c r="H185" s="3">
        <v>46159</v>
      </c>
    </row>
    <row r="186" spans="1:8" ht="15" x14ac:dyDescent="0.2">
      <c r="A186">
        <v>1055</v>
      </c>
      <c r="B186" t="s">
        <v>298</v>
      </c>
      <c r="C186" t="s">
        <v>299</v>
      </c>
      <c r="D186" t="s">
        <v>23</v>
      </c>
      <c r="E186" t="s">
        <v>24</v>
      </c>
      <c r="F186" t="s">
        <v>27</v>
      </c>
      <c r="G186">
        <v>1</v>
      </c>
      <c r="H186" s="3">
        <v>46159</v>
      </c>
    </row>
    <row r="187" spans="1:8" ht="15" x14ac:dyDescent="0.2">
      <c r="A187">
        <v>1095</v>
      </c>
      <c r="B187" t="s">
        <v>298</v>
      </c>
      <c r="C187" t="s">
        <v>300</v>
      </c>
      <c r="D187" t="s">
        <v>23</v>
      </c>
      <c r="E187" t="s">
        <v>24</v>
      </c>
      <c r="F187" t="s">
        <v>27</v>
      </c>
      <c r="G187">
        <v>33</v>
      </c>
      <c r="H187" s="3">
        <v>46159</v>
      </c>
    </row>
    <row r="188" spans="1:8" ht="15" x14ac:dyDescent="0.2">
      <c r="A188">
        <v>820</v>
      </c>
      <c r="B188" t="s">
        <v>298</v>
      </c>
      <c r="C188" t="s">
        <v>139</v>
      </c>
      <c r="D188" t="s">
        <v>23</v>
      </c>
      <c r="E188" t="s">
        <v>30</v>
      </c>
      <c r="F188" t="s">
        <v>27</v>
      </c>
      <c r="G188">
        <v>6</v>
      </c>
      <c r="H188" s="3">
        <v>46159</v>
      </c>
    </row>
    <row r="189" spans="1:8" ht="15" x14ac:dyDescent="0.2">
      <c r="A189">
        <v>687</v>
      </c>
      <c r="B189" t="s">
        <v>298</v>
      </c>
      <c r="C189" t="s">
        <v>301</v>
      </c>
      <c r="D189" t="s">
        <v>23</v>
      </c>
      <c r="E189" t="s">
        <v>24</v>
      </c>
      <c r="F189" t="s">
        <v>27</v>
      </c>
      <c r="G189">
        <v>7</v>
      </c>
      <c r="H189" s="3">
        <v>46159</v>
      </c>
    </row>
    <row r="190" spans="1:8" ht="15" x14ac:dyDescent="0.2">
      <c r="A190">
        <v>1420</v>
      </c>
      <c r="B190" t="s">
        <v>302</v>
      </c>
      <c r="C190" t="s">
        <v>212</v>
      </c>
      <c r="D190" t="s">
        <v>23</v>
      </c>
      <c r="E190" t="s">
        <v>30</v>
      </c>
      <c r="F190" t="s">
        <v>27</v>
      </c>
      <c r="G190">
        <v>15</v>
      </c>
      <c r="H190" s="3">
        <v>46159</v>
      </c>
    </row>
    <row r="191" spans="1:8" ht="15" x14ac:dyDescent="0.2">
      <c r="A191">
        <v>1410</v>
      </c>
      <c r="B191" t="s">
        <v>104</v>
      </c>
      <c r="C191" t="s">
        <v>303</v>
      </c>
      <c r="D191" t="s">
        <v>23</v>
      </c>
      <c r="E191" t="s">
        <v>24</v>
      </c>
      <c r="F191" t="s">
        <v>25</v>
      </c>
      <c r="H191" s="3">
        <v>46159</v>
      </c>
    </row>
    <row r="192" spans="1:8" ht="15" x14ac:dyDescent="0.2">
      <c r="A192">
        <v>1161</v>
      </c>
      <c r="B192" t="s">
        <v>304</v>
      </c>
      <c r="C192" t="s">
        <v>305</v>
      </c>
      <c r="D192" t="s">
        <v>23</v>
      </c>
      <c r="E192" t="s">
        <v>24</v>
      </c>
      <c r="F192" t="s">
        <v>25</v>
      </c>
      <c r="H192" s="3">
        <v>46159</v>
      </c>
    </row>
    <row r="193" spans="1:8" ht="15" x14ac:dyDescent="0.2">
      <c r="A193">
        <v>890</v>
      </c>
      <c r="B193" t="s">
        <v>306</v>
      </c>
      <c r="C193" t="s">
        <v>307</v>
      </c>
      <c r="D193" t="s">
        <v>54</v>
      </c>
      <c r="E193" t="s">
        <v>24</v>
      </c>
      <c r="F193" t="s">
        <v>27</v>
      </c>
      <c r="G193">
        <v>23</v>
      </c>
      <c r="H193" s="3">
        <v>46159</v>
      </c>
    </row>
    <row r="194" spans="1:8" ht="15" x14ac:dyDescent="0.2">
      <c r="A194">
        <v>1166</v>
      </c>
      <c r="B194" t="s">
        <v>308</v>
      </c>
      <c r="C194" t="s">
        <v>143</v>
      </c>
      <c r="D194" t="s">
        <v>54</v>
      </c>
      <c r="E194" t="s">
        <v>24</v>
      </c>
      <c r="F194" t="s">
        <v>27</v>
      </c>
      <c r="G194">
        <v>5</v>
      </c>
      <c r="H194" s="3">
        <v>46159</v>
      </c>
    </row>
    <row r="195" spans="1:8" ht="15" x14ac:dyDescent="0.2">
      <c r="A195">
        <v>45</v>
      </c>
      <c r="B195" t="s">
        <v>309</v>
      </c>
      <c r="C195" t="s">
        <v>310</v>
      </c>
      <c r="D195" t="s">
        <v>23</v>
      </c>
      <c r="E195" t="s">
        <v>24</v>
      </c>
      <c r="F195" t="s">
        <v>27</v>
      </c>
      <c r="G195">
        <v>20</v>
      </c>
      <c r="H195" s="3">
        <v>46159</v>
      </c>
    </row>
    <row r="196" spans="1:8" ht="15" x14ac:dyDescent="0.2">
      <c r="A196">
        <v>1160</v>
      </c>
      <c r="B196" t="s">
        <v>311</v>
      </c>
      <c r="C196" t="s">
        <v>312</v>
      </c>
      <c r="D196" t="s">
        <v>23</v>
      </c>
      <c r="E196" t="s">
        <v>24</v>
      </c>
      <c r="F196" t="s">
        <v>25</v>
      </c>
      <c r="H196" s="3">
        <v>46159</v>
      </c>
    </row>
    <row r="197" spans="1:8" ht="15" x14ac:dyDescent="0.2">
      <c r="A197">
        <v>945</v>
      </c>
      <c r="B197" t="s">
        <v>313</v>
      </c>
      <c r="C197" t="s">
        <v>49</v>
      </c>
      <c r="D197" t="s">
        <v>23</v>
      </c>
      <c r="E197" t="s">
        <v>24</v>
      </c>
      <c r="F197" t="s">
        <v>25</v>
      </c>
      <c r="H197" s="3">
        <v>46159</v>
      </c>
    </row>
    <row r="198" spans="1:8" ht="15" x14ac:dyDescent="0.2">
      <c r="A198">
        <v>813</v>
      </c>
      <c r="B198" t="s">
        <v>313</v>
      </c>
      <c r="C198" t="s">
        <v>289</v>
      </c>
      <c r="D198" t="s">
        <v>23</v>
      </c>
      <c r="E198" t="s">
        <v>30</v>
      </c>
      <c r="F198" t="s">
        <v>27</v>
      </c>
      <c r="G198">
        <v>7</v>
      </c>
      <c r="H198" s="3">
        <v>46159</v>
      </c>
    </row>
    <row r="199" spans="1:8" ht="15" x14ac:dyDescent="0.2">
      <c r="A199">
        <v>812</v>
      </c>
      <c r="B199" t="s">
        <v>313</v>
      </c>
      <c r="C199" t="s">
        <v>170</v>
      </c>
      <c r="D199" t="s">
        <v>23</v>
      </c>
      <c r="E199" t="s">
        <v>24</v>
      </c>
      <c r="F199" t="s">
        <v>27</v>
      </c>
      <c r="G199">
        <v>9</v>
      </c>
      <c r="H199" s="3">
        <v>46159</v>
      </c>
    </row>
    <row r="200" spans="1:8" ht="15" x14ac:dyDescent="0.2">
      <c r="A200">
        <v>1129</v>
      </c>
      <c r="B200" t="s">
        <v>314</v>
      </c>
      <c r="C200" t="s">
        <v>315</v>
      </c>
      <c r="D200" t="s">
        <v>23</v>
      </c>
      <c r="E200" t="s">
        <v>24</v>
      </c>
      <c r="F200" t="s">
        <v>27</v>
      </c>
      <c r="G200">
        <v>12</v>
      </c>
      <c r="H200" s="3">
        <v>46159</v>
      </c>
    </row>
    <row r="201" spans="1:8" ht="15" x14ac:dyDescent="0.2">
      <c r="A201">
        <v>915</v>
      </c>
      <c r="B201" t="s">
        <v>316</v>
      </c>
      <c r="C201" t="s">
        <v>241</v>
      </c>
      <c r="D201" t="s">
        <v>23</v>
      </c>
      <c r="E201" t="s">
        <v>24</v>
      </c>
      <c r="F201" t="s">
        <v>27</v>
      </c>
      <c r="G201">
        <v>8</v>
      </c>
      <c r="H201" s="3">
        <v>46159</v>
      </c>
    </row>
    <row r="202" spans="1:8" ht="15" x14ac:dyDescent="0.2">
      <c r="A202">
        <v>1356</v>
      </c>
      <c r="B202" t="s">
        <v>317</v>
      </c>
      <c r="C202" t="s">
        <v>318</v>
      </c>
      <c r="D202" t="s">
        <v>54</v>
      </c>
      <c r="E202" t="s">
        <v>24</v>
      </c>
      <c r="F202" t="s">
        <v>27</v>
      </c>
      <c r="G202">
        <v>15</v>
      </c>
      <c r="H202" s="3">
        <v>46159</v>
      </c>
    </row>
    <row r="203" spans="1:8" ht="15" x14ac:dyDescent="0.2">
      <c r="A203">
        <v>1422</v>
      </c>
      <c r="B203" t="s">
        <v>319</v>
      </c>
      <c r="C203" t="s">
        <v>320</v>
      </c>
      <c r="D203" t="s">
        <v>54</v>
      </c>
      <c r="E203" t="s">
        <v>30</v>
      </c>
      <c r="F203" t="s">
        <v>25</v>
      </c>
      <c r="H203" s="3">
        <v>46159</v>
      </c>
    </row>
    <row r="204" spans="1:8" ht="15" x14ac:dyDescent="0.2">
      <c r="A204">
        <v>860</v>
      </c>
      <c r="B204" t="s">
        <v>321</v>
      </c>
      <c r="C204" t="s">
        <v>215</v>
      </c>
      <c r="D204" t="s">
        <v>23</v>
      </c>
      <c r="E204" t="s">
        <v>30</v>
      </c>
      <c r="F204" t="s">
        <v>25</v>
      </c>
      <c r="H204" s="3">
        <v>46159</v>
      </c>
    </row>
    <row r="205" spans="1:8" ht="15" x14ac:dyDescent="0.2">
      <c r="A205">
        <v>756</v>
      </c>
      <c r="B205" t="s">
        <v>321</v>
      </c>
      <c r="C205" t="s">
        <v>322</v>
      </c>
      <c r="D205" t="s">
        <v>23</v>
      </c>
      <c r="E205" t="s">
        <v>24</v>
      </c>
      <c r="F205" t="s">
        <v>25</v>
      </c>
      <c r="H205" s="3">
        <v>46159</v>
      </c>
    </row>
    <row r="206" spans="1:8" ht="15" x14ac:dyDescent="0.2">
      <c r="A206">
        <v>407</v>
      </c>
      <c r="B206" t="s">
        <v>321</v>
      </c>
      <c r="C206" t="s">
        <v>323</v>
      </c>
      <c r="D206" t="s">
        <v>23</v>
      </c>
      <c r="E206" t="s">
        <v>24</v>
      </c>
      <c r="F206" t="s">
        <v>27</v>
      </c>
      <c r="G206">
        <v>5</v>
      </c>
      <c r="H206" s="3">
        <v>46159</v>
      </c>
    </row>
    <row r="207" spans="1:8" ht="15" x14ac:dyDescent="0.2">
      <c r="A207">
        <v>1428</v>
      </c>
      <c r="B207" t="s">
        <v>324</v>
      </c>
      <c r="C207" t="s">
        <v>325</v>
      </c>
      <c r="D207" t="s">
        <v>23</v>
      </c>
      <c r="E207" t="s">
        <v>24</v>
      </c>
      <c r="F207" t="s">
        <v>35</v>
      </c>
      <c r="H207" s="3">
        <v>46159</v>
      </c>
    </row>
    <row r="208" spans="1:8" ht="15" x14ac:dyDescent="0.2">
      <c r="A208">
        <v>1423</v>
      </c>
      <c r="B208" t="s">
        <v>326</v>
      </c>
      <c r="C208" t="s">
        <v>83</v>
      </c>
      <c r="D208" t="s">
        <v>23</v>
      </c>
      <c r="E208" t="s">
        <v>24</v>
      </c>
      <c r="F208" t="s">
        <v>25</v>
      </c>
      <c r="H208" s="3">
        <v>46159</v>
      </c>
    </row>
    <row r="209" spans="1:8" ht="15" x14ac:dyDescent="0.2">
      <c r="A209">
        <v>1424</v>
      </c>
      <c r="B209" t="s">
        <v>326</v>
      </c>
      <c r="C209" t="s">
        <v>259</v>
      </c>
      <c r="D209" t="s">
        <v>23</v>
      </c>
      <c r="E209" t="s">
        <v>30</v>
      </c>
      <c r="F209" t="s">
        <v>25</v>
      </c>
      <c r="H209" s="3">
        <v>46159</v>
      </c>
    </row>
    <row r="210" spans="1:8" ht="15" x14ac:dyDescent="0.2">
      <c r="A210">
        <v>1425</v>
      </c>
      <c r="B210" t="s">
        <v>326</v>
      </c>
      <c r="C210" t="s">
        <v>327</v>
      </c>
      <c r="D210" t="s">
        <v>23</v>
      </c>
      <c r="E210" t="s">
        <v>24</v>
      </c>
      <c r="F210" t="s">
        <v>35</v>
      </c>
      <c r="H210" s="3">
        <v>46159</v>
      </c>
    </row>
    <row r="211" spans="1:8" ht="15" x14ac:dyDescent="0.2">
      <c r="A211">
        <v>1426</v>
      </c>
      <c r="B211" t="s">
        <v>326</v>
      </c>
      <c r="C211" t="s">
        <v>328</v>
      </c>
      <c r="D211" t="s">
        <v>23</v>
      </c>
      <c r="E211" t="s">
        <v>30</v>
      </c>
      <c r="F211" t="s">
        <v>35</v>
      </c>
      <c r="H211" s="3">
        <v>46159</v>
      </c>
    </row>
    <row r="212" spans="1:8" ht="15" x14ac:dyDescent="0.2">
      <c r="A212">
        <v>1312</v>
      </c>
      <c r="B212" t="s">
        <v>329</v>
      </c>
      <c r="C212" t="s">
        <v>287</v>
      </c>
      <c r="D212" t="s">
        <v>23</v>
      </c>
      <c r="E212" t="s">
        <v>30</v>
      </c>
      <c r="F212" t="s">
        <v>27</v>
      </c>
      <c r="G212">
        <v>35</v>
      </c>
      <c r="H212" s="3">
        <v>46159</v>
      </c>
    </row>
    <row r="213" spans="1:8" ht="15" x14ac:dyDescent="0.2">
      <c r="A213">
        <v>935</v>
      </c>
      <c r="B213" t="s">
        <v>330</v>
      </c>
      <c r="C213" t="s">
        <v>245</v>
      </c>
      <c r="D213" t="s">
        <v>23</v>
      </c>
      <c r="E213" t="s">
        <v>30</v>
      </c>
      <c r="F213" t="s">
        <v>25</v>
      </c>
      <c r="H213" s="3">
        <v>46159</v>
      </c>
    </row>
    <row r="214" spans="1:8" ht="15" x14ac:dyDescent="0.2">
      <c r="A214">
        <v>999</v>
      </c>
      <c r="B214" t="s">
        <v>330</v>
      </c>
      <c r="C214" t="s">
        <v>331</v>
      </c>
      <c r="D214" t="s">
        <v>23</v>
      </c>
      <c r="E214" t="s">
        <v>30</v>
      </c>
      <c r="F214" t="s">
        <v>25</v>
      </c>
      <c r="H214" s="3">
        <v>46159</v>
      </c>
    </row>
    <row r="215" spans="1:8" ht="15" x14ac:dyDescent="0.2">
      <c r="A215">
        <v>998</v>
      </c>
      <c r="B215" t="s">
        <v>330</v>
      </c>
      <c r="C215" t="s">
        <v>332</v>
      </c>
      <c r="D215" t="s">
        <v>23</v>
      </c>
      <c r="E215" t="s">
        <v>30</v>
      </c>
      <c r="F215" t="s">
        <v>27</v>
      </c>
      <c r="G215">
        <v>5</v>
      </c>
      <c r="H215" s="3">
        <v>46159</v>
      </c>
    </row>
    <row r="216" spans="1:8" ht="15" x14ac:dyDescent="0.2">
      <c r="A216">
        <v>616</v>
      </c>
      <c r="B216" t="s">
        <v>330</v>
      </c>
      <c r="C216" t="s">
        <v>41</v>
      </c>
      <c r="D216" t="s">
        <v>23</v>
      </c>
      <c r="E216" t="s">
        <v>24</v>
      </c>
      <c r="F216" t="s">
        <v>27</v>
      </c>
      <c r="G216">
        <v>7</v>
      </c>
      <c r="H216" s="3">
        <v>46159</v>
      </c>
    </row>
    <row r="217" spans="1:8" ht="15" x14ac:dyDescent="0.2">
      <c r="A217">
        <v>558</v>
      </c>
      <c r="B217" t="s">
        <v>333</v>
      </c>
      <c r="C217" t="s">
        <v>334</v>
      </c>
      <c r="D217" t="s">
        <v>23</v>
      </c>
      <c r="E217" t="s">
        <v>24</v>
      </c>
      <c r="F217" t="s">
        <v>27</v>
      </c>
      <c r="G217">
        <v>15</v>
      </c>
      <c r="H217" s="3">
        <v>46159</v>
      </c>
    </row>
    <row r="218" spans="1:8" ht="15" x14ac:dyDescent="0.2">
      <c r="A218">
        <v>991</v>
      </c>
      <c r="B218" t="s">
        <v>335</v>
      </c>
      <c r="C218" t="s">
        <v>184</v>
      </c>
      <c r="D218" t="s">
        <v>23</v>
      </c>
      <c r="E218" t="s">
        <v>30</v>
      </c>
      <c r="F218" t="s">
        <v>35</v>
      </c>
      <c r="H218" s="3">
        <v>46159</v>
      </c>
    </row>
    <row r="219" spans="1:8" ht="15" x14ac:dyDescent="0.2">
      <c r="A219">
        <v>359</v>
      </c>
      <c r="B219" t="s">
        <v>336</v>
      </c>
      <c r="C219" t="s">
        <v>26</v>
      </c>
      <c r="D219" t="s">
        <v>23</v>
      </c>
      <c r="E219" t="s">
        <v>24</v>
      </c>
      <c r="F219" t="s">
        <v>27</v>
      </c>
      <c r="G219">
        <v>24</v>
      </c>
      <c r="H219" s="3">
        <v>46159</v>
      </c>
    </row>
    <row r="220" spans="1:8" ht="15" x14ac:dyDescent="0.2">
      <c r="A220">
        <v>1310</v>
      </c>
      <c r="B220" t="s">
        <v>337</v>
      </c>
      <c r="C220" t="s">
        <v>311</v>
      </c>
      <c r="D220" t="s">
        <v>23</v>
      </c>
      <c r="E220" t="s">
        <v>24</v>
      </c>
      <c r="F220" t="s">
        <v>25</v>
      </c>
      <c r="H220" s="3">
        <v>46159</v>
      </c>
    </row>
    <row r="221" spans="1:8" ht="15" x14ac:dyDescent="0.2">
      <c r="A221">
        <v>1200</v>
      </c>
      <c r="B221" t="s">
        <v>338</v>
      </c>
      <c r="C221" t="s">
        <v>339</v>
      </c>
      <c r="D221" t="s">
        <v>23</v>
      </c>
      <c r="E221" t="s">
        <v>24</v>
      </c>
      <c r="F221" t="s">
        <v>27</v>
      </c>
      <c r="G221">
        <v>6</v>
      </c>
      <c r="H221" s="3">
        <v>46159</v>
      </c>
    </row>
    <row r="222" spans="1:8" ht="15" x14ac:dyDescent="0.2">
      <c r="A222">
        <v>1411</v>
      </c>
      <c r="B222" t="s">
        <v>338</v>
      </c>
      <c r="C222" t="s">
        <v>72</v>
      </c>
      <c r="D222" t="s">
        <v>23</v>
      </c>
      <c r="E222" t="s">
        <v>30</v>
      </c>
      <c r="F222" t="s">
        <v>27</v>
      </c>
      <c r="G222">
        <v>3</v>
      </c>
      <c r="H222" s="3">
        <v>46159</v>
      </c>
    </row>
    <row r="223" spans="1:8" ht="15" x14ac:dyDescent="0.2">
      <c r="A223">
        <v>1412</v>
      </c>
      <c r="B223" t="s">
        <v>338</v>
      </c>
      <c r="C223" t="s">
        <v>340</v>
      </c>
      <c r="D223" t="s">
        <v>23</v>
      </c>
      <c r="E223" t="s">
        <v>30</v>
      </c>
      <c r="F223" t="s">
        <v>188</v>
      </c>
      <c r="H223" s="3">
        <v>46159</v>
      </c>
    </row>
    <row r="224" spans="1:8" ht="15" x14ac:dyDescent="0.2">
      <c r="A224">
        <v>1413</v>
      </c>
      <c r="B224" t="s">
        <v>338</v>
      </c>
      <c r="C224" t="s">
        <v>214</v>
      </c>
      <c r="D224" t="s">
        <v>23</v>
      </c>
      <c r="E224" t="s">
        <v>24</v>
      </c>
      <c r="F224" t="s">
        <v>188</v>
      </c>
      <c r="H224" s="3">
        <v>46159</v>
      </c>
    </row>
    <row r="225" spans="1:8" ht="15" x14ac:dyDescent="0.2">
      <c r="A225">
        <v>1376</v>
      </c>
      <c r="B225" t="s">
        <v>192</v>
      </c>
      <c r="C225" t="s">
        <v>127</v>
      </c>
      <c r="D225" t="s">
        <v>23</v>
      </c>
      <c r="E225" t="s">
        <v>30</v>
      </c>
      <c r="F225" t="s">
        <v>25</v>
      </c>
      <c r="H225" s="3">
        <v>46159</v>
      </c>
    </row>
    <row r="226" spans="1:8" ht="15" x14ac:dyDescent="0.2">
      <c r="A226">
        <v>1140</v>
      </c>
      <c r="B226" t="s">
        <v>341</v>
      </c>
      <c r="C226" t="s">
        <v>243</v>
      </c>
      <c r="D226" t="s">
        <v>23</v>
      </c>
      <c r="E226" t="s">
        <v>24</v>
      </c>
      <c r="F226" t="s">
        <v>25</v>
      </c>
      <c r="H226" s="3">
        <v>46159</v>
      </c>
    </row>
    <row r="227" spans="1:8" ht="15" x14ac:dyDescent="0.2">
      <c r="A227">
        <v>989</v>
      </c>
      <c r="B227" t="s">
        <v>342</v>
      </c>
      <c r="C227" t="s">
        <v>343</v>
      </c>
      <c r="D227" t="s">
        <v>23</v>
      </c>
      <c r="E227" t="s">
        <v>24</v>
      </c>
      <c r="F227" t="s">
        <v>27</v>
      </c>
      <c r="G227">
        <v>3</v>
      </c>
      <c r="H227" s="3">
        <v>46159</v>
      </c>
    </row>
    <row r="228" spans="1:8" ht="15" x14ac:dyDescent="0.2">
      <c r="A228">
        <v>1417</v>
      </c>
      <c r="B228" t="s">
        <v>344</v>
      </c>
      <c r="C228" t="s">
        <v>345</v>
      </c>
      <c r="D228" t="s">
        <v>23</v>
      </c>
      <c r="E228" t="s">
        <v>30</v>
      </c>
      <c r="F228" t="s">
        <v>27</v>
      </c>
      <c r="G228">
        <v>17</v>
      </c>
      <c r="H228" s="3">
        <v>46159</v>
      </c>
    </row>
    <row r="229" spans="1:8" ht="15" x14ac:dyDescent="0.2">
      <c r="A229">
        <v>52</v>
      </c>
      <c r="B229" t="s">
        <v>346</v>
      </c>
      <c r="C229" t="s">
        <v>192</v>
      </c>
      <c r="D229" t="s">
        <v>23</v>
      </c>
      <c r="E229" t="s">
        <v>24</v>
      </c>
      <c r="F229" t="s">
        <v>25</v>
      </c>
      <c r="H229" s="3">
        <v>46159</v>
      </c>
    </row>
    <row r="230" spans="1:8" ht="15" x14ac:dyDescent="0.2">
      <c r="A230">
        <v>62</v>
      </c>
      <c r="B230" t="s">
        <v>344</v>
      </c>
      <c r="C230" t="s">
        <v>234</v>
      </c>
      <c r="D230" t="s">
        <v>23</v>
      </c>
      <c r="E230" t="s">
        <v>24</v>
      </c>
      <c r="F230" t="s">
        <v>27</v>
      </c>
      <c r="G230">
        <v>4</v>
      </c>
      <c r="H230" s="3">
        <v>46159</v>
      </c>
    </row>
    <row r="231" spans="1:8" ht="15" x14ac:dyDescent="0.2">
      <c r="A231">
        <v>930</v>
      </c>
      <c r="B231" t="s">
        <v>347</v>
      </c>
      <c r="C231" t="s">
        <v>348</v>
      </c>
      <c r="D231" t="s">
        <v>23</v>
      </c>
      <c r="E231" t="s">
        <v>30</v>
      </c>
      <c r="F231" t="s">
        <v>27</v>
      </c>
      <c r="G231">
        <v>6</v>
      </c>
      <c r="H231" s="3">
        <v>46159</v>
      </c>
    </row>
    <row r="232" spans="1:8" ht="15" x14ac:dyDescent="0.2">
      <c r="A232">
        <v>1254</v>
      </c>
      <c r="B232" t="s">
        <v>349</v>
      </c>
      <c r="C232" t="s">
        <v>51</v>
      </c>
      <c r="D232" t="s">
        <v>23</v>
      </c>
      <c r="E232" t="s">
        <v>24</v>
      </c>
      <c r="F232" t="s">
        <v>27</v>
      </c>
      <c r="G232">
        <v>21</v>
      </c>
      <c r="H232" s="3">
        <v>46159</v>
      </c>
    </row>
    <row r="233" spans="1:8" ht="15" x14ac:dyDescent="0.2">
      <c r="A233">
        <v>744</v>
      </c>
      <c r="B233" t="s">
        <v>350</v>
      </c>
      <c r="C233" t="s">
        <v>351</v>
      </c>
      <c r="D233" t="s">
        <v>23</v>
      </c>
      <c r="E233" t="s">
        <v>24</v>
      </c>
      <c r="F233" t="s">
        <v>27</v>
      </c>
      <c r="G233">
        <v>28</v>
      </c>
      <c r="H233" s="3">
        <v>46159</v>
      </c>
    </row>
    <row r="234" spans="1:8" ht="15" x14ac:dyDescent="0.2">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46174</v>
      </c>
    </row>
    <row r="3" spans="1:8" ht="15" x14ac:dyDescent="0.2">
      <c r="A3">
        <v>1237</v>
      </c>
      <c r="B3" t="s">
        <v>21</v>
      </c>
      <c r="C3" t="s">
        <v>26</v>
      </c>
      <c r="D3" t="s">
        <v>23</v>
      </c>
      <c r="E3" t="s">
        <v>24</v>
      </c>
      <c r="F3" t="s">
        <v>27</v>
      </c>
      <c r="G3">
        <v>1</v>
      </c>
      <c r="H3" s="3">
        <v>46174</v>
      </c>
    </row>
    <row r="4" spans="1:8" ht="15" x14ac:dyDescent="0.2">
      <c r="A4">
        <v>819</v>
      </c>
      <c r="B4" t="s">
        <v>28</v>
      </c>
      <c r="C4" t="s">
        <v>29</v>
      </c>
      <c r="D4" t="s">
        <v>23</v>
      </c>
      <c r="E4" t="s">
        <v>30</v>
      </c>
      <c r="F4" t="s">
        <v>27</v>
      </c>
      <c r="G4">
        <v>23</v>
      </c>
      <c r="H4" s="3">
        <v>46174</v>
      </c>
    </row>
    <row r="5" spans="1:8" ht="15" x14ac:dyDescent="0.2">
      <c r="A5">
        <v>2</v>
      </c>
      <c r="B5" t="s">
        <v>31</v>
      </c>
      <c r="C5" t="s">
        <v>32</v>
      </c>
      <c r="D5" t="s">
        <v>23</v>
      </c>
      <c r="E5" t="s">
        <v>24</v>
      </c>
      <c r="F5" t="s">
        <v>27</v>
      </c>
      <c r="G5">
        <v>21</v>
      </c>
      <c r="H5" s="3">
        <v>46174</v>
      </c>
    </row>
    <row r="6" spans="1:8" ht="15" x14ac:dyDescent="0.2">
      <c r="A6">
        <v>1370</v>
      </c>
      <c r="B6" t="s">
        <v>33</v>
      </c>
      <c r="C6" t="s">
        <v>34</v>
      </c>
      <c r="D6" t="s">
        <v>23</v>
      </c>
      <c r="E6" t="s">
        <v>24</v>
      </c>
      <c r="F6" t="s">
        <v>27</v>
      </c>
      <c r="G6">
        <v>4</v>
      </c>
      <c r="H6" s="3">
        <v>46174</v>
      </c>
    </row>
    <row r="7" spans="1:8" ht="15" x14ac:dyDescent="0.2">
      <c r="A7">
        <v>1415</v>
      </c>
      <c r="B7" t="s">
        <v>33</v>
      </c>
      <c r="C7" t="s">
        <v>22</v>
      </c>
      <c r="D7" t="s">
        <v>23</v>
      </c>
      <c r="E7" t="s">
        <v>24</v>
      </c>
      <c r="F7" t="s">
        <v>35</v>
      </c>
      <c r="H7" s="3">
        <v>46174</v>
      </c>
    </row>
    <row r="8" spans="1:8" ht="15" x14ac:dyDescent="0.2">
      <c r="A8">
        <v>1286</v>
      </c>
      <c r="B8" t="s">
        <v>36</v>
      </c>
      <c r="C8" t="s">
        <v>34</v>
      </c>
      <c r="D8" t="s">
        <v>23</v>
      </c>
      <c r="E8" t="s">
        <v>24</v>
      </c>
      <c r="F8" t="s">
        <v>27</v>
      </c>
      <c r="G8">
        <v>13</v>
      </c>
      <c r="H8" s="3">
        <v>46174</v>
      </c>
    </row>
    <row r="9" spans="1:8" ht="15" x14ac:dyDescent="0.2">
      <c r="A9">
        <v>1381</v>
      </c>
      <c r="B9" t="s">
        <v>36</v>
      </c>
      <c r="C9" t="s">
        <v>37</v>
      </c>
      <c r="D9" t="s">
        <v>23</v>
      </c>
      <c r="E9" t="s">
        <v>24</v>
      </c>
      <c r="F9" t="s">
        <v>25</v>
      </c>
      <c r="H9" s="3">
        <v>46174</v>
      </c>
    </row>
    <row r="10" spans="1:8" ht="15" x14ac:dyDescent="0.2">
      <c r="A10">
        <v>1112</v>
      </c>
      <c r="B10" t="s">
        <v>38</v>
      </c>
      <c r="C10" t="s">
        <v>39</v>
      </c>
      <c r="D10" t="s">
        <v>23</v>
      </c>
      <c r="E10" t="s">
        <v>24</v>
      </c>
      <c r="F10" t="s">
        <v>27</v>
      </c>
      <c r="G10">
        <v>16</v>
      </c>
      <c r="H10" s="3">
        <v>46174</v>
      </c>
    </row>
    <row r="11" spans="1:8" ht="15" x14ac:dyDescent="0.2">
      <c r="A11">
        <v>1135</v>
      </c>
      <c r="B11" t="s">
        <v>40</v>
      </c>
      <c r="C11" t="s">
        <v>41</v>
      </c>
      <c r="D11" t="s">
        <v>23</v>
      </c>
      <c r="E11" t="s">
        <v>24</v>
      </c>
      <c r="F11" t="s">
        <v>27</v>
      </c>
      <c r="G11">
        <v>1</v>
      </c>
      <c r="H11" s="3">
        <v>46174</v>
      </c>
    </row>
    <row r="12" spans="1:8" ht="15" x14ac:dyDescent="0.2">
      <c r="A12">
        <v>982</v>
      </c>
      <c r="B12" t="s">
        <v>42</v>
      </c>
      <c r="C12" t="s">
        <v>32</v>
      </c>
      <c r="D12" t="s">
        <v>23</v>
      </c>
      <c r="E12" t="s">
        <v>24</v>
      </c>
      <c r="F12" t="s">
        <v>27</v>
      </c>
      <c r="G12">
        <v>22</v>
      </c>
      <c r="H12" s="3">
        <v>46174</v>
      </c>
    </row>
    <row r="13" spans="1:8" ht="15" x14ac:dyDescent="0.2">
      <c r="A13">
        <v>1328</v>
      </c>
      <c r="B13" t="s">
        <v>43</v>
      </c>
      <c r="C13" t="s">
        <v>44</v>
      </c>
      <c r="D13" t="s">
        <v>23</v>
      </c>
      <c r="E13" t="s">
        <v>24</v>
      </c>
      <c r="F13" t="s">
        <v>27</v>
      </c>
      <c r="G13">
        <v>4</v>
      </c>
      <c r="H13" s="3">
        <v>46174</v>
      </c>
    </row>
    <row r="14" spans="1:8" ht="15" x14ac:dyDescent="0.2">
      <c r="A14">
        <v>369</v>
      </c>
      <c r="B14" t="s">
        <v>45</v>
      </c>
      <c r="C14" t="s">
        <v>46</v>
      </c>
      <c r="D14" t="s">
        <v>23</v>
      </c>
      <c r="E14" t="s">
        <v>24</v>
      </c>
      <c r="F14" t="s">
        <v>27</v>
      </c>
      <c r="G14">
        <v>8</v>
      </c>
      <c r="H14" s="3">
        <v>46174</v>
      </c>
    </row>
    <row r="15" spans="1:8" ht="15" x14ac:dyDescent="0.2">
      <c r="A15">
        <v>7</v>
      </c>
      <c r="B15" t="s">
        <v>45</v>
      </c>
      <c r="C15" t="s">
        <v>47</v>
      </c>
      <c r="D15" t="s">
        <v>48</v>
      </c>
      <c r="E15" t="s">
        <v>24</v>
      </c>
      <c r="F15" t="s">
        <v>27</v>
      </c>
      <c r="G15">
        <v>32</v>
      </c>
      <c r="H15" s="3">
        <v>46174</v>
      </c>
    </row>
    <row r="16" spans="1:8" ht="15" x14ac:dyDescent="0.2">
      <c r="A16">
        <v>473</v>
      </c>
      <c r="B16" t="s">
        <v>45</v>
      </c>
      <c r="C16" t="s">
        <v>49</v>
      </c>
      <c r="D16" t="s">
        <v>48</v>
      </c>
      <c r="E16" t="s">
        <v>24</v>
      </c>
      <c r="F16" t="s">
        <v>27</v>
      </c>
      <c r="G16">
        <v>33</v>
      </c>
      <c r="H16" s="3">
        <v>46174</v>
      </c>
    </row>
    <row r="17" spans="1:8" ht="15" x14ac:dyDescent="0.2">
      <c r="A17">
        <v>1384</v>
      </c>
      <c r="B17" t="s">
        <v>50</v>
      </c>
      <c r="C17" t="s">
        <v>51</v>
      </c>
      <c r="D17" t="s">
        <v>23</v>
      </c>
      <c r="E17" t="s">
        <v>24</v>
      </c>
      <c r="F17" t="s">
        <v>27</v>
      </c>
      <c r="G17">
        <v>30</v>
      </c>
      <c r="H17" s="3">
        <v>46174</v>
      </c>
    </row>
    <row r="18" spans="1:8" ht="15" x14ac:dyDescent="0.2">
      <c r="A18">
        <v>1348</v>
      </c>
      <c r="B18" t="s">
        <v>52</v>
      </c>
      <c r="C18" t="s">
        <v>53</v>
      </c>
      <c r="D18" t="s">
        <v>54</v>
      </c>
      <c r="E18" t="s">
        <v>30</v>
      </c>
      <c r="F18" t="s">
        <v>25</v>
      </c>
      <c r="H18" s="3">
        <v>46174</v>
      </c>
    </row>
    <row r="19" spans="1:8" ht="15" x14ac:dyDescent="0.2">
      <c r="A19">
        <v>1275</v>
      </c>
      <c r="B19" t="s">
        <v>52</v>
      </c>
      <c r="C19" t="s">
        <v>55</v>
      </c>
      <c r="D19" t="s">
        <v>23</v>
      </c>
      <c r="E19" t="s">
        <v>30</v>
      </c>
      <c r="F19" t="s">
        <v>35</v>
      </c>
      <c r="H19" s="3">
        <v>46174</v>
      </c>
    </row>
    <row r="20" spans="1:8" ht="15" x14ac:dyDescent="0.2">
      <c r="A20">
        <v>68</v>
      </c>
      <c r="B20" t="s">
        <v>56</v>
      </c>
      <c r="C20" t="s">
        <v>57</v>
      </c>
      <c r="D20" t="s">
        <v>48</v>
      </c>
      <c r="E20" t="s">
        <v>24</v>
      </c>
      <c r="F20" t="s">
        <v>27</v>
      </c>
      <c r="G20">
        <v>35</v>
      </c>
      <c r="H20" s="3">
        <v>46174</v>
      </c>
    </row>
    <row r="21" spans="1:8" ht="15" x14ac:dyDescent="0.2">
      <c r="A21">
        <v>1035</v>
      </c>
      <c r="B21" t="s">
        <v>58</v>
      </c>
      <c r="C21" t="s">
        <v>59</v>
      </c>
      <c r="D21" t="s">
        <v>23</v>
      </c>
      <c r="E21" t="s">
        <v>24</v>
      </c>
      <c r="F21" t="s">
        <v>27</v>
      </c>
      <c r="G21">
        <v>6</v>
      </c>
      <c r="H21" s="3">
        <v>46174</v>
      </c>
    </row>
    <row r="22" spans="1:8" ht="15" x14ac:dyDescent="0.2">
      <c r="A22">
        <v>1416</v>
      </c>
      <c r="B22" t="s">
        <v>60</v>
      </c>
      <c r="C22" t="s">
        <v>61</v>
      </c>
      <c r="D22" t="s">
        <v>23</v>
      </c>
      <c r="E22" t="s">
        <v>24</v>
      </c>
      <c r="F22" t="s">
        <v>25</v>
      </c>
      <c r="H22" s="3">
        <v>46174</v>
      </c>
    </row>
    <row r="23" spans="1:8" ht="15" x14ac:dyDescent="0.2">
      <c r="A23">
        <v>1326</v>
      </c>
      <c r="B23" t="s">
        <v>62</v>
      </c>
      <c r="C23" t="s">
        <v>63</v>
      </c>
      <c r="D23" t="s">
        <v>23</v>
      </c>
      <c r="E23" t="s">
        <v>30</v>
      </c>
      <c r="F23" t="s">
        <v>25</v>
      </c>
      <c r="H23" s="3">
        <v>46174</v>
      </c>
    </row>
    <row r="24" spans="1:8" ht="15" x14ac:dyDescent="0.2">
      <c r="A24">
        <v>477</v>
      </c>
      <c r="B24" t="s">
        <v>64</v>
      </c>
      <c r="C24" t="s">
        <v>65</v>
      </c>
      <c r="D24" t="s">
        <v>23</v>
      </c>
      <c r="E24" t="s">
        <v>30</v>
      </c>
      <c r="F24" t="s">
        <v>27</v>
      </c>
      <c r="G24">
        <v>34</v>
      </c>
      <c r="H24" s="3">
        <v>46174</v>
      </c>
    </row>
    <row r="25" spans="1:8" ht="15" x14ac:dyDescent="0.2">
      <c r="A25">
        <v>10</v>
      </c>
      <c r="B25" t="s">
        <v>64</v>
      </c>
      <c r="C25" t="s">
        <v>66</v>
      </c>
      <c r="D25" t="s">
        <v>48</v>
      </c>
      <c r="E25" t="s">
        <v>24</v>
      </c>
      <c r="F25" t="s">
        <v>27</v>
      </c>
      <c r="G25">
        <v>35</v>
      </c>
      <c r="H25" s="3">
        <v>46174</v>
      </c>
    </row>
    <row r="26" spans="1:8" ht="15" x14ac:dyDescent="0.2">
      <c r="A26">
        <v>1414</v>
      </c>
      <c r="B26" t="s">
        <v>67</v>
      </c>
      <c r="C26" t="s">
        <v>36</v>
      </c>
      <c r="D26" t="s">
        <v>23</v>
      </c>
      <c r="E26" t="s">
        <v>24</v>
      </c>
      <c r="F26" t="s">
        <v>27</v>
      </c>
      <c r="G26">
        <v>13</v>
      </c>
      <c r="H26" s="3">
        <v>46174</v>
      </c>
    </row>
    <row r="27" spans="1:8" ht="15" x14ac:dyDescent="0.2">
      <c r="A27">
        <v>1029</v>
      </c>
      <c r="B27" t="s">
        <v>68</v>
      </c>
      <c r="C27" t="s">
        <v>69</v>
      </c>
      <c r="D27" t="s">
        <v>23</v>
      </c>
      <c r="E27" t="s">
        <v>24</v>
      </c>
      <c r="F27" t="s">
        <v>27</v>
      </c>
      <c r="G27">
        <v>28</v>
      </c>
      <c r="H27" s="3">
        <v>46174</v>
      </c>
    </row>
    <row r="28" spans="1:8" ht="15" x14ac:dyDescent="0.2">
      <c r="A28">
        <v>13</v>
      </c>
      <c r="B28" t="s">
        <v>70</v>
      </c>
      <c r="C28" t="s">
        <v>51</v>
      </c>
      <c r="D28" t="s">
        <v>23</v>
      </c>
      <c r="E28" t="s">
        <v>24</v>
      </c>
      <c r="F28" t="s">
        <v>27</v>
      </c>
      <c r="G28">
        <v>28</v>
      </c>
      <c r="H28" s="3">
        <v>46174</v>
      </c>
    </row>
    <row r="29" spans="1:8" ht="15" x14ac:dyDescent="0.2">
      <c r="A29">
        <v>1255</v>
      </c>
      <c r="B29" t="s">
        <v>71</v>
      </c>
      <c r="C29" t="s">
        <v>72</v>
      </c>
      <c r="D29" t="s">
        <v>23</v>
      </c>
      <c r="E29" t="s">
        <v>30</v>
      </c>
      <c r="F29" t="s">
        <v>27</v>
      </c>
      <c r="G29">
        <v>13</v>
      </c>
      <c r="H29" s="3">
        <v>46174</v>
      </c>
    </row>
    <row r="30" spans="1:8" ht="15" x14ac:dyDescent="0.2">
      <c r="A30">
        <v>1405</v>
      </c>
      <c r="B30" t="s">
        <v>73</v>
      </c>
      <c r="C30" t="s">
        <v>74</v>
      </c>
      <c r="D30" t="s">
        <v>23</v>
      </c>
      <c r="E30" t="s">
        <v>30</v>
      </c>
      <c r="F30" t="s">
        <v>35</v>
      </c>
      <c r="H30" s="3">
        <v>46174</v>
      </c>
    </row>
    <row r="31" spans="1:8" ht="15" x14ac:dyDescent="0.2">
      <c r="A31">
        <v>1421</v>
      </c>
      <c r="B31" t="s">
        <v>75</v>
      </c>
      <c r="C31" t="s">
        <v>76</v>
      </c>
      <c r="D31" t="s">
        <v>23</v>
      </c>
      <c r="E31" t="s">
        <v>30</v>
      </c>
      <c r="F31" t="s">
        <v>27</v>
      </c>
      <c r="G31">
        <v>12</v>
      </c>
      <c r="H31" s="3">
        <v>46174</v>
      </c>
    </row>
    <row r="32" spans="1:8" ht="15" x14ac:dyDescent="0.2">
      <c r="A32">
        <v>1418</v>
      </c>
      <c r="B32" t="s">
        <v>75</v>
      </c>
      <c r="C32" t="s">
        <v>22</v>
      </c>
      <c r="D32" t="s">
        <v>23</v>
      </c>
      <c r="E32" t="s">
        <v>24</v>
      </c>
      <c r="F32" t="s">
        <v>25</v>
      </c>
      <c r="H32" s="3">
        <v>46174</v>
      </c>
    </row>
    <row r="33" spans="1:8" ht="15" x14ac:dyDescent="0.2">
      <c r="A33">
        <v>919</v>
      </c>
      <c r="B33" t="s">
        <v>77</v>
      </c>
      <c r="C33" t="s">
        <v>51</v>
      </c>
      <c r="D33" t="s">
        <v>23</v>
      </c>
      <c r="E33" t="s">
        <v>24</v>
      </c>
      <c r="F33" t="s">
        <v>27</v>
      </c>
      <c r="G33">
        <v>16</v>
      </c>
      <c r="H33" s="3">
        <v>46174</v>
      </c>
    </row>
    <row r="34" spans="1:8" ht="15" x14ac:dyDescent="0.2">
      <c r="A34">
        <v>1319</v>
      </c>
      <c r="B34" t="s">
        <v>78</v>
      </c>
      <c r="C34" t="s">
        <v>32</v>
      </c>
      <c r="D34" t="s">
        <v>23</v>
      </c>
      <c r="E34" t="s">
        <v>24</v>
      </c>
      <c r="F34" t="s">
        <v>27</v>
      </c>
      <c r="G34">
        <v>9</v>
      </c>
      <c r="H34" s="3">
        <v>46174</v>
      </c>
    </row>
    <row r="35" spans="1:8" ht="15" x14ac:dyDescent="0.2">
      <c r="A35">
        <v>1389</v>
      </c>
      <c r="B35" t="s">
        <v>79</v>
      </c>
      <c r="C35" t="s">
        <v>80</v>
      </c>
      <c r="D35" t="s">
        <v>23</v>
      </c>
      <c r="E35" t="s">
        <v>24</v>
      </c>
      <c r="F35" t="s">
        <v>25</v>
      </c>
      <c r="H35" s="3">
        <v>46174</v>
      </c>
    </row>
    <row r="36" spans="1:8" ht="15" x14ac:dyDescent="0.2">
      <c r="A36">
        <v>940</v>
      </c>
      <c r="B36" t="s">
        <v>81</v>
      </c>
      <c r="C36" t="s">
        <v>82</v>
      </c>
      <c r="D36" t="s">
        <v>23</v>
      </c>
      <c r="E36" t="s">
        <v>30</v>
      </c>
      <c r="F36" t="s">
        <v>27</v>
      </c>
      <c r="G36">
        <v>9</v>
      </c>
      <c r="H36" s="3">
        <v>46174</v>
      </c>
    </row>
    <row r="37" spans="1:8" ht="15" x14ac:dyDescent="0.2">
      <c r="A37">
        <v>806</v>
      </c>
      <c r="B37" t="s">
        <v>81</v>
      </c>
      <c r="C37" t="s">
        <v>83</v>
      </c>
      <c r="D37" t="s">
        <v>23</v>
      </c>
      <c r="E37" t="s">
        <v>24</v>
      </c>
      <c r="F37" t="s">
        <v>27</v>
      </c>
      <c r="G37">
        <v>11</v>
      </c>
      <c r="H37" s="3">
        <v>46174</v>
      </c>
    </row>
    <row r="38" spans="1:8" ht="15" x14ac:dyDescent="0.2">
      <c r="A38">
        <v>482</v>
      </c>
      <c r="B38" t="s">
        <v>84</v>
      </c>
      <c r="C38" t="s">
        <v>85</v>
      </c>
      <c r="D38" t="s">
        <v>23</v>
      </c>
      <c r="E38" t="s">
        <v>24</v>
      </c>
      <c r="F38" t="s">
        <v>27</v>
      </c>
      <c r="G38">
        <v>13</v>
      </c>
      <c r="H38" s="3">
        <v>46174</v>
      </c>
    </row>
    <row r="39" spans="1:8" ht="15" x14ac:dyDescent="0.2">
      <c r="A39">
        <v>674</v>
      </c>
      <c r="B39" t="s">
        <v>86</v>
      </c>
      <c r="C39" t="s">
        <v>87</v>
      </c>
      <c r="D39" t="s">
        <v>54</v>
      </c>
      <c r="E39" t="s">
        <v>30</v>
      </c>
      <c r="F39" t="s">
        <v>27</v>
      </c>
      <c r="G39">
        <v>23</v>
      </c>
      <c r="H39" s="3">
        <v>46174</v>
      </c>
    </row>
    <row r="40" spans="1:8" ht="15" x14ac:dyDescent="0.2">
      <c r="A40">
        <v>1061</v>
      </c>
      <c r="B40" t="s">
        <v>88</v>
      </c>
      <c r="C40" t="s">
        <v>89</v>
      </c>
      <c r="D40" t="s">
        <v>23</v>
      </c>
      <c r="E40" t="s">
        <v>24</v>
      </c>
      <c r="F40" t="s">
        <v>27</v>
      </c>
      <c r="G40">
        <v>19</v>
      </c>
      <c r="H40" s="3">
        <v>46174</v>
      </c>
    </row>
    <row r="41" spans="1:8" ht="15" x14ac:dyDescent="0.2">
      <c r="A41">
        <v>763</v>
      </c>
      <c r="B41" t="s">
        <v>90</v>
      </c>
      <c r="C41" t="s">
        <v>59</v>
      </c>
      <c r="D41" t="s">
        <v>23</v>
      </c>
      <c r="E41" t="s">
        <v>24</v>
      </c>
      <c r="F41" t="s">
        <v>27</v>
      </c>
      <c r="G41">
        <v>17</v>
      </c>
      <c r="H41" s="3">
        <v>46174</v>
      </c>
    </row>
    <row r="42" spans="1:8" ht="15" x14ac:dyDescent="0.2">
      <c r="A42">
        <v>1227</v>
      </c>
      <c r="B42" t="s">
        <v>91</v>
      </c>
      <c r="C42" t="s">
        <v>92</v>
      </c>
      <c r="D42" t="s">
        <v>23</v>
      </c>
      <c r="E42" t="s">
        <v>30</v>
      </c>
      <c r="F42" t="s">
        <v>27</v>
      </c>
      <c r="G42">
        <v>8</v>
      </c>
      <c r="H42" s="3">
        <v>46174</v>
      </c>
    </row>
    <row r="43" spans="1:8" ht="15" x14ac:dyDescent="0.2">
      <c r="A43">
        <v>715</v>
      </c>
      <c r="B43" t="s">
        <v>93</v>
      </c>
      <c r="C43" t="s">
        <v>94</v>
      </c>
      <c r="D43" t="s">
        <v>23</v>
      </c>
      <c r="E43" t="s">
        <v>24</v>
      </c>
      <c r="F43" t="s">
        <v>27</v>
      </c>
      <c r="G43">
        <v>5</v>
      </c>
      <c r="H43" s="3">
        <v>46174</v>
      </c>
    </row>
    <row r="44" spans="1:8" ht="15" x14ac:dyDescent="0.2">
      <c r="A44">
        <v>567</v>
      </c>
      <c r="B44" t="s">
        <v>95</v>
      </c>
      <c r="C44" t="s">
        <v>96</v>
      </c>
      <c r="D44" t="s">
        <v>23</v>
      </c>
      <c r="E44" t="s">
        <v>24</v>
      </c>
      <c r="F44" t="s">
        <v>27</v>
      </c>
      <c r="G44">
        <v>7</v>
      </c>
      <c r="H44" s="3">
        <v>46174</v>
      </c>
    </row>
    <row r="45" spans="1:8" ht="15" x14ac:dyDescent="0.2">
      <c r="A45">
        <v>1391</v>
      </c>
      <c r="B45" t="s">
        <v>97</v>
      </c>
      <c r="C45" t="s">
        <v>98</v>
      </c>
      <c r="D45" t="s">
        <v>23</v>
      </c>
      <c r="E45" t="s">
        <v>30</v>
      </c>
      <c r="F45" t="s">
        <v>25</v>
      </c>
      <c r="H45" s="3">
        <v>46174</v>
      </c>
    </row>
    <row r="46" spans="1:8" ht="15" x14ac:dyDescent="0.2">
      <c r="A46">
        <v>704</v>
      </c>
      <c r="B46" t="s">
        <v>99</v>
      </c>
      <c r="C46" t="s">
        <v>100</v>
      </c>
      <c r="D46" t="s">
        <v>23</v>
      </c>
      <c r="E46" t="s">
        <v>24</v>
      </c>
      <c r="F46" t="s">
        <v>27</v>
      </c>
      <c r="G46">
        <v>21</v>
      </c>
      <c r="H46" s="3">
        <v>46174</v>
      </c>
    </row>
    <row r="47" spans="1:8" ht="15" x14ac:dyDescent="0.2">
      <c r="A47">
        <v>1283</v>
      </c>
      <c r="B47" t="s">
        <v>101</v>
      </c>
      <c r="C47" t="s">
        <v>102</v>
      </c>
      <c r="D47" t="s">
        <v>23</v>
      </c>
      <c r="E47" t="s">
        <v>24</v>
      </c>
      <c r="F47" t="s">
        <v>27</v>
      </c>
      <c r="G47">
        <v>18</v>
      </c>
      <c r="H47" s="3">
        <v>46174</v>
      </c>
    </row>
    <row r="48" spans="1:8" ht="15" x14ac:dyDescent="0.2">
      <c r="A48">
        <v>295</v>
      </c>
      <c r="B48" t="s">
        <v>103</v>
      </c>
      <c r="C48" t="s">
        <v>104</v>
      </c>
      <c r="D48" t="s">
        <v>23</v>
      </c>
      <c r="E48" t="s">
        <v>24</v>
      </c>
      <c r="F48" t="s">
        <v>27</v>
      </c>
      <c r="G48">
        <v>15</v>
      </c>
      <c r="H48" s="3">
        <v>46174</v>
      </c>
    </row>
    <row r="49" spans="1:8" ht="15" x14ac:dyDescent="0.2">
      <c r="A49">
        <v>1226</v>
      </c>
      <c r="B49" t="s">
        <v>105</v>
      </c>
      <c r="C49" t="s">
        <v>106</v>
      </c>
      <c r="D49" t="s">
        <v>23</v>
      </c>
      <c r="E49" t="s">
        <v>30</v>
      </c>
      <c r="F49" t="s">
        <v>25</v>
      </c>
      <c r="H49" s="3">
        <v>46174</v>
      </c>
    </row>
    <row r="50" spans="1:8" ht="15" x14ac:dyDescent="0.2">
      <c r="A50">
        <v>1333</v>
      </c>
      <c r="B50" t="s">
        <v>107</v>
      </c>
      <c r="C50" t="s">
        <v>108</v>
      </c>
      <c r="D50" t="s">
        <v>23</v>
      </c>
      <c r="E50" t="s">
        <v>24</v>
      </c>
      <c r="F50" t="s">
        <v>27</v>
      </c>
      <c r="G50">
        <v>3</v>
      </c>
      <c r="H50" s="3">
        <v>46174</v>
      </c>
    </row>
    <row r="51" spans="1:8" ht="15" x14ac:dyDescent="0.2">
      <c r="A51">
        <v>1185</v>
      </c>
      <c r="B51" t="s">
        <v>109</v>
      </c>
      <c r="C51" t="s">
        <v>110</v>
      </c>
      <c r="D51" t="s">
        <v>23</v>
      </c>
      <c r="E51" t="s">
        <v>30</v>
      </c>
      <c r="F51" t="s">
        <v>35</v>
      </c>
      <c r="H51" s="3">
        <v>46174</v>
      </c>
    </row>
    <row r="52" spans="1:8" ht="15" x14ac:dyDescent="0.2">
      <c r="A52">
        <v>1065</v>
      </c>
      <c r="B52" t="s">
        <v>109</v>
      </c>
      <c r="C52" t="s">
        <v>41</v>
      </c>
      <c r="D52" t="s">
        <v>23</v>
      </c>
      <c r="E52" t="s">
        <v>24</v>
      </c>
      <c r="F52" t="s">
        <v>27</v>
      </c>
      <c r="G52">
        <v>1</v>
      </c>
      <c r="H52" s="3">
        <v>46174</v>
      </c>
    </row>
    <row r="53" spans="1:8" ht="15" x14ac:dyDescent="0.2">
      <c r="A53">
        <v>1407</v>
      </c>
      <c r="B53" t="s">
        <v>111</v>
      </c>
      <c r="C53" t="s">
        <v>112</v>
      </c>
      <c r="D53" t="s">
        <v>23</v>
      </c>
      <c r="E53" t="s">
        <v>24</v>
      </c>
      <c r="F53" t="s">
        <v>25</v>
      </c>
      <c r="H53" s="3">
        <v>46174</v>
      </c>
    </row>
    <row r="54" spans="1:8" ht="15" x14ac:dyDescent="0.2">
      <c r="A54">
        <v>1096</v>
      </c>
      <c r="B54" t="s">
        <v>113</v>
      </c>
      <c r="C54" t="s">
        <v>114</v>
      </c>
      <c r="D54" t="s">
        <v>23</v>
      </c>
      <c r="E54" t="s">
        <v>24</v>
      </c>
      <c r="F54" t="s">
        <v>35</v>
      </c>
      <c r="H54" s="3">
        <v>46174</v>
      </c>
    </row>
    <row r="55" spans="1:8" ht="15" x14ac:dyDescent="0.2">
      <c r="A55">
        <v>1236</v>
      </c>
      <c r="B55" t="s">
        <v>113</v>
      </c>
      <c r="C55" t="s">
        <v>115</v>
      </c>
      <c r="D55" t="s">
        <v>23</v>
      </c>
      <c r="E55" t="s">
        <v>30</v>
      </c>
      <c r="F55" t="s">
        <v>27</v>
      </c>
      <c r="G55">
        <v>5</v>
      </c>
      <c r="H55" s="3">
        <v>46174</v>
      </c>
    </row>
    <row r="56" spans="1:8" ht="15" x14ac:dyDescent="0.2">
      <c r="A56">
        <v>699</v>
      </c>
      <c r="B56" t="s">
        <v>113</v>
      </c>
      <c r="C56" t="s">
        <v>116</v>
      </c>
      <c r="D56" t="s">
        <v>23</v>
      </c>
      <c r="E56" t="s">
        <v>24</v>
      </c>
      <c r="F56" t="s">
        <v>27</v>
      </c>
      <c r="G56">
        <v>5</v>
      </c>
      <c r="H56" s="3">
        <v>46174</v>
      </c>
    </row>
    <row r="57" spans="1:8" ht="15" x14ac:dyDescent="0.2">
      <c r="A57">
        <v>1000</v>
      </c>
      <c r="B57" t="s">
        <v>120</v>
      </c>
      <c r="C57" t="s">
        <v>121</v>
      </c>
      <c r="D57" t="s">
        <v>23</v>
      </c>
      <c r="E57" t="s">
        <v>24</v>
      </c>
      <c r="F57" t="s">
        <v>25</v>
      </c>
      <c r="H57" s="3">
        <v>46174</v>
      </c>
    </row>
    <row r="58" spans="1:8" ht="15" x14ac:dyDescent="0.2">
      <c r="A58">
        <v>1332</v>
      </c>
      <c r="B58" t="s">
        <v>122</v>
      </c>
      <c r="C58" t="s">
        <v>123</v>
      </c>
      <c r="D58" t="s">
        <v>23</v>
      </c>
      <c r="E58" t="s">
        <v>30</v>
      </c>
      <c r="F58" t="s">
        <v>25</v>
      </c>
      <c r="H58" s="3">
        <v>46174</v>
      </c>
    </row>
    <row r="59" spans="1:8" ht="15" x14ac:dyDescent="0.2">
      <c r="A59">
        <v>682</v>
      </c>
      <c r="B59" t="s">
        <v>124</v>
      </c>
      <c r="C59" t="s">
        <v>125</v>
      </c>
      <c r="D59" t="s">
        <v>23</v>
      </c>
      <c r="E59" t="s">
        <v>24</v>
      </c>
      <c r="F59" t="s">
        <v>27</v>
      </c>
      <c r="G59">
        <v>11</v>
      </c>
      <c r="H59" s="3">
        <v>46174</v>
      </c>
    </row>
    <row r="60" spans="1:8" ht="15" x14ac:dyDescent="0.2">
      <c r="A60">
        <v>1393</v>
      </c>
      <c r="B60" t="s">
        <v>126</v>
      </c>
      <c r="C60" t="s">
        <v>127</v>
      </c>
      <c r="D60" t="s">
        <v>23</v>
      </c>
      <c r="E60" t="s">
        <v>30</v>
      </c>
      <c r="F60" t="s">
        <v>27</v>
      </c>
      <c r="G60">
        <v>10</v>
      </c>
      <c r="H60" s="3">
        <v>46174</v>
      </c>
    </row>
    <row r="61" spans="1:8" ht="15" x14ac:dyDescent="0.2">
      <c r="A61">
        <v>1355</v>
      </c>
      <c r="B61" t="s">
        <v>128</v>
      </c>
      <c r="C61" t="s">
        <v>129</v>
      </c>
      <c r="D61" t="s">
        <v>23</v>
      </c>
      <c r="E61" t="s">
        <v>24</v>
      </c>
      <c r="F61" t="s">
        <v>35</v>
      </c>
      <c r="H61" s="3">
        <v>46174</v>
      </c>
    </row>
    <row r="62" spans="1:8" ht="15" x14ac:dyDescent="0.2">
      <c r="A62">
        <v>1164</v>
      </c>
      <c r="B62" t="s">
        <v>130</v>
      </c>
      <c r="C62" t="s">
        <v>131</v>
      </c>
      <c r="D62" t="s">
        <v>54</v>
      </c>
      <c r="E62" t="s">
        <v>30</v>
      </c>
      <c r="F62" t="s">
        <v>25</v>
      </c>
      <c r="H62" s="3">
        <v>46174</v>
      </c>
    </row>
    <row r="63" spans="1:8" ht="15" x14ac:dyDescent="0.2">
      <c r="A63">
        <v>1062</v>
      </c>
      <c r="B63" t="s">
        <v>130</v>
      </c>
      <c r="C63" t="s">
        <v>83</v>
      </c>
      <c r="D63" t="s">
        <v>23</v>
      </c>
      <c r="E63" t="s">
        <v>24</v>
      </c>
      <c r="F63" t="s">
        <v>27</v>
      </c>
      <c r="G63">
        <v>9</v>
      </c>
      <c r="H63" s="3">
        <v>46174</v>
      </c>
    </row>
    <row r="64" spans="1:8" ht="15" x14ac:dyDescent="0.2">
      <c r="A64">
        <v>938</v>
      </c>
      <c r="B64" t="s">
        <v>130</v>
      </c>
      <c r="C64" t="s">
        <v>132</v>
      </c>
      <c r="D64" t="s">
        <v>23</v>
      </c>
      <c r="E64" t="s">
        <v>30</v>
      </c>
      <c r="F64" t="s">
        <v>27</v>
      </c>
      <c r="G64">
        <v>7</v>
      </c>
      <c r="H64" s="3">
        <v>46174</v>
      </c>
    </row>
    <row r="65" spans="1:8" ht="15" x14ac:dyDescent="0.2">
      <c r="A65">
        <v>1427</v>
      </c>
      <c r="B65" t="s">
        <v>130</v>
      </c>
      <c r="C65" t="s">
        <v>133</v>
      </c>
      <c r="D65" t="s">
        <v>23</v>
      </c>
      <c r="E65" t="s">
        <v>30</v>
      </c>
      <c r="F65" t="s">
        <v>27</v>
      </c>
      <c r="G65">
        <v>16</v>
      </c>
      <c r="H65" s="3">
        <v>46174</v>
      </c>
    </row>
    <row r="66" spans="1:8" ht="15" x14ac:dyDescent="0.2">
      <c r="A66">
        <v>1034</v>
      </c>
      <c r="B66" t="s">
        <v>134</v>
      </c>
      <c r="C66" t="s">
        <v>83</v>
      </c>
      <c r="D66" t="s">
        <v>23</v>
      </c>
      <c r="E66" t="s">
        <v>24</v>
      </c>
      <c r="F66" t="s">
        <v>25</v>
      </c>
      <c r="H66" s="3">
        <v>46174</v>
      </c>
    </row>
    <row r="67" spans="1:8" ht="15" x14ac:dyDescent="0.2">
      <c r="A67">
        <v>1402</v>
      </c>
      <c r="B67" t="s">
        <v>135</v>
      </c>
      <c r="C67" t="s">
        <v>136</v>
      </c>
      <c r="D67" t="s">
        <v>23</v>
      </c>
      <c r="E67" t="s">
        <v>24</v>
      </c>
      <c r="F67" t="s">
        <v>27</v>
      </c>
      <c r="G67">
        <v>7</v>
      </c>
      <c r="H67" s="3">
        <v>46174</v>
      </c>
    </row>
    <row r="68" spans="1:8" ht="15" x14ac:dyDescent="0.2">
      <c r="A68">
        <v>939</v>
      </c>
      <c r="B68" t="s">
        <v>137</v>
      </c>
      <c r="C68" t="s">
        <v>127</v>
      </c>
      <c r="D68" t="s">
        <v>23</v>
      </c>
      <c r="E68" t="s">
        <v>30</v>
      </c>
      <c r="F68" t="s">
        <v>27</v>
      </c>
      <c r="G68">
        <v>12</v>
      </c>
      <c r="H68" s="3">
        <v>46174</v>
      </c>
    </row>
    <row r="69" spans="1:8" ht="15" x14ac:dyDescent="0.2">
      <c r="A69">
        <v>1377</v>
      </c>
      <c r="B69" t="s">
        <v>138</v>
      </c>
      <c r="C69" t="s">
        <v>139</v>
      </c>
      <c r="D69" t="s">
        <v>23</v>
      </c>
      <c r="E69" t="s">
        <v>30</v>
      </c>
      <c r="F69" t="s">
        <v>27</v>
      </c>
      <c r="G69">
        <v>12</v>
      </c>
      <c r="H69" s="3">
        <v>46174</v>
      </c>
    </row>
    <row r="70" spans="1:8" ht="15" x14ac:dyDescent="0.2">
      <c r="A70">
        <v>1281</v>
      </c>
      <c r="B70" t="s">
        <v>140</v>
      </c>
      <c r="C70" t="s">
        <v>141</v>
      </c>
      <c r="D70" t="s">
        <v>23</v>
      </c>
      <c r="E70" t="s">
        <v>24</v>
      </c>
      <c r="F70" t="s">
        <v>27</v>
      </c>
      <c r="G70">
        <v>19</v>
      </c>
      <c r="H70" s="3">
        <v>46174</v>
      </c>
    </row>
    <row r="71" spans="1:8" ht="15" x14ac:dyDescent="0.2">
      <c r="A71">
        <v>933</v>
      </c>
      <c r="B71" t="s">
        <v>142</v>
      </c>
      <c r="C71" t="s">
        <v>143</v>
      </c>
      <c r="D71" t="s">
        <v>23</v>
      </c>
      <c r="E71" t="s">
        <v>24</v>
      </c>
      <c r="F71" t="s">
        <v>25</v>
      </c>
      <c r="H71" s="3">
        <v>46174</v>
      </c>
    </row>
    <row r="72" spans="1:8" ht="15" x14ac:dyDescent="0.2">
      <c r="A72">
        <v>1274</v>
      </c>
      <c r="B72" t="s">
        <v>144</v>
      </c>
      <c r="C72" t="s">
        <v>145</v>
      </c>
      <c r="D72" t="s">
        <v>23</v>
      </c>
      <c r="E72" t="s">
        <v>30</v>
      </c>
      <c r="F72" t="s">
        <v>25</v>
      </c>
      <c r="H72" s="3">
        <v>46174</v>
      </c>
    </row>
    <row r="73" spans="1:8" ht="15" x14ac:dyDescent="0.2">
      <c r="A73">
        <v>493</v>
      </c>
      <c r="B73" t="s">
        <v>146</v>
      </c>
      <c r="C73" t="s">
        <v>49</v>
      </c>
      <c r="D73" t="s">
        <v>48</v>
      </c>
      <c r="E73" t="s">
        <v>24</v>
      </c>
      <c r="F73" t="s">
        <v>27</v>
      </c>
      <c r="G73">
        <v>37</v>
      </c>
      <c r="H73" s="3">
        <v>46174</v>
      </c>
    </row>
    <row r="74" spans="1:8" ht="15" x14ac:dyDescent="0.2">
      <c r="A74">
        <v>1279</v>
      </c>
      <c r="B74" t="s">
        <v>147</v>
      </c>
      <c r="C74" t="s">
        <v>148</v>
      </c>
      <c r="D74" t="s">
        <v>23</v>
      </c>
      <c r="E74" t="s">
        <v>24</v>
      </c>
      <c r="F74" t="s">
        <v>27</v>
      </c>
      <c r="G74">
        <v>4</v>
      </c>
      <c r="H74" s="3">
        <v>46174</v>
      </c>
    </row>
    <row r="75" spans="1:8" ht="15" x14ac:dyDescent="0.2">
      <c r="A75">
        <v>1193</v>
      </c>
      <c r="B75" t="s">
        <v>149</v>
      </c>
      <c r="C75" t="s">
        <v>150</v>
      </c>
      <c r="D75" t="s">
        <v>23</v>
      </c>
      <c r="E75" t="s">
        <v>24</v>
      </c>
      <c r="F75" t="s">
        <v>25</v>
      </c>
      <c r="H75" s="3">
        <v>46174</v>
      </c>
    </row>
    <row r="76" spans="1:8" ht="15" x14ac:dyDescent="0.2">
      <c r="A76">
        <v>1194</v>
      </c>
      <c r="B76" t="s">
        <v>149</v>
      </c>
      <c r="C76" t="s">
        <v>151</v>
      </c>
      <c r="D76" t="s">
        <v>23</v>
      </c>
      <c r="E76" t="s">
        <v>30</v>
      </c>
      <c r="F76" t="s">
        <v>25</v>
      </c>
      <c r="H76" s="3">
        <v>46174</v>
      </c>
    </row>
    <row r="77" spans="1:8" ht="15" x14ac:dyDescent="0.2">
      <c r="A77">
        <v>1196</v>
      </c>
      <c r="B77" t="s">
        <v>149</v>
      </c>
      <c r="C77" t="s">
        <v>152</v>
      </c>
      <c r="D77" t="s">
        <v>23</v>
      </c>
      <c r="E77" t="s">
        <v>24</v>
      </c>
      <c r="F77" t="s">
        <v>35</v>
      </c>
      <c r="H77" s="3">
        <v>46174</v>
      </c>
    </row>
    <row r="78" spans="1:8" ht="15" x14ac:dyDescent="0.2">
      <c r="A78">
        <v>1195</v>
      </c>
      <c r="B78" t="s">
        <v>149</v>
      </c>
      <c r="C78" t="s">
        <v>153</v>
      </c>
      <c r="D78" t="s">
        <v>23</v>
      </c>
      <c r="E78" t="s">
        <v>24</v>
      </c>
      <c r="F78" t="s">
        <v>35</v>
      </c>
      <c r="H78" s="3">
        <v>46174</v>
      </c>
    </row>
    <row r="79" spans="1:8" ht="15" x14ac:dyDescent="0.2">
      <c r="A79">
        <v>1176</v>
      </c>
      <c r="B79" t="s">
        <v>154</v>
      </c>
      <c r="C79" t="s">
        <v>155</v>
      </c>
      <c r="D79" t="s">
        <v>23</v>
      </c>
      <c r="E79" t="s">
        <v>24</v>
      </c>
      <c r="F79" t="s">
        <v>35</v>
      </c>
      <c r="H79" s="3">
        <v>46174</v>
      </c>
    </row>
    <row r="80" spans="1:8" ht="15" x14ac:dyDescent="0.2">
      <c r="A80">
        <v>1174</v>
      </c>
      <c r="B80" t="s">
        <v>154</v>
      </c>
      <c r="C80" t="s">
        <v>156</v>
      </c>
      <c r="D80" t="s">
        <v>23</v>
      </c>
      <c r="E80" t="s">
        <v>30</v>
      </c>
      <c r="F80" t="s">
        <v>27</v>
      </c>
      <c r="G80">
        <v>6</v>
      </c>
      <c r="H80" s="3">
        <v>46174</v>
      </c>
    </row>
    <row r="81" spans="1:8" ht="15" x14ac:dyDescent="0.2">
      <c r="A81">
        <v>1175</v>
      </c>
      <c r="B81" t="s">
        <v>154</v>
      </c>
      <c r="C81" t="s">
        <v>150</v>
      </c>
      <c r="D81" t="s">
        <v>23</v>
      </c>
      <c r="E81" t="s">
        <v>24</v>
      </c>
      <c r="F81" t="s">
        <v>27</v>
      </c>
      <c r="G81">
        <v>12</v>
      </c>
      <c r="H81" s="3">
        <v>46174</v>
      </c>
    </row>
    <row r="82" spans="1:8" ht="15" x14ac:dyDescent="0.2">
      <c r="A82">
        <v>1109</v>
      </c>
      <c r="B82" t="s">
        <v>157</v>
      </c>
      <c r="C82" t="s">
        <v>104</v>
      </c>
      <c r="D82" t="s">
        <v>23</v>
      </c>
      <c r="E82" t="s">
        <v>24</v>
      </c>
      <c r="F82" t="s">
        <v>25</v>
      </c>
      <c r="H82" s="3">
        <v>46174</v>
      </c>
    </row>
    <row r="83" spans="1:8" ht="15" x14ac:dyDescent="0.2">
      <c r="A83">
        <v>1073</v>
      </c>
      <c r="B83" t="s">
        <v>158</v>
      </c>
      <c r="C83" t="s">
        <v>150</v>
      </c>
      <c r="D83" t="s">
        <v>23</v>
      </c>
      <c r="E83" t="s">
        <v>24</v>
      </c>
      <c r="F83" t="s">
        <v>27</v>
      </c>
      <c r="G83">
        <v>3</v>
      </c>
      <c r="H83" s="3">
        <v>46174</v>
      </c>
    </row>
    <row r="84" spans="1:8" ht="15" x14ac:dyDescent="0.2">
      <c r="A84">
        <v>1400</v>
      </c>
      <c r="B84" t="s">
        <v>159</v>
      </c>
      <c r="C84" t="s">
        <v>160</v>
      </c>
      <c r="D84" t="s">
        <v>23</v>
      </c>
      <c r="E84" t="s">
        <v>24</v>
      </c>
      <c r="F84" t="s">
        <v>25</v>
      </c>
      <c r="H84" s="3">
        <v>46174</v>
      </c>
    </row>
    <row r="85" spans="1:8" ht="15" x14ac:dyDescent="0.2">
      <c r="A85">
        <v>1367</v>
      </c>
      <c r="B85" t="s">
        <v>161</v>
      </c>
      <c r="C85" t="s">
        <v>152</v>
      </c>
      <c r="D85" t="s">
        <v>23</v>
      </c>
      <c r="E85" t="s">
        <v>24</v>
      </c>
      <c r="F85" t="s">
        <v>35</v>
      </c>
      <c r="H85" s="3">
        <v>46174</v>
      </c>
    </row>
    <row r="86" spans="1:8" ht="15" x14ac:dyDescent="0.2">
      <c r="A86">
        <v>1366</v>
      </c>
      <c r="B86" t="s">
        <v>161</v>
      </c>
      <c r="C86" t="s">
        <v>162</v>
      </c>
      <c r="D86" t="s">
        <v>23</v>
      </c>
      <c r="E86" t="s">
        <v>30</v>
      </c>
      <c r="F86" t="s">
        <v>25</v>
      </c>
      <c r="H86" s="3">
        <v>46174</v>
      </c>
    </row>
    <row r="87" spans="1:8" ht="15" x14ac:dyDescent="0.2">
      <c r="A87">
        <v>1365</v>
      </c>
      <c r="B87" t="s">
        <v>161</v>
      </c>
      <c r="C87" t="s">
        <v>163</v>
      </c>
      <c r="D87" t="s">
        <v>23</v>
      </c>
      <c r="E87" t="s">
        <v>30</v>
      </c>
      <c r="F87" t="s">
        <v>27</v>
      </c>
      <c r="G87">
        <v>7</v>
      </c>
      <c r="H87" s="3">
        <v>46174</v>
      </c>
    </row>
    <row r="88" spans="1:8" ht="15" x14ac:dyDescent="0.2">
      <c r="A88">
        <v>897</v>
      </c>
      <c r="B88" t="s">
        <v>161</v>
      </c>
      <c r="C88" t="s">
        <v>164</v>
      </c>
      <c r="D88" t="s">
        <v>23</v>
      </c>
      <c r="E88" t="s">
        <v>24</v>
      </c>
      <c r="F88" t="s">
        <v>27</v>
      </c>
      <c r="G88">
        <v>13</v>
      </c>
      <c r="H88" s="3">
        <v>46174</v>
      </c>
    </row>
    <row r="89" spans="1:8" ht="15" x14ac:dyDescent="0.2">
      <c r="A89">
        <v>1308</v>
      </c>
      <c r="B89" t="s">
        <v>165</v>
      </c>
      <c r="C89" t="s">
        <v>166</v>
      </c>
      <c r="D89" t="s">
        <v>23</v>
      </c>
      <c r="E89" t="s">
        <v>30</v>
      </c>
      <c r="F89" t="s">
        <v>27</v>
      </c>
      <c r="G89">
        <v>2</v>
      </c>
      <c r="H89" s="3">
        <v>46174</v>
      </c>
    </row>
    <row r="90" spans="1:8" ht="15" x14ac:dyDescent="0.2">
      <c r="A90">
        <v>1206</v>
      </c>
      <c r="B90" t="s">
        <v>167</v>
      </c>
      <c r="C90" t="s">
        <v>168</v>
      </c>
      <c r="D90" t="s">
        <v>23</v>
      </c>
      <c r="E90" t="s">
        <v>30</v>
      </c>
      <c r="F90" t="s">
        <v>27</v>
      </c>
      <c r="G90">
        <v>8</v>
      </c>
      <c r="H90" s="3">
        <v>46174</v>
      </c>
    </row>
    <row r="91" spans="1:8" ht="15" x14ac:dyDescent="0.2">
      <c r="A91">
        <v>1205</v>
      </c>
      <c r="B91" t="s">
        <v>167</v>
      </c>
      <c r="C91" t="s">
        <v>66</v>
      </c>
      <c r="D91" t="s">
        <v>23</v>
      </c>
      <c r="E91" t="s">
        <v>24</v>
      </c>
      <c r="F91" t="s">
        <v>27</v>
      </c>
      <c r="G91">
        <v>14</v>
      </c>
      <c r="H91" s="3">
        <v>46174</v>
      </c>
    </row>
    <row r="92" spans="1:8" ht="15" x14ac:dyDescent="0.2">
      <c r="A92">
        <v>1406</v>
      </c>
      <c r="B92" t="s">
        <v>169</v>
      </c>
      <c r="C92" t="s">
        <v>170</v>
      </c>
      <c r="D92" t="s">
        <v>23</v>
      </c>
      <c r="E92" t="s">
        <v>24</v>
      </c>
      <c r="F92" t="s">
        <v>27</v>
      </c>
      <c r="G92">
        <v>9</v>
      </c>
      <c r="H92" s="3">
        <v>46174</v>
      </c>
    </row>
    <row r="93" spans="1:8" ht="15" x14ac:dyDescent="0.2">
      <c r="A93">
        <v>1182</v>
      </c>
      <c r="B93" t="s">
        <v>171</v>
      </c>
      <c r="C93" t="s">
        <v>136</v>
      </c>
      <c r="D93" t="s">
        <v>23</v>
      </c>
      <c r="E93" t="s">
        <v>24</v>
      </c>
      <c r="F93" t="s">
        <v>27</v>
      </c>
      <c r="G93">
        <v>8</v>
      </c>
      <c r="H93" s="3">
        <v>46174</v>
      </c>
    </row>
    <row r="94" spans="1:8" ht="15" x14ac:dyDescent="0.2">
      <c r="A94">
        <v>1340</v>
      </c>
      <c r="B94" t="s">
        <v>172</v>
      </c>
      <c r="C94" t="s">
        <v>173</v>
      </c>
      <c r="D94" t="s">
        <v>23</v>
      </c>
      <c r="E94" t="s">
        <v>24</v>
      </c>
      <c r="F94" t="s">
        <v>27</v>
      </c>
      <c r="G94">
        <v>8</v>
      </c>
      <c r="H94" s="3">
        <v>46174</v>
      </c>
    </row>
    <row r="95" spans="1:8" ht="15" x14ac:dyDescent="0.2">
      <c r="A95">
        <v>21</v>
      </c>
      <c r="B95" t="s">
        <v>174</v>
      </c>
      <c r="C95" t="s">
        <v>175</v>
      </c>
      <c r="D95" t="s">
        <v>23</v>
      </c>
      <c r="E95" t="s">
        <v>24</v>
      </c>
      <c r="F95" t="s">
        <v>25</v>
      </c>
      <c r="H95" s="3">
        <v>46174</v>
      </c>
    </row>
    <row r="96" spans="1:8" ht="15" x14ac:dyDescent="0.2">
      <c r="A96">
        <v>1049</v>
      </c>
      <c r="B96" t="s">
        <v>176</v>
      </c>
      <c r="C96" t="s">
        <v>177</v>
      </c>
      <c r="D96" t="s">
        <v>23</v>
      </c>
      <c r="E96" t="s">
        <v>24</v>
      </c>
      <c r="F96" t="s">
        <v>27</v>
      </c>
      <c r="G96">
        <v>19</v>
      </c>
      <c r="H96" s="3">
        <v>46174</v>
      </c>
    </row>
    <row r="97" spans="1:8" ht="15" x14ac:dyDescent="0.2">
      <c r="A97">
        <v>120</v>
      </c>
      <c r="B97" t="s">
        <v>178</v>
      </c>
      <c r="C97" t="s">
        <v>179</v>
      </c>
      <c r="D97" t="s">
        <v>23</v>
      </c>
      <c r="E97" t="s">
        <v>30</v>
      </c>
      <c r="F97" t="s">
        <v>27</v>
      </c>
      <c r="G97">
        <v>12</v>
      </c>
      <c r="H97" s="3">
        <v>46174</v>
      </c>
    </row>
    <row r="98" spans="1:8" ht="15" x14ac:dyDescent="0.2">
      <c r="A98">
        <v>990</v>
      </c>
      <c r="B98" t="s">
        <v>180</v>
      </c>
      <c r="C98" t="s">
        <v>87</v>
      </c>
      <c r="D98" t="s">
        <v>23</v>
      </c>
      <c r="E98" t="s">
        <v>30</v>
      </c>
      <c r="F98" t="s">
        <v>27</v>
      </c>
      <c r="G98">
        <v>10</v>
      </c>
      <c r="H98" s="3">
        <v>46174</v>
      </c>
    </row>
    <row r="99" spans="1:8" ht="15" x14ac:dyDescent="0.2">
      <c r="A99">
        <v>1395</v>
      </c>
      <c r="B99" t="s">
        <v>181</v>
      </c>
      <c r="C99" t="s">
        <v>182</v>
      </c>
      <c r="D99" t="s">
        <v>23</v>
      </c>
      <c r="E99" t="s">
        <v>30</v>
      </c>
      <c r="F99" t="s">
        <v>35</v>
      </c>
      <c r="H99" s="3">
        <v>46174</v>
      </c>
    </row>
    <row r="100" spans="1:8" ht="15" x14ac:dyDescent="0.2">
      <c r="A100">
        <v>1158</v>
      </c>
      <c r="B100" t="s">
        <v>183</v>
      </c>
      <c r="C100" t="s">
        <v>184</v>
      </c>
      <c r="D100" t="s">
        <v>23</v>
      </c>
      <c r="E100" t="s">
        <v>30</v>
      </c>
      <c r="F100" t="s">
        <v>25</v>
      </c>
      <c r="H100" s="3">
        <v>46174</v>
      </c>
    </row>
    <row r="101" spans="1:8" ht="15" x14ac:dyDescent="0.2">
      <c r="A101">
        <v>23</v>
      </c>
      <c r="B101" t="s">
        <v>185</v>
      </c>
      <c r="C101" t="s">
        <v>100</v>
      </c>
      <c r="D101" t="s">
        <v>23</v>
      </c>
      <c r="E101" t="s">
        <v>24</v>
      </c>
      <c r="F101" t="s">
        <v>27</v>
      </c>
      <c r="G101">
        <v>10</v>
      </c>
      <c r="H101" s="3">
        <v>46174</v>
      </c>
    </row>
    <row r="102" spans="1:8" ht="15" x14ac:dyDescent="0.2">
      <c r="A102">
        <v>1152</v>
      </c>
      <c r="B102" t="s">
        <v>186</v>
      </c>
      <c r="C102" t="s">
        <v>187</v>
      </c>
      <c r="D102" t="s">
        <v>54</v>
      </c>
      <c r="E102" t="s">
        <v>30</v>
      </c>
      <c r="F102" t="s">
        <v>188</v>
      </c>
      <c r="H102" s="3">
        <v>46174</v>
      </c>
    </row>
    <row r="103" spans="1:8" ht="15" x14ac:dyDescent="0.2">
      <c r="A103">
        <v>581</v>
      </c>
      <c r="B103" t="s">
        <v>189</v>
      </c>
      <c r="C103" t="s">
        <v>190</v>
      </c>
      <c r="D103" t="s">
        <v>23</v>
      </c>
      <c r="E103" t="s">
        <v>24</v>
      </c>
      <c r="F103" t="s">
        <v>27</v>
      </c>
      <c r="G103">
        <v>13</v>
      </c>
      <c r="H103" s="3">
        <v>46174</v>
      </c>
    </row>
    <row r="104" spans="1:8" ht="15" x14ac:dyDescent="0.2">
      <c r="A104">
        <v>1374</v>
      </c>
      <c r="B104" t="s">
        <v>191</v>
      </c>
      <c r="C104" t="s">
        <v>192</v>
      </c>
      <c r="D104" t="s">
        <v>23</v>
      </c>
      <c r="E104" t="s">
        <v>24</v>
      </c>
      <c r="F104" t="s">
        <v>25</v>
      </c>
      <c r="H104" s="3">
        <v>46174</v>
      </c>
    </row>
    <row r="105" spans="1:8" ht="15" x14ac:dyDescent="0.2">
      <c r="A105">
        <v>25</v>
      </c>
      <c r="B105" t="s">
        <v>22</v>
      </c>
      <c r="C105" t="s">
        <v>193</v>
      </c>
      <c r="D105" t="s">
        <v>23</v>
      </c>
      <c r="E105" t="s">
        <v>24</v>
      </c>
      <c r="F105" t="s">
        <v>27</v>
      </c>
      <c r="G105">
        <v>8</v>
      </c>
      <c r="H105" s="3">
        <v>46174</v>
      </c>
    </row>
    <row r="106" spans="1:8" ht="15" x14ac:dyDescent="0.2">
      <c r="A106">
        <v>1257</v>
      </c>
      <c r="B106" t="s">
        <v>194</v>
      </c>
      <c r="C106" t="s">
        <v>150</v>
      </c>
      <c r="D106" t="s">
        <v>54</v>
      </c>
      <c r="E106" t="s">
        <v>24</v>
      </c>
      <c r="F106" t="s">
        <v>25</v>
      </c>
      <c r="H106" s="3">
        <v>46174</v>
      </c>
    </row>
    <row r="107" spans="1:8" ht="15" x14ac:dyDescent="0.2">
      <c r="A107">
        <v>415</v>
      </c>
      <c r="B107" t="s">
        <v>195</v>
      </c>
      <c r="C107" t="s">
        <v>196</v>
      </c>
      <c r="D107" t="s">
        <v>23</v>
      </c>
      <c r="E107" t="s">
        <v>24</v>
      </c>
      <c r="F107" t="s">
        <v>27</v>
      </c>
      <c r="G107">
        <v>6</v>
      </c>
      <c r="H107" s="3">
        <v>46174</v>
      </c>
    </row>
    <row r="108" spans="1:8" ht="15" x14ac:dyDescent="0.2">
      <c r="A108">
        <v>1144</v>
      </c>
      <c r="B108" t="s">
        <v>195</v>
      </c>
      <c r="C108" t="s">
        <v>197</v>
      </c>
      <c r="D108" t="s">
        <v>54</v>
      </c>
      <c r="E108" t="s">
        <v>24</v>
      </c>
      <c r="F108" t="s">
        <v>188</v>
      </c>
      <c r="H108" s="3">
        <v>46174</v>
      </c>
    </row>
    <row r="109" spans="1:8" ht="15" x14ac:dyDescent="0.2">
      <c r="A109">
        <v>1292</v>
      </c>
      <c r="B109" t="s">
        <v>198</v>
      </c>
      <c r="C109" t="s">
        <v>199</v>
      </c>
      <c r="D109" t="s">
        <v>23</v>
      </c>
      <c r="E109" t="s">
        <v>30</v>
      </c>
      <c r="F109" t="s">
        <v>25</v>
      </c>
      <c r="H109" s="3">
        <v>46174</v>
      </c>
    </row>
    <row r="110" spans="1:8" ht="15" x14ac:dyDescent="0.2">
      <c r="A110">
        <v>203</v>
      </c>
      <c r="B110" t="s">
        <v>200</v>
      </c>
      <c r="C110" t="s">
        <v>201</v>
      </c>
      <c r="D110" t="s">
        <v>23</v>
      </c>
      <c r="E110" t="s">
        <v>24</v>
      </c>
      <c r="F110" t="s">
        <v>27</v>
      </c>
      <c r="G110">
        <v>9</v>
      </c>
      <c r="H110" s="3">
        <v>46174</v>
      </c>
    </row>
    <row r="111" spans="1:8" ht="15" x14ac:dyDescent="0.2">
      <c r="A111">
        <v>956</v>
      </c>
      <c r="B111" t="s">
        <v>202</v>
      </c>
      <c r="C111" t="s">
        <v>94</v>
      </c>
      <c r="D111" t="s">
        <v>23</v>
      </c>
      <c r="E111" t="s">
        <v>24</v>
      </c>
      <c r="F111" t="s">
        <v>27</v>
      </c>
      <c r="G111">
        <v>13</v>
      </c>
      <c r="H111" s="3">
        <v>46174</v>
      </c>
    </row>
    <row r="112" spans="1:8" ht="15" x14ac:dyDescent="0.2">
      <c r="A112">
        <v>1273</v>
      </c>
      <c r="B112" t="s">
        <v>203</v>
      </c>
      <c r="C112" t="s">
        <v>204</v>
      </c>
      <c r="D112" t="s">
        <v>23</v>
      </c>
      <c r="E112" t="s">
        <v>30</v>
      </c>
      <c r="F112" t="s">
        <v>27</v>
      </c>
      <c r="G112">
        <v>22</v>
      </c>
      <c r="H112" s="3">
        <v>46174</v>
      </c>
    </row>
    <row r="113" spans="1:8" ht="15" x14ac:dyDescent="0.2">
      <c r="A113">
        <v>1272</v>
      </c>
      <c r="B113" t="s">
        <v>203</v>
      </c>
      <c r="C113" t="s">
        <v>205</v>
      </c>
      <c r="D113" t="s">
        <v>23</v>
      </c>
      <c r="E113" t="s">
        <v>24</v>
      </c>
      <c r="F113" t="s">
        <v>27</v>
      </c>
      <c r="G113">
        <v>24</v>
      </c>
      <c r="H113" s="3">
        <v>46174</v>
      </c>
    </row>
    <row r="114" spans="1:8" ht="15" x14ac:dyDescent="0.2">
      <c r="A114">
        <v>846</v>
      </c>
      <c r="B114" t="s">
        <v>206</v>
      </c>
      <c r="C114" t="s">
        <v>207</v>
      </c>
      <c r="D114" t="s">
        <v>23</v>
      </c>
      <c r="E114" t="s">
        <v>24</v>
      </c>
      <c r="F114" t="s">
        <v>27</v>
      </c>
      <c r="G114">
        <v>17</v>
      </c>
      <c r="H114" s="3">
        <v>46174</v>
      </c>
    </row>
    <row r="115" spans="1:8" ht="15" x14ac:dyDescent="0.2">
      <c r="A115">
        <v>1162</v>
      </c>
      <c r="B115" t="s">
        <v>208</v>
      </c>
      <c r="C115" t="s">
        <v>150</v>
      </c>
      <c r="D115" t="s">
        <v>23</v>
      </c>
      <c r="E115" t="s">
        <v>24</v>
      </c>
      <c r="F115" t="s">
        <v>25</v>
      </c>
      <c r="H115" s="3">
        <v>46174</v>
      </c>
    </row>
    <row r="116" spans="1:8" ht="15" x14ac:dyDescent="0.2">
      <c r="A116">
        <v>1244</v>
      </c>
      <c r="B116" t="s">
        <v>209</v>
      </c>
      <c r="C116" t="s">
        <v>94</v>
      </c>
      <c r="D116" t="s">
        <v>23</v>
      </c>
      <c r="E116" t="s">
        <v>24</v>
      </c>
      <c r="F116" t="s">
        <v>27</v>
      </c>
      <c r="G116">
        <v>2</v>
      </c>
      <c r="H116" s="3">
        <v>46174</v>
      </c>
    </row>
    <row r="117" spans="1:8" ht="15" x14ac:dyDescent="0.2">
      <c r="A117">
        <v>1379</v>
      </c>
      <c r="B117" t="s">
        <v>209</v>
      </c>
      <c r="C117" t="s">
        <v>210</v>
      </c>
      <c r="D117" t="s">
        <v>23</v>
      </c>
      <c r="E117" t="s">
        <v>30</v>
      </c>
      <c r="F117" t="s">
        <v>25</v>
      </c>
      <c r="H117" s="3">
        <v>46174</v>
      </c>
    </row>
    <row r="118" spans="1:8" ht="15" x14ac:dyDescent="0.2">
      <c r="A118">
        <v>1362</v>
      </c>
      <c r="B118" t="s">
        <v>211</v>
      </c>
      <c r="C118" t="s">
        <v>212</v>
      </c>
      <c r="D118" t="s">
        <v>23</v>
      </c>
      <c r="E118" t="s">
        <v>30</v>
      </c>
      <c r="F118" t="s">
        <v>27</v>
      </c>
      <c r="G118">
        <v>22</v>
      </c>
      <c r="H118" s="3">
        <v>46174</v>
      </c>
    </row>
    <row r="119" spans="1:8" ht="15" x14ac:dyDescent="0.2">
      <c r="A119">
        <v>1403</v>
      </c>
      <c r="B119" t="s">
        <v>213</v>
      </c>
      <c r="C119" t="s">
        <v>214</v>
      </c>
      <c r="D119" t="s">
        <v>23</v>
      </c>
      <c r="E119" t="s">
        <v>24</v>
      </c>
      <c r="F119" t="s">
        <v>27</v>
      </c>
      <c r="G119">
        <v>8</v>
      </c>
      <c r="H119" s="3">
        <v>46174</v>
      </c>
    </row>
    <row r="120" spans="1:8" ht="15" x14ac:dyDescent="0.2">
      <c r="A120">
        <v>1404</v>
      </c>
      <c r="B120" t="s">
        <v>213</v>
      </c>
      <c r="C120" t="s">
        <v>215</v>
      </c>
      <c r="D120" t="s">
        <v>23</v>
      </c>
      <c r="E120" t="s">
        <v>30</v>
      </c>
      <c r="F120" t="s">
        <v>25</v>
      </c>
      <c r="H120" s="3">
        <v>46174</v>
      </c>
    </row>
    <row r="121" spans="1:8" ht="15" x14ac:dyDescent="0.2">
      <c r="A121">
        <v>1229</v>
      </c>
      <c r="B121" t="s">
        <v>216</v>
      </c>
      <c r="C121" t="s">
        <v>217</v>
      </c>
      <c r="D121" t="s">
        <v>23</v>
      </c>
      <c r="E121" t="s">
        <v>30</v>
      </c>
      <c r="F121" t="s">
        <v>25</v>
      </c>
      <c r="H121" s="3">
        <v>46174</v>
      </c>
    </row>
    <row r="122" spans="1:8" ht="15" x14ac:dyDescent="0.2">
      <c r="A122">
        <v>1408</v>
      </c>
      <c r="B122" t="s">
        <v>218</v>
      </c>
      <c r="C122" t="s">
        <v>219</v>
      </c>
      <c r="D122" t="s">
        <v>23</v>
      </c>
      <c r="E122" t="s">
        <v>24</v>
      </c>
      <c r="F122" t="s">
        <v>27</v>
      </c>
      <c r="G122">
        <v>20</v>
      </c>
      <c r="H122" s="3">
        <v>46174</v>
      </c>
    </row>
    <row r="123" spans="1:8" ht="15" x14ac:dyDescent="0.2">
      <c r="A123">
        <v>1409</v>
      </c>
      <c r="B123" t="s">
        <v>218</v>
      </c>
      <c r="C123" t="s">
        <v>220</v>
      </c>
      <c r="D123" t="s">
        <v>23</v>
      </c>
      <c r="E123" t="s">
        <v>30</v>
      </c>
      <c r="F123" t="s">
        <v>27</v>
      </c>
      <c r="G123">
        <v>15</v>
      </c>
      <c r="H123" s="3">
        <v>46174</v>
      </c>
    </row>
    <row r="124" spans="1:8" ht="15" x14ac:dyDescent="0.2">
      <c r="A124">
        <v>1198</v>
      </c>
      <c r="B124" t="s">
        <v>221</v>
      </c>
      <c r="C124" t="s">
        <v>222</v>
      </c>
      <c r="D124" t="s">
        <v>23</v>
      </c>
      <c r="E124" t="s">
        <v>24</v>
      </c>
      <c r="F124" t="s">
        <v>27</v>
      </c>
      <c r="G124">
        <v>5</v>
      </c>
      <c r="H124" s="3">
        <v>46174</v>
      </c>
    </row>
    <row r="125" spans="1:8" ht="15" x14ac:dyDescent="0.2">
      <c r="A125">
        <v>1260</v>
      </c>
      <c r="B125" t="s">
        <v>223</v>
      </c>
      <c r="C125" t="s">
        <v>82</v>
      </c>
      <c r="D125" t="s">
        <v>23</v>
      </c>
      <c r="E125" t="s">
        <v>30</v>
      </c>
      <c r="F125" t="s">
        <v>27</v>
      </c>
      <c r="G125">
        <v>15</v>
      </c>
      <c r="H125" s="3">
        <v>46174</v>
      </c>
    </row>
    <row r="126" spans="1:8" ht="15" x14ac:dyDescent="0.2">
      <c r="A126">
        <v>1361</v>
      </c>
      <c r="B126" t="s">
        <v>224</v>
      </c>
      <c r="C126" t="s">
        <v>225</v>
      </c>
      <c r="D126" t="s">
        <v>23</v>
      </c>
      <c r="E126" t="s">
        <v>24</v>
      </c>
      <c r="F126" t="s">
        <v>27</v>
      </c>
      <c r="G126">
        <v>16</v>
      </c>
      <c r="H126" s="3">
        <v>46174</v>
      </c>
    </row>
    <row r="127" spans="1:8" ht="15" x14ac:dyDescent="0.2">
      <c r="A127">
        <v>1100</v>
      </c>
      <c r="B127" t="s">
        <v>226</v>
      </c>
      <c r="C127" t="s">
        <v>34</v>
      </c>
      <c r="D127" t="s">
        <v>23</v>
      </c>
      <c r="E127" t="s">
        <v>24</v>
      </c>
      <c r="F127" t="s">
        <v>27</v>
      </c>
      <c r="G127">
        <v>13</v>
      </c>
      <c r="H127" s="3">
        <v>46174</v>
      </c>
    </row>
    <row r="128" spans="1:8" ht="15" x14ac:dyDescent="0.2">
      <c r="A128">
        <v>1385</v>
      </c>
      <c r="B128" t="s">
        <v>227</v>
      </c>
      <c r="C128" t="s">
        <v>228</v>
      </c>
      <c r="D128" t="s">
        <v>23</v>
      </c>
      <c r="E128" t="s">
        <v>24</v>
      </c>
      <c r="F128" t="s">
        <v>25</v>
      </c>
      <c r="H128" s="3">
        <v>46174</v>
      </c>
    </row>
    <row r="129" spans="1:8" ht="15" x14ac:dyDescent="0.2">
      <c r="A129">
        <v>1394</v>
      </c>
      <c r="B129" t="s">
        <v>227</v>
      </c>
      <c r="C129" t="s">
        <v>229</v>
      </c>
      <c r="D129" t="s">
        <v>23</v>
      </c>
      <c r="E129" t="s">
        <v>24</v>
      </c>
      <c r="F129" t="s">
        <v>35</v>
      </c>
      <c r="H129" s="3">
        <v>46174</v>
      </c>
    </row>
    <row r="130" spans="1:8" ht="15" x14ac:dyDescent="0.2">
      <c r="A130">
        <v>1419</v>
      </c>
      <c r="B130" t="s">
        <v>230</v>
      </c>
      <c r="C130" t="s">
        <v>231</v>
      </c>
      <c r="D130" t="s">
        <v>23</v>
      </c>
      <c r="E130" t="s">
        <v>24</v>
      </c>
      <c r="F130" t="s">
        <v>25</v>
      </c>
      <c r="H130" s="3">
        <v>46174</v>
      </c>
    </row>
    <row r="131" spans="1:8" ht="15" x14ac:dyDescent="0.2">
      <c r="A131">
        <v>967</v>
      </c>
      <c r="B131" t="s">
        <v>232</v>
      </c>
      <c r="C131" t="s">
        <v>152</v>
      </c>
      <c r="D131" t="s">
        <v>23</v>
      </c>
      <c r="E131" t="s">
        <v>24</v>
      </c>
      <c r="F131" t="s">
        <v>27</v>
      </c>
      <c r="G131">
        <v>5</v>
      </c>
      <c r="H131" s="3">
        <v>46174</v>
      </c>
    </row>
    <row r="132" spans="1:8" ht="15" x14ac:dyDescent="0.2">
      <c r="A132">
        <v>1373</v>
      </c>
      <c r="B132" t="s">
        <v>233</v>
      </c>
      <c r="C132" t="s">
        <v>234</v>
      </c>
      <c r="D132" t="s">
        <v>23</v>
      </c>
      <c r="E132" t="s">
        <v>24</v>
      </c>
      <c r="F132" t="s">
        <v>27</v>
      </c>
      <c r="G132">
        <v>10</v>
      </c>
      <c r="H132" s="3">
        <v>46174</v>
      </c>
    </row>
    <row r="133" spans="1:8" ht="15" x14ac:dyDescent="0.2">
      <c r="A133">
        <v>1045</v>
      </c>
      <c r="B133" t="s">
        <v>235</v>
      </c>
      <c r="C133" t="s">
        <v>236</v>
      </c>
      <c r="D133" t="s">
        <v>23</v>
      </c>
      <c r="E133" t="s">
        <v>30</v>
      </c>
      <c r="F133" t="s">
        <v>27</v>
      </c>
      <c r="G133">
        <v>5</v>
      </c>
      <c r="H133" s="3">
        <v>46174</v>
      </c>
    </row>
    <row r="134" spans="1:8" ht="15" x14ac:dyDescent="0.2">
      <c r="A134">
        <v>1046</v>
      </c>
      <c r="B134" t="s">
        <v>235</v>
      </c>
      <c r="C134" t="s">
        <v>237</v>
      </c>
      <c r="D134" t="s">
        <v>23</v>
      </c>
      <c r="E134" t="s">
        <v>24</v>
      </c>
      <c r="F134" t="s">
        <v>27</v>
      </c>
      <c r="G134">
        <v>35</v>
      </c>
      <c r="H134" s="3">
        <v>46174</v>
      </c>
    </row>
    <row r="135" spans="1:8" ht="15" x14ac:dyDescent="0.2">
      <c r="A135">
        <v>1396</v>
      </c>
      <c r="B135" t="s">
        <v>238</v>
      </c>
      <c r="C135" t="s">
        <v>59</v>
      </c>
      <c r="D135" t="s">
        <v>23</v>
      </c>
      <c r="E135" t="s">
        <v>24</v>
      </c>
      <c r="F135" t="s">
        <v>25</v>
      </c>
      <c r="H135" s="3">
        <v>46174</v>
      </c>
    </row>
    <row r="136" spans="1:8" ht="15" x14ac:dyDescent="0.2">
      <c r="A136">
        <v>1397</v>
      </c>
      <c r="B136" t="s">
        <v>238</v>
      </c>
      <c r="C136" t="s">
        <v>239</v>
      </c>
      <c r="D136" t="s">
        <v>23</v>
      </c>
      <c r="E136" t="s">
        <v>30</v>
      </c>
      <c r="F136" t="s">
        <v>25</v>
      </c>
      <c r="H136" s="3">
        <v>46174</v>
      </c>
    </row>
    <row r="137" spans="1:8" ht="15" x14ac:dyDescent="0.2">
      <c r="A137">
        <v>1398</v>
      </c>
      <c r="B137" t="s">
        <v>238</v>
      </c>
      <c r="C137" t="s">
        <v>49</v>
      </c>
      <c r="D137" t="s">
        <v>23</v>
      </c>
      <c r="E137" t="s">
        <v>24</v>
      </c>
      <c r="F137" t="s">
        <v>35</v>
      </c>
      <c r="H137" s="3">
        <v>46174</v>
      </c>
    </row>
    <row r="138" spans="1:8" ht="15" x14ac:dyDescent="0.2">
      <c r="A138">
        <v>1399</v>
      </c>
      <c r="B138" t="s">
        <v>238</v>
      </c>
      <c r="C138" t="s">
        <v>131</v>
      </c>
      <c r="D138" t="s">
        <v>23</v>
      </c>
      <c r="E138" t="s">
        <v>30</v>
      </c>
      <c r="F138" t="s">
        <v>35</v>
      </c>
      <c r="H138" s="3">
        <v>46174</v>
      </c>
    </row>
    <row r="139" spans="1:8" ht="15" x14ac:dyDescent="0.2">
      <c r="A139">
        <v>771</v>
      </c>
      <c r="B139" t="s">
        <v>240</v>
      </c>
      <c r="C139" t="s">
        <v>241</v>
      </c>
      <c r="D139" t="s">
        <v>23</v>
      </c>
      <c r="E139" t="s">
        <v>24</v>
      </c>
      <c r="F139" t="s">
        <v>27</v>
      </c>
      <c r="G139">
        <v>14</v>
      </c>
      <c r="H139" s="3">
        <v>46174</v>
      </c>
    </row>
    <row r="140" spans="1:8" ht="15" x14ac:dyDescent="0.2">
      <c r="A140">
        <v>1265</v>
      </c>
      <c r="B140" t="s">
        <v>242</v>
      </c>
      <c r="C140" t="s">
        <v>243</v>
      </c>
      <c r="D140" t="s">
        <v>23</v>
      </c>
      <c r="E140" t="s">
        <v>24</v>
      </c>
      <c r="F140" t="s">
        <v>27</v>
      </c>
      <c r="G140">
        <v>20</v>
      </c>
      <c r="H140" s="3">
        <v>46174</v>
      </c>
    </row>
    <row r="141" spans="1:8" ht="15" x14ac:dyDescent="0.2">
      <c r="A141">
        <v>532</v>
      </c>
      <c r="B141" t="s">
        <v>244</v>
      </c>
      <c r="C141" t="s">
        <v>243</v>
      </c>
      <c r="D141" t="s">
        <v>23</v>
      </c>
      <c r="E141" t="s">
        <v>24</v>
      </c>
      <c r="F141" t="s">
        <v>27</v>
      </c>
      <c r="G141">
        <v>13</v>
      </c>
      <c r="H141" s="3">
        <v>46174</v>
      </c>
    </row>
    <row r="142" spans="1:8" ht="15" x14ac:dyDescent="0.2">
      <c r="A142">
        <v>1388</v>
      </c>
      <c r="B142" t="s">
        <v>193</v>
      </c>
      <c r="C142" t="s">
        <v>245</v>
      </c>
      <c r="D142" t="s">
        <v>23</v>
      </c>
      <c r="E142" t="s">
        <v>30</v>
      </c>
      <c r="F142" t="s">
        <v>25</v>
      </c>
      <c r="H142" s="3">
        <v>46174</v>
      </c>
    </row>
    <row r="143" spans="1:8" ht="15" x14ac:dyDescent="0.2">
      <c r="A143">
        <v>742</v>
      </c>
      <c r="B143" t="s">
        <v>246</v>
      </c>
      <c r="C143" t="s">
        <v>156</v>
      </c>
      <c r="D143" t="s">
        <v>23</v>
      </c>
      <c r="E143" t="s">
        <v>30</v>
      </c>
      <c r="F143" t="s">
        <v>27</v>
      </c>
      <c r="G143">
        <v>2</v>
      </c>
      <c r="H143" s="3">
        <v>46174</v>
      </c>
    </row>
    <row r="144" spans="1:8" ht="15" x14ac:dyDescent="0.2">
      <c r="A144">
        <v>741</v>
      </c>
      <c r="B144" t="s">
        <v>246</v>
      </c>
      <c r="C144" t="s">
        <v>247</v>
      </c>
      <c r="D144" t="s">
        <v>23</v>
      </c>
      <c r="E144" t="s">
        <v>24</v>
      </c>
      <c r="F144" t="s">
        <v>27</v>
      </c>
      <c r="G144">
        <v>4</v>
      </c>
      <c r="H144" s="3">
        <v>46174</v>
      </c>
    </row>
    <row r="145" spans="1:8" ht="15" x14ac:dyDescent="0.2">
      <c r="A145">
        <v>1298</v>
      </c>
      <c r="B145" t="s">
        <v>246</v>
      </c>
      <c r="C145" t="s">
        <v>132</v>
      </c>
      <c r="D145" t="s">
        <v>23</v>
      </c>
      <c r="E145" t="s">
        <v>30</v>
      </c>
      <c r="F145" t="s">
        <v>27</v>
      </c>
      <c r="G145">
        <v>13</v>
      </c>
      <c r="H145" s="3">
        <v>46174</v>
      </c>
    </row>
    <row r="146" spans="1:8" ht="15" x14ac:dyDescent="0.2">
      <c r="A146">
        <v>747</v>
      </c>
      <c r="B146" t="s">
        <v>246</v>
      </c>
      <c r="C146" t="s">
        <v>22</v>
      </c>
      <c r="D146" t="s">
        <v>23</v>
      </c>
      <c r="E146" t="s">
        <v>24</v>
      </c>
      <c r="F146" t="s">
        <v>27</v>
      </c>
      <c r="G146">
        <v>1</v>
      </c>
      <c r="H146" s="3">
        <v>46174</v>
      </c>
    </row>
    <row r="147" spans="1:8" ht="15" x14ac:dyDescent="0.2">
      <c r="A147">
        <v>1386</v>
      </c>
      <c r="B147" t="s">
        <v>246</v>
      </c>
      <c r="C147" t="s">
        <v>248</v>
      </c>
      <c r="D147" t="s">
        <v>23</v>
      </c>
      <c r="E147" t="s">
        <v>30</v>
      </c>
      <c r="F147" t="s">
        <v>35</v>
      </c>
      <c r="H147" s="3">
        <v>46174</v>
      </c>
    </row>
    <row r="148" spans="1:8" ht="15" x14ac:dyDescent="0.2">
      <c r="A148">
        <v>1221</v>
      </c>
      <c r="B148" t="s">
        <v>249</v>
      </c>
      <c r="C148" t="s">
        <v>234</v>
      </c>
      <c r="D148" t="s">
        <v>23</v>
      </c>
      <c r="E148" t="s">
        <v>24</v>
      </c>
      <c r="F148" t="s">
        <v>25</v>
      </c>
      <c r="H148" s="3">
        <v>46174</v>
      </c>
    </row>
    <row r="149" spans="1:8" ht="15" x14ac:dyDescent="0.2">
      <c r="A149">
        <v>564</v>
      </c>
      <c r="B149" t="s">
        <v>250</v>
      </c>
      <c r="C149" t="s">
        <v>34</v>
      </c>
      <c r="D149" t="s">
        <v>23</v>
      </c>
      <c r="E149" t="s">
        <v>24</v>
      </c>
      <c r="F149" t="s">
        <v>27</v>
      </c>
      <c r="G149">
        <v>7</v>
      </c>
      <c r="H149" s="3">
        <v>46174</v>
      </c>
    </row>
    <row r="150" spans="1:8" ht="15" x14ac:dyDescent="0.2">
      <c r="A150">
        <v>1165</v>
      </c>
      <c r="B150" t="s">
        <v>251</v>
      </c>
      <c r="C150" t="s">
        <v>177</v>
      </c>
      <c r="D150" t="s">
        <v>23</v>
      </c>
      <c r="E150" t="s">
        <v>24</v>
      </c>
      <c r="F150" t="s">
        <v>27</v>
      </c>
      <c r="G150">
        <v>10</v>
      </c>
      <c r="H150" s="3">
        <v>46174</v>
      </c>
    </row>
    <row r="151" spans="1:8" ht="15" x14ac:dyDescent="0.2">
      <c r="A151">
        <v>405</v>
      </c>
      <c r="B151" t="s">
        <v>252</v>
      </c>
      <c r="C151" t="s">
        <v>243</v>
      </c>
      <c r="D151" t="s">
        <v>23</v>
      </c>
      <c r="E151" t="s">
        <v>24</v>
      </c>
      <c r="F151" t="s">
        <v>27</v>
      </c>
      <c r="G151">
        <v>18</v>
      </c>
      <c r="H151" s="3">
        <v>46174</v>
      </c>
    </row>
    <row r="152" spans="1:8" ht="15" x14ac:dyDescent="0.2">
      <c r="A152">
        <v>1346</v>
      </c>
      <c r="B152" t="s">
        <v>253</v>
      </c>
      <c r="C152" t="s">
        <v>254</v>
      </c>
      <c r="D152" t="s">
        <v>23</v>
      </c>
      <c r="E152" t="s">
        <v>24</v>
      </c>
      <c r="F152" t="s">
        <v>27</v>
      </c>
      <c r="G152">
        <v>20</v>
      </c>
      <c r="H152" s="3">
        <v>46174</v>
      </c>
    </row>
    <row r="153" spans="1:8" ht="15" x14ac:dyDescent="0.2">
      <c r="A153">
        <v>1192</v>
      </c>
      <c r="B153" t="s">
        <v>255</v>
      </c>
      <c r="C153" t="s">
        <v>256</v>
      </c>
      <c r="D153" t="s">
        <v>23</v>
      </c>
      <c r="E153" t="s">
        <v>24</v>
      </c>
      <c r="F153" t="s">
        <v>27</v>
      </c>
      <c r="G153">
        <v>10</v>
      </c>
      <c r="H153" s="3">
        <v>46174</v>
      </c>
    </row>
    <row r="154" spans="1:8" ht="15" x14ac:dyDescent="0.2">
      <c r="A154">
        <v>1157</v>
      </c>
      <c r="B154" t="s">
        <v>257</v>
      </c>
      <c r="C154" t="s">
        <v>100</v>
      </c>
      <c r="D154" t="s">
        <v>23</v>
      </c>
      <c r="E154" t="s">
        <v>24</v>
      </c>
      <c r="F154" t="s">
        <v>25</v>
      </c>
      <c r="H154" s="3">
        <v>46174</v>
      </c>
    </row>
    <row r="155" spans="1:8" ht="15" x14ac:dyDescent="0.2">
      <c r="A155">
        <v>1359</v>
      </c>
      <c r="B155" t="s">
        <v>258</v>
      </c>
      <c r="C155" t="s">
        <v>49</v>
      </c>
      <c r="D155" t="s">
        <v>23</v>
      </c>
      <c r="E155" t="s">
        <v>24</v>
      </c>
      <c r="F155" t="s">
        <v>188</v>
      </c>
      <c r="H155" s="3">
        <v>46174</v>
      </c>
    </row>
    <row r="156" spans="1:8" ht="15" x14ac:dyDescent="0.2">
      <c r="A156">
        <v>1360</v>
      </c>
      <c r="B156" t="s">
        <v>258</v>
      </c>
      <c r="C156" t="s">
        <v>259</v>
      </c>
      <c r="D156" t="s">
        <v>23</v>
      </c>
      <c r="E156" t="s">
        <v>30</v>
      </c>
      <c r="F156" t="s">
        <v>35</v>
      </c>
      <c r="H156" s="3">
        <v>46174</v>
      </c>
    </row>
    <row r="157" spans="1:8" ht="15" x14ac:dyDescent="0.2">
      <c r="A157">
        <v>1357</v>
      </c>
      <c r="B157" t="s">
        <v>258</v>
      </c>
      <c r="C157" t="s">
        <v>34</v>
      </c>
      <c r="D157" t="s">
        <v>23</v>
      </c>
      <c r="E157" t="s">
        <v>24</v>
      </c>
      <c r="F157" t="s">
        <v>27</v>
      </c>
      <c r="G157">
        <v>5</v>
      </c>
      <c r="H157" s="3">
        <v>46174</v>
      </c>
    </row>
    <row r="158" spans="1:8" ht="15" x14ac:dyDescent="0.2">
      <c r="A158">
        <v>1358</v>
      </c>
      <c r="B158" t="s">
        <v>258</v>
      </c>
      <c r="C158" t="s">
        <v>260</v>
      </c>
      <c r="D158" t="s">
        <v>23</v>
      </c>
      <c r="E158" t="s">
        <v>30</v>
      </c>
      <c r="F158" t="s">
        <v>27</v>
      </c>
      <c r="G158">
        <v>7</v>
      </c>
      <c r="H158" s="3">
        <v>46174</v>
      </c>
    </row>
    <row r="159" spans="1:8" ht="15" x14ac:dyDescent="0.2">
      <c r="A159">
        <v>1390</v>
      </c>
      <c r="B159" t="s">
        <v>261</v>
      </c>
      <c r="C159" t="s">
        <v>262</v>
      </c>
      <c r="D159" t="s">
        <v>23</v>
      </c>
      <c r="E159" t="s">
        <v>24</v>
      </c>
      <c r="F159" t="s">
        <v>25</v>
      </c>
      <c r="H159" s="3">
        <v>46174</v>
      </c>
    </row>
    <row r="160" spans="1:8" ht="15" x14ac:dyDescent="0.2">
      <c r="A160">
        <v>1107</v>
      </c>
      <c r="B160" t="s">
        <v>263</v>
      </c>
      <c r="C160" t="s">
        <v>264</v>
      </c>
      <c r="D160" t="s">
        <v>23</v>
      </c>
      <c r="E160" t="s">
        <v>30</v>
      </c>
      <c r="F160" t="s">
        <v>25</v>
      </c>
      <c r="H160" s="3">
        <v>46174</v>
      </c>
    </row>
    <row r="161" spans="1:8" ht="15" x14ac:dyDescent="0.2">
      <c r="A161">
        <v>35</v>
      </c>
      <c r="B161" t="s">
        <v>265</v>
      </c>
      <c r="C161" t="s">
        <v>266</v>
      </c>
      <c r="D161" t="s">
        <v>23</v>
      </c>
      <c r="E161" t="s">
        <v>24</v>
      </c>
      <c r="F161" t="s">
        <v>27</v>
      </c>
      <c r="G161">
        <v>3</v>
      </c>
      <c r="H161" s="3">
        <v>46174</v>
      </c>
    </row>
    <row r="162" spans="1:8" ht="15" x14ac:dyDescent="0.2">
      <c r="A162">
        <v>1094</v>
      </c>
      <c r="B162" t="s">
        <v>267</v>
      </c>
      <c r="C162" t="s">
        <v>268</v>
      </c>
      <c r="D162" t="s">
        <v>23</v>
      </c>
      <c r="E162" t="s">
        <v>24</v>
      </c>
      <c r="F162" t="s">
        <v>27</v>
      </c>
      <c r="G162">
        <v>12</v>
      </c>
      <c r="H162" s="3">
        <v>46174</v>
      </c>
    </row>
    <row r="163" spans="1:8" ht="15" x14ac:dyDescent="0.2">
      <c r="A163">
        <v>1325</v>
      </c>
      <c r="B163" t="s">
        <v>269</v>
      </c>
      <c r="C163" t="s">
        <v>270</v>
      </c>
      <c r="D163" t="s">
        <v>23</v>
      </c>
      <c r="E163" t="s">
        <v>24</v>
      </c>
      <c r="F163" t="s">
        <v>27</v>
      </c>
      <c r="G163">
        <v>3</v>
      </c>
      <c r="H163" s="3">
        <v>46174</v>
      </c>
    </row>
    <row r="164" spans="1:8" ht="15" x14ac:dyDescent="0.2">
      <c r="A164">
        <v>1143</v>
      </c>
      <c r="B164" t="s">
        <v>271</v>
      </c>
      <c r="C164" t="s">
        <v>247</v>
      </c>
      <c r="D164" t="s">
        <v>23</v>
      </c>
      <c r="E164" t="s">
        <v>24</v>
      </c>
      <c r="F164" t="s">
        <v>27</v>
      </c>
      <c r="G164">
        <v>3</v>
      </c>
      <c r="H164" s="3">
        <v>46174</v>
      </c>
    </row>
    <row r="165" spans="1:8" ht="15" x14ac:dyDescent="0.2">
      <c r="A165">
        <v>1401</v>
      </c>
      <c r="B165" t="s">
        <v>272</v>
      </c>
      <c r="C165" t="s">
        <v>273</v>
      </c>
      <c r="D165" t="s">
        <v>23</v>
      </c>
      <c r="E165" t="s">
        <v>30</v>
      </c>
      <c r="F165" t="s">
        <v>25</v>
      </c>
      <c r="H165" s="3">
        <v>46174</v>
      </c>
    </row>
    <row r="166" spans="1:8" ht="15" x14ac:dyDescent="0.2">
      <c r="A166">
        <v>1285</v>
      </c>
      <c r="B166" t="s">
        <v>274</v>
      </c>
      <c r="C166" t="s">
        <v>100</v>
      </c>
      <c r="D166" t="s">
        <v>23</v>
      </c>
      <c r="E166" t="s">
        <v>24</v>
      </c>
      <c r="F166" t="s">
        <v>25</v>
      </c>
      <c r="H166" s="3">
        <v>46174</v>
      </c>
    </row>
    <row r="167" spans="1:8" ht="15" x14ac:dyDescent="0.2">
      <c r="A167">
        <v>38</v>
      </c>
      <c r="B167" t="s">
        <v>275</v>
      </c>
      <c r="C167" t="s">
        <v>276</v>
      </c>
      <c r="D167" t="s">
        <v>23</v>
      </c>
      <c r="E167" t="s">
        <v>24</v>
      </c>
      <c r="F167" t="s">
        <v>27</v>
      </c>
      <c r="G167">
        <v>13</v>
      </c>
      <c r="H167" s="3">
        <v>46174</v>
      </c>
    </row>
    <row r="168" spans="1:8" ht="15" x14ac:dyDescent="0.2">
      <c r="A168">
        <v>245</v>
      </c>
      <c r="B168" t="s">
        <v>277</v>
      </c>
      <c r="C168" t="s">
        <v>234</v>
      </c>
      <c r="D168" t="s">
        <v>23</v>
      </c>
      <c r="E168" t="s">
        <v>24</v>
      </c>
      <c r="F168" t="s">
        <v>27</v>
      </c>
      <c r="G168">
        <v>10</v>
      </c>
      <c r="H168" s="3">
        <v>46174</v>
      </c>
    </row>
    <row r="169" spans="1:8" ht="15" x14ac:dyDescent="0.2">
      <c r="A169">
        <v>39</v>
      </c>
      <c r="B169" t="s">
        <v>277</v>
      </c>
      <c r="C169" t="s">
        <v>278</v>
      </c>
      <c r="D169" t="s">
        <v>23</v>
      </c>
      <c r="E169" t="s">
        <v>24</v>
      </c>
      <c r="F169" t="s">
        <v>27</v>
      </c>
      <c r="G169">
        <v>43</v>
      </c>
      <c r="H169" s="3">
        <v>46174</v>
      </c>
    </row>
    <row r="170" spans="1:8" ht="15" x14ac:dyDescent="0.2">
      <c r="A170">
        <v>508</v>
      </c>
      <c r="B170" t="s">
        <v>279</v>
      </c>
      <c r="C170" t="s">
        <v>59</v>
      </c>
      <c r="D170" t="s">
        <v>23</v>
      </c>
      <c r="E170" t="s">
        <v>24</v>
      </c>
      <c r="F170" t="s">
        <v>27</v>
      </c>
      <c r="G170">
        <v>31</v>
      </c>
      <c r="H170" s="3">
        <v>46174</v>
      </c>
    </row>
    <row r="171" spans="1:8" ht="15" x14ac:dyDescent="0.2">
      <c r="A171">
        <v>1025</v>
      </c>
      <c r="B171" t="s">
        <v>280</v>
      </c>
      <c r="C171" t="s">
        <v>281</v>
      </c>
      <c r="D171" t="s">
        <v>23</v>
      </c>
      <c r="E171" t="s">
        <v>24</v>
      </c>
      <c r="F171" t="s">
        <v>35</v>
      </c>
      <c r="H171" s="3">
        <v>46174</v>
      </c>
    </row>
    <row r="172" spans="1:8" ht="15" x14ac:dyDescent="0.2">
      <c r="A172">
        <v>1024</v>
      </c>
      <c r="B172" t="s">
        <v>280</v>
      </c>
      <c r="C172" t="s">
        <v>282</v>
      </c>
      <c r="D172" t="s">
        <v>23</v>
      </c>
      <c r="E172" t="s">
        <v>24</v>
      </c>
      <c r="F172" t="s">
        <v>188</v>
      </c>
      <c r="H172" s="3">
        <v>46174</v>
      </c>
    </row>
    <row r="173" spans="1:8" ht="15" x14ac:dyDescent="0.2">
      <c r="A173">
        <v>1023</v>
      </c>
      <c r="B173" t="s">
        <v>280</v>
      </c>
      <c r="C173" t="s">
        <v>39</v>
      </c>
      <c r="D173" t="s">
        <v>23</v>
      </c>
      <c r="E173" t="s">
        <v>24</v>
      </c>
      <c r="F173" t="s">
        <v>25</v>
      </c>
      <c r="H173" s="3">
        <v>46174</v>
      </c>
    </row>
    <row r="174" spans="1:8" ht="15" x14ac:dyDescent="0.2">
      <c r="A174">
        <v>1232</v>
      </c>
      <c r="B174" t="s">
        <v>280</v>
      </c>
      <c r="C174" t="s">
        <v>283</v>
      </c>
      <c r="D174" t="s">
        <v>23</v>
      </c>
      <c r="E174" t="s">
        <v>30</v>
      </c>
      <c r="F174" t="s">
        <v>27</v>
      </c>
      <c r="G174">
        <v>4</v>
      </c>
      <c r="H174" s="3">
        <v>46174</v>
      </c>
    </row>
    <row r="175" spans="1:8" ht="15" x14ac:dyDescent="0.2">
      <c r="A175">
        <v>1392</v>
      </c>
      <c r="B175" t="s">
        <v>284</v>
      </c>
      <c r="C175" t="s">
        <v>285</v>
      </c>
      <c r="D175" t="s">
        <v>23</v>
      </c>
      <c r="E175" t="s">
        <v>30</v>
      </c>
      <c r="F175" t="s">
        <v>25</v>
      </c>
      <c r="H175" s="3">
        <v>46174</v>
      </c>
    </row>
    <row r="176" spans="1:8" ht="15" x14ac:dyDescent="0.2">
      <c r="A176">
        <v>1141</v>
      </c>
      <c r="B176" t="s">
        <v>286</v>
      </c>
      <c r="C176" t="s">
        <v>287</v>
      </c>
      <c r="D176" t="s">
        <v>23</v>
      </c>
      <c r="E176" t="s">
        <v>30</v>
      </c>
      <c r="F176" t="s">
        <v>27</v>
      </c>
      <c r="G176">
        <v>15</v>
      </c>
      <c r="H176" s="3">
        <v>46174</v>
      </c>
    </row>
    <row r="177" spans="1:8" ht="15" x14ac:dyDescent="0.2">
      <c r="A177">
        <v>891</v>
      </c>
      <c r="B177" t="s">
        <v>288</v>
      </c>
      <c r="C177" t="s">
        <v>289</v>
      </c>
      <c r="D177" t="s">
        <v>23</v>
      </c>
      <c r="E177" t="s">
        <v>30</v>
      </c>
      <c r="F177" t="s">
        <v>25</v>
      </c>
      <c r="H177" s="3">
        <v>46174</v>
      </c>
    </row>
    <row r="178" spans="1:8" ht="15" x14ac:dyDescent="0.2">
      <c r="A178">
        <v>1352</v>
      </c>
      <c r="B178" t="s">
        <v>290</v>
      </c>
      <c r="C178" t="s">
        <v>34</v>
      </c>
      <c r="D178" t="s">
        <v>23</v>
      </c>
      <c r="E178" t="s">
        <v>24</v>
      </c>
      <c r="F178" t="s">
        <v>27</v>
      </c>
      <c r="G178">
        <v>11</v>
      </c>
      <c r="H178" s="3">
        <v>46174</v>
      </c>
    </row>
    <row r="179" spans="1:8" ht="15" x14ac:dyDescent="0.2">
      <c r="A179">
        <v>1339</v>
      </c>
      <c r="B179" t="s">
        <v>291</v>
      </c>
      <c r="C179" t="s">
        <v>292</v>
      </c>
      <c r="D179" t="s">
        <v>23</v>
      </c>
      <c r="E179" t="s">
        <v>24</v>
      </c>
      <c r="F179" t="s">
        <v>25</v>
      </c>
      <c r="H179" s="3">
        <v>46174</v>
      </c>
    </row>
    <row r="180" spans="1:8" ht="15" x14ac:dyDescent="0.2">
      <c r="A180">
        <v>914</v>
      </c>
      <c r="B180" t="s">
        <v>293</v>
      </c>
      <c r="C180" t="s">
        <v>153</v>
      </c>
      <c r="D180" t="s">
        <v>23</v>
      </c>
      <c r="E180" t="s">
        <v>24</v>
      </c>
      <c r="F180" t="s">
        <v>27</v>
      </c>
      <c r="G180">
        <v>14</v>
      </c>
      <c r="H180" s="3">
        <v>46174</v>
      </c>
    </row>
    <row r="181" spans="1:8" ht="15" x14ac:dyDescent="0.2">
      <c r="A181">
        <v>597</v>
      </c>
      <c r="B181" t="s">
        <v>294</v>
      </c>
      <c r="C181" t="s">
        <v>295</v>
      </c>
      <c r="D181" t="s">
        <v>23</v>
      </c>
      <c r="E181" t="s">
        <v>24</v>
      </c>
      <c r="F181" t="s">
        <v>27</v>
      </c>
      <c r="G181">
        <v>36</v>
      </c>
      <c r="H181" s="3">
        <v>46174</v>
      </c>
    </row>
    <row r="182" spans="1:8" ht="15" x14ac:dyDescent="0.2">
      <c r="A182">
        <v>1038</v>
      </c>
      <c r="B182" t="s">
        <v>293</v>
      </c>
      <c r="C182" t="s">
        <v>51</v>
      </c>
      <c r="D182" t="s">
        <v>23</v>
      </c>
      <c r="E182" t="s">
        <v>24</v>
      </c>
      <c r="F182" t="s">
        <v>27</v>
      </c>
      <c r="G182">
        <v>12</v>
      </c>
      <c r="H182" s="3">
        <v>46174</v>
      </c>
    </row>
    <row r="183" spans="1:8" ht="15" x14ac:dyDescent="0.2">
      <c r="A183">
        <v>1347</v>
      </c>
      <c r="B183" t="s">
        <v>296</v>
      </c>
      <c r="C183" t="s">
        <v>104</v>
      </c>
      <c r="D183" t="s">
        <v>23</v>
      </c>
      <c r="E183" t="s">
        <v>24</v>
      </c>
      <c r="F183" t="s">
        <v>25</v>
      </c>
      <c r="H183" s="3">
        <v>46174</v>
      </c>
    </row>
    <row r="184" spans="1:8" ht="15" x14ac:dyDescent="0.2">
      <c r="A184">
        <v>1242</v>
      </c>
      <c r="B184" t="s">
        <v>297</v>
      </c>
      <c r="C184" t="s">
        <v>190</v>
      </c>
      <c r="D184" t="s">
        <v>23</v>
      </c>
      <c r="E184" t="s">
        <v>24</v>
      </c>
      <c r="F184" t="s">
        <v>27</v>
      </c>
      <c r="G184">
        <v>15</v>
      </c>
      <c r="H184" s="3">
        <v>46174</v>
      </c>
    </row>
    <row r="185" spans="1:8" ht="15" x14ac:dyDescent="0.2">
      <c r="A185">
        <v>1048</v>
      </c>
      <c r="B185" t="s">
        <v>298</v>
      </c>
      <c r="C185" t="s">
        <v>268</v>
      </c>
      <c r="D185" t="s">
        <v>23</v>
      </c>
      <c r="E185" t="s">
        <v>24</v>
      </c>
      <c r="F185" t="s">
        <v>27</v>
      </c>
      <c r="G185">
        <v>16</v>
      </c>
      <c r="H185" s="3">
        <v>46174</v>
      </c>
    </row>
    <row r="186" spans="1:8" ht="15" x14ac:dyDescent="0.2">
      <c r="A186">
        <v>1055</v>
      </c>
      <c r="B186" t="s">
        <v>298</v>
      </c>
      <c r="C186" t="s">
        <v>299</v>
      </c>
      <c r="D186" t="s">
        <v>23</v>
      </c>
      <c r="E186" t="s">
        <v>24</v>
      </c>
      <c r="F186" t="s">
        <v>27</v>
      </c>
      <c r="G186">
        <v>1</v>
      </c>
      <c r="H186" s="3">
        <v>46174</v>
      </c>
    </row>
    <row r="187" spans="1:8" ht="15" x14ac:dyDescent="0.2">
      <c r="A187">
        <v>1095</v>
      </c>
      <c r="B187" t="s">
        <v>298</v>
      </c>
      <c r="C187" t="s">
        <v>300</v>
      </c>
      <c r="D187" t="s">
        <v>23</v>
      </c>
      <c r="E187" t="s">
        <v>24</v>
      </c>
      <c r="F187" t="s">
        <v>27</v>
      </c>
      <c r="G187">
        <v>33</v>
      </c>
      <c r="H187" s="3">
        <v>46174</v>
      </c>
    </row>
    <row r="188" spans="1:8" ht="15" x14ac:dyDescent="0.2">
      <c r="A188">
        <v>820</v>
      </c>
      <c r="B188" t="s">
        <v>298</v>
      </c>
      <c r="C188" t="s">
        <v>139</v>
      </c>
      <c r="D188" t="s">
        <v>23</v>
      </c>
      <c r="E188" t="s">
        <v>30</v>
      </c>
      <c r="F188" t="s">
        <v>27</v>
      </c>
      <c r="G188">
        <v>6</v>
      </c>
      <c r="H188" s="3">
        <v>46174</v>
      </c>
    </row>
    <row r="189" spans="1:8" ht="15" x14ac:dyDescent="0.2">
      <c r="A189">
        <v>687</v>
      </c>
      <c r="B189" t="s">
        <v>298</v>
      </c>
      <c r="C189" t="s">
        <v>301</v>
      </c>
      <c r="D189" t="s">
        <v>23</v>
      </c>
      <c r="E189" t="s">
        <v>24</v>
      </c>
      <c r="F189" t="s">
        <v>27</v>
      </c>
      <c r="G189">
        <v>7</v>
      </c>
      <c r="H189" s="3">
        <v>46174</v>
      </c>
    </row>
    <row r="190" spans="1:8" ht="15" x14ac:dyDescent="0.2">
      <c r="A190">
        <v>1420</v>
      </c>
      <c r="B190" t="s">
        <v>302</v>
      </c>
      <c r="C190" t="s">
        <v>212</v>
      </c>
      <c r="D190" t="s">
        <v>23</v>
      </c>
      <c r="E190" t="s">
        <v>30</v>
      </c>
      <c r="F190" t="s">
        <v>27</v>
      </c>
      <c r="G190">
        <v>15</v>
      </c>
      <c r="H190" s="3">
        <v>46174</v>
      </c>
    </row>
    <row r="191" spans="1:8" ht="15" x14ac:dyDescent="0.2">
      <c r="A191">
        <v>1410</v>
      </c>
      <c r="B191" t="s">
        <v>104</v>
      </c>
      <c r="C191" t="s">
        <v>303</v>
      </c>
      <c r="D191" t="s">
        <v>23</v>
      </c>
      <c r="E191" t="s">
        <v>24</v>
      </c>
      <c r="F191" t="s">
        <v>25</v>
      </c>
      <c r="H191" s="3">
        <v>46174</v>
      </c>
    </row>
    <row r="192" spans="1:8" ht="15" x14ac:dyDescent="0.2">
      <c r="A192">
        <v>1161</v>
      </c>
      <c r="B192" t="s">
        <v>304</v>
      </c>
      <c r="C192" t="s">
        <v>305</v>
      </c>
      <c r="D192" t="s">
        <v>23</v>
      </c>
      <c r="E192" t="s">
        <v>24</v>
      </c>
      <c r="F192" t="s">
        <v>25</v>
      </c>
      <c r="H192" s="3">
        <v>46174</v>
      </c>
    </row>
    <row r="193" spans="1:8" ht="15" x14ac:dyDescent="0.2">
      <c r="A193">
        <v>890</v>
      </c>
      <c r="B193" t="s">
        <v>306</v>
      </c>
      <c r="C193" t="s">
        <v>307</v>
      </c>
      <c r="D193" t="s">
        <v>54</v>
      </c>
      <c r="E193" t="s">
        <v>24</v>
      </c>
      <c r="F193" t="s">
        <v>27</v>
      </c>
      <c r="G193">
        <v>23</v>
      </c>
      <c r="H193" s="3">
        <v>46174</v>
      </c>
    </row>
    <row r="194" spans="1:8" ht="15" x14ac:dyDescent="0.2">
      <c r="A194">
        <v>1166</v>
      </c>
      <c r="B194" t="s">
        <v>308</v>
      </c>
      <c r="C194" t="s">
        <v>143</v>
      </c>
      <c r="D194" t="s">
        <v>54</v>
      </c>
      <c r="E194" t="s">
        <v>24</v>
      </c>
      <c r="F194" t="s">
        <v>27</v>
      </c>
      <c r="G194">
        <v>5</v>
      </c>
      <c r="H194" s="3">
        <v>46174</v>
      </c>
    </row>
    <row r="195" spans="1:8" ht="15" x14ac:dyDescent="0.2">
      <c r="A195">
        <v>45</v>
      </c>
      <c r="B195" t="s">
        <v>309</v>
      </c>
      <c r="C195" t="s">
        <v>310</v>
      </c>
      <c r="D195" t="s">
        <v>23</v>
      </c>
      <c r="E195" t="s">
        <v>24</v>
      </c>
      <c r="F195" t="s">
        <v>27</v>
      </c>
      <c r="G195">
        <v>20</v>
      </c>
      <c r="H195" s="3">
        <v>46174</v>
      </c>
    </row>
    <row r="196" spans="1:8" ht="15" x14ac:dyDescent="0.2">
      <c r="A196">
        <v>1160</v>
      </c>
      <c r="B196" t="s">
        <v>311</v>
      </c>
      <c r="C196" t="s">
        <v>312</v>
      </c>
      <c r="D196" t="s">
        <v>23</v>
      </c>
      <c r="E196" t="s">
        <v>24</v>
      </c>
      <c r="F196" t="s">
        <v>25</v>
      </c>
      <c r="H196" s="3">
        <v>46174</v>
      </c>
    </row>
    <row r="197" spans="1:8" ht="15" x14ac:dyDescent="0.2">
      <c r="A197">
        <v>945</v>
      </c>
      <c r="B197" t="s">
        <v>313</v>
      </c>
      <c r="C197" t="s">
        <v>49</v>
      </c>
      <c r="D197" t="s">
        <v>23</v>
      </c>
      <c r="E197" t="s">
        <v>24</v>
      </c>
      <c r="F197" t="s">
        <v>25</v>
      </c>
      <c r="H197" s="3">
        <v>46174</v>
      </c>
    </row>
    <row r="198" spans="1:8" ht="15" x14ac:dyDescent="0.2">
      <c r="A198">
        <v>813</v>
      </c>
      <c r="B198" t="s">
        <v>313</v>
      </c>
      <c r="C198" t="s">
        <v>289</v>
      </c>
      <c r="D198" t="s">
        <v>23</v>
      </c>
      <c r="E198" t="s">
        <v>30</v>
      </c>
      <c r="F198" t="s">
        <v>27</v>
      </c>
      <c r="G198">
        <v>7</v>
      </c>
      <c r="H198" s="3">
        <v>46174</v>
      </c>
    </row>
    <row r="199" spans="1:8" ht="15" x14ac:dyDescent="0.2">
      <c r="A199">
        <v>812</v>
      </c>
      <c r="B199" t="s">
        <v>313</v>
      </c>
      <c r="C199" t="s">
        <v>170</v>
      </c>
      <c r="D199" t="s">
        <v>23</v>
      </c>
      <c r="E199" t="s">
        <v>24</v>
      </c>
      <c r="F199" t="s">
        <v>27</v>
      </c>
      <c r="G199">
        <v>9</v>
      </c>
      <c r="H199" s="3">
        <v>46174</v>
      </c>
    </row>
    <row r="200" spans="1:8" ht="15" x14ac:dyDescent="0.2">
      <c r="A200">
        <v>1129</v>
      </c>
      <c r="B200" t="s">
        <v>314</v>
      </c>
      <c r="C200" t="s">
        <v>315</v>
      </c>
      <c r="D200" t="s">
        <v>23</v>
      </c>
      <c r="E200" t="s">
        <v>24</v>
      </c>
      <c r="F200" t="s">
        <v>27</v>
      </c>
      <c r="G200">
        <v>12</v>
      </c>
      <c r="H200" s="3">
        <v>46174</v>
      </c>
    </row>
    <row r="201" spans="1:8" ht="15" x14ac:dyDescent="0.2">
      <c r="A201">
        <v>915</v>
      </c>
      <c r="B201" t="s">
        <v>316</v>
      </c>
      <c r="C201" t="s">
        <v>241</v>
      </c>
      <c r="D201" t="s">
        <v>23</v>
      </c>
      <c r="E201" t="s">
        <v>24</v>
      </c>
      <c r="F201" t="s">
        <v>27</v>
      </c>
      <c r="G201">
        <v>8</v>
      </c>
      <c r="H201" s="3">
        <v>46174</v>
      </c>
    </row>
    <row r="202" spans="1:8" ht="15" x14ac:dyDescent="0.2">
      <c r="A202">
        <v>1356</v>
      </c>
      <c r="B202" t="s">
        <v>317</v>
      </c>
      <c r="C202" t="s">
        <v>318</v>
      </c>
      <c r="D202" t="s">
        <v>54</v>
      </c>
      <c r="E202" t="s">
        <v>24</v>
      </c>
      <c r="F202" t="s">
        <v>27</v>
      </c>
      <c r="G202">
        <v>15</v>
      </c>
      <c r="H202" s="3">
        <v>46174</v>
      </c>
    </row>
    <row r="203" spans="1:8" ht="15" x14ac:dyDescent="0.2">
      <c r="A203">
        <v>1422</v>
      </c>
      <c r="B203" t="s">
        <v>319</v>
      </c>
      <c r="C203" t="s">
        <v>320</v>
      </c>
      <c r="D203" t="s">
        <v>54</v>
      </c>
      <c r="E203" t="s">
        <v>30</v>
      </c>
      <c r="F203" t="s">
        <v>25</v>
      </c>
      <c r="H203" s="3">
        <v>46174</v>
      </c>
    </row>
    <row r="204" spans="1:8" ht="15" x14ac:dyDescent="0.2">
      <c r="A204">
        <v>860</v>
      </c>
      <c r="B204" t="s">
        <v>321</v>
      </c>
      <c r="C204" t="s">
        <v>215</v>
      </c>
      <c r="D204" t="s">
        <v>23</v>
      </c>
      <c r="E204" t="s">
        <v>30</v>
      </c>
      <c r="F204" t="s">
        <v>25</v>
      </c>
      <c r="H204" s="3">
        <v>46174</v>
      </c>
    </row>
    <row r="205" spans="1:8" ht="15" x14ac:dyDescent="0.2">
      <c r="A205">
        <v>756</v>
      </c>
      <c r="B205" t="s">
        <v>321</v>
      </c>
      <c r="C205" t="s">
        <v>322</v>
      </c>
      <c r="D205" t="s">
        <v>23</v>
      </c>
      <c r="E205" t="s">
        <v>24</v>
      </c>
      <c r="F205" t="s">
        <v>25</v>
      </c>
      <c r="H205" s="3">
        <v>46174</v>
      </c>
    </row>
    <row r="206" spans="1:8" ht="15" x14ac:dyDescent="0.2">
      <c r="A206">
        <v>407</v>
      </c>
      <c r="B206" t="s">
        <v>321</v>
      </c>
      <c r="C206" t="s">
        <v>323</v>
      </c>
      <c r="D206" t="s">
        <v>23</v>
      </c>
      <c r="E206" t="s">
        <v>24</v>
      </c>
      <c r="F206" t="s">
        <v>27</v>
      </c>
      <c r="G206">
        <v>5</v>
      </c>
      <c r="H206" s="3">
        <v>46174</v>
      </c>
    </row>
    <row r="207" spans="1:8" ht="15" x14ac:dyDescent="0.2">
      <c r="A207">
        <v>1428</v>
      </c>
      <c r="B207" t="s">
        <v>324</v>
      </c>
      <c r="C207" t="s">
        <v>325</v>
      </c>
      <c r="D207" t="s">
        <v>23</v>
      </c>
      <c r="E207" t="s">
        <v>24</v>
      </c>
      <c r="F207" t="s">
        <v>35</v>
      </c>
      <c r="H207" s="3">
        <v>46174</v>
      </c>
    </row>
    <row r="208" spans="1:8" ht="15" x14ac:dyDescent="0.2">
      <c r="A208">
        <v>1423</v>
      </c>
      <c r="B208" t="s">
        <v>326</v>
      </c>
      <c r="C208" t="s">
        <v>83</v>
      </c>
      <c r="D208" t="s">
        <v>23</v>
      </c>
      <c r="E208" t="s">
        <v>24</v>
      </c>
      <c r="F208" t="s">
        <v>25</v>
      </c>
      <c r="H208" s="3">
        <v>46174</v>
      </c>
    </row>
    <row r="209" spans="1:8" ht="15" x14ac:dyDescent="0.2">
      <c r="A209">
        <v>1424</v>
      </c>
      <c r="B209" t="s">
        <v>326</v>
      </c>
      <c r="C209" t="s">
        <v>259</v>
      </c>
      <c r="D209" t="s">
        <v>23</v>
      </c>
      <c r="E209" t="s">
        <v>30</v>
      </c>
      <c r="F209" t="s">
        <v>25</v>
      </c>
      <c r="H209" s="3">
        <v>46174</v>
      </c>
    </row>
    <row r="210" spans="1:8" ht="15" x14ac:dyDescent="0.2">
      <c r="A210">
        <v>1425</v>
      </c>
      <c r="B210" t="s">
        <v>326</v>
      </c>
      <c r="C210" t="s">
        <v>327</v>
      </c>
      <c r="D210" t="s">
        <v>23</v>
      </c>
      <c r="E210" t="s">
        <v>24</v>
      </c>
      <c r="F210" t="s">
        <v>35</v>
      </c>
      <c r="H210" s="3">
        <v>46174</v>
      </c>
    </row>
    <row r="211" spans="1:8" ht="15" x14ac:dyDescent="0.2">
      <c r="A211">
        <v>1426</v>
      </c>
      <c r="B211" t="s">
        <v>326</v>
      </c>
      <c r="C211" t="s">
        <v>328</v>
      </c>
      <c r="D211" t="s">
        <v>23</v>
      </c>
      <c r="E211" t="s">
        <v>30</v>
      </c>
      <c r="F211" t="s">
        <v>35</v>
      </c>
      <c r="H211" s="3">
        <v>46174</v>
      </c>
    </row>
    <row r="212" spans="1:8" ht="15" x14ac:dyDescent="0.2">
      <c r="A212">
        <v>1312</v>
      </c>
      <c r="B212" t="s">
        <v>329</v>
      </c>
      <c r="C212" t="s">
        <v>287</v>
      </c>
      <c r="D212" t="s">
        <v>23</v>
      </c>
      <c r="E212" t="s">
        <v>30</v>
      </c>
      <c r="F212" t="s">
        <v>27</v>
      </c>
      <c r="G212">
        <v>35</v>
      </c>
      <c r="H212" s="3">
        <v>46174</v>
      </c>
    </row>
    <row r="213" spans="1:8" ht="15" x14ac:dyDescent="0.2">
      <c r="A213">
        <v>935</v>
      </c>
      <c r="B213" t="s">
        <v>330</v>
      </c>
      <c r="C213" t="s">
        <v>245</v>
      </c>
      <c r="D213" t="s">
        <v>23</v>
      </c>
      <c r="E213" t="s">
        <v>30</v>
      </c>
      <c r="F213" t="s">
        <v>25</v>
      </c>
      <c r="H213" s="3">
        <v>46174</v>
      </c>
    </row>
    <row r="214" spans="1:8" ht="15" x14ac:dyDescent="0.2">
      <c r="A214">
        <v>999</v>
      </c>
      <c r="B214" t="s">
        <v>330</v>
      </c>
      <c r="C214" t="s">
        <v>331</v>
      </c>
      <c r="D214" t="s">
        <v>23</v>
      </c>
      <c r="E214" t="s">
        <v>30</v>
      </c>
      <c r="F214" t="s">
        <v>25</v>
      </c>
      <c r="H214" s="3">
        <v>46174</v>
      </c>
    </row>
    <row r="215" spans="1:8" ht="15" x14ac:dyDescent="0.2">
      <c r="A215">
        <v>998</v>
      </c>
      <c r="B215" t="s">
        <v>330</v>
      </c>
      <c r="C215" t="s">
        <v>332</v>
      </c>
      <c r="D215" t="s">
        <v>23</v>
      </c>
      <c r="E215" t="s">
        <v>30</v>
      </c>
      <c r="F215" t="s">
        <v>27</v>
      </c>
      <c r="G215">
        <v>5</v>
      </c>
      <c r="H215" s="3">
        <v>46174</v>
      </c>
    </row>
    <row r="216" spans="1:8" ht="15" x14ac:dyDescent="0.2">
      <c r="A216">
        <v>616</v>
      </c>
      <c r="B216" t="s">
        <v>330</v>
      </c>
      <c r="C216" t="s">
        <v>41</v>
      </c>
      <c r="D216" t="s">
        <v>23</v>
      </c>
      <c r="E216" t="s">
        <v>24</v>
      </c>
      <c r="F216" t="s">
        <v>27</v>
      </c>
      <c r="G216">
        <v>7</v>
      </c>
      <c r="H216" s="3">
        <v>46174</v>
      </c>
    </row>
    <row r="217" spans="1:8" ht="15" x14ac:dyDescent="0.2">
      <c r="A217">
        <v>558</v>
      </c>
      <c r="B217" t="s">
        <v>333</v>
      </c>
      <c r="C217" t="s">
        <v>334</v>
      </c>
      <c r="D217" t="s">
        <v>23</v>
      </c>
      <c r="E217" t="s">
        <v>24</v>
      </c>
      <c r="F217" t="s">
        <v>27</v>
      </c>
      <c r="G217">
        <v>15</v>
      </c>
      <c r="H217" s="3">
        <v>46174</v>
      </c>
    </row>
    <row r="218" spans="1:8" ht="15" x14ac:dyDescent="0.2">
      <c r="A218">
        <v>991</v>
      </c>
      <c r="B218" t="s">
        <v>335</v>
      </c>
      <c r="C218" t="s">
        <v>184</v>
      </c>
      <c r="D218" t="s">
        <v>23</v>
      </c>
      <c r="E218" t="s">
        <v>30</v>
      </c>
      <c r="F218" t="s">
        <v>35</v>
      </c>
      <c r="H218" s="3">
        <v>46174</v>
      </c>
    </row>
    <row r="219" spans="1:8" ht="15" x14ac:dyDescent="0.2">
      <c r="A219">
        <v>359</v>
      </c>
      <c r="B219" t="s">
        <v>336</v>
      </c>
      <c r="C219" t="s">
        <v>26</v>
      </c>
      <c r="D219" t="s">
        <v>23</v>
      </c>
      <c r="E219" t="s">
        <v>24</v>
      </c>
      <c r="F219" t="s">
        <v>27</v>
      </c>
      <c r="G219">
        <v>24</v>
      </c>
      <c r="H219" s="3">
        <v>46174</v>
      </c>
    </row>
    <row r="220" spans="1:8" ht="15" x14ac:dyDescent="0.2">
      <c r="A220">
        <v>1310</v>
      </c>
      <c r="B220" t="s">
        <v>337</v>
      </c>
      <c r="C220" t="s">
        <v>311</v>
      </c>
      <c r="D220" t="s">
        <v>23</v>
      </c>
      <c r="E220" t="s">
        <v>24</v>
      </c>
      <c r="F220" t="s">
        <v>25</v>
      </c>
      <c r="H220" s="3">
        <v>46174</v>
      </c>
    </row>
    <row r="221" spans="1:8" ht="15" x14ac:dyDescent="0.2">
      <c r="A221">
        <v>1200</v>
      </c>
      <c r="B221" t="s">
        <v>338</v>
      </c>
      <c r="C221" t="s">
        <v>339</v>
      </c>
      <c r="D221" t="s">
        <v>23</v>
      </c>
      <c r="E221" t="s">
        <v>24</v>
      </c>
      <c r="F221" t="s">
        <v>27</v>
      </c>
      <c r="G221">
        <v>6</v>
      </c>
      <c r="H221" s="3">
        <v>46174</v>
      </c>
    </row>
    <row r="222" spans="1:8" ht="15" x14ac:dyDescent="0.2">
      <c r="A222">
        <v>1411</v>
      </c>
      <c r="B222" t="s">
        <v>338</v>
      </c>
      <c r="C222" t="s">
        <v>72</v>
      </c>
      <c r="D222" t="s">
        <v>23</v>
      </c>
      <c r="E222" t="s">
        <v>30</v>
      </c>
      <c r="F222" t="s">
        <v>27</v>
      </c>
      <c r="G222">
        <v>3</v>
      </c>
      <c r="H222" s="3">
        <v>46174</v>
      </c>
    </row>
    <row r="223" spans="1:8" ht="15" x14ac:dyDescent="0.2">
      <c r="A223">
        <v>1412</v>
      </c>
      <c r="B223" t="s">
        <v>338</v>
      </c>
      <c r="C223" t="s">
        <v>340</v>
      </c>
      <c r="D223" t="s">
        <v>23</v>
      </c>
      <c r="E223" t="s">
        <v>30</v>
      </c>
      <c r="F223" t="s">
        <v>188</v>
      </c>
      <c r="H223" s="3">
        <v>46174</v>
      </c>
    </row>
    <row r="224" spans="1:8" ht="15" x14ac:dyDescent="0.2">
      <c r="A224">
        <v>1413</v>
      </c>
      <c r="B224" t="s">
        <v>338</v>
      </c>
      <c r="C224" t="s">
        <v>214</v>
      </c>
      <c r="D224" t="s">
        <v>23</v>
      </c>
      <c r="E224" t="s">
        <v>24</v>
      </c>
      <c r="F224" t="s">
        <v>188</v>
      </c>
      <c r="H224" s="3">
        <v>46174</v>
      </c>
    </row>
    <row r="225" spans="1:8" ht="15" x14ac:dyDescent="0.2">
      <c r="A225">
        <v>1376</v>
      </c>
      <c r="B225" t="s">
        <v>192</v>
      </c>
      <c r="C225" t="s">
        <v>127</v>
      </c>
      <c r="D225" t="s">
        <v>23</v>
      </c>
      <c r="E225" t="s">
        <v>30</v>
      </c>
      <c r="F225" t="s">
        <v>25</v>
      </c>
      <c r="H225" s="3">
        <v>46174</v>
      </c>
    </row>
    <row r="226" spans="1:8" ht="15" x14ac:dyDescent="0.2">
      <c r="A226">
        <v>1140</v>
      </c>
      <c r="B226" t="s">
        <v>341</v>
      </c>
      <c r="C226" t="s">
        <v>243</v>
      </c>
      <c r="D226" t="s">
        <v>23</v>
      </c>
      <c r="E226" t="s">
        <v>24</v>
      </c>
      <c r="F226" t="s">
        <v>25</v>
      </c>
      <c r="H226" s="3">
        <v>46174</v>
      </c>
    </row>
    <row r="227" spans="1:8" ht="15" x14ac:dyDescent="0.2">
      <c r="A227">
        <v>989</v>
      </c>
      <c r="B227" t="s">
        <v>342</v>
      </c>
      <c r="C227" t="s">
        <v>343</v>
      </c>
      <c r="D227" t="s">
        <v>23</v>
      </c>
      <c r="E227" t="s">
        <v>24</v>
      </c>
      <c r="F227" t="s">
        <v>27</v>
      </c>
      <c r="G227">
        <v>3</v>
      </c>
      <c r="H227" s="3">
        <v>46174</v>
      </c>
    </row>
    <row r="228" spans="1:8" ht="15" x14ac:dyDescent="0.2">
      <c r="A228">
        <v>1417</v>
      </c>
      <c r="B228" t="s">
        <v>344</v>
      </c>
      <c r="C228" t="s">
        <v>345</v>
      </c>
      <c r="D228" t="s">
        <v>23</v>
      </c>
      <c r="E228" t="s">
        <v>30</v>
      </c>
      <c r="F228" t="s">
        <v>27</v>
      </c>
      <c r="G228">
        <v>17</v>
      </c>
      <c r="H228" s="3">
        <v>46174</v>
      </c>
    </row>
    <row r="229" spans="1:8" ht="15" x14ac:dyDescent="0.2">
      <c r="A229">
        <v>52</v>
      </c>
      <c r="B229" t="s">
        <v>346</v>
      </c>
      <c r="C229" t="s">
        <v>192</v>
      </c>
      <c r="D229" t="s">
        <v>23</v>
      </c>
      <c r="E229" t="s">
        <v>24</v>
      </c>
      <c r="F229" t="s">
        <v>25</v>
      </c>
      <c r="H229" s="3">
        <v>46174</v>
      </c>
    </row>
    <row r="230" spans="1:8" ht="15" x14ac:dyDescent="0.2">
      <c r="A230">
        <v>62</v>
      </c>
      <c r="B230" t="s">
        <v>344</v>
      </c>
      <c r="C230" t="s">
        <v>234</v>
      </c>
      <c r="D230" t="s">
        <v>23</v>
      </c>
      <c r="E230" t="s">
        <v>24</v>
      </c>
      <c r="F230" t="s">
        <v>27</v>
      </c>
      <c r="G230">
        <v>4</v>
      </c>
      <c r="H230" s="3">
        <v>46174</v>
      </c>
    </row>
    <row r="231" spans="1:8" ht="15" x14ac:dyDescent="0.2">
      <c r="A231">
        <v>930</v>
      </c>
      <c r="B231" t="s">
        <v>347</v>
      </c>
      <c r="C231" t="s">
        <v>348</v>
      </c>
      <c r="D231" t="s">
        <v>23</v>
      </c>
      <c r="E231" t="s">
        <v>30</v>
      </c>
      <c r="F231" t="s">
        <v>27</v>
      </c>
      <c r="G231">
        <v>6</v>
      </c>
      <c r="H231" s="3">
        <v>46174</v>
      </c>
    </row>
    <row r="232" spans="1:8" ht="15" x14ac:dyDescent="0.2">
      <c r="A232">
        <v>1254</v>
      </c>
      <c r="B232" t="s">
        <v>349</v>
      </c>
      <c r="C232" t="s">
        <v>51</v>
      </c>
      <c r="D232" t="s">
        <v>23</v>
      </c>
      <c r="E232" t="s">
        <v>24</v>
      </c>
      <c r="F232" t="s">
        <v>27</v>
      </c>
      <c r="G232">
        <v>21</v>
      </c>
      <c r="H232" s="3">
        <v>46174</v>
      </c>
    </row>
    <row r="233" spans="1:8" ht="15" x14ac:dyDescent="0.2">
      <c r="A233">
        <v>744</v>
      </c>
      <c r="B233" t="s">
        <v>350</v>
      </c>
      <c r="C233" t="s">
        <v>351</v>
      </c>
      <c r="D233" t="s">
        <v>23</v>
      </c>
      <c r="E233" t="s">
        <v>24</v>
      </c>
      <c r="F233" t="s">
        <v>27</v>
      </c>
      <c r="G233">
        <v>28</v>
      </c>
      <c r="H233" s="3">
        <v>46174</v>
      </c>
    </row>
    <row r="234" spans="1:8" ht="15" x14ac:dyDescent="0.2">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3">
        <v>46181</v>
      </c>
    </row>
    <row r="3" spans="1:8" ht="15" x14ac:dyDescent="0.2">
      <c r="A3">
        <v>1237</v>
      </c>
      <c r="B3" t="s">
        <v>21</v>
      </c>
      <c r="C3" t="s">
        <v>26</v>
      </c>
      <c r="D3" t="s">
        <v>23</v>
      </c>
      <c r="E3" t="s">
        <v>24</v>
      </c>
      <c r="F3" t="s">
        <v>27</v>
      </c>
      <c r="G3">
        <v>1</v>
      </c>
      <c r="H3" s="3">
        <v>46181</v>
      </c>
    </row>
    <row r="4" spans="1:8" ht="15" x14ac:dyDescent="0.2">
      <c r="A4">
        <v>819</v>
      </c>
      <c r="B4" t="s">
        <v>28</v>
      </c>
      <c r="C4" t="s">
        <v>29</v>
      </c>
      <c r="D4" t="s">
        <v>23</v>
      </c>
      <c r="E4" t="s">
        <v>30</v>
      </c>
      <c r="F4" t="s">
        <v>27</v>
      </c>
      <c r="G4">
        <v>23</v>
      </c>
      <c r="H4" s="3">
        <v>46181</v>
      </c>
    </row>
    <row r="5" spans="1:8" ht="15" x14ac:dyDescent="0.2">
      <c r="A5">
        <v>2</v>
      </c>
      <c r="B5" t="s">
        <v>31</v>
      </c>
      <c r="C5" t="s">
        <v>32</v>
      </c>
      <c r="D5" t="s">
        <v>23</v>
      </c>
      <c r="E5" t="s">
        <v>24</v>
      </c>
      <c r="F5" t="s">
        <v>27</v>
      </c>
      <c r="G5">
        <v>21</v>
      </c>
      <c r="H5" s="3">
        <v>46181</v>
      </c>
    </row>
    <row r="6" spans="1:8" ht="15" x14ac:dyDescent="0.2">
      <c r="A6">
        <v>1370</v>
      </c>
      <c r="B6" t="s">
        <v>33</v>
      </c>
      <c r="C6" t="s">
        <v>34</v>
      </c>
      <c r="D6" t="s">
        <v>23</v>
      </c>
      <c r="E6" t="s">
        <v>24</v>
      </c>
      <c r="F6" t="s">
        <v>27</v>
      </c>
      <c r="G6">
        <v>4</v>
      </c>
      <c r="H6" s="3">
        <v>46181</v>
      </c>
    </row>
    <row r="7" spans="1:8" ht="15" x14ac:dyDescent="0.2">
      <c r="A7">
        <v>1415</v>
      </c>
      <c r="B7" t="s">
        <v>33</v>
      </c>
      <c r="C7" t="s">
        <v>22</v>
      </c>
      <c r="D7" t="s">
        <v>23</v>
      </c>
      <c r="E7" t="s">
        <v>24</v>
      </c>
      <c r="F7" t="s">
        <v>35</v>
      </c>
      <c r="H7" s="3">
        <v>46181</v>
      </c>
    </row>
    <row r="8" spans="1:8" ht="15" x14ac:dyDescent="0.2">
      <c r="A8">
        <v>1286</v>
      </c>
      <c r="B8" t="s">
        <v>36</v>
      </c>
      <c r="C8" t="s">
        <v>34</v>
      </c>
      <c r="D8" t="s">
        <v>23</v>
      </c>
      <c r="E8" t="s">
        <v>24</v>
      </c>
      <c r="F8" t="s">
        <v>27</v>
      </c>
      <c r="G8">
        <v>13</v>
      </c>
      <c r="H8" s="3">
        <v>46181</v>
      </c>
    </row>
    <row r="9" spans="1:8" ht="15" x14ac:dyDescent="0.2">
      <c r="A9">
        <v>1381</v>
      </c>
      <c r="B9" t="s">
        <v>36</v>
      </c>
      <c r="C9" t="s">
        <v>37</v>
      </c>
      <c r="D9" t="s">
        <v>23</v>
      </c>
      <c r="E9" t="s">
        <v>24</v>
      </c>
      <c r="F9" t="s">
        <v>25</v>
      </c>
      <c r="H9" s="3">
        <v>46181</v>
      </c>
    </row>
    <row r="10" spans="1:8" ht="15" x14ac:dyDescent="0.2">
      <c r="A10">
        <v>1112</v>
      </c>
      <c r="B10" t="s">
        <v>38</v>
      </c>
      <c r="C10" t="s">
        <v>39</v>
      </c>
      <c r="D10" t="s">
        <v>23</v>
      </c>
      <c r="E10" t="s">
        <v>24</v>
      </c>
      <c r="F10" t="s">
        <v>27</v>
      </c>
      <c r="G10">
        <v>16</v>
      </c>
      <c r="H10" s="3">
        <v>46181</v>
      </c>
    </row>
    <row r="11" spans="1:8" ht="15" x14ac:dyDescent="0.2">
      <c r="A11">
        <v>1135</v>
      </c>
      <c r="B11" t="s">
        <v>40</v>
      </c>
      <c r="C11" t="s">
        <v>41</v>
      </c>
      <c r="D11" t="s">
        <v>23</v>
      </c>
      <c r="E11" t="s">
        <v>24</v>
      </c>
      <c r="F11" t="s">
        <v>27</v>
      </c>
      <c r="G11">
        <v>1</v>
      </c>
      <c r="H11" s="3">
        <v>46181</v>
      </c>
    </row>
    <row r="12" spans="1:8" ht="15" x14ac:dyDescent="0.2">
      <c r="A12">
        <v>982</v>
      </c>
      <c r="B12" t="s">
        <v>42</v>
      </c>
      <c r="C12" t="s">
        <v>32</v>
      </c>
      <c r="D12" t="s">
        <v>23</v>
      </c>
      <c r="E12" t="s">
        <v>24</v>
      </c>
      <c r="F12" t="s">
        <v>27</v>
      </c>
      <c r="G12">
        <v>22</v>
      </c>
      <c r="H12" s="3">
        <v>46181</v>
      </c>
    </row>
    <row r="13" spans="1:8" ht="15" x14ac:dyDescent="0.2">
      <c r="A13">
        <v>1328</v>
      </c>
      <c r="B13" t="s">
        <v>43</v>
      </c>
      <c r="C13" t="s">
        <v>44</v>
      </c>
      <c r="D13" t="s">
        <v>23</v>
      </c>
      <c r="E13" t="s">
        <v>24</v>
      </c>
      <c r="F13" t="s">
        <v>27</v>
      </c>
      <c r="G13">
        <v>4</v>
      </c>
      <c r="H13" s="3">
        <v>46181</v>
      </c>
    </row>
    <row r="14" spans="1:8" ht="15" x14ac:dyDescent="0.2">
      <c r="A14">
        <v>369</v>
      </c>
      <c r="B14" t="s">
        <v>45</v>
      </c>
      <c r="C14" t="s">
        <v>46</v>
      </c>
      <c r="D14" t="s">
        <v>23</v>
      </c>
      <c r="E14" t="s">
        <v>24</v>
      </c>
      <c r="F14" t="s">
        <v>27</v>
      </c>
      <c r="G14">
        <v>8</v>
      </c>
      <c r="H14" s="3">
        <v>46181</v>
      </c>
    </row>
    <row r="15" spans="1:8" ht="15" x14ac:dyDescent="0.2">
      <c r="A15">
        <v>7</v>
      </c>
      <c r="B15" t="s">
        <v>45</v>
      </c>
      <c r="C15" t="s">
        <v>47</v>
      </c>
      <c r="D15" t="s">
        <v>48</v>
      </c>
      <c r="E15" t="s">
        <v>24</v>
      </c>
      <c r="F15" t="s">
        <v>27</v>
      </c>
      <c r="G15">
        <v>32</v>
      </c>
      <c r="H15" s="3">
        <v>46181</v>
      </c>
    </row>
    <row r="16" spans="1:8" ht="15" x14ac:dyDescent="0.2">
      <c r="A16">
        <v>473</v>
      </c>
      <c r="B16" t="s">
        <v>45</v>
      </c>
      <c r="C16" t="s">
        <v>49</v>
      </c>
      <c r="D16" t="s">
        <v>48</v>
      </c>
      <c r="E16" t="s">
        <v>24</v>
      </c>
      <c r="F16" t="s">
        <v>27</v>
      </c>
      <c r="G16">
        <v>33</v>
      </c>
      <c r="H16" s="3">
        <v>46181</v>
      </c>
    </row>
    <row r="17" spans="1:8" ht="15" x14ac:dyDescent="0.2">
      <c r="A17">
        <v>1384</v>
      </c>
      <c r="B17" t="s">
        <v>50</v>
      </c>
      <c r="C17" t="s">
        <v>51</v>
      </c>
      <c r="D17" t="s">
        <v>23</v>
      </c>
      <c r="E17" t="s">
        <v>24</v>
      </c>
      <c r="F17" t="s">
        <v>27</v>
      </c>
      <c r="G17">
        <v>30</v>
      </c>
      <c r="H17" s="3">
        <v>46181</v>
      </c>
    </row>
    <row r="18" spans="1:8" ht="15" x14ac:dyDescent="0.2">
      <c r="A18">
        <v>1348</v>
      </c>
      <c r="B18" t="s">
        <v>52</v>
      </c>
      <c r="C18" t="s">
        <v>53</v>
      </c>
      <c r="D18" t="s">
        <v>54</v>
      </c>
      <c r="E18" t="s">
        <v>30</v>
      </c>
      <c r="F18" t="s">
        <v>25</v>
      </c>
      <c r="H18" s="3">
        <v>46181</v>
      </c>
    </row>
    <row r="19" spans="1:8" ht="15" x14ac:dyDescent="0.2">
      <c r="A19">
        <v>1275</v>
      </c>
      <c r="B19" t="s">
        <v>52</v>
      </c>
      <c r="C19" t="s">
        <v>55</v>
      </c>
      <c r="D19" t="s">
        <v>23</v>
      </c>
      <c r="E19" t="s">
        <v>30</v>
      </c>
      <c r="F19" t="s">
        <v>35</v>
      </c>
      <c r="H19" s="3">
        <v>46181</v>
      </c>
    </row>
    <row r="20" spans="1:8" ht="15" x14ac:dyDescent="0.2">
      <c r="A20">
        <v>68</v>
      </c>
      <c r="B20" t="s">
        <v>56</v>
      </c>
      <c r="C20" t="s">
        <v>57</v>
      </c>
      <c r="D20" t="s">
        <v>48</v>
      </c>
      <c r="E20" t="s">
        <v>24</v>
      </c>
      <c r="F20" t="s">
        <v>27</v>
      </c>
      <c r="G20">
        <v>35</v>
      </c>
      <c r="H20" s="3">
        <v>46181</v>
      </c>
    </row>
    <row r="21" spans="1:8" ht="15" x14ac:dyDescent="0.2">
      <c r="A21">
        <v>1035</v>
      </c>
      <c r="B21" t="s">
        <v>58</v>
      </c>
      <c r="C21" t="s">
        <v>59</v>
      </c>
      <c r="D21" t="s">
        <v>23</v>
      </c>
      <c r="E21" t="s">
        <v>24</v>
      </c>
      <c r="F21" t="s">
        <v>27</v>
      </c>
      <c r="G21">
        <v>6</v>
      </c>
      <c r="H21" s="3">
        <v>46181</v>
      </c>
    </row>
    <row r="22" spans="1:8" ht="15" x14ac:dyDescent="0.2">
      <c r="A22">
        <v>1416</v>
      </c>
      <c r="B22" t="s">
        <v>60</v>
      </c>
      <c r="C22" t="s">
        <v>61</v>
      </c>
      <c r="D22" t="s">
        <v>23</v>
      </c>
      <c r="E22" t="s">
        <v>24</v>
      </c>
      <c r="F22" t="s">
        <v>25</v>
      </c>
      <c r="H22" s="3">
        <v>46181</v>
      </c>
    </row>
    <row r="23" spans="1:8" ht="15" x14ac:dyDescent="0.2">
      <c r="A23">
        <v>1326</v>
      </c>
      <c r="B23" t="s">
        <v>62</v>
      </c>
      <c r="C23" t="s">
        <v>63</v>
      </c>
      <c r="D23" t="s">
        <v>23</v>
      </c>
      <c r="E23" t="s">
        <v>30</v>
      </c>
      <c r="F23" t="s">
        <v>25</v>
      </c>
      <c r="H23" s="3">
        <v>46181</v>
      </c>
    </row>
    <row r="24" spans="1:8" ht="15" x14ac:dyDescent="0.2">
      <c r="A24">
        <v>477</v>
      </c>
      <c r="B24" t="s">
        <v>64</v>
      </c>
      <c r="C24" t="s">
        <v>65</v>
      </c>
      <c r="D24" t="s">
        <v>23</v>
      </c>
      <c r="E24" t="s">
        <v>30</v>
      </c>
      <c r="F24" t="s">
        <v>27</v>
      </c>
      <c r="G24">
        <v>34</v>
      </c>
      <c r="H24" s="3">
        <v>46181</v>
      </c>
    </row>
    <row r="25" spans="1:8" ht="15" x14ac:dyDescent="0.2">
      <c r="A25">
        <v>10</v>
      </c>
      <c r="B25" t="s">
        <v>64</v>
      </c>
      <c r="C25" t="s">
        <v>66</v>
      </c>
      <c r="D25" t="s">
        <v>48</v>
      </c>
      <c r="E25" t="s">
        <v>24</v>
      </c>
      <c r="F25" t="s">
        <v>27</v>
      </c>
      <c r="G25">
        <v>35</v>
      </c>
      <c r="H25" s="3">
        <v>46181</v>
      </c>
    </row>
    <row r="26" spans="1:8" ht="15" x14ac:dyDescent="0.2">
      <c r="A26">
        <v>1414</v>
      </c>
      <c r="B26" t="s">
        <v>67</v>
      </c>
      <c r="C26" t="s">
        <v>36</v>
      </c>
      <c r="D26" t="s">
        <v>23</v>
      </c>
      <c r="E26" t="s">
        <v>24</v>
      </c>
      <c r="F26" t="s">
        <v>27</v>
      </c>
      <c r="G26">
        <v>13</v>
      </c>
      <c r="H26" s="3">
        <v>46181</v>
      </c>
    </row>
    <row r="27" spans="1:8" ht="15" x14ac:dyDescent="0.2">
      <c r="A27">
        <v>1029</v>
      </c>
      <c r="B27" t="s">
        <v>68</v>
      </c>
      <c r="C27" t="s">
        <v>69</v>
      </c>
      <c r="D27" t="s">
        <v>23</v>
      </c>
      <c r="E27" t="s">
        <v>24</v>
      </c>
      <c r="F27" t="s">
        <v>27</v>
      </c>
      <c r="G27">
        <v>28</v>
      </c>
      <c r="H27" s="3">
        <v>46181</v>
      </c>
    </row>
    <row r="28" spans="1:8" ht="15" x14ac:dyDescent="0.2">
      <c r="A28">
        <v>13</v>
      </c>
      <c r="B28" t="s">
        <v>70</v>
      </c>
      <c r="C28" t="s">
        <v>51</v>
      </c>
      <c r="D28" t="s">
        <v>23</v>
      </c>
      <c r="E28" t="s">
        <v>24</v>
      </c>
      <c r="F28" t="s">
        <v>27</v>
      </c>
      <c r="G28">
        <v>28</v>
      </c>
      <c r="H28" s="3">
        <v>46181</v>
      </c>
    </row>
    <row r="29" spans="1:8" ht="15" x14ac:dyDescent="0.2">
      <c r="A29">
        <v>1255</v>
      </c>
      <c r="B29" t="s">
        <v>71</v>
      </c>
      <c r="C29" t="s">
        <v>72</v>
      </c>
      <c r="D29" t="s">
        <v>23</v>
      </c>
      <c r="E29" t="s">
        <v>30</v>
      </c>
      <c r="F29" t="s">
        <v>27</v>
      </c>
      <c r="G29">
        <v>13</v>
      </c>
      <c r="H29" s="3">
        <v>46181</v>
      </c>
    </row>
    <row r="30" spans="1:8" ht="15" x14ac:dyDescent="0.2">
      <c r="A30">
        <v>1405</v>
      </c>
      <c r="B30" t="s">
        <v>73</v>
      </c>
      <c r="C30" t="s">
        <v>74</v>
      </c>
      <c r="D30" t="s">
        <v>23</v>
      </c>
      <c r="E30" t="s">
        <v>30</v>
      </c>
      <c r="F30" t="s">
        <v>35</v>
      </c>
      <c r="H30" s="3">
        <v>46181</v>
      </c>
    </row>
    <row r="31" spans="1:8" ht="15" x14ac:dyDescent="0.2">
      <c r="A31">
        <v>1421</v>
      </c>
      <c r="B31" t="s">
        <v>75</v>
      </c>
      <c r="C31" t="s">
        <v>76</v>
      </c>
      <c r="D31" t="s">
        <v>23</v>
      </c>
      <c r="E31" t="s">
        <v>30</v>
      </c>
      <c r="F31" t="s">
        <v>27</v>
      </c>
      <c r="G31">
        <v>12</v>
      </c>
      <c r="H31" s="3">
        <v>46181</v>
      </c>
    </row>
    <row r="32" spans="1:8" ht="15" x14ac:dyDescent="0.2">
      <c r="A32">
        <v>1418</v>
      </c>
      <c r="B32" t="s">
        <v>75</v>
      </c>
      <c r="C32" t="s">
        <v>22</v>
      </c>
      <c r="D32" t="s">
        <v>23</v>
      </c>
      <c r="E32" t="s">
        <v>24</v>
      </c>
      <c r="F32" t="s">
        <v>25</v>
      </c>
      <c r="H32" s="3">
        <v>46181</v>
      </c>
    </row>
    <row r="33" spans="1:8" ht="15" x14ac:dyDescent="0.2">
      <c r="A33">
        <v>919</v>
      </c>
      <c r="B33" t="s">
        <v>77</v>
      </c>
      <c r="C33" t="s">
        <v>51</v>
      </c>
      <c r="D33" t="s">
        <v>23</v>
      </c>
      <c r="E33" t="s">
        <v>24</v>
      </c>
      <c r="F33" t="s">
        <v>27</v>
      </c>
      <c r="G33">
        <v>16</v>
      </c>
      <c r="H33" s="3">
        <v>46181</v>
      </c>
    </row>
    <row r="34" spans="1:8" ht="15" x14ac:dyDescent="0.2">
      <c r="A34">
        <v>1319</v>
      </c>
      <c r="B34" t="s">
        <v>78</v>
      </c>
      <c r="C34" t="s">
        <v>32</v>
      </c>
      <c r="D34" t="s">
        <v>23</v>
      </c>
      <c r="E34" t="s">
        <v>24</v>
      </c>
      <c r="F34" t="s">
        <v>27</v>
      </c>
      <c r="G34">
        <v>9</v>
      </c>
      <c r="H34" s="3">
        <v>46181</v>
      </c>
    </row>
    <row r="35" spans="1:8" ht="15" x14ac:dyDescent="0.2">
      <c r="A35">
        <v>1389</v>
      </c>
      <c r="B35" t="s">
        <v>79</v>
      </c>
      <c r="C35" t="s">
        <v>80</v>
      </c>
      <c r="D35" t="s">
        <v>23</v>
      </c>
      <c r="E35" t="s">
        <v>24</v>
      </c>
      <c r="F35" t="s">
        <v>25</v>
      </c>
      <c r="H35" s="3">
        <v>46181</v>
      </c>
    </row>
    <row r="36" spans="1:8" ht="15" x14ac:dyDescent="0.2">
      <c r="A36">
        <v>940</v>
      </c>
      <c r="B36" t="s">
        <v>81</v>
      </c>
      <c r="C36" t="s">
        <v>82</v>
      </c>
      <c r="D36" t="s">
        <v>23</v>
      </c>
      <c r="E36" t="s">
        <v>30</v>
      </c>
      <c r="F36" t="s">
        <v>27</v>
      </c>
      <c r="G36">
        <v>9</v>
      </c>
      <c r="H36" s="3">
        <v>46181</v>
      </c>
    </row>
    <row r="37" spans="1:8" ht="15" x14ac:dyDescent="0.2">
      <c r="A37">
        <v>806</v>
      </c>
      <c r="B37" t="s">
        <v>81</v>
      </c>
      <c r="C37" t="s">
        <v>83</v>
      </c>
      <c r="D37" t="s">
        <v>23</v>
      </c>
      <c r="E37" t="s">
        <v>24</v>
      </c>
      <c r="F37" t="s">
        <v>27</v>
      </c>
      <c r="G37">
        <v>11</v>
      </c>
      <c r="H37" s="3">
        <v>46181</v>
      </c>
    </row>
    <row r="38" spans="1:8" ht="15" x14ac:dyDescent="0.2">
      <c r="A38">
        <v>482</v>
      </c>
      <c r="B38" t="s">
        <v>84</v>
      </c>
      <c r="C38" t="s">
        <v>85</v>
      </c>
      <c r="D38" t="s">
        <v>23</v>
      </c>
      <c r="E38" t="s">
        <v>24</v>
      </c>
      <c r="F38" t="s">
        <v>27</v>
      </c>
      <c r="G38">
        <v>13</v>
      </c>
      <c r="H38" s="3">
        <v>46181</v>
      </c>
    </row>
    <row r="39" spans="1:8" ht="15" x14ac:dyDescent="0.2">
      <c r="A39">
        <v>674</v>
      </c>
      <c r="B39" t="s">
        <v>86</v>
      </c>
      <c r="C39" t="s">
        <v>87</v>
      </c>
      <c r="D39" t="s">
        <v>54</v>
      </c>
      <c r="E39" t="s">
        <v>30</v>
      </c>
      <c r="F39" t="s">
        <v>27</v>
      </c>
      <c r="G39">
        <v>23</v>
      </c>
      <c r="H39" s="3">
        <v>46181</v>
      </c>
    </row>
    <row r="40" spans="1:8" ht="15" x14ac:dyDescent="0.2">
      <c r="A40">
        <v>1061</v>
      </c>
      <c r="B40" t="s">
        <v>88</v>
      </c>
      <c r="C40" t="s">
        <v>89</v>
      </c>
      <c r="D40" t="s">
        <v>23</v>
      </c>
      <c r="E40" t="s">
        <v>24</v>
      </c>
      <c r="F40" t="s">
        <v>27</v>
      </c>
      <c r="G40">
        <v>19</v>
      </c>
      <c r="H40" s="3">
        <v>46181</v>
      </c>
    </row>
    <row r="41" spans="1:8" ht="15" x14ac:dyDescent="0.2">
      <c r="A41">
        <v>763</v>
      </c>
      <c r="B41" t="s">
        <v>90</v>
      </c>
      <c r="C41" t="s">
        <v>59</v>
      </c>
      <c r="D41" t="s">
        <v>23</v>
      </c>
      <c r="E41" t="s">
        <v>24</v>
      </c>
      <c r="F41" t="s">
        <v>27</v>
      </c>
      <c r="G41">
        <v>17</v>
      </c>
      <c r="H41" s="3">
        <v>46181</v>
      </c>
    </row>
    <row r="42" spans="1:8" ht="15" x14ac:dyDescent="0.2">
      <c r="A42">
        <v>1227</v>
      </c>
      <c r="B42" t="s">
        <v>91</v>
      </c>
      <c r="C42" t="s">
        <v>92</v>
      </c>
      <c r="D42" t="s">
        <v>23</v>
      </c>
      <c r="E42" t="s">
        <v>30</v>
      </c>
      <c r="F42" t="s">
        <v>27</v>
      </c>
      <c r="G42">
        <v>8</v>
      </c>
      <c r="H42" s="3">
        <v>46181</v>
      </c>
    </row>
    <row r="43" spans="1:8" ht="15" x14ac:dyDescent="0.2">
      <c r="A43">
        <v>715</v>
      </c>
      <c r="B43" t="s">
        <v>93</v>
      </c>
      <c r="C43" t="s">
        <v>94</v>
      </c>
      <c r="D43" t="s">
        <v>23</v>
      </c>
      <c r="E43" t="s">
        <v>24</v>
      </c>
      <c r="F43" t="s">
        <v>27</v>
      </c>
      <c r="G43">
        <v>5</v>
      </c>
      <c r="H43" s="3">
        <v>46181</v>
      </c>
    </row>
    <row r="44" spans="1:8" ht="15" x14ac:dyDescent="0.2">
      <c r="A44">
        <v>567</v>
      </c>
      <c r="B44" t="s">
        <v>95</v>
      </c>
      <c r="C44" t="s">
        <v>96</v>
      </c>
      <c r="D44" t="s">
        <v>23</v>
      </c>
      <c r="E44" t="s">
        <v>24</v>
      </c>
      <c r="F44" t="s">
        <v>27</v>
      </c>
      <c r="G44">
        <v>7</v>
      </c>
      <c r="H44" s="3">
        <v>46181</v>
      </c>
    </row>
    <row r="45" spans="1:8" ht="15" x14ac:dyDescent="0.2">
      <c r="A45">
        <v>1391</v>
      </c>
      <c r="B45" t="s">
        <v>97</v>
      </c>
      <c r="C45" t="s">
        <v>98</v>
      </c>
      <c r="D45" t="s">
        <v>23</v>
      </c>
      <c r="E45" t="s">
        <v>30</v>
      </c>
      <c r="F45" t="s">
        <v>25</v>
      </c>
      <c r="H45" s="3">
        <v>46181</v>
      </c>
    </row>
    <row r="46" spans="1:8" ht="15" x14ac:dyDescent="0.2">
      <c r="A46">
        <v>704</v>
      </c>
      <c r="B46" t="s">
        <v>99</v>
      </c>
      <c r="C46" t="s">
        <v>100</v>
      </c>
      <c r="D46" t="s">
        <v>23</v>
      </c>
      <c r="E46" t="s">
        <v>24</v>
      </c>
      <c r="F46" t="s">
        <v>27</v>
      </c>
      <c r="G46">
        <v>21</v>
      </c>
      <c r="H46" s="3">
        <v>46181</v>
      </c>
    </row>
    <row r="47" spans="1:8" ht="15" x14ac:dyDescent="0.2">
      <c r="A47">
        <v>1283</v>
      </c>
      <c r="B47" t="s">
        <v>101</v>
      </c>
      <c r="C47" t="s">
        <v>102</v>
      </c>
      <c r="D47" t="s">
        <v>23</v>
      </c>
      <c r="E47" t="s">
        <v>24</v>
      </c>
      <c r="F47" t="s">
        <v>27</v>
      </c>
      <c r="G47">
        <v>18</v>
      </c>
      <c r="H47" s="3">
        <v>46181</v>
      </c>
    </row>
    <row r="48" spans="1:8" ht="15" x14ac:dyDescent="0.2">
      <c r="A48">
        <v>295</v>
      </c>
      <c r="B48" t="s">
        <v>103</v>
      </c>
      <c r="C48" t="s">
        <v>104</v>
      </c>
      <c r="D48" t="s">
        <v>23</v>
      </c>
      <c r="E48" t="s">
        <v>24</v>
      </c>
      <c r="F48" t="s">
        <v>27</v>
      </c>
      <c r="G48">
        <v>15</v>
      </c>
      <c r="H48" s="3">
        <v>46181</v>
      </c>
    </row>
    <row r="49" spans="1:8" ht="15" x14ac:dyDescent="0.2">
      <c r="A49">
        <v>1226</v>
      </c>
      <c r="B49" t="s">
        <v>105</v>
      </c>
      <c r="C49" t="s">
        <v>106</v>
      </c>
      <c r="D49" t="s">
        <v>23</v>
      </c>
      <c r="E49" t="s">
        <v>30</v>
      </c>
      <c r="F49" t="s">
        <v>25</v>
      </c>
      <c r="H49" s="3">
        <v>46181</v>
      </c>
    </row>
    <row r="50" spans="1:8" ht="15" x14ac:dyDescent="0.2">
      <c r="A50">
        <v>1333</v>
      </c>
      <c r="B50" t="s">
        <v>107</v>
      </c>
      <c r="C50" t="s">
        <v>108</v>
      </c>
      <c r="D50" t="s">
        <v>23</v>
      </c>
      <c r="E50" t="s">
        <v>24</v>
      </c>
      <c r="F50" t="s">
        <v>27</v>
      </c>
      <c r="G50">
        <v>3</v>
      </c>
      <c r="H50" s="3">
        <v>46181</v>
      </c>
    </row>
    <row r="51" spans="1:8" ht="15" x14ac:dyDescent="0.2">
      <c r="A51">
        <v>1185</v>
      </c>
      <c r="B51" t="s">
        <v>109</v>
      </c>
      <c r="C51" t="s">
        <v>110</v>
      </c>
      <c r="D51" t="s">
        <v>23</v>
      </c>
      <c r="E51" t="s">
        <v>30</v>
      </c>
      <c r="F51" t="s">
        <v>35</v>
      </c>
      <c r="H51" s="3">
        <v>46181</v>
      </c>
    </row>
    <row r="52" spans="1:8" ht="15" x14ac:dyDescent="0.2">
      <c r="A52">
        <v>1065</v>
      </c>
      <c r="B52" t="s">
        <v>109</v>
      </c>
      <c r="C52" t="s">
        <v>41</v>
      </c>
      <c r="D52" t="s">
        <v>23</v>
      </c>
      <c r="E52" t="s">
        <v>24</v>
      </c>
      <c r="F52" t="s">
        <v>27</v>
      </c>
      <c r="G52">
        <v>1</v>
      </c>
      <c r="H52" s="3">
        <v>46181</v>
      </c>
    </row>
    <row r="53" spans="1:8" ht="15" x14ac:dyDescent="0.2">
      <c r="A53">
        <v>1407</v>
      </c>
      <c r="B53" t="s">
        <v>111</v>
      </c>
      <c r="C53" t="s">
        <v>112</v>
      </c>
      <c r="D53" t="s">
        <v>23</v>
      </c>
      <c r="E53" t="s">
        <v>24</v>
      </c>
      <c r="F53" t="s">
        <v>25</v>
      </c>
      <c r="H53" s="3">
        <v>46181</v>
      </c>
    </row>
    <row r="54" spans="1:8" ht="15" x14ac:dyDescent="0.2">
      <c r="A54">
        <v>1096</v>
      </c>
      <c r="B54" t="s">
        <v>113</v>
      </c>
      <c r="C54" t="s">
        <v>114</v>
      </c>
      <c r="D54" t="s">
        <v>23</v>
      </c>
      <c r="E54" t="s">
        <v>24</v>
      </c>
      <c r="F54" t="s">
        <v>35</v>
      </c>
      <c r="H54" s="3">
        <v>46181</v>
      </c>
    </row>
    <row r="55" spans="1:8" ht="15" x14ac:dyDescent="0.2">
      <c r="A55">
        <v>1236</v>
      </c>
      <c r="B55" t="s">
        <v>113</v>
      </c>
      <c r="C55" t="s">
        <v>115</v>
      </c>
      <c r="D55" t="s">
        <v>23</v>
      </c>
      <c r="E55" t="s">
        <v>30</v>
      </c>
      <c r="F55" t="s">
        <v>27</v>
      </c>
      <c r="G55">
        <v>5</v>
      </c>
      <c r="H55" s="3">
        <v>46181</v>
      </c>
    </row>
    <row r="56" spans="1:8" ht="15" x14ac:dyDescent="0.2">
      <c r="A56">
        <v>699</v>
      </c>
      <c r="B56" t="s">
        <v>113</v>
      </c>
      <c r="C56" t="s">
        <v>116</v>
      </c>
      <c r="D56" t="s">
        <v>23</v>
      </c>
      <c r="E56" t="s">
        <v>24</v>
      </c>
      <c r="F56" t="s">
        <v>27</v>
      </c>
      <c r="G56">
        <v>5</v>
      </c>
      <c r="H56" s="3">
        <v>46181</v>
      </c>
    </row>
    <row r="57" spans="1:8" ht="15" x14ac:dyDescent="0.2">
      <c r="A57">
        <v>1288</v>
      </c>
      <c r="B57" t="s">
        <v>117</v>
      </c>
      <c r="C57" t="s">
        <v>118</v>
      </c>
      <c r="D57" t="s">
        <v>23</v>
      </c>
      <c r="E57" t="s">
        <v>24</v>
      </c>
      <c r="F57" t="s">
        <v>35</v>
      </c>
      <c r="H57" s="3">
        <v>46181</v>
      </c>
    </row>
    <row r="58" spans="1:8" ht="15" x14ac:dyDescent="0.2">
      <c r="A58">
        <v>1429</v>
      </c>
      <c r="B58" t="s">
        <v>117</v>
      </c>
      <c r="C58" t="s">
        <v>119</v>
      </c>
      <c r="D58" t="s">
        <v>23</v>
      </c>
      <c r="E58" t="s">
        <v>24</v>
      </c>
      <c r="F58" t="s">
        <v>35</v>
      </c>
      <c r="H58" s="3">
        <v>46181</v>
      </c>
    </row>
    <row r="59" spans="1:8" ht="15" x14ac:dyDescent="0.2">
      <c r="A59">
        <v>1000</v>
      </c>
      <c r="B59" t="s">
        <v>120</v>
      </c>
      <c r="C59" t="s">
        <v>121</v>
      </c>
      <c r="D59" t="s">
        <v>23</v>
      </c>
      <c r="E59" t="s">
        <v>24</v>
      </c>
      <c r="F59" t="s">
        <v>25</v>
      </c>
      <c r="H59" s="3">
        <v>46181</v>
      </c>
    </row>
    <row r="60" spans="1:8" ht="15" x14ac:dyDescent="0.2">
      <c r="A60">
        <v>1332</v>
      </c>
      <c r="B60" t="s">
        <v>122</v>
      </c>
      <c r="C60" t="s">
        <v>123</v>
      </c>
      <c r="D60" t="s">
        <v>23</v>
      </c>
      <c r="E60" t="s">
        <v>30</v>
      </c>
      <c r="F60" t="s">
        <v>25</v>
      </c>
      <c r="H60" s="3">
        <v>46181</v>
      </c>
    </row>
    <row r="61" spans="1:8" ht="15" x14ac:dyDescent="0.2">
      <c r="A61">
        <v>682</v>
      </c>
      <c r="B61" t="s">
        <v>124</v>
      </c>
      <c r="C61" t="s">
        <v>125</v>
      </c>
      <c r="D61" t="s">
        <v>23</v>
      </c>
      <c r="E61" t="s">
        <v>24</v>
      </c>
      <c r="F61" t="s">
        <v>27</v>
      </c>
      <c r="G61">
        <v>11</v>
      </c>
      <c r="H61" s="3">
        <v>46181</v>
      </c>
    </row>
    <row r="62" spans="1:8" ht="15" x14ac:dyDescent="0.2">
      <c r="A62">
        <v>1393</v>
      </c>
      <c r="B62" t="s">
        <v>126</v>
      </c>
      <c r="C62" t="s">
        <v>127</v>
      </c>
      <c r="D62" t="s">
        <v>23</v>
      </c>
      <c r="E62" t="s">
        <v>30</v>
      </c>
      <c r="F62" t="s">
        <v>27</v>
      </c>
      <c r="G62">
        <v>10</v>
      </c>
      <c r="H62" s="3">
        <v>46181</v>
      </c>
    </row>
    <row r="63" spans="1:8" ht="15" x14ac:dyDescent="0.2">
      <c r="A63">
        <v>1355</v>
      </c>
      <c r="B63" t="s">
        <v>128</v>
      </c>
      <c r="C63" t="s">
        <v>129</v>
      </c>
      <c r="D63" t="s">
        <v>23</v>
      </c>
      <c r="E63" t="s">
        <v>24</v>
      </c>
      <c r="F63" t="s">
        <v>35</v>
      </c>
      <c r="H63" s="3">
        <v>46181</v>
      </c>
    </row>
    <row r="64" spans="1:8" ht="15" x14ac:dyDescent="0.2">
      <c r="A64">
        <v>1164</v>
      </c>
      <c r="B64" t="s">
        <v>130</v>
      </c>
      <c r="C64" t="s">
        <v>131</v>
      </c>
      <c r="D64" t="s">
        <v>54</v>
      </c>
      <c r="E64" t="s">
        <v>30</v>
      </c>
      <c r="F64" t="s">
        <v>25</v>
      </c>
      <c r="H64" s="3">
        <v>46181</v>
      </c>
    </row>
    <row r="65" spans="1:8" ht="15" x14ac:dyDescent="0.2">
      <c r="A65">
        <v>1062</v>
      </c>
      <c r="B65" t="s">
        <v>130</v>
      </c>
      <c r="C65" t="s">
        <v>83</v>
      </c>
      <c r="D65" t="s">
        <v>23</v>
      </c>
      <c r="E65" t="s">
        <v>24</v>
      </c>
      <c r="F65" t="s">
        <v>27</v>
      </c>
      <c r="G65">
        <v>9</v>
      </c>
      <c r="H65" s="3">
        <v>46181</v>
      </c>
    </row>
    <row r="66" spans="1:8" ht="15" x14ac:dyDescent="0.2">
      <c r="A66">
        <v>938</v>
      </c>
      <c r="B66" t="s">
        <v>130</v>
      </c>
      <c r="C66" t="s">
        <v>132</v>
      </c>
      <c r="D66" t="s">
        <v>23</v>
      </c>
      <c r="E66" t="s">
        <v>30</v>
      </c>
      <c r="F66" t="s">
        <v>27</v>
      </c>
      <c r="G66">
        <v>7</v>
      </c>
      <c r="H66" s="3">
        <v>46181</v>
      </c>
    </row>
    <row r="67" spans="1:8" ht="15" x14ac:dyDescent="0.2">
      <c r="A67">
        <v>1427</v>
      </c>
      <c r="B67" t="s">
        <v>130</v>
      </c>
      <c r="C67" t="s">
        <v>133</v>
      </c>
      <c r="D67" t="s">
        <v>23</v>
      </c>
      <c r="E67" t="s">
        <v>30</v>
      </c>
      <c r="F67" t="s">
        <v>27</v>
      </c>
      <c r="G67">
        <v>16</v>
      </c>
      <c r="H67" s="3">
        <v>46181</v>
      </c>
    </row>
    <row r="68" spans="1:8" ht="15" x14ac:dyDescent="0.2">
      <c r="A68">
        <v>1034</v>
      </c>
      <c r="B68" t="s">
        <v>134</v>
      </c>
      <c r="C68" t="s">
        <v>83</v>
      </c>
      <c r="D68" t="s">
        <v>23</v>
      </c>
      <c r="E68" t="s">
        <v>24</v>
      </c>
      <c r="F68" t="s">
        <v>25</v>
      </c>
      <c r="H68" s="3">
        <v>46181</v>
      </c>
    </row>
    <row r="69" spans="1:8" ht="15" x14ac:dyDescent="0.2">
      <c r="A69">
        <v>1402</v>
      </c>
      <c r="B69" t="s">
        <v>135</v>
      </c>
      <c r="C69" t="s">
        <v>136</v>
      </c>
      <c r="D69" t="s">
        <v>23</v>
      </c>
      <c r="E69" t="s">
        <v>24</v>
      </c>
      <c r="F69" t="s">
        <v>27</v>
      </c>
      <c r="G69">
        <v>7</v>
      </c>
      <c r="H69" s="3">
        <v>46181</v>
      </c>
    </row>
    <row r="70" spans="1:8" ht="15" x14ac:dyDescent="0.2">
      <c r="A70">
        <v>939</v>
      </c>
      <c r="B70" t="s">
        <v>137</v>
      </c>
      <c r="C70" t="s">
        <v>127</v>
      </c>
      <c r="D70" t="s">
        <v>23</v>
      </c>
      <c r="E70" t="s">
        <v>30</v>
      </c>
      <c r="F70" t="s">
        <v>27</v>
      </c>
      <c r="G70">
        <v>12</v>
      </c>
      <c r="H70" s="3">
        <v>46181</v>
      </c>
    </row>
    <row r="71" spans="1:8" ht="15" x14ac:dyDescent="0.2">
      <c r="A71">
        <v>1377</v>
      </c>
      <c r="B71" t="s">
        <v>138</v>
      </c>
      <c r="C71" t="s">
        <v>139</v>
      </c>
      <c r="D71" t="s">
        <v>23</v>
      </c>
      <c r="E71" t="s">
        <v>30</v>
      </c>
      <c r="F71" t="s">
        <v>27</v>
      </c>
      <c r="G71">
        <v>12</v>
      </c>
      <c r="H71" s="3">
        <v>46181</v>
      </c>
    </row>
    <row r="72" spans="1:8" ht="15" x14ac:dyDescent="0.2">
      <c r="A72">
        <v>1281</v>
      </c>
      <c r="B72" t="s">
        <v>140</v>
      </c>
      <c r="C72" t="s">
        <v>141</v>
      </c>
      <c r="D72" t="s">
        <v>23</v>
      </c>
      <c r="E72" t="s">
        <v>24</v>
      </c>
      <c r="F72" t="s">
        <v>27</v>
      </c>
      <c r="G72">
        <v>19</v>
      </c>
      <c r="H72" s="3">
        <v>46181</v>
      </c>
    </row>
    <row r="73" spans="1:8" ht="15" x14ac:dyDescent="0.2">
      <c r="A73">
        <v>933</v>
      </c>
      <c r="B73" t="s">
        <v>142</v>
      </c>
      <c r="C73" t="s">
        <v>143</v>
      </c>
      <c r="D73" t="s">
        <v>23</v>
      </c>
      <c r="E73" t="s">
        <v>24</v>
      </c>
      <c r="F73" t="s">
        <v>25</v>
      </c>
      <c r="H73" s="3">
        <v>46181</v>
      </c>
    </row>
    <row r="74" spans="1:8" ht="15" x14ac:dyDescent="0.2">
      <c r="A74">
        <v>1274</v>
      </c>
      <c r="B74" t="s">
        <v>144</v>
      </c>
      <c r="C74" t="s">
        <v>145</v>
      </c>
      <c r="D74" t="s">
        <v>23</v>
      </c>
      <c r="E74" t="s">
        <v>30</v>
      </c>
      <c r="F74" t="s">
        <v>25</v>
      </c>
      <c r="H74" s="3">
        <v>46181</v>
      </c>
    </row>
    <row r="75" spans="1:8" ht="15" x14ac:dyDescent="0.2">
      <c r="A75">
        <v>493</v>
      </c>
      <c r="B75" t="s">
        <v>146</v>
      </c>
      <c r="C75" t="s">
        <v>49</v>
      </c>
      <c r="D75" t="s">
        <v>48</v>
      </c>
      <c r="E75" t="s">
        <v>24</v>
      </c>
      <c r="F75" t="s">
        <v>27</v>
      </c>
      <c r="G75">
        <v>37</v>
      </c>
      <c r="H75" s="3">
        <v>46181</v>
      </c>
    </row>
    <row r="76" spans="1:8" ht="15" x14ac:dyDescent="0.2">
      <c r="A76">
        <v>1279</v>
      </c>
      <c r="B76" t="s">
        <v>147</v>
      </c>
      <c r="C76" t="s">
        <v>148</v>
      </c>
      <c r="D76" t="s">
        <v>23</v>
      </c>
      <c r="E76" t="s">
        <v>24</v>
      </c>
      <c r="F76" t="s">
        <v>27</v>
      </c>
      <c r="G76">
        <v>4</v>
      </c>
      <c r="H76" s="3">
        <v>46181</v>
      </c>
    </row>
    <row r="77" spans="1:8" ht="15" x14ac:dyDescent="0.2">
      <c r="A77">
        <v>1193</v>
      </c>
      <c r="B77" t="s">
        <v>149</v>
      </c>
      <c r="C77" t="s">
        <v>150</v>
      </c>
      <c r="D77" t="s">
        <v>23</v>
      </c>
      <c r="E77" t="s">
        <v>24</v>
      </c>
      <c r="F77" t="s">
        <v>25</v>
      </c>
      <c r="H77" s="3">
        <v>46181</v>
      </c>
    </row>
    <row r="78" spans="1:8" ht="15" x14ac:dyDescent="0.2">
      <c r="A78">
        <v>1194</v>
      </c>
      <c r="B78" t="s">
        <v>149</v>
      </c>
      <c r="C78" t="s">
        <v>151</v>
      </c>
      <c r="D78" t="s">
        <v>23</v>
      </c>
      <c r="E78" t="s">
        <v>30</v>
      </c>
      <c r="F78" t="s">
        <v>25</v>
      </c>
      <c r="H78" s="3">
        <v>46181</v>
      </c>
    </row>
    <row r="79" spans="1:8" ht="15" x14ac:dyDescent="0.2">
      <c r="A79">
        <v>1196</v>
      </c>
      <c r="B79" t="s">
        <v>149</v>
      </c>
      <c r="C79" t="s">
        <v>152</v>
      </c>
      <c r="D79" t="s">
        <v>23</v>
      </c>
      <c r="E79" t="s">
        <v>24</v>
      </c>
      <c r="F79" t="s">
        <v>35</v>
      </c>
      <c r="H79" s="3">
        <v>46181</v>
      </c>
    </row>
    <row r="80" spans="1:8" ht="15" x14ac:dyDescent="0.2">
      <c r="A80">
        <v>1195</v>
      </c>
      <c r="B80" t="s">
        <v>149</v>
      </c>
      <c r="C80" t="s">
        <v>153</v>
      </c>
      <c r="D80" t="s">
        <v>23</v>
      </c>
      <c r="E80" t="s">
        <v>24</v>
      </c>
      <c r="F80" t="s">
        <v>35</v>
      </c>
      <c r="H80" s="3">
        <v>46181</v>
      </c>
    </row>
    <row r="81" spans="1:8" ht="15" x14ac:dyDescent="0.2">
      <c r="A81">
        <v>1176</v>
      </c>
      <c r="B81" t="s">
        <v>154</v>
      </c>
      <c r="C81" t="s">
        <v>155</v>
      </c>
      <c r="D81" t="s">
        <v>23</v>
      </c>
      <c r="E81" t="s">
        <v>24</v>
      </c>
      <c r="F81" t="s">
        <v>35</v>
      </c>
      <c r="H81" s="3">
        <v>46181</v>
      </c>
    </row>
    <row r="82" spans="1:8" ht="15" x14ac:dyDescent="0.2">
      <c r="A82">
        <v>1174</v>
      </c>
      <c r="B82" t="s">
        <v>154</v>
      </c>
      <c r="C82" t="s">
        <v>156</v>
      </c>
      <c r="D82" t="s">
        <v>23</v>
      </c>
      <c r="E82" t="s">
        <v>30</v>
      </c>
      <c r="F82" t="s">
        <v>27</v>
      </c>
      <c r="G82">
        <v>6</v>
      </c>
      <c r="H82" s="3">
        <v>46181</v>
      </c>
    </row>
    <row r="83" spans="1:8" ht="15" x14ac:dyDescent="0.2">
      <c r="A83">
        <v>1175</v>
      </c>
      <c r="B83" t="s">
        <v>154</v>
      </c>
      <c r="C83" t="s">
        <v>150</v>
      </c>
      <c r="D83" t="s">
        <v>23</v>
      </c>
      <c r="E83" t="s">
        <v>24</v>
      </c>
      <c r="F83" t="s">
        <v>27</v>
      </c>
      <c r="G83">
        <v>12</v>
      </c>
      <c r="H83" s="3">
        <v>46181</v>
      </c>
    </row>
    <row r="84" spans="1:8" ht="15" x14ac:dyDescent="0.2">
      <c r="A84">
        <v>1109</v>
      </c>
      <c r="B84" t="s">
        <v>157</v>
      </c>
      <c r="C84" t="s">
        <v>104</v>
      </c>
      <c r="D84" t="s">
        <v>23</v>
      </c>
      <c r="E84" t="s">
        <v>24</v>
      </c>
      <c r="F84" t="s">
        <v>25</v>
      </c>
      <c r="H84" s="3">
        <v>46181</v>
      </c>
    </row>
    <row r="85" spans="1:8" ht="15" x14ac:dyDescent="0.2">
      <c r="A85">
        <v>1073</v>
      </c>
      <c r="B85" t="s">
        <v>158</v>
      </c>
      <c r="C85" t="s">
        <v>150</v>
      </c>
      <c r="D85" t="s">
        <v>23</v>
      </c>
      <c r="E85" t="s">
        <v>24</v>
      </c>
      <c r="F85" t="s">
        <v>27</v>
      </c>
      <c r="G85">
        <v>3</v>
      </c>
      <c r="H85" s="3">
        <v>46181</v>
      </c>
    </row>
    <row r="86" spans="1:8" ht="15" x14ac:dyDescent="0.2">
      <c r="A86">
        <v>1400</v>
      </c>
      <c r="B86" t="s">
        <v>159</v>
      </c>
      <c r="C86" t="s">
        <v>160</v>
      </c>
      <c r="D86" t="s">
        <v>23</v>
      </c>
      <c r="E86" t="s">
        <v>24</v>
      </c>
      <c r="F86" t="s">
        <v>25</v>
      </c>
      <c r="H86" s="3">
        <v>46181</v>
      </c>
    </row>
    <row r="87" spans="1:8" ht="15" x14ac:dyDescent="0.2">
      <c r="A87">
        <v>1367</v>
      </c>
      <c r="B87" t="s">
        <v>161</v>
      </c>
      <c r="C87" t="s">
        <v>152</v>
      </c>
      <c r="D87" t="s">
        <v>23</v>
      </c>
      <c r="E87" t="s">
        <v>24</v>
      </c>
      <c r="F87" t="s">
        <v>35</v>
      </c>
      <c r="H87" s="3">
        <v>46181</v>
      </c>
    </row>
    <row r="88" spans="1:8" ht="15" x14ac:dyDescent="0.2">
      <c r="A88">
        <v>1366</v>
      </c>
      <c r="B88" t="s">
        <v>161</v>
      </c>
      <c r="C88" t="s">
        <v>162</v>
      </c>
      <c r="D88" t="s">
        <v>23</v>
      </c>
      <c r="E88" t="s">
        <v>30</v>
      </c>
      <c r="F88" t="s">
        <v>25</v>
      </c>
      <c r="H88" s="3">
        <v>46181</v>
      </c>
    </row>
    <row r="89" spans="1:8" ht="15" x14ac:dyDescent="0.2">
      <c r="A89">
        <v>1365</v>
      </c>
      <c r="B89" t="s">
        <v>161</v>
      </c>
      <c r="C89" t="s">
        <v>163</v>
      </c>
      <c r="D89" t="s">
        <v>23</v>
      </c>
      <c r="E89" t="s">
        <v>30</v>
      </c>
      <c r="F89" t="s">
        <v>27</v>
      </c>
      <c r="G89">
        <v>7</v>
      </c>
      <c r="H89" s="3">
        <v>46181</v>
      </c>
    </row>
    <row r="90" spans="1:8" ht="15" x14ac:dyDescent="0.2">
      <c r="A90">
        <v>897</v>
      </c>
      <c r="B90" t="s">
        <v>161</v>
      </c>
      <c r="C90" t="s">
        <v>164</v>
      </c>
      <c r="D90" t="s">
        <v>23</v>
      </c>
      <c r="E90" t="s">
        <v>24</v>
      </c>
      <c r="F90" t="s">
        <v>27</v>
      </c>
      <c r="G90">
        <v>13</v>
      </c>
      <c r="H90" s="3">
        <v>46181</v>
      </c>
    </row>
    <row r="91" spans="1:8" ht="15" x14ac:dyDescent="0.2">
      <c r="A91">
        <v>1308</v>
      </c>
      <c r="B91" t="s">
        <v>165</v>
      </c>
      <c r="C91" t="s">
        <v>166</v>
      </c>
      <c r="D91" t="s">
        <v>23</v>
      </c>
      <c r="E91" t="s">
        <v>30</v>
      </c>
      <c r="F91" t="s">
        <v>27</v>
      </c>
      <c r="G91">
        <v>2</v>
      </c>
      <c r="H91" s="3">
        <v>46181</v>
      </c>
    </row>
    <row r="92" spans="1:8" ht="15" x14ac:dyDescent="0.2">
      <c r="A92">
        <v>1206</v>
      </c>
      <c r="B92" t="s">
        <v>167</v>
      </c>
      <c r="C92" t="s">
        <v>168</v>
      </c>
      <c r="D92" t="s">
        <v>23</v>
      </c>
      <c r="E92" t="s">
        <v>30</v>
      </c>
      <c r="F92" t="s">
        <v>27</v>
      </c>
      <c r="G92">
        <v>8</v>
      </c>
      <c r="H92" s="3">
        <v>46181</v>
      </c>
    </row>
    <row r="93" spans="1:8" ht="15" x14ac:dyDescent="0.2">
      <c r="A93">
        <v>1205</v>
      </c>
      <c r="B93" t="s">
        <v>167</v>
      </c>
      <c r="C93" t="s">
        <v>66</v>
      </c>
      <c r="D93" t="s">
        <v>23</v>
      </c>
      <c r="E93" t="s">
        <v>24</v>
      </c>
      <c r="F93" t="s">
        <v>27</v>
      </c>
      <c r="G93">
        <v>14</v>
      </c>
      <c r="H93" s="3">
        <v>46181</v>
      </c>
    </row>
    <row r="94" spans="1:8" ht="15" x14ac:dyDescent="0.2">
      <c r="A94">
        <v>1406</v>
      </c>
      <c r="B94" t="s">
        <v>169</v>
      </c>
      <c r="C94" t="s">
        <v>170</v>
      </c>
      <c r="D94" t="s">
        <v>23</v>
      </c>
      <c r="E94" t="s">
        <v>24</v>
      </c>
      <c r="F94" t="s">
        <v>27</v>
      </c>
      <c r="G94">
        <v>9</v>
      </c>
      <c r="H94" s="3">
        <v>46181</v>
      </c>
    </row>
    <row r="95" spans="1:8" ht="15" x14ac:dyDescent="0.2">
      <c r="A95">
        <v>1182</v>
      </c>
      <c r="B95" t="s">
        <v>171</v>
      </c>
      <c r="C95" t="s">
        <v>136</v>
      </c>
      <c r="D95" t="s">
        <v>23</v>
      </c>
      <c r="E95" t="s">
        <v>24</v>
      </c>
      <c r="F95" t="s">
        <v>27</v>
      </c>
      <c r="G95">
        <v>8</v>
      </c>
      <c r="H95" s="3">
        <v>46181</v>
      </c>
    </row>
    <row r="96" spans="1:8" ht="15" x14ac:dyDescent="0.2">
      <c r="A96">
        <v>1340</v>
      </c>
      <c r="B96" t="s">
        <v>172</v>
      </c>
      <c r="C96" t="s">
        <v>173</v>
      </c>
      <c r="D96" t="s">
        <v>23</v>
      </c>
      <c r="E96" t="s">
        <v>24</v>
      </c>
      <c r="F96" t="s">
        <v>27</v>
      </c>
      <c r="G96">
        <v>8</v>
      </c>
      <c r="H96" s="3">
        <v>46181</v>
      </c>
    </row>
    <row r="97" spans="1:8" ht="15" x14ac:dyDescent="0.2">
      <c r="A97">
        <v>21</v>
      </c>
      <c r="B97" t="s">
        <v>174</v>
      </c>
      <c r="C97" t="s">
        <v>175</v>
      </c>
      <c r="D97" t="s">
        <v>23</v>
      </c>
      <c r="E97" t="s">
        <v>24</v>
      </c>
      <c r="F97" t="s">
        <v>25</v>
      </c>
      <c r="H97" s="3">
        <v>46181</v>
      </c>
    </row>
    <row r="98" spans="1:8" ht="15" x14ac:dyDescent="0.2">
      <c r="A98">
        <v>1049</v>
      </c>
      <c r="B98" t="s">
        <v>176</v>
      </c>
      <c r="C98" t="s">
        <v>177</v>
      </c>
      <c r="D98" t="s">
        <v>23</v>
      </c>
      <c r="E98" t="s">
        <v>24</v>
      </c>
      <c r="F98" t="s">
        <v>27</v>
      </c>
      <c r="G98">
        <v>19</v>
      </c>
      <c r="H98" s="3">
        <v>46181</v>
      </c>
    </row>
    <row r="99" spans="1:8" ht="15" x14ac:dyDescent="0.2">
      <c r="A99">
        <v>120</v>
      </c>
      <c r="B99" t="s">
        <v>178</v>
      </c>
      <c r="C99" t="s">
        <v>179</v>
      </c>
      <c r="D99" t="s">
        <v>23</v>
      </c>
      <c r="E99" t="s">
        <v>30</v>
      </c>
      <c r="F99" t="s">
        <v>27</v>
      </c>
      <c r="G99">
        <v>12</v>
      </c>
      <c r="H99" s="3">
        <v>46181</v>
      </c>
    </row>
    <row r="100" spans="1:8" ht="15" x14ac:dyDescent="0.2">
      <c r="A100">
        <v>990</v>
      </c>
      <c r="B100" t="s">
        <v>180</v>
      </c>
      <c r="C100" t="s">
        <v>87</v>
      </c>
      <c r="D100" t="s">
        <v>23</v>
      </c>
      <c r="E100" t="s">
        <v>30</v>
      </c>
      <c r="F100" t="s">
        <v>27</v>
      </c>
      <c r="G100">
        <v>10</v>
      </c>
      <c r="H100" s="3">
        <v>46181</v>
      </c>
    </row>
    <row r="101" spans="1:8" ht="15" x14ac:dyDescent="0.2">
      <c r="A101">
        <v>1395</v>
      </c>
      <c r="B101" t="s">
        <v>181</v>
      </c>
      <c r="C101" t="s">
        <v>182</v>
      </c>
      <c r="D101" t="s">
        <v>23</v>
      </c>
      <c r="E101" t="s">
        <v>30</v>
      </c>
      <c r="F101" t="s">
        <v>35</v>
      </c>
      <c r="H101" s="3">
        <v>46181</v>
      </c>
    </row>
    <row r="102" spans="1:8" ht="15" x14ac:dyDescent="0.2">
      <c r="A102">
        <v>1158</v>
      </c>
      <c r="B102" t="s">
        <v>183</v>
      </c>
      <c r="C102" t="s">
        <v>184</v>
      </c>
      <c r="D102" t="s">
        <v>23</v>
      </c>
      <c r="E102" t="s">
        <v>30</v>
      </c>
      <c r="F102" t="s">
        <v>25</v>
      </c>
      <c r="H102" s="3">
        <v>46181</v>
      </c>
    </row>
    <row r="103" spans="1:8" ht="15" x14ac:dyDescent="0.2">
      <c r="A103">
        <v>23</v>
      </c>
      <c r="B103" t="s">
        <v>185</v>
      </c>
      <c r="C103" t="s">
        <v>100</v>
      </c>
      <c r="D103" t="s">
        <v>23</v>
      </c>
      <c r="E103" t="s">
        <v>24</v>
      </c>
      <c r="F103" t="s">
        <v>27</v>
      </c>
      <c r="G103">
        <v>10</v>
      </c>
      <c r="H103" s="3">
        <v>46181</v>
      </c>
    </row>
    <row r="104" spans="1:8" ht="15" x14ac:dyDescent="0.2">
      <c r="A104">
        <v>1152</v>
      </c>
      <c r="B104" t="s">
        <v>186</v>
      </c>
      <c r="C104" t="s">
        <v>187</v>
      </c>
      <c r="D104" t="s">
        <v>54</v>
      </c>
      <c r="E104" t="s">
        <v>30</v>
      </c>
      <c r="F104" t="s">
        <v>188</v>
      </c>
      <c r="H104" s="3">
        <v>46181</v>
      </c>
    </row>
    <row r="105" spans="1:8" ht="15" x14ac:dyDescent="0.2">
      <c r="A105">
        <v>581</v>
      </c>
      <c r="B105" t="s">
        <v>189</v>
      </c>
      <c r="C105" t="s">
        <v>190</v>
      </c>
      <c r="D105" t="s">
        <v>23</v>
      </c>
      <c r="E105" t="s">
        <v>24</v>
      </c>
      <c r="F105" t="s">
        <v>27</v>
      </c>
      <c r="G105">
        <v>13</v>
      </c>
      <c r="H105" s="3">
        <v>46181</v>
      </c>
    </row>
    <row r="106" spans="1:8" ht="15" x14ac:dyDescent="0.2">
      <c r="A106">
        <v>1374</v>
      </c>
      <c r="B106" t="s">
        <v>191</v>
      </c>
      <c r="C106" t="s">
        <v>192</v>
      </c>
      <c r="D106" t="s">
        <v>23</v>
      </c>
      <c r="E106" t="s">
        <v>24</v>
      </c>
      <c r="F106" t="s">
        <v>25</v>
      </c>
      <c r="H106" s="3">
        <v>46181</v>
      </c>
    </row>
    <row r="107" spans="1:8" ht="15" x14ac:dyDescent="0.2">
      <c r="A107">
        <v>25</v>
      </c>
      <c r="B107" t="s">
        <v>22</v>
      </c>
      <c r="C107" t="s">
        <v>193</v>
      </c>
      <c r="D107" t="s">
        <v>23</v>
      </c>
      <c r="E107" t="s">
        <v>24</v>
      </c>
      <c r="F107" t="s">
        <v>27</v>
      </c>
      <c r="G107">
        <v>8</v>
      </c>
      <c r="H107" s="3">
        <v>46181</v>
      </c>
    </row>
    <row r="108" spans="1:8" ht="15" x14ac:dyDescent="0.2">
      <c r="A108">
        <v>1257</v>
      </c>
      <c r="B108" t="s">
        <v>194</v>
      </c>
      <c r="C108" t="s">
        <v>150</v>
      </c>
      <c r="D108" t="s">
        <v>54</v>
      </c>
      <c r="E108" t="s">
        <v>24</v>
      </c>
      <c r="F108" t="s">
        <v>25</v>
      </c>
      <c r="H108" s="3">
        <v>46181</v>
      </c>
    </row>
    <row r="109" spans="1:8" ht="15" x14ac:dyDescent="0.2">
      <c r="A109">
        <v>415</v>
      </c>
      <c r="B109" t="s">
        <v>195</v>
      </c>
      <c r="C109" t="s">
        <v>196</v>
      </c>
      <c r="D109" t="s">
        <v>23</v>
      </c>
      <c r="E109" t="s">
        <v>24</v>
      </c>
      <c r="F109" t="s">
        <v>27</v>
      </c>
      <c r="G109">
        <v>6</v>
      </c>
      <c r="H109" s="3">
        <v>46181</v>
      </c>
    </row>
    <row r="110" spans="1:8" ht="15" x14ac:dyDescent="0.2">
      <c r="A110">
        <v>1144</v>
      </c>
      <c r="B110" t="s">
        <v>195</v>
      </c>
      <c r="C110" t="s">
        <v>197</v>
      </c>
      <c r="D110" t="s">
        <v>54</v>
      </c>
      <c r="E110" t="s">
        <v>24</v>
      </c>
      <c r="F110" t="s">
        <v>188</v>
      </c>
      <c r="H110" s="3">
        <v>46181</v>
      </c>
    </row>
    <row r="111" spans="1:8" ht="15" x14ac:dyDescent="0.2">
      <c r="A111">
        <v>1292</v>
      </c>
      <c r="B111" t="s">
        <v>198</v>
      </c>
      <c r="C111" t="s">
        <v>199</v>
      </c>
      <c r="D111" t="s">
        <v>23</v>
      </c>
      <c r="E111" t="s">
        <v>30</v>
      </c>
      <c r="F111" t="s">
        <v>25</v>
      </c>
      <c r="H111" s="3">
        <v>46181</v>
      </c>
    </row>
    <row r="112" spans="1:8" ht="15" x14ac:dyDescent="0.2">
      <c r="A112">
        <v>203</v>
      </c>
      <c r="B112" t="s">
        <v>200</v>
      </c>
      <c r="C112" t="s">
        <v>201</v>
      </c>
      <c r="D112" t="s">
        <v>23</v>
      </c>
      <c r="E112" t="s">
        <v>24</v>
      </c>
      <c r="F112" t="s">
        <v>27</v>
      </c>
      <c r="G112">
        <v>9</v>
      </c>
      <c r="H112" s="3">
        <v>46181</v>
      </c>
    </row>
    <row r="113" spans="1:8" ht="15" x14ac:dyDescent="0.2">
      <c r="A113">
        <v>956</v>
      </c>
      <c r="B113" t="s">
        <v>202</v>
      </c>
      <c r="C113" t="s">
        <v>94</v>
      </c>
      <c r="D113" t="s">
        <v>23</v>
      </c>
      <c r="E113" t="s">
        <v>24</v>
      </c>
      <c r="F113" t="s">
        <v>27</v>
      </c>
      <c r="G113">
        <v>13</v>
      </c>
      <c r="H113" s="3">
        <v>46181</v>
      </c>
    </row>
    <row r="114" spans="1:8" ht="15" x14ac:dyDescent="0.2">
      <c r="A114">
        <v>1273</v>
      </c>
      <c r="B114" t="s">
        <v>203</v>
      </c>
      <c r="C114" t="s">
        <v>204</v>
      </c>
      <c r="D114" t="s">
        <v>23</v>
      </c>
      <c r="E114" t="s">
        <v>30</v>
      </c>
      <c r="F114" t="s">
        <v>27</v>
      </c>
      <c r="G114">
        <v>22</v>
      </c>
      <c r="H114" s="3">
        <v>46181</v>
      </c>
    </row>
    <row r="115" spans="1:8" ht="15" x14ac:dyDescent="0.2">
      <c r="A115">
        <v>1272</v>
      </c>
      <c r="B115" t="s">
        <v>203</v>
      </c>
      <c r="C115" t="s">
        <v>205</v>
      </c>
      <c r="D115" t="s">
        <v>23</v>
      </c>
      <c r="E115" t="s">
        <v>24</v>
      </c>
      <c r="F115" t="s">
        <v>27</v>
      </c>
      <c r="G115">
        <v>24</v>
      </c>
      <c r="H115" s="3">
        <v>46181</v>
      </c>
    </row>
    <row r="116" spans="1:8" ht="15" x14ac:dyDescent="0.2">
      <c r="A116">
        <v>846</v>
      </c>
      <c r="B116" t="s">
        <v>206</v>
      </c>
      <c r="C116" t="s">
        <v>207</v>
      </c>
      <c r="D116" t="s">
        <v>23</v>
      </c>
      <c r="E116" t="s">
        <v>24</v>
      </c>
      <c r="F116" t="s">
        <v>27</v>
      </c>
      <c r="G116">
        <v>17</v>
      </c>
      <c r="H116" s="3">
        <v>46181</v>
      </c>
    </row>
    <row r="117" spans="1:8" ht="15" x14ac:dyDescent="0.2">
      <c r="A117">
        <v>1162</v>
      </c>
      <c r="B117" t="s">
        <v>208</v>
      </c>
      <c r="C117" t="s">
        <v>150</v>
      </c>
      <c r="D117" t="s">
        <v>23</v>
      </c>
      <c r="E117" t="s">
        <v>24</v>
      </c>
      <c r="F117" t="s">
        <v>25</v>
      </c>
      <c r="H117" s="3">
        <v>46181</v>
      </c>
    </row>
    <row r="118" spans="1:8" ht="15" x14ac:dyDescent="0.2">
      <c r="A118">
        <v>1244</v>
      </c>
      <c r="B118" t="s">
        <v>209</v>
      </c>
      <c r="C118" t="s">
        <v>94</v>
      </c>
      <c r="D118" t="s">
        <v>23</v>
      </c>
      <c r="E118" t="s">
        <v>24</v>
      </c>
      <c r="F118" t="s">
        <v>27</v>
      </c>
      <c r="G118">
        <v>2</v>
      </c>
      <c r="H118" s="3">
        <v>46181</v>
      </c>
    </row>
    <row r="119" spans="1:8" ht="15" x14ac:dyDescent="0.2">
      <c r="A119">
        <v>1379</v>
      </c>
      <c r="B119" t="s">
        <v>209</v>
      </c>
      <c r="C119" t="s">
        <v>210</v>
      </c>
      <c r="D119" t="s">
        <v>23</v>
      </c>
      <c r="E119" t="s">
        <v>30</v>
      </c>
      <c r="F119" t="s">
        <v>25</v>
      </c>
      <c r="H119" s="3">
        <v>46181</v>
      </c>
    </row>
    <row r="120" spans="1:8" ht="15" x14ac:dyDescent="0.2">
      <c r="A120">
        <v>1362</v>
      </c>
      <c r="B120" t="s">
        <v>211</v>
      </c>
      <c r="C120" t="s">
        <v>212</v>
      </c>
      <c r="D120" t="s">
        <v>23</v>
      </c>
      <c r="E120" t="s">
        <v>30</v>
      </c>
      <c r="F120" t="s">
        <v>27</v>
      </c>
      <c r="G120">
        <v>22</v>
      </c>
      <c r="H120" s="3">
        <v>46181</v>
      </c>
    </row>
    <row r="121" spans="1:8" ht="15" x14ac:dyDescent="0.2">
      <c r="A121">
        <v>1403</v>
      </c>
      <c r="B121" t="s">
        <v>213</v>
      </c>
      <c r="C121" t="s">
        <v>214</v>
      </c>
      <c r="D121" t="s">
        <v>23</v>
      </c>
      <c r="E121" t="s">
        <v>24</v>
      </c>
      <c r="F121" t="s">
        <v>27</v>
      </c>
      <c r="G121">
        <v>8</v>
      </c>
      <c r="H121" s="3">
        <v>46181</v>
      </c>
    </row>
    <row r="122" spans="1:8" ht="15" x14ac:dyDescent="0.2">
      <c r="A122">
        <v>1404</v>
      </c>
      <c r="B122" t="s">
        <v>213</v>
      </c>
      <c r="C122" t="s">
        <v>215</v>
      </c>
      <c r="D122" t="s">
        <v>23</v>
      </c>
      <c r="E122" t="s">
        <v>30</v>
      </c>
      <c r="F122" t="s">
        <v>25</v>
      </c>
      <c r="H122" s="3">
        <v>46181</v>
      </c>
    </row>
    <row r="123" spans="1:8" ht="15" x14ac:dyDescent="0.2">
      <c r="A123">
        <v>1229</v>
      </c>
      <c r="B123" t="s">
        <v>216</v>
      </c>
      <c r="C123" t="s">
        <v>217</v>
      </c>
      <c r="D123" t="s">
        <v>23</v>
      </c>
      <c r="E123" t="s">
        <v>30</v>
      </c>
      <c r="F123" t="s">
        <v>25</v>
      </c>
      <c r="H123" s="3">
        <v>46181</v>
      </c>
    </row>
    <row r="124" spans="1:8" ht="15" x14ac:dyDescent="0.2">
      <c r="A124">
        <v>1408</v>
      </c>
      <c r="B124" t="s">
        <v>218</v>
      </c>
      <c r="C124" t="s">
        <v>219</v>
      </c>
      <c r="D124" t="s">
        <v>23</v>
      </c>
      <c r="E124" t="s">
        <v>24</v>
      </c>
      <c r="F124" t="s">
        <v>27</v>
      </c>
      <c r="G124">
        <v>20</v>
      </c>
      <c r="H124" s="3">
        <v>46181</v>
      </c>
    </row>
    <row r="125" spans="1:8" ht="15" x14ac:dyDescent="0.2">
      <c r="A125">
        <v>1409</v>
      </c>
      <c r="B125" t="s">
        <v>218</v>
      </c>
      <c r="C125" t="s">
        <v>220</v>
      </c>
      <c r="D125" t="s">
        <v>23</v>
      </c>
      <c r="E125" t="s">
        <v>30</v>
      </c>
      <c r="F125" t="s">
        <v>27</v>
      </c>
      <c r="G125">
        <v>15</v>
      </c>
      <c r="H125" s="3">
        <v>46181</v>
      </c>
    </row>
    <row r="126" spans="1:8" ht="15" x14ac:dyDescent="0.2">
      <c r="A126">
        <v>1198</v>
      </c>
      <c r="B126" t="s">
        <v>221</v>
      </c>
      <c r="C126" t="s">
        <v>222</v>
      </c>
      <c r="D126" t="s">
        <v>23</v>
      </c>
      <c r="E126" t="s">
        <v>24</v>
      </c>
      <c r="F126" t="s">
        <v>27</v>
      </c>
      <c r="G126">
        <v>5</v>
      </c>
      <c r="H126" s="3">
        <v>46181</v>
      </c>
    </row>
    <row r="127" spans="1:8" ht="15" x14ac:dyDescent="0.2">
      <c r="A127">
        <v>1260</v>
      </c>
      <c r="B127" t="s">
        <v>223</v>
      </c>
      <c r="C127" t="s">
        <v>82</v>
      </c>
      <c r="D127" t="s">
        <v>23</v>
      </c>
      <c r="E127" t="s">
        <v>30</v>
      </c>
      <c r="F127" t="s">
        <v>27</v>
      </c>
      <c r="G127">
        <v>15</v>
      </c>
      <c r="H127" s="3">
        <v>46181</v>
      </c>
    </row>
    <row r="128" spans="1:8" ht="15" x14ac:dyDescent="0.2">
      <c r="A128">
        <v>1361</v>
      </c>
      <c r="B128" t="s">
        <v>224</v>
      </c>
      <c r="C128" t="s">
        <v>225</v>
      </c>
      <c r="D128" t="s">
        <v>23</v>
      </c>
      <c r="E128" t="s">
        <v>24</v>
      </c>
      <c r="F128" t="s">
        <v>27</v>
      </c>
      <c r="G128">
        <v>16</v>
      </c>
      <c r="H128" s="3">
        <v>46181</v>
      </c>
    </row>
    <row r="129" spans="1:8" ht="15" x14ac:dyDescent="0.2">
      <c r="A129">
        <v>1100</v>
      </c>
      <c r="B129" t="s">
        <v>226</v>
      </c>
      <c r="C129" t="s">
        <v>34</v>
      </c>
      <c r="D129" t="s">
        <v>23</v>
      </c>
      <c r="E129" t="s">
        <v>24</v>
      </c>
      <c r="F129" t="s">
        <v>27</v>
      </c>
      <c r="G129">
        <v>13</v>
      </c>
      <c r="H129" s="3">
        <v>46181</v>
      </c>
    </row>
    <row r="130" spans="1:8" ht="15" x14ac:dyDescent="0.2">
      <c r="A130">
        <v>1385</v>
      </c>
      <c r="B130" t="s">
        <v>227</v>
      </c>
      <c r="C130" t="s">
        <v>228</v>
      </c>
      <c r="D130" t="s">
        <v>23</v>
      </c>
      <c r="E130" t="s">
        <v>24</v>
      </c>
      <c r="F130" t="s">
        <v>25</v>
      </c>
      <c r="H130" s="3">
        <v>46181</v>
      </c>
    </row>
    <row r="131" spans="1:8" ht="15" x14ac:dyDescent="0.2">
      <c r="A131">
        <v>1394</v>
      </c>
      <c r="B131" t="s">
        <v>227</v>
      </c>
      <c r="C131" t="s">
        <v>229</v>
      </c>
      <c r="D131" t="s">
        <v>23</v>
      </c>
      <c r="E131" t="s">
        <v>24</v>
      </c>
      <c r="F131" t="s">
        <v>35</v>
      </c>
      <c r="H131" s="3">
        <v>46181</v>
      </c>
    </row>
    <row r="132" spans="1:8" ht="15" x14ac:dyDescent="0.2">
      <c r="A132">
        <v>1419</v>
      </c>
      <c r="B132" t="s">
        <v>230</v>
      </c>
      <c r="C132" t="s">
        <v>231</v>
      </c>
      <c r="D132" t="s">
        <v>23</v>
      </c>
      <c r="E132" t="s">
        <v>24</v>
      </c>
      <c r="F132" t="s">
        <v>25</v>
      </c>
      <c r="H132" s="3">
        <v>46181</v>
      </c>
    </row>
    <row r="133" spans="1:8" ht="15" x14ac:dyDescent="0.2">
      <c r="A133">
        <v>967</v>
      </c>
      <c r="B133" t="s">
        <v>232</v>
      </c>
      <c r="C133" t="s">
        <v>152</v>
      </c>
      <c r="D133" t="s">
        <v>23</v>
      </c>
      <c r="E133" t="s">
        <v>24</v>
      </c>
      <c r="F133" t="s">
        <v>27</v>
      </c>
      <c r="G133">
        <v>5</v>
      </c>
      <c r="H133" s="3">
        <v>46181</v>
      </c>
    </row>
    <row r="134" spans="1:8" ht="15" x14ac:dyDescent="0.2">
      <c r="A134">
        <v>1373</v>
      </c>
      <c r="B134" t="s">
        <v>233</v>
      </c>
      <c r="C134" t="s">
        <v>234</v>
      </c>
      <c r="D134" t="s">
        <v>23</v>
      </c>
      <c r="E134" t="s">
        <v>24</v>
      </c>
      <c r="F134" t="s">
        <v>27</v>
      </c>
      <c r="G134">
        <v>10</v>
      </c>
      <c r="H134" s="3">
        <v>46181</v>
      </c>
    </row>
    <row r="135" spans="1:8" ht="15" x14ac:dyDescent="0.2">
      <c r="A135">
        <v>1045</v>
      </c>
      <c r="B135" t="s">
        <v>235</v>
      </c>
      <c r="C135" t="s">
        <v>236</v>
      </c>
      <c r="D135" t="s">
        <v>23</v>
      </c>
      <c r="E135" t="s">
        <v>30</v>
      </c>
      <c r="F135" t="s">
        <v>27</v>
      </c>
      <c r="G135">
        <v>5</v>
      </c>
      <c r="H135" s="3">
        <v>46181</v>
      </c>
    </row>
    <row r="136" spans="1:8" ht="15" x14ac:dyDescent="0.2">
      <c r="A136">
        <v>1046</v>
      </c>
      <c r="B136" t="s">
        <v>235</v>
      </c>
      <c r="C136" t="s">
        <v>237</v>
      </c>
      <c r="D136" t="s">
        <v>23</v>
      </c>
      <c r="E136" t="s">
        <v>24</v>
      </c>
      <c r="F136" t="s">
        <v>27</v>
      </c>
      <c r="G136">
        <v>35</v>
      </c>
      <c r="H136" s="3">
        <v>46181</v>
      </c>
    </row>
    <row r="137" spans="1:8" ht="15" x14ac:dyDescent="0.2">
      <c r="A137">
        <v>1396</v>
      </c>
      <c r="B137" t="s">
        <v>238</v>
      </c>
      <c r="C137" t="s">
        <v>59</v>
      </c>
      <c r="D137" t="s">
        <v>23</v>
      </c>
      <c r="E137" t="s">
        <v>24</v>
      </c>
      <c r="F137" t="s">
        <v>25</v>
      </c>
      <c r="H137" s="3">
        <v>46181</v>
      </c>
    </row>
    <row r="138" spans="1:8" ht="15" x14ac:dyDescent="0.2">
      <c r="A138">
        <v>1397</v>
      </c>
      <c r="B138" t="s">
        <v>238</v>
      </c>
      <c r="C138" t="s">
        <v>239</v>
      </c>
      <c r="D138" t="s">
        <v>23</v>
      </c>
      <c r="E138" t="s">
        <v>30</v>
      </c>
      <c r="F138" t="s">
        <v>25</v>
      </c>
      <c r="H138" s="3">
        <v>46181</v>
      </c>
    </row>
    <row r="139" spans="1:8" ht="15" x14ac:dyDescent="0.2">
      <c r="A139">
        <v>1398</v>
      </c>
      <c r="B139" t="s">
        <v>238</v>
      </c>
      <c r="C139" t="s">
        <v>49</v>
      </c>
      <c r="D139" t="s">
        <v>23</v>
      </c>
      <c r="E139" t="s">
        <v>24</v>
      </c>
      <c r="F139" t="s">
        <v>35</v>
      </c>
      <c r="H139" s="3">
        <v>46181</v>
      </c>
    </row>
    <row r="140" spans="1:8" ht="15" x14ac:dyDescent="0.2">
      <c r="A140">
        <v>1399</v>
      </c>
      <c r="B140" t="s">
        <v>238</v>
      </c>
      <c r="C140" t="s">
        <v>131</v>
      </c>
      <c r="D140" t="s">
        <v>23</v>
      </c>
      <c r="E140" t="s">
        <v>30</v>
      </c>
      <c r="F140" t="s">
        <v>35</v>
      </c>
      <c r="H140" s="3">
        <v>46181</v>
      </c>
    </row>
    <row r="141" spans="1:8" ht="15" x14ac:dyDescent="0.2">
      <c r="A141">
        <v>771</v>
      </c>
      <c r="B141" t="s">
        <v>240</v>
      </c>
      <c r="C141" t="s">
        <v>241</v>
      </c>
      <c r="D141" t="s">
        <v>23</v>
      </c>
      <c r="E141" t="s">
        <v>24</v>
      </c>
      <c r="F141" t="s">
        <v>27</v>
      </c>
      <c r="G141">
        <v>14</v>
      </c>
      <c r="H141" s="3">
        <v>46181</v>
      </c>
    </row>
    <row r="142" spans="1:8" ht="15" x14ac:dyDescent="0.2">
      <c r="A142">
        <v>1265</v>
      </c>
      <c r="B142" t="s">
        <v>242</v>
      </c>
      <c r="C142" t="s">
        <v>243</v>
      </c>
      <c r="D142" t="s">
        <v>23</v>
      </c>
      <c r="E142" t="s">
        <v>24</v>
      </c>
      <c r="F142" t="s">
        <v>27</v>
      </c>
      <c r="G142">
        <v>20</v>
      </c>
      <c r="H142" s="3">
        <v>46181</v>
      </c>
    </row>
    <row r="143" spans="1:8" ht="15" x14ac:dyDescent="0.2">
      <c r="A143">
        <v>532</v>
      </c>
      <c r="B143" t="s">
        <v>244</v>
      </c>
      <c r="C143" t="s">
        <v>243</v>
      </c>
      <c r="D143" t="s">
        <v>23</v>
      </c>
      <c r="E143" t="s">
        <v>24</v>
      </c>
      <c r="F143" t="s">
        <v>27</v>
      </c>
      <c r="G143">
        <v>13</v>
      </c>
      <c r="H143" s="3">
        <v>46181</v>
      </c>
    </row>
    <row r="144" spans="1:8" ht="15" x14ac:dyDescent="0.2">
      <c r="A144">
        <v>1388</v>
      </c>
      <c r="B144" t="s">
        <v>193</v>
      </c>
      <c r="C144" t="s">
        <v>245</v>
      </c>
      <c r="D144" t="s">
        <v>23</v>
      </c>
      <c r="E144" t="s">
        <v>30</v>
      </c>
      <c r="F144" t="s">
        <v>25</v>
      </c>
      <c r="H144" s="3">
        <v>46181</v>
      </c>
    </row>
    <row r="145" spans="1:8" ht="15" x14ac:dyDescent="0.2">
      <c r="A145">
        <v>742</v>
      </c>
      <c r="B145" t="s">
        <v>246</v>
      </c>
      <c r="C145" t="s">
        <v>156</v>
      </c>
      <c r="D145" t="s">
        <v>23</v>
      </c>
      <c r="E145" t="s">
        <v>30</v>
      </c>
      <c r="F145" t="s">
        <v>27</v>
      </c>
      <c r="G145">
        <v>2</v>
      </c>
      <c r="H145" s="3">
        <v>46181</v>
      </c>
    </row>
    <row r="146" spans="1:8" ht="15" x14ac:dyDescent="0.2">
      <c r="A146">
        <v>741</v>
      </c>
      <c r="B146" t="s">
        <v>246</v>
      </c>
      <c r="C146" t="s">
        <v>247</v>
      </c>
      <c r="D146" t="s">
        <v>23</v>
      </c>
      <c r="E146" t="s">
        <v>24</v>
      </c>
      <c r="F146" t="s">
        <v>27</v>
      </c>
      <c r="G146">
        <v>4</v>
      </c>
      <c r="H146" s="3">
        <v>46181</v>
      </c>
    </row>
    <row r="147" spans="1:8" ht="15" x14ac:dyDescent="0.2">
      <c r="A147">
        <v>1298</v>
      </c>
      <c r="B147" t="s">
        <v>246</v>
      </c>
      <c r="C147" t="s">
        <v>132</v>
      </c>
      <c r="D147" t="s">
        <v>23</v>
      </c>
      <c r="E147" t="s">
        <v>30</v>
      </c>
      <c r="F147" t="s">
        <v>27</v>
      </c>
      <c r="G147">
        <v>13</v>
      </c>
      <c r="H147" s="3">
        <v>46181</v>
      </c>
    </row>
    <row r="148" spans="1:8" ht="15" x14ac:dyDescent="0.2">
      <c r="A148">
        <v>747</v>
      </c>
      <c r="B148" t="s">
        <v>246</v>
      </c>
      <c r="C148" t="s">
        <v>22</v>
      </c>
      <c r="D148" t="s">
        <v>23</v>
      </c>
      <c r="E148" t="s">
        <v>24</v>
      </c>
      <c r="F148" t="s">
        <v>27</v>
      </c>
      <c r="G148">
        <v>1</v>
      </c>
      <c r="H148" s="3">
        <v>46181</v>
      </c>
    </row>
    <row r="149" spans="1:8" ht="15" x14ac:dyDescent="0.2">
      <c r="A149">
        <v>1386</v>
      </c>
      <c r="B149" t="s">
        <v>246</v>
      </c>
      <c r="C149" t="s">
        <v>248</v>
      </c>
      <c r="D149" t="s">
        <v>23</v>
      </c>
      <c r="E149" t="s">
        <v>30</v>
      </c>
      <c r="F149" t="s">
        <v>35</v>
      </c>
      <c r="H149" s="3">
        <v>46181</v>
      </c>
    </row>
    <row r="150" spans="1:8" ht="15" x14ac:dyDescent="0.2">
      <c r="A150">
        <v>1221</v>
      </c>
      <c r="B150" t="s">
        <v>249</v>
      </c>
      <c r="C150" t="s">
        <v>234</v>
      </c>
      <c r="D150" t="s">
        <v>23</v>
      </c>
      <c r="E150" t="s">
        <v>24</v>
      </c>
      <c r="F150" t="s">
        <v>25</v>
      </c>
      <c r="H150" s="3">
        <v>46181</v>
      </c>
    </row>
    <row r="151" spans="1:8" ht="15" x14ac:dyDescent="0.2">
      <c r="A151">
        <v>564</v>
      </c>
      <c r="B151" t="s">
        <v>250</v>
      </c>
      <c r="C151" t="s">
        <v>34</v>
      </c>
      <c r="D151" t="s">
        <v>23</v>
      </c>
      <c r="E151" t="s">
        <v>24</v>
      </c>
      <c r="F151" t="s">
        <v>27</v>
      </c>
      <c r="G151">
        <v>7</v>
      </c>
      <c r="H151" s="3">
        <v>46181</v>
      </c>
    </row>
    <row r="152" spans="1:8" ht="15" x14ac:dyDescent="0.2">
      <c r="A152">
        <v>1165</v>
      </c>
      <c r="B152" t="s">
        <v>251</v>
      </c>
      <c r="C152" t="s">
        <v>177</v>
      </c>
      <c r="D152" t="s">
        <v>23</v>
      </c>
      <c r="E152" t="s">
        <v>24</v>
      </c>
      <c r="F152" t="s">
        <v>27</v>
      </c>
      <c r="G152">
        <v>10</v>
      </c>
      <c r="H152" s="3">
        <v>46181</v>
      </c>
    </row>
    <row r="153" spans="1:8" ht="15" x14ac:dyDescent="0.2">
      <c r="A153">
        <v>405</v>
      </c>
      <c r="B153" t="s">
        <v>252</v>
      </c>
      <c r="C153" t="s">
        <v>243</v>
      </c>
      <c r="D153" t="s">
        <v>23</v>
      </c>
      <c r="E153" t="s">
        <v>24</v>
      </c>
      <c r="F153" t="s">
        <v>27</v>
      </c>
      <c r="G153">
        <v>18</v>
      </c>
      <c r="H153" s="3">
        <v>46181</v>
      </c>
    </row>
    <row r="154" spans="1:8" ht="15" x14ac:dyDescent="0.2">
      <c r="A154">
        <v>1346</v>
      </c>
      <c r="B154" t="s">
        <v>253</v>
      </c>
      <c r="C154" t="s">
        <v>254</v>
      </c>
      <c r="D154" t="s">
        <v>23</v>
      </c>
      <c r="E154" t="s">
        <v>24</v>
      </c>
      <c r="F154" t="s">
        <v>27</v>
      </c>
      <c r="G154">
        <v>20</v>
      </c>
      <c r="H154" s="3">
        <v>46181</v>
      </c>
    </row>
    <row r="155" spans="1:8" ht="15" x14ac:dyDescent="0.2">
      <c r="A155">
        <v>1192</v>
      </c>
      <c r="B155" t="s">
        <v>255</v>
      </c>
      <c r="C155" t="s">
        <v>256</v>
      </c>
      <c r="D155" t="s">
        <v>23</v>
      </c>
      <c r="E155" t="s">
        <v>24</v>
      </c>
      <c r="F155" t="s">
        <v>27</v>
      </c>
      <c r="G155">
        <v>10</v>
      </c>
      <c r="H155" s="3">
        <v>46181</v>
      </c>
    </row>
    <row r="156" spans="1:8" ht="15" x14ac:dyDescent="0.2">
      <c r="A156">
        <v>1157</v>
      </c>
      <c r="B156" t="s">
        <v>257</v>
      </c>
      <c r="C156" t="s">
        <v>100</v>
      </c>
      <c r="D156" t="s">
        <v>23</v>
      </c>
      <c r="E156" t="s">
        <v>24</v>
      </c>
      <c r="F156" t="s">
        <v>25</v>
      </c>
      <c r="H156" s="3">
        <v>46181</v>
      </c>
    </row>
    <row r="157" spans="1:8" ht="15" x14ac:dyDescent="0.2">
      <c r="A157">
        <v>1359</v>
      </c>
      <c r="B157" t="s">
        <v>258</v>
      </c>
      <c r="C157" t="s">
        <v>49</v>
      </c>
      <c r="D157" t="s">
        <v>23</v>
      </c>
      <c r="E157" t="s">
        <v>24</v>
      </c>
      <c r="F157" t="s">
        <v>188</v>
      </c>
      <c r="H157" s="3">
        <v>46181</v>
      </c>
    </row>
    <row r="158" spans="1:8" ht="15" x14ac:dyDescent="0.2">
      <c r="A158">
        <v>1360</v>
      </c>
      <c r="B158" t="s">
        <v>258</v>
      </c>
      <c r="C158" t="s">
        <v>259</v>
      </c>
      <c r="D158" t="s">
        <v>23</v>
      </c>
      <c r="E158" t="s">
        <v>30</v>
      </c>
      <c r="F158" t="s">
        <v>35</v>
      </c>
      <c r="H158" s="3">
        <v>46181</v>
      </c>
    </row>
    <row r="159" spans="1:8" ht="15" x14ac:dyDescent="0.2">
      <c r="A159">
        <v>1357</v>
      </c>
      <c r="B159" t="s">
        <v>258</v>
      </c>
      <c r="C159" t="s">
        <v>34</v>
      </c>
      <c r="D159" t="s">
        <v>23</v>
      </c>
      <c r="E159" t="s">
        <v>24</v>
      </c>
      <c r="F159" t="s">
        <v>27</v>
      </c>
      <c r="G159">
        <v>5</v>
      </c>
      <c r="H159" s="3">
        <v>46181</v>
      </c>
    </row>
    <row r="160" spans="1:8" ht="15" x14ac:dyDescent="0.2">
      <c r="A160">
        <v>1358</v>
      </c>
      <c r="B160" t="s">
        <v>258</v>
      </c>
      <c r="C160" t="s">
        <v>260</v>
      </c>
      <c r="D160" t="s">
        <v>23</v>
      </c>
      <c r="E160" t="s">
        <v>30</v>
      </c>
      <c r="F160" t="s">
        <v>27</v>
      </c>
      <c r="G160">
        <v>7</v>
      </c>
      <c r="H160" s="3">
        <v>46181</v>
      </c>
    </row>
    <row r="161" spans="1:8" ht="15" x14ac:dyDescent="0.2">
      <c r="A161">
        <v>1390</v>
      </c>
      <c r="B161" t="s">
        <v>261</v>
      </c>
      <c r="C161" t="s">
        <v>262</v>
      </c>
      <c r="D161" t="s">
        <v>23</v>
      </c>
      <c r="E161" t="s">
        <v>24</v>
      </c>
      <c r="F161" t="s">
        <v>25</v>
      </c>
      <c r="H161" s="3">
        <v>46181</v>
      </c>
    </row>
    <row r="162" spans="1:8" ht="15" x14ac:dyDescent="0.2">
      <c r="A162">
        <v>1107</v>
      </c>
      <c r="B162" t="s">
        <v>263</v>
      </c>
      <c r="C162" t="s">
        <v>264</v>
      </c>
      <c r="D162" t="s">
        <v>23</v>
      </c>
      <c r="E162" t="s">
        <v>30</v>
      </c>
      <c r="F162" t="s">
        <v>25</v>
      </c>
      <c r="H162" s="3">
        <v>46181</v>
      </c>
    </row>
    <row r="163" spans="1:8" ht="15" x14ac:dyDescent="0.2">
      <c r="A163">
        <v>35</v>
      </c>
      <c r="B163" t="s">
        <v>265</v>
      </c>
      <c r="C163" t="s">
        <v>266</v>
      </c>
      <c r="D163" t="s">
        <v>23</v>
      </c>
      <c r="E163" t="s">
        <v>24</v>
      </c>
      <c r="F163" t="s">
        <v>27</v>
      </c>
      <c r="G163">
        <v>3</v>
      </c>
      <c r="H163" s="3">
        <v>46181</v>
      </c>
    </row>
    <row r="164" spans="1:8" ht="15" x14ac:dyDescent="0.2">
      <c r="A164">
        <v>1094</v>
      </c>
      <c r="B164" t="s">
        <v>267</v>
      </c>
      <c r="C164" t="s">
        <v>268</v>
      </c>
      <c r="D164" t="s">
        <v>23</v>
      </c>
      <c r="E164" t="s">
        <v>24</v>
      </c>
      <c r="F164" t="s">
        <v>27</v>
      </c>
      <c r="G164">
        <v>12</v>
      </c>
      <c r="H164" s="3">
        <v>46181</v>
      </c>
    </row>
    <row r="165" spans="1:8" ht="15" x14ac:dyDescent="0.2">
      <c r="A165">
        <v>1325</v>
      </c>
      <c r="B165" t="s">
        <v>269</v>
      </c>
      <c r="C165" t="s">
        <v>270</v>
      </c>
      <c r="D165" t="s">
        <v>23</v>
      </c>
      <c r="E165" t="s">
        <v>24</v>
      </c>
      <c r="F165" t="s">
        <v>27</v>
      </c>
      <c r="G165">
        <v>3</v>
      </c>
      <c r="H165" s="3">
        <v>46181</v>
      </c>
    </row>
    <row r="166" spans="1:8" ht="15" x14ac:dyDescent="0.2">
      <c r="A166">
        <v>1143</v>
      </c>
      <c r="B166" t="s">
        <v>271</v>
      </c>
      <c r="C166" t="s">
        <v>247</v>
      </c>
      <c r="D166" t="s">
        <v>23</v>
      </c>
      <c r="E166" t="s">
        <v>24</v>
      </c>
      <c r="F166" t="s">
        <v>27</v>
      </c>
      <c r="G166">
        <v>3</v>
      </c>
      <c r="H166" s="3">
        <v>46181</v>
      </c>
    </row>
    <row r="167" spans="1:8" ht="15" x14ac:dyDescent="0.2">
      <c r="A167">
        <v>1401</v>
      </c>
      <c r="B167" t="s">
        <v>272</v>
      </c>
      <c r="C167" t="s">
        <v>273</v>
      </c>
      <c r="D167" t="s">
        <v>23</v>
      </c>
      <c r="E167" t="s">
        <v>30</v>
      </c>
      <c r="F167" t="s">
        <v>25</v>
      </c>
      <c r="H167" s="3">
        <v>46181</v>
      </c>
    </row>
    <row r="168" spans="1:8" ht="15" x14ac:dyDescent="0.2">
      <c r="A168">
        <v>1285</v>
      </c>
      <c r="B168" t="s">
        <v>274</v>
      </c>
      <c r="C168" t="s">
        <v>100</v>
      </c>
      <c r="D168" t="s">
        <v>23</v>
      </c>
      <c r="E168" t="s">
        <v>24</v>
      </c>
      <c r="F168" t="s">
        <v>25</v>
      </c>
      <c r="H168" s="3">
        <v>46181</v>
      </c>
    </row>
    <row r="169" spans="1:8" ht="15" x14ac:dyDescent="0.2">
      <c r="A169">
        <v>38</v>
      </c>
      <c r="B169" t="s">
        <v>275</v>
      </c>
      <c r="C169" t="s">
        <v>276</v>
      </c>
      <c r="D169" t="s">
        <v>23</v>
      </c>
      <c r="E169" t="s">
        <v>24</v>
      </c>
      <c r="F169" t="s">
        <v>27</v>
      </c>
      <c r="G169">
        <v>13</v>
      </c>
      <c r="H169" s="3">
        <v>46181</v>
      </c>
    </row>
    <row r="170" spans="1:8" ht="15" x14ac:dyDescent="0.2">
      <c r="A170">
        <v>245</v>
      </c>
      <c r="B170" t="s">
        <v>277</v>
      </c>
      <c r="C170" t="s">
        <v>234</v>
      </c>
      <c r="D170" t="s">
        <v>23</v>
      </c>
      <c r="E170" t="s">
        <v>24</v>
      </c>
      <c r="F170" t="s">
        <v>27</v>
      </c>
      <c r="G170">
        <v>10</v>
      </c>
      <c r="H170" s="3">
        <v>46181</v>
      </c>
    </row>
    <row r="171" spans="1:8" ht="15" x14ac:dyDescent="0.2">
      <c r="A171">
        <v>39</v>
      </c>
      <c r="B171" t="s">
        <v>277</v>
      </c>
      <c r="C171" t="s">
        <v>278</v>
      </c>
      <c r="D171" t="s">
        <v>23</v>
      </c>
      <c r="E171" t="s">
        <v>24</v>
      </c>
      <c r="F171" t="s">
        <v>27</v>
      </c>
      <c r="G171">
        <v>43</v>
      </c>
      <c r="H171" s="3">
        <v>46181</v>
      </c>
    </row>
    <row r="172" spans="1:8" ht="15" x14ac:dyDescent="0.2">
      <c r="A172">
        <v>508</v>
      </c>
      <c r="B172" t="s">
        <v>279</v>
      </c>
      <c r="C172" t="s">
        <v>59</v>
      </c>
      <c r="D172" t="s">
        <v>23</v>
      </c>
      <c r="E172" t="s">
        <v>24</v>
      </c>
      <c r="F172" t="s">
        <v>27</v>
      </c>
      <c r="G172">
        <v>31</v>
      </c>
      <c r="H172" s="3">
        <v>46181</v>
      </c>
    </row>
    <row r="173" spans="1:8" ht="15" x14ac:dyDescent="0.2">
      <c r="A173">
        <v>1025</v>
      </c>
      <c r="B173" t="s">
        <v>280</v>
      </c>
      <c r="C173" t="s">
        <v>281</v>
      </c>
      <c r="D173" t="s">
        <v>23</v>
      </c>
      <c r="E173" t="s">
        <v>24</v>
      </c>
      <c r="F173" t="s">
        <v>35</v>
      </c>
      <c r="H173" s="3">
        <v>46181</v>
      </c>
    </row>
    <row r="174" spans="1:8" ht="15" x14ac:dyDescent="0.2">
      <c r="A174">
        <v>1024</v>
      </c>
      <c r="B174" t="s">
        <v>280</v>
      </c>
      <c r="C174" t="s">
        <v>282</v>
      </c>
      <c r="D174" t="s">
        <v>23</v>
      </c>
      <c r="E174" t="s">
        <v>24</v>
      </c>
      <c r="F174" t="s">
        <v>188</v>
      </c>
      <c r="H174" s="3">
        <v>46181</v>
      </c>
    </row>
    <row r="175" spans="1:8" ht="15" x14ac:dyDescent="0.2">
      <c r="A175">
        <v>1023</v>
      </c>
      <c r="B175" t="s">
        <v>280</v>
      </c>
      <c r="C175" t="s">
        <v>39</v>
      </c>
      <c r="D175" t="s">
        <v>23</v>
      </c>
      <c r="E175" t="s">
        <v>24</v>
      </c>
      <c r="F175" t="s">
        <v>25</v>
      </c>
      <c r="H175" s="3">
        <v>46181</v>
      </c>
    </row>
    <row r="176" spans="1:8" ht="15" x14ac:dyDescent="0.2">
      <c r="A176">
        <v>1232</v>
      </c>
      <c r="B176" t="s">
        <v>280</v>
      </c>
      <c r="C176" t="s">
        <v>283</v>
      </c>
      <c r="D176" t="s">
        <v>23</v>
      </c>
      <c r="E176" t="s">
        <v>30</v>
      </c>
      <c r="F176" t="s">
        <v>27</v>
      </c>
      <c r="G176">
        <v>4</v>
      </c>
      <c r="H176" s="3">
        <v>46181</v>
      </c>
    </row>
    <row r="177" spans="1:8" ht="15" x14ac:dyDescent="0.2">
      <c r="A177">
        <v>1392</v>
      </c>
      <c r="B177" t="s">
        <v>284</v>
      </c>
      <c r="C177" t="s">
        <v>285</v>
      </c>
      <c r="D177" t="s">
        <v>23</v>
      </c>
      <c r="E177" t="s">
        <v>30</v>
      </c>
      <c r="F177" t="s">
        <v>25</v>
      </c>
      <c r="H177" s="3">
        <v>46181</v>
      </c>
    </row>
    <row r="178" spans="1:8" ht="15" x14ac:dyDescent="0.2">
      <c r="A178">
        <v>1141</v>
      </c>
      <c r="B178" t="s">
        <v>286</v>
      </c>
      <c r="C178" t="s">
        <v>287</v>
      </c>
      <c r="D178" t="s">
        <v>23</v>
      </c>
      <c r="E178" t="s">
        <v>30</v>
      </c>
      <c r="F178" t="s">
        <v>27</v>
      </c>
      <c r="G178">
        <v>15</v>
      </c>
      <c r="H178" s="3">
        <v>46181</v>
      </c>
    </row>
    <row r="179" spans="1:8" ht="15" x14ac:dyDescent="0.2">
      <c r="A179">
        <v>891</v>
      </c>
      <c r="B179" t="s">
        <v>288</v>
      </c>
      <c r="C179" t="s">
        <v>289</v>
      </c>
      <c r="D179" t="s">
        <v>23</v>
      </c>
      <c r="E179" t="s">
        <v>30</v>
      </c>
      <c r="F179" t="s">
        <v>25</v>
      </c>
      <c r="H179" s="3">
        <v>46181</v>
      </c>
    </row>
    <row r="180" spans="1:8" ht="15" x14ac:dyDescent="0.2">
      <c r="A180">
        <v>1352</v>
      </c>
      <c r="B180" t="s">
        <v>290</v>
      </c>
      <c r="C180" t="s">
        <v>34</v>
      </c>
      <c r="D180" t="s">
        <v>23</v>
      </c>
      <c r="E180" t="s">
        <v>24</v>
      </c>
      <c r="F180" t="s">
        <v>27</v>
      </c>
      <c r="G180">
        <v>11</v>
      </c>
      <c r="H180" s="3">
        <v>46181</v>
      </c>
    </row>
    <row r="181" spans="1:8" ht="15" x14ac:dyDescent="0.2">
      <c r="A181">
        <v>1339</v>
      </c>
      <c r="B181" t="s">
        <v>291</v>
      </c>
      <c r="C181" t="s">
        <v>292</v>
      </c>
      <c r="D181" t="s">
        <v>23</v>
      </c>
      <c r="E181" t="s">
        <v>24</v>
      </c>
      <c r="F181" t="s">
        <v>25</v>
      </c>
      <c r="H181" s="3">
        <v>46181</v>
      </c>
    </row>
    <row r="182" spans="1:8" ht="15" x14ac:dyDescent="0.2">
      <c r="A182">
        <v>914</v>
      </c>
      <c r="B182" t="s">
        <v>293</v>
      </c>
      <c r="C182" t="s">
        <v>153</v>
      </c>
      <c r="D182" t="s">
        <v>23</v>
      </c>
      <c r="E182" t="s">
        <v>24</v>
      </c>
      <c r="F182" t="s">
        <v>27</v>
      </c>
      <c r="G182">
        <v>14</v>
      </c>
      <c r="H182" s="3">
        <v>46181</v>
      </c>
    </row>
    <row r="183" spans="1:8" ht="15" x14ac:dyDescent="0.2">
      <c r="A183">
        <v>597</v>
      </c>
      <c r="B183" t="s">
        <v>294</v>
      </c>
      <c r="C183" t="s">
        <v>295</v>
      </c>
      <c r="D183" t="s">
        <v>23</v>
      </c>
      <c r="E183" t="s">
        <v>24</v>
      </c>
      <c r="F183" t="s">
        <v>27</v>
      </c>
      <c r="G183">
        <v>36</v>
      </c>
      <c r="H183" s="3">
        <v>46181</v>
      </c>
    </row>
    <row r="184" spans="1:8" ht="15" x14ac:dyDescent="0.2">
      <c r="A184">
        <v>1038</v>
      </c>
      <c r="B184" t="s">
        <v>293</v>
      </c>
      <c r="C184" t="s">
        <v>51</v>
      </c>
      <c r="D184" t="s">
        <v>23</v>
      </c>
      <c r="E184" t="s">
        <v>24</v>
      </c>
      <c r="F184" t="s">
        <v>27</v>
      </c>
      <c r="G184">
        <v>12</v>
      </c>
      <c r="H184" s="3">
        <v>46181</v>
      </c>
    </row>
    <row r="185" spans="1:8" ht="15" x14ac:dyDescent="0.2">
      <c r="A185">
        <v>1347</v>
      </c>
      <c r="B185" t="s">
        <v>296</v>
      </c>
      <c r="C185" t="s">
        <v>104</v>
      </c>
      <c r="D185" t="s">
        <v>23</v>
      </c>
      <c r="E185" t="s">
        <v>24</v>
      </c>
      <c r="F185" t="s">
        <v>25</v>
      </c>
      <c r="H185" s="3">
        <v>46181</v>
      </c>
    </row>
    <row r="186" spans="1:8" ht="15" x14ac:dyDescent="0.2">
      <c r="A186">
        <v>1242</v>
      </c>
      <c r="B186" t="s">
        <v>297</v>
      </c>
      <c r="C186" t="s">
        <v>190</v>
      </c>
      <c r="D186" t="s">
        <v>23</v>
      </c>
      <c r="E186" t="s">
        <v>24</v>
      </c>
      <c r="F186" t="s">
        <v>27</v>
      </c>
      <c r="G186">
        <v>15</v>
      </c>
      <c r="H186" s="3">
        <v>46181</v>
      </c>
    </row>
    <row r="187" spans="1:8" ht="15" x14ac:dyDescent="0.2">
      <c r="A187">
        <v>1048</v>
      </c>
      <c r="B187" t="s">
        <v>298</v>
      </c>
      <c r="C187" t="s">
        <v>268</v>
      </c>
      <c r="D187" t="s">
        <v>23</v>
      </c>
      <c r="E187" t="s">
        <v>24</v>
      </c>
      <c r="F187" t="s">
        <v>27</v>
      </c>
      <c r="G187">
        <v>16</v>
      </c>
      <c r="H187" s="3">
        <v>46181</v>
      </c>
    </row>
    <row r="188" spans="1:8" ht="15" x14ac:dyDescent="0.2">
      <c r="A188">
        <v>1055</v>
      </c>
      <c r="B188" t="s">
        <v>298</v>
      </c>
      <c r="C188" t="s">
        <v>299</v>
      </c>
      <c r="D188" t="s">
        <v>23</v>
      </c>
      <c r="E188" t="s">
        <v>24</v>
      </c>
      <c r="F188" t="s">
        <v>27</v>
      </c>
      <c r="G188">
        <v>1</v>
      </c>
      <c r="H188" s="3">
        <v>46181</v>
      </c>
    </row>
    <row r="189" spans="1:8" ht="15" x14ac:dyDescent="0.2">
      <c r="A189">
        <v>1095</v>
      </c>
      <c r="B189" t="s">
        <v>298</v>
      </c>
      <c r="C189" t="s">
        <v>300</v>
      </c>
      <c r="D189" t="s">
        <v>23</v>
      </c>
      <c r="E189" t="s">
        <v>24</v>
      </c>
      <c r="F189" t="s">
        <v>27</v>
      </c>
      <c r="G189">
        <v>33</v>
      </c>
      <c r="H189" s="3">
        <v>46181</v>
      </c>
    </row>
    <row r="190" spans="1:8" ht="15" x14ac:dyDescent="0.2">
      <c r="A190">
        <v>820</v>
      </c>
      <c r="B190" t="s">
        <v>298</v>
      </c>
      <c r="C190" t="s">
        <v>139</v>
      </c>
      <c r="D190" t="s">
        <v>23</v>
      </c>
      <c r="E190" t="s">
        <v>30</v>
      </c>
      <c r="F190" t="s">
        <v>27</v>
      </c>
      <c r="G190">
        <v>6</v>
      </c>
      <c r="H190" s="3">
        <v>46181</v>
      </c>
    </row>
    <row r="191" spans="1:8" ht="15" x14ac:dyDescent="0.2">
      <c r="A191">
        <v>687</v>
      </c>
      <c r="B191" t="s">
        <v>298</v>
      </c>
      <c r="C191" t="s">
        <v>301</v>
      </c>
      <c r="D191" t="s">
        <v>23</v>
      </c>
      <c r="E191" t="s">
        <v>24</v>
      </c>
      <c r="F191" t="s">
        <v>27</v>
      </c>
      <c r="G191">
        <v>7</v>
      </c>
      <c r="H191" s="3">
        <v>46181</v>
      </c>
    </row>
    <row r="192" spans="1:8" ht="15" x14ac:dyDescent="0.2">
      <c r="A192">
        <v>1420</v>
      </c>
      <c r="B192" t="s">
        <v>302</v>
      </c>
      <c r="C192" t="s">
        <v>212</v>
      </c>
      <c r="D192" t="s">
        <v>23</v>
      </c>
      <c r="E192" t="s">
        <v>30</v>
      </c>
      <c r="F192" t="s">
        <v>27</v>
      </c>
      <c r="G192">
        <v>15</v>
      </c>
      <c r="H192" s="3">
        <v>46181</v>
      </c>
    </row>
    <row r="193" spans="1:8" ht="15" x14ac:dyDescent="0.2">
      <c r="A193">
        <v>1410</v>
      </c>
      <c r="B193" t="s">
        <v>104</v>
      </c>
      <c r="C193" t="s">
        <v>303</v>
      </c>
      <c r="D193" t="s">
        <v>23</v>
      </c>
      <c r="E193" t="s">
        <v>24</v>
      </c>
      <c r="F193" t="s">
        <v>25</v>
      </c>
      <c r="H193" s="3">
        <v>46181</v>
      </c>
    </row>
    <row r="194" spans="1:8" ht="15" x14ac:dyDescent="0.2">
      <c r="A194">
        <v>1161</v>
      </c>
      <c r="B194" t="s">
        <v>304</v>
      </c>
      <c r="C194" t="s">
        <v>305</v>
      </c>
      <c r="D194" t="s">
        <v>23</v>
      </c>
      <c r="E194" t="s">
        <v>24</v>
      </c>
      <c r="F194" t="s">
        <v>25</v>
      </c>
      <c r="H194" s="3">
        <v>46181</v>
      </c>
    </row>
    <row r="195" spans="1:8" ht="15" x14ac:dyDescent="0.2">
      <c r="A195">
        <v>890</v>
      </c>
      <c r="B195" t="s">
        <v>306</v>
      </c>
      <c r="C195" t="s">
        <v>307</v>
      </c>
      <c r="D195" t="s">
        <v>54</v>
      </c>
      <c r="E195" t="s">
        <v>24</v>
      </c>
      <c r="F195" t="s">
        <v>27</v>
      </c>
      <c r="G195">
        <v>23</v>
      </c>
      <c r="H195" s="3">
        <v>46181</v>
      </c>
    </row>
    <row r="196" spans="1:8" ht="15" x14ac:dyDescent="0.2">
      <c r="A196">
        <v>1166</v>
      </c>
      <c r="B196" t="s">
        <v>308</v>
      </c>
      <c r="C196" t="s">
        <v>143</v>
      </c>
      <c r="D196" t="s">
        <v>54</v>
      </c>
      <c r="E196" t="s">
        <v>24</v>
      </c>
      <c r="F196" t="s">
        <v>27</v>
      </c>
      <c r="G196">
        <v>5</v>
      </c>
      <c r="H196" s="3">
        <v>46181</v>
      </c>
    </row>
    <row r="197" spans="1:8" ht="15" x14ac:dyDescent="0.2">
      <c r="A197">
        <v>45</v>
      </c>
      <c r="B197" t="s">
        <v>309</v>
      </c>
      <c r="C197" t="s">
        <v>310</v>
      </c>
      <c r="D197" t="s">
        <v>23</v>
      </c>
      <c r="E197" t="s">
        <v>24</v>
      </c>
      <c r="F197" t="s">
        <v>27</v>
      </c>
      <c r="G197">
        <v>20</v>
      </c>
      <c r="H197" s="3">
        <v>46181</v>
      </c>
    </row>
    <row r="198" spans="1:8" ht="15" x14ac:dyDescent="0.2">
      <c r="A198">
        <v>1160</v>
      </c>
      <c r="B198" t="s">
        <v>311</v>
      </c>
      <c r="C198" t="s">
        <v>312</v>
      </c>
      <c r="D198" t="s">
        <v>23</v>
      </c>
      <c r="E198" t="s">
        <v>24</v>
      </c>
      <c r="F198" t="s">
        <v>25</v>
      </c>
      <c r="H198" s="3">
        <v>46181</v>
      </c>
    </row>
    <row r="199" spans="1:8" ht="15" x14ac:dyDescent="0.2">
      <c r="A199">
        <v>945</v>
      </c>
      <c r="B199" t="s">
        <v>313</v>
      </c>
      <c r="C199" t="s">
        <v>49</v>
      </c>
      <c r="D199" t="s">
        <v>23</v>
      </c>
      <c r="E199" t="s">
        <v>24</v>
      </c>
      <c r="F199" t="s">
        <v>25</v>
      </c>
      <c r="H199" s="3">
        <v>46181</v>
      </c>
    </row>
    <row r="200" spans="1:8" ht="15" x14ac:dyDescent="0.2">
      <c r="A200">
        <v>813</v>
      </c>
      <c r="B200" t="s">
        <v>313</v>
      </c>
      <c r="C200" t="s">
        <v>289</v>
      </c>
      <c r="D200" t="s">
        <v>23</v>
      </c>
      <c r="E200" t="s">
        <v>30</v>
      </c>
      <c r="F200" t="s">
        <v>27</v>
      </c>
      <c r="G200">
        <v>7</v>
      </c>
      <c r="H200" s="3">
        <v>46181</v>
      </c>
    </row>
    <row r="201" spans="1:8" ht="15" x14ac:dyDescent="0.2">
      <c r="A201">
        <v>812</v>
      </c>
      <c r="B201" t="s">
        <v>313</v>
      </c>
      <c r="C201" t="s">
        <v>170</v>
      </c>
      <c r="D201" t="s">
        <v>23</v>
      </c>
      <c r="E201" t="s">
        <v>24</v>
      </c>
      <c r="F201" t="s">
        <v>27</v>
      </c>
      <c r="G201">
        <v>9</v>
      </c>
      <c r="H201" s="3">
        <v>46181</v>
      </c>
    </row>
    <row r="202" spans="1:8" ht="15" x14ac:dyDescent="0.2">
      <c r="A202">
        <v>1129</v>
      </c>
      <c r="B202" t="s">
        <v>314</v>
      </c>
      <c r="C202" t="s">
        <v>315</v>
      </c>
      <c r="D202" t="s">
        <v>23</v>
      </c>
      <c r="E202" t="s">
        <v>24</v>
      </c>
      <c r="F202" t="s">
        <v>27</v>
      </c>
      <c r="G202">
        <v>12</v>
      </c>
      <c r="H202" s="3">
        <v>46181</v>
      </c>
    </row>
    <row r="203" spans="1:8" ht="15" x14ac:dyDescent="0.2">
      <c r="A203">
        <v>915</v>
      </c>
      <c r="B203" t="s">
        <v>316</v>
      </c>
      <c r="C203" t="s">
        <v>241</v>
      </c>
      <c r="D203" t="s">
        <v>23</v>
      </c>
      <c r="E203" t="s">
        <v>24</v>
      </c>
      <c r="F203" t="s">
        <v>27</v>
      </c>
      <c r="G203">
        <v>8</v>
      </c>
      <c r="H203" s="3">
        <v>46181</v>
      </c>
    </row>
    <row r="204" spans="1:8" ht="15" x14ac:dyDescent="0.2">
      <c r="A204">
        <v>1356</v>
      </c>
      <c r="B204" t="s">
        <v>317</v>
      </c>
      <c r="C204" t="s">
        <v>318</v>
      </c>
      <c r="D204" t="s">
        <v>54</v>
      </c>
      <c r="E204" t="s">
        <v>24</v>
      </c>
      <c r="F204" t="s">
        <v>27</v>
      </c>
      <c r="G204">
        <v>15</v>
      </c>
      <c r="H204" s="3">
        <v>46181</v>
      </c>
    </row>
    <row r="205" spans="1:8" ht="15" x14ac:dyDescent="0.2">
      <c r="A205">
        <v>1422</v>
      </c>
      <c r="B205" t="s">
        <v>319</v>
      </c>
      <c r="C205" t="s">
        <v>320</v>
      </c>
      <c r="D205" t="s">
        <v>54</v>
      </c>
      <c r="E205" t="s">
        <v>30</v>
      </c>
      <c r="F205" t="s">
        <v>25</v>
      </c>
      <c r="H205" s="3">
        <v>46181</v>
      </c>
    </row>
    <row r="206" spans="1:8" ht="15" x14ac:dyDescent="0.2">
      <c r="A206">
        <v>860</v>
      </c>
      <c r="B206" t="s">
        <v>321</v>
      </c>
      <c r="C206" t="s">
        <v>215</v>
      </c>
      <c r="D206" t="s">
        <v>23</v>
      </c>
      <c r="E206" t="s">
        <v>30</v>
      </c>
      <c r="F206" t="s">
        <v>25</v>
      </c>
      <c r="H206" s="3">
        <v>46181</v>
      </c>
    </row>
    <row r="207" spans="1:8" ht="15" x14ac:dyDescent="0.2">
      <c r="A207">
        <v>756</v>
      </c>
      <c r="B207" t="s">
        <v>321</v>
      </c>
      <c r="C207" t="s">
        <v>322</v>
      </c>
      <c r="D207" t="s">
        <v>23</v>
      </c>
      <c r="E207" t="s">
        <v>24</v>
      </c>
      <c r="F207" t="s">
        <v>25</v>
      </c>
      <c r="H207" s="3">
        <v>46181</v>
      </c>
    </row>
    <row r="208" spans="1:8" ht="15" x14ac:dyDescent="0.2">
      <c r="A208">
        <v>407</v>
      </c>
      <c r="B208" t="s">
        <v>321</v>
      </c>
      <c r="C208" t="s">
        <v>323</v>
      </c>
      <c r="D208" t="s">
        <v>23</v>
      </c>
      <c r="E208" t="s">
        <v>24</v>
      </c>
      <c r="F208" t="s">
        <v>27</v>
      </c>
      <c r="G208">
        <v>5</v>
      </c>
      <c r="H208" s="3">
        <v>46181</v>
      </c>
    </row>
    <row r="209" spans="1:8" ht="15" x14ac:dyDescent="0.2">
      <c r="A209">
        <v>1428</v>
      </c>
      <c r="B209" t="s">
        <v>324</v>
      </c>
      <c r="C209" t="s">
        <v>325</v>
      </c>
      <c r="D209" t="s">
        <v>23</v>
      </c>
      <c r="E209" t="s">
        <v>24</v>
      </c>
      <c r="F209" t="s">
        <v>35</v>
      </c>
      <c r="H209" s="3">
        <v>46181</v>
      </c>
    </row>
    <row r="210" spans="1:8" ht="15" x14ac:dyDescent="0.2">
      <c r="A210">
        <v>1423</v>
      </c>
      <c r="B210" t="s">
        <v>326</v>
      </c>
      <c r="C210" t="s">
        <v>83</v>
      </c>
      <c r="D210" t="s">
        <v>23</v>
      </c>
      <c r="E210" t="s">
        <v>24</v>
      </c>
      <c r="F210" t="s">
        <v>25</v>
      </c>
      <c r="H210" s="3">
        <v>46181</v>
      </c>
    </row>
    <row r="211" spans="1:8" ht="15" x14ac:dyDescent="0.2">
      <c r="A211">
        <v>1424</v>
      </c>
      <c r="B211" t="s">
        <v>326</v>
      </c>
      <c r="C211" t="s">
        <v>259</v>
      </c>
      <c r="D211" t="s">
        <v>23</v>
      </c>
      <c r="E211" t="s">
        <v>30</v>
      </c>
      <c r="F211" t="s">
        <v>25</v>
      </c>
      <c r="H211" s="3">
        <v>46181</v>
      </c>
    </row>
    <row r="212" spans="1:8" ht="15" x14ac:dyDescent="0.2">
      <c r="A212">
        <v>1425</v>
      </c>
      <c r="B212" t="s">
        <v>326</v>
      </c>
      <c r="C212" t="s">
        <v>327</v>
      </c>
      <c r="D212" t="s">
        <v>23</v>
      </c>
      <c r="E212" t="s">
        <v>24</v>
      </c>
      <c r="F212" t="s">
        <v>35</v>
      </c>
      <c r="H212" s="3">
        <v>46181</v>
      </c>
    </row>
    <row r="213" spans="1:8" ht="15" x14ac:dyDescent="0.2">
      <c r="A213">
        <v>1426</v>
      </c>
      <c r="B213" t="s">
        <v>326</v>
      </c>
      <c r="C213" t="s">
        <v>328</v>
      </c>
      <c r="D213" t="s">
        <v>23</v>
      </c>
      <c r="E213" t="s">
        <v>30</v>
      </c>
      <c r="F213" t="s">
        <v>35</v>
      </c>
      <c r="H213" s="3">
        <v>46181</v>
      </c>
    </row>
    <row r="214" spans="1:8" ht="15" x14ac:dyDescent="0.2">
      <c r="A214">
        <v>1312</v>
      </c>
      <c r="B214" t="s">
        <v>329</v>
      </c>
      <c r="C214" t="s">
        <v>287</v>
      </c>
      <c r="D214" t="s">
        <v>23</v>
      </c>
      <c r="E214" t="s">
        <v>30</v>
      </c>
      <c r="F214" t="s">
        <v>27</v>
      </c>
      <c r="G214">
        <v>35</v>
      </c>
      <c r="H214" s="3">
        <v>46181</v>
      </c>
    </row>
    <row r="215" spans="1:8" ht="15" x14ac:dyDescent="0.2">
      <c r="A215">
        <v>935</v>
      </c>
      <c r="B215" t="s">
        <v>330</v>
      </c>
      <c r="C215" t="s">
        <v>245</v>
      </c>
      <c r="D215" t="s">
        <v>23</v>
      </c>
      <c r="E215" t="s">
        <v>30</v>
      </c>
      <c r="F215" t="s">
        <v>25</v>
      </c>
      <c r="H215" s="3">
        <v>46181</v>
      </c>
    </row>
    <row r="216" spans="1:8" ht="15" x14ac:dyDescent="0.2">
      <c r="A216">
        <v>999</v>
      </c>
      <c r="B216" t="s">
        <v>330</v>
      </c>
      <c r="C216" t="s">
        <v>331</v>
      </c>
      <c r="D216" t="s">
        <v>23</v>
      </c>
      <c r="E216" t="s">
        <v>30</v>
      </c>
      <c r="F216" t="s">
        <v>25</v>
      </c>
      <c r="H216" s="3">
        <v>46181</v>
      </c>
    </row>
    <row r="217" spans="1:8" ht="15" x14ac:dyDescent="0.2">
      <c r="A217">
        <v>998</v>
      </c>
      <c r="B217" t="s">
        <v>330</v>
      </c>
      <c r="C217" t="s">
        <v>332</v>
      </c>
      <c r="D217" t="s">
        <v>23</v>
      </c>
      <c r="E217" t="s">
        <v>30</v>
      </c>
      <c r="F217" t="s">
        <v>27</v>
      </c>
      <c r="G217">
        <v>5</v>
      </c>
      <c r="H217" s="3">
        <v>46181</v>
      </c>
    </row>
    <row r="218" spans="1:8" ht="15" x14ac:dyDescent="0.2">
      <c r="A218">
        <v>616</v>
      </c>
      <c r="B218" t="s">
        <v>330</v>
      </c>
      <c r="C218" t="s">
        <v>41</v>
      </c>
      <c r="D218" t="s">
        <v>23</v>
      </c>
      <c r="E218" t="s">
        <v>24</v>
      </c>
      <c r="F218" t="s">
        <v>27</v>
      </c>
      <c r="G218">
        <v>7</v>
      </c>
      <c r="H218" s="3">
        <v>46181</v>
      </c>
    </row>
    <row r="219" spans="1:8" ht="15" x14ac:dyDescent="0.2">
      <c r="A219">
        <v>558</v>
      </c>
      <c r="B219" t="s">
        <v>333</v>
      </c>
      <c r="C219" t="s">
        <v>334</v>
      </c>
      <c r="D219" t="s">
        <v>23</v>
      </c>
      <c r="E219" t="s">
        <v>24</v>
      </c>
      <c r="F219" t="s">
        <v>27</v>
      </c>
      <c r="G219">
        <v>15</v>
      </c>
      <c r="H219" s="3">
        <v>46181</v>
      </c>
    </row>
    <row r="220" spans="1:8" ht="15" x14ac:dyDescent="0.2">
      <c r="A220">
        <v>991</v>
      </c>
      <c r="B220" t="s">
        <v>335</v>
      </c>
      <c r="C220" t="s">
        <v>184</v>
      </c>
      <c r="D220" t="s">
        <v>23</v>
      </c>
      <c r="E220" t="s">
        <v>30</v>
      </c>
      <c r="F220" t="s">
        <v>35</v>
      </c>
      <c r="H220" s="3">
        <v>46181</v>
      </c>
    </row>
    <row r="221" spans="1:8" ht="15" x14ac:dyDescent="0.2">
      <c r="A221">
        <v>359</v>
      </c>
      <c r="B221" t="s">
        <v>336</v>
      </c>
      <c r="C221" t="s">
        <v>26</v>
      </c>
      <c r="D221" t="s">
        <v>23</v>
      </c>
      <c r="E221" t="s">
        <v>24</v>
      </c>
      <c r="F221" t="s">
        <v>27</v>
      </c>
      <c r="G221">
        <v>24</v>
      </c>
      <c r="H221" s="3">
        <v>46181</v>
      </c>
    </row>
    <row r="222" spans="1:8" ht="15" x14ac:dyDescent="0.2">
      <c r="A222">
        <v>1310</v>
      </c>
      <c r="B222" t="s">
        <v>337</v>
      </c>
      <c r="C222" t="s">
        <v>311</v>
      </c>
      <c r="D222" t="s">
        <v>23</v>
      </c>
      <c r="E222" t="s">
        <v>24</v>
      </c>
      <c r="F222" t="s">
        <v>25</v>
      </c>
      <c r="H222" s="3">
        <v>46181</v>
      </c>
    </row>
    <row r="223" spans="1:8" ht="15" x14ac:dyDescent="0.2">
      <c r="A223">
        <v>1200</v>
      </c>
      <c r="B223" t="s">
        <v>338</v>
      </c>
      <c r="C223" t="s">
        <v>339</v>
      </c>
      <c r="D223" t="s">
        <v>23</v>
      </c>
      <c r="E223" t="s">
        <v>24</v>
      </c>
      <c r="F223" t="s">
        <v>27</v>
      </c>
      <c r="G223">
        <v>6</v>
      </c>
      <c r="H223" s="3">
        <v>46181</v>
      </c>
    </row>
    <row r="224" spans="1:8" ht="15" x14ac:dyDescent="0.2">
      <c r="A224">
        <v>1411</v>
      </c>
      <c r="B224" t="s">
        <v>338</v>
      </c>
      <c r="C224" t="s">
        <v>72</v>
      </c>
      <c r="D224" t="s">
        <v>23</v>
      </c>
      <c r="E224" t="s">
        <v>30</v>
      </c>
      <c r="F224" t="s">
        <v>27</v>
      </c>
      <c r="G224">
        <v>3</v>
      </c>
      <c r="H224" s="3">
        <v>46181</v>
      </c>
    </row>
    <row r="225" spans="1:8" ht="15" x14ac:dyDescent="0.2">
      <c r="A225">
        <v>1412</v>
      </c>
      <c r="B225" t="s">
        <v>338</v>
      </c>
      <c r="C225" t="s">
        <v>340</v>
      </c>
      <c r="D225" t="s">
        <v>23</v>
      </c>
      <c r="E225" t="s">
        <v>30</v>
      </c>
      <c r="F225" t="s">
        <v>188</v>
      </c>
      <c r="H225" s="3">
        <v>46181</v>
      </c>
    </row>
    <row r="226" spans="1:8" ht="15" x14ac:dyDescent="0.2">
      <c r="A226">
        <v>1413</v>
      </c>
      <c r="B226" t="s">
        <v>338</v>
      </c>
      <c r="C226" t="s">
        <v>214</v>
      </c>
      <c r="D226" t="s">
        <v>23</v>
      </c>
      <c r="E226" t="s">
        <v>24</v>
      </c>
      <c r="F226" t="s">
        <v>188</v>
      </c>
      <c r="H226" s="3">
        <v>46181</v>
      </c>
    </row>
    <row r="227" spans="1:8" ht="15" x14ac:dyDescent="0.2">
      <c r="A227">
        <v>1376</v>
      </c>
      <c r="B227" t="s">
        <v>192</v>
      </c>
      <c r="C227" t="s">
        <v>127</v>
      </c>
      <c r="D227" t="s">
        <v>23</v>
      </c>
      <c r="E227" t="s">
        <v>30</v>
      </c>
      <c r="F227" t="s">
        <v>25</v>
      </c>
      <c r="H227" s="3">
        <v>46181</v>
      </c>
    </row>
    <row r="228" spans="1:8" ht="15" x14ac:dyDescent="0.2">
      <c r="A228">
        <v>1140</v>
      </c>
      <c r="B228" t="s">
        <v>341</v>
      </c>
      <c r="C228" t="s">
        <v>243</v>
      </c>
      <c r="D228" t="s">
        <v>23</v>
      </c>
      <c r="E228" t="s">
        <v>24</v>
      </c>
      <c r="F228" t="s">
        <v>25</v>
      </c>
      <c r="H228" s="3">
        <v>46181</v>
      </c>
    </row>
    <row r="229" spans="1:8" ht="15" x14ac:dyDescent="0.2">
      <c r="A229">
        <v>989</v>
      </c>
      <c r="B229" t="s">
        <v>342</v>
      </c>
      <c r="C229" t="s">
        <v>343</v>
      </c>
      <c r="D229" t="s">
        <v>23</v>
      </c>
      <c r="E229" t="s">
        <v>24</v>
      </c>
      <c r="F229" t="s">
        <v>27</v>
      </c>
      <c r="G229">
        <v>3</v>
      </c>
      <c r="H229" s="3">
        <v>46181</v>
      </c>
    </row>
    <row r="230" spans="1:8" ht="15" x14ac:dyDescent="0.2">
      <c r="A230">
        <v>1417</v>
      </c>
      <c r="B230" t="s">
        <v>344</v>
      </c>
      <c r="C230" t="s">
        <v>345</v>
      </c>
      <c r="D230" t="s">
        <v>23</v>
      </c>
      <c r="E230" t="s">
        <v>30</v>
      </c>
      <c r="F230" t="s">
        <v>27</v>
      </c>
      <c r="G230">
        <v>17</v>
      </c>
      <c r="H230" s="3">
        <v>46181</v>
      </c>
    </row>
    <row r="231" spans="1:8" ht="15" x14ac:dyDescent="0.2">
      <c r="A231">
        <v>52</v>
      </c>
      <c r="B231" t="s">
        <v>346</v>
      </c>
      <c r="C231" t="s">
        <v>192</v>
      </c>
      <c r="D231" t="s">
        <v>23</v>
      </c>
      <c r="E231" t="s">
        <v>24</v>
      </c>
      <c r="F231" t="s">
        <v>25</v>
      </c>
      <c r="H231" s="3">
        <v>46181</v>
      </c>
    </row>
    <row r="232" spans="1:8" ht="15" x14ac:dyDescent="0.2">
      <c r="A232">
        <v>62</v>
      </c>
      <c r="B232" t="s">
        <v>344</v>
      </c>
      <c r="C232" t="s">
        <v>234</v>
      </c>
      <c r="D232" t="s">
        <v>23</v>
      </c>
      <c r="E232" t="s">
        <v>24</v>
      </c>
      <c r="F232" t="s">
        <v>27</v>
      </c>
      <c r="G232">
        <v>4</v>
      </c>
      <c r="H232" s="3">
        <v>46181</v>
      </c>
    </row>
    <row r="233" spans="1:8" ht="15" x14ac:dyDescent="0.2">
      <c r="A233">
        <v>930</v>
      </c>
      <c r="B233" t="s">
        <v>347</v>
      </c>
      <c r="C233" t="s">
        <v>348</v>
      </c>
      <c r="D233" t="s">
        <v>23</v>
      </c>
      <c r="E233" t="s">
        <v>30</v>
      </c>
      <c r="F233" t="s">
        <v>27</v>
      </c>
      <c r="G233">
        <v>6</v>
      </c>
      <c r="H233" s="3">
        <v>46181</v>
      </c>
    </row>
    <row r="234" spans="1:8" ht="15" x14ac:dyDescent="0.2">
      <c r="A234">
        <v>1254</v>
      </c>
      <c r="B234" t="s">
        <v>349</v>
      </c>
      <c r="C234" t="s">
        <v>51</v>
      </c>
      <c r="D234" t="s">
        <v>23</v>
      </c>
      <c r="E234" t="s">
        <v>24</v>
      </c>
      <c r="F234" t="s">
        <v>27</v>
      </c>
      <c r="G234">
        <v>21</v>
      </c>
      <c r="H234" s="3">
        <v>46181</v>
      </c>
    </row>
    <row r="235" spans="1:8" ht="15" x14ac:dyDescent="0.2">
      <c r="A235">
        <v>744</v>
      </c>
      <c r="B235" t="s">
        <v>350</v>
      </c>
      <c r="C235" t="s">
        <v>351</v>
      </c>
      <c r="D235" t="s">
        <v>23</v>
      </c>
      <c r="E235" t="s">
        <v>24</v>
      </c>
      <c r="F235" t="s">
        <v>27</v>
      </c>
      <c r="G235">
        <v>28</v>
      </c>
      <c r="H235" s="3">
        <v>46181</v>
      </c>
    </row>
    <row r="236" spans="1:8" ht="15" x14ac:dyDescent="0.2">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topLeftCell="M184" workbookViewId="0">
      <selection activeCell="B54" sqref="B54"/>
    </sheetView>
  </sheetViews>
  <sheetFormatPr defaultRowHeight="12.75" x14ac:dyDescent="0.15"/>
  <cols>
    <col min="2" max="2" width="18.47265625" bestFit="1" customWidth="1"/>
  </cols>
  <sheetData>
    <row r="1" spans="1:2" x14ac:dyDescent="0.15">
      <c r="A1" t="s">
        <v>354</v>
      </c>
      <c r="B1" t="s">
        <v>355</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982</v>
      </c>
      <c r="B12" t="str">
        <f>IF(A12="","",CONCATENATE(VLOOKUP(A12,Competitors!$A$2:$I$650,3,FALSE)," ",VLOOKUP(A12,Competitors!$A$2:$I$650,2,FALSE)))</f>
        <v>Steve Bacon</v>
      </c>
    </row>
    <row r="13" spans="1:2" x14ac:dyDescent="0.15">
      <c r="A13">
        <f>IF(ISNUMBER(Competitors!A13),Competitors!A13,"")</f>
        <v>1328</v>
      </c>
      <c r="B13" t="str">
        <f>IF(A13="","",CONCATENATE(VLOOKUP(A13,Competitors!$A$2:$I$650,3,FALSE)," ",VLOOKUP(A13,Competitors!$A$2:$I$650,2,FALSE)))</f>
        <v>Shaun Bailey</v>
      </c>
    </row>
    <row r="14" spans="1:2" x14ac:dyDescent="0.15">
      <c r="A14">
        <f>IF(ISNUMBER(Competitors!A14),Competitors!A14,"")</f>
        <v>369</v>
      </c>
      <c r="B14" t="str">
        <f>IF(A14="","",CONCATENATE(VLOOKUP(A14,Competitors!$A$2:$I$650,3,FALSE)," ",VLOOKUP(A14,Competitors!$A$2:$I$650,2,FALSE)))</f>
        <v>Dean Barnett</v>
      </c>
    </row>
    <row r="15" spans="1:2" x14ac:dyDescent="0.15">
      <c r="A15">
        <f>IF(ISNUMBER(Competitors!A15),Competitors!A15,"")</f>
        <v>7</v>
      </c>
      <c r="B15" t="str">
        <f>IF(A15="","",CONCATENATE(VLOOKUP(A15,Competitors!$A$2:$I$650,3,FALSE)," ",VLOOKUP(A15,Competitors!$A$2:$I$650,2,FALSE)))</f>
        <v>Vic Barnett</v>
      </c>
    </row>
    <row r="16" spans="1:2" x14ac:dyDescent="0.15">
      <c r="A16">
        <f>IF(ISNUMBER(Competitors!A16),Competitors!A16,"")</f>
        <v>473</v>
      </c>
      <c r="B16" t="str">
        <f>IF(A16="","",CONCATENATE(VLOOKUP(A16,Competitors!$A$2:$I$650,3,FALSE)," ",VLOOKUP(A16,Competitors!$A$2:$I$650,2,FALSE)))</f>
        <v>George Barnett</v>
      </c>
    </row>
    <row r="17" spans="1:2" x14ac:dyDescent="0.15">
      <c r="A17">
        <f>IF(ISNUMBER(Competitors!A17),Competitors!A17,"")</f>
        <v>1384</v>
      </c>
      <c r="B17" t="str">
        <f>IF(A17="","",CONCATENATE(VLOOKUP(A17,Competitors!$A$2:$I$650,3,FALSE)," ",VLOOKUP(A17,Competitors!$A$2:$I$650,2,FALSE)))</f>
        <v>Paul Barrett</v>
      </c>
    </row>
    <row r="18" spans="1:2" x14ac:dyDescent="0.15">
      <c r="A18">
        <f>IF(ISNUMBER(Competitors!A18),Competitors!A18,"")</f>
        <v>1348</v>
      </c>
      <c r="B18" t="str">
        <f>IF(A18="","",CONCATENATE(VLOOKUP(A18,Competitors!$A$2:$I$650,3,FALSE)," ",VLOOKUP(A18,Competitors!$A$2:$I$650,2,FALSE)))</f>
        <v>Lydia Baxter</v>
      </c>
    </row>
    <row r="19" spans="1:2" x14ac:dyDescent="0.15">
      <c r="A19">
        <f>IF(ISNUMBER(Competitors!A19),Competitors!A19,"")</f>
        <v>1275</v>
      </c>
      <c r="B19" t="str">
        <f>IF(A19="","",CONCATENATE(VLOOKUP(A19,Competitors!$A$2:$I$650,3,FALSE)," ",VLOOKUP(A19,Competitors!$A$2:$I$650,2,FALSE)))</f>
        <v>Sylvia Baxter</v>
      </c>
    </row>
    <row r="20" spans="1:2" x14ac:dyDescent="0.15">
      <c r="A20">
        <f>IF(ISNUMBER(Competitors!A20),Competitors!A20,"")</f>
        <v>68</v>
      </c>
      <c r="B20" t="str">
        <f>IF(A20="","",CONCATENATE(VLOOKUP(A20,Competitors!$A$2:$I$650,3,FALSE)," ",VLOOKUP(A20,Competitors!$A$2:$I$650,2,FALSE)))</f>
        <v>Ronald Beach</v>
      </c>
    </row>
    <row r="21" spans="1:2" x14ac:dyDescent="0.15">
      <c r="A21">
        <f>IF(ISNUMBER(Competitors!A21),Competitors!A21,"")</f>
        <v>1035</v>
      </c>
      <c r="B21" t="str">
        <f>IF(A21="","",CONCATENATE(VLOOKUP(A21,Competitors!$A$2:$I$650,3,FALSE)," ",VLOOKUP(A21,Competitors!$A$2:$I$650,2,FALSE)))</f>
        <v>Peter Bell</v>
      </c>
    </row>
    <row r="22" spans="1:2" x14ac:dyDescent="0.15">
      <c r="A22">
        <f>IF(ISNUMBER(Competitors!A22),Competitors!A22,"")</f>
        <v>1416</v>
      </c>
      <c r="B22" t="str">
        <f>IF(A22="","",CONCATENATE(VLOOKUP(A22,Competitors!$A$2:$I$650,3,FALSE)," ",VLOOKUP(A22,Competitors!$A$2:$I$650,2,FALSE)))</f>
        <v>Henry Bellamy</v>
      </c>
    </row>
    <row r="23" spans="1:2" x14ac:dyDescent="0.15">
      <c r="A23">
        <f>IF(ISNUMBER(Competitors!A23),Competitors!A23,"")</f>
        <v>1326</v>
      </c>
      <c r="B23" t="str">
        <f>IF(A23="","",CONCATENATE(VLOOKUP(A23,Competitors!$A$2:$I$650,3,FALSE)," ",VLOOKUP(A23,Competitors!$A$2:$I$650,2,FALSE)))</f>
        <v>Laoise Bennis</v>
      </c>
    </row>
    <row r="24" spans="1:2" x14ac:dyDescent="0.15">
      <c r="A24">
        <f>IF(ISNUMBER(Competitors!A24),Competitors!A24,"")</f>
        <v>477</v>
      </c>
      <c r="B24" t="str">
        <f>IF(A24="","",CONCATENATE(VLOOKUP(A24,Competitors!$A$2:$I$650,3,FALSE)," ",VLOOKUP(A24,Competitors!$A$2:$I$650,2,FALSE)))</f>
        <v>Carol Birch</v>
      </c>
    </row>
    <row r="25" spans="1:2" x14ac:dyDescent="0.15">
      <c r="A25">
        <f>IF(ISNUMBER(Competitors!A25),Competitors!A25,"")</f>
        <v>10</v>
      </c>
      <c r="B25" t="str">
        <f>IF(A25="","",CONCATENATE(VLOOKUP(A25,Competitors!$A$2:$I$650,3,FALSE)," ",VLOOKUP(A25,Competitors!$A$2:$I$650,2,FALSE)))</f>
        <v>Dave Birch</v>
      </c>
    </row>
    <row r="26" spans="1:2" x14ac:dyDescent="0.15">
      <c r="A26">
        <f>IF(ISNUMBER(Competitors!A26),Competitors!A26,"")</f>
        <v>1414</v>
      </c>
      <c r="B26" t="str">
        <f>IF(A26="","",CONCATENATE(VLOOKUP(A26,Competitors!$A$2:$I$650,3,FALSE)," ",VLOOKUP(A26,Competitors!$A$2:$I$650,2,FALSE)))</f>
        <v>Allen Boney</v>
      </c>
    </row>
    <row r="27" spans="1:2" x14ac:dyDescent="0.15">
      <c r="A27">
        <f>IF(ISNUMBER(Competitors!A27),Competitors!A27,"")</f>
        <v>1029</v>
      </c>
      <c r="B27" t="str">
        <f>IF(A27="","",CONCATENATE(VLOOKUP(A27,Competitors!$A$2:$I$650,3,FALSE)," ",VLOOKUP(A27,Competitors!$A$2:$I$650,2,FALSE)))</f>
        <v>Victor Bowie</v>
      </c>
    </row>
    <row r="28" spans="1:2" x14ac:dyDescent="0.15">
      <c r="A28">
        <f>IF(ISNUMBER(Competitors!A28),Competitors!A28,"")</f>
        <v>13</v>
      </c>
      <c r="B28" t="str">
        <f>IF(A28="","",CONCATENATE(VLOOKUP(A28,Competitors!$A$2:$I$650,3,FALSE)," ",VLOOKUP(A28,Competitors!$A$2:$I$650,2,FALSE)))</f>
        <v>Paul Bramford</v>
      </c>
    </row>
    <row r="29" spans="1:2" x14ac:dyDescent="0.15">
      <c r="A29">
        <f>IF(ISNUMBER(Competitors!A29),Competitors!A29,"")</f>
        <v>1255</v>
      </c>
      <c r="B29" t="str">
        <f>IF(A29="","",CONCATENATE(VLOOKUP(A29,Competitors!$A$2:$I$650,3,FALSE)," ",VLOOKUP(A29,Competitors!$A$2:$I$650,2,FALSE)))</f>
        <v>Anne Bridgstock</v>
      </c>
    </row>
    <row r="30" spans="1:2" x14ac:dyDescent="0.15">
      <c r="A30">
        <f>IF(ISNUMBER(Competitors!A30),Competitors!A30,"")</f>
        <v>1405</v>
      </c>
      <c r="B30" t="str">
        <f>IF(A30="","",CONCATENATE(VLOOKUP(A30,Competitors!$A$2:$I$650,3,FALSE)," ",VLOOKUP(A30,Competitors!$A$2:$I$650,2,FALSE)))</f>
        <v>Elise Brinkman</v>
      </c>
    </row>
    <row r="31" spans="1:2" x14ac:dyDescent="0.15">
      <c r="A31">
        <f>IF(ISNUMBER(Competitors!A31),Competitors!A31,"")</f>
        <v>1421</v>
      </c>
      <c r="B31" t="str">
        <f>IF(A31="","",CONCATENATE(VLOOKUP(A31,Competitors!$A$2:$I$650,3,FALSE)," ",VLOOKUP(A31,Competitors!$A$2:$I$650,2,FALSE)))</f>
        <v>Gill Brown</v>
      </c>
    </row>
    <row r="32" spans="1:2" x14ac:dyDescent="0.15">
      <c r="A32">
        <f>IF(ISNUMBER(Competitors!A32),Competitors!A32,"")</f>
        <v>1418</v>
      </c>
      <c r="B32" t="str">
        <f>IF(A32="","",CONCATENATE(VLOOKUP(A32,Competitors!$A$2:$I$650,3,FALSE)," ",VLOOKUP(A32,Competitors!$A$2:$I$650,2,FALSE)))</f>
        <v>James Brown</v>
      </c>
    </row>
    <row r="33" spans="1:2" x14ac:dyDescent="0.15">
      <c r="A33">
        <f>IF(ISNUMBER(Competitors!A33),Competitors!A33,"")</f>
        <v>919</v>
      </c>
      <c r="B33" t="str">
        <f>IF(A33="","",CONCATENATE(VLOOKUP(A33,Competitors!$A$2:$I$650,3,FALSE)," ",VLOOKUP(A33,Competitors!$A$2:$I$650,2,FALSE)))</f>
        <v>Paul Brundell</v>
      </c>
    </row>
    <row r="34" spans="1:2" x14ac:dyDescent="0.15">
      <c r="A34">
        <f>IF(ISNUMBER(Competitors!A34),Competitors!A34,"")</f>
        <v>1319</v>
      </c>
      <c r="B34" t="str">
        <f>IF(A34="","",CONCATENATE(VLOOKUP(A34,Competitors!$A$2:$I$650,3,FALSE)," ",VLOOKUP(A34,Competitors!$A$2:$I$650,2,FALSE)))</f>
        <v>Steve Burgess</v>
      </c>
    </row>
    <row r="35" spans="1:2" x14ac:dyDescent="0.15">
      <c r="A35">
        <f>IF(ISNUMBER(Competitors!A35),Competitors!A35,"")</f>
        <v>1389</v>
      </c>
      <c r="B35" t="str">
        <f>IF(A35="","",CONCATENATE(VLOOKUP(A35,Competitors!$A$2:$I$650,3,FALSE)," ",VLOOKUP(A35,Competitors!$A$2:$I$650,2,FALSE)))</f>
        <v>Billy Campbell</v>
      </c>
    </row>
    <row r="36" spans="1:2" x14ac:dyDescent="0.15">
      <c r="A36">
        <f>IF(ISNUMBER(Competitors!A36),Competitors!A36,"")</f>
        <v>940</v>
      </c>
      <c r="B36" t="str">
        <f>IF(A36="","",CONCATENATE(VLOOKUP(A36,Competitors!$A$2:$I$650,3,FALSE)," ",VLOOKUP(A36,Competitors!$A$2:$I$650,2,FALSE)))</f>
        <v>Alison Chapman</v>
      </c>
    </row>
    <row r="37" spans="1:2" x14ac:dyDescent="0.15">
      <c r="A37">
        <f>IF(ISNUMBER(Competitors!A37),Competitors!A37,"")</f>
        <v>806</v>
      </c>
      <c r="B37" t="str">
        <f>IF(A37="","",CONCATENATE(VLOOKUP(A37,Competitors!$A$2:$I$650,3,FALSE)," ",VLOOKUP(A37,Competitors!$A$2:$I$650,2,FALSE)))</f>
        <v>Mark Chapman</v>
      </c>
    </row>
    <row r="38" spans="1:2" x14ac:dyDescent="0.15">
      <c r="A38">
        <f>IF(ISNUMBER(Competitors!A38),Competitors!A38,"")</f>
        <v>482</v>
      </c>
      <c r="B38" t="str">
        <f>IF(A38="","",CONCATENATE(VLOOKUP(A38,Competitors!$A$2:$I$650,3,FALSE)," ",VLOOKUP(A38,Competitors!$A$2:$I$650,2,FALSE)))</f>
        <v>Nick Clarke</v>
      </c>
    </row>
    <row r="39" spans="1:2" x14ac:dyDescent="0.15">
      <c r="A39">
        <f>IF(ISNUMBER(Competitors!A39),Competitors!A39,"")</f>
        <v>674</v>
      </c>
      <c r="B39" t="str">
        <f>IF(A39="","",CONCATENATE(VLOOKUP(A39,Competitors!$A$2:$I$650,3,FALSE)," ",VLOOKUP(A39,Competitors!$A$2:$I$650,2,FALSE)))</f>
        <v>Jennifer Clegg</v>
      </c>
    </row>
    <row r="40" spans="1:2" x14ac:dyDescent="0.15">
      <c r="A40">
        <f>IF(ISNUMBER(Competitors!A40),Competitors!A40,"")</f>
        <v>1061</v>
      </c>
      <c r="B40" t="str">
        <f>IF(A40="","",CONCATENATE(VLOOKUP(A40,Competitors!$A$2:$I$650,3,FALSE)," ",VLOOKUP(A40,Competitors!$A$2:$I$650,2,FALSE)))</f>
        <v>Daryl Collis</v>
      </c>
    </row>
    <row r="41" spans="1:2" x14ac:dyDescent="0.15">
      <c r="A41">
        <f>IF(ISNUMBER(Competitors!A41),Competitors!A41,"")</f>
        <v>763</v>
      </c>
      <c r="B41" t="str">
        <f>IF(A41="","",CONCATENATE(VLOOKUP(A41,Competitors!$A$2:$I$650,3,FALSE)," ",VLOOKUP(A41,Competitors!$A$2:$I$650,2,FALSE)))</f>
        <v>Peter Condon</v>
      </c>
    </row>
    <row r="42" spans="1:2" x14ac:dyDescent="0.15">
      <c r="A42">
        <f>IF(ISNUMBER(Competitors!A42),Competitors!A42,"")</f>
        <v>1227</v>
      </c>
      <c r="B42" t="str">
        <f>IF(A42="","",CONCATENATE(VLOOKUP(A42,Competitors!$A$2:$I$650,3,FALSE)," ",VLOOKUP(A42,Competitors!$A$2:$I$650,2,FALSE)))</f>
        <v>Yvonne Copson</v>
      </c>
    </row>
    <row r="43" spans="1:2" x14ac:dyDescent="0.15">
      <c r="A43">
        <f>IF(ISNUMBER(Competitors!A43),Competitors!A43,"")</f>
        <v>715</v>
      </c>
      <c r="B43" t="str">
        <f>IF(A43="","",CONCATENATE(VLOOKUP(A43,Competitors!$A$2:$I$650,3,FALSE)," ",VLOOKUP(A43,Competitors!$A$2:$I$650,2,FALSE)))</f>
        <v>Steven Coulam</v>
      </c>
    </row>
    <row r="44" spans="1:2" x14ac:dyDescent="0.15">
      <c r="A44">
        <f>IF(ISNUMBER(Competitors!A44),Competitors!A44,"")</f>
        <v>567</v>
      </c>
      <c r="B44" t="str">
        <f>IF(A44="","",CONCATENATE(VLOOKUP(A44,Competitors!$A$2:$I$650,3,FALSE)," ",VLOOKUP(A44,Competitors!$A$2:$I$650,2,FALSE)))</f>
        <v>Lawrence Cox</v>
      </c>
    </row>
    <row r="45" spans="1:2" x14ac:dyDescent="0.15">
      <c r="A45">
        <f>IF(ISNUMBER(Competitors!A45),Competitors!A45,"")</f>
        <v>1391</v>
      </c>
      <c r="B45" t="str">
        <f>IF(A45="","",CONCATENATE(VLOOKUP(A45,Competitors!$A$2:$I$650,3,FALSE)," ",VLOOKUP(A45,Competitors!$A$2:$I$650,2,FALSE)))</f>
        <v>Leah Cuthbertson</v>
      </c>
    </row>
    <row r="46" spans="1:2" x14ac:dyDescent="0.15">
      <c r="A46">
        <f>IF(ISNUMBER(Competitors!A46),Competitors!A46,"")</f>
        <v>704</v>
      </c>
      <c r="B46" t="str">
        <f>IF(A46="","",CONCATENATE(VLOOKUP(A46,Competitors!$A$2:$I$650,3,FALSE)," ",VLOOKUP(A46,Competitors!$A$2:$I$650,2,FALSE)))</f>
        <v>Chris Dainty</v>
      </c>
    </row>
    <row r="47" spans="1:2" x14ac:dyDescent="0.15">
      <c r="A47">
        <f>IF(ISNUMBER(Competitors!A47),Competitors!A47,"")</f>
        <v>1283</v>
      </c>
      <c r="B47" t="str">
        <f>IF(A47="","",CONCATENATE(VLOOKUP(A47,Competitors!$A$2:$I$650,3,FALSE)," ",VLOOKUP(A47,Competitors!$A$2:$I$650,2,FALSE)))</f>
        <v>Martin Dare</v>
      </c>
    </row>
    <row r="48" spans="1:2" x14ac:dyDescent="0.15">
      <c r="A48">
        <f>IF(ISNUMBER(Competitors!A48),Competitors!A48,"")</f>
        <v>295</v>
      </c>
      <c r="B48" t="str">
        <f>IF(A48="","",CONCATENATE(VLOOKUP(A48,Competitors!$A$2:$I$650,3,FALSE)," ",VLOOKUP(A48,Competitors!$A$2:$I$650,2,FALSE)))</f>
        <v>Stuart Dawkins</v>
      </c>
    </row>
    <row r="49" spans="1:2" x14ac:dyDescent="0.15">
      <c r="A49">
        <f>IF(ISNUMBER(Competitors!A49),Competitors!A49,"")</f>
        <v>1226</v>
      </c>
      <c r="B49" t="str">
        <f>IF(A49="","",CONCATENATE(VLOOKUP(A49,Competitors!$A$2:$I$650,3,FALSE)," ",VLOOKUP(A49,Competitors!$A$2:$I$650,2,FALSE)))</f>
        <v>Navpreet Dhillon</v>
      </c>
    </row>
    <row r="50" spans="1:2" x14ac:dyDescent="0.15">
      <c r="A50">
        <f>IF(ISNUMBER(Competitors!A50),Competitors!A50,"")</f>
        <v>1333</v>
      </c>
      <c r="B50" t="str">
        <f>IF(A50="","",CONCATENATE(VLOOKUP(A50,Competitors!$A$2:$I$650,3,FALSE)," ",VLOOKUP(A50,Competitors!$A$2:$I$650,2,FALSE)))</f>
        <v>Graham Dickens</v>
      </c>
    </row>
    <row r="51" spans="1:2" x14ac:dyDescent="0.15">
      <c r="A51">
        <f>IF(ISNUMBER(Competitors!A51),Competitors!A51,"")</f>
        <v>1185</v>
      </c>
      <c r="B51" t="str">
        <f>IF(A51="","",CONCATENATE(VLOOKUP(A51,Competitors!$A$2:$I$650,3,FALSE)," ",VLOOKUP(A51,Competitors!$A$2:$I$650,2,FALSE)))</f>
        <v>Isabelle Dixey</v>
      </c>
    </row>
    <row r="52" spans="1:2" x14ac:dyDescent="0.15">
      <c r="A52">
        <f>IF(ISNUMBER(Competitors!A52),Competitors!A52,"")</f>
        <v>1065</v>
      </c>
      <c r="B52" t="str">
        <f>IF(A52="","",CONCATENATE(VLOOKUP(A52,Competitors!$A$2:$I$650,3,FALSE)," ",VLOOKUP(A52,Competitors!$A$2:$I$650,2,FALSE)))</f>
        <v>Simon Dixey</v>
      </c>
    </row>
    <row r="53" spans="1:2" x14ac:dyDescent="0.15">
      <c r="A53">
        <f>IF(ISNUMBER(Competitors!A53),Competitors!A53,"")</f>
        <v>1407</v>
      </c>
      <c r="B53" t="str">
        <f>IF(A53="","",CONCATENATE(VLOOKUP(A53,Competitors!$A$2:$I$650,3,FALSE)," ",VLOOKUP(A53,Competitors!$A$2:$I$650,2,FALSE)))</f>
        <v>Colin Dobson</v>
      </c>
    </row>
    <row r="54" spans="1:2" x14ac:dyDescent="0.15">
      <c r="A54">
        <f>IF(ISNUMBER(Competitors!A54),Competitors!A54,"")</f>
        <v>1096</v>
      </c>
      <c r="B54" t="str">
        <f>IF(A54="","",CONCATENATE(VLOOKUP(A54,Competitors!$A$2:$I$650,3,FALSE)," ",VLOOKUP(A54,Competitors!$A$2:$I$650,2,FALSE)))</f>
        <v>Nathan Durnin</v>
      </c>
    </row>
    <row r="55" spans="1:2" x14ac:dyDescent="0.15">
      <c r="A55">
        <f>IF(ISNUMBER(Competitors!A55),Competitors!A55,"")</f>
        <v>1236</v>
      </c>
      <c r="B55" t="str">
        <f>IF(A55="","",CONCATENATE(VLOOKUP(A55,Competitors!$A$2:$I$650,3,FALSE)," ",VLOOKUP(A55,Competitors!$A$2:$I$650,2,FALSE)))</f>
        <v>Clare Durnin</v>
      </c>
    </row>
    <row r="56" spans="1:2" x14ac:dyDescent="0.15">
      <c r="A56">
        <f>IF(ISNUMBER(Competitors!A56),Competitors!A56,"")</f>
        <v>699</v>
      </c>
      <c r="B56" t="str">
        <f>IF(A56="","",CONCATENATE(VLOOKUP(A56,Competitors!$A$2:$I$650,3,FALSE)," ",VLOOKUP(A56,Competitors!$A$2:$I$650,2,FALSE)))</f>
        <v>Jonathan Durnin</v>
      </c>
    </row>
    <row r="57" spans="1:2" x14ac:dyDescent="0.15">
      <c r="A57">
        <f>IF(ISNUMBER(Competitors!A57),Competitors!A57,"")</f>
        <v>1288</v>
      </c>
      <c r="B57" t="str">
        <f>IF(A57="","",CONCATENATE(VLOOKUP(A57,Competitors!$A$2:$I$650,3,FALSE)," ",VLOOKUP(A57,Competitors!$A$2:$I$650,2,FALSE)))</f>
        <v>Tyler Dyson</v>
      </c>
    </row>
    <row r="58" spans="1:2" x14ac:dyDescent="0.15">
      <c r="A58">
        <f>IF(ISNUMBER(Competitors!A58),Competitors!A58,"")</f>
        <v>1429</v>
      </c>
      <c r="B58" t="str">
        <f>IF(A58="","",CONCATENATE(VLOOKUP(A58,Competitors!$A$2:$I$650,3,FALSE)," ",VLOOKUP(A58,Competitors!$A$2:$I$650,2,FALSE)))</f>
        <v>Theo Dyson</v>
      </c>
    </row>
    <row r="59" spans="1:2" x14ac:dyDescent="0.15">
      <c r="A59">
        <f>IF(ISNUMBER(Competitors!A59),Competitors!A59,"")</f>
        <v>1000</v>
      </c>
      <c r="B59" t="str">
        <f>IF(A59="","",CONCATENATE(VLOOKUP(A59,Competitors!$A$2:$I$650,3,FALSE)," ",VLOOKUP(A59,Competitors!$A$2:$I$650,2,FALSE)))</f>
        <v>Ashley Easton</v>
      </c>
    </row>
    <row r="60" spans="1:2" x14ac:dyDescent="0.15">
      <c r="A60">
        <f>IF(ISNUMBER(Competitors!A60),Competitors!A60,"")</f>
        <v>1332</v>
      </c>
      <c r="B60" t="str">
        <f>IF(A60="","",CONCATENATE(VLOOKUP(A60,Competitors!$A$2:$I$650,3,FALSE)," ",VLOOKUP(A60,Competitors!$A$2:$I$650,2,FALSE)))</f>
        <v>Jo Eaton</v>
      </c>
    </row>
    <row r="61" spans="1:2" x14ac:dyDescent="0.15">
      <c r="A61">
        <f>IF(ISNUMBER(Competitors!A61),Competitors!A61,"")</f>
        <v>682</v>
      </c>
      <c r="B61" t="str">
        <f>IF(A61="","",CONCATENATE(VLOOKUP(A61,Competitors!$A$2:$I$650,3,FALSE)," ",VLOOKUP(A61,Competitors!$A$2:$I$650,2,FALSE)))</f>
        <v>Lee Edmonds</v>
      </c>
    </row>
    <row r="62" spans="1:2" x14ac:dyDescent="0.15">
      <c r="A62">
        <f>IF(ISNUMBER(Competitors!A62),Competitors!A62,"")</f>
        <v>1393</v>
      </c>
      <c r="B62" t="str">
        <f>IF(A62="","",CONCATENATE(VLOOKUP(A62,Competitors!$A$2:$I$650,3,FALSE)," ",VLOOKUP(A62,Competitors!$A$2:$I$650,2,FALSE)))</f>
        <v>Sally Ellis</v>
      </c>
    </row>
    <row r="63" spans="1:2" x14ac:dyDescent="0.15">
      <c r="A63">
        <f>IF(ISNUMBER(Competitors!A63),Competitors!A63,"")</f>
        <v>1355</v>
      </c>
      <c r="B63" t="str">
        <f>IF(A63="","",CONCATENATE(VLOOKUP(A63,Competitors!$A$2:$I$650,3,FALSE)," ",VLOOKUP(A63,Competitors!$A$2:$I$650,2,FALSE)))</f>
        <v>Aubrey Elmer</v>
      </c>
    </row>
    <row r="64" spans="1:2" x14ac:dyDescent="0.15">
      <c r="A64">
        <f>IF(ISNUMBER(Competitors!A64),Competitors!A64,"")</f>
        <v>1164</v>
      </c>
      <c r="B64" t="str">
        <f>IF(A64="","",CONCATENATE(VLOOKUP(A64,Competitors!$A$2:$I$650,3,FALSE)," ",VLOOKUP(A64,Competitors!$A$2:$I$650,2,FALSE)))</f>
        <v>Harriet Evans</v>
      </c>
    </row>
    <row r="65" spans="1:2" x14ac:dyDescent="0.15">
      <c r="A65">
        <f>IF(ISNUMBER(Competitors!A65),Competitors!A65,"")</f>
        <v>1062</v>
      </c>
      <c r="B65" t="str">
        <f>IF(A65="","",CONCATENATE(VLOOKUP(A65,Competitors!$A$2:$I$650,3,FALSE)," ",VLOOKUP(A65,Competitors!$A$2:$I$650,2,FALSE)))</f>
        <v>Mark Evans</v>
      </c>
    </row>
    <row r="66" spans="1:2" x14ac:dyDescent="0.15">
      <c r="A66">
        <f>IF(ISNUMBER(Competitors!A66),Competitors!A66,"")</f>
        <v>938</v>
      </c>
      <c r="B66" t="str">
        <f>IF(A66="","",CONCATENATE(VLOOKUP(A66,Competitors!$A$2:$I$650,3,FALSE)," ",VLOOKUP(A66,Competitors!$A$2:$I$650,2,FALSE)))</f>
        <v>Jane Evans</v>
      </c>
    </row>
    <row r="67" spans="1:2" x14ac:dyDescent="0.15">
      <c r="A67">
        <f>IF(ISNUMBER(Competitors!A67),Competitors!A67,"")</f>
        <v>1427</v>
      </c>
      <c r="B67" t="str">
        <f>IF(A67="","",CONCATENATE(VLOOKUP(A67,Competitors!$A$2:$I$650,3,FALSE)," ",VLOOKUP(A67,Competitors!$A$2:$I$650,2,FALSE)))</f>
        <v>Ruth Evans</v>
      </c>
    </row>
    <row r="68" spans="1:2" x14ac:dyDescent="0.15">
      <c r="A68">
        <f>IF(ISNUMBER(Competitors!A68),Competitors!A68,"")</f>
        <v>1034</v>
      </c>
      <c r="B68" t="str">
        <f>IF(A68="","",CONCATENATE(VLOOKUP(A68,Competitors!$A$2:$I$650,3,FALSE)," ",VLOOKUP(A68,Competitors!$A$2:$I$650,2,FALSE)))</f>
        <v>Mark Fiddy</v>
      </c>
    </row>
    <row r="69" spans="1:2" x14ac:dyDescent="0.15">
      <c r="A69">
        <f>IF(ISNUMBER(Competitors!A69),Competitors!A69,"")</f>
        <v>1402</v>
      </c>
      <c r="B69" t="str">
        <f>IF(A69="","",CONCATENATE(VLOOKUP(A69,Competitors!$A$2:$I$650,3,FALSE)," ",VLOOKUP(A69,Competitors!$A$2:$I$650,2,FALSE)))</f>
        <v>Neil Fisher</v>
      </c>
    </row>
    <row r="70" spans="1:2" x14ac:dyDescent="0.15">
      <c r="A70">
        <f>IF(ISNUMBER(Competitors!A70),Competitors!A70,"")</f>
        <v>939</v>
      </c>
      <c r="B70" t="str">
        <f>IF(A70="","",CONCATENATE(VLOOKUP(A70,Competitors!$A$2:$I$650,3,FALSE)," ",VLOOKUP(A70,Competitors!$A$2:$I$650,2,FALSE)))</f>
        <v>Sally Foreman</v>
      </c>
    </row>
    <row r="71" spans="1:2" x14ac:dyDescent="0.15">
      <c r="A71">
        <f>IF(ISNUMBER(Competitors!A71),Competitors!A71,"")</f>
        <v>1377</v>
      </c>
      <c r="B71" t="str">
        <f>IF(A71="","",CONCATENATE(VLOOKUP(A71,Competitors!$A$2:$I$650,3,FALSE)," ",VLOOKUP(A71,Competitors!$A$2:$I$650,2,FALSE)))</f>
        <v>Lucy Fraser</v>
      </c>
    </row>
    <row r="72" spans="1:2" x14ac:dyDescent="0.15">
      <c r="A72">
        <f>IF(ISNUMBER(Competitors!A72),Competitors!A72,"")</f>
        <v>1281</v>
      </c>
      <c r="B72" t="str">
        <f>IF(A72="","",CONCATENATE(VLOOKUP(A72,Competitors!$A$2:$I$650,3,FALSE)," ",VLOOKUP(A72,Competitors!$A$2:$I$650,2,FALSE)))</f>
        <v>Gerald Garner</v>
      </c>
    </row>
    <row r="73" spans="1:2" x14ac:dyDescent="0.15">
      <c r="A73">
        <f>IF(ISNUMBER(Competitors!A73),Competitors!A73,"")</f>
        <v>933</v>
      </c>
      <c r="B73" t="str">
        <f>IF(A73="","",CONCATENATE(VLOOKUP(A73,Competitors!$A$2:$I$650,3,FALSE)," ",VLOOKUP(A73,Competitors!$A$2:$I$650,2,FALSE)))</f>
        <v>Ed Grandidge</v>
      </c>
    </row>
    <row r="74" spans="1:2" x14ac:dyDescent="0.15">
      <c r="A74">
        <f>IF(ISNUMBER(Competitors!A74),Competitors!A74,"")</f>
        <v>1274</v>
      </c>
      <c r="B74" t="str">
        <f>IF(A74="","",CONCATENATE(VLOOKUP(A74,Competitors!$A$2:$I$650,3,FALSE)," ",VLOOKUP(A74,Competitors!$A$2:$I$650,2,FALSE)))</f>
        <v>Sophia Gowers</v>
      </c>
    </row>
    <row r="75" spans="1:2" x14ac:dyDescent="0.15">
      <c r="A75">
        <f>IF(ISNUMBER(Competitors!A75),Competitors!A75,"")</f>
        <v>493</v>
      </c>
      <c r="B75" t="str">
        <f>IF(A75="","",CONCATENATE(VLOOKUP(A75,Competitors!$A$2:$I$650,3,FALSE)," ",VLOOKUP(A75,Competitors!$A$2:$I$650,2,FALSE)))</f>
        <v>George Halls</v>
      </c>
    </row>
    <row r="76" spans="1:2" x14ac:dyDescent="0.15">
      <c r="A76">
        <f>IF(ISNUMBER(Competitors!A76),Competitors!A76,"")</f>
        <v>1279</v>
      </c>
      <c r="B76" t="str">
        <f>IF(A76="","",CONCATENATE(VLOOKUP(A76,Competitors!$A$2:$I$650,3,FALSE)," ",VLOOKUP(A76,Competitors!$A$2:$I$650,2,FALSE)))</f>
        <v>Jeffrey Hanner</v>
      </c>
    </row>
    <row r="77" spans="1:2" x14ac:dyDescent="0.15">
      <c r="A77">
        <f>IF(ISNUMBER(Competitors!A77),Competitors!A77,"")</f>
        <v>1193</v>
      </c>
      <c r="B77" t="str">
        <f>IF(A77="","",CONCATENATE(VLOOKUP(A77,Competitors!$A$2:$I$650,3,FALSE)," ",VLOOKUP(A77,Competitors!$A$2:$I$650,2,FALSE)))</f>
        <v>Richard Hardwicke</v>
      </c>
    </row>
    <row r="78" spans="1:2" x14ac:dyDescent="0.15">
      <c r="A78">
        <f>IF(ISNUMBER(Competitors!A78),Competitors!A78,"")</f>
        <v>1194</v>
      </c>
      <c r="B78" t="str">
        <f>IF(A78="","",CONCATENATE(VLOOKUP(A78,Competitors!$A$2:$I$650,3,FALSE)," ",VLOOKUP(A78,Competitors!$A$2:$I$650,2,FALSE)))</f>
        <v>Alex Hardwicke</v>
      </c>
    </row>
    <row r="79" spans="1:2" x14ac:dyDescent="0.15">
      <c r="A79">
        <f>IF(ISNUMBER(Competitors!A79),Competitors!A79,"")</f>
        <v>1196</v>
      </c>
      <c r="B79" t="str">
        <f>IF(A79="","",CONCATENATE(VLOOKUP(A79,Competitors!$A$2:$I$650,3,FALSE)," ",VLOOKUP(A79,Competitors!$A$2:$I$650,2,FALSE)))</f>
        <v>Daniel Hardwicke</v>
      </c>
    </row>
    <row r="80" spans="1:2" x14ac:dyDescent="0.15">
      <c r="A80">
        <f>IF(ISNUMBER(Competitors!A80),Competitors!A80,"")</f>
        <v>1195</v>
      </c>
      <c r="B80" t="str">
        <f>IF(A80="","",CONCATENATE(VLOOKUP(A80,Competitors!$A$2:$I$650,3,FALSE)," ",VLOOKUP(A80,Competitors!$A$2:$I$650,2,FALSE)))</f>
        <v>Charlie Hardwicke</v>
      </c>
    </row>
    <row r="81" spans="1:2" x14ac:dyDescent="0.15">
      <c r="A81">
        <f>IF(ISNUMBER(Competitors!A81),Competitors!A81,"")</f>
        <v>1176</v>
      </c>
      <c r="B81" t="str">
        <f>IF(A81="","",CONCATENATE(VLOOKUP(A81,Competitors!$A$2:$I$650,3,FALSE)," ",VLOOKUP(A81,Competitors!$A$2:$I$650,2,FALSE)))</f>
        <v>Rory Harrison</v>
      </c>
    </row>
    <row r="82" spans="1:2" x14ac:dyDescent="0.15">
      <c r="A82">
        <f>IF(ISNUMBER(Competitors!A82),Competitors!A82,"")</f>
        <v>1174</v>
      </c>
      <c r="B82" t="str">
        <f>IF(A82="","",CONCATENATE(VLOOKUP(A82,Competitors!$A$2:$I$650,3,FALSE)," ",VLOOKUP(A82,Competitors!$A$2:$I$650,2,FALSE)))</f>
        <v>Claire Harrison</v>
      </c>
    </row>
    <row r="83" spans="1:2" x14ac:dyDescent="0.15">
      <c r="A83">
        <f>IF(ISNUMBER(Competitors!A83),Competitors!A83,"")</f>
        <v>1175</v>
      </c>
      <c r="B83" t="str">
        <f>IF(A83="","",CONCATENATE(VLOOKUP(A83,Competitors!$A$2:$I$650,3,FALSE)," ",VLOOKUP(A83,Competitors!$A$2:$I$650,2,FALSE)))</f>
        <v>Richard Harrison</v>
      </c>
    </row>
    <row r="84" spans="1:2" x14ac:dyDescent="0.15">
      <c r="A84">
        <f>IF(ISNUMBER(Competitors!A84),Competitors!A84,"")</f>
        <v>1109</v>
      </c>
      <c r="B84" t="str">
        <f>IF(A84="","",CONCATENATE(VLOOKUP(A84,Competitors!$A$2:$I$650,3,FALSE)," ",VLOOKUP(A84,Competitors!$A$2:$I$650,2,FALSE)))</f>
        <v>Stuart Haycox</v>
      </c>
    </row>
    <row r="85" spans="1:2" x14ac:dyDescent="0.15">
      <c r="A85">
        <f>IF(ISNUMBER(Competitors!A85),Competitors!A85,"")</f>
        <v>1073</v>
      </c>
      <c r="B85" t="str">
        <f>IF(A85="","",CONCATENATE(VLOOKUP(A85,Competitors!$A$2:$I$650,3,FALSE)," ",VLOOKUP(A85,Competitors!$A$2:$I$650,2,FALSE)))</f>
        <v>Richard Heald</v>
      </c>
    </row>
    <row r="86" spans="1:2" x14ac:dyDescent="0.15">
      <c r="A86">
        <f>IF(ISNUMBER(Competitors!A86),Competitors!A86,"")</f>
        <v>1400</v>
      </c>
      <c r="B86" t="str">
        <f>IF(A86="","",CONCATENATE(VLOOKUP(A86,Competitors!$A$2:$I$650,3,FALSE)," ",VLOOKUP(A86,Competitors!$A$2:$I$650,2,FALSE)))</f>
        <v>Elgar Aguilar Hernandez</v>
      </c>
    </row>
    <row r="87" spans="1:2" x14ac:dyDescent="0.15">
      <c r="A87">
        <f>IF(ISNUMBER(Competitors!A87),Competitors!A87,"")</f>
        <v>1367</v>
      </c>
      <c r="B87" t="str">
        <f>IF(A87="","",CONCATENATE(VLOOKUP(A87,Competitors!$A$2:$I$650,3,FALSE)," ",VLOOKUP(A87,Competitors!$A$2:$I$650,2,FALSE)))</f>
        <v>Daniel Henderson</v>
      </c>
    </row>
    <row r="88" spans="1:2" x14ac:dyDescent="0.15">
      <c r="A88">
        <f>IF(ISNUMBER(Competitors!A88),Competitors!A88,"")</f>
        <v>1366</v>
      </c>
      <c r="B88" t="str">
        <f>IF(A88="","",CONCATENATE(VLOOKUP(A88,Competitors!$A$2:$I$650,3,FALSE)," ",VLOOKUP(A88,Competitors!$A$2:$I$650,2,FALSE)))</f>
        <v>Hannah Henderson</v>
      </c>
    </row>
    <row r="89" spans="1:2" x14ac:dyDescent="0.15">
      <c r="A89">
        <f>IF(ISNUMBER(Competitors!A89),Competitors!A89,"")</f>
        <v>1365</v>
      </c>
      <c r="B89" t="str">
        <f>IF(A89="","",CONCATENATE(VLOOKUP(A89,Competitors!$A$2:$I$650,3,FALSE)," ",VLOOKUP(A89,Competitors!$A$2:$I$650,2,FALSE)))</f>
        <v>Helen Henderson</v>
      </c>
    </row>
    <row r="90" spans="1:2" x14ac:dyDescent="0.15">
      <c r="A90">
        <f>IF(ISNUMBER(Competitors!A90),Competitors!A90,"")</f>
        <v>897</v>
      </c>
      <c r="B90" t="str">
        <f>IF(A90="","",CONCATENATE(VLOOKUP(A90,Competitors!$A$2:$I$650,3,FALSE)," ",VLOOKUP(A90,Competitors!$A$2:$I$650,2,FALSE)))</f>
        <v>Marc Henderson</v>
      </c>
    </row>
    <row r="91" spans="1:2" x14ac:dyDescent="0.15">
      <c r="A91">
        <f>IF(ISNUMBER(Competitors!A91),Competitors!A91,"")</f>
        <v>1308</v>
      </c>
      <c r="B91" t="str">
        <f>IF(A91="","",CONCATENATE(VLOOKUP(A91,Competitors!$A$2:$I$650,3,FALSE)," ",VLOOKUP(A91,Competitors!$A$2:$I$650,2,FALSE)))</f>
        <v>Alice Herring</v>
      </c>
    </row>
    <row r="92" spans="1:2" x14ac:dyDescent="0.15">
      <c r="A92">
        <f>IF(ISNUMBER(Competitors!A92),Competitors!A92,"")</f>
        <v>1206</v>
      </c>
      <c r="B92" t="str">
        <f>IF(A92="","",CONCATENATE(VLOOKUP(A92,Competitors!$A$2:$I$650,3,FALSE)," ",VLOOKUP(A92,Competitors!$A$2:$I$650,2,FALSE)))</f>
        <v>Joy Hill</v>
      </c>
    </row>
    <row r="93" spans="1:2" x14ac:dyDescent="0.15">
      <c r="A93">
        <f>IF(ISNUMBER(Competitors!A93),Competitors!A93,"")</f>
        <v>1205</v>
      </c>
      <c r="B93" t="str">
        <f>IF(A93="","",CONCATENATE(VLOOKUP(A93,Competitors!$A$2:$I$650,3,FALSE)," ",VLOOKUP(A93,Competitors!$A$2:$I$650,2,FALSE)))</f>
        <v>Dave Hill</v>
      </c>
    </row>
    <row r="94" spans="1:2" x14ac:dyDescent="0.15">
      <c r="A94">
        <f>IF(ISNUMBER(Competitors!A94),Competitors!A94,"")</f>
        <v>1406</v>
      </c>
      <c r="B94" t="str">
        <f>IF(A94="","",CONCATENATE(VLOOKUP(A94,Competitors!$A$2:$I$650,3,FALSE)," ",VLOOKUP(A94,Competitors!$A$2:$I$650,2,FALSE)))</f>
        <v>Gavin Hinxman</v>
      </c>
    </row>
    <row r="95" spans="1:2" x14ac:dyDescent="0.15">
      <c r="A95">
        <f>IF(ISNUMBER(Competitors!A95),Competitors!A95,"")</f>
        <v>1182</v>
      </c>
      <c r="B95" t="str">
        <f>IF(A95="","",CONCATENATE(VLOOKUP(A95,Competitors!$A$2:$I$650,3,FALSE)," ",VLOOKUP(A95,Competitors!$A$2:$I$650,2,FALSE)))</f>
        <v>Neil Holman</v>
      </c>
    </row>
    <row r="96" spans="1:2" x14ac:dyDescent="0.15">
      <c r="A96">
        <f>IF(ISNUMBER(Competitors!A96),Competitors!A96,"")</f>
        <v>1340</v>
      </c>
      <c r="B96" t="str">
        <f>IF(A96="","",CONCATENATE(VLOOKUP(A96,Competitors!$A$2:$I$650,3,FALSE)," ",VLOOKUP(A96,Competitors!$A$2:$I$650,2,FALSE)))</f>
        <v>Cristian Holmes</v>
      </c>
    </row>
    <row r="97" spans="1:2" x14ac:dyDescent="0.15">
      <c r="A97">
        <f>IF(ISNUMBER(Competitors!A97),Competitors!A97,"")</f>
        <v>21</v>
      </c>
      <c r="B97" t="str">
        <f>IF(A97="","",CONCATENATE(VLOOKUP(A97,Competitors!$A$2:$I$650,3,FALSE)," ",VLOOKUP(A97,Competitors!$A$2:$I$650,2,FALSE)))</f>
        <v>Wayne Holton</v>
      </c>
    </row>
    <row r="98" spans="1:2" x14ac:dyDescent="0.15">
      <c r="A98">
        <f>IF(ISNUMBER(Competitors!A98),Competitors!A98,"")</f>
        <v>1049</v>
      </c>
      <c r="B98" t="str">
        <f>IF(A98="","",CONCATENATE(VLOOKUP(A98,Competitors!$A$2:$I$650,3,FALSE)," ",VLOOKUP(A98,Competitors!$A$2:$I$650,2,FALSE)))</f>
        <v>Duncan Hopwood</v>
      </c>
    </row>
    <row r="99" spans="1:2" x14ac:dyDescent="0.15">
      <c r="A99">
        <f>IF(ISNUMBER(Competitors!A99),Competitors!A99,"")</f>
        <v>120</v>
      </c>
      <c r="B99" t="str">
        <f>IF(A99="","",CONCATENATE(VLOOKUP(A99,Competitors!$A$2:$I$650,3,FALSE)," ",VLOOKUP(A99,Competitors!$A$2:$I$650,2,FALSE)))</f>
        <v>Linda Hubbard</v>
      </c>
    </row>
    <row r="100" spans="1:2" x14ac:dyDescent="0.15">
      <c r="A100">
        <f>IF(ISNUMBER(Competitors!A100),Competitors!A100,"")</f>
        <v>990</v>
      </c>
      <c r="B100" t="str">
        <f>IF(A100="","",CONCATENATE(VLOOKUP(A100,Competitors!$A$2:$I$650,3,FALSE)," ",VLOOKUP(A100,Competitors!$A$2:$I$650,2,FALSE)))</f>
        <v>Jennifer Hulme</v>
      </c>
    </row>
    <row r="101" spans="1:2" x14ac:dyDescent="0.15">
      <c r="A101">
        <f>IF(ISNUMBER(Competitors!A101),Competitors!A101,"")</f>
        <v>1395</v>
      </c>
      <c r="B101" t="str">
        <f>IF(A101="","",CONCATENATE(VLOOKUP(A101,Competitors!$A$2:$I$650,3,FALSE)," ",VLOOKUP(A101,Competitors!$A$2:$I$650,2,FALSE)))</f>
        <v>Freya Human</v>
      </c>
    </row>
    <row r="102" spans="1:2" x14ac:dyDescent="0.15">
      <c r="A102">
        <f>IF(ISNUMBER(Competitors!A102),Competitors!A102,"")</f>
        <v>1158</v>
      </c>
      <c r="B102" t="str">
        <f>IF(A102="","",CONCATENATE(VLOOKUP(A102,Competitors!$A$2:$I$650,3,FALSE)," ",VLOOKUP(A102,Competitors!$A$2:$I$650,2,FALSE)))</f>
        <v>Eleanor Humphries</v>
      </c>
    </row>
    <row r="103" spans="1:2" x14ac:dyDescent="0.15">
      <c r="A103">
        <f>IF(ISNUMBER(Competitors!A103),Competitors!A103,"")</f>
        <v>23</v>
      </c>
      <c r="B103" t="str">
        <f>IF(A103="","",CONCATENATE(VLOOKUP(A103,Competitors!$A$2:$I$650,3,FALSE)," ",VLOOKUP(A103,Competitors!$A$2:$I$650,2,FALSE)))</f>
        <v>Chris Hyde</v>
      </c>
    </row>
    <row r="104" spans="1:2" x14ac:dyDescent="0.15">
      <c r="A104">
        <f>IF(ISNUMBER(Competitors!A104),Competitors!A104,"")</f>
        <v>1152</v>
      </c>
      <c r="B104" t="str">
        <f>IF(A104="","",CONCATENATE(VLOOKUP(A104,Competitors!$A$2:$I$650,3,FALSE)," ",VLOOKUP(A104,Competitors!$A$2:$I$650,2,FALSE)))</f>
        <v>Ruby Isaac</v>
      </c>
    </row>
    <row r="105" spans="1:2" x14ac:dyDescent="0.15">
      <c r="A105">
        <f>IF(ISNUMBER(Competitors!A105),Competitors!A105,"")</f>
        <v>581</v>
      </c>
      <c r="B105" t="str">
        <f>IF(A105="","",CONCATENATE(VLOOKUP(A105,Competitors!$A$2:$I$650,3,FALSE)," ",VLOOKUP(A105,Competitors!$A$2:$I$650,2,FALSE)))</f>
        <v>Mike Ives</v>
      </c>
    </row>
    <row r="106" spans="1:2" x14ac:dyDescent="0.15">
      <c r="A106">
        <f>IF(ISNUMBER(Competitors!A106),Competitors!A106,"")</f>
        <v>1374</v>
      </c>
      <c r="B106" t="str">
        <f>IF(A106="","",CONCATENATE(VLOOKUP(A106,Competitors!$A$2:$I$650,3,FALSE)," ",VLOOKUP(A106,Competitors!$A$2:$I$650,2,FALSE)))</f>
        <v>Will Jackson-Bream</v>
      </c>
    </row>
    <row r="107" spans="1:2" x14ac:dyDescent="0.15">
      <c r="A107">
        <f>IF(ISNUMBER(Competitors!A107),Competitors!A107,"")</f>
        <v>25</v>
      </c>
      <c r="B107" t="str">
        <f>IF(A107="","",CONCATENATE(VLOOKUP(A107,Competitors!$A$2:$I$650,3,FALSE)," ",VLOOKUP(A107,Competitors!$A$2:$I$650,2,FALSE)))</f>
        <v>Mitchell James</v>
      </c>
    </row>
    <row r="108" spans="1:2" x14ac:dyDescent="0.15">
      <c r="A108">
        <f>IF(ISNUMBER(Competitors!A108),Competitors!A108,"")</f>
        <v>1257</v>
      </c>
      <c r="B108" t="str">
        <f>IF(A108="","",CONCATENATE(VLOOKUP(A108,Competitors!$A$2:$I$650,3,FALSE)," ",VLOOKUP(A108,Competitors!$A$2:$I$650,2,FALSE)))</f>
        <v>Richard Kendrick</v>
      </c>
    </row>
    <row r="109" spans="1:2" x14ac:dyDescent="0.15">
      <c r="A109">
        <f>IF(ISNUMBER(Competitors!A109),Competitors!A109,"")</f>
        <v>415</v>
      </c>
      <c r="B109" t="str">
        <f>IF(A109="","",CONCATENATE(VLOOKUP(A109,Competitors!$A$2:$I$650,3,FALSE)," ",VLOOKUP(A109,Competitors!$A$2:$I$650,2,FALSE)))</f>
        <v>Nik Kershaw</v>
      </c>
    </row>
    <row r="110" spans="1:2" x14ac:dyDescent="0.15">
      <c r="A110">
        <f>IF(ISNUMBER(Competitors!A110),Competitors!A110,"")</f>
        <v>1144</v>
      </c>
      <c r="B110" t="str">
        <f>IF(A110="","",CONCATENATE(VLOOKUP(A110,Competitors!$A$2:$I$650,3,FALSE)," ",VLOOKUP(A110,Competitors!$A$2:$I$650,2,FALSE)))</f>
        <v>Jamie Kershaw</v>
      </c>
    </row>
    <row r="111" spans="1:2" x14ac:dyDescent="0.15">
      <c r="A111">
        <f>IF(ISNUMBER(Competitors!A111),Competitors!A111,"")</f>
        <v>1292</v>
      </c>
      <c r="B111" t="str">
        <f>IF(A111="","",CONCATENATE(VLOOKUP(A111,Competitors!$A$2:$I$650,3,FALSE)," ",VLOOKUP(A111,Competitors!$A$2:$I$650,2,FALSE)))</f>
        <v>Hazel Keys</v>
      </c>
    </row>
    <row r="112" spans="1:2" x14ac:dyDescent="0.15">
      <c r="A112">
        <f>IF(ISNUMBER(Competitors!A112),Competitors!A112,"")</f>
        <v>203</v>
      </c>
      <c r="B112" t="str">
        <f>IF(A112="","",CONCATENATE(VLOOKUP(A112,Competitors!$A$2:$I$650,3,FALSE)," ",VLOOKUP(A112,Competitors!$A$2:$I$650,2,FALSE)))</f>
        <v>Adrian Killworth</v>
      </c>
    </row>
    <row r="113" spans="1:2" x14ac:dyDescent="0.15">
      <c r="A113">
        <f>IF(ISNUMBER(Competitors!A113),Competitors!A113,"")</f>
        <v>956</v>
      </c>
      <c r="B113" t="str">
        <f>IF(A113="","",CONCATENATE(VLOOKUP(A113,Competitors!$A$2:$I$650,3,FALSE)," ",VLOOKUP(A113,Competitors!$A$2:$I$650,2,FALSE)))</f>
        <v>Steven King</v>
      </c>
    </row>
    <row r="114" spans="1:2" x14ac:dyDescent="0.15">
      <c r="A114">
        <f>IF(ISNUMBER(Competitors!A114),Competitors!A114,"")</f>
        <v>1273</v>
      </c>
      <c r="B114" t="str">
        <f>IF(A114="","",CONCATENATE(VLOOKUP(A114,Competitors!$A$2:$I$650,3,FALSE)," ",VLOOKUP(A114,Competitors!$A$2:$I$650,2,FALSE)))</f>
        <v>Ros Knight</v>
      </c>
    </row>
    <row r="115" spans="1:2" x14ac:dyDescent="0.15">
      <c r="A115">
        <f>IF(ISNUMBER(Competitors!A115),Competitors!A115,"")</f>
        <v>1272</v>
      </c>
      <c r="B115" t="str">
        <f>IF(A115="","",CONCATENATE(VLOOKUP(A115,Competitors!$A$2:$I$650,3,FALSE)," ",VLOOKUP(A115,Competitors!$A$2:$I$650,2,FALSE)))</f>
        <v>Tim Knight</v>
      </c>
    </row>
    <row r="116" spans="1:2" x14ac:dyDescent="0.15">
      <c r="A116">
        <f>IF(ISNUMBER(Competitors!A116),Competitors!A116,"")</f>
        <v>846</v>
      </c>
      <c r="B116" t="str">
        <f>IF(A116="","",CONCATENATE(VLOOKUP(A116,Competitors!$A$2:$I$650,3,FALSE)," ",VLOOKUP(A116,Competitors!$A$2:$I$650,2,FALSE)))</f>
        <v>Roger Kockelbergh</v>
      </c>
    </row>
    <row r="117" spans="1:2" x14ac:dyDescent="0.15">
      <c r="A117">
        <f>IF(ISNUMBER(Competitors!A117),Competitors!A117,"")</f>
        <v>1162</v>
      </c>
      <c r="B117" t="str">
        <f>IF(A117="","",CONCATENATE(VLOOKUP(A117,Competitors!$A$2:$I$650,3,FALSE)," ",VLOOKUP(A117,Competitors!$A$2:$I$650,2,FALSE)))</f>
        <v>Richard Krause</v>
      </c>
    </row>
    <row r="118" spans="1:2" x14ac:dyDescent="0.15">
      <c r="A118">
        <f>IF(ISNUMBER(Competitors!A118),Competitors!A118,"")</f>
        <v>1244</v>
      </c>
      <c r="B118" t="str">
        <f>IF(A118="","",CONCATENATE(VLOOKUP(A118,Competitors!$A$2:$I$650,3,FALSE)," ",VLOOKUP(A118,Competitors!$A$2:$I$650,2,FALSE)))</f>
        <v>Steven Latham</v>
      </c>
    </row>
    <row r="119" spans="1:2" x14ac:dyDescent="0.15">
      <c r="A119">
        <f>IF(ISNUMBER(Competitors!A119),Competitors!A119,"")</f>
        <v>1379</v>
      </c>
      <c r="B119" t="str">
        <f>IF(A119="","",CONCATENATE(VLOOKUP(A119,Competitors!$A$2:$I$650,3,FALSE)," ",VLOOKUP(A119,Competitors!$A$2:$I$650,2,FALSE)))</f>
        <v>Michaela Latham</v>
      </c>
    </row>
    <row r="120" spans="1:2" x14ac:dyDescent="0.15">
      <c r="A120">
        <f>IF(ISNUMBER(Competitors!A120),Competitors!A120,"")</f>
        <v>1362</v>
      </c>
      <c r="B120" t="str">
        <f>IF(A120="","",CONCATENATE(VLOOKUP(A120,Competitors!$A$2:$I$650,3,FALSE)," ",VLOOKUP(A120,Competitors!$A$2:$I$650,2,FALSE)))</f>
        <v>Paula Laws</v>
      </c>
    </row>
    <row r="121" spans="1:2" x14ac:dyDescent="0.15">
      <c r="A121">
        <f>IF(ISNUMBER(Competitors!A121),Competitors!A121,"")</f>
        <v>1403</v>
      </c>
      <c r="B121" t="str">
        <f>IF(A121="","",CONCATENATE(VLOOKUP(A121,Competitors!$A$2:$I$650,3,FALSE)," ",VLOOKUP(A121,Competitors!$A$2:$I$650,2,FALSE)))</f>
        <v>Toby Lenehan</v>
      </c>
    </row>
    <row r="122" spans="1:2" x14ac:dyDescent="0.15">
      <c r="A122">
        <f>IF(ISNUMBER(Competitors!A122),Competitors!A122,"")</f>
        <v>1404</v>
      </c>
      <c r="B122" t="str">
        <f>IF(A122="","",CONCATENATE(VLOOKUP(A122,Competitors!$A$2:$I$650,3,FALSE)," ",VLOOKUP(A122,Competitors!$A$2:$I$650,2,FALSE)))</f>
        <v>Millie Lenehan</v>
      </c>
    </row>
    <row r="123" spans="1:2" x14ac:dyDescent="0.15">
      <c r="A123">
        <f>IF(ISNUMBER(Competitors!A123),Competitors!A123,"")</f>
        <v>1229</v>
      </c>
      <c r="B123" t="str">
        <f>IF(A123="","",CONCATENATE(VLOOKUP(A123,Competitors!$A$2:$I$650,3,FALSE)," ",VLOOKUP(A123,Competitors!$A$2:$I$650,2,FALSE)))</f>
        <v>Kamila Leska</v>
      </c>
    </row>
    <row r="124" spans="1:2" x14ac:dyDescent="0.15">
      <c r="A124">
        <f>IF(ISNUMBER(Competitors!A124),Competitors!A124,"")</f>
        <v>1408</v>
      </c>
      <c r="B124" t="str">
        <f>IF(A124="","",CONCATENATE(VLOOKUP(A124,Competitors!$A$2:$I$650,3,FALSE)," ",VLOOKUP(A124,Competitors!$A$2:$I$650,2,FALSE)))</f>
        <v>Kim Lewington</v>
      </c>
    </row>
    <row r="125" spans="1:2" x14ac:dyDescent="0.15">
      <c r="A125">
        <f>IF(ISNUMBER(Competitors!A125),Competitors!A125,"")</f>
        <v>1409</v>
      </c>
      <c r="B125" t="str">
        <f>IF(A125="","",CONCATENATE(VLOOKUP(A125,Competitors!$A$2:$I$650,3,FALSE)," ",VLOOKUP(A125,Competitors!$A$2:$I$650,2,FALSE)))</f>
        <v>Lynette Lewington</v>
      </c>
    </row>
    <row r="126" spans="1:2" x14ac:dyDescent="0.15">
      <c r="A126">
        <f>IF(ISNUMBER(Competitors!A126),Competitors!A126,"")</f>
        <v>1198</v>
      </c>
      <c r="B126" t="str">
        <f>IF(A126="","",CONCATENATE(VLOOKUP(A126,Competitors!$A$2:$I$650,3,FALSE)," ",VLOOKUP(A126,Competitors!$A$2:$I$650,2,FALSE)))</f>
        <v>Anthony Liot</v>
      </c>
    </row>
    <row r="127" spans="1:2" x14ac:dyDescent="0.15">
      <c r="A127">
        <f>IF(ISNUMBER(Competitors!A127),Competitors!A127,"")</f>
        <v>1260</v>
      </c>
      <c r="B127" t="str">
        <f>IF(A127="","",CONCATENATE(VLOOKUP(A127,Competitors!$A$2:$I$650,3,FALSE)," ",VLOOKUP(A127,Competitors!$A$2:$I$650,2,FALSE)))</f>
        <v>Alison Lucas</v>
      </c>
    </row>
    <row r="128" spans="1:2" x14ac:dyDescent="0.15">
      <c r="A128">
        <f>IF(ISNUMBER(Competitors!A128),Competitors!A128,"")</f>
        <v>1361</v>
      </c>
      <c r="B128" t="str">
        <f>IF(A128="","",CONCATENATE(VLOOKUP(A128,Competitors!$A$2:$I$650,3,FALSE)," ",VLOOKUP(A128,Competitors!$A$2:$I$650,2,FALSE)))</f>
        <v>Bruce Main</v>
      </c>
    </row>
    <row r="129" spans="1:2" x14ac:dyDescent="0.15">
      <c r="A129">
        <f>IF(ISNUMBER(Competitors!A129),Competitors!A129,"")</f>
        <v>1100</v>
      </c>
      <c r="B129" t="str">
        <f>IF(A129="","",CONCATENATE(VLOOKUP(A129,Competitors!$A$2:$I$650,3,FALSE)," ",VLOOKUP(A129,Competitors!$A$2:$I$650,2,FALSE)))</f>
        <v>Ian Mansfield</v>
      </c>
    </row>
    <row r="130" spans="1:2" x14ac:dyDescent="0.15">
      <c r="A130">
        <f>IF(ISNUMBER(Competitors!A130),Competitors!A130,"")</f>
        <v>1385</v>
      </c>
      <c r="B130" t="str">
        <f>IF(A130="","",CONCATENATE(VLOOKUP(A130,Competitors!$A$2:$I$650,3,FALSE)," ",VLOOKUP(A130,Competitors!$A$2:$I$650,2,FALSE)))</f>
        <v>Miles Marr</v>
      </c>
    </row>
    <row r="131" spans="1:2" x14ac:dyDescent="0.15">
      <c r="A131">
        <f>IF(ISNUMBER(Competitors!A131),Competitors!A131,"")</f>
        <v>1394</v>
      </c>
      <c r="B131" t="str">
        <f>IF(A131="","",CONCATENATE(VLOOKUP(A131,Competitors!$A$2:$I$650,3,FALSE)," ",VLOOKUP(A131,Competitors!$A$2:$I$650,2,FALSE)))</f>
        <v>Noah Marr</v>
      </c>
    </row>
    <row r="132" spans="1:2" x14ac:dyDescent="0.15">
      <c r="A132">
        <f>IF(ISNUMBER(Competitors!A132),Competitors!A132,"")</f>
        <v>1419</v>
      </c>
      <c r="B132" t="str">
        <f>IF(A132="","",CONCATENATE(VLOOKUP(A132,Competitors!$A$2:$I$650,3,FALSE)," ",VLOOKUP(A132,Competitors!$A$2:$I$650,2,FALSE)))</f>
        <v>Ethan Marsh</v>
      </c>
    </row>
    <row r="133" spans="1:2" x14ac:dyDescent="0.15">
      <c r="A133">
        <f>IF(ISNUMBER(Competitors!A133),Competitors!A133,"")</f>
        <v>967</v>
      </c>
      <c r="B133" t="str">
        <f>IF(A133="","",CONCATENATE(VLOOKUP(A133,Competitors!$A$2:$I$650,3,FALSE)," ",VLOOKUP(A133,Competitors!$A$2:$I$650,2,FALSE)))</f>
        <v>Daniel McDonnell</v>
      </c>
    </row>
    <row r="134" spans="1:2" x14ac:dyDescent="0.15">
      <c r="A134">
        <f>IF(ISNUMBER(Competitors!A134),Competitors!A134,"")</f>
        <v>1373</v>
      </c>
      <c r="B134" t="str">
        <f>IF(A134="","",CONCATENATE(VLOOKUP(A134,Competitors!$A$2:$I$650,3,FALSE)," ",VLOOKUP(A134,Competitors!$A$2:$I$650,2,FALSE)))</f>
        <v>David McGraw</v>
      </c>
    </row>
    <row r="135" spans="1:2" x14ac:dyDescent="0.15">
      <c r="A135">
        <f>IF(ISNUMBER(Competitors!A135),Competitors!A135,"")</f>
        <v>1045</v>
      </c>
      <c r="B135" t="str">
        <f>IF(A135="","",CONCATENATE(VLOOKUP(A135,Competitors!$A$2:$I$650,3,FALSE)," ",VLOOKUP(A135,Competitors!$A$2:$I$650,2,FALSE)))</f>
        <v>Amanda McPherson</v>
      </c>
    </row>
    <row r="136" spans="1:2" x14ac:dyDescent="0.15">
      <c r="A136">
        <f>IF(ISNUMBER(Competitors!A136),Competitors!A136,"")</f>
        <v>1046</v>
      </c>
      <c r="B136" t="str">
        <f>IF(A136="","",CONCATENATE(VLOOKUP(A136,Competitors!$A$2:$I$650,3,FALSE)," ",VLOOKUP(A136,Competitors!$A$2:$I$650,2,FALSE)))</f>
        <v>Jim McPherson</v>
      </c>
    </row>
    <row r="137" spans="1:2" x14ac:dyDescent="0.15">
      <c r="A137">
        <f>IF(ISNUMBER(Competitors!A137),Competitors!A137,"")</f>
        <v>1396</v>
      </c>
      <c r="B137" t="str">
        <f>IF(A137="","",CONCATENATE(VLOOKUP(A137,Competitors!$A$2:$I$650,3,FALSE)," ",VLOOKUP(A137,Competitors!$A$2:$I$650,2,FALSE)))</f>
        <v>Peter Melville</v>
      </c>
    </row>
    <row r="138" spans="1:2" x14ac:dyDescent="0.15">
      <c r="A138">
        <f>IF(ISNUMBER(Competitors!A138),Competitors!A138,"")</f>
        <v>1397</v>
      </c>
      <c r="B138" t="str">
        <f>IF(A138="","",CONCATENATE(VLOOKUP(A138,Competitors!$A$2:$I$650,3,FALSE)," ",VLOOKUP(A138,Competitors!$A$2:$I$650,2,FALSE)))</f>
        <v>Rebecca Melville</v>
      </c>
    </row>
    <row r="139" spans="1:2" x14ac:dyDescent="0.15">
      <c r="A139">
        <f>IF(ISNUMBER(Competitors!A139),Competitors!A139,"")</f>
        <v>1398</v>
      </c>
      <c r="B139" t="str">
        <f>IF(A139="","",CONCATENATE(VLOOKUP(A139,Competitors!$A$2:$I$650,3,FALSE)," ",VLOOKUP(A139,Competitors!$A$2:$I$650,2,FALSE)))</f>
        <v>George Melville</v>
      </c>
    </row>
    <row r="140" spans="1:2" x14ac:dyDescent="0.15">
      <c r="A140">
        <f>IF(ISNUMBER(Competitors!A140),Competitors!A140,"")</f>
        <v>1399</v>
      </c>
      <c r="B140" t="str">
        <f>IF(A140="","",CONCATENATE(VLOOKUP(A140,Competitors!$A$2:$I$650,3,FALSE)," ",VLOOKUP(A140,Competitors!$A$2:$I$650,2,FALSE)))</f>
        <v>Harriet Melville</v>
      </c>
    </row>
    <row r="141" spans="1:2" x14ac:dyDescent="0.15">
      <c r="A141">
        <f>IF(ISNUMBER(Competitors!A141),Competitors!A141,"")</f>
        <v>771</v>
      </c>
      <c r="B141" t="str">
        <f>IF(A141="","",CONCATENATE(VLOOKUP(A141,Competitors!$A$2:$I$650,3,FALSE)," ",VLOOKUP(A141,Competitors!$A$2:$I$650,2,FALSE)))</f>
        <v>Julian Middleton</v>
      </c>
    </row>
    <row r="142" spans="1:2" x14ac:dyDescent="0.15">
      <c r="A142">
        <f>IF(ISNUMBER(Competitors!A142),Competitors!A142,"")</f>
        <v>1265</v>
      </c>
      <c r="B142" t="str">
        <f>IF(A142="","",CONCATENATE(VLOOKUP(A142,Competitors!$A$2:$I$650,3,FALSE)," ",VLOOKUP(A142,Competitors!$A$2:$I$650,2,FALSE)))</f>
        <v>Kevin Millard</v>
      </c>
    </row>
    <row r="143" spans="1:2" x14ac:dyDescent="0.15">
      <c r="A143">
        <f>IF(ISNUMBER(Competitors!A143),Competitors!A143,"")</f>
        <v>532</v>
      </c>
      <c r="B143" t="str">
        <f>IF(A143="","",CONCATENATE(VLOOKUP(A143,Competitors!$A$2:$I$650,3,FALSE)," ",VLOOKUP(A143,Competitors!$A$2:$I$650,2,FALSE)))</f>
        <v>Kevin Mills</v>
      </c>
    </row>
    <row r="144" spans="1:2" x14ac:dyDescent="0.15">
      <c r="A144">
        <f>IF(ISNUMBER(Competitors!A144),Competitors!A144,"")</f>
        <v>1388</v>
      </c>
      <c r="B144" t="str">
        <f>IF(A144="","",CONCATENATE(VLOOKUP(A144,Competitors!$A$2:$I$650,3,FALSE)," ",VLOOKUP(A144,Competitors!$A$2:$I$650,2,FALSE)))</f>
        <v>Sophie Mitchell</v>
      </c>
    </row>
    <row r="145" spans="1:2" x14ac:dyDescent="0.15">
      <c r="A145">
        <f>IF(ISNUMBER(Competitors!A145),Competitors!A145,"")</f>
        <v>742</v>
      </c>
      <c r="B145" t="str">
        <f>IF(A145="","",CONCATENATE(VLOOKUP(A145,Competitors!$A$2:$I$650,3,FALSE)," ",VLOOKUP(A145,Competitors!$A$2:$I$650,2,FALSE)))</f>
        <v>Claire Moore</v>
      </c>
    </row>
    <row r="146" spans="1:2" x14ac:dyDescent="0.15">
      <c r="A146">
        <f>IF(ISNUMBER(Competitors!A146),Competitors!A146,"")</f>
        <v>741</v>
      </c>
      <c r="B146" t="str">
        <f>IF(A146="","",CONCATENATE(VLOOKUP(A146,Competitors!$A$2:$I$650,3,FALSE)," ",VLOOKUP(A146,Competitors!$A$2:$I$650,2,FALSE)))</f>
        <v>Rob Moore</v>
      </c>
    </row>
    <row r="147" spans="1:2" x14ac:dyDescent="0.15">
      <c r="A147">
        <f>IF(ISNUMBER(Competitors!A147),Competitors!A147,"")</f>
        <v>1298</v>
      </c>
      <c r="B147" t="str">
        <f>IF(A147="","",CONCATENATE(VLOOKUP(A147,Competitors!$A$2:$I$650,3,FALSE)," ",VLOOKUP(A147,Competitors!$A$2:$I$650,2,FALSE)))</f>
        <v>Jane Moore</v>
      </c>
    </row>
    <row r="148" spans="1:2" x14ac:dyDescent="0.15">
      <c r="A148">
        <f>IF(ISNUMBER(Competitors!A148),Competitors!A148,"")</f>
        <v>747</v>
      </c>
      <c r="B148" t="str">
        <f>IF(A148="","",CONCATENATE(VLOOKUP(A148,Competitors!$A$2:$I$650,3,FALSE)," ",VLOOKUP(A148,Competitors!$A$2:$I$650,2,FALSE)))</f>
        <v>James Moore</v>
      </c>
    </row>
    <row r="149" spans="1:2" x14ac:dyDescent="0.15">
      <c r="A149">
        <f>IF(ISNUMBER(Competitors!A149),Competitors!A149,"")</f>
        <v>1386</v>
      </c>
      <c r="B149" t="str">
        <f>IF(A149="","",CONCATENATE(VLOOKUP(A149,Competitors!$A$2:$I$650,3,FALSE)," ",VLOOKUP(A149,Competitors!$A$2:$I$650,2,FALSE)))</f>
        <v>Mea Moore</v>
      </c>
    </row>
    <row r="150" spans="1:2" x14ac:dyDescent="0.15">
      <c r="A150">
        <f>IF(ISNUMBER(Competitors!A150),Competitors!A150,"")</f>
        <v>1221</v>
      </c>
      <c r="B150" t="str">
        <f>IF(A150="","",CONCATENATE(VLOOKUP(A150,Competitors!$A$2:$I$650,3,FALSE)," ",VLOOKUP(A150,Competitors!$A$2:$I$650,2,FALSE)))</f>
        <v>David Morgan</v>
      </c>
    </row>
    <row r="151" spans="1:2" x14ac:dyDescent="0.15">
      <c r="A151">
        <f>IF(ISNUMBER(Competitors!A151),Competitors!A151,"")</f>
        <v>564</v>
      </c>
      <c r="B151" t="str">
        <f>IF(A151="","",CONCATENATE(VLOOKUP(A151,Competitors!$A$2:$I$650,3,FALSE)," ",VLOOKUP(A151,Competitors!$A$2:$I$650,2,FALSE)))</f>
        <v>Ian Murdey</v>
      </c>
    </row>
    <row r="152" spans="1:2" x14ac:dyDescent="0.15">
      <c r="A152">
        <f>IF(ISNUMBER(Competitors!A152),Competitors!A152,"")</f>
        <v>1165</v>
      </c>
      <c r="B152" t="str">
        <f>IF(A152="","",CONCATENATE(VLOOKUP(A152,Competitors!$A$2:$I$650,3,FALSE)," ",VLOOKUP(A152,Competitors!$A$2:$I$650,2,FALSE)))</f>
        <v>Duncan Murray</v>
      </c>
    </row>
    <row r="153" spans="1:2" x14ac:dyDescent="0.15">
      <c r="A153">
        <f>IF(ISNUMBER(Competitors!A153),Competitors!A153,"")</f>
        <v>405</v>
      </c>
      <c r="B153" t="str">
        <f>IF(A153="","",CONCATENATE(VLOOKUP(A153,Competitors!$A$2:$I$650,3,FALSE)," ",VLOOKUP(A153,Competitors!$A$2:$I$650,2,FALSE)))</f>
        <v>Kevin Nicholls</v>
      </c>
    </row>
    <row r="154" spans="1:2" x14ac:dyDescent="0.15">
      <c r="A154">
        <f>IF(ISNUMBER(Competitors!A154),Competitors!A154,"")</f>
        <v>1346</v>
      </c>
      <c r="B154" t="str">
        <f>IF(A154="","",CONCATENATE(VLOOKUP(A154,Competitors!$A$2:$I$650,3,FALSE)," ",VLOOKUP(A154,Competitors!$A$2:$I$650,2,FALSE)))</f>
        <v>Stephen Nixon</v>
      </c>
    </row>
    <row r="155" spans="1:2" x14ac:dyDescent="0.15">
      <c r="A155">
        <f>IF(ISNUMBER(Competitors!A155),Competitors!A155,"")</f>
        <v>1192</v>
      </c>
      <c r="B155" t="str">
        <f>IF(A155="","",CONCATENATE(VLOOKUP(A155,Competitors!$A$2:$I$650,3,FALSE)," ",VLOOKUP(A155,Competitors!$A$2:$I$650,2,FALSE)))</f>
        <v>Dale Norris</v>
      </c>
    </row>
    <row r="156" spans="1:2" x14ac:dyDescent="0.15">
      <c r="A156">
        <f>IF(ISNUMBER(Competitors!A156),Competitors!A156,"")</f>
        <v>1157</v>
      </c>
      <c r="B156" t="str">
        <f>IF(A156="","",CONCATENATE(VLOOKUP(A156,Competitors!$A$2:$I$650,3,FALSE)," ",VLOOKUP(A156,Competitors!$A$2:$I$650,2,FALSE)))</f>
        <v>Chris Orfeur</v>
      </c>
    </row>
    <row r="157" spans="1:2" x14ac:dyDescent="0.15">
      <c r="A157">
        <f>IF(ISNUMBER(Competitors!A157),Competitors!A157,"")</f>
        <v>1359</v>
      </c>
      <c r="B157" t="str">
        <f>IF(A157="","",CONCATENATE(VLOOKUP(A157,Competitors!$A$2:$I$650,3,FALSE)," ",VLOOKUP(A157,Competitors!$A$2:$I$650,2,FALSE)))</f>
        <v>George Parker</v>
      </c>
    </row>
    <row r="158" spans="1:2" x14ac:dyDescent="0.15">
      <c r="A158">
        <f>IF(ISNUMBER(Competitors!A158),Competitors!A158,"")</f>
        <v>1360</v>
      </c>
      <c r="B158" t="str">
        <f>IF(A158="","",CONCATENATE(VLOOKUP(A158,Competitors!$A$2:$I$650,3,FALSE)," ",VLOOKUP(A158,Competitors!$A$2:$I$650,2,FALSE)))</f>
        <v>Charlotte Parker</v>
      </c>
    </row>
    <row r="159" spans="1:2" x14ac:dyDescent="0.15">
      <c r="A159">
        <f>IF(ISNUMBER(Competitors!A159),Competitors!A159,"")</f>
        <v>1357</v>
      </c>
      <c r="B159" t="str">
        <f>IF(A159="","",CONCATENATE(VLOOKUP(A159,Competitors!$A$2:$I$650,3,FALSE)," ",VLOOKUP(A159,Competitors!$A$2:$I$650,2,FALSE)))</f>
        <v>Ian Parker</v>
      </c>
    </row>
    <row r="160" spans="1:2" x14ac:dyDescent="0.15">
      <c r="A160">
        <f>IF(ISNUMBER(Competitors!A160),Competitors!A160,"")</f>
        <v>1358</v>
      </c>
      <c r="B160" t="str">
        <f>IF(A160="","",CONCATENATE(VLOOKUP(A160,Competitors!$A$2:$I$650,3,FALSE)," ",VLOOKUP(A160,Competitors!$A$2:$I$650,2,FALSE)))</f>
        <v>Mandy Parker</v>
      </c>
    </row>
    <row r="161" spans="1:2" x14ac:dyDescent="0.15">
      <c r="A161">
        <f>IF(ISNUMBER(Competitors!A161),Competitors!A161,"")</f>
        <v>1390</v>
      </c>
      <c r="B161" t="str">
        <f>IF(A161="","",CONCATENATE(VLOOKUP(A161,Competitors!$A$2:$I$650,3,FALSE)," ",VLOOKUP(A161,Competitors!$A$2:$I$650,2,FALSE)))</f>
        <v>Diego Patteri</v>
      </c>
    </row>
    <row r="162" spans="1:2" x14ac:dyDescent="0.15">
      <c r="A162">
        <f>IF(ISNUMBER(Competitors!A162),Competitors!A162,"")</f>
        <v>1107</v>
      </c>
      <c r="B162" t="str">
        <f>IF(A162="","",CONCATENATE(VLOOKUP(A162,Competitors!$A$2:$I$650,3,FALSE)," ",VLOOKUP(A162,Competitors!$A$2:$I$650,2,FALSE)))</f>
        <v>Milly Pinnock</v>
      </c>
    </row>
    <row r="163" spans="1:2" x14ac:dyDescent="0.15">
      <c r="A163">
        <f>IF(ISNUMBER(Competitors!A163),Competitors!A163,"")</f>
        <v>35</v>
      </c>
      <c r="B163" t="str">
        <f>IF(A163="","",CONCATENATE(VLOOKUP(A163,Competitors!$A$2:$I$650,3,FALSE)," ",VLOOKUP(A163,Competitors!$A$2:$I$650,2,FALSE)))</f>
        <v>Matt Plews</v>
      </c>
    </row>
    <row r="164" spans="1:2" x14ac:dyDescent="0.15">
      <c r="A164">
        <f>IF(ISNUMBER(Competitors!A164),Competitors!A164,"")</f>
        <v>1094</v>
      </c>
      <c r="B164" t="str">
        <f>IF(A164="","",CONCATENATE(VLOOKUP(A164,Competitors!$A$2:$I$650,3,FALSE)," ",VLOOKUP(A164,Competitors!$A$2:$I$650,2,FALSE)))</f>
        <v>Andy Poulton</v>
      </c>
    </row>
    <row r="165" spans="1:2" x14ac:dyDescent="0.15">
      <c r="A165">
        <f>IF(ISNUMBER(Competitors!A165),Competitors!A165,"")</f>
        <v>1325</v>
      </c>
      <c r="B165" t="str">
        <f>IF(A165="","",CONCATENATE(VLOOKUP(A165,Competitors!$A$2:$I$650,3,FALSE)," ",VLOOKUP(A165,Competitors!$A$2:$I$650,2,FALSE)))</f>
        <v>Greg Prangnell</v>
      </c>
    </row>
    <row r="166" spans="1:2" x14ac:dyDescent="0.15">
      <c r="A166">
        <f>IF(ISNUMBER(Competitors!A166),Competitors!A166,"")</f>
        <v>1143</v>
      </c>
      <c r="B166" t="str">
        <f>IF(A166="","",CONCATENATE(VLOOKUP(A166,Competitors!$A$2:$I$650,3,FALSE)," ",VLOOKUP(A166,Competitors!$A$2:$I$650,2,FALSE)))</f>
        <v>Rob Pullen</v>
      </c>
    </row>
    <row r="167" spans="1:2" x14ac:dyDescent="0.15">
      <c r="A167">
        <f>IF(ISNUMBER(Competitors!A167),Competitors!A167,"")</f>
        <v>1401</v>
      </c>
      <c r="B167" t="str">
        <f>IF(A167="","",CONCATENATE(VLOOKUP(A167,Competitors!$A$2:$I$650,3,FALSE)," ",VLOOKUP(A167,Competitors!$A$2:$I$650,2,FALSE)))</f>
        <v>Catriona Purdon</v>
      </c>
    </row>
    <row r="168" spans="1:2" x14ac:dyDescent="0.15">
      <c r="A168">
        <f>IF(ISNUMBER(Competitors!A168),Competitors!A168,"")</f>
        <v>1285</v>
      </c>
      <c r="B168" t="str">
        <f>IF(A168="","",CONCATENATE(VLOOKUP(A168,Competitors!$A$2:$I$650,3,FALSE)," ",VLOOKUP(A168,Competitors!$A$2:$I$650,2,FALSE)))</f>
        <v>Chris Ramsdale</v>
      </c>
    </row>
    <row r="169" spans="1:2" x14ac:dyDescent="0.15">
      <c r="A169">
        <f>IF(ISNUMBER(Competitors!A169),Competitors!A169,"")</f>
        <v>38</v>
      </c>
      <c r="B169" t="str">
        <f>IF(A169="","",CONCATENATE(VLOOKUP(A169,Competitors!$A$2:$I$650,3,FALSE)," ",VLOOKUP(A169,Competitors!$A$2:$I$650,2,FALSE)))</f>
        <v>Phil Rayner</v>
      </c>
    </row>
    <row r="170" spans="1:2" x14ac:dyDescent="0.15">
      <c r="A170">
        <f>IF(ISNUMBER(Competitors!A170),Competitors!A170,"")</f>
        <v>245</v>
      </c>
      <c r="B170" t="str">
        <f>IF(A170="","",CONCATENATE(VLOOKUP(A170,Competitors!$A$2:$I$650,3,FALSE)," ",VLOOKUP(A170,Competitors!$A$2:$I$650,2,FALSE)))</f>
        <v>David Reay</v>
      </c>
    </row>
    <row r="171" spans="1:2" x14ac:dyDescent="0.15">
      <c r="A171">
        <f>IF(ISNUMBER(Competitors!A171),Competitors!A171,"")</f>
        <v>39</v>
      </c>
      <c r="B171" t="str">
        <f>IF(A171="","",CONCATENATE(VLOOKUP(A171,Competitors!$A$2:$I$650,3,FALSE)," ",VLOOKUP(A171,Competitors!$A$2:$I$650,2,FALSE)))</f>
        <v>Michael Reay</v>
      </c>
    </row>
    <row r="172" spans="1:2" x14ac:dyDescent="0.15">
      <c r="A172">
        <f>IF(ISNUMBER(Competitors!A172),Competitors!A172,"")</f>
        <v>508</v>
      </c>
      <c r="B172" t="str">
        <f>IF(A172="","",CONCATENATE(VLOOKUP(A172,Competitors!$A$2:$I$650,3,FALSE)," ",VLOOKUP(A172,Competitors!$A$2:$I$650,2,FALSE)))</f>
        <v>Peter Riley</v>
      </c>
    </row>
    <row r="173" spans="1:2" x14ac:dyDescent="0.15">
      <c r="A173">
        <f>IF(ISNUMBER(Competitors!A173),Competitors!A173,"")</f>
        <v>1025</v>
      </c>
      <c r="B173" t="str">
        <f>IF(A173="","",CONCATENATE(VLOOKUP(A173,Competitors!$A$2:$I$650,3,FALSE)," ",VLOOKUP(A173,Competitors!$A$2:$I$650,2,FALSE)))</f>
        <v>Leo Roberts</v>
      </c>
    </row>
    <row r="174" spans="1:2" x14ac:dyDescent="0.15">
      <c r="A174">
        <f>IF(ISNUMBER(Competitors!A174),Competitors!A174,"")</f>
        <v>1024</v>
      </c>
      <c r="B174" t="str">
        <f>IF(A174="","",CONCATENATE(VLOOKUP(A174,Competitors!$A$2:$I$650,3,FALSE)," ",VLOOKUP(A174,Competitors!$A$2:$I$650,2,FALSE)))</f>
        <v>Jax Roberts</v>
      </c>
    </row>
    <row r="175" spans="1:2" x14ac:dyDescent="0.15">
      <c r="A175">
        <f>IF(ISNUMBER(Competitors!A175),Competitors!A175,"")</f>
        <v>1023</v>
      </c>
      <c r="B175" t="str">
        <f>IF(A175="","",CONCATENATE(VLOOKUP(A175,Competitors!$A$2:$I$650,3,FALSE)," ",VLOOKUP(A175,Competitors!$A$2:$I$650,2,FALSE)))</f>
        <v>Gary Roberts</v>
      </c>
    </row>
    <row r="176" spans="1:2" x14ac:dyDescent="0.15">
      <c r="A176">
        <f>IF(ISNUMBER(Competitors!A176),Competitors!A176,"")</f>
        <v>1232</v>
      </c>
      <c r="B176" t="str">
        <f>IF(A176="","",CONCATENATE(VLOOKUP(A176,Competitors!$A$2:$I$650,3,FALSE)," ",VLOOKUP(A176,Competitors!$A$2:$I$650,2,FALSE)))</f>
        <v>Anna Roberts</v>
      </c>
    </row>
    <row r="177" spans="1:2" x14ac:dyDescent="0.15">
      <c r="A177">
        <f>IF(ISNUMBER(Competitors!A177),Competitors!A177,"")</f>
        <v>1392</v>
      </c>
      <c r="B177" t="str">
        <f>IF(A177="","",CONCATENATE(VLOOKUP(A177,Competitors!$A$2:$I$650,3,FALSE)," ",VLOOKUP(A177,Competitors!$A$2:$I$650,2,FALSE)))</f>
        <v>Sarah Robinson</v>
      </c>
    </row>
    <row r="178" spans="1:2" x14ac:dyDescent="0.15">
      <c r="A178">
        <f>IF(ISNUMBER(Competitors!A178),Competitors!A178,"")</f>
        <v>1141</v>
      </c>
      <c r="B178" t="str">
        <f>IF(A178="","",CONCATENATE(VLOOKUP(A178,Competitors!$A$2:$I$650,3,FALSE)," ",VLOOKUP(A178,Competitors!$A$2:$I$650,2,FALSE)))</f>
        <v>Judith Rout</v>
      </c>
    </row>
    <row r="179" spans="1:2" x14ac:dyDescent="0.15">
      <c r="A179">
        <f>IF(ISNUMBER(Competitors!A179),Competitors!A179,"")</f>
        <v>891</v>
      </c>
      <c r="B179" t="str">
        <f>IF(A179="","",CONCATENATE(VLOOKUP(A179,Competitors!$A$2:$I$650,3,FALSE)," ",VLOOKUP(A179,Competitors!$A$2:$I$650,2,FALSE)))</f>
        <v>Dawn Russell</v>
      </c>
    </row>
    <row r="180" spans="1:2" x14ac:dyDescent="0.15">
      <c r="A180">
        <f>IF(ISNUMBER(Competitors!A180),Competitors!A180,"")</f>
        <v>1352</v>
      </c>
      <c r="B180" t="str">
        <f>IF(A180="","",CONCATENATE(VLOOKUP(A180,Competitors!$A$2:$I$650,3,FALSE)," ",VLOOKUP(A180,Competitors!$A$2:$I$650,2,FALSE)))</f>
        <v>Ian Scoley</v>
      </c>
    </row>
    <row r="181" spans="1:2" x14ac:dyDescent="0.15">
      <c r="A181">
        <f>IF(ISNUMBER(Competitors!A181),Competitors!A181,"")</f>
        <v>1339</v>
      </c>
      <c r="B181" t="str">
        <f>IF(A181="","",CONCATENATE(VLOOKUP(A181,Competitors!$A$2:$I$650,3,FALSE)," ",VLOOKUP(A181,Competitors!$A$2:$I$650,2,FALSE)))</f>
        <v>Jack Shewring</v>
      </c>
    </row>
    <row r="182" spans="1:2" x14ac:dyDescent="0.15">
      <c r="A182">
        <f>IF(ISNUMBER(Competitors!A182),Competitors!A182,"")</f>
        <v>914</v>
      </c>
      <c r="B182" t="str">
        <f>IF(A182="","",CONCATENATE(VLOOKUP(A182,Competitors!$A$2:$I$650,3,FALSE)," ",VLOOKUP(A182,Competitors!$A$2:$I$650,2,FALSE)))</f>
        <v>Charlie Simpson</v>
      </c>
    </row>
    <row r="183" spans="1:2" x14ac:dyDescent="0.15">
      <c r="A183">
        <f>IF(ISNUMBER(Competitors!A183),Competitors!A183,"")</f>
        <v>597</v>
      </c>
      <c r="B183" t="str">
        <f>IF(A183="","",CONCATENATE(VLOOKUP(A183,Competitors!$A$2:$I$650,3,FALSE)," ",VLOOKUP(A183,Competitors!$A$2:$I$650,2,FALSE)))</f>
        <v>Trevor Shelley</v>
      </c>
    </row>
    <row r="184" spans="1:2" x14ac:dyDescent="0.15">
      <c r="A184">
        <f>IF(ISNUMBER(Competitors!A184),Competitors!A184,"")</f>
        <v>1038</v>
      </c>
      <c r="B184" t="str">
        <f>IF(A184="","",CONCATENATE(VLOOKUP(A184,Competitors!$A$2:$I$650,3,FALSE)," ",VLOOKUP(A184,Competitors!$A$2:$I$650,2,FALSE)))</f>
        <v>Paul Simpson</v>
      </c>
    </row>
    <row r="185" spans="1:2" x14ac:dyDescent="0.15">
      <c r="A185">
        <f>IF(ISNUMBER(Competitors!A185),Competitors!A185,"")</f>
        <v>1347</v>
      </c>
      <c r="B185" t="str">
        <f>IF(A185="","",CONCATENATE(VLOOKUP(A185,Competitors!$A$2:$I$650,3,FALSE)," ",VLOOKUP(A185,Competitors!$A$2:$I$650,2,FALSE)))</f>
        <v>Stuart Simpson-Smith</v>
      </c>
    </row>
    <row r="186" spans="1:2" x14ac:dyDescent="0.15">
      <c r="A186">
        <f>IF(ISNUMBER(Competitors!A186),Competitors!A186,"")</f>
        <v>1242</v>
      </c>
      <c r="B186" t="str">
        <f>IF(A186="","",CONCATENATE(VLOOKUP(A186,Competitors!$A$2:$I$650,3,FALSE)," ",VLOOKUP(A186,Competitors!$A$2:$I$650,2,FALSE)))</f>
        <v>Mike Sirett</v>
      </c>
    </row>
    <row r="187" spans="1:2" x14ac:dyDescent="0.15">
      <c r="A187">
        <f>IF(ISNUMBER(Competitors!A187),Competitors!A187,"")</f>
        <v>1048</v>
      </c>
      <c r="B187" t="str">
        <f>IF(A187="","",CONCATENATE(VLOOKUP(A187,Competitors!$A$2:$I$650,3,FALSE)," ",VLOOKUP(A187,Competitors!$A$2:$I$650,2,FALSE)))</f>
        <v>Andy Smith</v>
      </c>
    </row>
    <row r="188" spans="1:2" x14ac:dyDescent="0.15">
      <c r="A188">
        <f>IF(ISNUMBER(Competitors!A188),Competitors!A188,"")</f>
        <v>1055</v>
      </c>
      <c r="B188" t="str">
        <f>IF(A188="","",CONCATENATE(VLOOKUP(A188,Competitors!$A$2:$I$650,3,FALSE)," ",VLOOKUP(A188,Competitors!$A$2:$I$650,2,FALSE)))</f>
        <v>Austin Smith</v>
      </c>
    </row>
    <row r="189" spans="1:2" x14ac:dyDescent="0.15">
      <c r="A189">
        <f>IF(ISNUMBER(Competitors!A189),Competitors!A189,"")</f>
        <v>1095</v>
      </c>
      <c r="B189" t="str">
        <f>IF(A189="","",CONCATENATE(VLOOKUP(A189,Competitors!$A$2:$I$650,3,FALSE)," ",VLOOKUP(A189,Competitors!$A$2:$I$650,2,FALSE)))</f>
        <v>Denis Smith</v>
      </c>
    </row>
    <row r="190" spans="1:2" x14ac:dyDescent="0.15">
      <c r="A190">
        <f>IF(ISNUMBER(Competitors!A190),Competitors!A190,"")</f>
        <v>820</v>
      </c>
      <c r="B190" t="str">
        <f>IF(A190="","",CONCATENATE(VLOOKUP(A190,Competitors!$A$2:$I$650,3,FALSE)," ",VLOOKUP(A190,Competitors!$A$2:$I$650,2,FALSE)))</f>
        <v>Lucy Smith</v>
      </c>
    </row>
    <row r="191" spans="1:2" x14ac:dyDescent="0.15">
      <c r="A191">
        <f>IF(ISNUMBER(Competitors!A191),Competitors!A191,"")</f>
        <v>687</v>
      </c>
      <c r="B191" t="str">
        <f>IF(A191="","",CONCATENATE(VLOOKUP(A191,Competitors!$A$2:$I$650,3,FALSE)," ",VLOOKUP(A191,Competitors!$A$2:$I$650,2,FALSE)))</f>
        <v>Timothy Smith</v>
      </c>
    </row>
    <row r="192" spans="1:2" x14ac:dyDescent="0.15">
      <c r="A192">
        <f>IF(ISNUMBER(Competitors!A192),Competitors!A192,"")</f>
        <v>1420</v>
      </c>
      <c r="B192" t="str">
        <f>IF(A192="","",CONCATENATE(VLOOKUP(A192,Competitors!$A$2:$I$650,3,FALSE)," ",VLOOKUP(A192,Competitors!$A$2:$I$650,2,FALSE)))</f>
        <v>Paula Stephenson</v>
      </c>
    </row>
    <row r="193" spans="1:2" x14ac:dyDescent="0.15">
      <c r="A193">
        <f>IF(ISNUMBER(Competitors!A193),Competitors!A193,"")</f>
        <v>1410</v>
      </c>
      <c r="B193" t="str">
        <f>IF(A193="","",CONCATENATE(VLOOKUP(A193,Competitors!$A$2:$I$650,3,FALSE)," ",VLOOKUP(A193,Competitors!$A$2:$I$650,2,FALSE)))</f>
        <v>Ryan Stuart</v>
      </c>
    </row>
    <row r="194" spans="1:2" x14ac:dyDescent="0.15">
      <c r="A194">
        <f>IF(ISNUMBER(Competitors!A194),Competitors!A194,"")</f>
        <v>1161</v>
      </c>
      <c r="B194" t="str">
        <f>IF(A194="","",CONCATENATE(VLOOKUP(A194,Competitors!$A$2:$I$650,3,FALSE)," ",VLOOKUP(A194,Competitors!$A$2:$I$650,2,FALSE)))</f>
        <v>Maciej Suchocki</v>
      </c>
    </row>
    <row r="195" spans="1:2" x14ac:dyDescent="0.15">
      <c r="A195">
        <f>IF(ISNUMBER(Competitors!A195),Competitors!A195,"")</f>
        <v>890</v>
      </c>
      <c r="B195" t="str">
        <f>IF(A195="","",CONCATENATE(VLOOKUP(A195,Competitors!$A$2:$I$650,3,FALSE)," ",VLOOKUP(A195,Competitors!$A$2:$I$650,2,FALSE)))</f>
        <v>Rowland Summerlin</v>
      </c>
    </row>
    <row r="196" spans="1:2" x14ac:dyDescent="0.15">
      <c r="A196">
        <f>IF(ISNUMBER(Competitors!A196),Competitors!A196,"")</f>
        <v>1166</v>
      </c>
      <c r="B196" t="str">
        <f>IF(A196="","",CONCATENATE(VLOOKUP(A196,Competitors!$A$2:$I$650,3,FALSE)," ",VLOOKUP(A196,Competitors!$A$2:$I$650,2,FALSE)))</f>
        <v>Ed Tarelli</v>
      </c>
    </row>
    <row r="197" spans="1:2" x14ac:dyDescent="0.15">
      <c r="A197">
        <f>IF(ISNUMBER(Competitors!A197),Competitors!A197,"")</f>
        <v>45</v>
      </c>
      <c r="B197" t="str">
        <f>IF(A197="","",CONCATENATE(VLOOKUP(A197,Competitors!$A$2:$I$650,3,FALSE)," ",VLOOKUP(A197,Competitors!$A$2:$I$650,2,FALSE)))</f>
        <v>Ray Taylor</v>
      </c>
    </row>
    <row r="198" spans="1:2" x14ac:dyDescent="0.15">
      <c r="A198">
        <f>IF(ISNUMBER(Competitors!A198),Competitors!A198,"")</f>
        <v>1160</v>
      </c>
      <c r="B198" t="str">
        <f>IF(A198="","",CONCATENATE(VLOOKUP(A198,Competitors!$A$2:$I$650,3,FALSE)," ",VLOOKUP(A198,Competitors!$A$2:$I$650,2,FALSE)))</f>
        <v>Rhys Thomas</v>
      </c>
    </row>
    <row r="199" spans="1:2" x14ac:dyDescent="0.15">
      <c r="A199">
        <f>IF(ISNUMBER(Competitors!A199),Competitors!A199,"")</f>
        <v>945</v>
      </c>
      <c r="B199" t="str">
        <f>IF(A199="","",CONCATENATE(VLOOKUP(A199,Competitors!$A$2:$I$650,3,FALSE)," ",VLOOKUP(A199,Competitors!$A$2:$I$650,2,FALSE)))</f>
        <v>George Timmins</v>
      </c>
    </row>
    <row r="200" spans="1:2" x14ac:dyDescent="0.15">
      <c r="A200">
        <f>IF(ISNUMBER(Competitors!A200),Competitors!A200,"")</f>
        <v>813</v>
      </c>
      <c r="B200" t="str">
        <f>IF(A200="","",CONCATENATE(VLOOKUP(A200,Competitors!$A$2:$I$650,3,FALSE)," ",VLOOKUP(A200,Competitors!$A$2:$I$650,2,FALSE)))</f>
        <v>Dawn Timmins</v>
      </c>
    </row>
    <row r="201" spans="1:2" x14ac:dyDescent="0.15">
      <c r="A201">
        <f>IF(ISNUMBER(Competitors!A201),Competitors!A201,"")</f>
        <v>812</v>
      </c>
      <c r="B201" t="str">
        <f>IF(A201="","",CONCATENATE(VLOOKUP(A201,Competitors!$A$2:$I$650,3,FALSE)," ",VLOOKUP(A201,Competitors!$A$2:$I$650,2,FALSE)))</f>
        <v>Gavin Timmins</v>
      </c>
    </row>
    <row r="202" spans="1:2" x14ac:dyDescent="0.15">
      <c r="A202">
        <f>IF(ISNUMBER(Competitors!A202),Competitors!A202,"")</f>
        <v>1129</v>
      </c>
      <c r="B202" t="str">
        <f>IF(A202="","",CONCATENATE(VLOOKUP(A202,Competitors!$A$2:$I$650,3,FALSE)," ",VLOOKUP(A202,Competitors!$A$2:$I$650,2,FALSE)))</f>
        <v>Doug Tincello</v>
      </c>
    </row>
    <row r="203" spans="1:2" x14ac:dyDescent="0.15">
      <c r="A203">
        <f>IF(ISNUMBER(Competitors!A203),Competitors!A203,"")</f>
        <v>915</v>
      </c>
      <c r="B203" t="str">
        <f>IF(A203="","",CONCATENATE(VLOOKUP(A203,Competitors!$A$2:$I$650,3,FALSE)," ",VLOOKUP(A203,Competitors!$A$2:$I$650,2,FALSE)))</f>
        <v>Julian Twynham</v>
      </c>
    </row>
    <row r="204" spans="1:2" x14ac:dyDescent="0.15">
      <c r="A204">
        <f>IF(ISNUMBER(Competitors!A204),Competitors!A204,"")</f>
        <v>1356</v>
      </c>
      <c r="B204" t="str">
        <f>IF(A204="","",CONCATENATE(VLOOKUP(A204,Competitors!$A$2:$I$650,3,FALSE)," ",VLOOKUP(A204,Competitors!$A$2:$I$650,2,FALSE)))</f>
        <v>Michiel Vaal</v>
      </c>
    </row>
    <row r="205" spans="1:2" x14ac:dyDescent="0.15">
      <c r="A205">
        <f>IF(ISNUMBER(Competitors!A205),Competitors!A205,"")</f>
        <v>1422</v>
      </c>
      <c r="B205" t="str">
        <f>IF(A205="","",CONCATENATE(VLOOKUP(A205,Competitors!$A$2:$I$650,3,FALSE)," ",VLOOKUP(A205,Competitors!$A$2:$I$650,2,FALSE)))</f>
        <v>Laura Vann-Hopewell</v>
      </c>
    </row>
    <row r="206" spans="1:2" x14ac:dyDescent="0.15">
      <c r="A206">
        <f>IF(ISNUMBER(Competitors!A206),Competitors!A206,"")</f>
        <v>860</v>
      </c>
      <c r="B206" t="str">
        <f>IF(A206="","",CONCATENATE(VLOOKUP(A206,Competitors!$A$2:$I$650,3,FALSE)," ",VLOOKUP(A206,Competitors!$A$2:$I$650,2,FALSE)))</f>
        <v>Millie van Nierop</v>
      </c>
    </row>
    <row r="207" spans="1:2" x14ac:dyDescent="0.15">
      <c r="A207">
        <f>IF(ISNUMBER(Competitors!A207),Competitors!A207,"")</f>
        <v>756</v>
      </c>
      <c r="B207" t="str">
        <f>IF(A207="","",CONCATENATE(VLOOKUP(A207,Competitors!$A$2:$I$650,3,FALSE)," ",VLOOKUP(A207,Competitors!$A$2:$I$650,2,FALSE)))</f>
        <v>Josh van Nierop</v>
      </c>
    </row>
    <row r="208" spans="1:2" x14ac:dyDescent="0.15">
      <c r="A208">
        <f>IF(ISNUMBER(Competitors!A208),Competitors!A208,"")</f>
        <v>407</v>
      </c>
      <c r="B208" t="str">
        <f>IF(A208="","",CONCATENATE(VLOOKUP(A208,Competitors!$A$2:$I$650,3,FALSE)," ",VLOOKUP(A208,Competitors!$A$2:$I$650,2,FALSE)))</f>
        <v>Hans van Nierop</v>
      </c>
    </row>
    <row r="209" spans="1:2" x14ac:dyDescent="0.15">
      <c r="A209">
        <f>IF(ISNUMBER(Competitors!A209),Competitors!A209,"")</f>
        <v>1428</v>
      </c>
      <c r="B209" t="str">
        <f>IF(A209="","",CONCATENATE(VLOOKUP(A209,Competitors!$A$2:$I$650,3,FALSE)," ",VLOOKUP(A209,Competitors!$A$2:$I$650,2,FALSE)))</f>
        <v>Oliver Voice</v>
      </c>
    </row>
    <row r="210" spans="1:2" x14ac:dyDescent="0.15">
      <c r="A210">
        <f>IF(ISNUMBER(Competitors!A210),Competitors!A210,"")</f>
        <v>1423</v>
      </c>
      <c r="B210" t="str">
        <f>IF(A210="","",CONCATENATE(VLOOKUP(A210,Competitors!$A$2:$I$650,3,FALSE)," ",VLOOKUP(A210,Competitors!$A$2:$I$650,2,FALSE)))</f>
        <v>Mark Vowles</v>
      </c>
    </row>
    <row r="211" spans="1:2" x14ac:dyDescent="0.15">
      <c r="A211">
        <f>IF(ISNUMBER(Competitors!A211),Competitors!A211,"")</f>
        <v>1424</v>
      </c>
      <c r="B211" t="str">
        <f>IF(A211="","",CONCATENATE(VLOOKUP(A211,Competitors!$A$2:$I$650,3,FALSE)," ",VLOOKUP(A211,Competitors!$A$2:$I$650,2,FALSE)))</f>
        <v>Charlotte Vowles</v>
      </c>
    </row>
    <row r="212" spans="1:2" x14ac:dyDescent="0.15">
      <c r="A212">
        <f>IF(ISNUMBER(Competitors!A212),Competitors!A212,"")</f>
        <v>1425</v>
      </c>
      <c r="B212" t="str">
        <f>IF(A212="","",CONCATENATE(VLOOKUP(A212,Competitors!$A$2:$I$650,3,FALSE)," ",VLOOKUP(A212,Competitors!$A$2:$I$650,2,FALSE)))</f>
        <v>Jasper Vowles</v>
      </c>
    </row>
    <row r="213" spans="1:2" x14ac:dyDescent="0.15">
      <c r="A213">
        <f>IF(ISNUMBER(Competitors!A213),Competitors!A213,"")</f>
        <v>1426</v>
      </c>
      <c r="B213" t="str">
        <f>IF(A213="","",CONCATENATE(VLOOKUP(A213,Competitors!$A$2:$I$650,3,FALSE)," ",VLOOKUP(A213,Competitors!$A$2:$I$650,2,FALSE)))</f>
        <v>Ione Vowles</v>
      </c>
    </row>
    <row r="214" spans="1:2" x14ac:dyDescent="0.15">
      <c r="A214">
        <f>IF(ISNUMBER(Competitors!A214),Competitors!A214,"")</f>
        <v>1312</v>
      </c>
      <c r="B214" t="str">
        <f>IF(A214="","",CONCATENATE(VLOOKUP(A214,Competitors!$A$2:$I$650,3,FALSE)," ",VLOOKUP(A214,Competitors!$A$2:$I$650,2,FALSE)))</f>
        <v>Judith Waddington</v>
      </c>
    </row>
    <row r="215" spans="1:2" x14ac:dyDescent="0.15">
      <c r="A215">
        <f>IF(ISNUMBER(Competitors!A215),Competitors!A215,"")</f>
        <v>935</v>
      </c>
      <c r="B215" t="str">
        <f>IF(A215="","",CONCATENATE(VLOOKUP(A215,Competitors!$A$2:$I$650,3,FALSE)," ",VLOOKUP(A215,Competitors!$A$2:$I$650,2,FALSE)))</f>
        <v>Sophie Ward</v>
      </c>
    </row>
    <row r="216" spans="1:2" x14ac:dyDescent="0.15">
      <c r="A216">
        <f>IF(ISNUMBER(Competitors!A216),Competitors!A216,"")</f>
        <v>999</v>
      </c>
      <c r="B216" t="str">
        <f>IF(A216="","",CONCATENATE(VLOOKUP(A216,Competitors!$A$2:$I$650,3,FALSE)," ",VLOOKUP(A216,Competitors!$A$2:$I$650,2,FALSE)))</f>
        <v>Abigail Ward</v>
      </c>
    </row>
    <row r="217" spans="1:2" x14ac:dyDescent="0.15">
      <c r="A217">
        <f>IF(ISNUMBER(Competitors!A217),Competitors!A217,"")</f>
        <v>998</v>
      </c>
      <c r="B217" t="str">
        <f>IF(A217="","",CONCATENATE(VLOOKUP(A217,Competitors!$A$2:$I$650,3,FALSE)," ",VLOOKUP(A217,Competitors!$A$2:$I$650,2,FALSE)))</f>
        <v>Debbie Ward</v>
      </c>
    </row>
    <row r="218" spans="1:2" x14ac:dyDescent="0.15">
      <c r="A218">
        <f>IF(ISNUMBER(Competitors!A218),Competitors!A218,"")</f>
        <v>616</v>
      </c>
      <c r="B218" t="str">
        <f>IF(A218="","",CONCATENATE(VLOOKUP(A218,Competitors!$A$2:$I$650,3,FALSE)," ",VLOOKUP(A218,Competitors!$A$2:$I$650,2,FALSE)))</f>
        <v>Simon Ward</v>
      </c>
    </row>
    <row r="219" spans="1:2" x14ac:dyDescent="0.15">
      <c r="A219">
        <f>IF(ISNUMBER(Competitors!A219),Competitors!A219,"")</f>
        <v>558</v>
      </c>
      <c r="B219" t="str">
        <f>IF(A219="","",CONCATENATE(VLOOKUP(A219,Competitors!$A$2:$I$650,3,FALSE)," ",VLOOKUP(A219,Competitors!$A$2:$I$650,2,FALSE)))</f>
        <v>Andrew Weatherby</v>
      </c>
    </row>
    <row r="220" spans="1:2" x14ac:dyDescent="0.15">
      <c r="A220">
        <f>IF(ISNUMBER(Competitors!A220),Competitors!A220,"")</f>
        <v>991</v>
      </c>
      <c r="B220" t="str">
        <f>IF(A220="","",CONCATENATE(VLOOKUP(A220,Competitors!$A$2:$I$650,3,FALSE)," ",VLOOKUP(A220,Competitors!$A$2:$I$650,2,FALSE)))</f>
        <v>Eleanor Webber</v>
      </c>
    </row>
    <row r="221" spans="1:2" x14ac:dyDescent="0.15">
      <c r="A221">
        <f>IF(ISNUMBER(Competitors!A221),Competitors!A221,"")</f>
        <v>359</v>
      </c>
      <c r="B221" t="str">
        <f>IF(A221="","",CONCATENATE(VLOOKUP(A221,Competitors!$A$2:$I$650,3,FALSE)," ",VLOOKUP(A221,Competitors!$A$2:$I$650,2,FALSE)))</f>
        <v>John Welsford</v>
      </c>
    </row>
    <row r="222" spans="1:2" x14ac:dyDescent="0.15">
      <c r="A222">
        <f>IF(ISNUMBER(Competitors!A222),Competitors!A222,"")</f>
        <v>1310</v>
      </c>
      <c r="B222" t="str">
        <f>IF(A222="","",CONCATENATE(VLOOKUP(A222,Competitors!$A$2:$I$650,3,FALSE)," ",VLOOKUP(A222,Competitors!$A$2:$I$650,2,FALSE)))</f>
        <v>Thomas Weston</v>
      </c>
    </row>
    <row r="223" spans="1:2" x14ac:dyDescent="0.15">
      <c r="A223">
        <f>IF(ISNUMBER(Competitors!A223),Competitors!A223,"")</f>
        <v>1200</v>
      </c>
      <c r="B223" t="str">
        <f>IF(A223="","",CONCATENATE(VLOOKUP(A223,Competitors!$A$2:$I$650,3,FALSE)," ",VLOOKUP(A223,Competitors!$A$2:$I$650,2,FALSE)))</f>
        <v>Jules Wilks</v>
      </c>
    </row>
    <row r="224" spans="1:2" x14ac:dyDescent="0.15">
      <c r="A224">
        <f>IF(ISNUMBER(Competitors!A224),Competitors!A224,"")</f>
        <v>1411</v>
      </c>
      <c r="B224" t="str">
        <f>IF(A224="","",CONCATENATE(VLOOKUP(A224,Competitors!$A$2:$I$650,3,FALSE)," ",VLOOKUP(A224,Competitors!$A$2:$I$650,2,FALSE)))</f>
        <v>Anne Wilks</v>
      </c>
    </row>
    <row r="225" spans="1:2" x14ac:dyDescent="0.15">
      <c r="A225">
        <f>IF(ISNUMBER(Competitors!A225),Competitors!A225,"")</f>
        <v>1412</v>
      </c>
      <c r="B225" t="str">
        <f>IF(A225="","",CONCATENATE(VLOOKUP(A225,Competitors!$A$2:$I$650,3,FALSE)," ",VLOOKUP(A225,Competitors!$A$2:$I$650,2,FALSE)))</f>
        <v>Fie Wilks</v>
      </c>
    </row>
    <row r="226" spans="1:2" x14ac:dyDescent="0.15">
      <c r="A226">
        <f>IF(ISNUMBER(Competitors!A226),Competitors!A226,"")</f>
        <v>1413</v>
      </c>
      <c r="B226" t="str">
        <f>IF(A226="","",CONCATENATE(VLOOKUP(A226,Competitors!$A$2:$I$650,3,FALSE)," ",VLOOKUP(A226,Competitors!$A$2:$I$650,2,FALSE)))</f>
        <v>Toby Wilks</v>
      </c>
    </row>
    <row r="227" spans="1:2" x14ac:dyDescent="0.15">
      <c r="A227">
        <f>IF(ISNUMBER(Competitors!A227),Competitors!A227,"")</f>
        <v>1376</v>
      </c>
      <c r="B227" t="str">
        <f>IF(A227="","",CONCATENATE(VLOOKUP(A227,Competitors!$A$2:$I$650,3,FALSE)," ",VLOOKUP(A227,Competitors!$A$2:$I$650,2,FALSE)))</f>
        <v>Sally Will</v>
      </c>
    </row>
    <row r="228" spans="1:2" x14ac:dyDescent="0.15">
      <c r="A228">
        <f>IF(ISNUMBER(Competitors!A228),Competitors!A228,"")</f>
        <v>1140</v>
      </c>
      <c r="B228" t="str">
        <f>IF(A228="","",CONCATENATE(VLOOKUP(A228,Competitors!$A$2:$I$650,3,FALSE)," ",VLOOKUP(A228,Competitors!$A$2:$I$650,2,FALSE)))</f>
        <v>Kevin Willett</v>
      </c>
    </row>
    <row r="229" spans="1:2" x14ac:dyDescent="0.15">
      <c r="A229">
        <f>IF(ISNUMBER(Competitors!A229),Competitors!A229,"")</f>
        <v>989</v>
      </c>
      <c r="B229" t="str">
        <f>IF(A229="","",CONCATENATE(VLOOKUP(A229,Competitors!$A$2:$I$650,3,FALSE)," ",VLOOKUP(A229,Competitors!$A$2:$I$650,2,FALSE)))</f>
        <v>Jason Williams</v>
      </c>
    </row>
    <row r="230" spans="1:2" x14ac:dyDescent="0.15">
      <c r="A230">
        <f>IF(ISNUMBER(Competitors!A230),Competitors!A230,"")</f>
        <v>1417</v>
      </c>
      <c r="B230" t="str">
        <f>IF(A230="","",CONCATENATE(VLOOKUP(A230,Competitors!$A$2:$I$650,3,FALSE)," ",VLOOKUP(A230,Competitors!$A$2:$I$650,2,FALSE)))</f>
        <v>Michelle Wilson</v>
      </c>
    </row>
    <row r="231" spans="1:2" x14ac:dyDescent="0.15">
      <c r="A231">
        <f>IF(ISNUMBER(Competitors!A231),Competitors!A231,"")</f>
        <v>52</v>
      </c>
      <c r="B231" t="str">
        <f>IF(A231="","",CONCATENATE(VLOOKUP(A231,Competitors!$A$2:$I$650,3,FALSE)," ",VLOOKUP(A231,Competitors!$A$2:$I$650,2,FALSE)))</f>
        <v>Will Wise</v>
      </c>
    </row>
    <row r="232" spans="1:2" x14ac:dyDescent="0.15">
      <c r="A232">
        <f>IF(ISNUMBER(Competitors!A232),Competitors!A232,"")</f>
        <v>62</v>
      </c>
      <c r="B232" t="str">
        <f>IF(A232="","",CONCATENATE(VLOOKUP(A232,Competitors!$A$2:$I$650,3,FALSE)," ",VLOOKUP(A232,Competitors!$A$2:$I$650,2,FALSE)))</f>
        <v>David Wilson</v>
      </c>
    </row>
    <row r="233" spans="1:2" x14ac:dyDescent="0.15">
      <c r="A233">
        <f>IF(ISNUMBER(Competitors!A233),Competitors!A233,"")</f>
        <v>930</v>
      </c>
      <c r="B233" t="str">
        <f>IF(A233="","",CONCATENATE(VLOOKUP(A233,Competitors!$A$2:$I$650,3,FALSE)," ",VLOOKUP(A233,Competitors!$A$2:$I$650,2,FALSE)))</f>
        <v>Catherine Wintersgill</v>
      </c>
    </row>
    <row r="234" spans="1:2" x14ac:dyDescent="0.15">
      <c r="A234">
        <f>IF(ISNUMBER(Competitors!A234),Competitors!A234,"")</f>
        <v>1254</v>
      </c>
      <c r="B234" t="str">
        <f>IF(A234="","",CONCATENATE(VLOOKUP(A234,Competitors!$A$2:$I$650,3,FALSE)," ",VLOOKUP(A234,Competitors!$A$2:$I$650,2,FALSE)))</f>
        <v>Paul White</v>
      </c>
    </row>
    <row r="235" spans="1:2" x14ac:dyDescent="0.15">
      <c r="A235">
        <f>IF(ISNUMBER(Competitors!A235),Competitors!A235,"")</f>
        <v>744</v>
      </c>
      <c r="B235" t="str">
        <f>IF(A235="","",CONCATENATE(VLOOKUP(A235,Competitors!$A$2:$I$650,3,FALSE)," ",VLOOKUP(A235,Competitors!$A$2:$I$650,2,FALSE)))</f>
        <v>Robert Woodford</v>
      </c>
    </row>
    <row r="236" spans="1:2" x14ac:dyDescent="0.15">
      <c r="A236">
        <f>IF(ISNUMBER(Competitors!A236),Competitors!A236,"")</f>
        <v>337</v>
      </c>
      <c r="B236" t="str">
        <f>IF(A236="","",CONCATENATE(VLOOKUP(A236,Competitors!$A$2:$I$650,3,FALSE)," ",VLOOKUP(A236,Competitors!$A$2:$I$650,2,FALSE)))</f>
        <v>Linda Yarnold</v>
      </c>
    </row>
    <row r="237" spans="1:2" x14ac:dyDescent="0.15">
      <c r="A237" t="str">
        <f>IF(ISNUMBER(Competitors!A237),Competitors!A237,"")</f>
        <v/>
      </c>
      <c r="B237" t="str">
        <f>IF(A237="","",CONCATENATE(VLOOKUP(A237,Competitors!$A$2:$I$650,3,FALSE)," ",VLOOKUP(A237,Competitors!$A$2:$I$650,2,FALSE)))</f>
        <v/>
      </c>
    </row>
    <row r="238" spans="1:2" x14ac:dyDescent="0.15">
      <c r="A238" t="str">
        <f>IF(ISNUMBER(Competitors!A238),Competitors!A238,"")</f>
        <v/>
      </c>
      <c r="B238" t="str">
        <f>IF(A238="","",CONCATENATE(VLOOKUP(A238,Competitors!$A$2:$I$650,3,FALSE)," ",VLOOKUP(A238,Competitors!$A$2:$I$650,2,FALSE)))</f>
        <v/>
      </c>
    </row>
    <row r="239" spans="1:2" x14ac:dyDescent="0.15">
      <c r="A239" t="str">
        <f>IF(ISNUMBER(Competitors!A239),Competitors!A239,"")</f>
        <v/>
      </c>
      <c r="B239" t="str">
        <f>IF(A239="","",CONCATENATE(VLOOKUP(A239,Competitors!$A$2:$I$650,3,FALSE)," ",VLOOKUP(A239,Competitors!$A$2:$I$650,2,FALSE)))</f>
        <v/>
      </c>
    </row>
    <row r="240" spans="1:2" x14ac:dyDescent="0.15">
      <c r="A240" t="str">
        <f>IF(ISNUMBER(Competitors!A240),Competitors!A240,"")</f>
        <v/>
      </c>
      <c r="B240" t="str">
        <f>IF(A240="","",CONCATENATE(VLOOKUP(A240,Competitors!$A$2:$I$650,3,FALSE)," ",VLOOKUP(A240,Competitors!$A$2:$I$650,2,FALSE)))</f>
        <v/>
      </c>
    </row>
    <row r="241" spans="1:2" x14ac:dyDescent="0.15">
      <c r="A241" t="str">
        <f>IF(ISNUMBER(Competitors!A241),Competitors!A241,"")</f>
        <v/>
      </c>
      <c r="B241" t="str">
        <f>IF(A241="","",CONCATENATE(VLOOKUP(A241,Competitors!$A$2:$I$650,3,FALSE)," ",VLOOKUP(A241,Competitors!$A$2:$I$650,2,FALSE)))</f>
        <v/>
      </c>
    </row>
    <row r="242" spans="1:2" x14ac:dyDescent="0.15">
      <c r="A242" t="str">
        <f>IF(ISNUMBER(Competitors!A242),Competitors!A242,"")</f>
        <v/>
      </c>
      <c r="B242" t="str">
        <f>IF(A242="","",CONCATENATE(VLOOKUP(A242,Competitors!$A$2:$I$650,3,FALSE)," ",VLOOKUP(A242,Competitors!$A$2:$I$650,2,FALSE)))</f>
        <v/>
      </c>
    </row>
    <row r="243" spans="1:2" x14ac:dyDescent="0.15">
      <c r="A243" t="str">
        <f>IF(ISNUMBER(Competitors!A243),Competitors!A243,"")</f>
        <v/>
      </c>
      <c r="B243" t="str">
        <f>IF(A243="","",CONCATENATE(VLOOKUP(A243,Competitors!$A$2:$I$650,3,FALSE)," ",VLOOKUP(A243,Competitors!$A$2:$I$650,2,FALSE)))</f>
        <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O30"/>
  <sheetViews>
    <sheetView topLeftCell="C1" zoomScale="120" workbookViewId="0">
      <selection activeCell="I33" sqref="I33"/>
    </sheetView>
  </sheetViews>
  <sheetFormatPr defaultColWidth="9.16796875" defaultRowHeight="12.75" x14ac:dyDescent="0.15"/>
  <cols>
    <col min="1" max="1" width="13.34765625" style="19" bestFit="1" customWidth="1"/>
    <col min="2" max="2" width="14.15625" style="19" customWidth="1"/>
    <col min="3" max="3" width="12.26953125" style="20" customWidth="1"/>
    <col min="4" max="4" width="31.5546875" style="18" customWidth="1"/>
    <col min="5" max="5" width="7.01171875" style="18" customWidth="1"/>
    <col min="6" max="6" width="7.953125" style="19" customWidth="1"/>
    <col min="7" max="7" width="19.6875" style="18" bestFit="1" customWidth="1"/>
    <col min="8" max="8" width="9.4375" style="18" bestFit="1" customWidth="1"/>
    <col min="9" max="13" width="9.16796875" style="18"/>
    <col min="14" max="14" width="13.078125" style="18" bestFit="1" customWidth="1"/>
    <col min="15" max="16384" width="9.16796875" style="18"/>
  </cols>
  <sheetData>
    <row r="1" spans="1:15" s="21" customFormat="1" ht="35.25" x14ac:dyDescent="0.15">
      <c r="A1" s="22" t="s">
        <v>356</v>
      </c>
      <c r="B1" s="23" t="s">
        <v>357</v>
      </c>
      <c r="C1" s="24" t="s">
        <v>358</v>
      </c>
      <c r="D1" s="21" t="s">
        <v>359</v>
      </c>
      <c r="E1" s="25" t="s">
        <v>360</v>
      </c>
      <c r="F1" s="23" t="s">
        <v>228</v>
      </c>
      <c r="G1" s="21" t="s">
        <v>361</v>
      </c>
      <c r="H1" s="21" t="s">
        <v>362</v>
      </c>
      <c r="I1" s="25" t="s">
        <v>363</v>
      </c>
      <c r="J1" s="25" t="s">
        <v>364</v>
      </c>
      <c r="K1" s="25" t="s">
        <v>365</v>
      </c>
      <c r="L1" s="25" t="s">
        <v>366</v>
      </c>
      <c r="M1" s="25" t="s">
        <v>367</v>
      </c>
      <c r="N1" s="21" t="s">
        <v>368</v>
      </c>
      <c r="O1" s="26" t="s">
        <v>369</v>
      </c>
    </row>
    <row r="2" spans="1:15" x14ac:dyDescent="0.15">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tr">
        <f t="shared" ref="L2:M28" si="3">IF($B2="","",IF(ISNUMBER(SEARCH("Hardride",$D2)),"Y",""))</f>
        <v>Y</v>
      </c>
      <c r="M2" s="30"/>
      <c r="N2" t="str">
        <f t="shared" ref="N2:N28" si="4">"Event_" &amp; TEXT(A2,"00")</f>
        <v>Event_01</v>
      </c>
      <c r="O2"/>
    </row>
    <row r="3" spans="1:15" x14ac:dyDescent="0.15">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tr">
        <f t="shared" si="3"/>
        <v>Y</v>
      </c>
      <c r="M3" s="30"/>
      <c r="N3" t="str">
        <f t="shared" si="4"/>
        <v>Event_02</v>
      </c>
      <c r="O3"/>
    </row>
    <row r="4" spans="1:15" x14ac:dyDescent="0.15">
      <c r="A4" s="27">
        <f t="shared" si="5"/>
        <v>3</v>
      </c>
      <c r="B4" s="28">
        <v>46119</v>
      </c>
      <c r="C4" s="29">
        <v>0.77083333333333337</v>
      </c>
      <c r="D4" t="s">
        <v>374</v>
      </c>
      <c r="E4"/>
      <c r="F4">
        <v>10</v>
      </c>
      <c r="G4" t="s">
        <v>375</v>
      </c>
      <c r="H4" t="str">
        <f t="shared" si="0"/>
        <v/>
      </c>
      <c r="I4" s="30" t="s">
        <v>372</v>
      </c>
      <c r="J4" s="30" t="str">
        <f t="shared" si="1"/>
        <v/>
      </c>
      <c r="K4" s="30" t="str">
        <f t="shared" si="2"/>
        <v>Y</v>
      </c>
      <c r="L4" s="30" t="str">
        <f t="shared" si="3"/>
        <v/>
      </c>
      <c r="M4" s="30" t="str">
        <f t="shared" si="3"/>
        <v/>
      </c>
      <c r="N4" t="str">
        <f t="shared" si="4"/>
        <v>Event_03</v>
      </c>
      <c r="O4"/>
    </row>
    <row r="5" spans="1:15" x14ac:dyDescent="0.15">
      <c r="A5" s="27">
        <f t="shared" si="5"/>
        <v>4</v>
      </c>
      <c r="B5" s="28">
        <v>46126</v>
      </c>
      <c r="C5" s="29">
        <v>0.77083333333333337</v>
      </c>
      <c r="D5" t="s">
        <v>374</v>
      </c>
      <c r="E5"/>
      <c r="F5">
        <v>10</v>
      </c>
      <c r="G5" t="s">
        <v>375</v>
      </c>
      <c r="H5" t="str">
        <f t="shared" si="0"/>
        <v/>
      </c>
      <c r="I5" s="30" t="s">
        <v>372</v>
      </c>
      <c r="J5" s="30" t="str">
        <f t="shared" si="1"/>
        <v/>
      </c>
      <c r="K5" s="30" t="str">
        <f t="shared" si="2"/>
        <v>Y</v>
      </c>
      <c r="L5" s="30" t="str">
        <f t="shared" si="3"/>
        <v/>
      </c>
      <c r="M5" s="30" t="str">
        <f t="shared" si="3"/>
        <v/>
      </c>
      <c r="N5" t="str">
        <f t="shared" si="4"/>
        <v>Event_04</v>
      </c>
      <c r="O5"/>
    </row>
    <row r="6" spans="1:15" x14ac:dyDescent="0.15">
      <c r="A6" s="27">
        <f t="shared" si="5"/>
        <v>5</v>
      </c>
      <c r="B6" s="28">
        <v>46133</v>
      </c>
      <c r="C6" s="29">
        <v>0.77083333333333337</v>
      </c>
      <c r="D6" t="s">
        <v>376</v>
      </c>
      <c r="E6"/>
      <c r="F6">
        <v>10</v>
      </c>
      <c r="G6" t="s">
        <v>377</v>
      </c>
      <c r="H6" t="str">
        <f t="shared" si="0"/>
        <v/>
      </c>
      <c r="I6" s="30" t="s">
        <v>372</v>
      </c>
      <c r="J6" s="30" t="str">
        <f t="shared" si="1"/>
        <v/>
      </c>
      <c r="K6" s="30" t="str">
        <f t="shared" si="2"/>
        <v>Y</v>
      </c>
      <c r="L6" s="30" t="str">
        <f t="shared" si="3"/>
        <v/>
      </c>
      <c r="M6" s="30" t="str">
        <f t="shared" si="3"/>
        <v/>
      </c>
      <c r="N6" t="str">
        <f t="shared" si="4"/>
        <v>Event_05</v>
      </c>
      <c r="O6"/>
    </row>
    <row r="7" spans="1:15" x14ac:dyDescent="0.15">
      <c r="A7" s="27">
        <f t="shared" si="5"/>
        <v>6</v>
      </c>
      <c r="B7" s="28">
        <v>46145</v>
      </c>
      <c r="C7" s="29">
        <v>0.33333333333333331</v>
      </c>
      <c r="D7" t="s">
        <v>378</v>
      </c>
      <c r="E7"/>
      <c r="F7">
        <v>25</v>
      </c>
      <c r="G7" t="s">
        <v>379</v>
      </c>
      <c r="H7" t="str">
        <f t="shared" si="0"/>
        <v/>
      </c>
      <c r="I7" s="30" t="s">
        <v>372</v>
      </c>
      <c r="J7" s="30" t="str">
        <f t="shared" si="1"/>
        <v>Y</v>
      </c>
      <c r="K7" s="30" t="str">
        <f t="shared" si="2"/>
        <v/>
      </c>
      <c r="L7" s="30" t="str">
        <f t="shared" si="3"/>
        <v/>
      </c>
      <c r="M7" s="30" t="str">
        <f t="shared" si="3"/>
        <v/>
      </c>
      <c r="N7" t="str">
        <f t="shared" si="4"/>
        <v>Event_06</v>
      </c>
      <c r="O7"/>
    </row>
    <row r="8" spans="1:15" x14ac:dyDescent="0.15">
      <c r="A8" s="27">
        <f t="shared" si="5"/>
        <v>7</v>
      </c>
      <c r="B8" s="28">
        <v>46147</v>
      </c>
      <c r="C8" s="29">
        <v>0.77083333333333337</v>
      </c>
      <c r="D8" t="s">
        <v>380</v>
      </c>
      <c r="E8"/>
      <c r="F8" s="31">
        <f>5+5</f>
        <v>10</v>
      </c>
      <c r="G8" t="s">
        <v>381</v>
      </c>
      <c r="H8" t="str">
        <f t="shared" si="0"/>
        <v/>
      </c>
      <c r="I8" s="30" t="s">
        <v>372</v>
      </c>
      <c r="J8" s="30" t="str">
        <f t="shared" si="1"/>
        <v>Y</v>
      </c>
      <c r="K8" s="30" t="str">
        <f t="shared" si="2"/>
        <v/>
      </c>
      <c r="L8" s="30" t="str">
        <f t="shared" si="3"/>
        <v/>
      </c>
      <c r="M8" s="30" t="str">
        <f t="shared" si="3"/>
        <v/>
      </c>
      <c r="N8" t="str">
        <f t="shared" si="4"/>
        <v>Event_07</v>
      </c>
      <c r="O8"/>
    </row>
    <row r="9" spans="1:15" x14ac:dyDescent="0.15">
      <c r="A9" s="27">
        <f t="shared" si="5"/>
        <v>8</v>
      </c>
      <c r="B9" s="28">
        <v>46161</v>
      </c>
      <c r="C9" s="29">
        <v>0.79166666666666663</v>
      </c>
      <c r="D9" t="s">
        <v>374</v>
      </c>
      <c r="E9"/>
      <c r="F9">
        <v>10</v>
      </c>
      <c r="G9" t="s">
        <v>375</v>
      </c>
      <c r="H9" t="str">
        <f t="shared" si="0"/>
        <v/>
      </c>
      <c r="I9" s="30" t="s">
        <v>372</v>
      </c>
      <c r="J9" s="30" t="str">
        <f t="shared" si="1"/>
        <v/>
      </c>
      <c r="K9" s="30" t="str">
        <f t="shared" si="2"/>
        <v>Y</v>
      </c>
      <c r="L9" s="30" t="str">
        <f t="shared" si="3"/>
        <v/>
      </c>
      <c r="M9" s="30" t="str">
        <f t="shared" si="3"/>
        <v/>
      </c>
      <c r="N9" t="str">
        <f t="shared" si="4"/>
        <v>Event_08</v>
      </c>
      <c r="O9"/>
    </row>
    <row r="10" spans="1:15" x14ac:dyDescent="0.15">
      <c r="A10" s="27">
        <f t="shared" si="5"/>
        <v>9</v>
      </c>
      <c r="B10" s="28">
        <v>46166</v>
      </c>
      <c r="C10" s="29">
        <v>0.33333333333333331</v>
      </c>
      <c r="D10" t="s">
        <v>378</v>
      </c>
      <c r="E10"/>
      <c r="F10">
        <v>25</v>
      </c>
      <c r="G10" t="s">
        <v>379</v>
      </c>
      <c r="H10" t="str">
        <f t="shared" si="0"/>
        <v/>
      </c>
      <c r="I10" s="30" t="s">
        <v>372</v>
      </c>
      <c r="J10" s="30" t="str">
        <f t="shared" si="1"/>
        <v>Y</v>
      </c>
      <c r="K10" s="30" t="str">
        <f t="shared" si="2"/>
        <v/>
      </c>
      <c r="L10" s="30" t="str">
        <f t="shared" si="3"/>
        <v/>
      </c>
      <c r="M10" s="30" t="str">
        <f t="shared" si="3"/>
        <v/>
      </c>
      <c r="N10" t="str">
        <f t="shared" si="4"/>
        <v>Event_09</v>
      </c>
      <c r="O10"/>
    </row>
    <row r="11" spans="1:15" x14ac:dyDescent="0.15">
      <c r="A11" s="27">
        <f t="shared" si="5"/>
        <v>10</v>
      </c>
      <c r="B11" s="28">
        <v>46175</v>
      </c>
      <c r="C11" s="29">
        <v>0.8125</v>
      </c>
      <c r="D11" t="s">
        <v>382</v>
      </c>
      <c r="E11"/>
      <c r="F11">
        <v>10</v>
      </c>
      <c r="G11" t="s">
        <v>379</v>
      </c>
      <c r="H11" t="str">
        <f t="shared" si="0"/>
        <v/>
      </c>
      <c r="I11" s="30" t="s">
        <v>372</v>
      </c>
      <c r="J11" s="30" t="str">
        <f t="shared" si="1"/>
        <v/>
      </c>
      <c r="K11" s="30" t="str">
        <f t="shared" si="2"/>
        <v>Y</v>
      </c>
      <c r="L11" s="30" t="str">
        <f t="shared" si="3"/>
        <v/>
      </c>
      <c r="M11" s="30" t="str">
        <f t="shared" si="3"/>
        <v/>
      </c>
      <c r="N11" t="str">
        <f t="shared" si="4"/>
        <v>Event_10</v>
      </c>
      <c r="O11"/>
    </row>
    <row r="12" spans="1:15" x14ac:dyDescent="0.15">
      <c r="A12" s="27">
        <f t="shared" si="5"/>
        <v>11</v>
      </c>
      <c r="B12" s="28">
        <v>46189</v>
      </c>
      <c r="C12" s="29">
        <v>0.8125</v>
      </c>
      <c r="D12" t="s">
        <v>382</v>
      </c>
      <c r="E12"/>
      <c r="F12">
        <v>10</v>
      </c>
      <c r="G12" t="s">
        <v>379</v>
      </c>
      <c r="H12" t="str">
        <f t="shared" si="0"/>
        <v/>
      </c>
      <c r="I12" s="30" t="s">
        <v>372</v>
      </c>
      <c r="J12" s="30" t="str">
        <f t="shared" si="1"/>
        <v/>
      </c>
      <c r="K12" s="30" t="str">
        <f t="shared" si="2"/>
        <v>Y</v>
      </c>
      <c r="L12" s="30" t="str">
        <f t="shared" si="3"/>
        <v/>
      </c>
      <c r="M12" s="30" t="str">
        <f t="shared" si="3"/>
        <v/>
      </c>
      <c r="N12" t="str">
        <f t="shared" si="4"/>
        <v>Event_11</v>
      </c>
      <c r="O12"/>
    </row>
    <row r="13" spans="1:15" x14ac:dyDescent="0.15">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tr">
        <f t="shared" si="3"/>
        <v/>
      </c>
      <c r="M13" s="30" t="str">
        <f t="shared" si="3"/>
        <v/>
      </c>
      <c r="N13" t="str">
        <f t="shared" si="4"/>
        <v>Event_12</v>
      </c>
      <c r="O13"/>
    </row>
    <row r="14" spans="1:15" x14ac:dyDescent="0.15">
      <c r="A14" s="27">
        <f t="shared" si="5"/>
        <v>13</v>
      </c>
      <c r="B14" s="28">
        <v>46197</v>
      </c>
      <c r="C14" s="29">
        <v>0.79166666666666663</v>
      </c>
      <c r="D14" t="s">
        <v>384</v>
      </c>
      <c r="E14" t="s">
        <v>385</v>
      </c>
      <c r="F14">
        <v>10</v>
      </c>
      <c r="G14" t="s">
        <v>386</v>
      </c>
      <c r="H14" t="str">
        <f t="shared" si="0"/>
        <v/>
      </c>
      <c r="I14" s="30" t="s">
        <v>372</v>
      </c>
      <c r="J14" s="30"/>
      <c r="K14" s="30" t="str">
        <f>IF($B14="","",IF(AND(NOT(_xlfn.ISFORMULA($F14)),$F14=10),"Y",""))</f>
        <v>Y</v>
      </c>
      <c r="L14" s="30" t="str">
        <f t="shared" si="3"/>
        <v/>
      </c>
      <c r="M14" s="30" t="s">
        <v>372</v>
      </c>
      <c r="N14" t="str">
        <f t="shared" si="4"/>
        <v>Event_13</v>
      </c>
      <c r="O14"/>
    </row>
    <row r="15" spans="1:15" x14ac:dyDescent="0.15">
      <c r="A15" s="27">
        <f t="shared" si="5"/>
        <v>14</v>
      </c>
      <c r="B15" s="28">
        <v>46203</v>
      </c>
      <c r="C15" s="29">
        <v>0.79166666666666663</v>
      </c>
      <c r="D15" t="s">
        <v>387</v>
      </c>
      <c r="E15" t="s">
        <v>388</v>
      </c>
      <c r="F15">
        <v>10</v>
      </c>
      <c r="G15" t="s">
        <v>389</v>
      </c>
      <c r="H15" t="str">
        <f t="shared" si="0"/>
        <v/>
      </c>
      <c r="I15" s="30" t="s">
        <v>372</v>
      </c>
      <c r="J15" s="30" t="str">
        <f t="shared" si="1"/>
        <v/>
      </c>
      <c r="K15" s="30" t="str">
        <f t="shared" si="2"/>
        <v>Y</v>
      </c>
      <c r="L15" s="30" t="str">
        <f t="shared" si="3"/>
        <v/>
      </c>
      <c r="M15" s="30" t="s">
        <v>372</v>
      </c>
      <c r="N15" t="str">
        <f t="shared" si="4"/>
        <v>Event_14</v>
      </c>
      <c r="O15"/>
    </row>
    <row r="16" spans="1:15" x14ac:dyDescent="0.15">
      <c r="A16" s="27">
        <f t="shared" si="5"/>
        <v>15</v>
      </c>
      <c r="B16" s="28">
        <v>46205</v>
      </c>
      <c r="C16" s="29">
        <v>0.79166666666666663</v>
      </c>
      <c r="D16" t="s">
        <v>390</v>
      </c>
      <c r="E16" t="s">
        <v>391</v>
      </c>
      <c r="F16">
        <v>10</v>
      </c>
      <c r="G16" t="s">
        <v>392</v>
      </c>
      <c r="H16" t="str">
        <f t="shared" si="0"/>
        <v/>
      </c>
      <c r="I16" s="30" t="s">
        <v>372</v>
      </c>
      <c r="J16" s="30" t="str">
        <f t="shared" si="1"/>
        <v/>
      </c>
      <c r="K16" s="30" t="str">
        <f t="shared" si="2"/>
        <v>Y</v>
      </c>
      <c r="L16" s="30" t="str">
        <f t="shared" si="3"/>
        <v/>
      </c>
      <c r="M16" s="30" t="s">
        <v>372</v>
      </c>
      <c r="N16" t="str">
        <f t="shared" si="4"/>
        <v>Event_15</v>
      </c>
      <c r="O16"/>
    </row>
    <row r="17" spans="1:15" x14ac:dyDescent="0.15">
      <c r="A17" s="27">
        <f t="shared" si="5"/>
        <v>16</v>
      </c>
      <c r="B17" s="28">
        <v>46211</v>
      </c>
      <c r="C17" s="29">
        <v>0.79166666666666663</v>
      </c>
      <c r="D17" t="s">
        <v>384</v>
      </c>
      <c r="E17" t="s">
        <v>385</v>
      </c>
      <c r="F17">
        <v>10</v>
      </c>
      <c r="G17" t="s">
        <v>386</v>
      </c>
      <c r="H17" t="str">
        <f t="shared" si="0"/>
        <v/>
      </c>
      <c r="I17" s="30" t="s">
        <v>372</v>
      </c>
      <c r="J17" s="30" t="str">
        <f t="shared" si="1"/>
        <v/>
      </c>
      <c r="K17" s="30" t="str">
        <f t="shared" si="2"/>
        <v>Y</v>
      </c>
      <c r="L17" s="30" t="str">
        <f t="shared" si="3"/>
        <v/>
      </c>
      <c r="M17" s="30" t="s">
        <v>372</v>
      </c>
      <c r="N17" t="str">
        <f t="shared" si="4"/>
        <v>Event_16</v>
      </c>
      <c r="O17"/>
    </row>
    <row r="18" spans="1:15" x14ac:dyDescent="0.15">
      <c r="A18" s="27">
        <f t="shared" si="5"/>
        <v>17</v>
      </c>
      <c r="B18" s="28">
        <v>46214</v>
      </c>
      <c r="C18" s="29">
        <v>0.45833333333333331</v>
      </c>
      <c r="D18" t="s">
        <v>393</v>
      </c>
      <c r="E18" t="s">
        <v>394</v>
      </c>
      <c r="F18">
        <v>10</v>
      </c>
      <c r="G18" t="s">
        <v>395</v>
      </c>
      <c r="H18" t="str">
        <f t="shared" si="0"/>
        <v/>
      </c>
      <c r="I18" s="30" t="s">
        <v>372</v>
      </c>
      <c r="J18" s="30" t="str">
        <f t="shared" si="1"/>
        <v/>
      </c>
      <c r="K18" s="30" t="str">
        <f t="shared" si="2"/>
        <v>Y</v>
      </c>
      <c r="L18" s="30" t="str">
        <f t="shared" si="3"/>
        <v/>
      </c>
      <c r="M18" s="30" t="s">
        <v>372</v>
      </c>
      <c r="N18" t="str">
        <f t="shared" si="4"/>
        <v>Event_17</v>
      </c>
      <c r="O18"/>
    </row>
    <row r="19" spans="1:15" x14ac:dyDescent="0.15">
      <c r="A19" s="27">
        <f t="shared" si="5"/>
        <v>18</v>
      </c>
      <c r="B19" s="28">
        <v>46217</v>
      </c>
      <c r="C19" s="29">
        <v>0.79166666666666663</v>
      </c>
      <c r="D19" t="s">
        <v>396</v>
      </c>
      <c r="E19" t="s">
        <v>397</v>
      </c>
      <c r="F19">
        <v>10</v>
      </c>
      <c r="G19" t="s">
        <v>398</v>
      </c>
      <c r="H19" t="str">
        <f>IF($B19="","",IF(ISNUMBER(SEARCH("Hillclimb",#REF!)),"Y",""))</f>
        <v/>
      </c>
      <c r="I19" s="30" t="s">
        <v>372</v>
      </c>
      <c r="J19" s="30" t="str">
        <f t="shared" si="1"/>
        <v/>
      </c>
      <c r="K19" s="30" t="str">
        <f t="shared" si="2"/>
        <v>Y</v>
      </c>
      <c r="L19" s="30" t="str">
        <f t="shared" si="3"/>
        <v/>
      </c>
      <c r="M19" s="30" t="s">
        <v>372</v>
      </c>
      <c r="N19" t="str">
        <f t="shared" si="4"/>
        <v>Event_18</v>
      </c>
      <c r="O19"/>
    </row>
    <row r="20" spans="1:15" x14ac:dyDescent="0.15">
      <c r="A20" s="27">
        <f t="shared" si="5"/>
        <v>19</v>
      </c>
      <c r="B20" s="28">
        <v>46224</v>
      </c>
      <c r="C20" s="29">
        <v>0.79166666666666663</v>
      </c>
      <c r="D20" t="s">
        <v>399</v>
      </c>
      <c r="E20" t="s">
        <v>400</v>
      </c>
      <c r="F20">
        <v>10</v>
      </c>
      <c r="G20" t="s">
        <v>401</v>
      </c>
      <c r="H20" t="str">
        <f t="shared" si="0"/>
        <v/>
      </c>
      <c r="I20" s="30" t="s">
        <v>372</v>
      </c>
      <c r="J20" s="30" t="str">
        <f t="shared" si="1"/>
        <v/>
      </c>
      <c r="K20" s="30" t="str">
        <f t="shared" si="2"/>
        <v>Y</v>
      </c>
      <c r="L20" s="30" t="str">
        <f t="shared" si="3"/>
        <v/>
      </c>
      <c r="M20" s="30" t="s">
        <v>372</v>
      </c>
      <c r="N20" t="str">
        <f t="shared" si="4"/>
        <v>Event_19</v>
      </c>
      <c r="O20"/>
    </row>
    <row r="21" spans="1:15" x14ac:dyDescent="0.15">
      <c r="A21" s="27">
        <f t="shared" si="5"/>
        <v>20</v>
      </c>
      <c r="B21" s="28">
        <v>46228</v>
      </c>
      <c r="C21" s="29">
        <v>0.45833333333333331</v>
      </c>
      <c r="D21" t="s">
        <v>393</v>
      </c>
      <c r="E21" t="s">
        <v>394</v>
      </c>
      <c r="F21">
        <v>10</v>
      </c>
      <c r="G21" t="s">
        <v>395</v>
      </c>
      <c r="H21" t="str">
        <f t="shared" si="0"/>
        <v/>
      </c>
      <c r="I21" s="30" t="s">
        <v>372</v>
      </c>
      <c r="J21" s="30" t="str">
        <f t="shared" si="1"/>
        <v/>
      </c>
      <c r="K21" s="30" t="str">
        <f t="shared" si="2"/>
        <v>Y</v>
      </c>
      <c r="L21" s="30" t="str">
        <f t="shared" si="3"/>
        <v/>
      </c>
      <c r="M21" s="30" t="s">
        <v>372</v>
      </c>
      <c r="N21" t="str">
        <f t="shared" si="4"/>
        <v>Event_20</v>
      </c>
      <c r="O21"/>
    </row>
    <row r="22" spans="1:15" x14ac:dyDescent="0.15">
      <c r="A22" s="27">
        <f t="shared" si="5"/>
        <v>21</v>
      </c>
      <c r="B22" s="28">
        <v>46231</v>
      </c>
      <c r="C22" s="29">
        <v>0.79166666666666663</v>
      </c>
      <c r="D22" t="s">
        <v>396</v>
      </c>
      <c r="E22" t="s">
        <v>397</v>
      </c>
      <c r="F22">
        <v>10</v>
      </c>
      <c r="G22" t="s">
        <v>398</v>
      </c>
      <c r="H22" t="str">
        <f t="shared" si="0"/>
        <v/>
      </c>
      <c r="I22" s="30" t="s">
        <v>372</v>
      </c>
      <c r="J22" s="30" t="str">
        <f t="shared" si="1"/>
        <v/>
      </c>
      <c r="K22" s="30" t="str">
        <f t="shared" si="2"/>
        <v>Y</v>
      </c>
      <c r="L22" s="30" t="str">
        <f t="shared" si="3"/>
        <v/>
      </c>
      <c r="M22" s="30" t="s">
        <v>372</v>
      </c>
      <c r="N22" t="str">
        <f t="shared" si="4"/>
        <v>Event_21</v>
      </c>
      <c r="O22"/>
    </row>
    <row r="23" spans="1:15" x14ac:dyDescent="0.15">
      <c r="A23" s="27">
        <f t="shared" si="5"/>
        <v>22</v>
      </c>
      <c r="B23" s="28">
        <v>46238</v>
      </c>
      <c r="C23" s="29">
        <v>0.79166666666666663</v>
      </c>
      <c r="D23" t="s">
        <v>387</v>
      </c>
      <c r="E23" t="s">
        <v>388</v>
      </c>
      <c r="F23">
        <v>10</v>
      </c>
      <c r="G23" t="s">
        <v>389</v>
      </c>
      <c r="H23" t="str">
        <f t="shared" si="0"/>
        <v/>
      </c>
      <c r="I23" s="30" t="s">
        <v>372</v>
      </c>
      <c r="J23" s="30" t="str">
        <f t="shared" si="1"/>
        <v/>
      </c>
      <c r="K23" s="30" t="str">
        <f t="shared" si="2"/>
        <v>Y</v>
      </c>
      <c r="L23" s="30" t="str">
        <f t="shared" si="3"/>
        <v/>
      </c>
      <c r="M23" s="30" t="s">
        <v>372</v>
      </c>
      <c r="N23" t="str">
        <f t="shared" si="4"/>
        <v>Event_22</v>
      </c>
      <c r="O23"/>
    </row>
    <row r="24" spans="1:15" x14ac:dyDescent="0.15">
      <c r="A24" s="27">
        <f t="shared" si="5"/>
        <v>23</v>
      </c>
      <c r="B24" s="28">
        <v>46247</v>
      </c>
      <c r="C24" s="29">
        <v>0.79166666666666663</v>
      </c>
      <c r="D24" t="s">
        <v>390</v>
      </c>
      <c r="E24" t="s">
        <v>391</v>
      </c>
      <c r="F24">
        <v>9.4</v>
      </c>
      <c r="G24" t="s">
        <v>392</v>
      </c>
      <c r="H24" t="str">
        <f t="shared" si="0"/>
        <v/>
      </c>
      <c r="I24" s="30" t="s">
        <v>372</v>
      </c>
      <c r="J24" s="30"/>
      <c r="K24" s="30" t="s">
        <v>372</v>
      </c>
      <c r="L24" s="30" t="str">
        <f t="shared" si="3"/>
        <v/>
      </c>
      <c r="M24" s="30" t="s">
        <v>372</v>
      </c>
      <c r="N24" t="str">
        <f t="shared" si="4"/>
        <v>Event_23</v>
      </c>
      <c r="O24"/>
    </row>
    <row r="25" spans="1:15" x14ac:dyDescent="0.15">
      <c r="A25" s="27">
        <f t="shared" si="5"/>
        <v>24</v>
      </c>
      <c r="B25" s="28">
        <v>46252</v>
      </c>
      <c r="C25" s="29">
        <v>0.79166666666666663</v>
      </c>
      <c r="D25" t="s">
        <v>399</v>
      </c>
      <c r="E25" t="s">
        <v>400</v>
      </c>
      <c r="F25">
        <v>10</v>
      </c>
      <c r="G25" t="s">
        <v>401</v>
      </c>
      <c r="H25" t="str">
        <f t="shared" si="0"/>
        <v/>
      </c>
      <c r="I25" s="30" t="s">
        <v>372</v>
      </c>
      <c r="J25" s="30" t="str">
        <f t="shared" si="1"/>
        <v/>
      </c>
      <c r="K25" s="30" t="str">
        <f t="shared" si="2"/>
        <v>Y</v>
      </c>
      <c r="L25" s="30" t="str">
        <f t="shared" si="3"/>
        <v/>
      </c>
      <c r="M25" s="30" t="s">
        <v>372</v>
      </c>
      <c r="N25" t="str">
        <f t="shared" si="4"/>
        <v>Event_24</v>
      </c>
      <c r="O25"/>
    </row>
    <row r="26" spans="1:15" x14ac:dyDescent="0.15">
      <c r="A26" s="27">
        <f t="shared" si="5"/>
        <v>25</v>
      </c>
      <c r="B26" s="28">
        <v>46271</v>
      </c>
      <c r="C26" s="29">
        <v>0.79166666666666663</v>
      </c>
      <c r="D26" t="s">
        <v>402</v>
      </c>
      <c r="E26"/>
      <c r="F26">
        <v>25</v>
      </c>
      <c r="G26" t="s">
        <v>403</v>
      </c>
      <c r="H26" t="str">
        <f t="shared" si="0"/>
        <v/>
      </c>
      <c r="I26" s="30" t="s">
        <v>372</v>
      </c>
      <c r="J26" s="30" t="str">
        <f t="shared" si="1"/>
        <v>Y</v>
      </c>
      <c r="K26" s="30" t="str">
        <f t="shared" si="2"/>
        <v/>
      </c>
      <c r="L26" s="30" t="str">
        <f t="shared" si="3"/>
        <v>Y</v>
      </c>
      <c r="M26" s="30"/>
      <c r="N26" t="str">
        <f t="shared" si="4"/>
        <v>Event_25</v>
      </c>
      <c r="O26"/>
    </row>
    <row r="27" spans="1:15" x14ac:dyDescent="0.15">
      <c r="A27" s="27">
        <f t="shared" si="5"/>
        <v>26</v>
      </c>
      <c r="B27" s="28">
        <v>46292</v>
      </c>
      <c r="C27" s="20">
        <v>0.375</v>
      </c>
      <c r="D27" s="18" t="s">
        <v>404</v>
      </c>
      <c r="F27" s="19">
        <v>0.88</v>
      </c>
      <c r="G27" s="18" t="s">
        <v>405</v>
      </c>
      <c r="H27" t="str">
        <f t="shared" si="0"/>
        <v>Y</v>
      </c>
      <c r="I27" s="30" t="s">
        <v>372</v>
      </c>
      <c r="J27" s="30" t="str">
        <f t="shared" si="1"/>
        <v>Y</v>
      </c>
      <c r="K27" s="30" t="str">
        <f t="shared" si="2"/>
        <v/>
      </c>
      <c r="L27" s="30" t="str">
        <f t="shared" si="3"/>
        <v/>
      </c>
      <c r="M27" s="30" t="str">
        <f t="shared" si="3"/>
        <v/>
      </c>
      <c r="N27" t="str">
        <f t="shared" si="4"/>
        <v>Event_26</v>
      </c>
      <c r="O27"/>
    </row>
    <row r="28" spans="1:15" x14ac:dyDescent="0.15">
      <c r="A28" s="27">
        <f t="shared" si="5"/>
        <v>27</v>
      </c>
      <c r="B28" s="28">
        <v>46382</v>
      </c>
      <c r="C28" s="20">
        <v>0.41666666666666669</v>
      </c>
      <c r="D28" s="18" t="s">
        <v>406</v>
      </c>
      <c r="F28">
        <v>10</v>
      </c>
      <c r="G28" s="18" t="s">
        <v>375</v>
      </c>
      <c r="H28" t="str">
        <f t="shared" si="0"/>
        <v/>
      </c>
      <c r="I28" s="30"/>
      <c r="J28" s="30" t="str">
        <f>IF($B28="","",IF($F28=10,"","Y"))</f>
        <v/>
      </c>
      <c r="K28" s="30" t="str">
        <f t="shared" si="2"/>
        <v>Y</v>
      </c>
      <c r="L28" s="30" t="str">
        <f t="shared" si="3"/>
        <v/>
      </c>
      <c r="M28" s="30" t="str">
        <f t="shared" si="3"/>
        <v/>
      </c>
      <c r="N28" t="str">
        <f t="shared" si="4"/>
        <v>Event_27</v>
      </c>
    </row>
    <row r="29" spans="1:15" x14ac:dyDescent="0.15">
      <c r="A29" s="27"/>
      <c r="B29" s="28"/>
      <c r="F29"/>
      <c r="H29"/>
      <c r="I29" s="30"/>
      <c r="J29" s="30"/>
      <c r="K29" s="30"/>
      <c r="L29" s="30"/>
      <c r="M29" s="30"/>
      <c r="N29"/>
    </row>
    <row r="30" spans="1:15" x14ac:dyDescent="0.15">
      <c r="A30" s="27"/>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topLeftCell="A28" workbookViewId="0">
      <selection activeCell="B56" sqref="B56"/>
    </sheetView>
  </sheetViews>
  <sheetFormatPr defaultRowHeight="12.75" x14ac:dyDescent="0.15"/>
  <cols>
    <col min="1" max="1" width="11.8671875" bestFit="1" customWidth="1"/>
    <col min="2" max="2" width="23.59765625" customWidth="1"/>
    <col min="3" max="3" width="16.046875" style="32" customWidth="1"/>
  </cols>
  <sheetData>
    <row r="1" spans="1:3" s="33" customFormat="1" x14ac:dyDescent="0.15">
      <c r="A1" s="33" t="s">
        <v>13</v>
      </c>
      <c r="B1" s="33" t="s">
        <v>407</v>
      </c>
      <c r="C1" s="34" t="s">
        <v>408</v>
      </c>
    </row>
    <row r="2" spans="1:3" x14ac:dyDescent="0.15">
      <c r="A2">
        <f t="shared" ref="A2:A33" si="0">IF(ISBLANK(B2),"",_xlfn.XLOOKUP(B2,ClubNames,ClubNumbers))</f>
        <v>1094</v>
      </c>
      <c r="B2" t="s">
        <v>409</v>
      </c>
      <c r="C2" s="32" t="s">
        <v>410</v>
      </c>
    </row>
    <row r="3" spans="1:3" x14ac:dyDescent="0.15">
      <c r="A3">
        <f t="shared" si="0"/>
        <v>747</v>
      </c>
      <c r="B3" t="s">
        <v>411</v>
      </c>
      <c r="C3" s="32" t="s">
        <v>410</v>
      </c>
    </row>
    <row r="4" spans="1:3" x14ac:dyDescent="0.15">
      <c r="A4">
        <f t="shared" si="0"/>
        <v>407</v>
      </c>
      <c r="B4" t="s">
        <v>412</v>
      </c>
      <c r="C4" s="32" t="s">
        <v>410</v>
      </c>
    </row>
    <row r="5" spans="1:3" x14ac:dyDescent="0.15">
      <c r="A5">
        <f t="shared" si="0"/>
        <v>1144</v>
      </c>
      <c r="B5" t="s">
        <v>413</v>
      </c>
      <c r="C5" s="32" t="s">
        <v>410</v>
      </c>
    </row>
    <row r="6" spans="1:3" x14ac:dyDescent="0.15">
      <c r="A6">
        <f t="shared" si="0"/>
        <v>989</v>
      </c>
      <c r="B6" t="s">
        <v>414</v>
      </c>
      <c r="C6" s="32" t="s">
        <v>410</v>
      </c>
    </row>
    <row r="7" spans="1:3" x14ac:dyDescent="0.15">
      <c r="A7">
        <f t="shared" si="0"/>
        <v>699</v>
      </c>
      <c r="B7" t="s">
        <v>415</v>
      </c>
      <c r="C7" s="32" t="s">
        <v>410</v>
      </c>
    </row>
    <row r="8" spans="1:3" x14ac:dyDescent="0.15">
      <c r="A8">
        <f t="shared" si="0"/>
        <v>1161</v>
      </c>
      <c r="B8" t="s">
        <v>416</v>
      </c>
      <c r="C8" s="32" t="s">
        <v>410</v>
      </c>
    </row>
    <row r="9" spans="1:3" x14ac:dyDescent="0.15">
      <c r="A9">
        <f t="shared" si="0"/>
        <v>38</v>
      </c>
      <c r="B9" t="s">
        <v>417</v>
      </c>
      <c r="C9" s="32" t="s">
        <v>410</v>
      </c>
    </row>
    <row r="10" spans="1:3" x14ac:dyDescent="0.15">
      <c r="A10">
        <f t="shared" si="0"/>
        <v>1152</v>
      </c>
      <c r="B10" t="s">
        <v>418</v>
      </c>
      <c r="C10" s="32" t="s">
        <v>410</v>
      </c>
    </row>
    <row r="11" spans="1:3" x14ac:dyDescent="0.15">
      <c r="A11">
        <f t="shared" si="0"/>
        <v>1355</v>
      </c>
      <c r="B11" s="35" t="s">
        <v>419</v>
      </c>
      <c r="C11" s="32">
        <v>1</v>
      </c>
    </row>
    <row r="12" spans="1:3" x14ac:dyDescent="0.15">
      <c r="A12">
        <f t="shared" si="0"/>
        <v>756</v>
      </c>
      <c r="B12" s="35" t="s">
        <v>420</v>
      </c>
      <c r="C12" s="32">
        <v>1</v>
      </c>
    </row>
    <row r="13" spans="1:3" x14ac:dyDescent="0.15">
      <c r="A13">
        <f t="shared" si="0"/>
        <v>1192</v>
      </c>
      <c r="B13" s="35" t="s">
        <v>421</v>
      </c>
      <c r="C13" s="32">
        <v>1</v>
      </c>
    </row>
    <row r="14" spans="1:3" x14ac:dyDescent="0.15">
      <c r="A14">
        <f t="shared" si="0"/>
        <v>415</v>
      </c>
      <c r="B14" s="35" t="s">
        <v>422</v>
      </c>
      <c r="C14" s="32">
        <v>1</v>
      </c>
    </row>
    <row r="15" spans="1:3" x14ac:dyDescent="0.15">
      <c r="A15">
        <f t="shared" si="0"/>
        <v>1407</v>
      </c>
      <c r="B15" s="35" t="s">
        <v>423</v>
      </c>
      <c r="C15" s="32">
        <v>1</v>
      </c>
    </row>
    <row r="16" spans="1:3" x14ac:dyDescent="0.15">
      <c r="A16">
        <f t="shared" si="0"/>
        <v>35</v>
      </c>
      <c r="B16" s="35" t="s">
        <v>424</v>
      </c>
      <c r="C16" s="32">
        <v>1</v>
      </c>
    </row>
    <row r="17" spans="1:3" x14ac:dyDescent="0.15">
      <c r="A17">
        <f t="shared" si="0"/>
        <v>1024</v>
      </c>
      <c r="B17" s="35" t="s">
        <v>425</v>
      </c>
      <c r="C17" s="32">
        <v>1</v>
      </c>
    </row>
    <row r="18" spans="1:3" x14ac:dyDescent="0.15">
      <c r="A18">
        <f t="shared" si="0"/>
        <v>1418</v>
      </c>
      <c r="B18" s="35" t="s">
        <v>426</v>
      </c>
      <c r="C18" s="32">
        <v>1</v>
      </c>
    </row>
    <row r="19" spans="1:3" x14ac:dyDescent="0.15">
      <c r="A19">
        <f t="shared" si="0"/>
        <v>1055</v>
      </c>
      <c r="B19" s="35" t="s">
        <v>427</v>
      </c>
      <c r="C19" s="32">
        <v>1</v>
      </c>
    </row>
    <row r="20" spans="1:3" x14ac:dyDescent="0.15">
      <c r="A20">
        <f t="shared" si="0"/>
        <v>915</v>
      </c>
      <c r="B20" s="35" t="s">
        <v>428</v>
      </c>
      <c r="C20" s="32">
        <v>1</v>
      </c>
    </row>
    <row r="21" spans="1:3" x14ac:dyDescent="0.15">
      <c r="A21">
        <f t="shared" si="0"/>
        <v>1237</v>
      </c>
      <c r="B21" s="35" t="s">
        <v>429</v>
      </c>
      <c r="C21" s="32">
        <v>2</v>
      </c>
    </row>
    <row r="22" spans="1:3" x14ac:dyDescent="0.15">
      <c r="A22">
        <f t="shared" si="0"/>
        <v>1107</v>
      </c>
      <c r="B22" s="35" t="s">
        <v>430</v>
      </c>
      <c r="C22" s="32">
        <v>2</v>
      </c>
    </row>
    <row r="23" spans="1:3" x14ac:dyDescent="0.15">
      <c r="A23">
        <f t="shared" si="0"/>
        <v>616</v>
      </c>
      <c r="B23" s="35" t="s">
        <v>431</v>
      </c>
      <c r="C23" s="32">
        <v>2</v>
      </c>
    </row>
    <row r="24" spans="1:3" x14ac:dyDescent="0.15">
      <c r="A24">
        <f t="shared" si="0"/>
        <v>1403</v>
      </c>
      <c r="B24" s="35" t="s">
        <v>432</v>
      </c>
      <c r="C24" s="32">
        <v>2</v>
      </c>
    </row>
    <row r="25" spans="1:3" x14ac:dyDescent="0.15">
      <c r="A25">
        <f t="shared" si="0"/>
        <v>1112</v>
      </c>
      <c r="B25" s="35" t="s">
        <v>433</v>
      </c>
      <c r="C25" s="32">
        <v>2</v>
      </c>
    </row>
    <row r="26" spans="1:3" x14ac:dyDescent="0.15">
      <c r="A26">
        <f t="shared" si="0"/>
        <v>1109</v>
      </c>
      <c r="B26" s="35" t="s">
        <v>434</v>
      </c>
      <c r="C26" s="32">
        <v>2</v>
      </c>
    </row>
    <row r="27" spans="1:3" x14ac:dyDescent="0.15">
      <c r="A27">
        <f t="shared" si="0"/>
        <v>1419</v>
      </c>
      <c r="B27" s="35" t="s">
        <v>435</v>
      </c>
      <c r="C27" s="32">
        <v>2</v>
      </c>
    </row>
    <row r="28" spans="1:3" x14ac:dyDescent="0.15">
      <c r="A28">
        <f t="shared" si="0"/>
        <v>846</v>
      </c>
      <c r="B28" s="35" t="s">
        <v>436</v>
      </c>
      <c r="C28" s="32">
        <v>2</v>
      </c>
    </row>
    <row r="29" spans="1:3" x14ac:dyDescent="0.15">
      <c r="A29">
        <f t="shared" si="0"/>
        <v>203</v>
      </c>
      <c r="B29" s="35" t="s">
        <v>437</v>
      </c>
      <c r="C29" s="32">
        <v>2</v>
      </c>
    </row>
    <row r="30" spans="1:3" x14ac:dyDescent="0.15">
      <c r="A30">
        <f t="shared" si="0"/>
        <v>1195</v>
      </c>
      <c r="B30" t="s">
        <v>438</v>
      </c>
      <c r="C30" s="32">
        <v>3</v>
      </c>
    </row>
    <row r="31" spans="1:3" x14ac:dyDescent="0.15">
      <c r="A31">
        <f t="shared" si="0"/>
        <v>704</v>
      </c>
      <c r="B31" t="s">
        <v>439</v>
      </c>
      <c r="C31" s="32">
        <v>3</v>
      </c>
    </row>
    <row r="32" spans="1:3" x14ac:dyDescent="0.15">
      <c r="A32">
        <f t="shared" si="0"/>
        <v>23</v>
      </c>
      <c r="B32" t="s">
        <v>440</v>
      </c>
      <c r="C32" s="32">
        <v>3</v>
      </c>
    </row>
    <row r="33" spans="1:3" x14ac:dyDescent="0.15">
      <c r="A33">
        <f t="shared" si="0"/>
        <v>245</v>
      </c>
      <c r="B33" t="s">
        <v>441</v>
      </c>
      <c r="C33" s="32">
        <v>3</v>
      </c>
    </row>
    <row r="34" spans="1:3" x14ac:dyDescent="0.15">
      <c r="A34">
        <f t="shared" ref="A34:A97" si="1">IF(ISBLANK(B34),"",_xlfn.XLOOKUP(B34,ClubNames,ClubNumbers))</f>
        <v>1254</v>
      </c>
      <c r="B34" t="s">
        <v>442</v>
      </c>
      <c r="C34" s="32">
        <v>3</v>
      </c>
    </row>
    <row r="35" spans="1:3" x14ac:dyDescent="0.15">
      <c r="A35">
        <f t="shared" si="1"/>
        <v>564</v>
      </c>
      <c r="B35" t="s">
        <v>443</v>
      </c>
      <c r="C35" s="32">
        <v>3</v>
      </c>
    </row>
    <row r="36" spans="1:3" x14ac:dyDescent="0.15">
      <c r="A36">
        <f t="shared" si="1"/>
        <v>1193</v>
      </c>
      <c r="B36" t="s">
        <v>444</v>
      </c>
      <c r="C36" s="32">
        <v>3</v>
      </c>
    </row>
    <row r="37" spans="1:3" x14ac:dyDescent="0.15">
      <c r="A37">
        <f t="shared" si="1"/>
        <v>1386</v>
      </c>
      <c r="B37" t="s">
        <v>445</v>
      </c>
      <c r="C37" s="32">
        <v>3</v>
      </c>
    </row>
    <row r="38" spans="1:3" x14ac:dyDescent="0.15">
      <c r="A38">
        <f t="shared" si="1"/>
        <v>1242</v>
      </c>
      <c r="B38" t="s">
        <v>446</v>
      </c>
      <c r="C38" s="32">
        <v>3</v>
      </c>
    </row>
    <row r="39" spans="1:3" x14ac:dyDescent="0.15">
      <c r="A39">
        <f t="shared" si="1"/>
        <v>1379</v>
      </c>
      <c r="B39" t="s">
        <v>447</v>
      </c>
      <c r="C39" s="32">
        <v>3</v>
      </c>
    </row>
    <row r="40" spans="1:3" x14ac:dyDescent="0.15">
      <c r="A40">
        <f t="shared" si="1"/>
        <v>1194</v>
      </c>
      <c r="B40" t="s">
        <v>448</v>
      </c>
      <c r="C40" s="32">
        <v>4</v>
      </c>
    </row>
    <row r="41" spans="1:3" x14ac:dyDescent="0.15">
      <c r="A41">
        <f t="shared" si="1"/>
        <v>1298</v>
      </c>
      <c r="B41" t="s">
        <v>449</v>
      </c>
      <c r="C41" s="32">
        <v>4</v>
      </c>
    </row>
    <row r="42" spans="1:3" x14ac:dyDescent="0.15">
      <c r="A42">
        <f t="shared" si="1"/>
        <v>1332</v>
      </c>
      <c r="B42" t="s">
        <v>450</v>
      </c>
      <c r="C42" s="32">
        <v>4</v>
      </c>
    </row>
    <row r="43" spans="1:3" x14ac:dyDescent="0.15">
      <c r="A43">
        <f t="shared" si="1"/>
        <v>1377</v>
      </c>
      <c r="B43" t="s">
        <v>451</v>
      </c>
      <c r="C43" s="32">
        <v>4</v>
      </c>
    </row>
    <row r="44" spans="1:3" x14ac:dyDescent="0.15">
      <c r="A44">
        <f t="shared" si="1"/>
        <v>1244</v>
      </c>
      <c r="B44" t="s">
        <v>452</v>
      </c>
      <c r="C44" s="32">
        <v>4</v>
      </c>
    </row>
    <row r="45" spans="1:3" x14ac:dyDescent="0.15">
      <c r="A45">
        <f t="shared" si="1"/>
        <v>1404</v>
      </c>
      <c r="B45" t="s">
        <v>453</v>
      </c>
      <c r="C45" s="32">
        <v>4</v>
      </c>
    </row>
    <row r="46" spans="1:3" x14ac:dyDescent="0.15">
      <c r="A46">
        <f t="shared" si="1"/>
        <v>990</v>
      </c>
      <c r="B46" t="s">
        <v>454</v>
      </c>
      <c r="C46" s="32">
        <v>4</v>
      </c>
    </row>
    <row r="47" spans="1:3" x14ac:dyDescent="0.15">
      <c r="A47">
        <f t="shared" si="1"/>
        <v>558</v>
      </c>
      <c r="B47" t="s">
        <v>455</v>
      </c>
      <c r="C47" s="32">
        <v>4</v>
      </c>
    </row>
    <row r="48" spans="1:3" x14ac:dyDescent="0.15">
      <c r="A48">
        <f t="shared" si="1"/>
        <v>45</v>
      </c>
      <c r="B48" t="s">
        <v>456</v>
      </c>
      <c r="C48" s="32">
        <v>4</v>
      </c>
    </row>
    <row r="49" spans="1:3" x14ac:dyDescent="0.15">
      <c r="A49">
        <f t="shared" si="1"/>
        <v>295</v>
      </c>
      <c r="B49" t="s">
        <v>457</v>
      </c>
      <c r="C49" s="32">
        <v>4</v>
      </c>
    </row>
    <row r="50" spans="1:3" x14ac:dyDescent="0.15">
      <c r="A50">
        <f t="shared" si="1"/>
        <v>967</v>
      </c>
      <c r="B50" t="s">
        <v>458</v>
      </c>
      <c r="C50" s="32" t="s">
        <v>410</v>
      </c>
    </row>
    <row r="51" spans="1:3" x14ac:dyDescent="0.15">
      <c r="A51">
        <f t="shared" si="1"/>
        <v>120</v>
      </c>
      <c r="B51" t="s">
        <v>459</v>
      </c>
      <c r="C51" s="32">
        <v>2</v>
      </c>
    </row>
    <row r="52" spans="1:3" x14ac:dyDescent="0.15">
      <c r="A52">
        <f t="shared" si="1"/>
        <v>715</v>
      </c>
      <c r="B52" t="s">
        <v>460</v>
      </c>
      <c r="C52" s="32">
        <v>3</v>
      </c>
    </row>
    <row r="53" spans="1:3" x14ac:dyDescent="0.15">
      <c r="A53">
        <f t="shared" si="1"/>
        <v>742</v>
      </c>
      <c r="B53" t="s">
        <v>461</v>
      </c>
      <c r="C53" s="32">
        <v>4</v>
      </c>
    </row>
    <row r="54" spans="1:3" x14ac:dyDescent="0.15">
      <c r="A54">
        <f t="shared" si="1"/>
        <v>7</v>
      </c>
      <c r="B54" t="s">
        <v>462</v>
      </c>
      <c r="C54" s="32">
        <v>4</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 t="shared" ref="A98:A101" si="2">IF(ISBLANK(B98),"",_xlfn.XLOOKUP(B98,ClubNames,ClubNumbers))</f>
        <v/>
      </c>
    </row>
    <row r="99" spans="1:1" x14ac:dyDescent="0.15">
      <c r="A99" t="str">
        <f t="shared" si="2"/>
        <v/>
      </c>
    </row>
    <row r="100" spans="1:1" x14ac:dyDescent="0.15">
      <c r="A100" t="str">
        <f t="shared" si="2"/>
        <v/>
      </c>
    </row>
    <row r="101" spans="1:1" x14ac:dyDescent="0.15">
      <c r="A101" t="str">
        <f t="shared" si="2"/>
        <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94"/>
  <sheetViews>
    <sheetView topLeftCell="A47" workbookViewId="0">
      <selection activeCell="D66" sqref="A1:D66"/>
    </sheetView>
  </sheetViews>
  <sheetFormatPr defaultRowHeight="12.75" x14ac:dyDescent="0.15"/>
  <cols>
    <col min="1" max="1" width="28.453125" customWidth="1"/>
    <col min="2" max="2" width="19.1484375" customWidth="1"/>
    <col min="3" max="3" width="25.08203125" bestFit="1" customWidth="1"/>
  </cols>
  <sheetData>
    <row r="1" spans="1:8" s="33" customFormat="1" x14ac:dyDescent="0.15">
      <c r="A1" s="33" t="s">
        <v>463</v>
      </c>
      <c r="B1" s="33" t="s">
        <v>464</v>
      </c>
      <c r="C1" s="33" t="s">
        <v>465</v>
      </c>
      <c r="D1" s="33" t="s">
        <v>17</v>
      </c>
    </row>
    <row r="2" spans="1:8" ht="15" x14ac:dyDescent="0.2">
      <c r="A2" t="s">
        <v>466</v>
      </c>
      <c r="B2" t="s">
        <v>467</v>
      </c>
      <c r="C2" s="36" t="str">
        <f>IF(ISBLANK(B2), IF(ISBLANK(A2),"",A2), _xlfn.CONCAT(A2," (",B2,")"))</f>
        <v>Carl Dyson (Aerologic)</v>
      </c>
      <c r="H2" t="s">
        <v>468</v>
      </c>
    </row>
    <row r="3" spans="1:8" ht="15" x14ac:dyDescent="0.2">
      <c r="A3" t="s">
        <v>469</v>
      </c>
      <c r="B3" t="s">
        <v>470</v>
      </c>
      <c r="C3" s="36" t="str">
        <f>IF(ISBLANK(B3), IF(ISBLANK(A3),"",A3), _xlfn.CONCAT(A3," (",B3,")"))</f>
        <v>Tommy Nolan (Ashby ICC)</v>
      </c>
      <c r="H3" t="s">
        <v>471</v>
      </c>
    </row>
    <row r="4" spans="1:8" ht="15" x14ac:dyDescent="0.2">
      <c r="A4" t="s">
        <v>472</v>
      </c>
      <c r="B4" t="s">
        <v>473</v>
      </c>
      <c r="C4" s="36" t="str">
        <f t="shared" ref="C4:C35" si="0">IF(ISBLANK(B4),IF(ISBLANK(A4),"",A4),_xlfn.CONCAT(A4," (",B4,")"))</f>
        <v>David Marshall (Bluelight CC)</v>
      </c>
      <c r="H4" t="s">
        <v>474</v>
      </c>
    </row>
    <row r="5" spans="1:8" ht="15" x14ac:dyDescent="0.2">
      <c r="A5" t="s">
        <v>475</v>
      </c>
      <c r="B5" t="s">
        <v>476</v>
      </c>
      <c r="C5" s="36" t="str">
        <f t="shared" si="0"/>
        <v>John Capel (Coalville Wheelers)</v>
      </c>
    </row>
    <row r="6" spans="1:8" ht="15" x14ac:dyDescent="0.2">
      <c r="A6" t="s">
        <v>477</v>
      </c>
      <c r="B6" t="s">
        <v>476</v>
      </c>
      <c r="C6" s="36" t="str">
        <f t="shared" si="0"/>
        <v>Pamela Moore (Coalville Wheelers)</v>
      </c>
      <c r="D6" t="s">
        <v>372</v>
      </c>
    </row>
    <row r="7" spans="1:8" ht="15" x14ac:dyDescent="0.2">
      <c r="A7" t="s">
        <v>478</v>
      </c>
      <c r="B7" t="s">
        <v>479</v>
      </c>
      <c r="C7" s="36" t="str">
        <f t="shared" si="0"/>
        <v>Jayne Mumford (W) (Cov Tri)</v>
      </c>
      <c r="D7" t="s">
        <v>372</v>
      </c>
    </row>
    <row r="8" spans="1:8" ht="15" x14ac:dyDescent="0.2">
      <c r="A8" t="s">
        <v>480</v>
      </c>
      <c r="B8" t="s">
        <v>479</v>
      </c>
      <c r="C8" s="36" t="str">
        <f t="shared" si="0"/>
        <v>Simon Clarke (Cov Tri)</v>
      </c>
    </row>
    <row r="9" spans="1:8" ht="15" x14ac:dyDescent="0.2">
      <c r="A9" t="s">
        <v>481</v>
      </c>
      <c r="B9" t="s">
        <v>482</v>
      </c>
      <c r="C9" s="36" t="str">
        <f t="shared" si="0"/>
        <v>Lydia Baxter (FTP Fusion)</v>
      </c>
      <c r="D9" t="s">
        <v>372</v>
      </c>
    </row>
    <row r="10" spans="1:8" ht="15" x14ac:dyDescent="0.2">
      <c r="A10" t="s">
        <v>483</v>
      </c>
      <c r="B10" t="s">
        <v>397</v>
      </c>
      <c r="C10" s="36" t="str">
        <f t="shared" si="0"/>
        <v>Andy Thomas (HCRC)</v>
      </c>
    </row>
    <row r="11" spans="1:8" ht="15" x14ac:dyDescent="0.2">
      <c r="A11" t="s">
        <v>484</v>
      </c>
      <c r="B11" t="s">
        <v>397</v>
      </c>
      <c r="C11" s="36" t="str">
        <f t="shared" si="0"/>
        <v>Colin Parkinson (SWRC) (HCRC)</v>
      </c>
    </row>
    <row r="12" spans="1:8" ht="15" x14ac:dyDescent="0.2">
      <c r="A12" t="s">
        <v>485</v>
      </c>
      <c r="B12" t="s">
        <v>397</v>
      </c>
      <c r="C12" s="36" t="str">
        <f t="shared" si="0"/>
        <v>Joe Murray (M I Racing) (HCRC)</v>
      </c>
    </row>
    <row r="13" spans="1:8" ht="15" x14ac:dyDescent="0.2">
      <c r="A13" t="s">
        <v>486</v>
      </c>
      <c r="B13" t="s">
        <v>397</v>
      </c>
      <c r="C13" s="36" t="str">
        <f t="shared" si="0"/>
        <v>Mick Wills (M I Racing) (HCRC)</v>
      </c>
    </row>
    <row r="14" spans="1:8" ht="15" x14ac:dyDescent="0.2">
      <c r="A14" t="s">
        <v>487</v>
      </c>
      <c r="B14" t="s">
        <v>391</v>
      </c>
      <c r="C14" s="36" t="str">
        <f t="shared" si="0"/>
        <v>Andy King (KCC)</v>
      </c>
    </row>
    <row r="15" spans="1:8" ht="15" x14ac:dyDescent="0.2">
      <c r="A15" t="s">
        <v>488</v>
      </c>
      <c r="B15" t="s">
        <v>391</v>
      </c>
      <c r="C15" s="36" t="str">
        <f t="shared" si="0"/>
        <v>Evan Collett Jnr (KCC)</v>
      </c>
    </row>
    <row r="16" spans="1:8" ht="15" x14ac:dyDescent="0.2">
      <c r="A16" t="s">
        <v>489</v>
      </c>
      <c r="B16" t="s">
        <v>391</v>
      </c>
      <c r="C16" s="36" t="str">
        <f t="shared" si="0"/>
        <v>Josh Brown (KCC)</v>
      </c>
    </row>
    <row r="17" spans="1:4" ht="15" x14ac:dyDescent="0.2">
      <c r="A17" t="s">
        <v>490</v>
      </c>
      <c r="B17" t="s">
        <v>400</v>
      </c>
      <c r="C17" s="36" t="str">
        <f t="shared" si="0"/>
        <v>Harriet Hughes (LFCC)</v>
      </c>
      <c r="D17" t="s">
        <v>372</v>
      </c>
    </row>
    <row r="18" spans="1:4" ht="15" x14ac:dyDescent="0.2">
      <c r="A18" t="s">
        <v>491</v>
      </c>
      <c r="B18" t="s">
        <v>400</v>
      </c>
      <c r="C18" s="36" t="str">
        <f t="shared" si="0"/>
        <v>Mat Mabe (LFCC)</v>
      </c>
    </row>
    <row r="19" spans="1:4" ht="15" x14ac:dyDescent="0.2">
      <c r="A19" t="s">
        <v>492</v>
      </c>
      <c r="B19" t="s">
        <v>400</v>
      </c>
      <c r="C19" s="36" t="str">
        <f t="shared" si="0"/>
        <v>Matt Finch (LFCC)</v>
      </c>
    </row>
    <row r="20" spans="1:4" ht="15" x14ac:dyDescent="0.2">
      <c r="A20" t="s">
        <v>493</v>
      </c>
      <c r="B20" t="s">
        <v>400</v>
      </c>
      <c r="C20" s="36" t="str">
        <f t="shared" si="0"/>
        <v>Morris Mabe (LFCC)</v>
      </c>
    </row>
    <row r="21" spans="1:4" ht="15" x14ac:dyDescent="0.2">
      <c r="A21" t="s">
        <v>494</v>
      </c>
      <c r="B21" t="s">
        <v>400</v>
      </c>
      <c r="C21" s="36" t="str">
        <f t="shared" si="0"/>
        <v>Sam Nettel (LFCC)</v>
      </c>
    </row>
    <row r="22" spans="1:4" ht="15" x14ac:dyDescent="0.2">
      <c r="A22" t="s">
        <v>495</v>
      </c>
      <c r="B22" t="s">
        <v>400</v>
      </c>
      <c r="C22" s="36" t="str">
        <f t="shared" si="0"/>
        <v>Talles Medevives (LFCC)</v>
      </c>
    </row>
    <row r="23" spans="1:4" ht="15" x14ac:dyDescent="0.2">
      <c r="A23" t="s">
        <v>496</v>
      </c>
      <c r="B23" t="s">
        <v>497</v>
      </c>
      <c r="C23" s="36" t="str">
        <f t="shared" si="0"/>
        <v>Dean Tacey (LRC)</v>
      </c>
    </row>
    <row r="24" spans="1:4" ht="15" x14ac:dyDescent="0.2">
      <c r="A24" t="s">
        <v>498</v>
      </c>
      <c r="B24" t="s">
        <v>499</v>
      </c>
      <c r="C24" s="36" t="str">
        <f t="shared" si="0"/>
        <v>Chris Booth (MOCC)</v>
      </c>
    </row>
    <row r="25" spans="1:4" ht="15" x14ac:dyDescent="0.2">
      <c r="A25" t="s">
        <v>500</v>
      </c>
      <c r="B25" t="s">
        <v>499</v>
      </c>
      <c r="C25" s="36" t="str">
        <f t="shared" si="0"/>
        <v>David Cooper (MOCC)</v>
      </c>
    </row>
    <row r="26" spans="1:4" ht="15" x14ac:dyDescent="0.2">
      <c r="A26" t="s">
        <v>501</v>
      </c>
      <c r="B26" t="s">
        <v>499</v>
      </c>
      <c r="C26" s="36" t="str">
        <f t="shared" si="0"/>
        <v>Jamie Haines (MOCC)</v>
      </c>
    </row>
    <row r="27" spans="1:4" ht="15" x14ac:dyDescent="0.2">
      <c r="A27" t="s">
        <v>502</v>
      </c>
      <c r="B27" t="s">
        <v>499</v>
      </c>
      <c r="C27" s="36" t="str">
        <f t="shared" si="0"/>
        <v>Laura Ayers (W) (MOCC)</v>
      </c>
      <c r="D27" t="s">
        <v>372</v>
      </c>
    </row>
    <row r="28" spans="1:4" ht="15" x14ac:dyDescent="0.2">
      <c r="A28" t="s">
        <v>503</v>
      </c>
      <c r="B28" t="s">
        <v>504</v>
      </c>
      <c r="C28" s="36" t="str">
        <f t="shared" si="0"/>
        <v>Ed Tarelli (Race Hub)</v>
      </c>
      <c r="D28" s="36"/>
    </row>
    <row r="29" spans="1:4" ht="15" x14ac:dyDescent="0.2">
      <c r="A29" t="s">
        <v>505</v>
      </c>
      <c r="B29" t="s">
        <v>506</v>
      </c>
      <c r="C29" s="36" t="str">
        <f t="shared" si="0"/>
        <v>Lewis Cooper (RAF Tri)</v>
      </c>
    </row>
    <row r="30" spans="1:4" ht="15" x14ac:dyDescent="0.2">
      <c r="A30" t="s">
        <v>507</v>
      </c>
      <c r="B30" t="s">
        <v>394</v>
      </c>
      <c r="C30" s="36" t="str">
        <f t="shared" si="0"/>
        <v>Alex Whitmore (Ratae)</v>
      </c>
    </row>
    <row r="31" spans="1:4" ht="15" x14ac:dyDescent="0.2">
      <c r="A31" t="s">
        <v>508</v>
      </c>
      <c r="B31" t="s">
        <v>394</v>
      </c>
      <c r="C31" s="36" t="str">
        <f t="shared" si="0"/>
        <v>Brian Lincoln (Ratae)</v>
      </c>
    </row>
    <row r="32" spans="1:4" ht="15" x14ac:dyDescent="0.2">
      <c r="A32" t="s">
        <v>509</v>
      </c>
      <c r="B32" t="s">
        <v>394</v>
      </c>
      <c r="C32" s="36" t="str">
        <f t="shared" si="0"/>
        <v>Chris Bonsor (Ratae)</v>
      </c>
    </row>
    <row r="33" spans="1:4" ht="15" x14ac:dyDescent="0.2">
      <c r="A33" t="s">
        <v>510</v>
      </c>
      <c r="B33" t="s">
        <v>394</v>
      </c>
      <c r="C33" s="36" t="str">
        <f t="shared" si="0"/>
        <v>Chris Spray (Ratae)</v>
      </c>
    </row>
    <row r="34" spans="1:4" ht="15" x14ac:dyDescent="0.2">
      <c r="A34" t="s">
        <v>511</v>
      </c>
      <c r="B34" t="s">
        <v>394</v>
      </c>
      <c r="C34" s="36" t="str">
        <f t="shared" si="0"/>
        <v>Debbie Cooper (Ratae)</v>
      </c>
      <c r="D34" t="s">
        <v>372</v>
      </c>
    </row>
    <row r="35" spans="1:4" ht="15" x14ac:dyDescent="0.2">
      <c r="A35" t="s">
        <v>512</v>
      </c>
      <c r="B35" t="s">
        <v>394</v>
      </c>
      <c r="C35" s="36" t="str">
        <f t="shared" si="0"/>
        <v>Ed Watson (Ratae)</v>
      </c>
    </row>
    <row r="36" spans="1:4" ht="15" x14ac:dyDescent="0.2">
      <c r="A36" t="s">
        <v>590</v>
      </c>
      <c r="B36" s="63" t="s">
        <v>394</v>
      </c>
      <c r="C36" s="36" t="str">
        <f t="shared" ref="C36:C66" si="1">IF(ISBLANK(B36),IF(ISBLANK(A36),"",A36),_xlfn.CONCAT(A36," (",B36,")"))</f>
        <v>Geoff Stanbridge (Ratae)</v>
      </c>
    </row>
    <row r="37" spans="1:4" ht="15" x14ac:dyDescent="0.2">
      <c r="A37" t="s">
        <v>513</v>
      </c>
      <c r="B37" t="s">
        <v>394</v>
      </c>
      <c r="C37" s="36" t="str">
        <f t="shared" si="1"/>
        <v>Jonathon Clarke (Ratae)</v>
      </c>
      <c r="D37" s="36"/>
    </row>
    <row r="38" spans="1:4" ht="15" x14ac:dyDescent="0.2">
      <c r="A38" t="s">
        <v>514</v>
      </c>
      <c r="B38" t="s">
        <v>394</v>
      </c>
      <c r="C38" s="36" t="str">
        <f t="shared" si="1"/>
        <v>Lesley Allden (Ratae)</v>
      </c>
      <c r="D38" t="s">
        <v>372</v>
      </c>
    </row>
    <row r="39" spans="1:4" ht="15" x14ac:dyDescent="0.2">
      <c r="A39" t="s">
        <v>515</v>
      </c>
      <c r="B39" t="s">
        <v>394</v>
      </c>
      <c r="C39" s="36" t="str">
        <f t="shared" si="1"/>
        <v>Lucy Sturgess (Ratae)</v>
      </c>
      <c r="D39" t="s">
        <v>372</v>
      </c>
    </row>
    <row r="40" spans="1:4" ht="15" x14ac:dyDescent="0.2">
      <c r="A40" t="s">
        <v>516</v>
      </c>
      <c r="B40" t="s">
        <v>394</v>
      </c>
      <c r="C40" s="36" t="str">
        <f t="shared" si="1"/>
        <v>Mark Marmoy (Ratae)</v>
      </c>
    </row>
    <row r="41" spans="1:4" ht="15" x14ac:dyDescent="0.2">
      <c r="A41" t="s">
        <v>517</v>
      </c>
      <c r="B41" t="s">
        <v>394</v>
      </c>
      <c r="C41" s="36" t="str">
        <f t="shared" si="1"/>
        <v>Mark Newton (Ratae)</v>
      </c>
    </row>
    <row r="42" spans="1:4" ht="15" x14ac:dyDescent="0.2">
      <c r="A42" t="s">
        <v>518</v>
      </c>
      <c r="B42" t="s">
        <v>394</v>
      </c>
      <c r="C42" s="36" t="str">
        <f t="shared" si="1"/>
        <v>Marshall Briggs (Ratae)</v>
      </c>
    </row>
    <row r="43" spans="1:4" ht="15" x14ac:dyDescent="0.2">
      <c r="A43" t="s">
        <v>519</v>
      </c>
      <c r="B43" t="s">
        <v>394</v>
      </c>
      <c r="C43" s="36" t="str">
        <f t="shared" si="1"/>
        <v>Natalie Harris (Ratae)</v>
      </c>
      <c r="D43" t="s">
        <v>372</v>
      </c>
    </row>
    <row r="44" spans="1:4" ht="15" x14ac:dyDescent="0.2">
      <c r="A44" t="s">
        <v>520</v>
      </c>
      <c r="B44" t="s">
        <v>394</v>
      </c>
      <c r="C44" s="36" t="str">
        <f t="shared" si="1"/>
        <v>Paul Eden (Ratae)</v>
      </c>
    </row>
    <row r="45" spans="1:4" ht="15" x14ac:dyDescent="0.2">
      <c r="A45" t="s">
        <v>521</v>
      </c>
      <c r="B45" t="s">
        <v>394</v>
      </c>
      <c r="C45" s="36" t="str">
        <f t="shared" si="1"/>
        <v>Sadie Murphy (Ratae)</v>
      </c>
      <c r="D45" t="s">
        <v>372</v>
      </c>
    </row>
    <row r="46" spans="1:4" ht="15" x14ac:dyDescent="0.2">
      <c r="A46" t="s">
        <v>522</v>
      </c>
      <c r="B46" t="s">
        <v>394</v>
      </c>
      <c r="C46" s="36" t="str">
        <f t="shared" si="1"/>
        <v>Steve Pearce (Ratae)</v>
      </c>
    </row>
    <row r="47" spans="1:4" ht="15" x14ac:dyDescent="0.2">
      <c r="A47" t="s">
        <v>523</v>
      </c>
      <c r="B47" t="s">
        <v>385</v>
      </c>
      <c r="C47" s="36" t="str">
        <f t="shared" si="1"/>
        <v>Adam Wells (RFW)</v>
      </c>
    </row>
    <row r="48" spans="1:4" ht="15" x14ac:dyDescent="0.2">
      <c r="A48" t="s">
        <v>524</v>
      </c>
      <c r="B48" t="s">
        <v>385</v>
      </c>
      <c r="C48" s="36" t="str">
        <f t="shared" si="1"/>
        <v>Alex Borrowman (RFW)</v>
      </c>
    </row>
    <row r="49" spans="1:4" ht="15" x14ac:dyDescent="0.2">
      <c r="A49" t="s">
        <v>525</v>
      </c>
      <c r="B49" t="s">
        <v>385</v>
      </c>
      <c r="C49" s="36" t="str">
        <f t="shared" si="1"/>
        <v>Anne Gilhespy (RFW)</v>
      </c>
      <c r="D49" t="s">
        <v>372</v>
      </c>
    </row>
    <row r="50" spans="1:4" ht="15" x14ac:dyDescent="0.2">
      <c r="A50" t="s">
        <v>526</v>
      </c>
      <c r="B50" t="s">
        <v>385</v>
      </c>
      <c r="C50" s="36" t="str">
        <f t="shared" si="1"/>
        <v>Chris Fowler (RFW)</v>
      </c>
    </row>
    <row r="51" spans="1:4" ht="15" x14ac:dyDescent="0.2">
      <c r="A51" t="s">
        <v>527</v>
      </c>
      <c r="B51" t="s">
        <v>385</v>
      </c>
      <c r="C51" s="36" t="str">
        <f t="shared" si="1"/>
        <v>Dan Hempkin (RFW)</v>
      </c>
    </row>
    <row r="52" spans="1:4" ht="15" x14ac:dyDescent="0.2">
      <c r="A52" t="s">
        <v>528</v>
      </c>
      <c r="B52" t="s">
        <v>385</v>
      </c>
      <c r="C52" s="36" t="str">
        <f t="shared" si="1"/>
        <v>David Hill (RFW)</v>
      </c>
    </row>
    <row r="53" spans="1:4" ht="15" x14ac:dyDescent="0.2">
      <c r="A53" t="s">
        <v>529</v>
      </c>
      <c r="B53" t="s">
        <v>385</v>
      </c>
      <c r="C53" s="36" t="str">
        <f t="shared" si="1"/>
        <v>Ethan Mitchell-Clarke (RFW)</v>
      </c>
    </row>
    <row r="54" spans="1:4" ht="15" x14ac:dyDescent="0.2">
      <c r="A54" t="s">
        <v>530</v>
      </c>
      <c r="B54" t="s">
        <v>385</v>
      </c>
      <c r="C54" s="36" t="str">
        <f t="shared" si="1"/>
        <v>Giles Cooper (RFW)</v>
      </c>
    </row>
    <row r="55" spans="1:4" ht="15" x14ac:dyDescent="0.2">
      <c r="A55" t="s">
        <v>531</v>
      </c>
      <c r="B55" t="s">
        <v>385</v>
      </c>
      <c r="C55" s="36" t="str">
        <f t="shared" si="1"/>
        <v>Gregg Payne (RFW)</v>
      </c>
    </row>
    <row r="56" spans="1:4" ht="15" x14ac:dyDescent="0.2">
      <c r="A56" t="s">
        <v>532</v>
      </c>
      <c r="B56" t="s">
        <v>385</v>
      </c>
      <c r="C56" s="36" t="str">
        <f t="shared" si="1"/>
        <v>Lynne Scofield (RFW)</v>
      </c>
      <c r="D56" t="s">
        <v>372</v>
      </c>
    </row>
    <row r="57" spans="1:4" ht="15" x14ac:dyDescent="0.2">
      <c r="A57" t="s">
        <v>533</v>
      </c>
      <c r="B57" t="s">
        <v>385</v>
      </c>
      <c r="C57" s="36" t="str">
        <f t="shared" si="1"/>
        <v>Lynne Wilkinson-Scofield (RFW)</v>
      </c>
      <c r="D57" t="s">
        <v>372</v>
      </c>
    </row>
    <row r="58" spans="1:4" ht="15" x14ac:dyDescent="0.2">
      <c r="A58" t="s">
        <v>534</v>
      </c>
      <c r="B58" t="s">
        <v>385</v>
      </c>
      <c r="C58" s="36" t="str">
        <f t="shared" si="1"/>
        <v>Michael Carter (RFW)</v>
      </c>
    </row>
    <row r="59" spans="1:4" ht="15" x14ac:dyDescent="0.2">
      <c r="A59" t="s">
        <v>520</v>
      </c>
      <c r="B59" t="s">
        <v>385</v>
      </c>
      <c r="C59" s="36" t="str">
        <f t="shared" si="1"/>
        <v>Paul Eden (RFW)</v>
      </c>
    </row>
    <row r="60" spans="1:4" ht="15" x14ac:dyDescent="0.2">
      <c r="A60" t="s">
        <v>535</v>
      </c>
      <c r="B60" t="s">
        <v>385</v>
      </c>
      <c r="C60" s="36" t="str">
        <f t="shared" si="1"/>
        <v>Paul Russell (RFW)</v>
      </c>
    </row>
    <row r="61" spans="1:4" ht="15" x14ac:dyDescent="0.2">
      <c r="A61" t="s">
        <v>536</v>
      </c>
      <c r="B61" t="s">
        <v>385</v>
      </c>
      <c r="C61" s="36" t="str">
        <f t="shared" si="1"/>
        <v>Paul Ryan (RFW)</v>
      </c>
    </row>
    <row r="62" spans="1:4" ht="15" x14ac:dyDescent="0.2">
      <c r="A62" t="s">
        <v>537</v>
      </c>
      <c r="B62" t="s">
        <v>385</v>
      </c>
      <c r="C62" s="36" t="str">
        <f t="shared" si="1"/>
        <v>Phil Wilkinson (RFW)</v>
      </c>
    </row>
    <row r="63" spans="1:4" ht="15" x14ac:dyDescent="0.2">
      <c r="A63" t="s">
        <v>538</v>
      </c>
      <c r="B63" t="s">
        <v>539</v>
      </c>
      <c r="C63" s="36" t="str">
        <f t="shared" si="1"/>
        <v>Hudson Hendry (Ride Revolution)</v>
      </c>
    </row>
    <row r="64" spans="1:4" ht="15" x14ac:dyDescent="0.2">
      <c r="A64" t="s">
        <v>540</v>
      </c>
      <c r="B64" t="s">
        <v>541</v>
      </c>
      <c r="C64" s="36" t="str">
        <f t="shared" si="1"/>
        <v>Adrian James (Rugby RCC)</v>
      </c>
    </row>
    <row r="65" spans="1:3" ht="15" x14ac:dyDescent="0.2">
      <c r="A65" t="s">
        <v>542</v>
      </c>
      <c r="B65" t="s">
        <v>543</v>
      </c>
      <c r="C65" s="36" t="str">
        <f t="shared" si="1"/>
        <v>Carl Shaw (Speedhub)</v>
      </c>
    </row>
    <row r="66" spans="1:3" ht="15" x14ac:dyDescent="0.2">
      <c r="A66" t="s">
        <v>544</v>
      </c>
      <c r="B66" t="s">
        <v>545</v>
      </c>
      <c r="C66" s="36" t="str">
        <f t="shared" si="1"/>
        <v>Oliver Searle (St Ives CC)</v>
      </c>
    </row>
    <row r="67" spans="1:3" ht="15" x14ac:dyDescent="0.2">
      <c r="C67" s="36" t="str">
        <f t="shared" ref="C67:C73" si="2">IF(ISBLANK(B67),IF(ISBLANK(A67),"",A67),_xlfn.CONCAT(A67," (",B67,")"))</f>
        <v/>
      </c>
    </row>
    <row r="68" spans="1:3" ht="15" x14ac:dyDescent="0.2">
      <c r="C68" s="36" t="str">
        <f t="shared" si="2"/>
        <v/>
      </c>
    </row>
    <row r="69" spans="1:3" ht="15" x14ac:dyDescent="0.2">
      <c r="C69" s="36" t="str">
        <f t="shared" si="2"/>
        <v/>
      </c>
    </row>
    <row r="70" spans="1:3" ht="15" x14ac:dyDescent="0.2">
      <c r="C70" s="36" t="str">
        <f t="shared" si="2"/>
        <v/>
      </c>
    </row>
    <row r="71" spans="1:3" ht="15" x14ac:dyDescent="0.2">
      <c r="C71" s="36" t="str">
        <f t="shared" si="2"/>
        <v/>
      </c>
    </row>
    <row r="72" spans="1:3" ht="15" x14ac:dyDescent="0.2">
      <c r="C72" s="36" t="str">
        <f t="shared" si="2"/>
        <v/>
      </c>
    </row>
    <row r="73" spans="1:3" ht="15" x14ac:dyDescent="0.2">
      <c r="C73" s="36" t="str">
        <f t="shared" si="2"/>
        <v/>
      </c>
    </row>
    <row r="74" spans="1:3" ht="15" x14ac:dyDescent="0.2">
      <c r="C74" s="36" t="str">
        <f t="shared" ref="C74:C89" si="3">IF(ISBLANK(B74),IF(ISBLANK(A74),"",A74),_xlfn.CONCAT(A74," (",B74,")"))</f>
        <v/>
      </c>
    </row>
    <row r="75" spans="1:3" ht="15" x14ac:dyDescent="0.2">
      <c r="C75" s="36" t="str">
        <f t="shared" si="3"/>
        <v/>
      </c>
    </row>
    <row r="76" spans="1:3" ht="15" x14ac:dyDescent="0.2">
      <c r="C76" s="36" t="str">
        <f t="shared" si="3"/>
        <v/>
      </c>
    </row>
    <row r="77" spans="1:3" ht="15" x14ac:dyDescent="0.2">
      <c r="C77" s="36" t="str">
        <f t="shared" si="3"/>
        <v/>
      </c>
    </row>
    <row r="78" spans="1:3" ht="15" x14ac:dyDescent="0.2">
      <c r="C78" s="36" t="str">
        <f t="shared" si="3"/>
        <v/>
      </c>
    </row>
    <row r="79" spans="1:3" ht="15" x14ac:dyDescent="0.2">
      <c r="C79" s="36" t="str">
        <f t="shared" si="3"/>
        <v/>
      </c>
    </row>
    <row r="80" spans="1:3" ht="15" x14ac:dyDescent="0.2">
      <c r="C80" s="36" t="str">
        <f t="shared" si="3"/>
        <v/>
      </c>
    </row>
    <row r="81" spans="3:3" ht="15" x14ac:dyDescent="0.2">
      <c r="C81" s="36" t="str">
        <f t="shared" si="3"/>
        <v/>
      </c>
    </row>
    <row r="82" spans="3:3" ht="15" x14ac:dyDescent="0.2">
      <c r="C82" s="36" t="str">
        <f t="shared" si="3"/>
        <v/>
      </c>
    </row>
    <row r="83" spans="3:3" ht="15" x14ac:dyDescent="0.2">
      <c r="C83" s="36" t="str">
        <f t="shared" si="3"/>
        <v/>
      </c>
    </row>
    <row r="84" spans="3:3" ht="15" x14ac:dyDescent="0.2">
      <c r="C84" s="36" t="str">
        <f t="shared" si="3"/>
        <v/>
      </c>
    </row>
    <row r="85" spans="3:3" ht="15" x14ac:dyDescent="0.2">
      <c r="C85" s="36" t="str">
        <f t="shared" si="3"/>
        <v/>
      </c>
    </row>
    <row r="86" spans="3:3" ht="15" x14ac:dyDescent="0.2">
      <c r="C86" s="36" t="str">
        <f t="shared" si="3"/>
        <v/>
      </c>
    </row>
    <row r="87" spans="3:3" ht="15" x14ac:dyDescent="0.2">
      <c r="C87" s="36" t="str">
        <f t="shared" si="3"/>
        <v/>
      </c>
    </row>
    <row r="88" spans="3:3" ht="15" x14ac:dyDescent="0.2">
      <c r="C88" s="36" t="str">
        <f t="shared" si="3"/>
        <v/>
      </c>
    </row>
    <row r="89" spans="3:3" ht="15" x14ac:dyDescent="0.2">
      <c r="C89" s="36" t="str">
        <f t="shared" si="3"/>
        <v/>
      </c>
    </row>
    <row r="90" spans="3:3" s="37" customFormat="1" x14ac:dyDescent="0.15"/>
    <row r="92" spans="3:3" ht="15" x14ac:dyDescent="0.2">
      <c r="C92" s="36"/>
    </row>
    <row r="93" spans="3:3" ht="15" x14ac:dyDescent="0.2">
      <c r="C93" s="36"/>
    </row>
    <row r="94" spans="3:3" ht="15" x14ac:dyDescent="0.2">
      <c r="C94" s="36"/>
    </row>
  </sheetData>
  <sortState xmlns:xlrd2="http://schemas.microsoft.com/office/spreadsheetml/2017/richdata2" ref="A2:D66">
    <sortCondition ref="B2:B66"/>
    <sortCondition ref="A2:A66"/>
  </sortState>
  <conditionalFormatting sqref="G2:G4">
    <cfRule type="uniqueValues" dxfId="84" priority="1"/>
  </conditionalFormatting>
  <pageMargins left="0.7" right="0.7" top="0.75" bottom="0.75" header="0.3" footer="0.3"/>
  <pageSetup paperSize="9" orientation="portrai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election activeCell="B19" sqref="B19"/>
    </sheetView>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9">
        <v>43</v>
      </c>
      <c r="E2" s="49">
        <v>1</v>
      </c>
      <c r="F2" s="49" t="s">
        <v>555</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4.25" x14ac:dyDescent="0.15">
      <c r="A3" s="46" t="s">
        <v>448</v>
      </c>
      <c r="B3" s="47">
        <v>1194</v>
      </c>
      <c r="C3" s="48"/>
      <c r="D3" s="49">
        <v>33</v>
      </c>
      <c r="E3" s="49">
        <v>41</v>
      </c>
      <c r="F3" s="49" t="s">
        <v>555</v>
      </c>
      <c r="G3" s="49"/>
      <c r="H3" s="50" t="str">
        <f>IF($B3="","",IF($J3="X",B3,CONCATENATE(VLOOKUP(B3,Competitors!$A$2:$I$650,3,FALSE)," ",VLOOKUP(B3,Competitors!$A$2:$I$650,2,FALSE))))</f>
        <v>Alex Hardwicke</v>
      </c>
      <c r="I3" s="51">
        <f t="shared" si="0"/>
        <v>2.3391203703703702E-2</v>
      </c>
      <c r="J3" t="str">
        <f t="shared" si="1"/>
        <v/>
      </c>
    </row>
    <row r="4" spans="1:10" ht="14.25" x14ac:dyDescent="0.15">
      <c r="A4" s="46" t="s">
        <v>449</v>
      </c>
      <c r="B4" s="47">
        <v>1298</v>
      </c>
      <c r="C4" s="48"/>
      <c r="D4" s="49">
        <v>35</v>
      </c>
      <c r="E4" s="49">
        <v>37</v>
      </c>
      <c r="F4" s="49" t="s">
        <v>555</v>
      </c>
      <c r="G4" s="49"/>
      <c r="H4" s="50" t="str">
        <f>IF($B4="","",IF($J4="X",B4,CONCATENATE(VLOOKUP(B4,Competitors!$A$2:$I$650,3,FALSE)," ",VLOOKUP(B4,Competitors!$A$2:$I$650,2,FALSE))))</f>
        <v>Jane Moore</v>
      </c>
      <c r="I4" s="51">
        <f t="shared" si="0"/>
        <v>2.4733796296296295E-2</v>
      </c>
      <c r="J4" t="str">
        <f t="shared" si="1"/>
        <v/>
      </c>
    </row>
    <row r="5" spans="1:10" ht="14.25" x14ac:dyDescent="0.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4.25" x14ac:dyDescent="0.15">
      <c r="A6" s="46" t="s">
        <v>419</v>
      </c>
      <c r="B6" s="47">
        <v>1355</v>
      </c>
      <c r="C6" s="48"/>
      <c r="D6" s="49">
        <v>26</v>
      </c>
      <c r="E6" s="49">
        <v>29</v>
      </c>
      <c r="F6" s="49" t="s">
        <v>555</v>
      </c>
      <c r="G6" s="49"/>
      <c r="H6" s="50" t="str">
        <f>IF($B6="","",IF($J6="X",B6,CONCATENATE(VLOOKUP(B6,Competitors!$A$2:$I$650,3,FALSE)," ",VLOOKUP(B6,Competitors!$A$2:$I$650,2,FALSE))))</f>
        <v>Aubrey Elmer</v>
      </c>
      <c r="I6" s="51">
        <f t="shared" si="0"/>
        <v>1.8391203703703705E-2</v>
      </c>
      <c r="J6" t="str">
        <f t="shared" si="1"/>
        <v/>
      </c>
    </row>
    <row r="7" spans="1:10" ht="14.25" x14ac:dyDescent="0.15">
      <c r="A7" s="46" t="s">
        <v>423</v>
      </c>
      <c r="B7" s="47">
        <v>1407</v>
      </c>
      <c r="C7" s="48"/>
      <c r="D7" s="49">
        <v>28</v>
      </c>
      <c r="E7" s="49">
        <v>22</v>
      </c>
      <c r="F7" s="49" t="s">
        <v>555</v>
      </c>
      <c r="G7" s="49"/>
      <c r="H7" s="50" t="str">
        <f>IF($B7="","",IF($J7="X",B7,CONCATENATE(VLOOKUP(B7,Competitors!$A$2:$I$650,3,FALSE)," ",VLOOKUP(B7,Competitors!$A$2:$I$650,2,FALSE))))</f>
        <v>Colin Dobson</v>
      </c>
      <c r="I7" s="51">
        <f t="shared" si="0"/>
        <v>1.9699074074074074E-2</v>
      </c>
      <c r="J7" t="str">
        <f t="shared" si="1"/>
        <v/>
      </c>
    </row>
    <row r="8" spans="1:10" ht="14.25" x14ac:dyDescent="0.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4.25" x14ac:dyDescent="0.15">
      <c r="A9" s="46" t="s">
        <v>430</v>
      </c>
      <c r="B9" s="47">
        <v>1107</v>
      </c>
      <c r="C9" s="48"/>
      <c r="D9" s="49">
        <v>29</v>
      </c>
      <c r="E9" s="49">
        <v>43</v>
      </c>
      <c r="F9" s="49" t="s">
        <v>555</v>
      </c>
      <c r="G9" s="49"/>
      <c r="H9" s="50" t="str">
        <f>IF($B9="","",IF($J9="X",B9,CONCATENATE(VLOOKUP(B9,Competitors!$A$2:$I$650,3,FALSE)," ",VLOOKUP(B9,Competitors!$A$2:$I$650,2,FALSE))))</f>
        <v>Milly Pinnock</v>
      </c>
      <c r="I9" s="51">
        <f t="shared" si="0"/>
        <v>2.0636574074074075E-2</v>
      </c>
      <c r="J9" t="str">
        <f t="shared" si="1"/>
        <v/>
      </c>
    </row>
    <row r="10" spans="1:10" ht="14.25" x14ac:dyDescent="0.15">
      <c r="A10" s="46" t="s">
        <v>432</v>
      </c>
      <c r="B10" s="47">
        <v>1403</v>
      </c>
      <c r="C10" s="48"/>
      <c r="D10" s="49">
        <v>31</v>
      </c>
      <c r="E10" s="49">
        <v>7</v>
      </c>
      <c r="F10" s="49" t="s">
        <v>555</v>
      </c>
      <c r="G10" s="49"/>
      <c r="H10" s="50" t="str">
        <f>IF($B10="","",IF($J10="X",B10,CONCATENATE(VLOOKUP(B10,Competitors!$A$2:$I$650,3, FALSE)," ",VLOOKUP(B10,Competitors!$A$2:$I$650,2,FALSE))))</f>
        <v>Toby Lenehan</v>
      </c>
      <c r="I10" s="51">
        <f t="shared" si="0"/>
        <v>2.1608796296296296E-2</v>
      </c>
      <c r="J10" t="str">
        <f t="shared" si="1"/>
        <v/>
      </c>
    </row>
    <row r="11" spans="1:10" ht="14.25" x14ac:dyDescent="0.15">
      <c r="A11" s="46" t="s">
        <v>556</v>
      </c>
      <c r="B11" s="47">
        <v>1385</v>
      </c>
      <c r="C11" s="48"/>
      <c r="D11" s="49"/>
      <c r="E11" s="49"/>
      <c r="F11" s="49" t="s">
        <v>555</v>
      </c>
      <c r="G11" s="49" t="s">
        <v>557</v>
      </c>
      <c r="H11" s="50" t="str">
        <f>IF($B11="","",IF($J11="X",B11,CONCATENATE(VLOOKUP(B11,Competitors!$A$2:$I$650,3,FALSE)," ",VLOOKUP(B11,Competitors!$A$2:$I$650,2,FALSE))))</f>
        <v>Miles Marr</v>
      </c>
      <c r="I11" s="51">
        <f t="shared" si="0"/>
        <v>0</v>
      </c>
      <c r="J11" t="str">
        <f t="shared" si="1"/>
        <v/>
      </c>
    </row>
    <row r="12" spans="1:10" ht="14.25" x14ac:dyDescent="0.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4.25" x14ac:dyDescent="0.15">
      <c r="A13" s="46" t="s">
        <v>439</v>
      </c>
      <c r="B13" s="47">
        <v>704</v>
      </c>
      <c r="C13" s="48"/>
      <c r="D13" s="49">
        <v>31</v>
      </c>
      <c r="E13" s="49">
        <v>30</v>
      </c>
      <c r="F13" s="49" t="s">
        <v>555</v>
      </c>
      <c r="G13" s="49"/>
      <c r="H13" s="50" t="str">
        <f>IF($B13="","",IF($J13="X",B13,CONCATENATE(VLOOKUP(B13,Competitors!$A$2:$I$650,3,FALSE)," ",VLOOKUP(B13,Competitors!$A$2:$I$650,2,FALSE))))</f>
        <v>Chris Dainty</v>
      </c>
      <c r="I13" s="51">
        <f t="shared" si="0"/>
        <v>2.1874999999999999E-2</v>
      </c>
      <c r="J13" t="str">
        <f t="shared" si="1"/>
        <v/>
      </c>
    </row>
    <row r="14" spans="1:10" ht="14.25" x14ac:dyDescent="0.15">
      <c r="A14" s="46" t="s">
        <v>558</v>
      </c>
      <c r="B14" s="47">
        <v>1162</v>
      </c>
      <c r="C14" s="48"/>
      <c r="D14" s="49"/>
      <c r="E14" s="49"/>
      <c r="F14" s="49" t="s">
        <v>555</v>
      </c>
      <c r="G14" s="49" t="s">
        <v>557</v>
      </c>
      <c r="H14" s="50" t="str">
        <f>IF($B14="","",IF($J14="X",B14,CONCATENATE(VLOOKUP(B14,Competitors!$A$2:$I$650,3,FALSE)," ",VLOOKUP(B14,Competitors!$A$2:$I$650,2,FALSE))))</f>
        <v>Richard Krause</v>
      </c>
      <c r="I14" s="51">
        <f t="shared" si="0"/>
        <v>0</v>
      </c>
      <c r="J14" t="str">
        <f t="shared" si="1"/>
        <v/>
      </c>
    </row>
    <row r="15" spans="1:10" ht="14.25" x14ac:dyDescent="0.15">
      <c r="A15" s="46" t="s">
        <v>559</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4.25" x14ac:dyDescent="0.15">
      <c r="A16" s="46" t="s">
        <v>457</v>
      </c>
      <c r="B16" s="47">
        <v>295</v>
      </c>
      <c r="C16" s="48"/>
      <c r="D16" s="49">
        <v>32</v>
      </c>
      <c r="E16" s="49">
        <v>12</v>
      </c>
      <c r="F16" s="49" t="s">
        <v>555</v>
      </c>
      <c r="G16" s="49"/>
      <c r="H16" s="50" t="str">
        <f>IF($B16="","",IF($J16="X",B16,CONCATENATE(VLOOKUP(B16,Competitors!$A$2:$I$650,3,FALSE)," ",VLOOKUP(B16,Competitors!$A$2:$I$650,2,FALSE))))</f>
        <v>Stuart Dawkins</v>
      </c>
      <c r="I16" s="51">
        <f t="shared" si="0"/>
        <v>2.2361111111111109E-2</v>
      </c>
      <c r="J16" t="str">
        <f t="shared" si="1"/>
        <v/>
      </c>
    </row>
    <row r="17" spans="1:10" ht="14.25" x14ac:dyDescent="0.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4.25" x14ac:dyDescent="0.15">
      <c r="A18" s="46" t="s">
        <v>417</v>
      </c>
      <c r="B18" s="47">
        <v>38</v>
      </c>
      <c r="C18" s="48"/>
      <c r="D18" s="49">
        <v>28</v>
      </c>
      <c r="E18" s="49">
        <v>41</v>
      </c>
      <c r="F18" s="49" t="s">
        <v>555</v>
      </c>
      <c r="G18" s="49"/>
      <c r="H18" s="50" t="str">
        <f>IF($B18="","",IF($J18="X",B18,CONCATENATE(VLOOKUP(B18,Competitors!$A$2:$I$650,3,FALSE)," ",VLOOKUP(B18,Competitors!$A$2:$I$650,2,FALSE))))</f>
        <v>Phil Rayner</v>
      </c>
      <c r="I18" s="51">
        <f t="shared" si="0"/>
        <v>1.9918981481481482E-2</v>
      </c>
      <c r="J18" t="str">
        <f t="shared" si="1"/>
        <v/>
      </c>
    </row>
    <row r="19" spans="1:10" ht="14.25" x14ac:dyDescent="0.15">
      <c r="A19" s="46" t="s">
        <v>560</v>
      </c>
      <c r="B19" s="47" t="s">
        <v>560</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4.25" x14ac:dyDescent="0.15">
      <c r="A20" s="46" t="s">
        <v>441</v>
      </c>
      <c r="B20" s="47">
        <v>245</v>
      </c>
      <c r="C20" s="48"/>
      <c r="D20" s="49">
        <v>32</v>
      </c>
      <c r="E20" s="49">
        <v>2</v>
      </c>
      <c r="F20" s="49" t="s">
        <v>555</v>
      </c>
      <c r="G20" s="49"/>
      <c r="H20" s="50" t="str">
        <f>IF($B20="","",IF($J20="X",B20,CONCATENATE(VLOOKUP(B20,Competitors!$A$2:$I$650,3,FALSE)," ",VLOOKUP(B20,Competitors!$A$2:$I$650,2,FALSE))))</f>
        <v>David Reay</v>
      </c>
      <c r="I20" s="51">
        <f t="shared" si="0"/>
        <v>2.224537037037037E-2</v>
      </c>
      <c r="J20" t="str">
        <f t="shared" si="1"/>
        <v/>
      </c>
    </row>
    <row r="21" spans="1:10" ht="14.25" x14ac:dyDescent="0.15">
      <c r="A21" s="46" t="s">
        <v>561</v>
      </c>
      <c r="B21" s="47" t="s">
        <v>561</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4.25" x14ac:dyDescent="0.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4.25" x14ac:dyDescent="0.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4.25" x14ac:dyDescent="0.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4.25" x14ac:dyDescent="0.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4.25" x14ac:dyDescent="0.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4.25" x14ac:dyDescent="0.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election activeCell="G24" sqref="G24"/>
    </sheetView>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v>1</v>
      </c>
      <c r="D2" s="48">
        <v>35</v>
      </c>
      <c r="E2" s="48">
        <v>37</v>
      </c>
      <c r="F2" s="48" t="s">
        <v>555</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4.25" x14ac:dyDescent="0.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4.25" x14ac:dyDescent="0.15">
      <c r="A4" s="46" t="s">
        <v>449</v>
      </c>
      <c r="B4" s="47">
        <v>1298</v>
      </c>
      <c r="C4" s="48">
        <v>1</v>
      </c>
      <c r="D4" s="48">
        <v>19</v>
      </c>
      <c r="E4" s="48">
        <v>14</v>
      </c>
      <c r="F4" s="48" t="s">
        <v>555</v>
      </c>
      <c r="G4" s="48"/>
      <c r="H4" s="50" t="str">
        <f>IF($B4="","",IF($J4="X",B4,CONCATENATE(VLOOKUP(B4,Competitors!$A$2:$I$650,3,FALSE)," ",VLOOKUP(B4,Competitors!$A$2:$I$650,2,FALSE))))</f>
        <v>Jane Moore</v>
      </c>
      <c r="I4" s="51">
        <f t="shared" si="0"/>
        <v>5.5023148148148147E-2</v>
      </c>
      <c r="J4" t="str">
        <f t="shared" si="1"/>
        <v/>
      </c>
    </row>
    <row r="5" spans="1:10" ht="14.25" x14ac:dyDescent="0.15">
      <c r="A5" s="46" t="s">
        <v>427</v>
      </c>
      <c r="B5" s="47">
        <v>1055</v>
      </c>
      <c r="C5" s="48">
        <v>0</v>
      </c>
      <c r="D5" s="48">
        <v>58</v>
      </c>
      <c r="E5" s="48">
        <v>38</v>
      </c>
      <c r="F5" s="48" t="s">
        <v>555</v>
      </c>
      <c r="G5" s="48"/>
      <c r="H5" s="50" t="str">
        <f>IF($B5="","",IF($J5="X",B5,CONCATENATE(VLOOKUP(B5,Competitors!$A$2:$I$650,3,FALSE)," ",VLOOKUP(B5,Competitors!$A$2:$I$650,2,FALSE))))</f>
        <v>Austin Smith</v>
      </c>
      <c r="I5" s="51">
        <f t="shared" si="0"/>
        <v>4.071759259259259E-2</v>
      </c>
      <c r="J5" t="str">
        <f t="shared" si="1"/>
        <v/>
      </c>
    </row>
    <row r="6" spans="1:10" ht="14.25" x14ac:dyDescent="0.15">
      <c r="A6" s="46" t="s">
        <v>418</v>
      </c>
      <c r="B6" s="47">
        <v>1152</v>
      </c>
      <c r="C6" s="48">
        <v>0</v>
      </c>
      <c r="D6" s="48">
        <v>57</v>
      </c>
      <c r="E6" s="48">
        <v>56</v>
      </c>
      <c r="F6" s="48" t="s">
        <v>555</v>
      </c>
      <c r="G6" s="48"/>
      <c r="H6" s="50" t="str">
        <f>IF($B6="","",IF($J6="X",B6,CONCATENATE(VLOOKUP(B6,Competitors!$A$2:$I$650,3,FALSE)," ",VLOOKUP(B6,Competitors!$A$2:$I$650,2,FALSE))))</f>
        <v>Ruby Isaac</v>
      </c>
      <c r="I6" s="51">
        <f t="shared" si="0"/>
        <v>4.0231481481481479E-2</v>
      </c>
      <c r="J6" t="str">
        <f t="shared" si="1"/>
        <v/>
      </c>
    </row>
    <row r="7" spans="1:10" ht="14.25" x14ac:dyDescent="0.15">
      <c r="A7" s="46" t="s">
        <v>423</v>
      </c>
      <c r="B7" s="47">
        <v>1407</v>
      </c>
      <c r="C7" s="48">
        <v>0</v>
      </c>
      <c r="D7" s="48">
        <v>59</v>
      </c>
      <c r="E7" s="48">
        <v>31</v>
      </c>
      <c r="F7" s="48" t="s">
        <v>555</v>
      </c>
      <c r="G7" s="48"/>
      <c r="H7" s="50" t="str">
        <f>IF($B7="","",IF($J7="X",B7,CONCATENATE(VLOOKUP(B7,Competitors!$A$2:$I$650,3,FALSE)," ",VLOOKUP(B7,Competitors!$A$2:$I$650,2,FALSE))))</f>
        <v>Colin Dobson</v>
      </c>
      <c r="I7" s="51">
        <f t="shared" si="0"/>
        <v>4.1331018518518517E-2</v>
      </c>
      <c r="J7" t="str">
        <f t="shared" si="1"/>
        <v/>
      </c>
    </row>
    <row r="8" spans="1:10" ht="14.25" x14ac:dyDescent="0.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4.25" x14ac:dyDescent="0.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4.25" x14ac:dyDescent="0.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4.25" x14ac:dyDescent="0.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4.25" x14ac:dyDescent="0.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4.25" x14ac:dyDescent="0.15">
      <c r="A13" s="46" t="s">
        <v>439</v>
      </c>
      <c r="B13" s="47">
        <v>704</v>
      </c>
      <c r="C13" s="48">
        <v>1</v>
      </c>
      <c r="D13" s="48">
        <v>6</v>
      </c>
      <c r="E13" s="48">
        <v>37</v>
      </c>
      <c r="F13" s="48" t="s">
        <v>555</v>
      </c>
      <c r="G13" s="48"/>
      <c r="H13" s="50" t="str">
        <f>IF($B13="","",IF($J13="X",B13,CONCATENATE(VLOOKUP(B13,Competitors!$A$2:$I$650,3,FALSE)," ",VLOOKUP(B13,Competitors!$A$2:$I$650,2,FALSE))))</f>
        <v>Chris Dainty</v>
      </c>
      <c r="I13" s="51">
        <f t="shared" si="0"/>
        <v>4.6261574074074073E-2</v>
      </c>
      <c r="J13" t="str">
        <f t="shared" si="1"/>
        <v/>
      </c>
    </row>
    <row r="14" spans="1:10" ht="14.25" x14ac:dyDescent="0.15">
      <c r="A14" s="46" t="s">
        <v>444</v>
      </c>
      <c r="B14" s="47">
        <v>1193</v>
      </c>
      <c r="C14" s="48">
        <v>1</v>
      </c>
      <c r="D14" s="48">
        <v>9</v>
      </c>
      <c r="E14" s="48">
        <v>37</v>
      </c>
      <c r="F14" s="48" t="s">
        <v>555</v>
      </c>
      <c r="G14" s="48"/>
      <c r="H14" s="50" t="str">
        <f>IF($B14="","",IF($J14="X",B14,CONCATENATE(VLOOKUP(B14,Competitors!$A$2:$I$650,3,FALSE)," ",VLOOKUP(B14,Competitors!$A$2:$I$650,2,FALSE))))</f>
        <v>Richard Hardwicke</v>
      </c>
      <c r="I14" s="51">
        <f t="shared" si="0"/>
        <v>4.8344907407407406E-2</v>
      </c>
      <c r="J14" t="str">
        <f t="shared" si="1"/>
        <v/>
      </c>
    </row>
    <row r="15" spans="1:10" ht="14.25" x14ac:dyDescent="0.15">
      <c r="A15" s="46" t="s">
        <v>441</v>
      </c>
      <c r="B15" s="47">
        <v>245</v>
      </c>
      <c r="C15" s="48"/>
      <c r="D15" s="48"/>
      <c r="E15" s="48"/>
      <c r="F15" s="48"/>
      <c r="G15" s="48" t="s">
        <v>564</v>
      </c>
      <c r="H15" s="50" t="str">
        <f>IF($B15="","",IF($J15="X",B15,CONCATENATE(VLOOKUP(B15,Competitors!$A$2:$I$650,3,FALSE)," ",VLOOKUP(B15,Competitors!$A$2:$I$650,2,FALSE))))</f>
        <v>David Reay</v>
      </c>
      <c r="I15" s="51">
        <f t="shared" si="0"/>
        <v>0</v>
      </c>
      <c r="J15" t="str">
        <f t="shared" si="1"/>
        <v/>
      </c>
    </row>
    <row r="16" spans="1:10" ht="14.25" x14ac:dyDescent="0.15">
      <c r="A16" s="46" t="s">
        <v>457</v>
      </c>
      <c r="B16" s="47">
        <v>295</v>
      </c>
      <c r="C16" s="48">
        <v>1</v>
      </c>
      <c r="D16" s="48">
        <v>8</v>
      </c>
      <c r="E16" s="48">
        <v>10</v>
      </c>
      <c r="F16" s="48" t="s">
        <v>555</v>
      </c>
      <c r="G16" s="48"/>
      <c r="H16" s="50" t="str">
        <f>IF($B16="","",IF($J16="X",B16,CONCATENATE(VLOOKUP(B16,Competitors!$A$2:$I$650,3,FALSE)," ",VLOOKUP(B16,Competitors!$A$2:$I$650,2,FALSE))))</f>
        <v>Stuart Dawkins</v>
      </c>
      <c r="I16" s="51">
        <f t="shared" si="0"/>
        <v>4.7337962962962964E-2</v>
      </c>
      <c r="J16" t="str">
        <f t="shared" si="1"/>
        <v/>
      </c>
    </row>
    <row r="17" spans="1:10" ht="14.25" x14ac:dyDescent="0.15">
      <c r="A17" s="46" t="s">
        <v>414</v>
      </c>
      <c r="B17" s="47">
        <v>989</v>
      </c>
      <c r="C17" s="48">
        <v>0</v>
      </c>
      <c r="D17" s="48">
        <v>56</v>
      </c>
      <c r="E17" s="48">
        <v>1</v>
      </c>
      <c r="F17" s="48" t="s">
        <v>555</v>
      </c>
      <c r="G17" s="48"/>
      <c r="H17" s="50" t="str">
        <f>IF($B17="","",IF($J17="X",B17,CONCATENATE(VLOOKUP(B17,Competitors!$A$2:$I$650,3,FALSE)," ",VLOOKUP(B17,Competitors!$A$2:$I$650,2,FALSE))))</f>
        <v>Jason Williams</v>
      </c>
      <c r="I17" s="51">
        <f t="shared" si="0"/>
        <v>3.8900462962962963E-2</v>
      </c>
      <c r="J17" t="str">
        <f t="shared" si="1"/>
        <v/>
      </c>
    </row>
    <row r="18" spans="1:10" ht="14.25" x14ac:dyDescent="0.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4.25" x14ac:dyDescent="0.15">
      <c r="A19" s="46" t="s">
        <v>435</v>
      </c>
      <c r="B19" s="47">
        <v>1419</v>
      </c>
      <c r="C19" s="48">
        <v>1</v>
      </c>
      <c r="D19" s="48">
        <v>5</v>
      </c>
      <c r="E19" s="48">
        <v>12</v>
      </c>
      <c r="F19" s="48" t="s">
        <v>555</v>
      </c>
      <c r="G19" s="48"/>
      <c r="H19" s="50" t="str">
        <f>IF($B19="","",IF($J19="X",B19,CONCATENATE(VLOOKUP(B19,Competitors!$A$2:$I$650,3,FALSE)," ",VLOOKUP(B19,Competitors!$A$2:$I$650,2,FALSE))))</f>
        <v>Ethan Marsh</v>
      </c>
      <c r="I19" s="51">
        <f t="shared" si="0"/>
        <v>4.5277777777777778E-2</v>
      </c>
      <c r="J19" t="str">
        <f t="shared" si="1"/>
        <v/>
      </c>
    </row>
    <row r="20" spans="1:10" ht="14.25" x14ac:dyDescent="0.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4.25" x14ac:dyDescent="0.15">
      <c r="A21" s="46" t="s">
        <v>538</v>
      </c>
      <c r="B21" s="47" t="s">
        <v>538</v>
      </c>
      <c r="C21" s="48">
        <v>0</v>
      </c>
      <c r="D21" s="48">
        <v>48</v>
      </c>
      <c r="E21" s="48">
        <v>48</v>
      </c>
      <c r="F21" s="48" t="s">
        <v>555</v>
      </c>
      <c r="G21" s="48"/>
      <c r="H21" s="50" t="str">
        <f>IF($B21="","",IF($J21="X",B21,CONCATENATE(VLOOKUP(B21,Competitors!$A$2:$I$650,3,FALSE)," ",VLOOKUP(B21,Competitors!$A$2:$I$650,2,FALSE))))</f>
        <v>Hudson Hendry</v>
      </c>
      <c r="I21" s="51">
        <f t="shared" si="0"/>
        <v>3.3888888888888892E-2</v>
      </c>
      <c r="J21" t="str">
        <f t="shared" si="1"/>
        <v>X</v>
      </c>
    </row>
    <row r="22" spans="1:10" ht="14.25" x14ac:dyDescent="0.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4.25" x14ac:dyDescent="0.15">
      <c r="A23" s="46" t="s">
        <v>561</v>
      </c>
      <c r="B23" s="47" t="s">
        <v>561</v>
      </c>
      <c r="C23" s="48">
        <v>0</v>
      </c>
      <c r="D23" s="48">
        <v>55</v>
      </c>
      <c r="E23" s="48">
        <v>18</v>
      </c>
      <c r="F23" s="48" t="s">
        <v>555</v>
      </c>
      <c r="G23" s="48"/>
      <c r="H23" s="50" t="str">
        <f>IF($B23="","",IF($J23="X",B23,CONCATENATE(VLOOKUP(B23,Competitors!$A$2:$I$650,3,FALSE)," ",VLOOKUP(B23,Competitors!$A$2:$I$650,2,FALSE))))</f>
        <v>Gareth Winter</v>
      </c>
      <c r="I23" s="51">
        <f t="shared" si="0"/>
        <v>3.8402777777777779E-2</v>
      </c>
      <c r="J23" t="str">
        <f t="shared" si="1"/>
        <v>X</v>
      </c>
    </row>
    <row r="24" spans="1:10" ht="14.25" x14ac:dyDescent="0.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4.25" x14ac:dyDescent="0.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4.25" x14ac:dyDescent="0.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4.25" x14ac:dyDescent="0.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4.25" x14ac:dyDescent="0.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4.25" x14ac:dyDescent="0.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4.25" x14ac:dyDescent="0.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4.25" x14ac:dyDescent="0.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4.25" x14ac:dyDescent="0.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4.25" x14ac:dyDescent="0.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4.25" x14ac:dyDescent="0.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4.25" x14ac:dyDescent="0.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4.25" x14ac:dyDescent="0.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election activeCell="B32" sqref="B32"/>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47">
        <v>558</v>
      </c>
      <c r="C2" s="48"/>
      <c r="D2" s="48">
        <v>39</v>
      </c>
      <c r="E2" s="48">
        <v>2</v>
      </c>
      <c r="F2" s="48" t="s">
        <v>555</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4.25" x14ac:dyDescent="0.15">
      <c r="A3" s="46" t="s">
        <v>456</v>
      </c>
      <c r="B3" s="47">
        <v>45</v>
      </c>
      <c r="C3" s="48"/>
      <c r="D3" s="48">
        <v>35</v>
      </c>
      <c r="E3" s="48">
        <v>4</v>
      </c>
      <c r="F3" s="48" t="s">
        <v>555</v>
      </c>
      <c r="G3" s="48"/>
      <c r="H3" s="50" t="str">
        <f>IF($B3="","",IF($J3="X",B3,CONCATENATE(VLOOKUP(B3,Competitors!$A$2:$I$650,3,FALSE)," ",VLOOKUP(B3,Competitors!$A$2:$I$650,2,FALSE))))</f>
        <v>Ray Taylor</v>
      </c>
      <c r="I3" s="51">
        <f t="shared" si="0"/>
        <v>2.435185185185185E-2</v>
      </c>
      <c r="J3" t="str">
        <f t="shared" si="1"/>
        <v/>
      </c>
    </row>
    <row r="4" spans="1:10" ht="14.25" x14ac:dyDescent="0.15">
      <c r="A4" s="46" t="s">
        <v>509</v>
      </c>
      <c r="B4" s="47" t="s">
        <v>565</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4.25" x14ac:dyDescent="0.15">
      <c r="A5" s="46" t="s">
        <v>532</v>
      </c>
      <c r="B5" s="47" t="s">
        <v>566</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4.25" x14ac:dyDescent="0.15">
      <c r="A6" s="46" t="s">
        <v>418</v>
      </c>
      <c r="B6" s="47">
        <v>1152</v>
      </c>
      <c r="C6" s="48"/>
      <c r="D6" s="48"/>
      <c r="E6" s="48"/>
      <c r="F6" s="48"/>
      <c r="G6" s="48" t="s">
        <v>564</v>
      </c>
      <c r="H6" s="50" t="str">
        <f>IF($B6="","",IF($J6="X",B6,CONCATENATE(VLOOKUP(B6,Competitors!$A$2:$I$650,3,FALSE)," ",VLOOKUP(B6,Competitors!$A$2:$I$650,2,FALSE))))</f>
        <v>Ruby Isaac</v>
      </c>
      <c r="I6" s="51">
        <f t="shared" si="0"/>
        <v>0</v>
      </c>
      <c r="J6" t="str">
        <f t="shared" si="1"/>
        <v/>
      </c>
    </row>
    <row r="7" spans="1:10" ht="14.25" x14ac:dyDescent="0.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4.25" x14ac:dyDescent="0.15">
      <c r="A8" s="46" t="s">
        <v>567</v>
      </c>
      <c r="B8" s="47" t="s">
        <v>567</v>
      </c>
      <c r="C8" s="48"/>
      <c r="D8" s="48">
        <v>23</v>
      </c>
      <c r="E8" s="48">
        <v>0</v>
      </c>
      <c r="F8" s="48" t="s">
        <v>555</v>
      </c>
      <c r="G8" s="48"/>
      <c r="H8" s="50" t="str">
        <f>IF($B8="","",IF($J8="X",B8,CONCATENATE(VLOOKUP(B8,Competitors!$A$2:$I$650,3,FALSE)," ",VLOOKUP(B8,Competitors!$A$2:$I$650,2,FALSE))))</f>
        <v>Jonathan Robinson</v>
      </c>
      <c r="I8" s="51">
        <f t="shared" si="0"/>
        <v>1.5972222222222221E-2</v>
      </c>
      <c r="J8" t="str">
        <f t="shared" si="1"/>
        <v>X</v>
      </c>
    </row>
    <row r="9" spans="1:10" ht="14.25" x14ac:dyDescent="0.15">
      <c r="A9" s="46" t="s">
        <v>559</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4.25" x14ac:dyDescent="0.15">
      <c r="A10" s="46" t="s">
        <v>432</v>
      </c>
      <c r="B10" s="47">
        <v>1403</v>
      </c>
      <c r="C10" s="48"/>
      <c r="D10" s="48"/>
      <c r="E10" s="48"/>
      <c r="F10" s="48"/>
      <c r="G10" s="48" t="s">
        <v>568</v>
      </c>
      <c r="H10" s="50" t="str">
        <f>IF($B10="","",IF($J10="X",B10,CONCATENATE(VLOOKUP(B10,Competitors!$A$2:$I$650,3, FALSE)," ",VLOOKUP(B10,Competitors!$A$2:$I$650,2,FALSE))))</f>
        <v>Toby Lenehan</v>
      </c>
      <c r="I10" s="51">
        <f t="shared" si="0"/>
        <v>0</v>
      </c>
      <c r="J10" t="str">
        <f t="shared" si="1"/>
        <v/>
      </c>
    </row>
    <row r="11" spans="1:10" ht="14.25" x14ac:dyDescent="0.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4.25" x14ac:dyDescent="0.15">
      <c r="A12" s="46" t="s">
        <v>431</v>
      </c>
      <c r="B12" s="47">
        <v>616</v>
      </c>
      <c r="C12" s="48"/>
      <c r="D12" s="48"/>
      <c r="E12" s="48"/>
      <c r="F12" s="48"/>
      <c r="G12" s="48" t="s">
        <v>568</v>
      </c>
      <c r="H12" s="50" t="str">
        <f>IF($B12="","",IF($J12="X",B12,CONCATENATE(VLOOKUP(B12,Competitors!$A$2:$I$650,3,FALSE)," ",VLOOKUP(B12,Competitors!$A$2:$I$650,2,FALSE))))</f>
        <v>Simon Ward</v>
      </c>
      <c r="I12" s="51">
        <f t="shared" si="0"/>
        <v>0</v>
      </c>
      <c r="J12" t="str">
        <f t="shared" si="1"/>
        <v/>
      </c>
    </row>
    <row r="13" spans="1:10" ht="14.25" x14ac:dyDescent="0.15">
      <c r="A13" s="46" t="s">
        <v>537</v>
      </c>
      <c r="B13" s="47" t="s">
        <v>569</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4.25" x14ac:dyDescent="0.15">
      <c r="A14" s="46" t="s">
        <v>522</v>
      </c>
      <c r="B14" s="47" t="s">
        <v>570</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4.25" x14ac:dyDescent="0.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4.25" x14ac:dyDescent="0.15">
      <c r="A16" s="46" t="s">
        <v>413</v>
      </c>
      <c r="B16" s="47">
        <v>1144</v>
      </c>
      <c r="C16" s="48"/>
      <c r="D16" s="48">
        <v>23</v>
      </c>
      <c r="E16" s="48">
        <v>25</v>
      </c>
      <c r="F16" s="48" t="s">
        <v>555</v>
      </c>
      <c r="G16" s="48"/>
      <c r="H16" s="50" t="str">
        <f>IF($B16="","",IF($J16="X",B16,CONCATENATE(VLOOKUP(B16,Competitors!$A$2:$I$650,3,FALSE)," ",VLOOKUP(B16,Competitors!$A$2:$I$650,2,FALSE))))</f>
        <v>Jamie Kershaw</v>
      </c>
      <c r="I16" s="51">
        <f t="shared" si="0"/>
        <v>1.6261574074074074E-2</v>
      </c>
      <c r="J16" t="str">
        <f t="shared" si="1"/>
        <v/>
      </c>
    </row>
    <row r="17" spans="1:10" ht="14.25" x14ac:dyDescent="0.15">
      <c r="A17" s="46" t="s">
        <v>420</v>
      </c>
      <c r="B17" s="47">
        <v>756</v>
      </c>
      <c r="C17" s="48"/>
      <c r="D17" s="48">
        <v>27</v>
      </c>
      <c r="E17" s="48">
        <v>36</v>
      </c>
      <c r="F17" s="48" t="s">
        <v>555</v>
      </c>
      <c r="G17" s="48"/>
      <c r="H17" s="50" t="str">
        <f>IF($B17="","",IF($J17="X",B17,CONCATENATE(VLOOKUP(B17,Competitors!$A$2:$I$650,3,FALSE)," ",VLOOKUP(B17,Competitors!$A$2:$I$650,2,FALSE))))</f>
        <v>Josh van Nierop</v>
      </c>
      <c r="I17" s="51">
        <f t="shared" si="0"/>
        <v>1.9166666666666665E-2</v>
      </c>
      <c r="J17" t="str">
        <f t="shared" si="1"/>
        <v/>
      </c>
    </row>
    <row r="18" spans="1:10" ht="14.25" x14ac:dyDescent="0.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4.25" x14ac:dyDescent="0.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4.25" x14ac:dyDescent="0.15">
      <c r="A20" s="46" t="s">
        <v>556</v>
      </c>
      <c r="B20" s="47">
        <v>1385</v>
      </c>
      <c r="C20" s="48"/>
      <c r="D20" s="48"/>
      <c r="E20" s="48"/>
      <c r="F20" s="48"/>
      <c r="G20" s="48" t="s">
        <v>564</v>
      </c>
      <c r="H20" s="50" t="str">
        <f>IF($B20="","",IF($J20="X",B20,CONCATENATE(VLOOKUP(B20,Competitors!$A$2:$I$650,3,FALSE)," ",VLOOKUP(B20,Competitors!$A$2:$I$650,2,FALSE))))</f>
        <v>Miles Marr</v>
      </c>
      <c r="I20" s="51">
        <f t="shared" si="0"/>
        <v>0</v>
      </c>
      <c r="J20" t="str">
        <f t="shared" si="1"/>
        <v/>
      </c>
    </row>
    <row r="21" spans="1:10" ht="14.25" x14ac:dyDescent="0.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4.25" x14ac:dyDescent="0.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4.25" x14ac:dyDescent="0.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4.25" x14ac:dyDescent="0.15">
      <c r="A24" s="46" t="s">
        <v>422</v>
      </c>
      <c r="B24" s="47">
        <v>415</v>
      </c>
      <c r="C24" s="48"/>
      <c r="D24" s="48">
        <v>26</v>
      </c>
      <c r="E24" s="48">
        <v>10</v>
      </c>
      <c r="F24" s="48" t="s">
        <v>555</v>
      </c>
      <c r="G24" s="48"/>
      <c r="H24" s="50" t="str">
        <f>IF($B24="","",IF($J24="X",B24,CONCATENATE(VLOOKUP(B24,Competitors!$A$2:$I$650,3,FALSE)," ",VLOOKUP(B24,Competitors!$A$2:$I$650,2,FALSE))))</f>
        <v>Nik Kershaw</v>
      </c>
      <c r="I24" s="51">
        <f t="shared" si="0"/>
        <v>1.8171296296296297E-2</v>
      </c>
      <c r="J24" t="str">
        <f t="shared" si="1"/>
        <v/>
      </c>
    </row>
    <row r="25" spans="1:10" ht="14.25" x14ac:dyDescent="0.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4.25" x14ac:dyDescent="0.15">
      <c r="A26" s="46" t="s">
        <v>510</v>
      </c>
      <c r="B26" s="47" t="s">
        <v>571</v>
      </c>
      <c r="C26" s="48"/>
      <c r="D26" s="48"/>
      <c r="E26" s="48"/>
      <c r="F26" s="48"/>
      <c r="G26" s="48" t="s">
        <v>564</v>
      </c>
      <c r="H26" s="50" t="str">
        <f>IF($B26="","",IF($J26="X",B26,CONCATENATE(VLOOKUP(B26,Competitors!$A$2:$I$650,3,FALSE)," ",VLOOKUP(B26,Competitors!$A$2:$I$650,2,FALSE))))</f>
        <v>Chris Spray (Ratae)</v>
      </c>
      <c r="I26" s="51">
        <f t="shared" si="0"/>
        <v>0</v>
      </c>
      <c r="J26" t="str">
        <f t="shared" si="1"/>
        <v>X</v>
      </c>
    </row>
    <row r="27" spans="1:10" ht="14.25" x14ac:dyDescent="0.15">
      <c r="A27" s="46" t="s">
        <v>429</v>
      </c>
      <c r="B27" s="47">
        <v>1237</v>
      </c>
      <c r="C27" s="48"/>
      <c r="D27" s="48"/>
      <c r="E27" s="48"/>
      <c r="F27" s="48"/>
      <c r="G27" s="48" t="s">
        <v>564</v>
      </c>
      <c r="H27" s="50" t="str">
        <f>IF($B27="","",IF($J27="X",B27,CONCATENATE(VLOOKUP(B27,Competitors!$A$2:$I$650,3,FALSE)," ",VLOOKUP(B27,Competitors!$A$2:$I$650,2,FALSE))))</f>
        <v>John Abbott</v>
      </c>
      <c r="I27" s="51">
        <f t="shared" si="0"/>
        <v>0</v>
      </c>
      <c r="J27" t="str">
        <f t="shared" si="1"/>
        <v/>
      </c>
    </row>
    <row r="28" spans="1:10" ht="14.25" x14ac:dyDescent="0.15">
      <c r="A28" s="46" t="s">
        <v>517</v>
      </c>
      <c r="B28" s="47" t="s">
        <v>572</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4.25" x14ac:dyDescent="0.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4.25" x14ac:dyDescent="0.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4.25" x14ac:dyDescent="0.15">
      <c r="A31" s="46" t="s">
        <v>466</v>
      </c>
      <c r="B31" s="47" t="s">
        <v>573</v>
      </c>
      <c r="C31" s="48"/>
      <c r="D31" s="48">
        <v>22</v>
      </c>
      <c r="E31" s="48">
        <v>49</v>
      </c>
      <c r="F31" s="48" t="s">
        <v>555</v>
      </c>
      <c r="G31" s="48"/>
      <c r="H31" s="50" t="str">
        <f>IF($B31="","",IF($J31="X",B31,CONCATENATE(VLOOKUP(B31,Competitors!$A$2:$I$650,3,FALSE)," ",VLOOKUP(B31,Competitors!$A$2:$I$650,2,FALSE))))</f>
        <v>Carl Dyson (Aerologic)</v>
      </c>
      <c r="I31" s="51">
        <f t="shared" si="0"/>
        <v>1.5844907407407408E-2</v>
      </c>
      <c r="J31" t="str">
        <f t="shared" si="1"/>
        <v>X</v>
      </c>
    </row>
    <row r="32" spans="1:10" ht="14.25" x14ac:dyDescent="0.15">
      <c r="A32" s="46" t="s">
        <v>503</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4.25" x14ac:dyDescent="0.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4.25" x14ac:dyDescent="0.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4.25" x14ac:dyDescent="0.15">
      <c r="A35" s="46" t="s">
        <v>508</v>
      </c>
      <c r="B35" s="47" t="s">
        <v>574</v>
      </c>
      <c r="C35" s="48"/>
      <c r="D35" s="48">
        <v>34</v>
      </c>
      <c r="E35" s="48">
        <v>29</v>
      </c>
      <c r="F35" s="48" t="s">
        <v>555</v>
      </c>
      <c r="G35" s="48"/>
      <c r="H35" s="50" t="str">
        <f>IF($B35="","",IF($J35="X",B35,CONCATENATE(VLOOKUP(B35,Competitors!$A$2:$I$650,3,FALSE)," ",VLOOKUP(B35,Competitors!$A$2:$I$650,2,FALSE))))</f>
        <v>Brian Lincoln (Ratae)</v>
      </c>
      <c r="I35" s="51">
        <f t="shared" si="0"/>
        <v>2.3946759259259258E-2</v>
      </c>
      <c r="J35" t="str">
        <f t="shared" si="1"/>
        <v>X</v>
      </c>
    </row>
    <row r="36" spans="1:10" ht="14.25" x14ac:dyDescent="0.15">
      <c r="A36" s="46" t="s">
        <v>518</v>
      </c>
      <c r="B36" s="47" t="s">
        <v>575</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4.25" x14ac:dyDescent="0.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4.25" x14ac:dyDescent="0.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4.25" x14ac:dyDescent="0.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election activeCell="B35" sqref="B35"/>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455</v>
      </c>
      <c r="B2" s="54">
        <v>558</v>
      </c>
      <c r="C2" s="48"/>
      <c r="D2" s="48">
        <v>39</v>
      </c>
      <c r="E2" s="48">
        <v>9</v>
      </c>
      <c r="F2" s="48" t="s">
        <v>555</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4.25" x14ac:dyDescent="0.15">
      <c r="A3" s="46" t="s">
        <v>456</v>
      </c>
      <c r="B3" s="54">
        <v>45</v>
      </c>
      <c r="C3" s="48"/>
      <c r="D3" s="48">
        <v>34</v>
      </c>
      <c r="E3" s="48">
        <v>16</v>
      </c>
      <c r="F3" s="48" t="s">
        <v>555</v>
      </c>
      <c r="G3" s="48"/>
      <c r="H3" s="50" t="str">
        <f>IF($B3="","",IF($J3="X",B3,CONCATENATE(VLOOKUP(B3,Competitors!$A$2:$I$650,3,FALSE)," ",VLOOKUP(B3,Competitors!$A$2:$I$650,2,FALSE))))</f>
        <v>Ray Taylor</v>
      </c>
      <c r="I3" s="51">
        <f t="shared" si="0"/>
        <v>2.3796296296296298E-2</v>
      </c>
      <c r="J3" t="str">
        <f t="shared" si="1"/>
        <v/>
      </c>
    </row>
    <row r="4" spans="1:10" ht="14.25" x14ac:dyDescent="0.15">
      <c r="A4" s="46" t="s">
        <v>509</v>
      </c>
      <c r="B4" s="54" t="s">
        <v>565</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4.25" x14ac:dyDescent="0.15">
      <c r="A5" s="46" t="s">
        <v>454</v>
      </c>
      <c r="B5" s="54">
        <v>990</v>
      </c>
      <c r="C5" s="48"/>
      <c r="D5" s="48">
        <v>35</v>
      </c>
      <c r="E5" s="48">
        <v>3</v>
      </c>
      <c r="F5" s="48" t="s">
        <v>555</v>
      </c>
      <c r="G5" s="48"/>
      <c r="H5" s="50" t="str">
        <f>IF($B5="","",IF($J5="X",B5,CONCATENATE(VLOOKUP(B5,Competitors!$A$2:$I$650,3,FALSE)," ",VLOOKUP(B5,Competitors!$A$2:$I$650,2,FALSE))))</f>
        <v>Jennifer Hulme</v>
      </c>
      <c r="I5" s="51">
        <f t="shared" si="0"/>
        <v>2.4340277777777777E-2</v>
      </c>
      <c r="J5" t="str">
        <f t="shared" si="1"/>
        <v/>
      </c>
    </row>
    <row r="6" spans="1:10" ht="14.25" x14ac:dyDescent="0.15">
      <c r="A6" s="46" t="s">
        <v>449</v>
      </c>
      <c r="B6" s="54">
        <v>1298</v>
      </c>
      <c r="C6" s="48"/>
      <c r="D6" s="48">
        <v>32</v>
      </c>
      <c r="E6" s="48">
        <v>50</v>
      </c>
      <c r="F6" s="48" t="s">
        <v>555</v>
      </c>
      <c r="G6" s="48"/>
      <c r="H6" s="50" t="str">
        <f>IF($B6="","",IF($J6="X",B6,CONCATENATE(VLOOKUP(B6,Competitors!$A$2:$I$650,3,FALSE)," ",VLOOKUP(B6,Competitors!$A$2:$I$650,2,FALSE))))</f>
        <v>Jane Moore</v>
      </c>
      <c r="I6" s="51">
        <f t="shared" si="0"/>
        <v>2.2800925925925926E-2</v>
      </c>
      <c r="J6" t="str">
        <f t="shared" si="1"/>
        <v/>
      </c>
    </row>
    <row r="7" spans="1:10" ht="14.25" x14ac:dyDescent="0.15">
      <c r="A7" s="46" t="s">
        <v>514</v>
      </c>
      <c r="B7" s="54" t="s">
        <v>576</v>
      </c>
      <c r="C7" s="48"/>
      <c r="D7" s="48">
        <v>33</v>
      </c>
      <c r="E7" s="48">
        <v>51</v>
      </c>
      <c r="F7" s="48" t="s">
        <v>555</v>
      </c>
      <c r="G7" s="48"/>
      <c r="H7" s="50" t="str">
        <f>IF($B7="","",IF($J7="X",B7,CONCATENATE(VLOOKUP(B7,Competitors!$A$2:$I$650,3,FALSE)," ",VLOOKUP(B7,Competitors!$A$2:$I$650,2,FALSE))))</f>
        <v>Lesley Allden (Ratae)</v>
      </c>
      <c r="I7" s="51">
        <f t="shared" si="0"/>
        <v>2.3506944444444445E-2</v>
      </c>
      <c r="J7" t="str">
        <f t="shared" si="1"/>
        <v>X</v>
      </c>
    </row>
    <row r="8" spans="1:10" ht="14.25" x14ac:dyDescent="0.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4.25" x14ac:dyDescent="0.15">
      <c r="A9" s="46" t="s">
        <v>522</v>
      </c>
      <c r="B9" s="54" t="s">
        <v>570</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4.25" x14ac:dyDescent="0.15">
      <c r="A10" s="46" t="s">
        <v>508</v>
      </c>
      <c r="B10" s="54" t="s">
        <v>574</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4.25" x14ac:dyDescent="0.15">
      <c r="A11" s="46" t="s">
        <v>442</v>
      </c>
      <c r="B11" s="54">
        <v>1254</v>
      </c>
      <c r="C11" s="48"/>
      <c r="D11" s="48"/>
      <c r="E11" s="48"/>
      <c r="F11" s="48"/>
      <c r="G11" s="48" t="s">
        <v>564</v>
      </c>
      <c r="H11" s="50" t="str">
        <f>IF($B11="","",IF($J11="X",B11,CONCATENATE(VLOOKUP(B11,Competitors!$A$2:$I$650,3,FALSE)," ",VLOOKUP(B11,Competitors!$A$2:$I$650,2,FALSE))))</f>
        <v>Paul White</v>
      </c>
      <c r="I11" s="51">
        <f t="shared" si="0"/>
        <v>0</v>
      </c>
      <c r="J11" t="str">
        <f t="shared" si="1"/>
        <v/>
      </c>
    </row>
    <row r="12" spans="1:10" ht="14.25" x14ac:dyDescent="0.15">
      <c r="A12" s="46" t="s">
        <v>435</v>
      </c>
      <c r="B12" s="54">
        <v>1419</v>
      </c>
      <c r="C12" s="48"/>
      <c r="D12" s="48">
        <v>27</v>
      </c>
      <c r="E12" s="48">
        <v>11</v>
      </c>
      <c r="F12" s="48" t="s">
        <v>555</v>
      </c>
      <c r="G12" s="48"/>
      <c r="H12" s="50" t="str">
        <f>IF($B12="","",IF($J12="X",B12,CONCATENATE(VLOOKUP(B12,Competitors!$A$2:$I$650,3,FALSE)," ",VLOOKUP(B12,Competitors!$A$2:$I$650,2,FALSE))))</f>
        <v>Ethan Marsh</v>
      </c>
      <c r="I12" s="51">
        <f t="shared" si="0"/>
        <v>1.8877314814814816E-2</v>
      </c>
      <c r="J12" t="str">
        <f t="shared" si="1"/>
        <v/>
      </c>
    </row>
    <row r="13" spans="1:10" ht="14.25" x14ac:dyDescent="0.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4.25" x14ac:dyDescent="0.15">
      <c r="A14" s="46" t="s">
        <v>577</v>
      </c>
      <c r="B14" s="54" t="s">
        <v>577</v>
      </c>
      <c r="C14" s="48"/>
      <c r="D14" s="48">
        <v>38</v>
      </c>
      <c r="E14" s="48">
        <v>6</v>
      </c>
      <c r="F14" s="48" t="s">
        <v>555</v>
      </c>
      <c r="G14" s="48"/>
      <c r="H14" s="50" t="str">
        <f>IF($B14="","",IF($J14="X",B14,CONCATENATE(VLOOKUP(B14,Competitors!$A$2:$I$650,3,FALSE)," ",VLOOKUP(B14,Competitors!$A$2:$I$650,2,FALSE))))</f>
        <v>Laura Davison</v>
      </c>
      <c r="I14" s="51">
        <f t="shared" si="0"/>
        <v>2.6458333333333334E-2</v>
      </c>
      <c r="J14" t="str">
        <f t="shared" si="1"/>
        <v>X</v>
      </c>
    </row>
    <row r="15" spans="1:10" ht="14.25" x14ac:dyDescent="0.15">
      <c r="A15" s="46" t="s">
        <v>423</v>
      </c>
      <c r="B15" s="54">
        <v>1407</v>
      </c>
      <c r="C15" s="48"/>
      <c r="D15" s="48">
        <v>26</v>
      </c>
      <c r="E15" s="48">
        <v>38</v>
      </c>
      <c r="F15" s="48" t="s">
        <v>555</v>
      </c>
      <c r="G15" s="48"/>
      <c r="H15" s="50" t="str">
        <f>IF($B15="","",IF($J15="X",B15,CONCATENATE(VLOOKUP(B15,Competitors!$A$2:$I$650,3,FALSE)," ",VLOOKUP(B15,Competitors!$A$2:$I$650,2,FALSE))))</f>
        <v>Colin Dobson</v>
      </c>
      <c r="I15" s="51">
        <f t="shared" si="0"/>
        <v>1.849537037037037E-2</v>
      </c>
      <c r="J15" t="str">
        <f t="shared" si="1"/>
        <v/>
      </c>
    </row>
    <row r="16" spans="1:10" ht="14.25" x14ac:dyDescent="0.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4.25" x14ac:dyDescent="0.15">
      <c r="A17" s="46" t="s">
        <v>448</v>
      </c>
      <c r="B17" s="54">
        <v>1194</v>
      </c>
      <c r="C17" s="48"/>
      <c r="D17" s="48">
        <v>31</v>
      </c>
      <c r="E17" s="48">
        <v>6</v>
      </c>
      <c r="F17" s="48" t="s">
        <v>555</v>
      </c>
      <c r="G17" s="48"/>
      <c r="H17" s="50" t="str">
        <f>IF($B17="","",IF($J17="X",B17,CONCATENATE(VLOOKUP(B17,Competitors!$A$2:$I$650,3,FALSE)," ",VLOOKUP(B17,Competitors!$A$2:$I$650,2,FALSE))))</f>
        <v>Alex Hardwicke</v>
      </c>
      <c r="I17" s="51">
        <f t="shared" si="0"/>
        <v>2.1597222222222223E-2</v>
      </c>
      <c r="J17" t="str">
        <f t="shared" si="1"/>
        <v/>
      </c>
    </row>
    <row r="18" spans="1:10" ht="14.25" x14ac:dyDescent="0.15">
      <c r="A18" s="46" t="s">
        <v>438</v>
      </c>
      <c r="B18" s="54">
        <v>1195</v>
      </c>
      <c r="C18" s="48"/>
      <c r="D18" s="48">
        <v>28</v>
      </c>
      <c r="E18" s="48">
        <v>26</v>
      </c>
      <c r="F18" s="48" t="s">
        <v>555</v>
      </c>
      <c r="G18" s="48"/>
      <c r="H18" s="50" t="str">
        <f>IF($B18="","",IF($J18="X",B18,CONCATENATE(VLOOKUP(B18,Competitors!$A$2:$I$650,3,FALSE)," ",VLOOKUP(B18,Competitors!$A$2:$I$650,2,FALSE))))</f>
        <v>Charlie Hardwicke</v>
      </c>
      <c r="I18" s="51">
        <f t="shared" si="0"/>
        <v>1.9745370370370371E-2</v>
      </c>
      <c r="J18" t="str">
        <f t="shared" si="1"/>
        <v/>
      </c>
    </row>
    <row r="19" spans="1:10" ht="14.25" x14ac:dyDescent="0.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4.25" x14ac:dyDescent="0.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4.25" x14ac:dyDescent="0.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4.25" x14ac:dyDescent="0.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4.25" x14ac:dyDescent="0.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4.25" x14ac:dyDescent="0.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4.25" x14ac:dyDescent="0.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4.25" x14ac:dyDescent="0.15">
      <c r="A26" s="46" t="s">
        <v>413</v>
      </c>
      <c r="B26" s="54">
        <v>1144</v>
      </c>
      <c r="C26" s="48"/>
      <c r="D26" s="48">
        <v>23</v>
      </c>
      <c r="E26" s="48">
        <v>54</v>
      </c>
      <c r="F26" s="48" t="s">
        <v>555</v>
      </c>
      <c r="G26" s="48"/>
      <c r="H26" s="50" t="str">
        <f>IF($B26="","",IF($J26="X",B26,CONCATENATE(VLOOKUP(B26,Competitors!$A$2:$I$650,3,FALSE)," ",VLOOKUP(B26,Competitors!$A$2:$I$650,2,FALSE))))</f>
        <v>Jamie Kershaw</v>
      </c>
      <c r="I26" s="51">
        <f t="shared" si="0"/>
        <v>1.6597222222222222E-2</v>
      </c>
      <c r="J26" t="str">
        <f t="shared" si="1"/>
        <v/>
      </c>
    </row>
    <row r="27" spans="1:10" ht="14.25" x14ac:dyDescent="0.15">
      <c r="A27" s="46" t="s">
        <v>457</v>
      </c>
      <c r="B27" s="54">
        <v>295</v>
      </c>
      <c r="C27" s="48"/>
      <c r="D27" s="48">
        <v>29</v>
      </c>
      <c r="E27" s="48">
        <v>29</v>
      </c>
      <c r="F27" s="48" t="s">
        <v>555</v>
      </c>
      <c r="G27" s="48"/>
      <c r="H27" s="50" t="str">
        <f>IF($B27="","",IF($J27="X",B27,CONCATENATE(VLOOKUP(B27,Competitors!$A$2:$I$650,3,FALSE)," ",VLOOKUP(B27,Competitors!$A$2:$I$650,2,FALSE))))</f>
        <v>Stuart Dawkins</v>
      </c>
      <c r="I27" s="51">
        <f t="shared" si="0"/>
        <v>2.0474537037037038E-2</v>
      </c>
      <c r="J27" t="str">
        <f t="shared" si="1"/>
        <v/>
      </c>
    </row>
    <row r="28" spans="1:10" ht="14.25" x14ac:dyDescent="0.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4.25" x14ac:dyDescent="0.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4.25" x14ac:dyDescent="0.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4.25" x14ac:dyDescent="0.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4.25" x14ac:dyDescent="0.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4.25" x14ac:dyDescent="0.15">
      <c r="A33" s="46" t="s">
        <v>415</v>
      </c>
      <c r="B33" s="54">
        <v>699</v>
      </c>
      <c r="C33" s="48"/>
      <c r="D33" s="48"/>
      <c r="E33" s="48"/>
      <c r="F33" s="48"/>
      <c r="G33" s="48" t="s">
        <v>564</v>
      </c>
      <c r="H33" s="50" t="str">
        <f>IF($B33="","",IF($J33="X",B33,CONCATENATE(VLOOKUP(B33,Competitors!$A$2:$I$650,3,FALSE)," ",VLOOKUP(B33,Competitors!$A$2:$I$650,2,FALSE))))</f>
        <v>Jonathan Durnin</v>
      </c>
      <c r="I33" s="51">
        <f t="shared" si="0"/>
        <v>0</v>
      </c>
      <c r="J33" t="str">
        <f t="shared" si="1"/>
        <v/>
      </c>
    </row>
    <row r="34" spans="1:10" ht="14.25" x14ac:dyDescent="0.15">
      <c r="A34" s="46" t="s">
        <v>444</v>
      </c>
      <c r="B34" s="54">
        <v>1193</v>
      </c>
      <c r="C34" s="48"/>
      <c r="D34" s="48">
        <v>28</v>
      </c>
      <c r="E34" s="48">
        <v>25</v>
      </c>
      <c r="F34" s="48" t="s">
        <v>555</v>
      </c>
      <c r="G34" s="48"/>
      <c r="H34" s="50" t="str">
        <f>IF($B34="","",IF($J34="X",B34,CONCATENATE(VLOOKUP(B34,Competitors!$A$2:$I$650,3,FALSE)," ",VLOOKUP(B34,Competitors!$A$2:$I$650,2,FALSE))))</f>
        <v>Richard Hardwicke</v>
      </c>
      <c r="I34" s="51">
        <f t="shared" si="0"/>
        <v>1.9733796296296298E-2</v>
      </c>
      <c r="J34" t="str">
        <f t="shared" si="1"/>
        <v/>
      </c>
    </row>
    <row r="35" spans="1:10" ht="14.25" x14ac:dyDescent="0.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4.25" x14ac:dyDescent="0.15">
      <c r="A36" s="46" t="s">
        <v>414</v>
      </c>
      <c r="B36" s="54">
        <v>989</v>
      </c>
      <c r="C36" s="48"/>
      <c r="D36" s="48">
        <v>26</v>
      </c>
      <c r="E36" s="48">
        <v>0</v>
      </c>
      <c r="F36" s="48" t="s">
        <v>555</v>
      </c>
      <c r="G36" s="48"/>
      <c r="H36" s="50" t="str">
        <f>IF($B36="","",IF($J36="X",B36,CONCATENATE(VLOOKUP(B36,Competitors!$A$2:$I$650,3,FALSE)," ",VLOOKUP(B36,Competitors!$A$2:$I$650,2,FALSE))))</f>
        <v>Jason Williams</v>
      </c>
      <c r="I36" s="51">
        <f t="shared" si="0"/>
        <v>1.8055555555555554E-2</v>
      </c>
      <c r="J36" t="str">
        <f t="shared" si="1"/>
        <v/>
      </c>
    </row>
    <row r="37" spans="1:10" ht="14.25" x14ac:dyDescent="0.15">
      <c r="A37" s="46" t="s">
        <v>520</v>
      </c>
      <c r="B37" s="54" t="s">
        <v>578</v>
      </c>
      <c r="C37" s="48"/>
      <c r="D37" s="48">
        <v>34</v>
      </c>
      <c r="E37" s="48">
        <v>21</v>
      </c>
      <c r="F37" s="48" t="s">
        <v>555</v>
      </c>
      <c r="G37" s="48"/>
      <c r="H37" s="50" t="str">
        <f>IF($B37="","",IF($J37="X",B37,CONCATENATE(VLOOKUP(B37,Competitors!$A$2:$I$650,3,FALSE)," ",VLOOKUP(B37,Competitors!$A$2:$I$650,2,FALSE))))</f>
        <v>Paul Eden (Ratae)</v>
      </c>
      <c r="I37" s="51">
        <f t="shared" si="0"/>
        <v>2.3854166666666666E-2</v>
      </c>
      <c r="J37" t="str">
        <f t="shared" si="1"/>
        <v>X</v>
      </c>
    </row>
    <row r="38" spans="1:10" ht="14.25" x14ac:dyDescent="0.15">
      <c r="A38" s="46" t="s">
        <v>419</v>
      </c>
      <c r="B38" s="54">
        <v>1355</v>
      </c>
      <c r="C38" s="48"/>
      <c r="D38" s="48"/>
      <c r="E38" s="48"/>
      <c r="F38" s="48"/>
      <c r="G38" s="48" t="s">
        <v>564</v>
      </c>
      <c r="H38" s="50" t="str">
        <f>IF($B38="","",IF($J38="X",B38,CONCATENATE(VLOOKUP(B38,Competitors!$A$2:$I$650,3,FALSE)," ",VLOOKUP(B38,Competitors!$A$2:$I$650,2,FALSE))))</f>
        <v>Aubrey Elmer</v>
      </c>
      <c r="I38" s="51">
        <f t="shared" si="0"/>
        <v>0</v>
      </c>
      <c r="J38" t="str">
        <f t="shared" si="1"/>
        <v/>
      </c>
    </row>
    <row r="39" spans="1:10" ht="14.25" x14ac:dyDescent="0.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4.25" x14ac:dyDescent="0.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4.25" x14ac:dyDescent="0.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4.25" x14ac:dyDescent="0.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4.25" x14ac:dyDescent="0.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4.25" x14ac:dyDescent="0.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4.25" x14ac:dyDescent="0.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4.25" x14ac:dyDescent="0.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4.25" x14ac:dyDescent="0.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4.25" x14ac:dyDescent="0.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4.25" x14ac:dyDescent="0.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4.25" x14ac:dyDescent="0.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4.25" x14ac:dyDescent="0.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4.25" x14ac:dyDescent="0.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4.25" x14ac:dyDescent="0.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4.25" x14ac:dyDescent="0.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4.25" x14ac:dyDescent="0.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4.25" x14ac:dyDescent="0.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4.25" x14ac:dyDescent="0.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4.25" x14ac:dyDescent="0.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4.25" x14ac:dyDescent="0.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4.25" x14ac:dyDescent="0.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4.25" x14ac:dyDescent="0.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4.25" x14ac:dyDescent="0.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4.25" x14ac:dyDescent="0.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4.25" x14ac:dyDescent="0.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4.25" x14ac:dyDescent="0.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4.25" x14ac:dyDescent="0.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4.25" x14ac:dyDescent="0.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4.25" x14ac:dyDescent="0.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4.25" x14ac:dyDescent="0.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4.25" x14ac:dyDescent="0.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4.25" x14ac:dyDescent="0.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4.25" x14ac:dyDescent="0.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4.25" x14ac:dyDescent="0.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4.25" x14ac:dyDescent="0.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4.25" x14ac:dyDescent="0.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4.25" x14ac:dyDescent="0.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4.25" x14ac:dyDescent="0.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4.25" x14ac:dyDescent="0.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4.25" x14ac:dyDescent="0.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4.25" x14ac:dyDescent="0.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4.25" x14ac:dyDescent="0.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4.25" x14ac:dyDescent="0.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4.25" x14ac:dyDescent="0.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4.25" x14ac:dyDescent="0.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4.25" x14ac:dyDescent="0.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4.25" x14ac:dyDescent="0.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4.25" x14ac:dyDescent="0.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4.25" x14ac:dyDescent="0.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4.25" x14ac:dyDescent="0.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4.25" x14ac:dyDescent="0.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4.25" x14ac:dyDescent="0.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4.25" x14ac:dyDescent="0.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4.25" x14ac:dyDescent="0.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4.25" x14ac:dyDescent="0.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4.25" x14ac:dyDescent="0.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4.25" x14ac:dyDescent="0.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4.25" x14ac:dyDescent="0.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4.25" x14ac:dyDescent="0.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4.25" x14ac:dyDescent="0.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4.25" x14ac:dyDescent="0.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4.25" x14ac:dyDescent="0.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election activeCell="S11" sqref="S11"/>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38"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45" t="s">
        <v>463</v>
      </c>
      <c r="I1" s="45" t="s">
        <v>553</v>
      </c>
      <c r="J1" t="s">
        <v>554</v>
      </c>
    </row>
    <row r="2" spans="1:10" ht="14.25" x14ac:dyDescent="0.15">
      <c r="A2" s="46" t="s">
        <v>455</v>
      </c>
      <c r="B2" s="47">
        <f t="shared" ref="B2:B33" si="0">IF(A2="","",_xlfn.XLOOKUP(A2,ClubNames,ClubNumbers,_xlfn.XLOOKUP(A2,RoundRobinRiderNames,RoundRobinRiderDecoratedNames,A2)))</f>
        <v>558</v>
      </c>
      <c r="C2" s="48"/>
      <c r="D2" s="48">
        <v>40</v>
      </c>
      <c r="E2" s="48">
        <v>54</v>
      </c>
      <c r="F2" s="48" t="s">
        <v>555</v>
      </c>
      <c r="G2" s="48"/>
      <c r="H2" s="50" t="str">
        <f>IF($B2="","",IF($J2="X",B2,CONCATENATE(VLOOKUP(B2,Competitors!$A$2:$I$650,3, FALSE)," ",VLOOKUP(B2,Competitors!$A$2:$I$650,2,FALSE))))</f>
        <v>Andrew Weatherby</v>
      </c>
      <c r="I2" s="51">
        <f t="shared" ref="I2:I65" si="1">IF(LEFT($F2,1)="D",UPPER($F2),(C2*3600+D2*60+E2)/86400)</f>
        <v>2.8402777777777777E-2</v>
      </c>
      <c r="J2" t="str">
        <f t="shared" ref="J2:J65" si="2">IF(OR(B2="",ISNUMBER(B2)),"","X")</f>
        <v/>
      </c>
    </row>
    <row r="3" spans="1:10" ht="14.25" x14ac:dyDescent="0.15">
      <c r="A3" s="46" t="s">
        <v>449</v>
      </c>
      <c r="B3" s="47">
        <f t="shared" si="0"/>
        <v>1298</v>
      </c>
      <c r="C3" s="48"/>
      <c r="D3" s="48">
        <v>34</v>
      </c>
      <c r="E3" s="48">
        <v>46</v>
      </c>
      <c r="F3" s="48" t="s">
        <v>555</v>
      </c>
      <c r="G3" s="48"/>
      <c r="H3" s="50" t="str">
        <f>IF($B3="","",IF($J3="X",B3,CONCATENATE(VLOOKUP(B3,Competitors!$A$2:$I$650,3,FALSE)," ",VLOOKUP(B3,Competitors!$A$2:$I$650,2,FALSE))))</f>
        <v>Jane Moore</v>
      </c>
      <c r="I3" s="51">
        <f t="shared" si="1"/>
        <v>2.4143518518518519E-2</v>
      </c>
      <c r="J3" t="str">
        <f t="shared" si="2"/>
        <v/>
      </c>
    </row>
    <row r="4" spans="1:10" ht="14.25" x14ac:dyDescent="0.15">
      <c r="A4" s="46" t="s">
        <v>517</v>
      </c>
      <c r="B4" s="47" t="str">
        <f t="shared" si="0"/>
        <v>Mark Newton (Ratae)</v>
      </c>
      <c r="C4" s="48"/>
      <c r="D4" s="48">
        <v>30</v>
      </c>
      <c r="E4" s="48">
        <v>18</v>
      </c>
      <c r="F4" s="48" t="s">
        <v>555</v>
      </c>
      <c r="G4" s="48"/>
      <c r="H4" s="50" t="str">
        <f>IF($B4="","",IF($J4="X",B4,CONCATENATE(VLOOKUP(B4,Competitors!$A$2:$I$650,3,FALSE)," ",VLOOKUP(B4,Competitors!$A$2:$I$650,2,FALSE))))</f>
        <v>Mark Newton (Ratae)</v>
      </c>
      <c r="I4" s="51">
        <f t="shared" si="1"/>
        <v>2.1041666666666667E-2</v>
      </c>
      <c r="J4" t="str">
        <f t="shared" si="2"/>
        <v>X</v>
      </c>
    </row>
    <row r="5" spans="1:10" ht="14.25" x14ac:dyDescent="0.15">
      <c r="A5" s="46" t="s">
        <v>454</v>
      </c>
      <c r="B5" s="47">
        <f t="shared" si="0"/>
        <v>990</v>
      </c>
      <c r="C5" s="48"/>
      <c r="D5" s="48">
        <v>37</v>
      </c>
      <c r="E5" s="48">
        <v>24</v>
      </c>
      <c r="F5" s="48" t="s">
        <v>555</v>
      </c>
      <c r="G5" s="48"/>
      <c r="H5" s="50" t="str">
        <f>IF($B5="","",IF($J5="X",B5,CONCATENATE(VLOOKUP(B5,Competitors!$A$2:$I$650,3,FALSE)," ",VLOOKUP(B5,Competitors!$A$2:$I$650,2,FALSE))))</f>
        <v>Jennifer Hulme</v>
      </c>
      <c r="I5" s="51">
        <f t="shared" si="1"/>
        <v>2.5972222222222223E-2</v>
      </c>
      <c r="J5" t="str">
        <f t="shared" si="2"/>
        <v/>
      </c>
    </row>
    <row r="6" spans="1:10" ht="14.25" x14ac:dyDescent="0.15">
      <c r="A6" s="46" t="s">
        <v>412</v>
      </c>
      <c r="B6" s="47">
        <f t="shared" si="0"/>
        <v>407</v>
      </c>
      <c r="C6" s="48"/>
      <c r="D6" s="48">
        <v>24</v>
      </c>
      <c r="E6" s="48">
        <v>55</v>
      </c>
      <c r="F6" s="48"/>
      <c r="G6" s="48"/>
      <c r="H6" s="50" t="str">
        <f>IF($B6="","",IF($J6="X",B6,CONCATENATE(VLOOKUP(B6,Competitors!$A$2:$I$650,3,FALSE)," ",VLOOKUP(B6,Competitors!$A$2:$I$650,2,FALSE))))</f>
        <v>Hans van Nierop</v>
      </c>
      <c r="I6" s="51">
        <f t="shared" si="1"/>
        <v>1.7303240740740741E-2</v>
      </c>
      <c r="J6" t="str">
        <f t="shared" si="2"/>
        <v/>
      </c>
    </row>
    <row r="7" spans="1:10" ht="14.25" x14ac:dyDescent="0.15">
      <c r="A7" s="46" t="s">
        <v>508</v>
      </c>
      <c r="B7" s="47" t="str">
        <f t="shared" si="0"/>
        <v>Brian Lincoln (Ratae)</v>
      </c>
      <c r="C7" s="48"/>
      <c r="D7" s="48">
        <v>35</v>
      </c>
      <c r="E7" s="48">
        <v>55</v>
      </c>
      <c r="F7" s="48" t="s">
        <v>555</v>
      </c>
      <c r="G7" s="48"/>
      <c r="H7" s="50" t="str">
        <f>IF($B7="","",IF($J7="X",B7,CONCATENATE(VLOOKUP(B7,Competitors!$A$2:$I$650,3,FALSE)," ",VLOOKUP(B7,Competitors!$A$2:$I$650,2,FALSE))))</f>
        <v>Brian Lincoln (Ratae)</v>
      </c>
      <c r="I7" s="51">
        <f t="shared" si="1"/>
        <v>2.494212962962963E-2</v>
      </c>
      <c r="J7" t="str">
        <f t="shared" si="2"/>
        <v>X</v>
      </c>
    </row>
    <row r="8" spans="1:10" ht="14.25" x14ac:dyDescent="0.15">
      <c r="A8" s="46" t="s">
        <v>509</v>
      </c>
      <c r="B8" s="47" t="str">
        <f t="shared" si="0"/>
        <v>Chris Bonsor (Ratae)</v>
      </c>
      <c r="C8" s="48"/>
      <c r="D8" s="48">
        <v>28</v>
      </c>
      <c r="E8" s="48">
        <v>31</v>
      </c>
      <c r="F8" s="48"/>
      <c r="G8" s="48"/>
      <c r="H8" s="50" t="str">
        <f>IF($B8="","",IF($J8="X",B8,CONCATENATE(VLOOKUP(B8,Competitors!$A$2:$I$650,3,FALSE)," ",VLOOKUP(B8,Competitors!$A$2:$I$650,2,FALSE))))</f>
        <v>Chris Bonsor (Ratae)</v>
      </c>
      <c r="I8" s="51">
        <f t="shared" si="1"/>
        <v>1.9803240740740739E-2</v>
      </c>
      <c r="J8" t="str">
        <f t="shared" si="2"/>
        <v>X</v>
      </c>
    </row>
    <row r="9" spans="1:10" ht="14.25" x14ac:dyDescent="0.15">
      <c r="A9" s="46" t="s">
        <v>518</v>
      </c>
      <c r="B9" s="47" t="str">
        <f t="shared" si="0"/>
        <v>Marshall Briggs (Ratae)</v>
      </c>
      <c r="C9" s="48"/>
      <c r="D9" s="48">
        <v>29</v>
      </c>
      <c r="E9" s="48">
        <v>58</v>
      </c>
      <c r="F9" s="48"/>
      <c r="G9" s="48"/>
      <c r="H9" s="50" t="str">
        <f>IF($B9="","",IF($J9="X",B9,CONCATENATE(VLOOKUP(B9,Competitors!$A$2:$I$650,3,FALSE)," ",VLOOKUP(B9,Competitors!$A$2:$I$650,2,FALSE))))</f>
        <v>Marshall Briggs (Ratae)</v>
      </c>
      <c r="I9" s="51">
        <f t="shared" si="1"/>
        <v>2.0810185185185185E-2</v>
      </c>
      <c r="J9" t="str">
        <f t="shared" si="2"/>
        <v>X</v>
      </c>
    </row>
    <row r="10" spans="1:10" ht="14.25" x14ac:dyDescent="0.15">
      <c r="A10" s="46" t="s">
        <v>419</v>
      </c>
      <c r="B10" s="47">
        <f t="shared" si="0"/>
        <v>1355</v>
      </c>
      <c r="C10" s="48"/>
      <c r="D10" s="48">
        <v>27</v>
      </c>
      <c r="E10" s="48">
        <v>16</v>
      </c>
      <c r="F10" s="48" t="s">
        <v>555</v>
      </c>
      <c r="G10" s="48"/>
      <c r="H10" s="50" t="str">
        <f>IF($B10="","",IF($J10="X",B10,CONCATENATE(VLOOKUP(B10,Competitors!$A$2:$I$650,3, FALSE)," ",VLOOKUP(B10,Competitors!$A$2:$I$650,2,FALSE))))</f>
        <v>Aubrey Elmer</v>
      </c>
      <c r="I10" s="51">
        <f t="shared" si="1"/>
        <v>1.8935185185185187E-2</v>
      </c>
      <c r="J10" t="str">
        <f t="shared" si="2"/>
        <v/>
      </c>
    </row>
    <row r="11" spans="1:10" ht="14.25" x14ac:dyDescent="0.15">
      <c r="A11" s="46" t="s">
        <v>424</v>
      </c>
      <c r="B11" s="47">
        <f t="shared" si="0"/>
        <v>35</v>
      </c>
      <c r="C11" s="48"/>
      <c r="D11" s="48">
        <v>27</v>
      </c>
      <c r="E11" s="48">
        <v>53</v>
      </c>
      <c r="F11" s="48"/>
      <c r="G11" s="48"/>
      <c r="H11" s="50" t="str">
        <f>IF($B11="","",IF($J11="X",B11,CONCATENATE(VLOOKUP(B11,Competitors!$A$2:$I$650,3,FALSE)," ",VLOOKUP(B11,Competitors!$A$2:$I$650,2,FALSE))))</f>
        <v>Matt Plews</v>
      </c>
      <c r="I11" s="51">
        <f t="shared" si="1"/>
        <v>1.9363425925925926E-2</v>
      </c>
      <c r="J11" t="str">
        <f t="shared" si="2"/>
        <v/>
      </c>
    </row>
    <row r="12" spans="1:10" ht="14.25" x14ac:dyDescent="0.15">
      <c r="A12" s="46" t="s">
        <v>448</v>
      </c>
      <c r="B12" s="47">
        <f>IF(A12="","",_xlfn.XLOOKUP(A12,ClubNames,ClubNumbers,_xlfn.XLOOKUP(A12,RoundRobinRiderNames,RoundRobinRiderDecoratedNames,A12)))</f>
        <v>1194</v>
      </c>
      <c r="C12" s="48"/>
      <c r="D12" s="48">
        <v>32</v>
      </c>
      <c r="E12" s="48">
        <v>56</v>
      </c>
      <c r="F12" s="48" t="s">
        <v>555</v>
      </c>
      <c r="G12" s="48"/>
      <c r="H12" s="50" t="str">
        <f>IF($B12="","",IF($J12="X",B12,CONCATENATE(VLOOKUP(B12,Competitors!$A$2:$I$650,3,FALSE)," ",VLOOKUP(B12,Competitors!$A$2:$I$650,2,FALSE))))</f>
        <v>Alex Hardwicke</v>
      </c>
      <c r="I12" s="51">
        <f t="shared" si="1"/>
        <v>2.2870370370370371E-2</v>
      </c>
      <c r="J12" t="str">
        <f t="shared" si="2"/>
        <v/>
      </c>
    </row>
    <row r="13" spans="1:10" ht="14.25" x14ac:dyDescent="0.15">
      <c r="A13" s="46" t="s">
        <v>418</v>
      </c>
      <c r="B13" s="47">
        <f t="shared" si="0"/>
        <v>1152</v>
      </c>
      <c r="C13" s="48"/>
      <c r="D13" s="48">
        <v>26</v>
      </c>
      <c r="E13" s="48">
        <v>34</v>
      </c>
      <c r="F13" s="48"/>
      <c r="G13" s="48"/>
      <c r="H13" s="50" t="str">
        <f>IF($B13="","",IF($J13="X",B13,CONCATENATE(VLOOKUP(B13,Competitors!$A$2:$I$650,3,FALSE)," ",VLOOKUP(B13,Competitors!$A$2:$I$650,2,FALSE))))</f>
        <v>Ruby Isaac</v>
      </c>
      <c r="I13" s="51">
        <f t="shared" si="1"/>
        <v>1.8449074074074073E-2</v>
      </c>
      <c r="J13" t="str">
        <f t="shared" si="2"/>
        <v/>
      </c>
    </row>
    <row r="14" spans="1:10" ht="14.25" x14ac:dyDescent="0.15">
      <c r="A14" s="46" t="s">
        <v>428</v>
      </c>
      <c r="B14" s="47">
        <f t="shared" si="0"/>
        <v>915</v>
      </c>
      <c r="C14" s="48"/>
      <c r="D14" s="48">
        <v>28</v>
      </c>
      <c r="E14" s="48">
        <v>18</v>
      </c>
      <c r="F14" s="48"/>
      <c r="G14" s="48"/>
      <c r="H14" s="50" t="str">
        <f>IF($B14="","",IF($J14="X",B14,CONCATENATE(VLOOKUP(B14,Competitors!$A$2:$I$650,3,FALSE)," ",VLOOKUP(B14,Competitors!$A$2:$I$650,2,FALSE))))</f>
        <v>Julian Twynham</v>
      </c>
      <c r="I14" s="51">
        <f t="shared" si="1"/>
        <v>1.9652777777777779E-2</v>
      </c>
      <c r="J14" t="str">
        <f t="shared" si="2"/>
        <v/>
      </c>
    </row>
    <row r="15" spans="1:10" ht="14.25" x14ac:dyDescent="0.15">
      <c r="A15" s="46" t="s">
        <v>430</v>
      </c>
      <c r="B15" s="47">
        <f t="shared" si="0"/>
        <v>1107</v>
      </c>
      <c r="C15" s="48"/>
      <c r="D15" s="48">
        <v>29</v>
      </c>
      <c r="E15" s="48">
        <v>8</v>
      </c>
      <c r="F15" s="48" t="s">
        <v>555</v>
      </c>
      <c r="G15" s="48"/>
      <c r="H15" s="50" t="str">
        <f>IF($B15="","",IF($J15="X",B15,CONCATENATE(VLOOKUP(B15,Competitors!$A$2:$I$650,3,FALSE)," ",VLOOKUP(B15,Competitors!$A$2:$I$650,2,FALSE))))</f>
        <v>Milly Pinnock</v>
      </c>
      <c r="I15" s="51">
        <f t="shared" si="1"/>
        <v>2.0231481481481482E-2</v>
      </c>
      <c r="J15" t="str">
        <f t="shared" si="2"/>
        <v/>
      </c>
    </row>
    <row r="16" spans="1:10" ht="14.25" x14ac:dyDescent="0.15">
      <c r="A16" s="46" t="s">
        <v>577</v>
      </c>
      <c r="B16" s="47" t="str">
        <f t="shared" si="0"/>
        <v>Laura Davison</v>
      </c>
      <c r="C16" s="48"/>
      <c r="D16" s="48">
        <v>31</v>
      </c>
      <c r="E16" s="48">
        <v>25</v>
      </c>
      <c r="F16" s="48" t="s">
        <v>555</v>
      </c>
      <c r="G16" s="48"/>
      <c r="H16" s="50" t="str">
        <f>IF($B16="","",IF($J16="X",B16,CONCATENATE(VLOOKUP(B16,Competitors!$A$2:$I$650,3,FALSE)," ",VLOOKUP(B16,Competitors!$A$2:$I$650,2,FALSE))))</f>
        <v>Laura Davison</v>
      </c>
      <c r="I16" s="51">
        <f t="shared" si="1"/>
        <v>2.1817129629629631E-2</v>
      </c>
      <c r="J16" t="str">
        <f t="shared" si="2"/>
        <v>X</v>
      </c>
    </row>
    <row r="17" spans="1:10" ht="14.25" x14ac:dyDescent="0.15">
      <c r="A17" s="46" t="s">
        <v>444</v>
      </c>
      <c r="B17" s="47">
        <f t="shared" si="0"/>
        <v>1193</v>
      </c>
      <c r="C17" s="48"/>
      <c r="D17" s="48">
        <v>30</v>
      </c>
      <c r="E17" s="48">
        <v>48</v>
      </c>
      <c r="F17" s="48" t="s">
        <v>555</v>
      </c>
      <c r="G17" s="48"/>
      <c r="H17" s="50" t="str">
        <f>IF($B17="","",IF($J17="X",B17,CONCATENATE(VLOOKUP(B17,Competitors!$A$2:$I$650,3,FALSE)," ",VLOOKUP(B17,Competitors!$A$2:$I$650,2,FALSE))))</f>
        <v>Richard Hardwicke</v>
      </c>
      <c r="I17" s="51">
        <f t="shared" si="1"/>
        <v>2.1388888888888888E-2</v>
      </c>
      <c r="J17" t="str">
        <f t="shared" si="2"/>
        <v/>
      </c>
    </row>
    <row r="18" spans="1:10" ht="14.25" x14ac:dyDescent="0.15">
      <c r="A18" s="46" t="s">
        <v>520</v>
      </c>
      <c r="B18" s="47" t="str">
        <f t="shared" si="0"/>
        <v>Paul Eden (Ratae)</v>
      </c>
      <c r="C18" s="48"/>
      <c r="D18" s="48">
        <v>35</v>
      </c>
      <c r="E18" s="48">
        <v>30</v>
      </c>
      <c r="F18" s="48" t="s">
        <v>555</v>
      </c>
      <c r="G18" s="48"/>
      <c r="H18" s="50" t="str">
        <f>IF($B18="","",IF($J18="X",B18,CONCATENATE(VLOOKUP(B18,Competitors!$A$2:$I$650,3,FALSE)," ",VLOOKUP(B18,Competitors!$A$2:$I$650,2,FALSE))))</f>
        <v>Paul Eden (Ratae)</v>
      </c>
      <c r="I18" s="51">
        <f t="shared" si="1"/>
        <v>2.4652777777777777E-2</v>
      </c>
      <c r="J18" t="str">
        <f t="shared" si="2"/>
        <v>X</v>
      </c>
    </row>
    <row r="19" spans="1:10" ht="14.25" x14ac:dyDescent="0.15">
      <c r="A19" s="46" t="s">
        <v>441</v>
      </c>
      <c r="B19" s="47">
        <f t="shared" si="0"/>
        <v>245</v>
      </c>
      <c r="C19" s="48"/>
      <c r="D19" s="48">
        <v>30</v>
      </c>
      <c r="E19" s="48">
        <v>41</v>
      </c>
      <c r="F19" s="48" t="s">
        <v>555</v>
      </c>
      <c r="G19" s="48"/>
      <c r="H19" s="50" t="str">
        <f>IF($B19="","",IF($J19="X",B19,CONCATENATE(VLOOKUP(B19,Competitors!$A$2:$I$650,3,FALSE)," ",VLOOKUP(B19,Competitors!$A$2:$I$650,2,FALSE))))</f>
        <v>David Reay</v>
      </c>
      <c r="I19" s="51">
        <f t="shared" si="1"/>
        <v>2.1307870370370369E-2</v>
      </c>
      <c r="J19" t="str">
        <f t="shared" si="2"/>
        <v/>
      </c>
    </row>
    <row r="20" spans="1:10" ht="14.25" x14ac:dyDescent="0.15">
      <c r="A20" s="46" t="s">
        <v>433</v>
      </c>
      <c r="B20" s="47">
        <f t="shared" si="0"/>
        <v>1112</v>
      </c>
      <c r="C20" s="48"/>
      <c r="D20" s="48">
        <v>29</v>
      </c>
      <c r="E20" s="48">
        <v>29</v>
      </c>
      <c r="F20" s="48"/>
      <c r="G20" s="48"/>
      <c r="H20" s="50" t="str">
        <f>IF($B20="","",IF($J20="X",B20,CONCATENATE(VLOOKUP(B20,Competitors!$A$2:$I$650,3,FALSE)," ",VLOOKUP(B20,Competitors!$A$2:$I$650,2,FALSE))))</f>
        <v>Gary Ashwell</v>
      </c>
      <c r="I20" s="51">
        <f t="shared" si="1"/>
        <v>2.0474537037037038E-2</v>
      </c>
      <c r="J20" t="str">
        <f t="shared" si="2"/>
        <v/>
      </c>
    </row>
    <row r="21" spans="1:10" ht="14.25" x14ac:dyDescent="0.15">
      <c r="A21" s="46" t="s">
        <v>422</v>
      </c>
      <c r="B21" s="47">
        <f t="shared" si="0"/>
        <v>415</v>
      </c>
      <c r="C21" s="48"/>
      <c r="D21" s="48">
        <v>27</v>
      </c>
      <c r="E21" s="48">
        <v>26</v>
      </c>
      <c r="F21" s="48" t="s">
        <v>555</v>
      </c>
      <c r="G21" s="48"/>
      <c r="H21" s="50" t="str">
        <f>IF($B21="","",IF($J21="X",B21,CONCATENATE(VLOOKUP(B21,Competitors!$A$2:$I$650,3,FALSE)," ",VLOOKUP(B21,Competitors!$A$2:$I$650,2,FALSE))))</f>
        <v>Nik Kershaw</v>
      </c>
      <c r="I21" s="51">
        <f t="shared" si="1"/>
        <v>1.9050925925925926E-2</v>
      </c>
      <c r="J21" t="str">
        <f t="shared" si="2"/>
        <v/>
      </c>
    </row>
    <row r="22" spans="1:10" ht="14.25" x14ac:dyDescent="0.15">
      <c r="A22" s="46" t="s">
        <v>421</v>
      </c>
      <c r="B22" s="47">
        <f t="shared" si="0"/>
        <v>1192</v>
      </c>
      <c r="C22" s="48"/>
      <c r="D22" s="48">
        <v>28</v>
      </c>
      <c r="E22" s="48">
        <v>43</v>
      </c>
      <c r="F22" s="48" t="s">
        <v>555</v>
      </c>
      <c r="G22" s="48"/>
      <c r="H22" s="50" t="str">
        <f>IF($B22="","",IF($J22="X",B22,CONCATENATE(VLOOKUP(B22,Competitors!$A$2:$I$650,3,FALSE)," ",VLOOKUP(B22,Competitors!$A$2:$I$650,2,FALSE))))</f>
        <v>Dale Norris</v>
      </c>
      <c r="I22" s="51">
        <f t="shared" si="1"/>
        <v>1.9942129629629629E-2</v>
      </c>
      <c r="J22" t="str">
        <f t="shared" si="2"/>
        <v/>
      </c>
    </row>
    <row r="23" spans="1:10" ht="14.25" x14ac:dyDescent="0.15">
      <c r="A23" s="46" t="s">
        <v>439</v>
      </c>
      <c r="B23" s="47">
        <f t="shared" si="0"/>
        <v>704</v>
      </c>
      <c r="C23" s="48"/>
      <c r="D23" s="48">
        <v>31</v>
      </c>
      <c r="E23" s="48">
        <v>58</v>
      </c>
      <c r="F23" s="48"/>
      <c r="G23" s="48"/>
      <c r="H23" s="50" t="str">
        <f>IF($B23="","",IF($J23="X",B23,CONCATENATE(VLOOKUP(B23,Competitors!$A$2:$I$650,3,FALSE)," ",VLOOKUP(B23,Competitors!$A$2:$I$650,2,FALSE))))</f>
        <v>Chris Dainty</v>
      </c>
      <c r="I23" s="51">
        <f t="shared" si="1"/>
        <v>2.2199074074074072E-2</v>
      </c>
      <c r="J23" t="str">
        <f t="shared" si="2"/>
        <v/>
      </c>
    </row>
    <row r="24" spans="1:10" ht="14.25" x14ac:dyDescent="0.15">
      <c r="A24" s="46" t="s">
        <v>423</v>
      </c>
      <c r="B24" s="47">
        <f t="shared" si="0"/>
        <v>1407</v>
      </c>
      <c r="C24" s="48"/>
      <c r="D24" s="48">
        <v>28</v>
      </c>
      <c r="E24" s="48">
        <v>15</v>
      </c>
      <c r="F24" s="48" t="s">
        <v>555</v>
      </c>
      <c r="G24" s="48"/>
      <c r="H24" s="50" t="str">
        <f>IF($B24="","",IF($J24="X",B24,CONCATENATE(VLOOKUP(B24,Competitors!$A$2:$I$650,3,FALSE)," ",VLOOKUP(B24,Competitors!$A$2:$I$650,2,FALSE))))</f>
        <v>Colin Dobson</v>
      </c>
      <c r="I24" s="51">
        <f t="shared" si="1"/>
        <v>1.9618055555555555E-2</v>
      </c>
      <c r="J24" t="str">
        <f t="shared" si="2"/>
        <v/>
      </c>
    </row>
    <row r="25" spans="1:10" ht="14.25" x14ac:dyDescent="0.15">
      <c r="A25" s="46" t="s">
        <v>437</v>
      </c>
      <c r="B25" s="47">
        <f t="shared" si="0"/>
        <v>203</v>
      </c>
      <c r="C25" s="48"/>
      <c r="D25" s="48">
        <v>32</v>
      </c>
      <c r="E25" s="48">
        <v>33</v>
      </c>
      <c r="F25" s="48"/>
      <c r="G25" s="48"/>
      <c r="H25" s="50" t="str">
        <f>IF($B25="","",IF($J25="X",B25,CONCATENATE(VLOOKUP(B25,Competitors!$A$2:$I$650,3,FALSE)," ",VLOOKUP(B25,Competitors!$A$2:$I$650,2,FALSE))))</f>
        <v>Adrian Killworth</v>
      </c>
      <c r="I25" s="51">
        <f t="shared" si="1"/>
        <v>2.2604166666666668E-2</v>
      </c>
      <c r="J25" t="str">
        <f t="shared" si="2"/>
        <v/>
      </c>
    </row>
    <row r="26" spans="1:10" ht="14.25" x14ac:dyDescent="0.15">
      <c r="A26" s="46" t="s">
        <v>416</v>
      </c>
      <c r="B26" s="47">
        <f t="shared" si="0"/>
        <v>1161</v>
      </c>
      <c r="C26" s="48"/>
      <c r="D26" s="48">
        <v>26</v>
      </c>
      <c r="E26" s="48">
        <v>29</v>
      </c>
      <c r="F26" s="48"/>
      <c r="G26" s="48"/>
      <c r="H26" s="50" t="str">
        <f>IF($B26="","",IF($J26="X",B26,CONCATENATE(VLOOKUP(B26,Competitors!$A$2:$I$650,3,FALSE)," ",VLOOKUP(B26,Competitors!$A$2:$I$650,2,FALSE))))</f>
        <v>Maciej Suchocki</v>
      </c>
      <c r="I26" s="51">
        <f t="shared" si="1"/>
        <v>1.8391203703703705E-2</v>
      </c>
      <c r="J26" t="str">
        <f t="shared" si="2"/>
        <v/>
      </c>
    </row>
    <row r="27" spans="1:10" ht="14.25" x14ac:dyDescent="0.15">
      <c r="A27" s="46" t="s">
        <v>434</v>
      </c>
      <c r="B27" s="47">
        <f t="shared" si="0"/>
        <v>1109</v>
      </c>
      <c r="C27" s="48"/>
      <c r="D27" s="48">
        <v>29</v>
      </c>
      <c r="E27" s="48">
        <v>43</v>
      </c>
      <c r="F27" s="48" t="s">
        <v>555</v>
      </c>
      <c r="G27" s="48"/>
      <c r="H27" s="50" t="str">
        <f>IF($B27="","",IF($J27="X",B27,CONCATENATE(VLOOKUP(B27,Competitors!$A$2:$I$650,3,FALSE)," ",VLOOKUP(B27,Competitors!$A$2:$I$650,2,FALSE))))</f>
        <v>Stuart Haycox</v>
      </c>
      <c r="I27" s="51">
        <f t="shared" si="1"/>
        <v>2.0636574074074075E-2</v>
      </c>
      <c r="J27" t="str">
        <f t="shared" si="2"/>
        <v/>
      </c>
    </row>
    <row r="28" spans="1:10" ht="14.25" x14ac:dyDescent="0.15">
      <c r="A28" s="46" t="s">
        <v>415</v>
      </c>
      <c r="B28" s="47">
        <f t="shared" si="0"/>
        <v>699</v>
      </c>
      <c r="C28" s="48"/>
      <c r="D28" s="48">
        <v>27</v>
      </c>
      <c r="E28" s="48">
        <v>22</v>
      </c>
      <c r="F28" s="48"/>
      <c r="G28" s="48"/>
      <c r="H28" s="50" t="str">
        <f>IF($B28="","",IF($J28="X",B28,CONCATENATE(VLOOKUP(B28,Competitors!$A$2:$I$650,3,FALSE)," ",VLOOKUP(B28,Competitors!$A$2:$I$650,2,FALSE))))</f>
        <v>Jonathan Durnin</v>
      </c>
      <c r="I28" s="51">
        <f t="shared" si="1"/>
        <v>1.9004629629629628E-2</v>
      </c>
      <c r="J28" t="str">
        <f t="shared" si="2"/>
        <v/>
      </c>
    </row>
    <row r="29" spans="1:10" ht="14.25" x14ac:dyDescent="0.15">
      <c r="A29" s="46" t="s">
        <v>436</v>
      </c>
      <c r="B29" s="47">
        <f t="shared" si="0"/>
        <v>846</v>
      </c>
      <c r="C29" s="48"/>
      <c r="D29" s="48">
        <v>28</v>
      </c>
      <c r="E29" s="48">
        <v>17</v>
      </c>
      <c r="F29" s="48"/>
      <c r="G29" s="48"/>
      <c r="H29" s="50" t="str">
        <f>IF($B29="","",IF($J29="X",B29,CONCATENATE(VLOOKUP(B29,Competitors!$A$2:$I$650,3,FALSE)," ",VLOOKUP(B29,Competitors!$A$2:$I$650,2,FALSE))))</f>
        <v>Roger Kockelbergh</v>
      </c>
      <c r="I29" s="51">
        <f t="shared" si="1"/>
        <v>1.9641203703703702E-2</v>
      </c>
      <c r="J29" t="str">
        <f t="shared" si="2"/>
        <v/>
      </c>
    </row>
    <row r="30" spans="1:10" ht="14.25" x14ac:dyDescent="0.15">
      <c r="A30" s="46" t="s">
        <v>429</v>
      </c>
      <c r="B30" s="47">
        <f t="shared" si="0"/>
        <v>1237</v>
      </c>
      <c r="C30" s="48"/>
      <c r="D30" s="48">
        <v>28</v>
      </c>
      <c r="E30" s="48">
        <v>45</v>
      </c>
      <c r="F30" s="48" t="s">
        <v>555</v>
      </c>
      <c r="G30" s="48"/>
      <c r="H30" s="50" t="str">
        <f>IF($B30="","",IF($J30="X",B30,CONCATENATE(VLOOKUP(B30,Competitors!$A$2:$I$650,3,FALSE)," ",VLOOKUP(B30,Competitors!$A$2:$I$650,2,FALSE))))</f>
        <v>John Abbott</v>
      </c>
      <c r="I30" s="51">
        <f t="shared" si="1"/>
        <v>1.9965277777777776E-2</v>
      </c>
      <c r="J30" t="str">
        <f t="shared" si="2"/>
        <v/>
      </c>
    </row>
    <row r="31" spans="1:10" ht="14.25" x14ac:dyDescent="0.15">
      <c r="A31" s="46" t="s">
        <v>537</v>
      </c>
      <c r="B31" s="47" t="str">
        <f t="shared" si="0"/>
        <v>Phil Wilkinson (RFW)</v>
      </c>
      <c r="C31" s="48"/>
      <c r="D31" s="48">
        <v>27</v>
      </c>
      <c r="E31" s="48">
        <v>2</v>
      </c>
      <c r="F31" s="48"/>
      <c r="G31" s="48"/>
      <c r="H31" s="50" t="str">
        <f>IF($B31="","",IF($J31="X",B31,CONCATENATE(VLOOKUP(B31,Competitors!$A$2:$I$650,3,FALSE)," ",VLOOKUP(B31,Competitors!$A$2:$I$650,2,FALSE))))</f>
        <v>Phil Wilkinson (RFW)</v>
      </c>
      <c r="I31" s="51">
        <f t="shared" si="1"/>
        <v>1.8773148148148146E-2</v>
      </c>
      <c r="J31" t="str">
        <f t="shared" si="2"/>
        <v>X</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ht="14.25" x14ac:dyDescent="0.15">
      <c r="H102" s="5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election activeCell="F26" sqref="F26"/>
    </sheetView>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449</v>
      </c>
      <c r="B2" s="47">
        <f t="shared" ref="B2:B33" si="0">IF(A2="","",_xlfn.XLOOKUP(A2,ClubNames,ClubNumbers,_xlfn.XLOOKUP(A2,RoundRobinRiderNames,RoundRobinRiderDecoratedNames,A2)))</f>
        <v>1298</v>
      </c>
      <c r="C2" s="48"/>
      <c r="D2" s="48"/>
      <c r="E2" s="48"/>
      <c r="F2" s="48" t="s">
        <v>555</v>
      </c>
      <c r="G2" s="48" t="s">
        <v>557</v>
      </c>
      <c r="H2" s="50" t="str">
        <f>IF($B2="","",IF($J2="X",B2,CONCATENATE(VLOOKUP(B2,Competitors!$A$2:$I$650,3, FALSE)," ",VLOOKUP(B2,Competitors!$A$2:$I$650,2,FALSE))))</f>
        <v>Jane Moore</v>
      </c>
      <c r="I2" s="51">
        <f t="shared" ref="I2:I65" si="1">IF(LEFT($F2,1)="D",UPPER($F2),(C2*3600+D2*60+E2)/86400)</f>
        <v>0</v>
      </c>
      <c r="J2" t="str">
        <f t="shared" ref="J2:J65" si="2">IF(OR(B2="",ISNUMBER(B2)),"","X")</f>
        <v/>
      </c>
    </row>
    <row r="3" spans="1:10" ht="14.25" x14ac:dyDescent="0.15">
      <c r="A3" s="46" t="s">
        <v>440</v>
      </c>
      <c r="B3" s="47">
        <f t="shared" si="0"/>
        <v>23</v>
      </c>
      <c r="C3" s="48">
        <v>1</v>
      </c>
      <c r="D3" s="48">
        <v>12</v>
      </c>
      <c r="E3" s="48">
        <v>2</v>
      </c>
      <c r="F3" s="48"/>
      <c r="G3" s="48"/>
      <c r="H3" s="50" t="str">
        <f>IF($B3="","",IF($J3="X",B3,CONCATENATE(VLOOKUP(B3,Competitors!$A$2:$I$650,3,FALSE)," ",VLOOKUP(B3,Competitors!$A$2:$I$650,2,FALSE))))</f>
        <v>Chris Hyde</v>
      </c>
      <c r="I3" s="51">
        <f t="shared" si="1"/>
        <v>5.002314814814815E-2</v>
      </c>
      <c r="J3" t="str">
        <f t="shared" si="2"/>
        <v/>
      </c>
    </row>
    <row r="4" spans="1:10" ht="14.25" x14ac:dyDescent="0.15">
      <c r="A4" s="46" t="s">
        <v>453</v>
      </c>
      <c r="B4" s="47">
        <f t="shared" si="0"/>
        <v>1404</v>
      </c>
      <c r="C4" s="48">
        <v>1</v>
      </c>
      <c r="D4" s="48">
        <v>23</v>
      </c>
      <c r="E4" s="48">
        <v>47</v>
      </c>
      <c r="F4" s="48"/>
      <c r="G4" s="48"/>
      <c r="H4" s="50" t="str">
        <f>IF($B4="","",IF($J4="X",B4,CONCATENATE(VLOOKUP(B4,Competitors!$A$2:$I$650,3,FALSE)," ",VLOOKUP(B4,Competitors!$A$2:$I$650,2,FALSE))))</f>
        <v>Millie Lenehan</v>
      </c>
      <c r="I4" s="51">
        <f t="shared" si="1"/>
        <v>5.8182870370370371E-2</v>
      </c>
      <c r="J4" t="str">
        <f t="shared" si="2"/>
        <v/>
      </c>
    </row>
    <row r="5" spans="1:10" ht="14.25" x14ac:dyDescent="0.15">
      <c r="A5" s="46" t="s">
        <v>477</v>
      </c>
      <c r="B5" s="47" t="str">
        <f t="shared" si="0"/>
        <v>Pamela Moore (Coalville Wheelers)</v>
      </c>
      <c r="C5" s="48">
        <v>1</v>
      </c>
      <c r="D5" s="48">
        <v>24</v>
      </c>
      <c r="E5" s="48">
        <v>38</v>
      </c>
      <c r="F5" s="48"/>
      <c r="G5" s="48"/>
      <c r="H5" s="50" t="str">
        <f>IF($B5="","",IF($J5="X",B5,CONCATENATE(VLOOKUP(B5,Competitors!$A$2:$I$650,3,FALSE)," ",VLOOKUP(B5,Competitors!$A$2:$I$650,2,FALSE))))</f>
        <v>Pamela Moore (Coalville Wheelers)</v>
      </c>
      <c r="I5" s="51">
        <f t="shared" si="1"/>
        <v>5.8773148148148151E-2</v>
      </c>
      <c r="J5" t="str">
        <f t="shared" si="2"/>
        <v>X</v>
      </c>
    </row>
    <row r="6" spans="1:10" ht="14.25" x14ac:dyDescent="0.15">
      <c r="A6" s="46" t="s">
        <v>433</v>
      </c>
      <c r="B6" s="47">
        <f t="shared" si="0"/>
        <v>1112</v>
      </c>
      <c r="C6" s="48">
        <v>1</v>
      </c>
      <c r="D6" s="48">
        <v>9</v>
      </c>
      <c r="E6" s="48">
        <v>24</v>
      </c>
      <c r="F6" s="48"/>
      <c r="G6" s="48"/>
      <c r="H6" s="50" t="str">
        <f>IF($B6="","",IF($J6="X",B6,CONCATENATE(VLOOKUP(B6,Competitors!$A$2:$I$650,3,FALSE)," ",VLOOKUP(B6,Competitors!$A$2:$I$650,2,FALSE))))</f>
        <v>Gary Ashwell</v>
      </c>
      <c r="I6" s="51">
        <f t="shared" si="1"/>
        <v>4.8194444444444443E-2</v>
      </c>
      <c r="J6" t="str">
        <f t="shared" si="2"/>
        <v/>
      </c>
    </row>
    <row r="7" spans="1:10" ht="14.25" x14ac:dyDescent="0.15">
      <c r="A7" s="46" t="s">
        <v>509</v>
      </c>
      <c r="B7" s="47" t="str">
        <f t="shared" si="0"/>
        <v>Chris Bonsor (Ratae)</v>
      </c>
      <c r="C7" s="48"/>
      <c r="D7" s="48"/>
      <c r="E7" s="48"/>
      <c r="F7" s="48"/>
      <c r="G7" s="48" t="s">
        <v>557</v>
      </c>
      <c r="H7" s="50" t="str">
        <f>IF($B7="","",IF($J7="X",B7,CONCATENATE(VLOOKUP(B7,Competitors!$A$2:$I$650,3,FALSE)," ",VLOOKUP(B7,Competitors!$A$2:$I$650,2,FALSE))))</f>
        <v>Chris Bonsor (Ratae)</v>
      </c>
      <c r="I7" s="51">
        <f t="shared" si="1"/>
        <v>0</v>
      </c>
      <c r="J7" t="str">
        <f t="shared" si="2"/>
        <v>X</v>
      </c>
    </row>
    <row r="8" spans="1:10" ht="14.25" x14ac:dyDescent="0.15">
      <c r="A8" s="46" t="s">
        <v>475</v>
      </c>
      <c r="B8" s="47" t="str">
        <f t="shared" si="0"/>
        <v>John Capel (Coalville Wheelers)</v>
      </c>
      <c r="C8" s="48">
        <v>1</v>
      </c>
      <c r="D8" s="48">
        <v>9</v>
      </c>
      <c r="E8" s="48">
        <v>52</v>
      </c>
      <c r="F8" s="48"/>
      <c r="G8" s="48"/>
      <c r="H8" s="50" t="str">
        <f>IF($B8="","",IF($J8="X",B8,CONCATENATE(VLOOKUP(B8,Competitors!$A$2:$I$650,3,FALSE)," ",VLOOKUP(B8,Competitors!$A$2:$I$650,2,FALSE))))</f>
        <v>John Capel (Coalville Wheelers)</v>
      </c>
      <c r="I8" s="51">
        <f t="shared" si="1"/>
        <v>4.8518518518518516E-2</v>
      </c>
      <c r="J8" t="str">
        <f t="shared" si="2"/>
        <v>X</v>
      </c>
    </row>
    <row r="9" spans="1:10" ht="14.25" x14ac:dyDescent="0.15">
      <c r="A9" s="46" t="s">
        <v>442</v>
      </c>
      <c r="B9" s="47">
        <f t="shared" si="0"/>
        <v>1254</v>
      </c>
      <c r="C9" s="48"/>
      <c r="D9" s="48"/>
      <c r="E9" s="48"/>
      <c r="F9" s="48"/>
      <c r="G9" s="48" t="s">
        <v>557</v>
      </c>
      <c r="H9" s="50" t="str">
        <f>IF($B9="","",IF($J9="X",B9,CONCATENATE(VLOOKUP(B9,Competitors!$A$2:$I$650,3,FALSE)," ",VLOOKUP(B9,Competitors!$A$2:$I$650,2,FALSE))))</f>
        <v>Paul White</v>
      </c>
      <c r="I9" s="51">
        <f t="shared" si="1"/>
        <v>0</v>
      </c>
      <c r="J9" t="str">
        <f t="shared" si="2"/>
        <v/>
      </c>
    </row>
    <row r="10" spans="1:10" ht="14.25" x14ac:dyDescent="0.15">
      <c r="A10" s="46" t="s">
        <v>419</v>
      </c>
      <c r="B10" s="47">
        <f t="shared" si="0"/>
        <v>1355</v>
      </c>
      <c r="C10" s="48">
        <v>1</v>
      </c>
      <c r="D10" s="48">
        <v>5</v>
      </c>
      <c r="E10" s="48">
        <v>44</v>
      </c>
      <c r="F10" s="48" t="s">
        <v>555</v>
      </c>
      <c r="G10" s="48"/>
      <c r="H10" s="50" t="str">
        <f>IF($B10="","",IF($J10="X",B10,CONCATENATE(VLOOKUP(B10,Competitors!$A$2:$I$650,3, FALSE)," ",VLOOKUP(B10,Competitors!$A$2:$I$650,2,FALSE))))</f>
        <v>Aubrey Elmer</v>
      </c>
      <c r="I10" s="51">
        <f t="shared" si="1"/>
        <v>4.5648148148148146E-2</v>
      </c>
      <c r="J10" t="str">
        <f t="shared" si="2"/>
        <v/>
      </c>
    </row>
    <row r="11" spans="1:10" ht="14.25" x14ac:dyDescent="0.15">
      <c r="A11" s="46" t="s">
        <v>438</v>
      </c>
      <c r="B11" s="47">
        <f t="shared" si="0"/>
        <v>1195</v>
      </c>
      <c r="C11" s="48">
        <v>1</v>
      </c>
      <c r="D11" s="48">
        <v>11</v>
      </c>
      <c r="E11" s="48">
        <v>52</v>
      </c>
      <c r="F11" s="48" t="s">
        <v>555</v>
      </c>
      <c r="G11" s="48"/>
      <c r="H11" s="50" t="str">
        <f>IF($B11="","",IF($J11="X",B11,CONCATENATE(VLOOKUP(B11,Competitors!$A$2:$I$650,3,FALSE)," ",VLOOKUP(B11,Competitors!$A$2:$I$650,2,FALSE))))</f>
        <v>Charlie Hardwicke</v>
      </c>
      <c r="I11" s="51">
        <f t="shared" si="1"/>
        <v>4.9907407407407407E-2</v>
      </c>
      <c r="J11" t="str">
        <f t="shared" si="2"/>
        <v/>
      </c>
    </row>
    <row r="12" spans="1:10" ht="14.25" x14ac:dyDescent="0.15">
      <c r="A12" s="46" t="s">
        <v>444</v>
      </c>
      <c r="B12" s="47">
        <f t="shared" si="0"/>
        <v>1193</v>
      </c>
      <c r="C12" s="48">
        <v>1</v>
      </c>
      <c r="D12" s="48">
        <v>12</v>
      </c>
      <c r="E12" s="48">
        <v>17</v>
      </c>
      <c r="F12" s="48" t="s">
        <v>555</v>
      </c>
      <c r="G12" s="48"/>
      <c r="H12" s="50" t="str">
        <f>IF($B12="","",IF($J12="X",B12,CONCATENATE(VLOOKUP(B12,Competitors!$A$2:$I$650,3,FALSE)," ",VLOOKUP(B12,Competitors!$A$2:$I$650,2,FALSE))))</f>
        <v>Richard Hardwicke</v>
      </c>
      <c r="I12" s="51">
        <f t="shared" si="1"/>
        <v>5.019675925925926E-2</v>
      </c>
      <c r="J12" t="str">
        <f t="shared" si="2"/>
        <v/>
      </c>
    </row>
    <row r="13" spans="1:10" ht="14.25" x14ac:dyDescent="0.15">
      <c r="A13" s="46" t="s">
        <v>435</v>
      </c>
      <c r="B13" s="47">
        <f t="shared" si="0"/>
        <v>1419</v>
      </c>
      <c r="C13" s="48"/>
      <c r="D13" s="48"/>
      <c r="E13" s="48"/>
      <c r="F13" s="48" t="s">
        <v>555</v>
      </c>
      <c r="G13" s="48" t="s">
        <v>557</v>
      </c>
      <c r="H13" s="50" t="str">
        <f>IF($B13="","",IF($J13="X",B13,CONCATENATE(VLOOKUP(B13,Competitors!$A$2:$I$650,3,FALSE)," ",VLOOKUP(B13,Competitors!$A$2:$I$650,2,FALSE))))</f>
        <v>Ethan Marsh</v>
      </c>
      <c r="I13" s="51">
        <f t="shared" si="1"/>
        <v>0</v>
      </c>
      <c r="J13" t="str">
        <f t="shared" si="2"/>
        <v/>
      </c>
    </row>
    <row r="14" spans="1:10" ht="14.25" x14ac:dyDescent="0.15">
      <c r="A14" s="46" t="s">
        <v>423</v>
      </c>
      <c r="B14" s="47">
        <f t="shared" si="0"/>
        <v>1407</v>
      </c>
      <c r="C14" s="48">
        <v>1</v>
      </c>
      <c r="D14" s="48">
        <v>6</v>
      </c>
      <c r="E14" s="48">
        <v>32</v>
      </c>
      <c r="F14" s="48" t="s">
        <v>555</v>
      </c>
      <c r="G14" s="48"/>
      <c r="H14" s="50" t="str">
        <f>IF($B14="","",IF($J14="X",B14,CONCATENATE(VLOOKUP(B14,Competitors!$A$2:$I$650,3,FALSE)," ",VLOOKUP(B14,Competitors!$A$2:$I$650,2,FALSE))))</f>
        <v>Colin Dobson</v>
      </c>
      <c r="I14" s="51">
        <f t="shared" si="1"/>
        <v>4.6203703703703705E-2</v>
      </c>
      <c r="J14" t="str">
        <f t="shared" si="2"/>
        <v/>
      </c>
    </row>
    <row r="15" spans="1:10" ht="14.25" x14ac:dyDescent="0.15">
      <c r="A15" s="46" t="s">
        <v>412</v>
      </c>
      <c r="B15" s="47">
        <f t="shared" si="0"/>
        <v>407</v>
      </c>
      <c r="C15" s="48"/>
      <c r="D15" s="48">
        <v>57</v>
      </c>
      <c r="E15" s="48">
        <v>53</v>
      </c>
      <c r="F15" s="48"/>
      <c r="G15" s="48"/>
      <c r="H15" s="50" t="str">
        <f>IF($B15="","",IF($J15="X",B15,CONCATENATE(VLOOKUP(B15,Competitors!$A$2:$I$650,3,FALSE)," ",VLOOKUP(B15,Competitors!$A$2:$I$650,2,FALSE))))</f>
        <v>Hans van Nierop</v>
      </c>
      <c r="I15" s="51">
        <f t="shared" si="1"/>
        <v>4.0196759259259258E-2</v>
      </c>
      <c r="J15" t="str">
        <f t="shared" si="2"/>
        <v/>
      </c>
    </row>
    <row r="16" spans="1:10" ht="14.25" x14ac:dyDescent="0.15">
      <c r="A16" s="46" t="s">
        <v>439</v>
      </c>
      <c r="B16" s="47">
        <f t="shared" si="0"/>
        <v>704</v>
      </c>
      <c r="C16" s="48">
        <v>1</v>
      </c>
      <c r="D16" s="48">
        <v>11</v>
      </c>
      <c r="E16" s="48">
        <v>53</v>
      </c>
      <c r="F16" s="48"/>
      <c r="G16" s="48"/>
      <c r="H16" s="50" t="str">
        <f>IF($B16="","",IF($J16="X",B16,CONCATENATE(VLOOKUP(B16,Competitors!$A$2:$I$650,3,FALSE)," ",VLOOKUP(B16,Competitors!$A$2:$I$650,2,FALSE))))</f>
        <v>Chris Dainty</v>
      </c>
      <c r="I16" s="51">
        <f t="shared" si="1"/>
        <v>4.9918981481481481E-2</v>
      </c>
      <c r="J16" t="str">
        <f t="shared" si="2"/>
        <v/>
      </c>
    </row>
    <row r="17" spans="1:10" ht="14.25" x14ac:dyDescent="0.15">
      <c r="A17" s="46" t="s">
        <v>443</v>
      </c>
      <c r="B17" s="47">
        <f t="shared" si="0"/>
        <v>564</v>
      </c>
      <c r="C17" s="48">
        <v>1</v>
      </c>
      <c r="D17" s="48">
        <v>11</v>
      </c>
      <c r="E17" s="48">
        <v>54</v>
      </c>
      <c r="F17" s="48"/>
      <c r="G17" s="48"/>
      <c r="H17" s="50" t="str">
        <f>IF($B17="","",IF($J17="X",B17,CONCATENATE(VLOOKUP(B17,Competitors!$A$2:$I$650,3,FALSE)," ",VLOOKUP(B17,Competitors!$A$2:$I$650,2,FALSE))))</f>
        <v>Ian Murdey</v>
      </c>
      <c r="I17" s="51">
        <f t="shared" si="1"/>
        <v>4.9930555555555554E-2</v>
      </c>
      <c r="J17" t="str">
        <f t="shared" si="2"/>
        <v/>
      </c>
    </row>
    <row r="18" spans="1:10" ht="14.25" x14ac:dyDescent="0.15">
      <c r="A18" s="46" t="s">
        <v>428</v>
      </c>
      <c r="B18" s="47">
        <f t="shared" si="0"/>
        <v>915</v>
      </c>
      <c r="C18" s="48"/>
      <c r="D18" s="48"/>
      <c r="E18" s="48"/>
      <c r="F18" s="48"/>
      <c r="G18" s="48" t="s">
        <v>557</v>
      </c>
      <c r="H18" s="50" t="str">
        <f>IF($B18="","",IF($J18="X",B18,CONCATENATE(VLOOKUP(B18,Competitors!$A$2:$I$650,3,FALSE)," ",VLOOKUP(B18,Competitors!$A$2:$I$650,2,FALSE))))</f>
        <v>Julian Twynham</v>
      </c>
      <c r="I18" s="51">
        <f t="shared" si="1"/>
        <v>0</v>
      </c>
      <c r="J18" t="str">
        <f t="shared" si="2"/>
        <v/>
      </c>
    </row>
    <row r="19" spans="1:10" ht="14.25" x14ac:dyDescent="0.15">
      <c r="A19" s="46" t="s">
        <v>422</v>
      </c>
      <c r="B19" s="47">
        <f t="shared" si="0"/>
        <v>415</v>
      </c>
      <c r="C19" s="48">
        <v>1</v>
      </c>
      <c r="D19" s="48">
        <v>5</v>
      </c>
      <c r="E19" s="48">
        <v>56</v>
      </c>
      <c r="F19" s="48" t="s">
        <v>555</v>
      </c>
      <c r="G19" s="48"/>
      <c r="H19" s="50" t="str">
        <f>IF($B19="","",IF($J19="X",B19,CONCATENATE(VLOOKUP(B19,Competitors!$A$2:$I$650,3,FALSE)," ",VLOOKUP(B19,Competitors!$A$2:$I$650,2,FALSE))))</f>
        <v>Nik Kershaw</v>
      </c>
      <c r="I19" s="51">
        <f t="shared" si="1"/>
        <v>4.5787037037037036E-2</v>
      </c>
      <c r="J19" t="str">
        <f t="shared" si="2"/>
        <v/>
      </c>
    </row>
    <row r="20" spans="1:10" ht="14.25" x14ac:dyDescent="0.15">
      <c r="A20" s="46" t="s">
        <v>432</v>
      </c>
      <c r="B20" s="47">
        <f t="shared" si="0"/>
        <v>1403</v>
      </c>
      <c r="C20" s="48">
        <v>1</v>
      </c>
      <c r="D20" s="48">
        <v>10</v>
      </c>
      <c r="E20" s="48">
        <v>48</v>
      </c>
      <c r="F20" s="48"/>
      <c r="G20" s="48"/>
      <c r="H20" s="50" t="str">
        <f>IF($B20="","",IF($J20="X",B20,CONCATENATE(VLOOKUP(B20,Competitors!$A$2:$I$650,3,FALSE)," ",VLOOKUP(B20,Competitors!$A$2:$I$650,2,FALSE))))</f>
        <v>Toby Lenehan</v>
      </c>
      <c r="I20" s="51">
        <f t="shared" si="1"/>
        <v>4.9166666666666664E-2</v>
      </c>
      <c r="J20" t="str">
        <f t="shared" si="2"/>
        <v/>
      </c>
    </row>
    <row r="21" spans="1:10" ht="14.25" x14ac:dyDescent="0.15">
      <c r="A21" s="46" t="s">
        <v>421</v>
      </c>
      <c r="B21" s="47">
        <f t="shared" si="0"/>
        <v>1192</v>
      </c>
      <c r="C21" s="48">
        <v>1</v>
      </c>
      <c r="D21" s="48">
        <v>4</v>
      </c>
      <c r="E21" s="48">
        <v>27</v>
      </c>
      <c r="F21" s="48"/>
      <c r="G21" s="48"/>
      <c r="H21" s="50" t="str">
        <f>IF($B21="","",IF($J21="X",B21,CONCATENATE(VLOOKUP(B21,Competitors!$A$2:$I$650,3,FALSE)," ",VLOOKUP(B21,Competitors!$A$2:$I$650,2,FALSE))))</f>
        <v>Dale Norris</v>
      </c>
      <c r="I21" s="51">
        <f t="shared" si="1"/>
        <v>4.4756944444444446E-2</v>
      </c>
      <c r="J21" t="str">
        <f t="shared" si="2"/>
        <v/>
      </c>
    </row>
    <row r="22" spans="1:10" ht="14.25" x14ac:dyDescent="0.15">
      <c r="A22" s="46" t="s">
        <v>427</v>
      </c>
      <c r="B22" s="47">
        <f t="shared" si="0"/>
        <v>1055</v>
      </c>
      <c r="C22" s="48">
        <v>1</v>
      </c>
      <c r="D22" s="48">
        <v>6</v>
      </c>
      <c r="E22" s="48">
        <v>35</v>
      </c>
      <c r="F22" s="48" t="s">
        <v>555</v>
      </c>
      <c r="G22" s="48"/>
      <c r="H22" s="50" t="str">
        <f>IF($B22="","",IF($J22="X",B22,CONCATENATE(VLOOKUP(B22,Competitors!$A$2:$I$650,3,FALSE)," ",VLOOKUP(B22,Competitors!$A$2:$I$650,2,FALSE))))</f>
        <v>Austin Smith</v>
      </c>
      <c r="I22" s="51">
        <f t="shared" si="1"/>
        <v>4.6238425925925926E-2</v>
      </c>
      <c r="J22" t="str">
        <f t="shared" si="2"/>
        <v/>
      </c>
    </row>
    <row r="23" spans="1:10" ht="14.25" x14ac:dyDescent="0.15">
      <c r="A23" s="46" t="s">
        <v>415</v>
      </c>
      <c r="B23" s="47">
        <f t="shared" si="0"/>
        <v>699</v>
      </c>
      <c r="C23" s="48">
        <v>1</v>
      </c>
      <c r="D23" s="48">
        <v>1</v>
      </c>
      <c r="E23" s="48">
        <v>46</v>
      </c>
      <c r="F23" s="48"/>
      <c r="G23" s="48"/>
      <c r="H23" s="50" t="str">
        <f>IF($B23="","",IF($J23="X",B23,CONCATENATE(VLOOKUP(B23,Competitors!$A$2:$I$650,3,FALSE)," ",VLOOKUP(B23,Competitors!$A$2:$I$650,2,FALSE))))</f>
        <v>Jonathan Durnin</v>
      </c>
      <c r="I23" s="51">
        <f t="shared" si="1"/>
        <v>4.2893518518518518E-2</v>
      </c>
      <c r="J23" t="str">
        <f t="shared" si="2"/>
        <v/>
      </c>
    </row>
    <row r="24" spans="1:10" ht="14.25" x14ac:dyDescent="0.15">
      <c r="A24" s="46" t="s">
        <v>436</v>
      </c>
      <c r="B24" s="47">
        <f t="shared" si="0"/>
        <v>846</v>
      </c>
      <c r="C24" s="48">
        <v>1</v>
      </c>
      <c r="D24" s="48">
        <v>8</v>
      </c>
      <c r="E24" s="48">
        <v>33</v>
      </c>
      <c r="F24" s="48"/>
      <c r="G24" s="48"/>
      <c r="H24" s="50" t="str">
        <f>IF($B24="","",IF($J24="X",B24,CONCATENATE(VLOOKUP(B24,Competitors!$A$2:$I$650,3,FALSE)," ",VLOOKUP(B24,Competitors!$A$2:$I$650,2,FALSE))))</f>
        <v>Roger Kockelbergh</v>
      </c>
      <c r="I24" s="51">
        <f t="shared" si="1"/>
        <v>4.760416666666667E-2</v>
      </c>
      <c r="J24" t="str">
        <f t="shared" si="2"/>
        <v/>
      </c>
    </row>
    <row r="25" spans="1:10" ht="14.25" x14ac:dyDescent="0.15">
      <c r="A25" s="46" t="s">
        <v>409</v>
      </c>
      <c r="B25" s="47">
        <f t="shared" si="0"/>
        <v>1094</v>
      </c>
      <c r="C25" s="48"/>
      <c r="D25" s="48"/>
      <c r="E25" s="48"/>
      <c r="F25" s="48"/>
      <c r="G25" s="48" t="s">
        <v>579</v>
      </c>
      <c r="H25" s="50" t="str">
        <f>IF($B25="","",IF($J25="X",B25,CONCATENATE(VLOOKUP(B25,Competitors!$A$2:$I$650,3,FALSE)," ",VLOOKUP(B25,Competitors!$A$2:$I$650,2,FALSE))))</f>
        <v>Andy Poulton</v>
      </c>
      <c r="I25" s="51">
        <f t="shared" si="1"/>
        <v>0</v>
      </c>
      <c r="J25" t="str">
        <f t="shared" si="2"/>
        <v/>
      </c>
    </row>
    <row r="26" spans="1:10" ht="14.25" x14ac:dyDescent="0.15">
      <c r="A26" s="46" t="s">
        <v>580</v>
      </c>
      <c r="B26" s="47" t="str">
        <f t="shared" si="0"/>
        <v>Linda Thames</v>
      </c>
      <c r="C26" s="48">
        <v>1</v>
      </c>
      <c r="D26" s="48">
        <v>14</v>
      </c>
      <c r="E26" s="48">
        <v>38</v>
      </c>
      <c r="F26" s="48"/>
      <c r="G26" s="48"/>
      <c r="H26" s="50" t="str">
        <f>IF($B26="","",IF($J26="X",B26,CONCATENATE(VLOOKUP(B26,Competitors!$A$2:$I$650,3,FALSE)," ",VLOOKUP(B26,Competitors!$A$2:$I$650,2,FALSE))))</f>
        <v>Linda Thames</v>
      </c>
      <c r="I26" s="51">
        <f t="shared" si="1"/>
        <v>5.1828703703703703E-2</v>
      </c>
      <c r="J26" t="str">
        <f t="shared" si="2"/>
        <v>X</v>
      </c>
    </row>
    <row r="27" spans="1:10" ht="14.25" x14ac:dyDescent="0.15">
      <c r="A27" s="46"/>
      <c r="B27" s="47" t="str">
        <f t="shared" si="0"/>
        <v/>
      </c>
      <c r="C27" s="48"/>
      <c r="D27" s="48"/>
      <c r="E27" s="48"/>
      <c r="F27" s="48"/>
      <c r="G27" s="48"/>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8"/>
      <c r="E28" s="48"/>
      <c r="F28" s="48"/>
      <c r="G28" s="48"/>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8"/>
      <c r="E29" s="48"/>
      <c r="F29" s="48"/>
      <c r="G29" s="48"/>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8"/>
      <c r="E30" s="48"/>
      <c r="F30" s="48"/>
      <c r="G30" s="48"/>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8"/>
      <c r="E31" s="48"/>
      <c r="F31" s="48"/>
      <c r="G31" s="48"/>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topLeftCell="B2" workbookViewId="0">
      <selection activeCell="G36" sqref="G3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f>15+15</f>
        <v>30</v>
      </c>
      <c r="E2" s="48">
        <f>23+11</f>
        <v>34</v>
      </c>
      <c r="F2" s="48" t="s">
        <v>555</v>
      </c>
      <c r="G2" s="48"/>
      <c r="H2" s="50" t="str">
        <f>IF($B2="","",IF($J2="X",B2,CONCATENATE(VLOOKUP(B2,Competitors!$A$2:$I$650,3, FALSE)," ",VLOOKUP(B2,Competitors!$A$2:$I$650,2,FALSE))))</f>
        <v>Jennifer Hulme</v>
      </c>
      <c r="I2" s="51">
        <f t="shared" ref="I2:I65" si="1">IF(LEFT($F2,1)="D",UPPER($F2),(C2*3600+D2*60+E2)/86400)</f>
        <v>2.1226851851851851E-2</v>
      </c>
      <c r="J2" t="str">
        <f t="shared" ref="J2:J65" si="2">IF(OR(B2="",ISNUMBER(B2)),"","X")</f>
        <v/>
      </c>
    </row>
    <row r="3" spans="1:10" ht="14.25" x14ac:dyDescent="0.15">
      <c r="A3" s="46" t="s">
        <v>447</v>
      </c>
      <c r="B3" s="47">
        <f t="shared" si="0"/>
        <v>1379</v>
      </c>
      <c r="C3" s="48"/>
      <c r="D3" s="48">
        <f>13+13</f>
        <v>26</v>
      </c>
      <c r="E3" s="48">
        <f>23+2</f>
        <v>25</v>
      </c>
      <c r="F3" s="48" t="s">
        <v>555</v>
      </c>
      <c r="G3" s="48"/>
      <c r="H3" s="50" t="str">
        <f>IF($B3="","",IF($J3="X",B3,CONCATENATE(VLOOKUP(B3,Competitors!$A$2:$I$650,3,FALSE)," ",VLOOKUP(B3,Competitors!$A$2:$I$650,2,FALSE))))</f>
        <v>Michaela Latham</v>
      </c>
      <c r="I3" s="51">
        <f t="shared" si="1"/>
        <v>1.8344907407407407E-2</v>
      </c>
      <c r="J3" t="str">
        <f t="shared" si="2"/>
        <v/>
      </c>
    </row>
    <row r="4" spans="1:10" ht="14.25" x14ac:dyDescent="0.15">
      <c r="A4" s="46" t="s">
        <v>452</v>
      </c>
      <c r="B4" s="47">
        <f t="shared" si="0"/>
        <v>1244</v>
      </c>
      <c r="C4" s="48"/>
      <c r="D4" s="48">
        <f>13+12</f>
        <v>25</v>
      </c>
      <c r="E4" s="48">
        <f>17+52</f>
        <v>69</v>
      </c>
      <c r="F4" s="48" t="s">
        <v>555</v>
      </c>
      <c r="G4" s="48"/>
      <c r="H4" s="50" t="str">
        <f>IF($B4="","",IF($J4="X",B4,CONCATENATE(VLOOKUP(B4,Competitors!$A$2:$I$650,3,FALSE)," ",VLOOKUP(B4,Competitors!$A$2:$I$650,2,FALSE))))</f>
        <v>Steven Latham</v>
      </c>
      <c r="I4" s="51">
        <f t="shared" si="1"/>
        <v>1.8159722222222223E-2</v>
      </c>
      <c r="J4" t="str">
        <f t="shared" si="2"/>
        <v/>
      </c>
    </row>
    <row r="5" spans="1:10" ht="14.25" x14ac:dyDescent="0.15">
      <c r="A5" s="46" t="s">
        <v>448</v>
      </c>
      <c r="B5" s="47">
        <f t="shared" si="0"/>
        <v>1194</v>
      </c>
      <c r="C5" s="48"/>
      <c r="D5" s="48">
        <f>13+13</f>
        <v>26</v>
      </c>
      <c r="E5" s="48">
        <f>56+34</f>
        <v>90</v>
      </c>
      <c r="F5" s="48" t="s">
        <v>555</v>
      </c>
      <c r="G5" s="48"/>
      <c r="H5" s="50" t="str">
        <f>IF($B5="","",IF($J5="X",B5,CONCATENATE(VLOOKUP(B5,Competitors!$A$2:$I$650,3,FALSE)," ",VLOOKUP(B5,Competitors!$A$2:$I$650,2,FALSE))))</f>
        <v>Alex Hardwicke</v>
      </c>
      <c r="I5" s="51">
        <f t="shared" si="1"/>
        <v>1.9097222222222224E-2</v>
      </c>
      <c r="J5" t="str">
        <f t="shared" si="2"/>
        <v/>
      </c>
    </row>
    <row r="6" spans="1:10" ht="14.25" x14ac:dyDescent="0.15">
      <c r="A6" s="46" t="s">
        <v>438</v>
      </c>
      <c r="B6" s="47">
        <f t="shared" si="0"/>
        <v>1195</v>
      </c>
      <c r="C6" s="48"/>
      <c r="D6" s="48">
        <f>12+11</f>
        <v>23</v>
      </c>
      <c r="E6" s="48">
        <f>16+55</f>
        <v>71</v>
      </c>
      <c r="F6" s="48" t="s">
        <v>555</v>
      </c>
      <c r="G6" s="48"/>
      <c r="H6" s="50" t="str">
        <f>IF($B6="","",IF($J6="X",B6,CONCATENATE(VLOOKUP(B6,Competitors!$A$2:$I$650,3,FALSE)," ",VLOOKUP(B6,Competitors!$A$2:$I$650,2,FALSE))))</f>
        <v>Charlie Hardwicke</v>
      </c>
      <c r="I6" s="51">
        <f t="shared" si="1"/>
        <v>1.6793981481481483E-2</v>
      </c>
      <c r="J6" t="str">
        <f t="shared" si="2"/>
        <v/>
      </c>
    </row>
    <row r="7" spans="1:10" ht="14.25" x14ac:dyDescent="0.15">
      <c r="A7" s="46" t="s">
        <v>456</v>
      </c>
      <c r="B7" s="47">
        <f t="shared" si="0"/>
        <v>45</v>
      </c>
      <c r="C7" s="48"/>
      <c r="D7" s="48">
        <f>16+15</f>
        <v>31</v>
      </c>
      <c r="E7" s="48">
        <v>21</v>
      </c>
      <c r="F7" s="48" t="s">
        <v>555</v>
      </c>
      <c r="G7" s="48"/>
      <c r="H7" s="50" t="str">
        <f>IF($B7="","",IF($J7="X",B7,CONCATENATE(VLOOKUP(B7,Competitors!$A$2:$I$650,3,FALSE)," ",VLOOKUP(B7,Competitors!$A$2:$I$650,2,FALSE))))</f>
        <v>Ray Taylor</v>
      </c>
      <c r="I7" s="51">
        <f t="shared" si="1"/>
        <v>2.1770833333333333E-2</v>
      </c>
      <c r="J7" t="str">
        <f t="shared" si="2"/>
        <v/>
      </c>
    </row>
    <row r="8" spans="1:10" ht="14.25" x14ac:dyDescent="0.15">
      <c r="A8" s="46" t="s">
        <v>449</v>
      </c>
      <c r="B8" s="47">
        <f t="shared" si="0"/>
        <v>1298</v>
      </c>
      <c r="C8" s="48"/>
      <c r="D8" s="48">
        <f>14+14</f>
        <v>28</v>
      </c>
      <c r="E8" s="48">
        <f>59+11</f>
        <v>70</v>
      </c>
      <c r="F8" s="48" t="s">
        <v>555</v>
      </c>
      <c r="G8" s="48"/>
      <c r="H8" s="50" t="str">
        <f>IF($B8="","",IF($J8="X",B8,CONCATENATE(VLOOKUP(B8,Competitors!$A$2:$I$650,3,FALSE)," ",VLOOKUP(B8,Competitors!$A$2:$I$650,2,FALSE))))</f>
        <v>Jane Moore</v>
      </c>
      <c r="I8" s="51">
        <f t="shared" si="1"/>
        <v>2.0254629629629629E-2</v>
      </c>
      <c r="J8" t="str">
        <f t="shared" si="2"/>
        <v/>
      </c>
    </row>
    <row r="9" spans="1:10" ht="14.25" x14ac:dyDescent="0.15">
      <c r="A9" s="46" t="s">
        <v>461</v>
      </c>
      <c r="B9" s="47">
        <f t="shared" si="0"/>
        <v>742</v>
      </c>
      <c r="C9" s="48"/>
      <c r="D9" s="48">
        <f>15+13</f>
        <v>28</v>
      </c>
      <c r="E9" s="48">
        <f>1+54</f>
        <v>55</v>
      </c>
      <c r="F9" s="48" t="s">
        <v>555</v>
      </c>
      <c r="G9" s="48"/>
      <c r="H9" s="50" t="str">
        <f>IF($B9="","",IF($J9="X",B9,CONCATENATE(VLOOKUP(B9,Competitors!$A$2:$I$650,3,FALSE)," ",VLOOKUP(B9,Competitors!$A$2:$I$650,2,FALSE))))</f>
        <v>Claire Moore</v>
      </c>
      <c r="I9" s="51">
        <f t="shared" si="1"/>
        <v>2.0081018518518519E-2</v>
      </c>
      <c r="J9" t="str">
        <f t="shared" si="2"/>
        <v/>
      </c>
    </row>
    <row r="10" spans="1:10" ht="14.25" x14ac:dyDescent="0.15">
      <c r="A10" s="46" t="s">
        <v>444</v>
      </c>
      <c r="B10" s="47">
        <f t="shared" si="0"/>
        <v>1193</v>
      </c>
      <c r="C10" s="48"/>
      <c r="D10" s="48">
        <f t="shared" ref="D10:D11" si="3">12+12</f>
        <v>24</v>
      </c>
      <c r="E10" s="48">
        <f>40+19</f>
        <v>59</v>
      </c>
      <c r="F10" s="48" t="s">
        <v>555</v>
      </c>
      <c r="G10" s="48"/>
      <c r="H10" s="50" t="str">
        <f>IF($B10="","",IF($J10="X",B10,CONCATENATE(VLOOKUP(B10,Competitors!$A$2:$I$650,3, FALSE)," ",VLOOKUP(B10,Competitors!$A$2:$I$650,2,FALSE))))</f>
        <v>Richard Hardwicke</v>
      </c>
      <c r="I10" s="51">
        <f t="shared" si="1"/>
        <v>1.7349537037037038E-2</v>
      </c>
      <c r="J10" t="str">
        <f t="shared" si="2"/>
        <v/>
      </c>
    </row>
    <row r="11" spans="1:10" ht="14.25" x14ac:dyDescent="0.15">
      <c r="A11" s="46" t="s">
        <v>445</v>
      </c>
      <c r="B11" s="47">
        <f t="shared" si="0"/>
        <v>1386</v>
      </c>
      <c r="C11" s="48"/>
      <c r="D11" s="48">
        <f t="shared" si="3"/>
        <v>24</v>
      </c>
      <c r="E11" s="48">
        <f>56+15</f>
        <v>71</v>
      </c>
      <c r="F11" s="48" t="s">
        <v>555</v>
      </c>
      <c r="G11" s="48"/>
      <c r="H11" s="50" t="str">
        <f>IF($B11="","",IF($J11="X",B11,CONCATENATE(VLOOKUP(B11,Competitors!$A$2:$I$650,3,FALSE)," ",VLOOKUP(B11,Competitors!$A$2:$I$650,2,FALSE))))</f>
        <v>Mea Moore</v>
      </c>
      <c r="I11" s="51">
        <f t="shared" si="1"/>
        <v>1.7488425925925925E-2</v>
      </c>
      <c r="J11" t="str">
        <f t="shared" si="2"/>
        <v/>
      </c>
    </row>
    <row r="12" spans="1:10" ht="14.25" x14ac:dyDescent="0.15">
      <c r="A12" s="46" t="s">
        <v>426</v>
      </c>
      <c r="B12" s="47">
        <f t="shared" si="0"/>
        <v>1418</v>
      </c>
      <c r="C12" s="48"/>
      <c r="D12" s="48">
        <f>11+11</f>
        <v>22</v>
      </c>
      <c r="E12" s="48">
        <f>37+13</f>
        <v>50</v>
      </c>
      <c r="F12" s="48"/>
      <c r="G12" s="48"/>
      <c r="H12" s="50" t="str">
        <f>IF($B12="","",IF($J12="X",B12,CONCATENATE(VLOOKUP(B12,Competitors!$A$2:$I$650,3,FALSE)," ",VLOOKUP(B12,Competitors!$A$2:$I$650,2,FALSE))))</f>
        <v>James Brown</v>
      </c>
      <c r="I12" s="51">
        <f t="shared" si="1"/>
        <v>1.5856481481481482E-2</v>
      </c>
      <c r="J12" t="str">
        <f t="shared" si="2"/>
        <v/>
      </c>
    </row>
    <row r="13" spans="1:10" ht="14.25" x14ac:dyDescent="0.15">
      <c r="A13" s="46" t="s">
        <v>411</v>
      </c>
      <c r="B13" s="47">
        <f t="shared" si="0"/>
        <v>747</v>
      </c>
      <c r="C13" s="48"/>
      <c r="D13" s="48">
        <f>10+9</f>
        <v>19</v>
      </c>
      <c r="E13" s="48">
        <f>28+58</f>
        <v>86</v>
      </c>
      <c r="F13" s="48"/>
      <c r="G13" s="48"/>
      <c r="H13" s="50" t="str">
        <f>IF($B13="","",IF($J13="X",B13,CONCATENATE(VLOOKUP(B13,Competitors!$A$2:$I$650,3,FALSE)," ",VLOOKUP(B13,Competitors!$A$2:$I$650,2,FALSE))))</f>
        <v>James Moore</v>
      </c>
      <c r="I13" s="51">
        <f t="shared" si="1"/>
        <v>1.4189814814814815E-2</v>
      </c>
      <c r="J13" t="str">
        <f t="shared" si="2"/>
        <v/>
      </c>
    </row>
    <row r="14" spans="1:10" ht="14.25" x14ac:dyDescent="0.15">
      <c r="A14" s="46" t="s">
        <v>441</v>
      </c>
      <c r="B14" s="47">
        <f t="shared" si="0"/>
        <v>245</v>
      </c>
      <c r="C14" s="48"/>
      <c r="D14" s="48">
        <f>12+11</f>
        <v>23</v>
      </c>
      <c r="E14" s="48">
        <f>37+59</f>
        <v>96</v>
      </c>
      <c r="F14" s="48"/>
      <c r="G14" s="48"/>
      <c r="H14" s="50" t="str">
        <f>IF($B14="","",IF($J14="X",B14,CONCATENATE(VLOOKUP(B14,Competitors!$A$2:$I$650,3,FALSE)," ",VLOOKUP(B14,Competitors!$A$2:$I$650,2,FALSE))))</f>
        <v>David Reay</v>
      </c>
      <c r="I14" s="51">
        <f t="shared" si="1"/>
        <v>1.7083333333333332E-2</v>
      </c>
      <c r="J14" t="str">
        <f t="shared" si="2"/>
        <v/>
      </c>
    </row>
    <row r="15" spans="1:10" ht="14.25" x14ac:dyDescent="0.15">
      <c r="A15" s="46" t="s">
        <v>418</v>
      </c>
      <c r="B15" s="47">
        <f t="shared" si="0"/>
        <v>1152</v>
      </c>
      <c r="C15" s="48"/>
      <c r="D15" s="48">
        <f>11+11</f>
        <v>22</v>
      </c>
      <c r="E15" s="48">
        <f>30+2</f>
        <v>32</v>
      </c>
      <c r="F15" s="48" t="s">
        <v>555</v>
      </c>
      <c r="G15" s="48"/>
      <c r="H15" s="50" t="str">
        <f>IF($B15="","",IF($J15="X",B15,CONCATENATE(VLOOKUP(B15,Competitors!$A$2:$I$650,3,FALSE)," ",VLOOKUP(B15,Competitors!$A$2:$I$650,2,FALSE))))</f>
        <v>Ruby Isaac</v>
      </c>
      <c r="I15" s="51">
        <f t="shared" si="1"/>
        <v>1.5648148148148147E-2</v>
      </c>
      <c r="J15" t="str">
        <f t="shared" si="2"/>
        <v/>
      </c>
    </row>
    <row r="16" spans="1:10" ht="14.25" x14ac:dyDescent="0.15">
      <c r="A16" s="46" t="s">
        <v>432</v>
      </c>
      <c r="B16" s="47">
        <f t="shared" si="0"/>
        <v>1403</v>
      </c>
      <c r="C16" s="48"/>
      <c r="D16" s="48">
        <f t="shared" ref="D16:D17" si="4">12+11</f>
        <v>23</v>
      </c>
      <c r="E16" s="48">
        <f>22+48</f>
        <v>70</v>
      </c>
      <c r="F16" s="48"/>
      <c r="G16" s="48"/>
      <c r="H16" s="50" t="str">
        <f>IF($B16="","",IF($J16="X",B16,CONCATENATE(VLOOKUP(B16,Competitors!$A$2:$I$650,3,FALSE)," ",VLOOKUP(B16,Competitors!$A$2:$I$650,2,FALSE))))</f>
        <v>Toby Lenehan</v>
      </c>
      <c r="I16" s="51">
        <f t="shared" si="1"/>
        <v>1.6782407407407409E-2</v>
      </c>
      <c r="J16" t="str">
        <f t="shared" si="2"/>
        <v/>
      </c>
    </row>
    <row r="17" spans="1:10" ht="14.25" x14ac:dyDescent="0.15">
      <c r="A17" s="46" t="s">
        <v>430</v>
      </c>
      <c r="B17" s="47">
        <f t="shared" si="0"/>
        <v>1107</v>
      </c>
      <c r="C17" s="48"/>
      <c r="D17" s="48">
        <f t="shared" si="4"/>
        <v>23</v>
      </c>
      <c r="E17" s="48">
        <f>20+53</f>
        <v>73</v>
      </c>
      <c r="F17" s="48" t="s">
        <v>555</v>
      </c>
      <c r="G17" s="48"/>
      <c r="H17" s="50" t="str">
        <f>IF($B17="","",IF($J17="X",B17,CONCATENATE(VLOOKUP(B17,Competitors!$A$2:$I$650,3,FALSE)," ",VLOOKUP(B17,Competitors!$A$2:$I$650,2,FALSE))))</f>
        <v>Milly Pinnock</v>
      </c>
      <c r="I17" s="51">
        <f t="shared" si="1"/>
        <v>1.681712962962963E-2</v>
      </c>
      <c r="J17" t="str">
        <f t="shared" si="2"/>
        <v/>
      </c>
    </row>
    <row r="18" spans="1:10" ht="14.25" x14ac:dyDescent="0.15">
      <c r="A18" s="46" t="s">
        <v>419</v>
      </c>
      <c r="B18" s="47">
        <f t="shared" si="0"/>
        <v>1355</v>
      </c>
      <c r="C18" s="48"/>
      <c r="D18" s="48">
        <f>11+10</f>
        <v>21</v>
      </c>
      <c r="E18" s="48">
        <f>27+59</f>
        <v>86</v>
      </c>
      <c r="F18" s="48" t="s">
        <v>555</v>
      </c>
      <c r="G18" s="48"/>
      <c r="H18" s="50" t="str">
        <f>IF($B18="","",IF($J18="X",B18,CONCATENATE(VLOOKUP(B18,Competitors!$A$2:$I$650,3,FALSE)," ",VLOOKUP(B18,Competitors!$A$2:$I$650,2,FALSE))))</f>
        <v>Aubrey Elmer</v>
      </c>
      <c r="I18" s="51">
        <f t="shared" si="1"/>
        <v>1.5578703703703704E-2</v>
      </c>
      <c r="J18" t="str">
        <f t="shared" si="2"/>
        <v/>
      </c>
    </row>
    <row r="19" spans="1:10" ht="14.25" x14ac:dyDescent="0.15">
      <c r="A19" s="46" t="s">
        <v>437</v>
      </c>
      <c r="B19" s="47">
        <f t="shared" si="0"/>
        <v>203</v>
      </c>
      <c r="C19" s="48"/>
      <c r="D19" s="48"/>
      <c r="E19" s="48"/>
      <c r="F19" s="48"/>
      <c r="G19" s="48" t="s">
        <v>579</v>
      </c>
      <c r="H19" s="50" t="str">
        <f>IF($B19="","",IF($J19="X",B19,CONCATENATE(VLOOKUP(B19,Competitors!$A$2:$I$650,3,FALSE)," ",VLOOKUP(B19,Competitors!$A$2:$I$650,2,FALSE))))</f>
        <v>Adrian Killworth</v>
      </c>
      <c r="I19" s="51">
        <f t="shared" si="1"/>
        <v>0</v>
      </c>
      <c r="J19" t="str">
        <f t="shared" si="2"/>
        <v/>
      </c>
    </row>
    <row r="20" spans="1:10" ht="14.25" x14ac:dyDescent="0.15">
      <c r="A20" s="46" t="s">
        <v>443</v>
      </c>
      <c r="B20" s="47">
        <f t="shared" si="0"/>
        <v>564</v>
      </c>
      <c r="C20" s="48"/>
      <c r="D20" s="48">
        <f>12+12</f>
        <v>24</v>
      </c>
      <c r="E20" s="48">
        <f>40+22</f>
        <v>62</v>
      </c>
      <c r="F20" s="48"/>
      <c r="G20" s="48"/>
      <c r="H20" s="50" t="str">
        <f>IF($B20="","",IF($J20="X",B20,CONCATENATE(VLOOKUP(B20,Competitors!$A$2:$I$650,3,FALSE)," ",VLOOKUP(B20,Competitors!$A$2:$I$650,2,FALSE))))</f>
        <v>Ian Murdey</v>
      </c>
      <c r="I20" s="51">
        <f t="shared" si="1"/>
        <v>1.7384259259259259E-2</v>
      </c>
      <c r="J20" t="str">
        <f t="shared" si="2"/>
        <v/>
      </c>
    </row>
    <row r="21" spans="1:10" ht="14.25" x14ac:dyDescent="0.15">
      <c r="A21" s="46" t="s">
        <v>434</v>
      </c>
      <c r="B21" s="47">
        <f t="shared" si="0"/>
        <v>1109</v>
      </c>
      <c r="C21" s="48"/>
      <c r="D21" s="48">
        <f>12+11</f>
        <v>23</v>
      </c>
      <c r="E21" s="48">
        <f>31+58</f>
        <v>89</v>
      </c>
      <c r="F21" s="48" t="s">
        <v>555</v>
      </c>
      <c r="G21" s="48"/>
      <c r="H21" s="50" t="str">
        <f>IF($B21="","",IF($J21="X",B21,CONCATENATE(VLOOKUP(B21,Competitors!$A$2:$I$650,3,FALSE)," ",VLOOKUP(B21,Competitors!$A$2:$I$650,2,FALSE))))</f>
        <v>Stuart Haycox</v>
      </c>
      <c r="I21" s="51">
        <f t="shared" si="1"/>
        <v>1.7002314814814814E-2</v>
      </c>
      <c r="J21" t="str">
        <f t="shared" si="2"/>
        <v/>
      </c>
    </row>
    <row r="22" spans="1:10" ht="14.25" x14ac:dyDescent="0.15">
      <c r="A22" s="46" t="s">
        <v>423</v>
      </c>
      <c r="B22" s="47">
        <f t="shared" si="0"/>
        <v>1407</v>
      </c>
      <c r="C22" s="48"/>
      <c r="D22" s="48">
        <f>11+11</f>
        <v>22</v>
      </c>
      <c r="E22" s="48">
        <f>44+4</f>
        <v>48</v>
      </c>
      <c r="F22" s="48" t="s">
        <v>555</v>
      </c>
      <c r="G22" s="48"/>
      <c r="H22" s="50" t="str">
        <f>IF($B22="","",IF($J22="X",B22,CONCATENATE(VLOOKUP(B22,Competitors!$A$2:$I$650,3,FALSE)," ",VLOOKUP(B22,Competitors!$A$2:$I$650,2,FALSE))))</f>
        <v>Colin Dobson</v>
      </c>
      <c r="I22" s="51">
        <f t="shared" si="1"/>
        <v>1.5833333333333335E-2</v>
      </c>
      <c r="J22" t="str">
        <f t="shared" si="2"/>
        <v/>
      </c>
    </row>
    <row r="23" spans="1:10" ht="14.25" x14ac:dyDescent="0.15">
      <c r="A23" s="46" t="s">
        <v>412</v>
      </c>
      <c r="B23" s="47">
        <f t="shared" si="0"/>
        <v>407</v>
      </c>
      <c r="C23" s="48"/>
      <c r="D23" s="48">
        <f>10+10</f>
        <v>20</v>
      </c>
      <c r="E23" s="48">
        <f>32+11</f>
        <v>43</v>
      </c>
      <c r="F23" s="48"/>
      <c r="G23" s="48"/>
      <c r="H23" s="50" t="str">
        <f>IF($B23="","",IF($J23="X",B23,CONCATENATE(VLOOKUP(B23,Competitors!$A$2:$I$650,3,FALSE)," ",VLOOKUP(B23,Competitors!$A$2:$I$650,2,FALSE))))</f>
        <v>Hans van Nierop</v>
      </c>
      <c r="I23" s="51">
        <f t="shared" si="1"/>
        <v>1.4386574074074074E-2</v>
      </c>
      <c r="J23" t="str">
        <f t="shared" si="2"/>
        <v/>
      </c>
    </row>
    <row r="24" spans="1:10" ht="14.25" x14ac:dyDescent="0.15">
      <c r="A24" s="46" t="s">
        <v>433</v>
      </c>
      <c r="B24" s="47">
        <f t="shared" si="0"/>
        <v>1112</v>
      </c>
      <c r="C24" s="48"/>
      <c r="D24" s="48">
        <f t="shared" ref="D24:D25" si="5">12+11</f>
        <v>23</v>
      </c>
      <c r="E24" s="48">
        <f>29+48</f>
        <v>77</v>
      </c>
      <c r="F24" s="48"/>
      <c r="G24" s="48"/>
      <c r="H24" s="50" t="str">
        <f>IF($B24="","",IF($J24="X",B24,CONCATENATE(VLOOKUP(B24,Competitors!$A$2:$I$650,3,FALSE)," ",VLOOKUP(B24,Competitors!$A$2:$I$650,2,FALSE))))</f>
        <v>Gary Ashwell</v>
      </c>
      <c r="I24" s="51">
        <f t="shared" si="1"/>
        <v>1.6863425925925928E-2</v>
      </c>
      <c r="J24" t="str">
        <f t="shared" si="2"/>
        <v/>
      </c>
    </row>
    <row r="25" spans="1:10" ht="14.25" x14ac:dyDescent="0.15">
      <c r="A25" s="46" t="s">
        <v>439</v>
      </c>
      <c r="B25" s="47">
        <f t="shared" si="0"/>
        <v>704</v>
      </c>
      <c r="C25" s="48"/>
      <c r="D25" s="48">
        <f t="shared" si="5"/>
        <v>23</v>
      </c>
      <c r="E25" s="48">
        <f>15+59</f>
        <v>74</v>
      </c>
      <c r="F25" s="48"/>
      <c r="G25" s="48"/>
      <c r="H25" s="50" t="str">
        <f>IF($B25="","",IF($J25="X",B25,CONCATENATE(VLOOKUP(B25,Competitors!$A$2:$I$650,3,FALSE)," ",VLOOKUP(B25,Competitors!$A$2:$I$650,2,FALSE))))</f>
        <v>Chris Dainty</v>
      </c>
      <c r="I25" s="51">
        <f t="shared" si="1"/>
        <v>1.6828703703703703E-2</v>
      </c>
      <c r="J25" t="str">
        <f t="shared" si="2"/>
        <v/>
      </c>
    </row>
    <row r="26" spans="1:10" ht="14.25" x14ac:dyDescent="0.15">
      <c r="A26" s="46" t="s">
        <v>422</v>
      </c>
      <c r="B26" s="47">
        <f t="shared" si="0"/>
        <v>415</v>
      </c>
      <c r="C26" s="48"/>
      <c r="D26" s="48">
        <f>11+11</f>
        <v>22</v>
      </c>
      <c r="E26" s="48">
        <f>44+8</f>
        <v>52</v>
      </c>
      <c r="F26" s="48" t="s">
        <v>555</v>
      </c>
      <c r="G26" s="48"/>
      <c r="H26" s="50" t="str">
        <f>IF($B26="","",IF($J26="X",B26,CONCATENATE(VLOOKUP(B26,Competitors!$A$2:$I$650,3,FALSE)," ",VLOOKUP(B26,Competitors!$A$2:$I$650,2,FALSE))))</f>
        <v>Nik Kershaw</v>
      </c>
      <c r="I26" s="51">
        <f t="shared" si="1"/>
        <v>1.5879629629629629E-2</v>
      </c>
      <c r="J26" t="str">
        <f t="shared" si="2"/>
        <v/>
      </c>
    </row>
    <row r="27" spans="1:10" ht="14.25" x14ac:dyDescent="0.15">
      <c r="A27" s="46" t="s">
        <v>429</v>
      </c>
      <c r="B27" s="47">
        <f t="shared" si="0"/>
        <v>1237</v>
      </c>
      <c r="C27" s="48"/>
      <c r="D27" s="48">
        <f>12+12</f>
        <v>24</v>
      </c>
      <c r="E27" s="48">
        <f>36+5</f>
        <v>41</v>
      </c>
      <c r="F27" s="48" t="s">
        <v>555</v>
      </c>
      <c r="G27" s="48"/>
      <c r="H27" s="50" t="str">
        <f>IF($B27="","",IF($J27="X",B27,CONCATENATE(VLOOKUP(B27,Competitors!$A$2:$I$650,3,FALSE)," ",VLOOKUP(B27,Competitors!$A$2:$I$650,2,FALSE))))</f>
        <v>John Abbott</v>
      </c>
      <c r="I27" s="51">
        <f t="shared" si="1"/>
        <v>1.7141203703703704E-2</v>
      </c>
      <c r="J27" t="str">
        <f t="shared" si="2"/>
        <v/>
      </c>
    </row>
    <row r="28" spans="1:10" ht="14.25" x14ac:dyDescent="0.15">
      <c r="A28" s="46" t="s">
        <v>409</v>
      </c>
      <c r="B28" s="47">
        <f t="shared" si="0"/>
        <v>1094</v>
      </c>
      <c r="C28" s="48"/>
      <c r="D28" s="48">
        <f t="shared" ref="D28:D29" si="6">10+10</f>
        <v>20</v>
      </c>
      <c r="E28" s="48">
        <f>51+37</f>
        <v>88</v>
      </c>
      <c r="F28" s="48"/>
      <c r="G28" s="48"/>
      <c r="H28" s="50" t="str">
        <f>IF($B28="","",IF($J28="X",B28,CONCATENATE(VLOOKUP(B28,Competitors!$A$2:$I$650,3,FALSE)," ",VLOOKUP(B28,Competitors!$A$2:$I$650,2,FALSE))))</f>
        <v>Andy Poulton</v>
      </c>
      <c r="I28" s="51">
        <f t="shared" si="1"/>
        <v>1.4907407407407407E-2</v>
      </c>
      <c r="J28" t="str">
        <f t="shared" si="2"/>
        <v/>
      </c>
    </row>
    <row r="29" spans="1:10" ht="14.25" x14ac:dyDescent="0.15">
      <c r="A29" s="46" t="s">
        <v>416</v>
      </c>
      <c r="B29" s="47">
        <f t="shared" si="0"/>
        <v>1161</v>
      </c>
      <c r="C29" s="48"/>
      <c r="D29" s="48">
        <f t="shared" si="6"/>
        <v>20</v>
      </c>
      <c r="E29" s="48">
        <f>57+26</f>
        <v>83</v>
      </c>
      <c r="F29" s="48"/>
      <c r="G29" s="48"/>
      <c r="H29" s="50" t="str">
        <f>IF($B29="","",IF($J29="X",B29,CONCATENATE(VLOOKUP(B29,Competitors!$A$2:$I$650,3,FALSE)," ",VLOOKUP(B29,Competitors!$A$2:$I$650,2,FALSE))))</f>
        <v>Maciej Suchocki</v>
      </c>
      <c r="I29" s="51">
        <f t="shared" si="1"/>
        <v>1.4849537037037038E-2</v>
      </c>
      <c r="J29" t="str">
        <f t="shared" si="2"/>
        <v/>
      </c>
    </row>
    <row r="30" spans="1:10" ht="14.25" x14ac:dyDescent="0.15">
      <c r="A30" s="46" t="s">
        <v>421</v>
      </c>
      <c r="B30" s="47">
        <f t="shared" si="0"/>
        <v>1192</v>
      </c>
      <c r="C30" s="48"/>
      <c r="D30" s="48">
        <f>11+11</f>
        <v>22</v>
      </c>
      <c r="E30" s="48">
        <f>43+7</f>
        <v>50</v>
      </c>
      <c r="F30" s="48"/>
      <c r="G30" s="48"/>
      <c r="H30" s="50" t="str">
        <f>IF($B30="","",IF($J30="X",B30,CONCATENATE(VLOOKUP(B30,Competitors!$A$2:$I$650,3,FALSE)," ",VLOOKUP(B30,Competitors!$A$2:$I$650,2,FALSE))))</f>
        <v>Dale Norris</v>
      </c>
      <c r="I30" s="51">
        <f t="shared" si="1"/>
        <v>1.5856481481481482E-2</v>
      </c>
      <c r="J30" t="str">
        <f t="shared" si="2"/>
        <v/>
      </c>
    </row>
    <row r="31" spans="1:10" ht="14.25" x14ac:dyDescent="0.15">
      <c r="A31" s="46" t="s">
        <v>415</v>
      </c>
      <c r="B31" s="47">
        <f t="shared" si="0"/>
        <v>699</v>
      </c>
      <c r="C31" s="48"/>
      <c r="D31" s="48">
        <f>10+10</f>
        <v>20</v>
      </c>
      <c r="E31" s="48">
        <f>57+32</f>
        <v>89</v>
      </c>
      <c r="F31" s="48"/>
      <c r="G31" s="48"/>
      <c r="H31" s="50" t="str">
        <f>IF($B31="","",IF($J31="X",B31,CONCATENATE(VLOOKUP(B31,Competitors!$A$2:$I$650,3,FALSE)," ",VLOOKUP(B31,Competitors!$A$2:$I$650,2,FALSE))))</f>
        <v>Jonathan Durnin</v>
      </c>
      <c r="I31" s="51">
        <f t="shared" si="1"/>
        <v>1.4918981481481481E-2</v>
      </c>
      <c r="J31" t="str">
        <f t="shared" si="2"/>
        <v/>
      </c>
    </row>
    <row r="32" spans="1:10" ht="14.25" x14ac:dyDescent="0.15">
      <c r="A32" s="46" t="s">
        <v>436</v>
      </c>
      <c r="B32" s="47">
        <f t="shared" si="0"/>
        <v>846</v>
      </c>
      <c r="C32" s="48"/>
      <c r="D32" s="48"/>
      <c r="E32" s="48"/>
      <c r="F32" s="48"/>
      <c r="G32" s="48" t="s">
        <v>579</v>
      </c>
      <c r="H32" s="50" t="str">
        <f>IF($B32="","",IF($J32="X",B32,CONCATENATE(VLOOKUP(B32,Competitors!$A$2:$I$650,3,FALSE)," ",VLOOKUP(B32,Competitors!$A$2:$I$650,2,FALSE))))</f>
        <v>Roger Kockelbergh</v>
      </c>
      <c r="I32" s="51">
        <f t="shared" si="1"/>
        <v>0</v>
      </c>
      <c r="J32" t="str">
        <f t="shared" si="2"/>
        <v/>
      </c>
    </row>
    <row r="33" spans="1:10" ht="14.25" x14ac:dyDescent="0.15">
      <c r="A33" s="46" t="s">
        <v>446</v>
      </c>
      <c r="B33" s="47">
        <f t="shared" si="0"/>
        <v>1242</v>
      </c>
      <c r="C33" s="48"/>
      <c r="D33" s="48">
        <f>13+12</f>
        <v>25</v>
      </c>
      <c r="E33" s="48">
        <f>1+17</f>
        <v>18</v>
      </c>
      <c r="F33" s="48" t="s">
        <v>555</v>
      </c>
      <c r="G33" s="48"/>
      <c r="H33" s="50" t="str">
        <f>IF($B33="","",IF($J33="X",B33,CONCATENATE(VLOOKUP(B33,Competitors!$A$2:$I$650,3,FALSE)," ",VLOOKUP(B33,Competitors!$A$2:$I$650,2,FALSE))))</f>
        <v>Mike Sirett</v>
      </c>
      <c r="I33" s="51">
        <f t="shared" si="1"/>
        <v>1.7569444444444443E-2</v>
      </c>
      <c r="J33" t="str">
        <f t="shared" si="2"/>
        <v/>
      </c>
    </row>
    <row r="34" spans="1:10" ht="14.25" x14ac:dyDescent="0.15">
      <c r="A34" s="46" t="s">
        <v>414</v>
      </c>
      <c r="B34" s="47">
        <f t="shared" ref="B34:B97" si="7">IF(A34="","",_xlfn.XLOOKUP(A34,ClubNames,ClubNumbers,_xlfn.XLOOKUP(A34,RoundRobinRiderNames,RoundRobinRiderDecoratedNames,A34)))</f>
        <v>989</v>
      </c>
      <c r="C34" s="48"/>
      <c r="D34" s="48">
        <f>11+10</f>
        <v>21</v>
      </c>
      <c r="E34" s="48">
        <f>29+52</f>
        <v>81</v>
      </c>
      <c r="F34" s="48" t="s">
        <v>555</v>
      </c>
      <c r="G34" s="48"/>
      <c r="H34" s="50" t="str">
        <f>IF($B34="","",IF($J34="X",B34,CONCATENATE(VLOOKUP(B34,Competitors!$A$2:$I$650,3,FALSE)," ",VLOOKUP(B34,Competitors!$A$2:$I$650,2,FALSE))))</f>
        <v>Jason Williams</v>
      </c>
      <c r="I34" s="51">
        <f t="shared" si="1"/>
        <v>1.5520833333333333E-2</v>
      </c>
      <c r="J34" t="str">
        <f t="shared" si="2"/>
        <v/>
      </c>
    </row>
    <row r="35" spans="1:10" ht="14.25" x14ac:dyDescent="0.15">
      <c r="A35" s="46" t="s">
        <v>442</v>
      </c>
      <c r="B35" s="47">
        <f t="shared" si="7"/>
        <v>1254</v>
      </c>
      <c r="C35" s="48"/>
      <c r="D35" s="48">
        <f>12+11</f>
        <v>23</v>
      </c>
      <c r="E35" s="48">
        <f>12+53</f>
        <v>65</v>
      </c>
      <c r="F35" s="48"/>
      <c r="G35" s="48"/>
      <c r="H35" s="50" t="str">
        <f>IF($B35="","",IF($J35="X",B35,CONCATENATE(VLOOKUP(B35,Competitors!$A$2:$I$650,3,FALSE)," ",VLOOKUP(B35,Competitors!$A$2:$I$650,2,FALSE))))</f>
        <v>Paul White</v>
      </c>
      <c r="I35" s="51">
        <f t="shared" si="1"/>
        <v>1.6724537037037038E-2</v>
      </c>
      <c r="J35" t="str">
        <f t="shared" si="2"/>
        <v/>
      </c>
    </row>
    <row r="36" spans="1:10" ht="14.25" x14ac:dyDescent="0.15">
      <c r="A36" s="46"/>
      <c r="B36" s="47" t="str">
        <f t="shared" si="7"/>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7"/>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7"/>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7"/>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7"/>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7"/>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7"/>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7"/>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7"/>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7"/>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7"/>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7"/>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7"/>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7"/>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7"/>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7"/>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7"/>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7"/>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7"/>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7"/>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7"/>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7"/>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7"/>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7"/>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7"/>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7"/>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7"/>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7"/>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7"/>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7"/>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7"/>
        <v/>
      </c>
      <c r="C66" s="48"/>
      <c r="D66" s="48"/>
      <c r="E66" s="48"/>
      <c r="F66" s="48"/>
      <c r="G66" s="48"/>
      <c r="H66" s="50" t="str">
        <f>IF($B66="","",IF($J66="X",B66,CONCATENATE(VLOOKUP(B66,Competitors!$A$2:$I$650,3,FALSE)," ",VLOOKUP(B66,Competitors!$A$2:$I$650,2,FALSE))))</f>
        <v/>
      </c>
      <c r="I66" s="51">
        <f t="shared" ref="I66:I101" si="8">IF(LEFT($F66,1)="D",UPPER($F66),(C66*3600+D66*60+E66)/86400)</f>
        <v>0</v>
      </c>
      <c r="J66" t="str">
        <f t="shared" ref="J66:J101" si="9">IF(OR(B66="",ISNUMBER(B66)),"","X")</f>
        <v/>
      </c>
    </row>
    <row r="67" spans="1:10" ht="14.25" x14ac:dyDescent="0.15">
      <c r="A67" s="46"/>
      <c r="B67" s="47" t="str">
        <f t="shared" si="7"/>
        <v/>
      </c>
      <c r="C67" s="48"/>
      <c r="D67" s="48"/>
      <c r="E67" s="48"/>
      <c r="F67" s="48"/>
      <c r="G67" s="48"/>
      <c r="H67" s="50" t="str">
        <f>IF($B67="","",IF($J67="X",B67,CONCATENATE(VLOOKUP(B67,Competitors!$A$2:$I$650,3,FALSE)," ",VLOOKUP(B67,Competitors!$A$2:$I$650,2,FALSE))))</f>
        <v/>
      </c>
      <c r="I67" s="51">
        <f t="shared" si="8"/>
        <v>0</v>
      </c>
      <c r="J67" t="str">
        <f t="shared" si="9"/>
        <v/>
      </c>
    </row>
    <row r="68" spans="1:10" ht="14.25" x14ac:dyDescent="0.15">
      <c r="A68" s="46"/>
      <c r="B68" s="47" t="str">
        <f t="shared" si="7"/>
        <v/>
      </c>
      <c r="C68" s="48"/>
      <c r="D68" s="48"/>
      <c r="E68" s="48"/>
      <c r="F68" s="48"/>
      <c r="G68" s="48"/>
      <c r="H68" s="50" t="str">
        <f>IF($B68="","",IF($J68="X",B68,CONCATENATE(VLOOKUP(B68,Competitors!$A$2:$I$650,3,FALSE)," ",VLOOKUP(B68,Competitors!$A$2:$I$650,2,FALSE))))</f>
        <v/>
      </c>
      <c r="I68" s="51">
        <f t="shared" si="8"/>
        <v>0</v>
      </c>
      <c r="J68" t="str">
        <f t="shared" si="9"/>
        <v/>
      </c>
    </row>
    <row r="69" spans="1:10" ht="14.25" x14ac:dyDescent="0.15">
      <c r="A69" s="46"/>
      <c r="B69" s="47" t="str">
        <f t="shared" si="7"/>
        <v/>
      </c>
      <c r="C69" s="48"/>
      <c r="D69" s="48"/>
      <c r="E69" s="48"/>
      <c r="F69" s="48"/>
      <c r="G69" s="48"/>
      <c r="H69" s="50" t="str">
        <f>IF($B69="","",IF($J69="X",B69,CONCATENATE(VLOOKUP(B69,Competitors!$A$2:$I$650,3,FALSE)," ",VLOOKUP(B69,Competitors!$A$2:$I$650,2,FALSE))))</f>
        <v/>
      </c>
      <c r="I69" s="51">
        <f t="shared" si="8"/>
        <v>0</v>
      </c>
      <c r="J69" t="str">
        <f t="shared" si="9"/>
        <v/>
      </c>
    </row>
    <row r="70" spans="1:10" ht="14.25" x14ac:dyDescent="0.15">
      <c r="A70" s="46"/>
      <c r="B70" s="47" t="str">
        <f t="shared" si="7"/>
        <v/>
      </c>
      <c r="C70" s="48"/>
      <c r="D70" s="48"/>
      <c r="E70" s="48"/>
      <c r="F70" s="48"/>
      <c r="G70" s="48"/>
      <c r="H70" s="50" t="str">
        <f>IF($B70="","",IF($J70="X",B70,CONCATENATE(VLOOKUP(B70,Competitors!$A$2:$I$650,3,FALSE)," ",VLOOKUP(B70,Competitors!$A$2:$I$650,2,FALSE))))</f>
        <v/>
      </c>
      <c r="I70" s="51">
        <f t="shared" si="8"/>
        <v>0</v>
      </c>
      <c r="J70" t="str">
        <f t="shared" si="9"/>
        <v/>
      </c>
    </row>
    <row r="71" spans="1:10" ht="14.25" x14ac:dyDescent="0.15">
      <c r="A71" s="46"/>
      <c r="B71" s="47" t="str">
        <f t="shared" si="7"/>
        <v/>
      </c>
      <c r="C71" s="48"/>
      <c r="D71" s="48"/>
      <c r="E71" s="48"/>
      <c r="F71" s="48"/>
      <c r="G71" s="48"/>
      <c r="H71" s="50" t="str">
        <f>IF($B71="","",IF($J71="X",B71,CONCATENATE(VLOOKUP(B71,Competitors!$A$2:$I$650,3,FALSE)," ",VLOOKUP(B71,Competitors!$A$2:$I$650,2,FALSE))))</f>
        <v/>
      </c>
      <c r="I71" s="51">
        <f t="shared" si="8"/>
        <v>0</v>
      </c>
      <c r="J71" t="str">
        <f t="shared" si="9"/>
        <v/>
      </c>
    </row>
    <row r="72" spans="1:10" ht="14.25" x14ac:dyDescent="0.15">
      <c r="A72" s="46"/>
      <c r="B72" s="47" t="str">
        <f t="shared" si="7"/>
        <v/>
      </c>
      <c r="C72" s="48"/>
      <c r="D72" s="48"/>
      <c r="E72" s="48"/>
      <c r="F72" s="48"/>
      <c r="G72" s="48"/>
      <c r="H72" s="50" t="str">
        <f>IF($B72="","",IF($J72="X",B72,CONCATENATE(VLOOKUP(B72,Competitors!$A$2:$I$650,3,FALSE)," ",VLOOKUP(B72,Competitors!$A$2:$I$650,2,FALSE))))</f>
        <v/>
      </c>
      <c r="I72" s="51">
        <f t="shared" si="8"/>
        <v>0</v>
      </c>
      <c r="J72" t="str">
        <f t="shared" si="9"/>
        <v/>
      </c>
    </row>
    <row r="73" spans="1:10" ht="14.25" x14ac:dyDescent="0.15">
      <c r="A73" s="46"/>
      <c r="B73" s="47" t="str">
        <f t="shared" si="7"/>
        <v/>
      </c>
      <c r="C73" s="48"/>
      <c r="D73" s="48"/>
      <c r="E73" s="48"/>
      <c r="F73" s="48"/>
      <c r="G73" s="48"/>
      <c r="H73" s="50" t="str">
        <f>IF($B73="","",IF($J73="X",B73,CONCATENATE(VLOOKUP(B73,Competitors!$A$2:$I$650,3,FALSE)," ",VLOOKUP(B73,Competitors!$A$2:$I$650,2,FALSE))))</f>
        <v/>
      </c>
      <c r="I73" s="51">
        <f t="shared" si="8"/>
        <v>0</v>
      </c>
      <c r="J73" t="str">
        <f t="shared" si="9"/>
        <v/>
      </c>
    </row>
    <row r="74" spans="1:10" ht="14.25" x14ac:dyDescent="0.15">
      <c r="A74" s="46"/>
      <c r="B74" s="47" t="str">
        <f t="shared" si="7"/>
        <v/>
      </c>
      <c r="C74" s="48"/>
      <c r="D74" s="48"/>
      <c r="E74" s="48"/>
      <c r="F74" s="48"/>
      <c r="G74" s="48"/>
      <c r="H74" s="50" t="str">
        <f>IF($B74="","",IF($J74="X",B74,CONCATENATE(VLOOKUP(B74,Competitors!$A$2:$I$650,3,FALSE)," ",VLOOKUP(B74,Competitors!$A$2:$I$650,2,FALSE))))</f>
        <v/>
      </c>
      <c r="I74" s="51">
        <f t="shared" si="8"/>
        <v>0</v>
      </c>
      <c r="J74" t="str">
        <f t="shared" si="9"/>
        <v/>
      </c>
    </row>
    <row r="75" spans="1:10" ht="14.25" x14ac:dyDescent="0.15">
      <c r="A75" s="46"/>
      <c r="B75" s="47" t="str">
        <f t="shared" si="7"/>
        <v/>
      </c>
      <c r="C75" s="48"/>
      <c r="D75" s="48"/>
      <c r="E75" s="48"/>
      <c r="F75" s="48"/>
      <c r="G75" s="48"/>
      <c r="H75" s="50" t="str">
        <f>IF($B75="","",IF($J75="X",B75,CONCATENATE(VLOOKUP(B75,Competitors!$A$2:$I$650,3,FALSE)," ",VLOOKUP(B75,Competitors!$A$2:$I$650,2,FALSE))))</f>
        <v/>
      </c>
      <c r="I75" s="51">
        <f t="shared" si="8"/>
        <v>0</v>
      </c>
      <c r="J75" t="str">
        <f t="shared" si="9"/>
        <v/>
      </c>
    </row>
    <row r="76" spans="1:10" ht="14.25" x14ac:dyDescent="0.15">
      <c r="A76" s="46"/>
      <c r="B76" s="47" t="str">
        <f t="shared" si="7"/>
        <v/>
      </c>
      <c r="C76" s="48"/>
      <c r="D76" s="48"/>
      <c r="E76" s="48"/>
      <c r="F76" s="48"/>
      <c r="G76" s="48"/>
      <c r="H76" s="50" t="str">
        <f>IF($B76="","",IF($J76="X",B76,CONCATENATE(VLOOKUP(B76,Competitors!$A$2:$I$650,3,FALSE)," ",VLOOKUP(B76,Competitors!$A$2:$I$650,2,FALSE))))</f>
        <v/>
      </c>
      <c r="I76" s="51">
        <f t="shared" si="8"/>
        <v>0</v>
      </c>
      <c r="J76" t="str">
        <f t="shared" si="9"/>
        <v/>
      </c>
    </row>
    <row r="77" spans="1:10" ht="14.25" x14ac:dyDescent="0.15">
      <c r="A77" s="46"/>
      <c r="B77" s="47" t="str">
        <f t="shared" si="7"/>
        <v/>
      </c>
      <c r="C77" s="48"/>
      <c r="D77" s="48"/>
      <c r="E77" s="48"/>
      <c r="F77" s="48"/>
      <c r="G77" s="48"/>
      <c r="H77" s="50" t="str">
        <f>IF($B77="","",IF($J77="X",B77,CONCATENATE(VLOOKUP(B77,Competitors!$A$2:$I$650,3,FALSE)," ",VLOOKUP(B77,Competitors!$A$2:$I$650,2,FALSE))))</f>
        <v/>
      </c>
      <c r="I77" s="51">
        <f t="shared" si="8"/>
        <v>0</v>
      </c>
      <c r="J77" t="str">
        <f t="shared" si="9"/>
        <v/>
      </c>
    </row>
    <row r="78" spans="1:10" ht="14.25" x14ac:dyDescent="0.15">
      <c r="A78" s="46"/>
      <c r="B78" s="47" t="str">
        <f t="shared" si="7"/>
        <v/>
      </c>
      <c r="C78" s="48"/>
      <c r="D78" s="48"/>
      <c r="E78" s="48"/>
      <c r="F78" s="48"/>
      <c r="G78" s="48"/>
      <c r="H78" s="50" t="str">
        <f>IF($B78="","",IF($J78="X",B78,CONCATENATE(VLOOKUP(B78,Competitors!$A$2:$I$650,3,FALSE)," ",VLOOKUP(B78,Competitors!$A$2:$I$650,2,FALSE))))</f>
        <v/>
      </c>
      <c r="I78" s="51">
        <f t="shared" si="8"/>
        <v>0</v>
      </c>
      <c r="J78" t="str">
        <f t="shared" si="9"/>
        <v/>
      </c>
    </row>
    <row r="79" spans="1:10" ht="14.25" x14ac:dyDescent="0.15">
      <c r="A79" s="46"/>
      <c r="B79" s="47" t="str">
        <f t="shared" si="7"/>
        <v/>
      </c>
      <c r="C79" s="48"/>
      <c r="D79" s="48"/>
      <c r="E79" s="48"/>
      <c r="F79" s="48"/>
      <c r="G79" s="48"/>
      <c r="H79" s="50" t="str">
        <f>IF($B79="","",IF($J79="X",B79,CONCATENATE(VLOOKUP(B79,Competitors!$A$2:$I$650,3,FALSE)," ",VLOOKUP(B79,Competitors!$A$2:$I$650,2,FALSE))))</f>
        <v/>
      </c>
      <c r="I79" s="51">
        <f t="shared" si="8"/>
        <v>0</v>
      </c>
      <c r="J79" t="str">
        <f t="shared" si="9"/>
        <v/>
      </c>
    </row>
    <row r="80" spans="1:10" ht="14.25" x14ac:dyDescent="0.15">
      <c r="A80" s="46"/>
      <c r="B80" s="47" t="str">
        <f t="shared" si="7"/>
        <v/>
      </c>
      <c r="C80" s="48"/>
      <c r="D80" s="48"/>
      <c r="E80" s="48"/>
      <c r="F80" s="48"/>
      <c r="G80" s="48"/>
      <c r="H80" s="50" t="str">
        <f>IF($B80="","",IF($J80="X",B80,CONCATENATE(VLOOKUP(B80,Competitors!$A$2:$I$650,3,FALSE)," ",VLOOKUP(B80,Competitors!$A$2:$I$650,2,FALSE))))</f>
        <v/>
      </c>
      <c r="I80" s="51">
        <f t="shared" si="8"/>
        <v>0</v>
      </c>
      <c r="J80" t="str">
        <f t="shared" si="9"/>
        <v/>
      </c>
    </row>
    <row r="81" spans="1:10" ht="14.25" x14ac:dyDescent="0.15">
      <c r="A81" s="46"/>
      <c r="B81" s="47" t="str">
        <f t="shared" si="7"/>
        <v/>
      </c>
      <c r="C81" s="48"/>
      <c r="D81" s="48"/>
      <c r="E81" s="48"/>
      <c r="F81" s="48"/>
      <c r="G81" s="48"/>
      <c r="H81" s="50" t="str">
        <f>IF($B81="","",IF($J81="X",B81,CONCATENATE(VLOOKUP(B81,Competitors!$A$2:$I$650,3,FALSE)," ",VLOOKUP(B81,Competitors!$A$2:$I$650,2,FALSE))))</f>
        <v/>
      </c>
      <c r="I81" s="51">
        <f t="shared" si="8"/>
        <v>0</v>
      </c>
      <c r="J81" t="str">
        <f t="shared" si="9"/>
        <v/>
      </c>
    </row>
    <row r="82" spans="1:10" ht="14.25" x14ac:dyDescent="0.15">
      <c r="A82" s="46"/>
      <c r="B82" s="47" t="str">
        <f t="shared" si="7"/>
        <v/>
      </c>
      <c r="C82" s="48"/>
      <c r="D82" s="48"/>
      <c r="E82" s="48"/>
      <c r="F82" s="48"/>
      <c r="G82" s="48"/>
      <c r="H82" s="50" t="str">
        <f>IF($B82="","",IF($J82="X",B82,CONCATENATE(VLOOKUP(B82,Competitors!$A$2:$I$650,3,FALSE)," ",VLOOKUP(B82,Competitors!$A$2:$I$650,2,FALSE))))</f>
        <v/>
      </c>
      <c r="I82" s="51">
        <f t="shared" si="8"/>
        <v>0</v>
      </c>
      <c r="J82" t="str">
        <f t="shared" si="9"/>
        <v/>
      </c>
    </row>
    <row r="83" spans="1:10" ht="14.25" x14ac:dyDescent="0.15">
      <c r="A83" s="46"/>
      <c r="B83" s="47" t="str">
        <f t="shared" si="7"/>
        <v/>
      </c>
      <c r="C83" s="48"/>
      <c r="D83" s="48"/>
      <c r="E83" s="48"/>
      <c r="F83" s="48"/>
      <c r="G83" s="48"/>
      <c r="H83" s="50" t="str">
        <f>IF($B83="","",IF($J83="X",B83,CONCATENATE(VLOOKUP(B83,Competitors!$A$2:$I$650,3,FALSE)," ",VLOOKUP(B83,Competitors!$A$2:$I$650,2,FALSE))))</f>
        <v/>
      </c>
      <c r="I83" s="51">
        <f t="shared" si="8"/>
        <v>0</v>
      </c>
      <c r="J83" t="str">
        <f t="shared" si="9"/>
        <v/>
      </c>
    </row>
    <row r="84" spans="1:10" ht="14.25" x14ac:dyDescent="0.15">
      <c r="A84" s="46"/>
      <c r="B84" s="47" t="str">
        <f t="shared" si="7"/>
        <v/>
      </c>
      <c r="C84" s="48"/>
      <c r="D84" s="48"/>
      <c r="E84" s="48"/>
      <c r="F84" s="48"/>
      <c r="G84" s="48"/>
      <c r="H84" s="50" t="str">
        <f>IF($B84="","",IF($J84="X",B84,CONCATENATE(VLOOKUP(B84,Competitors!$A$2:$I$650,3,FALSE)," ",VLOOKUP(B84,Competitors!$A$2:$I$650,2,FALSE))))</f>
        <v/>
      </c>
      <c r="I84" s="51">
        <f t="shared" si="8"/>
        <v>0</v>
      </c>
      <c r="J84" t="str">
        <f t="shared" si="9"/>
        <v/>
      </c>
    </row>
    <row r="85" spans="1:10" ht="14.25" x14ac:dyDescent="0.15">
      <c r="A85" s="46"/>
      <c r="B85" s="47" t="str">
        <f t="shared" si="7"/>
        <v/>
      </c>
      <c r="C85" s="48"/>
      <c r="D85" s="48"/>
      <c r="E85" s="48"/>
      <c r="F85" s="48"/>
      <c r="G85" s="48"/>
      <c r="H85" s="50" t="str">
        <f>IF($B85="","",IF($J85="X",B85,CONCATENATE(VLOOKUP(B85,Competitors!$A$2:$I$650,3,FALSE)," ",VLOOKUP(B85,Competitors!$A$2:$I$650,2,FALSE))))</f>
        <v/>
      </c>
      <c r="I85" s="51">
        <f t="shared" si="8"/>
        <v>0</v>
      </c>
      <c r="J85" t="str">
        <f t="shared" si="9"/>
        <v/>
      </c>
    </row>
    <row r="86" spans="1:10" ht="14.25" x14ac:dyDescent="0.15">
      <c r="A86" s="46"/>
      <c r="B86" s="47" t="str">
        <f t="shared" si="7"/>
        <v/>
      </c>
      <c r="C86" s="48"/>
      <c r="D86" s="48"/>
      <c r="E86" s="48"/>
      <c r="F86" s="48"/>
      <c r="G86" s="48"/>
      <c r="H86" s="50" t="str">
        <f>IF($B86="","",IF($J86="X",B86,CONCATENATE(VLOOKUP(B86,Competitors!$A$2:$I$650,3,FALSE)," ",VLOOKUP(B86,Competitors!$A$2:$I$650,2,FALSE))))</f>
        <v/>
      </c>
      <c r="I86" s="51">
        <f t="shared" si="8"/>
        <v>0</v>
      </c>
      <c r="J86" t="str">
        <f t="shared" si="9"/>
        <v/>
      </c>
    </row>
    <row r="87" spans="1:10" ht="14.25" x14ac:dyDescent="0.15">
      <c r="A87" s="46"/>
      <c r="B87" s="47" t="str">
        <f t="shared" si="7"/>
        <v/>
      </c>
      <c r="C87" s="48"/>
      <c r="D87" s="48"/>
      <c r="E87" s="48"/>
      <c r="F87" s="48"/>
      <c r="G87" s="48"/>
      <c r="H87" s="50" t="str">
        <f>IF($B87="","",IF($J87="X",B87,CONCATENATE(VLOOKUP(B87,Competitors!$A$2:$I$650,3,FALSE)," ",VLOOKUP(B87,Competitors!$A$2:$I$650,2,FALSE))))</f>
        <v/>
      </c>
      <c r="I87" s="51">
        <f t="shared" si="8"/>
        <v>0</v>
      </c>
      <c r="J87" t="str">
        <f t="shared" si="9"/>
        <v/>
      </c>
    </row>
    <row r="88" spans="1:10" ht="14.25" x14ac:dyDescent="0.15">
      <c r="A88" s="46"/>
      <c r="B88" s="47" t="str">
        <f t="shared" si="7"/>
        <v/>
      </c>
      <c r="C88" s="48"/>
      <c r="D88" s="48"/>
      <c r="E88" s="48"/>
      <c r="F88" s="48"/>
      <c r="G88" s="48"/>
      <c r="H88" s="50" t="str">
        <f>IF($B88="","",IF($J88="X",B88,CONCATENATE(VLOOKUP(B88,Competitors!$A$2:$I$650,3,FALSE)," ",VLOOKUP(B88,Competitors!$A$2:$I$650,2,FALSE))))</f>
        <v/>
      </c>
      <c r="I88" s="51">
        <f t="shared" si="8"/>
        <v>0</v>
      </c>
      <c r="J88" t="str">
        <f t="shared" si="9"/>
        <v/>
      </c>
    </row>
    <row r="89" spans="1:10" ht="14.25" x14ac:dyDescent="0.15">
      <c r="A89" s="46"/>
      <c r="B89" s="47" t="str">
        <f t="shared" si="7"/>
        <v/>
      </c>
      <c r="C89" s="48"/>
      <c r="D89" s="48"/>
      <c r="E89" s="48"/>
      <c r="F89" s="48"/>
      <c r="G89" s="48"/>
      <c r="H89" s="50" t="str">
        <f>IF($B89="","",IF($J89="X",B89,CONCATENATE(VLOOKUP(B89,Competitors!$A$2:$I$650,3,FALSE)," ",VLOOKUP(B89,Competitors!$A$2:$I$650,2,FALSE))))</f>
        <v/>
      </c>
      <c r="I89" s="51">
        <f t="shared" si="8"/>
        <v>0</v>
      </c>
      <c r="J89" t="str">
        <f t="shared" si="9"/>
        <v/>
      </c>
    </row>
    <row r="90" spans="1:10" ht="14.25" x14ac:dyDescent="0.15">
      <c r="A90" s="46"/>
      <c r="B90" s="47" t="str">
        <f t="shared" si="7"/>
        <v/>
      </c>
      <c r="C90" s="48"/>
      <c r="D90" s="48"/>
      <c r="E90" s="48"/>
      <c r="F90" s="48"/>
      <c r="G90" s="48"/>
      <c r="H90" s="50" t="str">
        <f>IF($B90="","",IF($J90="X",B90,CONCATENATE(VLOOKUP(B90,Competitors!$A$2:$I$650,3,FALSE)," ",VLOOKUP(B90,Competitors!$A$2:$I$650,2,FALSE))))</f>
        <v/>
      </c>
      <c r="I90" s="51">
        <f t="shared" si="8"/>
        <v>0</v>
      </c>
      <c r="J90" t="str">
        <f t="shared" si="9"/>
        <v/>
      </c>
    </row>
    <row r="91" spans="1:10" ht="14.25" x14ac:dyDescent="0.15">
      <c r="A91" s="46"/>
      <c r="B91" s="47" t="str">
        <f t="shared" si="7"/>
        <v/>
      </c>
      <c r="C91" s="48"/>
      <c r="D91" s="48"/>
      <c r="E91" s="48"/>
      <c r="F91" s="48"/>
      <c r="G91" s="48"/>
      <c r="H91" s="50" t="str">
        <f>IF($B91="","",IF($J91="X",B91,CONCATENATE(VLOOKUP(B91,Competitors!$A$2:$I$650,3,FALSE)," ",VLOOKUP(B91,Competitors!$A$2:$I$650,2,FALSE))))</f>
        <v/>
      </c>
      <c r="I91" s="51">
        <f t="shared" si="8"/>
        <v>0</v>
      </c>
      <c r="J91" t="str">
        <f t="shared" si="9"/>
        <v/>
      </c>
    </row>
    <row r="92" spans="1:10" ht="14.25" x14ac:dyDescent="0.15">
      <c r="A92" s="46"/>
      <c r="B92" s="47" t="str">
        <f t="shared" si="7"/>
        <v/>
      </c>
      <c r="C92" s="48"/>
      <c r="D92" s="48"/>
      <c r="E92" s="48"/>
      <c r="F92" s="48"/>
      <c r="G92" s="48"/>
      <c r="H92" s="50" t="str">
        <f>IF($B92="","",IF($J92="X",B92,CONCATENATE(VLOOKUP(B92,Competitors!$A$2:$I$650,3,FALSE)," ",VLOOKUP(B92,Competitors!$A$2:$I$650,2,FALSE))))</f>
        <v/>
      </c>
      <c r="I92" s="51">
        <f t="shared" si="8"/>
        <v>0</v>
      </c>
      <c r="J92" t="str">
        <f t="shared" si="9"/>
        <v/>
      </c>
    </row>
    <row r="93" spans="1:10" ht="14.25" x14ac:dyDescent="0.15">
      <c r="A93" s="46"/>
      <c r="B93" s="47" t="str">
        <f t="shared" si="7"/>
        <v/>
      </c>
      <c r="C93" s="48"/>
      <c r="D93" s="48"/>
      <c r="E93" s="48"/>
      <c r="F93" s="48"/>
      <c r="G93" s="48"/>
      <c r="H93" s="50" t="str">
        <f>IF($B93="","",IF($J93="X",B93,CONCATENATE(VLOOKUP(B93,Competitors!$A$2:$I$650,3,FALSE)," ",VLOOKUP(B93,Competitors!$A$2:$I$650,2,FALSE))))</f>
        <v/>
      </c>
      <c r="I93" s="51">
        <f t="shared" si="8"/>
        <v>0</v>
      </c>
      <c r="J93" t="str">
        <f t="shared" si="9"/>
        <v/>
      </c>
    </row>
    <row r="94" spans="1:10" ht="14.25" x14ac:dyDescent="0.15">
      <c r="A94" s="46"/>
      <c r="B94" s="47" t="str">
        <f t="shared" si="7"/>
        <v/>
      </c>
      <c r="C94" s="48"/>
      <c r="D94" s="48"/>
      <c r="E94" s="48"/>
      <c r="F94" s="48"/>
      <c r="G94" s="48"/>
      <c r="H94" s="50" t="str">
        <f>IF($B94="","",IF($J94="X",B94,CONCATENATE(VLOOKUP(B94,Competitors!$A$2:$I$650,3,FALSE)," ",VLOOKUP(B94,Competitors!$A$2:$I$650,2,FALSE))))</f>
        <v/>
      </c>
      <c r="I94" s="51">
        <f t="shared" si="8"/>
        <v>0</v>
      </c>
      <c r="J94" t="str">
        <f t="shared" si="9"/>
        <v/>
      </c>
    </row>
    <row r="95" spans="1:10" ht="14.25" x14ac:dyDescent="0.15">
      <c r="A95" s="46"/>
      <c r="B95" s="47" t="str">
        <f t="shared" si="7"/>
        <v/>
      </c>
      <c r="C95" s="48"/>
      <c r="D95" s="48"/>
      <c r="E95" s="48"/>
      <c r="F95" s="48"/>
      <c r="G95" s="48"/>
      <c r="H95" s="50" t="str">
        <f>IF($B95="","",IF($J95="X",B95,CONCATENATE(VLOOKUP(B95,Competitors!$A$2:$I$650,3,FALSE)," ",VLOOKUP(B95,Competitors!$A$2:$I$650,2,FALSE))))</f>
        <v/>
      </c>
      <c r="I95" s="51">
        <f t="shared" si="8"/>
        <v>0</v>
      </c>
      <c r="J95" t="str">
        <f t="shared" si="9"/>
        <v/>
      </c>
    </row>
    <row r="96" spans="1:10" ht="14.25" x14ac:dyDescent="0.15">
      <c r="A96" s="46"/>
      <c r="B96" s="47" t="str">
        <f t="shared" si="7"/>
        <v/>
      </c>
      <c r="C96" s="48"/>
      <c r="D96" s="48"/>
      <c r="E96" s="48"/>
      <c r="F96" s="48"/>
      <c r="G96" s="48"/>
      <c r="H96" s="50" t="str">
        <f>IF($B96="","",IF($J96="X",B96,CONCATENATE(VLOOKUP(B96,Competitors!$A$2:$I$650,3,FALSE)," ",VLOOKUP(B96,Competitors!$A$2:$I$650,2,FALSE))))</f>
        <v/>
      </c>
      <c r="I96" s="51">
        <f t="shared" si="8"/>
        <v>0</v>
      </c>
      <c r="J96" t="str">
        <f t="shared" si="9"/>
        <v/>
      </c>
    </row>
    <row r="97" spans="1:10" ht="14.25" x14ac:dyDescent="0.15">
      <c r="A97" s="46"/>
      <c r="B97" s="47" t="str">
        <f t="shared" si="7"/>
        <v/>
      </c>
      <c r="C97" s="48"/>
      <c r="D97" s="48"/>
      <c r="E97" s="48"/>
      <c r="F97" s="48"/>
      <c r="G97" s="48"/>
      <c r="H97" s="50" t="str">
        <f>IF($B97="","",IF($J97="X",B97,CONCATENATE(VLOOKUP(B97,Competitors!$A$2:$I$650,3,FALSE)," ",VLOOKUP(B97,Competitors!$A$2:$I$650,2,FALSE))))</f>
        <v/>
      </c>
      <c r="I97" s="51">
        <f t="shared" si="8"/>
        <v>0</v>
      </c>
      <c r="J97" t="str">
        <f t="shared" si="9"/>
        <v/>
      </c>
    </row>
    <row r="98" spans="1:10" ht="14.25" x14ac:dyDescent="0.15">
      <c r="A98" s="46"/>
      <c r="B98" s="47" t="str">
        <f t="shared" ref="B98:B101" si="10">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8"/>
        <v>0</v>
      </c>
      <c r="J98" t="str">
        <f t="shared" si="9"/>
        <v/>
      </c>
    </row>
    <row r="99" spans="1:10" ht="14.25" x14ac:dyDescent="0.15">
      <c r="A99" s="46"/>
      <c r="B99" s="47" t="str">
        <f t="shared" si="10"/>
        <v/>
      </c>
      <c r="C99" s="48"/>
      <c r="D99" s="48"/>
      <c r="E99" s="48"/>
      <c r="F99" s="48"/>
      <c r="G99" s="48"/>
      <c r="H99" s="50" t="str">
        <f>IF($B99="","",IF($J99="X",B99,CONCATENATE(VLOOKUP(B99,Competitors!$A$2:$I$650,3,FALSE)," ",VLOOKUP(B99,Competitors!$A$2:$I$650,2,FALSE))))</f>
        <v/>
      </c>
      <c r="I99" s="51">
        <f t="shared" si="8"/>
        <v>0</v>
      </c>
      <c r="J99" t="str">
        <f t="shared" si="9"/>
        <v/>
      </c>
    </row>
    <row r="100" spans="1:10" ht="14.25" x14ac:dyDescent="0.15">
      <c r="A100" s="46"/>
      <c r="B100" s="47" t="str">
        <f t="shared" si="10"/>
        <v/>
      </c>
      <c r="C100" s="48"/>
      <c r="D100" s="48"/>
      <c r="E100" s="48"/>
      <c r="F100" s="48"/>
      <c r="G100" s="48"/>
      <c r="H100" s="50" t="str">
        <f>IF($B100="","",IF($J100="X",B100,CONCATENATE(VLOOKUP(B100,Competitors!$A$2:$I$650,3, FALSE)," ",VLOOKUP(B100,Competitors!$A$2:$I$650,2,FALSE))))</f>
        <v/>
      </c>
      <c r="I100" s="51">
        <f t="shared" si="8"/>
        <v>0</v>
      </c>
      <c r="J100" t="str">
        <f t="shared" si="9"/>
        <v/>
      </c>
    </row>
    <row r="101" spans="1:10" ht="14.25" x14ac:dyDescent="0.15">
      <c r="A101" s="46"/>
      <c r="B101" s="47" t="str">
        <f t="shared" si="10"/>
        <v/>
      </c>
      <c r="C101" s="48"/>
      <c r="D101" s="48"/>
      <c r="E101" s="48"/>
      <c r="F101" s="48"/>
      <c r="G101" s="48"/>
      <c r="H101" s="50" t="str">
        <f>IF($B101="","",IF($J101="X",B101,CONCATENATE(VLOOKUP(B101,Competitors!$A$2:$I$650,3,FALSE)," ",VLOOKUP(B101,Competitors!$A$2:$I$650,2,FALSE))))</f>
        <v/>
      </c>
      <c r="I101" s="51">
        <f t="shared" si="8"/>
        <v>0</v>
      </c>
      <c r="J101" t="str">
        <f t="shared" si="9"/>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topLeftCell="A11"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452</v>
      </c>
      <c r="B2" s="47">
        <f t="shared" ref="B2:B33" si="0">IF(A2="","",_xlfn.XLOOKUP(A2,ClubNames,ClubNumbers,_xlfn.XLOOKUP(A2,RoundRobinRiderNames,RoundRobinRiderDecoratedNames,A2)))</f>
        <v>1244</v>
      </c>
      <c r="C2" s="48"/>
      <c r="D2" s="48">
        <v>30</v>
      </c>
      <c r="E2" s="48">
        <v>3</v>
      </c>
      <c r="F2" s="48" t="s">
        <v>555</v>
      </c>
      <c r="G2" s="48"/>
      <c r="H2" s="50" t="str">
        <f>IF($B2="","",IF($J2="X",B2,CONCATENATE(VLOOKUP(B2,Competitors!$A$2:$I$650,3, FALSE)," ",VLOOKUP(B2,Competitors!$A$2:$I$650,2,FALSE))))</f>
        <v>Steven Latham</v>
      </c>
      <c r="I2" s="51">
        <f t="shared" ref="I2:I65" si="1">IF(LEFT($F2,1)="D",UPPER($F2),(C2*3600+D2*60+E2)/86400)</f>
        <v>2.0868055555555556E-2</v>
      </c>
      <c r="J2" t="str">
        <f t="shared" ref="J2:J65" si="2">IF(OR(B2="",ISNUMBER(B2)),"","X")</f>
        <v/>
      </c>
    </row>
    <row r="3" spans="1:10" ht="14.25" x14ac:dyDescent="0.15">
      <c r="A3" s="46" t="s">
        <v>461</v>
      </c>
      <c r="B3" s="47">
        <f t="shared" si="0"/>
        <v>742</v>
      </c>
      <c r="C3" s="48"/>
      <c r="D3" s="48">
        <v>33</v>
      </c>
      <c r="E3" s="48">
        <v>40</v>
      </c>
      <c r="F3" s="48" t="s">
        <v>555</v>
      </c>
      <c r="G3" s="48"/>
      <c r="H3" s="50" t="str">
        <f>IF($B3="","",IF($J3="X",B3,CONCATENATE(VLOOKUP(B3,Competitors!$A$2:$I$650,3,FALSE)," ",VLOOKUP(B3,Competitors!$A$2:$I$650,2,FALSE))))</f>
        <v>Claire Moore</v>
      </c>
      <c r="I3" s="51">
        <f t="shared" si="1"/>
        <v>2.3379629629629629E-2</v>
      </c>
      <c r="J3" t="str">
        <f t="shared" si="2"/>
        <v/>
      </c>
    </row>
    <row r="4" spans="1:10" ht="14.25" x14ac:dyDescent="0.15">
      <c r="A4" s="46" t="s">
        <v>454</v>
      </c>
      <c r="B4" s="47">
        <f t="shared" si="0"/>
        <v>990</v>
      </c>
      <c r="C4" s="48"/>
      <c r="D4" s="48">
        <v>34</v>
      </c>
      <c r="E4" s="48">
        <v>52</v>
      </c>
      <c r="F4" s="48" t="s">
        <v>555</v>
      </c>
      <c r="G4" s="48"/>
      <c r="H4" s="50" t="str">
        <f>IF($B4="","",IF($J4="X",B4,CONCATENATE(VLOOKUP(B4,Competitors!$A$2:$I$650,3,FALSE)," ",VLOOKUP(B4,Competitors!$A$2:$I$650,2,FALSE))))</f>
        <v>Jennifer Hulme</v>
      </c>
      <c r="I4" s="51">
        <f t="shared" si="1"/>
        <v>2.4212962962962964E-2</v>
      </c>
      <c r="J4" t="str">
        <f t="shared" si="2"/>
        <v/>
      </c>
    </row>
    <row r="5" spans="1:10" ht="14.25" x14ac:dyDescent="0.15">
      <c r="A5" s="46" t="s">
        <v>451</v>
      </c>
      <c r="B5" s="47">
        <f t="shared" si="0"/>
        <v>1377</v>
      </c>
      <c r="C5" s="48"/>
      <c r="D5" s="48"/>
      <c r="E5" s="48"/>
      <c r="F5" s="48" t="s">
        <v>555</v>
      </c>
      <c r="G5" s="48" t="s">
        <v>557</v>
      </c>
      <c r="H5" s="50" t="str">
        <f>IF($B5="","",IF($J5="X",B5,CONCATENATE(VLOOKUP(B5,Competitors!$A$2:$I$650,3,FALSE)," ",VLOOKUP(B5,Competitors!$A$2:$I$650,2,FALSE))))</f>
        <v>Lucy Fraser</v>
      </c>
      <c r="I5" s="51">
        <f t="shared" si="1"/>
        <v>0</v>
      </c>
      <c r="J5" t="str">
        <f t="shared" si="2"/>
        <v/>
      </c>
    </row>
    <row r="6" spans="1:10" ht="14.25" x14ac:dyDescent="0.15">
      <c r="A6" s="46" t="s">
        <v>447</v>
      </c>
      <c r="B6" s="47">
        <f t="shared" si="0"/>
        <v>1379</v>
      </c>
      <c r="C6" s="48"/>
      <c r="D6" s="48">
        <v>29</v>
      </c>
      <c r="E6" s="48">
        <v>27</v>
      </c>
      <c r="F6" s="48" t="s">
        <v>555</v>
      </c>
      <c r="G6" s="48"/>
      <c r="H6" s="50" t="str">
        <f>IF($B6="","",IF($J6="X",B6,CONCATENATE(VLOOKUP(B6,Competitors!$A$2:$I$650,3,FALSE)," ",VLOOKUP(B6,Competitors!$A$2:$I$650,2,FALSE))))</f>
        <v>Michaela Latham</v>
      </c>
      <c r="I6" s="51">
        <f t="shared" si="1"/>
        <v>2.045138888888889E-2</v>
      </c>
      <c r="J6" t="str">
        <f t="shared" si="2"/>
        <v/>
      </c>
    </row>
    <row r="7" spans="1:10" ht="14.25" x14ac:dyDescent="0.15">
      <c r="A7" s="46" t="s">
        <v>462</v>
      </c>
      <c r="B7" s="47">
        <f t="shared" si="0"/>
        <v>7</v>
      </c>
      <c r="C7" s="48"/>
      <c r="D7" s="48">
        <v>34</v>
      </c>
      <c r="E7" s="48">
        <v>17</v>
      </c>
      <c r="F7" s="48" t="s">
        <v>555</v>
      </c>
      <c r="G7" s="48"/>
      <c r="H7" s="50" t="str">
        <f>IF($B7="","",IF($J7="X",B7,CONCATENATE(VLOOKUP(B7,Competitors!$A$2:$I$650,3,FALSE)," ",VLOOKUP(B7,Competitors!$A$2:$I$650,2,FALSE))))</f>
        <v>Vic Barnett</v>
      </c>
      <c r="I7" s="51">
        <f t="shared" si="1"/>
        <v>2.3807870370370372E-2</v>
      </c>
      <c r="J7" t="str">
        <f t="shared" si="2"/>
        <v/>
      </c>
    </row>
    <row r="8" spans="1:10" ht="14.25" x14ac:dyDescent="0.15">
      <c r="A8" s="46" t="s">
        <v>448</v>
      </c>
      <c r="B8" s="47">
        <f t="shared" si="0"/>
        <v>1194</v>
      </c>
      <c r="C8" s="48"/>
      <c r="D8" s="48">
        <v>31</v>
      </c>
      <c r="E8" s="48">
        <v>7</v>
      </c>
      <c r="F8" s="48" t="s">
        <v>555</v>
      </c>
      <c r="G8" s="48"/>
      <c r="H8" s="50" t="str">
        <f>IF($B8="","",IF($J8="X",B8,CONCATENATE(VLOOKUP(B8,Competitors!$A$2:$I$650,3,FALSE)," ",VLOOKUP(B8,Competitors!$A$2:$I$650,2,FALSE))))</f>
        <v>Alex Hardwicke</v>
      </c>
      <c r="I8" s="51">
        <f t="shared" si="1"/>
        <v>2.1608796296296296E-2</v>
      </c>
      <c r="J8" t="str">
        <f t="shared" si="2"/>
        <v/>
      </c>
    </row>
    <row r="9" spans="1:10" ht="14.25" x14ac:dyDescent="0.15">
      <c r="A9" s="46" t="s">
        <v>438</v>
      </c>
      <c r="B9" s="47">
        <f t="shared" si="0"/>
        <v>1195</v>
      </c>
      <c r="C9" s="48"/>
      <c r="D9" s="48">
        <v>27</v>
      </c>
      <c r="E9" s="48">
        <v>48</v>
      </c>
      <c r="F9" s="48" t="s">
        <v>555</v>
      </c>
      <c r="G9" s="48"/>
      <c r="H9" s="50" t="str">
        <f>IF($B9="","",IF($J9="X",B9,CONCATENATE(VLOOKUP(B9,Competitors!$A$2:$I$650,3,FALSE)," ",VLOOKUP(B9,Competitors!$A$2:$I$650,2,FALSE))))</f>
        <v>Charlie Hardwicke</v>
      </c>
      <c r="I9" s="51">
        <f t="shared" si="1"/>
        <v>1.9305555555555555E-2</v>
      </c>
      <c r="J9" t="str">
        <f t="shared" si="2"/>
        <v/>
      </c>
    </row>
    <row r="10" spans="1:10" ht="14.25" x14ac:dyDescent="0.15">
      <c r="A10" s="46" t="s">
        <v>444</v>
      </c>
      <c r="B10" s="47">
        <f t="shared" si="0"/>
        <v>1193</v>
      </c>
      <c r="C10" s="48"/>
      <c r="D10" s="48">
        <v>28</v>
      </c>
      <c r="E10" s="48">
        <v>18</v>
      </c>
      <c r="F10" s="48" t="s">
        <v>555</v>
      </c>
      <c r="G10" s="48"/>
      <c r="H10" s="50" t="str">
        <f>IF($B10="","",IF($J10="X",B10,CONCATENATE(VLOOKUP(B10,Competitors!$A$2:$I$650,3, FALSE)," ",VLOOKUP(B10,Competitors!$A$2:$I$650,2,FALSE))))</f>
        <v>Richard Hardwicke</v>
      </c>
      <c r="I10" s="51">
        <f t="shared" si="1"/>
        <v>1.9652777777777779E-2</v>
      </c>
      <c r="J10" t="str">
        <f t="shared" si="2"/>
        <v/>
      </c>
    </row>
    <row r="11" spans="1:10" ht="14.25" x14ac:dyDescent="0.15">
      <c r="A11" s="46" t="s">
        <v>424</v>
      </c>
      <c r="B11" s="47">
        <f t="shared" si="0"/>
        <v>35</v>
      </c>
      <c r="C11" s="48"/>
      <c r="D11" s="48">
        <v>27</v>
      </c>
      <c r="E11" s="48">
        <v>13</v>
      </c>
      <c r="F11" s="48"/>
      <c r="G11" s="48"/>
      <c r="H11" s="50" t="str">
        <f>IF($B11="","",IF($J11="X",B11,CONCATENATE(VLOOKUP(B11,Competitors!$A$2:$I$650,3,FALSE)," ",VLOOKUP(B11,Competitors!$A$2:$I$650,2,FALSE))))</f>
        <v>Matt Plews</v>
      </c>
      <c r="I11" s="51">
        <f t="shared" si="1"/>
        <v>1.8900462962962963E-2</v>
      </c>
      <c r="J11" t="str">
        <f t="shared" si="2"/>
        <v/>
      </c>
    </row>
    <row r="12" spans="1:10" ht="14.25" x14ac:dyDescent="0.15">
      <c r="A12" s="46" t="s">
        <v>419</v>
      </c>
      <c r="B12" s="47">
        <f t="shared" si="0"/>
        <v>1355</v>
      </c>
      <c r="C12" s="48"/>
      <c r="D12" s="48"/>
      <c r="E12" s="48"/>
      <c r="F12" s="48" t="s">
        <v>555</v>
      </c>
      <c r="G12" s="48" t="s">
        <v>557</v>
      </c>
      <c r="H12" s="50" t="str">
        <f>IF($B12="","",IF($J12="X",B12,CONCATENATE(VLOOKUP(B12,Competitors!$A$2:$I$650,3,FALSE)," ",VLOOKUP(B12,Competitors!$A$2:$I$650,2,FALSE))))</f>
        <v>Aubrey Elmer</v>
      </c>
      <c r="I12" s="51">
        <f t="shared" si="1"/>
        <v>0</v>
      </c>
      <c r="J12" t="str">
        <f t="shared" si="2"/>
        <v/>
      </c>
    </row>
    <row r="13" spans="1:10" ht="14.25" x14ac:dyDescent="0.15">
      <c r="A13" s="46" t="s">
        <v>456</v>
      </c>
      <c r="B13" s="47">
        <f t="shared" si="0"/>
        <v>45</v>
      </c>
      <c r="C13" s="48"/>
      <c r="D13" s="48"/>
      <c r="E13" s="48"/>
      <c r="F13" s="48" t="s">
        <v>555</v>
      </c>
      <c r="G13" s="48" t="s">
        <v>557</v>
      </c>
      <c r="H13" s="50" t="str">
        <f>IF($B13="","",IF($J13="X",B13,CONCATENATE(VLOOKUP(B13,Competitors!$A$2:$I$650,3,FALSE)," ",VLOOKUP(B13,Competitors!$A$2:$I$650,2,FALSE))))</f>
        <v>Ray Taylor</v>
      </c>
      <c r="I13" s="51">
        <f t="shared" si="1"/>
        <v>0</v>
      </c>
      <c r="J13" t="str">
        <f t="shared" si="2"/>
        <v/>
      </c>
    </row>
    <row r="14" spans="1:10" ht="14.25" x14ac:dyDescent="0.15">
      <c r="A14" s="46" t="s">
        <v>421</v>
      </c>
      <c r="B14" s="47">
        <f t="shared" si="0"/>
        <v>1192</v>
      </c>
      <c r="C14" s="48"/>
      <c r="D14" s="48">
        <v>25</v>
      </c>
      <c r="E14" s="48">
        <v>53</v>
      </c>
      <c r="F14" s="48"/>
      <c r="G14" s="48"/>
      <c r="H14" s="50" t="str">
        <f>IF($B14="","",IF($J14="X",B14,CONCATENATE(VLOOKUP(B14,Competitors!$A$2:$I$650,3,FALSE)," ",VLOOKUP(B14,Competitors!$A$2:$I$650,2,FALSE))))</f>
        <v>Dale Norris</v>
      </c>
      <c r="I14" s="51">
        <f t="shared" si="1"/>
        <v>1.7974537037037035E-2</v>
      </c>
      <c r="J14" t="str">
        <f t="shared" si="2"/>
        <v/>
      </c>
    </row>
    <row r="15" spans="1:10" ht="14.25" x14ac:dyDescent="0.15">
      <c r="A15" s="46" t="s">
        <v>434</v>
      </c>
      <c r="B15" s="47">
        <f t="shared" si="0"/>
        <v>1109</v>
      </c>
      <c r="C15" s="48"/>
      <c r="D15" s="48">
        <v>28</v>
      </c>
      <c r="E15" s="48">
        <v>6</v>
      </c>
      <c r="F15" s="48" t="s">
        <v>555</v>
      </c>
      <c r="G15" s="48"/>
      <c r="H15" s="50" t="str">
        <f>IF($B15="","",IF($J15="X",B15,CONCATENATE(VLOOKUP(B15,Competitors!$A$2:$I$650,3,FALSE)," ",VLOOKUP(B15,Competitors!$A$2:$I$650,2,FALSE))))</f>
        <v>Stuart Haycox</v>
      </c>
      <c r="I15" s="51">
        <f t="shared" si="1"/>
        <v>1.951388888888889E-2</v>
      </c>
      <c r="J15" t="str">
        <f t="shared" si="2"/>
        <v/>
      </c>
    </row>
    <row r="16" spans="1:10" ht="14.25" x14ac:dyDescent="0.15">
      <c r="A16" s="46" t="s">
        <v>412</v>
      </c>
      <c r="B16" s="47">
        <f t="shared" si="0"/>
        <v>407</v>
      </c>
      <c r="C16" s="48"/>
      <c r="D16" s="48">
        <v>23</v>
      </c>
      <c r="E16" s="48">
        <v>42</v>
      </c>
      <c r="F16" s="48"/>
      <c r="G16" s="48"/>
      <c r="H16" s="50" t="str">
        <f>IF($B16="","",IF($J16="X",B16,CONCATENATE(VLOOKUP(B16,Competitors!$A$2:$I$650,3,FALSE)," ",VLOOKUP(B16,Competitors!$A$2:$I$650,2,FALSE))))</f>
        <v>Hans van Nierop</v>
      </c>
      <c r="I16" s="51">
        <f t="shared" si="1"/>
        <v>1.6458333333333332E-2</v>
      </c>
      <c r="J16" t="str">
        <f t="shared" si="2"/>
        <v/>
      </c>
    </row>
    <row r="17" spans="1:10" ht="14.25" x14ac:dyDescent="0.15">
      <c r="A17" s="46" t="s">
        <v>430</v>
      </c>
      <c r="B17" s="47">
        <f t="shared" si="0"/>
        <v>1107</v>
      </c>
      <c r="C17" s="48"/>
      <c r="D17" s="48"/>
      <c r="E17" s="48"/>
      <c r="F17" s="48"/>
      <c r="G17" s="48" t="s">
        <v>557</v>
      </c>
      <c r="H17" s="50" t="str">
        <f>IF($B17="","",IF($J17="X",B17,CONCATENATE(VLOOKUP(B17,Competitors!$A$2:$I$650,3,FALSE)," ",VLOOKUP(B17,Competitors!$A$2:$I$650,2,FALSE))))</f>
        <v>Milly Pinnock</v>
      </c>
      <c r="I17" s="51">
        <f t="shared" si="1"/>
        <v>0</v>
      </c>
      <c r="J17" t="str">
        <f t="shared" si="2"/>
        <v/>
      </c>
    </row>
    <row r="18" spans="1:10" ht="14.25" x14ac:dyDescent="0.15">
      <c r="A18" s="46" t="s">
        <v>517</v>
      </c>
      <c r="B18" s="47" t="str">
        <f t="shared" si="0"/>
        <v>Mark Newton (Ratae)</v>
      </c>
      <c r="C18" s="48"/>
      <c r="D18" s="48">
        <v>28</v>
      </c>
      <c r="E18" s="48">
        <v>2</v>
      </c>
      <c r="F18" s="48" t="s">
        <v>555</v>
      </c>
      <c r="G18" s="48"/>
      <c r="H18" s="50" t="str">
        <f>IF($B18="","",IF($J18="X",B18,CONCATENATE(VLOOKUP(B18,Competitors!$A$2:$I$650,3,FALSE)," ",VLOOKUP(B18,Competitors!$A$2:$I$650,2,FALSE))))</f>
        <v>Mark Newton (Ratae)</v>
      </c>
      <c r="I18" s="51">
        <f t="shared" si="1"/>
        <v>1.9467592592592592E-2</v>
      </c>
      <c r="J18" t="str">
        <f t="shared" si="2"/>
        <v>X</v>
      </c>
    </row>
    <row r="19" spans="1:10" ht="14.25" x14ac:dyDescent="0.15">
      <c r="A19" s="46" t="s">
        <v>432</v>
      </c>
      <c r="B19" s="47">
        <f t="shared" si="0"/>
        <v>1403</v>
      </c>
      <c r="C19" s="48"/>
      <c r="D19" s="48">
        <v>27</v>
      </c>
      <c r="E19" s="48">
        <v>56</v>
      </c>
      <c r="F19" s="48"/>
      <c r="G19" s="48"/>
      <c r="H19" s="50" t="str">
        <f>IF($B19="","",IF($J19="X",B19,CONCATENATE(VLOOKUP(B19,Competitors!$A$2:$I$650,3,FALSE)," ",VLOOKUP(B19,Competitors!$A$2:$I$650,2,FALSE))))</f>
        <v>Toby Lenehan</v>
      </c>
      <c r="I19" s="51">
        <f t="shared" si="1"/>
        <v>1.9398148148148147E-2</v>
      </c>
      <c r="J19" t="str">
        <f t="shared" si="2"/>
        <v/>
      </c>
    </row>
    <row r="20" spans="1:10" ht="14.25" x14ac:dyDescent="0.15">
      <c r="A20" s="46" t="s">
        <v>437</v>
      </c>
      <c r="B20" s="47">
        <f t="shared" si="0"/>
        <v>203</v>
      </c>
      <c r="C20" s="48"/>
      <c r="D20" s="48">
        <v>29</v>
      </c>
      <c r="E20" s="48">
        <v>21</v>
      </c>
      <c r="F20" s="48"/>
      <c r="G20" s="48"/>
      <c r="H20" s="50" t="str">
        <f>IF($B20="","",IF($J20="X",B20,CONCATENATE(VLOOKUP(B20,Competitors!$A$2:$I$650,3,FALSE)," ",VLOOKUP(B20,Competitors!$A$2:$I$650,2,FALSE))))</f>
        <v>Adrian Killworth</v>
      </c>
      <c r="I20" s="51">
        <f t="shared" si="1"/>
        <v>2.0381944444444446E-2</v>
      </c>
      <c r="J20" t="str">
        <f t="shared" si="2"/>
        <v/>
      </c>
    </row>
    <row r="21" spans="1:10" ht="14.25" x14ac:dyDescent="0.15">
      <c r="A21" s="46" t="s">
        <v>440</v>
      </c>
      <c r="B21" s="47">
        <f t="shared" si="0"/>
        <v>23</v>
      </c>
      <c r="C21" s="48"/>
      <c r="D21" s="48">
        <v>29</v>
      </c>
      <c r="E21" s="48">
        <v>8</v>
      </c>
      <c r="F21" s="48"/>
      <c r="G21" s="48"/>
      <c r="H21" s="50" t="str">
        <f>IF($B21="","",IF($J21="X",B21,CONCATENATE(VLOOKUP(B21,Competitors!$A$2:$I$650,3,FALSE)," ",VLOOKUP(B21,Competitors!$A$2:$I$650,2,FALSE))))</f>
        <v>Chris Hyde</v>
      </c>
      <c r="I21" s="51">
        <f t="shared" si="1"/>
        <v>2.0231481481481482E-2</v>
      </c>
      <c r="J21" t="str">
        <f t="shared" si="2"/>
        <v/>
      </c>
    </row>
    <row r="22" spans="1:10" ht="14.25" x14ac:dyDescent="0.15">
      <c r="A22" s="46" t="s">
        <v>416</v>
      </c>
      <c r="B22" s="47">
        <f t="shared" si="0"/>
        <v>1161</v>
      </c>
      <c r="C22" s="48"/>
      <c r="D22" s="48">
        <v>24</v>
      </c>
      <c r="E22" s="48">
        <v>54</v>
      </c>
      <c r="F22" s="48"/>
      <c r="G22" s="48"/>
      <c r="H22" s="50" t="str">
        <f>IF($B22="","",IF($J22="X",B22,CONCATENATE(VLOOKUP(B22,Competitors!$A$2:$I$650,3,FALSE)," ",VLOOKUP(B22,Competitors!$A$2:$I$650,2,FALSE))))</f>
        <v>Maciej Suchocki</v>
      </c>
      <c r="I22" s="51">
        <f t="shared" si="1"/>
        <v>1.7291666666666667E-2</v>
      </c>
      <c r="J22" t="str">
        <f t="shared" si="2"/>
        <v/>
      </c>
    </row>
    <row r="23" spans="1:10" ht="14.25" x14ac:dyDescent="0.15">
      <c r="A23" s="46" t="s">
        <v>431</v>
      </c>
      <c r="B23" s="47">
        <f t="shared" si="0"/>
        <v>616</v>
      </c>
      <c r="C23" s="48"/>
      <c r="D23" s="48">
        <v>29</v>
      </c>
      <c r="E23" s="48">
        <v>48</v>
      </c>
      <c r="F23" s="48"/>
      <c r="G23" s="48"/>
      <c r="H23" s="50" t="str">
        <f>IF($B23="","",IF($J23="X",B23,CONCATENATE(VLOOKUP(B23,Competitors!$A$2:$I$650,3,FALSE)," ",VLOOKUP(B23,Competitors!$A$2:$I$650,2,FALSE))))</f>
        <v>Simon Ward</v>
      </c>
      <c r="I23" s="51">
        <f t="shared" si="1"/>
        <v>2.0694444444444446E-2</v>
      </c>
      <c r="J23" t="str">
        <f t="shared" si="2"/>
        <v/>
      </c>
    </row>
    <row r="24" spans="1:10" ht="14.25" x14ac:dyDescent="0.15">
      <c r="A24" s="46" t="s">
        <v>428</v>
      </c>
      <c r="B24" s="47">
        <f t="shared" si="0"/>
        <v>915</v>
      </c>
      <c r="C24" s="48"/>
      <c r="D24" s="48">
        <v>26</v>
      </c>
      <c r="E24" s="48">
        <v>47</v>
      </c>
      <c r="F24" s="48"/>
      <c r="G24" s="48"/>
      <c r="H24" s="50" t="str">
        <f>IF($B24="","",IF($J24="X",B24,CONCATENATE(VLOOKUP(B24,Competitors!$A$2:$I$650,3,FALSE)," ",VLOOKUP(B24,Competitors!$A$2:$I$650,2,FALSE))))</f>
        <v>Julian Twynham</v>
      </c>
      <c r="I24" s="51">
        <f t="shared" si="1"/>
        <v>1.8599537037037036E-2</v>
      </c>
      <c r="J24" t="str">
        <f t="shared" si="2"/>
        <v/>
      </c>
    </row>
    <row r="25" spans="1:10" ht="14.25" x14ac:dyDescent="0.15">
      <c r="A25" s="46" t="s">
        <v>413</v>
      </c>
      <c r="B25" s="47">
        <f t="shared" si="0"/>
        <v>1144</v>
      </c>
      <c r="C25" s="48"/>
      <c r="D25" s="48">
        <v>26</v>
      </c>
      <c r="E25" s="48">
        <v>37</v>
      </c>
      <c r="F25" s="48" t="s">
        <v>555</v>
      </c>
      <c r="G25" s="48"/>
      <c r="H25" s="50" t="str">
        <f>IF($B25="","",IF($J25="X",B25,CONCATENATE(VLOOKUP(B25,Competitors!$A$2:$I$650,3,FALSE)," ",VLOOKUP(B25,Competitors!$A$2:$I$650,2,FALSE))))</f>
        <v>Jamie Kershaw</v>
      </c>
      <c r="I25" s="51">
        <f t="shared" si="1"/>
        <v>1.8483796296296297E-2</v>
      </c>
      <c r="J25" t="str">
        <f t="shared" si="2"/>
        <v/>
      </c>
    </row>
    <row r="26" spans="1:10" ht="14.25" x14ac:dyDescent="0.15">
      <c r="A26" s="46" t="s">
        <v>422</v>
      </c>
      <c r="B26" s="47">
        <f t="shared" si="0"/>
        <v>415</v>
      </c>
      <c r="C26" s="48"/>
      <c r="D26" s="48">
        <v>26</v>
      </c>
      <c r="E26" s="48">
        <v>44</v>
      </c>
      <c r="F26" s="48" t="s">
        <v>555</v>
      </c>
      <c r="G26" s="48"/>
      <c r="H26" s="50" t="str">
        <f>IF($B26="","",IF($J26="X",B26,CONCATENATE(VLOOKUP(B26,Competitors!$A$2:$I$650,3,FALSE)," ",VLOOKUP(B26,Competitors!$A$2:$I$650,2,FALSE))))</f>
        <v>Nik Kershaw</v>
      </c>
      <c r="I26" s="51">
        <f t="shared" si="1"/>
        <v>1.8564814814814815E-2</v>
      </c>
      <c r="J26" t="str">
        <f t="shared" si="2"/>
        <v/>
      </c>
    </row>
    <row r="27" spans="1:10" ht="14.25" x14ac:dyDescent="0.15">
      <c r="A27" s="46" t="s">
        <v>455</v>
      </c>
      <c r="B27" s="47">
        <f t="shared" si="0"/>
        <v>558</v>
      </c>
      <c r="C27" s="48"/>
      <c r="D27" s="48"/>
      <c r="E27" s="48"/>
      <c r="F27" s="48" t="s">
        <v>555</v>
      </c>
      <c r="G27" s="48" t="s">
        <v>557</v>
      </c>
      <c r="H27" s="50" t="str">
        <f>IF($B27="","",IF($J27="X",B27,CONCATENATE(VLOOKUP(B27,Competitors!$A$2:$I$650,3,FALSE)," ",VLOOKUP(B27,Competitors!$A$2:$I$650,2,FALSE))))</f>
        <v>Andrew Weatherby</v>
      </c>
      <c r="I27" s="51">
        <f t="shared" si="1"/>
        <v>0</v>
      </c>
      <c r="J27" t="str">
        <f t="shared" si="2"/>
        <v/>
      </c>
    </row>
    <row r="28" spans="1:10" ht="14.25" x14ac:dyDescent="0.15">
      <c r="A28" s="46" t="s">
        <v>414</v>
      </c>
      <c r="B28" s="47">
        <f t="shared" si="0"/>
        <v>989</v>
      </c>
      <c r="C28" s="48"/>
      <c r="D28" s="48">
        <v>24</v>
      </c>
      <c r="E28" s="48">
        <v>45</v>
      </c>
      <c r="F28" s="48" t="s">
        <v>555</v>
      </c>
      <c r="G28" s="48"/>
      <c r="H28" s="50" t="str">
        <f>IF($B28="","",IF($J28="X",B28,CONCATENATE(VLOOKUP(B28,Competitors!$A$2:$I$650,3,FALSE)," ",VLOOKUP(B28,Competitors!$A$2:$I$650,2,FALSE))))</f>
        <v>Jason Williams</v>
      </c>
      <c r="I28" s="51">
        <f t="shared" si="1"/>
        <v>1.7187500000000001E-2</v>
      </c>
      <c r="J28" t="str">
        <f t="shared" si="2"/>
        <v/>
      </c>
    </row>
    <row r="29" spans="1:10" ht="14.25" x14ac:dyDescent="0.15">
      <c r="A29" s="46" t="s">
        <v>441</v>
      </c>
      <c r="B29" s="47">
        <f t="shared" si="0"/>
        <v>245</v>
      </c>
      <c r="C29" s="48"/>
      <c r="D29" s="48">
        <v>28</v>
      </c>
      <c r="E29" s="48">
        <v>10</v>
      </c>
      <c r="F29" s="48"/>
      <c r="G29" s="48"/>
      <c r="H29" s="50" t="str">
        <f>IF($B29="","",IF($J29="X",B29,CONCATENATE(VLOOKUP(B29,Competitors!$A$2:$I$650,3,FALSE)," ",VLOOKUP(B29,Competitors!$A$2:$I$650,2,FALSE))))</f>
        <v>David Reay</v>
      </c>
      <c r="I29" s="51">
        <f t="shared" si="1"/>
        <v>1.9560185185185184E-2</v>
      </c>
      <c r="J29" t="str">
        <f t="shared" si="2"/>
        <v/>
      </c>
    </row>
    <row r="30" spans="1:10" ht="14.25" x14ac:dyDescent="0.15">
      <c r="A30" s="46" t="s">
        <v>427</v>
      </c>
      <c r="B30" s="47">
        <f t="shared" si="0"/>
        <v>1055</v>
      </c>
      <c r="C30" s="48"/>
      <c r="D30" s="48">
        <v>26</v>
      </c>
      <c r="E30" s="48">
        <v>41</v>
      </c>
      <c r="F30" s="48"/>
      <c r="G30" s="48"/>
      <c r="H30" s="50" t="str">
        <f>IF($B30="","",IF($J30="X",B30,CONCATENATE(VLOOKUP(B30,Competitors!$A$2:$I$650,3,FALSE)," ",VLOOKUP(B30,Competitors!$A$2:$I$650,2,FALSE))))</f>
        <v>Austin Smith</v>
      </c>
      <c r="I30" s="51">
        <f t="shared" si="1"/>
        <v>1.8530092592592591E-2</v>
      </c>
      <c r="J30" t="str">
        <f t="shared" si="2"/>
        <v/>
      </c>
    </row>
    <row r="31" spans="1:10" ht="14.25" x14ac:dyDescent="0.15">
      <c r="A31" s="46" t="s">
        <v>415</v>
      </c>
      <c r="B31" s="47">
        <f t="shared" si="0"/>
        <v>699</v>
      </c>
      <c r="C31" s="48"/>
      <c r="D31" s="48">
        <v>24</v>
      </c>
      <c r="E31" s="48">
        <v>51</v>
      </c>
      <c r="F31" s="48"/>
      <c r="G31" s="48"/>
      <c r="H31" s="50" t="str">
        <f>IF($B31="","",IF($J31="X",B31,CONCATENATE(VLOOKUP(B31,Competitors!$A$2:$I$650,3,FALSE)," ",VLOOKUP(B31,Competitors!$A$2:$I$650,2,FALSE))))</f>
        <v>Jonathan Durnin</v>
      </c>
      <c r="I31" s="51">
        <f t="shared" si="1"/>
        <v>1.7256944444444443E-2</v>
      </c>
      <c r="J31" t="str">
        <f t="shared" si="2"/>
        <v/>
      </c>
    </row>
    <row r="32" spans="1:10" ht="14.25" x14ac:dyDescent="0.15">
      <c r="A32" s="46"/>
      <c r="B32" s="47" t="str">
        <f t="shared" si="0"/>
        <v/>
      </c>
      <c r="C32" s="48"/>
      <c r="D32" s="48"/>
      <c r="E32" s="48"/>
      <c r="F32" s="48"/>
      <c r="G32" s="48"/>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view="pageBreakPreview" topLeftCell="B7" workbookViewId="0">
      <selection activeCell="B26" sqref="B26"/>
    </sheetView>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56" t="s">
        <v>452</v>
      </c>
      <c r="B2" s="47">
        <f t="shared" ref="B2:B33" si="0">IF(A2="","",_xlfn.XLOOKUP(A2,ClubNames,ClubNumbers,_xlfn.XLOOKUP(A2,RoundRobinRiderNames,RoundRobinRiderDecoratedNames,A2)))</f>
        <v>1244</v>
      </c>
      <c r="C2" s="48">
        <v>1</v>
      </c>
      <c r="D2" s="48">
        <v>15</v>
      </c>
      <c r="E2" s="48">
        <v>5</v>
      </c>
      <c r="F2" s="48" t="s">
        <v>555</v>
      </c>
      <c r="G2" s="48"/>
      <c r="H2" s="50" t="str">
        <f>IF($B2="","",IF($J2="X",B2,CONCATENATE(VLOOKUP(B2,Competitors!$A$2:$I$650,3, FALSE)," ",VLOOKUP(B2,Competitors!$A$2:$I$650,2,FALSE))))</f>
        <v>Steven Latham</v>
      </c>
      <c r="I2" s="51">
        <f t="shared" ref="I2:I65" si="1">IF(LEFT($F2,1)="D",UPPER($F2),(C2*3600+D2*60+E2)/86400)</f>
        <v>5.2141203703703703E-2</v>
      </c>
      <c r="J2" t="str">
        <f t="shared" ref="J2:J65" si="2">IF(OR(B2="",ISNUMBER(B2)),"","X")</f>
        <v/>
      </c>
    </row>
    <row r="3" spans="1:10" ht="14.25" x14ac:dyDescent="0.15">
      <c r="A3" s="56" t="s">
        <v>453</v>
      </c>
      <c r="B3" s="47">
        <f t="shared" si="0"/>
        <v>1404</v>
      </c>
      <c r="C3" s="48">
        <v>1</v>
      </c>
      <c r="D3" s="48">
        <v>19</v>
      </c>
      <c r="E3" s="48">
        <v>49</v>
      </c>
      <c r="F3" s="48"/>
      <c r="G3" s="48"/>
      <c r="H3" s="50" t="str">
        <f>IF($B3="","",IF($J3="X",B3,CONCATENATE(VLOOKUP(B3,Competitors!$A$2:$I$650,3,FALSE)," ",VLOOKUP(B3,Competitors!$A$2:$I$650,2,FALSE))))</f>
        <v>Millie Lenehan</v>
      </c>
      <c r="I3" s="51">
        <f t="shared" si="1"/>
        <v>5.5428240740740743E-2</v>
      </c>
      <c r="J3" t="str">
        <f t="shared" si="2"/>
        <v/>
      </c>
    </row>
    <row r="4" spans="1:10" ht="14.25" x14ac:dyDescent="0.15">
      <c r="A4" s="56" t="s">
        <v>447</v>
      </c>
      <c r="B4" s="47">
        <f t="shared" si="0"/>
        <v>1379</v>
      </c>
      <c r="C4" s="48">
        <v>1</v>
      </c>
      <c r="D4" s="48">
        <v>13</v>
      </c>
      <c r="E4" s="48">
        <v>5</v>
      </c>
      <c r="F4" s="48" t="s">
        <v>555</v>
      </c>
      <c r="G4" s="48"/>
      <c r="H4" s="50" t="str">
        <f>IF($B4="","",IF($J4="X",B4,CONCATENATE(VLOOKUP(B4,Competitors!$A$2:$I$650,3,FALSE)," ",VLOOKUP(B4,Competitors!$A$2:$I$650,2,FALSE))))</f>
        <v>Michaela Latham</v>
      </c>
      <c r="I4" s="51">
        <f t="shared" si="1"/>
        <v>5.0752314814814813E-2</v>
      </c>
      <c r="J4" t="str">
        <f t="shared" si="2"/>
        <v/>
      </c>
    </row>
    <row r="5" spans="1:10" ht="14.25" x14ac:dyDescent="0.15">
      <c r="A5" s="56" t="s">
        <v>533</v>
      </c>
      <c r="B5" s="47" t="str">
        <f t="shared" si="0"/>
        <v>Lynne Wilkinson-Scofield (RFW)</v>
      </c>
      <c r="C5" s="48">
        <v>1</v>
      </c>
      <c r="D5" s="48">
        <v>14</v>
      </c>
      <c r="E5" s="48">
        <v>51</v>
      </c>
      <c r="F5" s="48"/>
      <c r="G5" s="48"/>
      <c r="H5" s="50" t="str">
        <f>IF($B5="","",IF($J5="X",B5,CONCATENATE(VLOOKUP(B5,Competitors!$A$2:$I$650,3,FALSE)," ",VLOOKUP(B5,Competitors!$A$2:$I$650,2,FALSE))))</f>
        <v>Lynne Wilkinson-Scofield (RFW)</v>
      </c>
      <c r="I5" s="51">
        <f t="shared" si="1"/>
        <v>5.1979166666666667E-2</v>
      </c>
      <c r="J5" t="str">
        <f t="shared" si="2"/>
        <v>X</v>
      </c>
    </row>
    <row r="6" spans="1:10" ht="14.25" x14ac:dyDescent="0.15">
      <c r="A6" s="56" t="s">
        <v>419</v>
      </c>
      <c r="B6" s="47">
        <f t="shared" si="0"/>
        <v>1355</v>
      </c>
      <c r="C6" s="48">
        <v>1</v>
      </c>
      <c r="D6" s="48">
        <v>4</v>
      </c>
      <c r="E6" s="48">
        <v>9</v>
      </c>
      <c r="F6" s="48" t="s">
        <v>555</v>
      </c>
      <c r="G6" s="48"/>
      <c r="H6" s="50" t="str">
        <f>IF($B6="","",IF($J6="X",B6,CONCATENATE(VLOOKUP(B6,Competitors!$A$2:$I$650,3,FALSE)," ",VLOOKUP(B6,Competitors!$A$2:$I$650,2,FALSE))))</f>
        <v>Aubrey Elmer</v>
      </c>
      <c r="I6" s="51">
        <f t="shared" si="1"/>
        <v>4.4548611111111108E-2</v>
      </c>
      <c r="J6" t="str">
        <f t="shared" si="2"/>
        <v/>
      </c>
    </row>
    <row r="7" spans="1:10" ht="14.25" x14ac:dyDescent="0.15">
      <c r="A7" s="56" t="s">
        <v>432</v>
      </c>
      <c r="B7" s="47">
        <f t="shared" si="0"/>
        <v>1403</v>
      </c>
      <c r="C7" s="48">
        <v>1</v>
      </c>
      <c r="D7" s="48">
        <v>8</v>
      </c>
      <c r="E7" s="48">
        <v>42</v>
      </c>
      <c r="F7" s="48"/>
      <c r="G7" s="48"/>
      <c r="H7" s="50" t="str">
        <f>IF($B7="","",IF($J7="X",B7,CONCATENATE(VLOOKUP(B7,Competitors!$A$2:$I$650,3,FALSE)," ",VLOOKUP(B7,Competitors!$A$2:$I$650,2,FALSE))))</f>
        <v>Toby Lenehan</v>
      </c>
      <c r="I7" s="51">
        <f t="shared" si="1"/>
        <v>4.7708333333333332E-2</v>
      </c>
      <c r="J7" t="str">
        <f t="shared" si="2"/>
        <v/>
      </c>
    </row>
    <row r="8" spans="1:10" ht="14.25" x14ac:dyDescent="0.15">
      <c r="A8" s="56" t="s">
        <v>581</v>
      </c>
      <c r="B8" s="47" t="str">
        <f t="shared" si="0"/>
        <v>Charlie Hoyle</v>
      </c>
      <c r="C8" s="48"/>
      <c r="D8" s="48"/>
      <c r="E8" s="48"/>
      <c r="F8" s="48"/>
      <c r="G8" s="48" t="s">
        <v>564</v>
      </c>
      <c r="H8" s="50" t="str">
        <f>IF($B8="","",IF($J8="X",B8,CONCATENATE(VLOOKUP(B8,Competitors!$A$2:$I$650,3,FALSE)," ",VLOOKUP(B8,Competitors!$A$2:$I$650,2,FALSE))))</f>
        <v>Charlie Hoyle</v>
      </c>
      <c r="I8" s="51">
        <f t="shared" si="1"/>
        <v>0</v>
      </c>
      <c r="J8" t="str">
        <f t="shared" si="2"/>
        <v>X</v>
      </c>
    </row>
    <row r="9" spans="1:10" ht="14.25" x14ac:dyDescent="0.15">
      <c r="A9" s="56" t="s">
        <v>438</v>
      </c>
      <c r="B9" s="47">
        <f t="shared" si="0"/>
        <v>1195</v>
      </c>
      <c r="C9" s="48">
        <v>1</v>
      </c>
      <c r="D9" s="48">
        <v>10</v>
      </c>
      <c r="E9" s="48">
        <v>48</v>
      </c>
      <c r="F9" s="48" t="s">
        <v>555</v>
      </c>
      <c r="G9" s="48"/>
      <c r="H9" s="50" t="str">
        <f>IF($B9="","",IF($J9="X",B9,CONCATENATE(VLOOKUP(B9,Competitors!$A$2:$I$650,3,FALSE)," ",VLOOKUP(B9,Competitors!$A$2:$I$650,2,FALSE))))</f>
        <v>Charlie Hardwicke</v>
      </c>
      <c r="I9" s="51">
        <f t="shared" si="1"/>
        <v>4.9166666666666664E-2</v>
      </c>
      <c r="J9" t="str">
        <f t="shared" si="2"/>
        <v/>
      </c>
    </row>
    <row r="10" spans="1:10" ht="14.25" x14ac:dyDescent="0.15">
      <c r="A10" s="56" t="s">
        <v>444</v>
      </c>
      <c r="B10" s="47">
        <f t="shared" si="0"/>
        <v>1193</v>
      </c>
      <c r="C10" s="48">
        <v>1</v>
      </c>
      <c r="D10" s="48">
        <v>11</v>
      </c>
      <c r="E10" s="48">
        <v>12</v>
      </c>
      <c r="F10" s="48" t="s">
        <v>555</v>
      </c>
      <c r="G10" s="48"/>
      <c r="H10" s="50" t="str">
        <f>IF($B10="","",IF($J10="X",B10,CONCATENATE(VLOOKUP(B10,Competitors!$A$2:$I$650,3, FALSE)," ",VLOOKUP(B10,Competitors!$A$2:$I$650,2,FALSE))))</f>
        <v>Richard Hardwicke</v>
      </c>
      <c r="I10" s="51">
        <f t="shared" si="1"/>
        <v>4.9444444444444444E-2</v>
      </c>
      <c r="J10" t="str">
        <f t="shared" si="2"/>
        <v/>
      </c>
    </row>
    <row r="11" spans="1:10" ht="14.25" x14ac:dyDescent="0.15">
      <c r="A11" s="56" t="s">
        <v>418</v>
      </c>
      <c r="B11" s="47">
        <f t="shared" si="0"/>
        <v>1152</v>
      </c>
      <c r="C11" s="48">
        <v>1</v>
      </c>
      <c r="D11" s="48">
        <v>4</v>
      </c>
      <c r="E11" s="48">
        <v>3</v>
      </c>
      <c r="F11" s="48"/>
      <c r="G11" s="48"/>
      <c r="H11" s="50" t="str">
        <f>IF($B11="","",IF($J11="X",B11,CONCATENATE(VLOOKUP(B11,Competitors!$A$2:$I$650,3,FALSE)," ",VLOOKUP(B11,Competitors!$A$2:$I$650,2,FALSE))))</f>
        <v>Ruby Isaac</v>
      </c>
      <c r="I11" s="51">
        <f t="shared" si="1"/>
        <v>4.4479166666666667E-2</v>
      </c>
      <c r="J11" t="str">
        <f t="shared" si="2"/>
        <v/>
      </c>
    </row>
    <row r="12" spans="1:10" ht="14.25" x14ac:dyDescent="0.15">
      <c r="A12" s="56" t="s">
        <v>443</v>
      </c>
      <c r="B12" s="47">
        <f t="shared" si="0"/>
        <v>564</v>
      </c>
      <c r="C12" s="48"/>
      <c r="D12" s="48"/>
      <c r="E12" s="48"/>
      <c r="F12" s="48"/>
      <c r="G12" s="48" t="s">
        <v>568</v>
      </c>
      <c r="H12" s="50" t="str">
        <f>IF($B12="","",IF($J12="X",B12,CONCATENATE(VLOOKUP(B12,Competitors!$A$2:$I$650,3,FALSE)," ",VLOOKUP(B12,Competitors!$A$2:$I$650,2,FALSE))))</f>
        <v>Ian Murdey</v>
      </c>
      <c r="I12" s="51">
        <f t="shared" si="1"/>
        <v>0</v>
      </c>
      <c r="J12" t="str">
        <f t="shared" si="2"/>
        <v/>
      </c>
    </row>
    <row r="13" spans="1:10" ht="14.25" x14ac:dyDescent="0.15">
      <c r="A13" s="56" t="s">
        <v>442</v>
      </c>
      <c r="B13" s="47">
        <f t="shared" si="0"/>
        <v>1254</v>
      </c>
      <c r="C13" s="48">
        <v>1</v>
      </c>
      <c r="D13" s="48">
        <v>6</v>
      </c>
      <c r="E13" s="48">
        <v>55</v>
      </c>
      <c r="F13" s="48"/>
      <c r="G13" s="48"/>
      <c r="H13" s="50" t="str">
        <f>IF($B13="","",IF($J13="X",B13,CONCATENATE(VLOOKUP(B13,Competitors!$A$2:$I$650,3,FALSE)," ",VLOOKUP(B13,Competitors!$A$2:$I$650,2,FALSE))))</f>
        <v>Paul White</v>
      </c>
      <c r="I13" s="51">
        <f t="shared" si="1"/>
        <v>4.6469907407407404E-2</v>
      </c>
      <c r="J13" t="str">
        <f t="shared" si="2"/>
        <v/>
      </c>
    </row>
    <row r="14" spans="1:10" ht="14.25" x14ac:dyDescent="0.15">
      <c r="A14" s="56" t="s">
        <v>423</v>
      </c>
      <c r="B14" s="47">
        <f t="shared" si="0"/>
        <v>1407</v>
      </c>
      <c r="C14" s="48"/>
      <c r="D14" s="48"/>
      <c r="E14" s="48"/>
      <c r="F14" s="48" t="s">
        <v>555</v>
      </c>
      <c r="G14" s="48" t="s">
        <v>564</v>
      </c>
      <c r="H14" s="50" t="str">
        <f>IF($B14="","",IF($J14="X",B14,CONCATENATE(VLOOKUP(B14,Competitors!$A$2:$I$650,3,FALSE)," ",VLOOKUP(B14,Competitors!$A$2:$I$650,2,FALSE))))</f>
        <v>Colin Dobson</v>
      </c>
      <c r="I14" s="51">
        <f t="shared" si="1"/>
        <v>0</v>
      </c>
      <c r="J14" t="str">
        <f t="shared" si="2"/>
        <v/>
      </c>
    </row>
    <row r="15" spans="1:10" ht="14.25" x14ac:dyDescent="0.15">
      <c r="A15" s="56" t="s">
        <v>437</v>
      </c>
      <c r="B15" s="47">
        <f t="shared" si="0"/>
        <v>203</v>
      </c>
      <c r="C15" s="48">
        <v>1</v>
      </c>
      <c r="D15" s="48">
        <v>9</v>
      </c>
      <c r="E15" s="48">
        <v>13</v>
      </c>
      <c r="F15" s="48"/>
      <c r="G15" s="48"/>
      <c r="H15" s="50" t="str">
        <f>IF($B15="","",IF($J15="X",B15,CONCATENATE(VLOOKUP(B15,Competitors!$A$2:$I$650,3,FALSE)," ",VLOOKUP(B15,Competitors!$A$2:$I$650,2,FALSE))))</f>
        <v>Adrian Killworth</v>
      </c>
      <c r="I15" s="51">
        <f t="shared" si="1"/>
        <v>4.8067129629629626E-2</v>
      </c>
      <c r="J15" t="str">
        <f t="shared" si="2"/>
        <v/>
      </c>
    </row>
    <row r="16" spans="1:10" ht="14.25" x14ac:dyDescent="0.15">
      <c r="A16" s="56" t="s">
        <v>428</v>
      </c>
      <c r="B16" s="47">
        <f t="shared" si="0"/>
        <v>915</v>
      </c>
      <c r="C16" s="48">
        <v>1</v>
      </c>
      <c r="D16" s="48">
        <v>3</v>
      </c>
      <c r="E16" s="48">
        <v>41</v>
      </c>
      <c r="F16" s="48"/>
      <c r="G16" s="48"/>
      <c r="H16" s="50" t="str">
        <f>IF($B16="","",IF($J16="X",B16,CONCATENATE(VLOOKUP(B16,Competitors!$A$2:$I$650,3,FALSE)," ",VLOOKUP(B16,Competitors!$A$2:$I$650,2,FALSE))))</f>
        <v>Julian Twynham</v>
      </c>
      <c r="I16" s="51">
        <f t="shared" si="1"/>
        <v>4.4224537037037034E-2</v>
      </c>
      <c r="J16" t="str">
        <f t="shared" si="2"/>
        <v/>
      </c>
    </row>
    <row r="17" spans="1:10" ht="14.25" x14ac:dyDescent="0.15">
      <c r="A17" s="56" t="s">
        <v>440</v>
      </c>
      <c r="B17" s="47">
        <f t="shared" si="0"/>
        <v>23</v>
      </c>
      <c r="C17" s="48">
        <v>1</v>
      </c>
      <c r="D17" s="48">
        <v>10</v>
      </c>
      <c r="E17" s="48">
        <v>33</v>
      </c>
      <c r="F17" s="48"/>
      <c r="G17" s="48"/>
      <c r="H17" s="50" t="str">
        <f>IF($B17="","",IF($J17="X",B17,CONCATENATE(VLOOKUP(B17,Competitors!$A$2:$I$650,3,FALSE)," ",VLOOKUP(B17,Competitors!$A$2:$I$650,2,FALSE))))</f>
        <v>Chris Hyde</v>
      </c>
      <c r="I17" s="51">
        <f t="shared" si="1"/>
        <v>4.8993055555555554E-2</v>
      </c>
      <c r="J17" t="str">
        <f t="shared" si="2"/>
        <v/>
      </c>
    </row>
    <row r="18" spans="1:10" ht="14.25" x14ac:dyDescent="0.15">
      <c r="A18" s="56" t="s">
        <v>522</v>
      </c>
      <c r="B18" s="47" t="str">
        <f t="shared" si="0"/>
        <v>Steve Pearce (Ratae)</v>
      </c>
      <c r="C18" s="48">
        <v>1</v>
      </c>
      <c r="D18" s="48">
        <v>8</v>
      </c>
      <c r="E18" s="48">
        <v>32</v>
      </c>
      <c r="F18" s="48"/>
      <c r="G18" s="48"/>
      <c r="H18" s="50" t="str">
        <f>IF($B18="","",IF($J18="X",B18,CONCATENATE(VLOOKUP(B18,Competitors!$A$2:$I$650,3,FALSE)," ",VLOOKUP(B18,Competitors!$A$2:$I$650,2,FALSE))))</f>
        <v>Steve Pearce (Ratae)</v>
      </c>
      <c r="I18" s="51">
        <f t="shared" si="1"/>
        <v>4.7592592592592596E-2</v>
      </c>
      <c r="J18" t="str">
        <f t="shared" si="2"/>
        <v>X</v>
      </c>
    </row>
    <row r="19" spans="1:10" ht="14.25" x14ac:dyDescent="0.15">
      <c r="A19" s="56" t="s">
        <v>431</v>
      </c>
      <c r="B19" s="47">
        <f t="shared" si="0"/>
        <v>616</v>
      </c>
      <c r="C19" s="48">
        <v>1</v>
      </c>
      <c r="D19" s="48">
        <v>11</v>
      </c>
      <c r="E19" s="48">
        <v>12</v>
      </c>
      <c r="F19" s="48"/>
      <c r="G19" s="48"/>
      <c r="H19" s="50" t="str">
        <f>IF($B19="","",IF($J19="X",B19,CONCATENATE(VLOOKUP(B19,Competitors!$A$2:$I$650,3,FALSE)," ",VLOOKUP(B19,Competitors!$A$2:$I$650,2,FALSE))))</f>
        <v>Simon Ward</v>
      </c>
      <c r="I19" s="51">
        <f t="shared" si="1"/>
        <v>4.9444444444444444E-2</v>
      </c>
      <c r="J19" t="str">
        <f t="shared" si="2"/>
        <v/>
      </c>
    </row>
    <row r="20" spans="1:10" ht="14.25" x14ac:dyDescent="0.15">
      <c r="A20" s="56" t="s">
        <v>460</v>
      </c>
      <c r="B20" s="47">
        <f t="shared" si="0"/>
        <v>715</v>
      </c>
      <c r="C20" s="48">
        <v>1</v>
      </c>
      <c r="D20" s="48">
        <v>12</v>
      </c>
      <c r="E20" s="48">
        <v>19</v>
      </c>
      <c r="F20" s="48"/>
      <c r="G20" s="48"/>
      <c r="H20" s="50" t="str">
        <f>IF($B20="","",IF($J20="X",B20,CONCATENATE(VLOOKUP(B20,Competitors!$A$2:$I$650,3,FALSE)," ",VLOOKUP(B20,Competitors!$A$2:$I$650,2,FALSE))))</f>
        <v>Steven Coulam</v>
      </c>
      <c r="I20" s="51">
        <f t="shared" si="1"/>
        <v>5.0219907407407408E-2</v>
      </c>
      <c r="J20" t="str">
        <f t="shared" si="2"/>
        <v/>
      </c>
    </row>
    <row r="21" spans="1:10" ht="14.25" x14ac:dyDescent="0.15">
      <c r="A21" s="56" t="s">
        <v>412</v>
      </c>
      <c r="B21" s="47">
        <f t="shared" si="0"/>
        <v>407</v>
      </c>
      <c r="C21" s="48">
        <v>0</v>
      </c>
      <c r="D21" s="48">
        <v>57</v>
      </c>
      <c r="E21" s="48">
        <v>21</v>
      </c>
      <c r="F21" s="48"/>
      <c r="G21" s="48"/>
      <c r="H21" s="50" t="str">
        <f>IF($B21="","",IF($J21="X",B21,CONCATENATE(VLOOKUP(B21,Competitors!$A$2:$I$650,3,FALSE)," ",VLOOKUP(B21,Competitors!$A$2:$I$650,2,FALSE))))</f>
        <v>Hans van Nierop</v>
      </c>
      <c r="I21" s="51">
        <f t="shared" si="1"/>
        <v>3.982638888888889E-2</v>
      </c>
      <c r="J21" t="str">
        <f t="shared" si="2"/>
        <v/>
      </c>
    </row>
    <row r="22" spans="1:10" ht="14.25" x14ac:dyDescent="0.15">
      <c r="A22" s="56" t="s">
        <v>458</v>
      </c>
      <c r="B22" s="47">
        <f t="shared" si="0"/>
        <v>967</v>
      </c>
      <c r="C22" s="48"/>
      <c r="D22" s="48"/>
      <c r="E22" s="48"/>
      <c r="F22" s="48" t="s">
        <v>555</v>
      </c>
      <c r="G22" s="48" t="s">
        <v>564</v>
      </c>
      <c r="H22" s="50" t="str">
        <f>IF($B22="","",IF($J22="X",B22,CONCATENATE(VLOOKUP(B22,Competitors!$A$2:$I$650,3,FALSE)," ",VLOOKUP(B22,Competitors!$A$2:$I$650,2,FALSE))))</f>
        <v>Daniel McDonnell</v>
      </c>
      <c r="I22" s="51">
        <f t="shared" si="1"/>
        <v>0</v>
      </c>
      <c r="J22" t="str">
        <f t="shared" si="2"/>
        <v/>
      </c>
    </row>
    <row r="23" spans="1:10" ht="14.25" x14ac:dyDescent="0.15">
      <c r="A23" s="56" t="s">
        <v>433</v>
      </c>
      <c r="B23" s="47">
        <f t="shared" si="0"/>
        <v>1112</v>
      </c>
      <c r="C23" s="48">
        <v>1</v>
      </c>
      <c r="D23" s="48">
        <v>7</v>
      </c>
      <c r="E23" s="48">
        <v>7</v>
      </c>
      <c r="F23" s="48"/>
      <c r="G23" s="48"/>
      <c r="H23" s="50" t="str">
        <f>IF($B23="","",IF($J23="X",B23,CONCATENATE(VLOOKUP(B23,Competitors!$A$2:$I$650,3,FALSE)," ",VLOOKUP(B23,Competitors!$A$2:$I$650,2,FALSE))))</f>
        <v>Gary Ashwell</v>
      </c>
      <c r="I23" s="51">
        <f t="shared" si="1"/>
        <v>4.6608796296296294E-2</v>
      </c>
      <c r="J23" t="str">
        <f t="shared" si="2"/>
        <v/>
      </c>
    </row>
    <row r="24" spans="1:10" ht="14.25" x14ac:dyDescent="0.15">
      <c r="A24" s="56" t="s">
        <v>413</v>
      </c>
      <c r="B24" s="47">
        <f t="shared" si="0"/>
        <v>1144</v>
      </c>
      <c r="C24" s="48">
        <v>1</v>
      </c>
      <c r="D24" s="48">
        <v>1</v>
      </c>
      <c r="E24" s="48">
        <v>27</v>
      </c>
      <c r="F24" s="48" t="s">
        <v>555</v>
      </c>
      <c r="G24" s="48"/>
      <c r="H24" s="50" t="str">
        <f>IF($B24="","",IF($J24="X",B24,CONCATENATE(VLOOKUP(B24,Competitors!$A$2:$I$650,3,FALSE)," ",VLOOKUP(B24,Competitors!$A$2:$I$650,2,FALSE))))</f>
        <v>Jamie Kershaw</v>
      </c>
      <c r="I24" s="51">
        <f t="shared" si="1"/>
        <v>4.2673611111111114E-2</v>
      </c>
      <c r="J24" t="str">
        <f t="shared" si="2"/>
        <v/>
      </c>
    </row>
    <row r="25" spans="1:10" ht="14.25" x14ac:dyDescent="0.15">
      <c r="A25" s="56" t="s">
        <v>422</v>
      </c>
      <c r="B25" s="47">
        <f t="shared" si="0"/>
        <v>415</v>
      </c>
      <c r="C25" s="48">
        <v>1</v>
      </c>
      <c r="D25" s="48">
        <v>4</v>
      </c>
      <c r="E25" s="48">
        <v>18</v>
      </c>
      <c r="F25" s="48" t="s">
        <v>555</v>
      </c>
      <c r="G25" s="48"/>
      <c r="H25" s="50" t="str">
        <f>IF($B25="","",IF($J25="X",B25,CONCATENATE(VLOOKUP(B25,Competitors!$A$2:$I$650,3,FALSE)," ",VLOOKUP(B25,Competitors!$A$2:$I$650,2,FALSE))))</f>
        <v>Nik Kershaw</v>
      </c>
      <c r="I25" s="51">
        <f t="shared" si="1"/>
        <v>4.4652777777777777E-2</v>
      </c>
      <c r="J25" t="str">
        <f t="shared" si="2"/>
        <v/>
      </c>
    </row>
    <row r="26" spans="1:10" ht="14.25" x14ac:dyDescent="0.15">
      <c r="A26" s="56" t="s">
        <v>416</v>
      </c>
      <c r="B26" s="47">
        <f t="shared" si="0"/>
        <v>1161</v>
      </c>
      <c r="C26" s="48">
        <v>1</v>
      </c>
      <c r="D26" s="48">
        <v>1</v>
      </c>
      <c r="E26" s="48">
        <v>1</v>
      </c>
      <c r="F26" s="48"/>
      <c r="G26" s="48"/>
      <c r="H26" s="50" t="str">
        <f>IF($B26="","",IF($J26="X",B26,CONCATENATE(VLOOKUP(B26,Competitors!$A$2:$I$650,3,FALSE)," ",VLOOKUP(B26,Competitors!$A$2:$I$650,2,FALSE))))</f>
        <v>Maciej Suchocki</v>
      </c>
      <c r="I26" s="51">
        <f t="shared" si="1"/>
        <v>4.2372685185185187E-2</v>
      </c>
      <c r="J26" t="str">
        <f t="shared" si="2"/>
        <v/>
      </c>
    </row>
    <row r="27" spans="1:10" ht="14.25" x14ac:dyDescent="0.15">
      <c r="A27" s="56" t="s">
        <v>427</v>
      </c>
      <c r="B27" s="47">
        <f t="shared" si="0"/>
        <v>1055</v>
      </c>
      <c r="C27" s="48">
        <v>1</v>
      </c>
      <c r="D27" s="48">
        <v>5</v>
      </c>
      <c r="E27" s="48">
        <v>17</v>
      </c>
      <c r="F27" s="48"/>
      <c r="G27" s="48"/>
      <c r="H27" s="50" t="str">
        <f>IF($B27="","",IF($J27="X",B27,CONCATENATE(VLOOKUP(B27,Competitors!$A$2:$I$650,3,FALSE)," ",VLOOKUP(B27,Competitors!$A$2:$I$650,2,FALSE))))</f>
        <v>Austin Smith</v>
      </c>
      <c r="I27" s="51">
        <f t="shared" si="1"/>
        <v>4.5335648148148146E-2</v>
      </c>
      <c r="J27" t="str">
        <f t="shared" si="2"/>
        <v/>
      </c>
    </row>
    <row r="28" spans="1:10" ht="14.25" x14ac:dyDescent="0.15">
      <c r="A28" s="56" t="s">
        <v>415</v>
      </c>
      <c r="B28" s="47">
        <f t="shared" si="0"/>
        <v>699</v>
      </c>
      <c r="C28" s="48">
        <v>1</v>
      </c>
      <c r="D28" s="48">
        <v>1</v>
      </c>
      <c r="E28" s="48">
        <v>3</v>
      </c>
      <c r="F28" s="48"/>
      <c r="G28" s="48"/>
      <c r="H28" s="50" t="str">
        <f>IF($B28="","",IF($J28="X",B28,CONCATENATE(VLOOKUP(B28,Competitors!$A$2:$I$650,3,FALSE)," ",VLOOKUP(B28,Competitors!$A$2:$I$650,2,FALSE))))</f>
        <v>Jonathan Durnin</v>
      </c>
      <c r="I28" s="51">
        <f t="shared" si="1"/>
        <v>4.2395833333333334E-2</v>
      </c>
      <c r="J28" t="str">
        <f t="shared" si="2"/>
        <v/>
      </c>
    </row>
    <row r="29" spans="1:10" ht="14.25" x14ac:dyDescent="0.15">
      <c r="A29" s="56" t="s">
        <v>436</v>
      </c>
      <c r="B29" s="47">
        <f t="shared" si="0"/>
        <v>846</v>
      </c>
      <c r="C29" s="48">
        <v>1</v>
      </c>
      <c r="D29" s="48">
        <v>8</v>
      </c>
      <c r="E29" s="48">
        <v>3</v>
      </c>
      <c r="F29" s="48"/>
      <c r="G29" s="48"/>
      <c r="H29" s="50" t="str">
        <f>IF($B29="","",IF($J29="X",B29,CONCATENATE(VLOOKUP(B29,Competitors!$A$2:$I$650,3,FALSE)," ",VLOOKUP(B29,Competitors!$A$2:$I$650,2,FALSE))))</f>
        <v>Roger Kockelbergh</v>
      </c>
      <c r="I29" s="51">
        <f t="shared" si="1"/>
        <v>4.7256944444444442E-2</v>
      </c>
      <c r="J29" t="str">
        <f t="shared" si="2"/>
        <v/>
      </c>
    </row>
    <row r="30" spans="1:10" ht="14.25" x14ac:dyDescent="0.15">
      <c r="A30" s="46" t="s">
        <v>582</v>
      </c>
      <c r="B30" s="47" t="str">
        <f t="shared" si="0"/>
        <v>Linda Thomas</v>
      </c>
      <c r="C30" s="48">
        <v>1</v>
      </c>
      <c r="D30" s="48">
        <v>10</v>
      </c>
      <c r="E30" s="48">
        <v>40</v>
      </c>
      <c r="F30" s="48"/>
      <c r="G30" s="48"/>
      <c r="H30" s="50" t="str">
        <f>IF($B30="","",IF($J30="X",B30,CONCATENATE(VLOOKUP(B30,Competitors!$A$2:$I$650,3,FALSE)," ",VLOOKUP(B30,Competitors!$A$2:$I$650,2,FALSE))))</f>
        <v>Linda Thomas</v>
      </c>
      <c r="I30" s="51">
        <f t="shared" si="1"/>
        <v>4.9074074074074076E-2</v>
      </c>
      <c r="J30" t="str">
        <f t="shared" si="2"/>
        <v>X</v>
      </c>
    </row>
    <row r="31" spans="1:10" ht="14.25" x14ac:dyDescent="0.15">
      <c r="A31" s="46" t="s">
        <v>537</v>
      </c>
      <c r="B31" s="47" t="str">
        <f t="shared" si="0"/>
        <v>Phil Wilkinson (RFW)</v>
      </c>
      <c r="C31" s="48">
        <v>1</v>
      </c>
      <c r="D31" s="48">
        <v>1</v>
      </c>
      <c r="E31" s="48">
        <v>41</v>
      </c>
      <c r="F31" s="48"/>
      <c r="G31" s="48"/>
      <c r="H31" s="50" t="str">
        <f>IF($B31="","",IF($J31="X",B31,CONCATENATE(VLOOKUP(B31,Competitors!$A$2:$I$650,3,FALSE)," ",VLOOKUP(B31,Competitors!$A$2:$I$650,2,FALSE))))</f>
        <v>Phil Wilkinson (RFW)</v>
      </c>
      <c r="I31" s="51">
        <f t="shared" si="1"/>
        <v>4.283564814814815E-2</v>
      </c>
      <c r="J31" t="str">
        <f t="shared" si="2"/>
        <v>X</v>
      </c>
    </row>
    <row r="32" spans="1:10" ht="14.25" x14ac:dyDescent="0.15">
      <c r="A32" s="46" t="s">
        <v>411</v>
      </c>
      <c r="B32" s="47">
        <f t="shared" si="0"/>
        <v>747</v>
      </c>
      <c r="C32" s="48"/>
      <c r="D32" s="48">
        <v>58</v>
      </c>
      <c r="E32" s="48">
        <v>0</v>
      </c>
      <c r="F32" s="48"/>
      <c r="G32" s="48"/>
      <c r="H32" s="50" t="str">
        <f>IF($B32="","",IF($J32="X",B32,CONCATENATE(VLOOKUP(B32,Competitors!$A$2:$I$650,3,FALSE)," ",VLOOKUP(B32,Competitors!$A$2:$I$650,2,FALSE))))</f>
        <v>James Moore</v>
      </c>
      <c r="I32" s="51">
        <f t="shared" si="1"/>
        <v>4.027777777777778E-2</v>
      </c>
      <c r="J32" t="str">
        <f t="shared" si="2"/>
        <v/>
      </c>
    </row>
    <row r="33" spans="1:10" ht="14.25" x14ac:dyDescent="0.15">
      <c r="A33" s="46"/>
      <c r="B33" s="47" t="str">
        <f t="shared" si="0"/>
        <v/>
      </c>
      <c r="C33" s="48"/>
      <c r="D33" s="48"/>
      <c r="E33" s="48"/>
      <c r="F33" s="48"/>
      <c r="G33" s="48"/>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8"/>
      <c r="E35" s="48"/>
      <c r="F35" s="48"/>
      <c r="G35" s="48"/>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8"/>
      <c r="E36" s="48"/>
      <c r="F36" s="48"/>
      <c r="G36" s="48"/>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8"/>
      <c r="E37" s="48"/>
      <c r="F37" s="48"/>
      <c r="G37" s="48"/>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8"/>
      <c r="E38" s="48"/>
      <c r="F38" s="48"/>
      <c r="G38" s="48"/>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8"/>
      <c r="E39" s="48"/>
      <c r="F39" s="48"/>
      <c r="G39" s="48"/>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8"/>
      <c r="E40" s="48"/>
      <c r="F40" s="48"/>
      <c r="G40" s="48"/>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8"/>
      <c r="E41" s="48"/>
      <c r="F41" s="48"/>
      <c r="G41" s="48"/>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8"/>
      <c r="E42" s="48"/>
      <c r="F42" s="48"/>
      <c r="G42" s="48"/>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8"/>
      <c r="E43" s="48"/>
      <c r="F43" s="48"/>
      <c r="G43" s="48"/>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8"/>
      <c r="E44" s="48"/>
      <c r="F44" s="48"/>
      <c r="G44" s="48"/>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8"/>
      <c r="E45" s="48"/>
      <c r="F45" s="48"/>
      <c r="G45" s="48"/>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8"/>
      <c r="E46" s="48"/>
      <c r="F46" s="48"/>
      <c r="G46" s="48"/>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election activeCell="F1" sqref="F1"/>
    </sheetView>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5" x14ac:dyDescent="0.15">
      <c r="A2" s="57" t="s">
        <v>454</v>
      </c>
      <c r="B2" s="47">
        <f t="shared" ref="B2:B33" si="0">IF(A2="","",_xlfn.XLOOKUP(A2,ClubNames,ClubNumbers,_xlfn.XLOOKUP(A2,RoundRobinRiderNames,RoundRobinRiderDecoratedNames,A2)))</f>
        <v>990</v>
      </c>
      <c r="C2" s="48"/>
      <c r="D2" s="48">
        <v>31</v>
      </c>
      <c r="E2" s="48">
        <v>1</v>
      </c>
      <c r="F2" s="48" t="s">
        <v>555</v>
      </c>
      <c r="G2" s="48"/>
      <c r="H2" s="50" t="str">
        <f>IF($B2="","",IF($J2="X",B2,CONCATENATE(VLOOKUP(B2,Competitors!$A$2:$I$650,3, FALSE)," ",VLOOKUP(B2,Competitors!$A$2:$I$650,2,FALSE))))</f>
        <v>Jennifer Hulme</v>
      </c>
      <c r="I2" s="51">
        <f t="shared" ref="I2:I65" si="1">IF(LEFT($F2,1)="D",UPPER($F2),(C2*3600+D2*60+E2)/86400)</f>
        <v>2.1539351851851851E-2</v>
      </c>
      <c r="J2" t="str">
        <f t="shared" ref="J2:J65" si="2">IF(OR(B2="",ISNUMBER(B2)),"","X")</f>
        <v/>
      </c>
    </row>
    <row r="3" spans="1:10" ht="15" x14ac:dyDescent="0.15">
      <c r="A3" s="57" t="s">
        <v>455</v>
      </c>
      <c r="B3" s="47">
        <f t="shared" si="0"/>
        <v>558</v>
      </c>
      <c r="C3" s="48"/>
      <c r="D3" s="48">
        <v>32</v>
      </c>
      <c r="E3" s="48">
        <v>27</v>
      </c>
      <c r="F3" s="48" t="s">
        <v>555</v>
      </c>
      <c r="G3" s="48"/>
      <c r="H3" s="50" t="str">
        <f>IF($B3="","",IF($J3="X",B3,CONCATENATE(VLOOKUP(B3,Competitors!$A$2:$I$650,3,FALSE)," ",VLOOKUP(B3,Competitors!$A$2:$I$650,2,FALSE))))</f>
        <v>Andrew Weatherby</v>
      </c>
      <c r="I3" s="51">
        <f t="shared" si="1"/>
        <v>2.2534722222222223E-2</v>
      </c>
      <c r="J3" t="str">
        <f t="shared" si="2"/>
        <v/>
      </c>
    </row>
    <row r="4" spans="1:10" ht="15" x14ac:dyDescent="0.15">
      <c r="A4" s="57" t="s">
        <v>461</v>
      </c>
      <c r="B4" s="47">
        <f t="shared" si="0"/>
        <v>742</v>
      </c>
      <c r="C4" s="48"/>
      <c r="D4" s="48">
        <v>29</v>
      </c>
      <c r="E4" s="48">
        <v>39</v>
      </c>
      <c r="F4" s="48" t="s">
        <v>555</v>
      </c>
      <c r="G4" s="48"/>
      <c r="H4" s="50" t="str">
        <f>IF($B4="","",IF($J4="X",B4,CONCATENATE(VLOOKUP(B4,Competitors!$A$2:$I$650,3,FALSE)," ",VLOOKUP(B4,Competitors!$A$2:$I$650,2,FALSE))))</f>
        <v>Claire Moore</v>
      </c>
      <c r="I4" s="51">
        <f t="shared" si="1"/>
        <v>2.0590277777777777E-2</v>
      </c>
      <c r="J4" t="str">
        <f t="shared" si="2"/>
        <v/>
      </c>
    </row>
    <row r="5" spans="1:10" ht="15" x14ac:dyDescent="0.15">
      <c r="A5" s="57" t="s">
        <v>448</v>
      </c>
      <c r="B5" s="47">
        <f t="shared" si="0"/>
        <v>1194</v>
      </c>
      <c r="C5" s="48"/>
      <c r="D5" s="48">
        <v>27</v>
      </c>
      <c r="E5" s="48">
        <v>37</v>
      </c>
      <c r="F5" s="48" t="s">
        <v>555</v>
      </c>
      <c r="G5" s="48"/>
      <c r="H5" s="50" t="str">
        <f>IF($B5="","",IF($J5="X",B5,CONCATENATE(VLOOKUP(B5,Competitors!$A$2:$I$650,3,FALSE)," ",VLOOKUP(B5,Competitors!$A$2:$I$650,2,FALSE))))</f>
        <v>Alex Hardwicke</v>
      </c>
      <c r="I5" s="51">
        <f t="shared" si="1"/>
        <v>1.9178240740740742E-2</v>
      </c>
      <c r="J5" t="str">
        <f t="shared" si="2"/>
        <v/>
      </c>
    </row>
    <row r="6" spans="1:10" ht="15" x14ac:dyDescent="0.15">
      <c r="A6" s="57" t="s">
        <v>458</v>
      </c>
      <c r="B6" s="47">
        <f t="shared" si="0"/>
        <v>967</v>
      </c>
      <c r="C6" s="48"/>
      <c r="D6" s="48">
        <v>23</v>
      </c>
      <c r="E6" s="48">
        <v>31</v>
      </c>
      <c r="F6" s="48" t="s">
        <v>555</v>
      </c>
      <c r="G6" s="48"/>
      <c r="H6" s="50" t="str">
        <f>IF($B6="","",IF($J6="X",B6,CONCATENATE(VLOOKUP(B6,Competitors!$A$2:$I$650,3,FALSE)," ",VLOOKUP(B6,Competitors!$A$2:$I$650,2,FALSE))))</f>
        <v>Daniel McDonnell</v>
      </c>
      <c r="I6" s="51">
        <f t="shared" si="1"/>
        <v>1.6331018518518519E-2</v>
      </c>
      <c r="J6" t="str">
        <f t="shared" si="2"/>
        <v/>
      </c>
    </row>
    <row r="7" spans="1:10" ht="15" x14ac:dyDescent="0.15">
      <c r="A7" s="57" t="s">
        <v>438</v>
      </c>
      <c r="B7" s="47">
        <f t="shared" si="0"/>
        <v>1195</v>
      </c>
      <c r="C7" s="48"/>
      <c r="D7" s="48">
        <v>25</v>
      </c>
      <c r="E7" s="48">
        <v>3</v>
      </c>
      <c r="F7" s="48" t="s">
        <v>555</v>
      </c>
      <c r="G7" s="48"/>
      <c r="H7" s="50" t="str">
        <f>IF($B7="","",IF($J7="X",B7,CONCATENATE(VLOOKUP(B7,Competitors!$A$2:$I$650,3,FALSE)," ",VLOOKUP(B7,Competitors!$A$2:$I$650,2,FALSE))))</f>
        <v>Charlie Hardwicke</v>
      </c>
      <c r="I7" s="51">
        <f t="shared" si="1"/>
        <v>1.7395833333333333E-2</v>
      </c>
      <c r="J7" t="str">
        <f t="shared" si="2"/>
        <v/>
      </c>
    </row>
    <row r="8" spans="1:10" ht="15" x14ac:dyDescent="0.15">
      <c r="A8" s="57" t="s">
        <v>462</v>
      </c>
      <c r="B8" s="47">
        <f t="shared" si="0"/>
        <v>7</v>
      </c>
      <c r="C8" s="48"/>
      <c r="D8" s="48">
        <v>30</v>
      </c>
      <c r="E8" s="48">
        <v>11</v>
      </c>
      <c r="F8" s="48" t="s">
        <v>555</v>
      </c>
      <c r="G8" s="48"/>
      <c r="H8" s="50" t="str">
        <f>IF($B8="","",IF($J8="X",B8,CONCATENATE(VLOOKUP(B8,Competitors!$A$2:$I$650,3,FALSE)," ",VLOOKUP(B8,Competitors!$A$2:$I$650,2,FALSE))))</f>
        <v>Vic Barnett</v>
      </c>
      <c r="I8" s="51">
        <f t="shared" si="1"/>
        <v>2.0960648148148148E-2</v>
      </c>
      <c r="J8" t="str">
        <f t="shared" si="2"/>
        <v/>
      </c>
    </row>
    <row r="9" spans="1:10" ht="15" x14ac:dyDescent="0.15">
      <c r="A9" s="57" t="s">
        <v>444</v>
      </c>
      <c r="B9" s="47">
        <f t="shared" si="0"/>
        <v>1193</v>
      </c>
      <c r="C9" s="48"/>
      <c r="D9" s="48">
        <v>25</v>
      </c>
      <c r="E9" s="48">
        <v>43</v>
      </c>
      <c r="F9" s="48" t="s">
        <v>555</v>
      </c>
      <c r="G9" s="48"/>
      <c r="H9" s="50" t="str">
        <f>IF($B9="","",IF($J9="X",B9,CONCATENATE(VLOOKUP(B9,Competitors!$A$2:$I$650,3,FALSE)," ",VLOOKUP(B9,Competitors!$A$2:$I$650,2,FALSE))))</f>
        <v>Richard Hardwicke</v>
      </c>
      <c r="I9" s="51">
        <f t="shared" si="1"/>
        <v>1.7858796296296296E-2</v>
      </c>
      <c r="J9" t="str">
        <f t="shared" si="2"/>
        <v/>
      </c>
    </row>
    <row r="10" spans="1:10" ht="15" x14ac:dyDescent="0.15">
      <c r="A10" s="57" t="s">
        <v>509</v>
      </c>
      <c r="B10" s="47" t="str">
        <f t="shared" si="0"/>
        <v>Chris Bonsor (Ratae)</v>
      </c>
      <c r="C10" s="48"/>
      <c r="D10" s="48">
        <v>25</v>
      </c>
      <c r="E10" s="48">
        <v>39</v>
      </c>
      <c r="F10" s="48" t="s">
        <v>555</v>
      </c>
      <c r="G10" s="48"/>
      <c r="H10" s="50" t="str">
        <f>IF($B10="","",IF($J10="X",B10,CONCATENATE(VLOOKUP(B10,Competitors!$A$2:$I$650,3, FALSE)," ",VLOOKUP(B10,Competitors!$A$2:$I$650,2,FALSE))))</f>
        <v>Chris Bonsor (Ratae)</v>
      </c>
      <c r="I10" s="51">
        <f t="shared" si="1"/>
        <v>1.7812499999999998E-2</v>
      </c>
      <c r="J10" t="str">
        <f t="shared" si="2"/>
        <v>X</v>
      </c>
    </row>
    <row r="11" spans="1:10" ht="15" x14ac:dyDescent="0.15">
      <c r="A11" s="57" t="s">
        <v>419</v>
      </c>
      <c r="B11" s="47">
        <f t="shared" si="0"/>
        <v>1355</v>
      </c>
      <c r="C11" s="48"/>
      <c r="D11" s="48">
        <v>23</v>
      </c>
      <c r="E11" s="48">
        <v>17</v>
      </c>
      <c r="F11" s="48" t="s">
        <v>555</v>
      </c>
      <c r="G11" s="48"/>
      <c r="H11" s="50" t="str">
        <f>IF($B11="","",IF($J11="X",B11,CONCATENATE(VLOOKUP(B11,Competitors!$A$2:$I$650,3,FALSE)," ",VLOOKUP(B11,Competitors!$A$2:$I$650,2,FALSE))))</f>
        <v>Aubrey Elmer</v>
      </c>
      <c r="I11" s="51">
        <f t="shared" si="1"/>
        <v>1.6168981481481482E-2</v>
      </c>
      <c r="J11" t="str">
        <f t="shared" si="2"/>
        <v/>
      </c>
    </row>
    <row r="12" spans="1:10" ht="15" x14ac:dyDescent="0.15">
      <c r="A12" s="57" t="s">
        <v>452</v>
      </c>
      <c r="B12" s="47">
        <f t="shared" si="0"/>
        <v>1244</v>
      </c>
      <c r="C12" s="48"/>
      <c r="D12" s="48">
        <v>27</v>
      </c>
      <c r="E12" s="48">
        <v>34</v>
      </c>
      <c r="F12" s="48" t="s">
        <v>555</v>
      </c>
      <c r="G12" s="48"/>
      <c r="H12" s="50" t="str">
        <f>IF($B12="","",IF($J12="X",B12,CONCATENATE(VLOOKUP(B12,Competitors!$A$2:$I$650,3,FALSE)," ",VLOOKUP(B12,Competitors!$A$2:$I$650,2,FALSE))))</f>
        <v>Steven Latham</v>
      </c>
      <c r="I12" s="51">
        <f t="shared" si="1"/>
        <v>1.9143518518518518E-2</v>
      </c>
      <c r="J12" t="str">
        <f t="shared" si="2"/>
        <v/>
      </c>
    </row>
    <row r="13" spans="1:10" ht="15" x14ac:dyDescent="0.15">
      <c r="A13" s="57" t="s">
        <v>447</v>
      </c>
      <c r="B13" s="47">
        <f t="shared" si="0"/>
        <v>1379</v>
      </c>
      <c r="C13" s="48"/>
      <c r="D13" s="48">
        <v>27</v>
      </c>
      <c r="E13" s="48">
        <v>8</v>
      </c>
      <c r="F13" s="48" t="s">
        <v>555</v>
      </c>
      <c r="G13" s="48"/>
      <c r="H13" s="50" t="str">
        <f>IF($B13="","",IF($J13="X",B13,CONCATENATE(VLOOKUP(B13,Competitors!$A$2:$I$650,3,FALSE)," ",VLOOKUP(B13,Competitors!$A$2:$I$650,2,FALSE))))</f>
        <v>Michaela Latham</v>
      </c>
      <c r="I13" s="51">
        <f t="shared" si="1"/>
        <v>1.8842592592592591E-2</v>
      </c>
      <c r="J13" t="str">
        <f t="shared" si="2"/>
        <v/>
      </c>
    </row>
    <row r="14" spans="1:10" ht="15" x14ac:dyDescent="0.15">
      <c r="A14" s="57" t="s">
        <v>583</v>
      </c>
      <c r="B14" s="47" t="str">
        <f t="shared" si="0"/>
        <v>Tom Keane</v>
      </c>
      <c r="C14" s="48"/>
      <c r="D14" s="48">
        <v>26</v>
      </c>
      <c r="E14" s="48">
        <v>56</v>
      </c>
      <c r="F14" s="48" t="s">
        <v>555</v>
      </c>
      <c r="G14" s="48"/>
      <c r="H14" s="50" t="str">
        <f>IF($B14="","",IF($J14="X",B14,CONCATENATE(VLOOKUP(B14,Competitors!$A$2:$I$650,3,FALSE)," ",VLOOKUP(B14,Competitors!$A$2:$I$650,2,FALSE))))</f>
        <v>Tom Keane</v>
      </c>
      <c r="I14" s="51">
        <f t="shared" si="1"/>
        <v>1.8703703703703705E-2</v>
      </c>
      <c r="J14" t="str">
        <f t="shared" si="2"/>
        <v>X</v>
      </c>
    </row>
    <row r="15" spans="1:10" ht="15" x14ac:dyDescent="0.15">
      <c r="A15" s="57" t="s">
        <v>519</v>
      </c>
      <c r="B15" s="47" t="str">
        <f t="shared" si="0"/>
        <v>Natalie Harris (Ratae)</v>
      </c>
      <c r="C15" s="48"/>
      <c r="D15" s="48">
        <v>28</v>
      </c>
      <c r="E15" s="48">
        <v>39</v>
      </c>
      <c r="F15" s="48" t="s">
        <v>555</v>
      </c>
      <c r="G15" s="48"/>
      <c r="H15" s="50" t="str">
        <f>IF($B15="","",IF($J15="X",B15,CONCATENATE(VLOOKUP(B15,Competitors!$A$2:$I$650,3,FALSE)," ",VLOOKUP(B15,Competitors!$A$2:$I$650,2,FALSE))))</f>
        <v>Natalie Harris (Ratae)</v>
      </c>
      <c r="I15" s="51">
        <f t="shared" si="1"/>
        <v>1.9895833333333335E-2</v>
      </c>
      <c r="J15" t="str">
        <f t="shared" si="2"/>
        <v>X</v>
      </c>
    </row>
    <row r="16" spans="1:10" ht="15" x14ac:dyDescent="0.15">
      <c r="A16" s="57" t="s">
        <v>584</v>
      </c>
      <c r="B16" s="47">
        <f t="shared" si="0"/>
        <v>1423</v>
      </c>
      <c r="C16" s="48"/>
      <c r="D16" s="48">
        <v>29</v>
      </c>
      <c r="E16" s="48">
        <v>0</v>
      </c>
      <c r="F16" s="48" t="s">
        <v>555</v>
      </c>
      <c r="G16" s="48"/>
      <c r="H16" s="50" t="str">
        <f>IF($B16="","",IF($J16="X",B16,CONCATENATE(VLOOKUP(B16,Competitors!$A$2:$I$650,3,FALSE)," ",VLOOKUP(B16,Competitors!$A$2:$I$650,2,FALSE))))</f>
        <v>Mark Vowles</v>
      </c>
      <c r="I16" s="51">
        <f t="shared" si="1"/>
        <v>2.013888888888889E-2</v>
      </c>
      <c r="J16" t="str">
        <f t="shared" si="2"/>
        <v/>
      </c>
    </row>
    <row r="17" spans="1:10" ht="15" x14ac:dyDescent="0.15">
      <c r="A17" s="57" t="s">
        <v>585</v>
      </c>
      <c r="B17" s="47">
        <f t="shared" si="0"/>
        <v>1422</v>
      </c>
      <c r="C17" s="48"/>
      <c r="D17" s="48"/>
      <c r="E17" s="48"/>
      <c r="F17" s="48" t="s">
        <v>555</v>
      </c>
      <c r="G17" s="48" t="s">
        <v>557</v>
      </c>
      <c r="H17" s="50" t="str">
        <f>IF($B17="","",IF($J17="X",B17,CONCATENATE(VLOOKUP(B17,Competitors!$A$2:$I$650,3,FALSE)," ",VLOOKUP(B17,Competitors!$A$2:$I$650,2,FALSE))))</f>
        <v>Laura Vann-Hopewell</v>
      </c>
      <c r="I17" s="51">
        <f t="shared" si="1"/>
        <v>0</v>
      </c>
      <c r="J17" t="str">
        <f t="shared" si="2"/>
        <v/>
      </c>
    </row>
    <row r="18" spans="1:10" ht="15" x14ac:dyDescent="0.15">
      <c r="A18" s="57" t="s">
        <v>459</v>
      </c>
      <c r="B18" s="47">
        <f t="shared" si="0"/>
        <v>120</v>
      </c>
      <c r="C18" s="48"/>
      <c r="D18" s="48">
        <v>25</v>
      </c>
      <c r="E18" s="48">
        <v>32</v>
      </c>
      <c r="F18" s="48"/>
      <c r="G18" s="48"/>
      <c r="H18" s="50" t="str">
        <f>IF($B18="","",IF($J18="X",B18,CONCATENATE(VLOOKUP(B18,Competitors!$A$2:$I$650,3,FALSE)," ",VLOOKUP(B18,Competitors!$A$2:$I$650,2,FALSE))))</f>
        <v>Linda Hubbard</v>
      </c>
      <c r="I18" s="51">
        <f t="shared" si="1"/>
        <v>1.773148148148148E-2</v>
      </c>
      <c r="J18" t="str">
        <f t="shared" si="2"/>
        <v/>
      </c>
    </row>
    <row r="19" spans="1:10" ht="15" x14ac:dyDescent="0.15">
      <c r="A19" s="57" t="s">
        <v>481</v>
      </c>
      <c r="B19" s="47">
        <f t="shared" si="0"/>
        <v>1348</v>
      </c>
      <c r="C19" s="48"/>
      <c r="D19" s="48"/>
      <c r="E19" s="48"/>
      <c r="F19" s="48" t="s">
        <v>555</v>
      </c>
      <c r="G19" s="48" t="s">
        <v>579</v>
      </c>
      <c r="H19" s="50" t="str">
        <f>IF($B19="","",IF($J19="X",B19,CONCATENATE(VLOOKUP(B19,Competitors!$A$2:$I$650,3,FALSE)," ",VLOOKUP(B19,Competitors!$A$2:$I$650,2,FALSE))))</f>
        <v>Lydia Baxter</v>
      </c>
      <c r="I19" s="51">
        <f t="shared" si="1"/>
        <v>0</v>
      </c>
      <c r="J19" t="str">
        <f t="shared" si="2"/>
        <v/>
      </c>
    </row>
    <row r="20" spans="1:10" ht="15" x14ac:dyDescent="0.15">
      <c r="A20" s="57" t="s">
        <v>443</v>
      </c>
      <c r="B20" s="47">
        <f t="shared" si="0"/>
        <v>564</v>
      </c>
      <c r="C20" s="48"/>
      <c r="D20" s="48">
        <v>27</v>
      </c>
      <c r="E20" s="48">
        <v>5</v>
      </c>
      <c r="F20" s="48" t="s">
        <v>555</v>
      </c>
      <c r="G20" s="48"/>
      <c r="H20" s="50" t="str">
        <f>IF($B20="","",IF($J20="X",B20,CONCATENATE(VLOOKUP(B20,Competitors!$A$2:$I$650,3,FALSE)," ",VLOOKUP(B20,Competitors!$A$2:$I$650,2,FALSE))))</f>
        <v>Ian Murdey</v>
      </c>
      <c r="I20" s="51">
        <f t="shared" si="1"/>
        <v>1.8807870370370371E-2</v>
      </c>
      <c r="J20" t="str">
        <f t="shared" si="2"/>
        <v/>
      </c>
    </row>
    <row r="21" spans="1:10" ht="15" x14ac:dyDescent="0.15">
      <c r="A21" s="57" t="s">
        <v>424</v>
      </c>
      <c r="B21" s="47">
        <f t="shared" si="0"/>
        <v>35</v>
      </c>
      <c r="C21" s="48"/>
      <c r="D21" s="48">
        <v>24</v>
      </c>
      <c r="E21" s="48">
        <v>16</v>
      </c>
      <c r="F21" s="48"/>
      <c r="G21" s="48"/>
      <c r="H21" s="50" t="str">
        <f>IF($B21="","",IF($J21="X",B21,CONCATENATE(VLOOKUP(B21,Competitors!$A$2:$I$650,3,FALSE)," ",VLOOKUP(B21,Competitors!$A$2:$I$650,2,FALSE))))</f>
        <v>Matt Plews</v>
      </c>
      <c r="I21" s="51">
        <f t="shared" si="1"/>
        <v>1.6851851851851851E-2</v>
      </c>
      <c r="J21" t="str">
        <f t="shared" si="2"/>
        <v/>
      </c>
    </row>
    <row r="22" spans="1:10" ht="15" x14ac:dyDescent="0.15">
      <c r="A22" s="57" t="s">
        <v>472</v>
      </c>
      <c r="B22" s="47" t="str">
        <f t="shared" si="0"/>
        <v>David Marshall (Bluelight CC)</v>
      </c>
      <c r="C22" s="48"/>
      <c r="D22" s="48"/>
      <c r="E22" s="48"/>
      <c r="F22" s="48" t="s">
        <v>555</v>
      </c>
      <c r="G22" s="48" t="s">
        <v>557</v>
      </c>
      <c r="H22" s="50" t="str">
        <f>IF($B22="","",IF($J22="X",B22,CONCATENATE(VLOOKUP(B22,Competitors!$A$2:$I$650,3,FALSE)," ",VLOOKUP(B22,Competitors!$A$2:$I$650,2,FALSE))))</f>
        <v>David Marshall (Bluelight CC)</v>
      </c>
      <c r="I22" s="51">
        <f t="shared" si="1"/>
        <v>0</v>
      </c>
      <c r="J22" t="str">
        <f t="shared" si="2"/>
        <v>X</v>
      </c>
    </row>
    <row r="23" spans="1:10" ht="15" x14ac:dyDescent="0.15">
      <c r="A23" s="57" t="s">
        <v>440</v>
      </c>
      <c r="B23" s="47">
        <f t="shared" si="0"/>
        <v>23</v>
      </c>
      <c r="C23" s="48"/>
      <c r="D23" s="48">
        <v>24</v>
      </c>
      <c r="E23" s="48">
        <v>56</v>
      </c>
      <c r="F23" s="48"/>
      <c r="G23" s="48"/>
      <c r="H23" s="50" t="str">
        <f>IF($B23="","",IF($J23="X",B23,CONCATENATE(VLOOKUP(B23,Competitors!$A$2:$I$650,3,FALSE)," ",VLOOKUP(B23,Competitors!$A$2:$I$650,2,FALSE))))</f>
        <v>Chris Hyde</v>
      </c>
      <c r="I23" s="51">
        <f t="shared" si="1"/>
        <v>1.7314814814814814E-2</v>
      </c>
      <c r="J23" t="str">
        <f t="shared" si="2"/>
        <v/>
      </c>
    </row>
    <row r="24" spans="1:10" ht="15" x14ac:dyDescent="0.15">
      <c r="A24" s="57" t="s">
        <v>428</v>
      </c>
      <c r="B24" s="47">
        <f t="shared" si="0"/>
        <v>915</v>
      </c>
      <c r="C24" s="48"/>
      <c r="D24" s="48">
        <v>23</v>
      </c>
      <c r="E24" s="48">
        <v>36</v>
      </c>
      <c r="F24" s="48"/>
      <c r="G24" s="48"/>
      <c r="H24" s="50" t="str">
        <f>IF($B24="","",IF($J24="X",B24,CONCATENATE(VLOOKUP(B24,Competitors!$A$2:$I$650,3,FALSE)," ",VLOOKUP(B24,Competitors!$A$2:$I$650,2,FALSE))))</f>
        <v>Julian Twynham</v>
      </c>
      <c r="I24" s="51">
        <f t="shared" si="1"/>
        <v>1.638888888888889E-2</v>
      </c>
      <c r="J24" t="str">
        <f t="shared" si="2"/>
        <v/>
      </c>
    </row>
    <row r="25" spans="1:10" ht="15" x14ac:dyDescent="0.15">
      <c r="A25" s="57" t="s">
        <v>441</v>
      </c>
      <c r="B25" s="47">
        <f t="shared" si="0"/>
        <v>245</v>
      </c>
      <c r="C25" s="48"/>
      <c r="D25" s="48">
        <v>26</v>
      </c>
      <c r="E25" s="48">
        <v>21</v>
      </c>
      <c r="F25" s="48"/>
      <c r="G25" s="48"/>
      <c r="H25" s="50" t="str">
        <f>IF($B25="","",IF($J25="X",B25,CONCATENATE(VLOOKUP(B25,Competitors!$A$2:$I$650,3,FALSE)," ",VLOOKUP(B25,Competitors!$A$2:$I$650,2,FALSE))))</f>
        <v>David Reay</v>
      </c>
      <c r="I25" s="51">
        <f t="shared" si="1"/>
        <v>1.8298611111111113E-2</v>
      </c>
      <c r="J25" t="str">
        <f t="shared" si="2"/>
        <v/>
      </c>
    </row>
    <row r="26" spans="1:10" ht="15" x14ac:dyDescent="0.15">
      <c r="A26" s="57" t="s">
        <v>418</v>
      </c>
      <c r="B26" s="47">
        <f t="shared" si="0"/>
        <v>1152</v>
      </c>
      <c r="C26" s="48"/>
      <c r="D26" s="48">
        <v>23</v>
      </c>
      <c r="E26" s="48">
        <v>33</v>
      </c>
      <c r="F26" s="48"/>
      <c r="G26" s="48"/>
      <c r="H26" s="50" t="str">
        <f>IF($B26="","",IF($J26="X",B26,CONCATENATE(VLOOKUP(B26,Competitors!$A$2:$I$650,3,FALSE)," ",VLOOKUP(B26,Competitors!$A$2:$I$650,2,FALSE))))</f>
        <v>Ruby Isaac</v>
      </c>
      <c r="I26" s="51">
        <f t="shared" si="1"/>
        <v>1.6354166666666666E-2</v>
      </c>
      <c r="J26" t="str">
        <f t="shared" si="2"/>
        <v/>
      </c>
    </row>
    <row r="27" spans="1:10" ht="15" x14ac:dyDescent="0.15">
      <c r="A27" s="57" t="s">
        <v>442</v>
      </c>
      <c r="B27" s="47">
        <f t="shared" si="0"/>
        <v>1254</v>
      </c>
      <c r="C27" s="48"/>
      <c r="D27" s="48">
        <v>24</v>
      </c>
      <c r="E27" s="48">
        <v>11</v>
      </c>
      <c r="F27" s="48"/>
      <c r="G27" s="48"/>
      <c r="H27" s="50" t="str">
        <f>IF($B27="","",IF($J27="X",B27,CONCATENATE(VLOOKUP(B27,Competitors!$A$2:$I$650,3,FALSE)," ",VLOOKUP(B27,Competitors!$A$2:$I$650,2,FALSE))))</f>
        <v>Paul White</v>
      </c>
      <c r="I27" s="51">
        <f t="shared" si="1"/>
        <v>1.6793981481481483E-2</v>
      </c>
      <c r="J27" t="str">
        <f t="shared" si="2"/>
        <v/>
      </c>
    </row>
    <row r="28" spans="1:10" ht="15" x14ac:dyDescent="0.15">
      <c r="A28" s="57" t="s">
        <v>427</v>
      </c>
      <c r="B28" s="47">
        <f t="shared" si="0"/>
        <v>1055</v>
      </c>
      <c r="C28" s="48"/>
      <c r="D28" s="48">
        <v>24</v>
      </c>
      <c r="E28" s="48">
        <v>26</v>
      </c>
      <c r="F28" s="48"/>
      <c r="G28" s="48"/>
      <c r="H28" s="50" t="str">
        <f>IF($B28="","",IF($J28="X",B28,CONCATENATE(VLOOKUP(B28,Competitors!$A$2:$I$650,3,FALSE)," ",VLOOKUP(B28,Competitors!$A$2:$I$650,2,FALSE))))</f>
        <v>Austin Smith</v>
      </c>
      <c r="I28" s="51">
        <f t="shared" si="1"/>
        <v>1.6967592592592593E-2</v>
      </c>
      <c r="J28" t="str">
        <f t="shared" si="2"/>
        <v/>
      </c>
    </row>
    <row r="29" spans="1:10" ht="15" x14ac:dyDescent="0.15">
      <c r="A29" s="57" t="s">
        <v>431</v>
      </c>
      <c r="B29" s="47">
        <f t="shared" si="0"/>
        <v>616</v>
      </c>
      <c r="C29" s="48"/>
      <c r="D29" s="48">
        <v>25</v>
      </c>
      <c r="E29" s="48">
        <v>27</v>
      </c>
      <c r="F29" s="48" t="s">
        <v>555</v>
      </c>
      <c r="G29" s="48"/>
      <c r="H29" s="50" t="str">
        <f>IF($B29="","",IF($J29="X",B29,CONCATENATE(VLOOKUP(B29,Competitors!$A$2:$I$650,3,FALSE)," ",VLOOKUP(B29,Competitors!$A$2:$I$650,2,FALSE))))</f>
        <v>Simon Ward</v>
      </c>
      <c r="I29" s="51">
        <f t="shared" si="1"/>
        <v>1.7673611111111112E-2</v>
      </c>
      <c r="J29" t="str">
        <f t="shared" si="2"/>
        <v/>
      </c>
    </row>
    <row r="30" spans="1:10" ht="15" x14ac:dyDescent="0.15">
      <c r="A30" s="57" t="s">
        <v>508</v>
      </c>
      <c r="B30" s="47" t="str">
        <f t="shared" si="0"/>
        <v>Brian Lincoln (Ratae)</v>
      </c>
      <c r="C30" s="48"/>
      <c r="D30" s="48">
        <v>29</v>
      </c>
      <c r="E30" s="48">
        <v>11</v>
      </c>
      <c r="F30" s="48" t="s">
        <v>555</v>
      </c>
      <c r="G30" s="48"/>
      <c r="H30" s="50" t="str">
        <f>IF($B30="","",IF($J30="X",B30,CONCATENATE(VLOOKUP(B30,Competitors!$A$2:$I$650,3,FALSE)," ",VLOOKUP(B30,Competitors!$A$2:$I$650,2,FALSE))))</f>
        <v>Brian Lincoln (Ratae)</v>
      </c>
      <c r="I30" s="51">
        <f t="shared" si="1"/>
        <v>2.0266203703703703E-2</v>
      </c>
      <c r="J30" t="str">
        <f t="shared" si="2"/>
        <v>X</v>
      </c>
    </row>
    <row r="31" spans="1:10" ht="15" x14ac:dyDescent="0.15">
      <c r="A31" s="57" t="s">
        <v>538</v>
      </c>
      <c r="B31" s="47" t="str">
        <f t="shared" si="0"/>
        <v>Hudson Hendry (Ride Revolution)</v>
      </c>
      <c r="C31" s="48"/>
      <c r="D31" s="48"/>
      <c r="E31" s="48"/>
      <c r="F31" s="48" t="s">
        <v>555</v>
      </c>
      <c r="G31" s="48" t="s">
        <v>557</v>
      </c>
      <c r="H31" s="50" t="str">
        <f>IF($B31="","",IF($J31="X",B31,CONCATENATE(VLOOKUP(B31,Competitors!$A$2:$I$650,3,FALSE)," ",VLOOKUP(B31,Competitors!$A$2:$I$650,2,FALSE))))</f>
        <v>Hudson Hendry (Ride Revolution)</v>
      </c>
      <c r="I31" s="51">
        <f t="shared" si="1"/>
        <v>0</v>
      </c>
      <c r="J31" t="str">
        <f t="shared" si="2"/>
        <v>X</v>
      </c>
    </row>
    <row r="32" spans="1:10" ht="15" x14ac:dyDescent="0.15">
      <c r="A32" s="57" t="s">
        <v>414</v>
      </c>
      <c r="B32" s="47">
        <f t="shared" si="0"/>
        <v>989</v>
      </c>
      <c r="C32" s="48"/>
      <c r="D32" s="48">
        <v>23</v>
      </c>
      <c r="E32" s="48">
        <v>34</v>
      </c>
      <c r="F32" s="48" t="s">
        <v>555</v>
      </c>
      <c r="G32" s="48"/>
      <c r="H32" s="50" t="str">
        <f>IF($B32="","",IF($J32="X",B32,CONCATENATE(VLOOKUP(B32,Competitors!$A$2:$I$650,3,FALSE)," ",VLOOKUP(B32,Competitors!$A$2:$I$650,2,FALSE))))</f>
        <v>Jason Williams</v>
      </c>
      <c r="I32" s="51">
        <f t="shared" si="1"/>
        <v>1.636574074074074E-2</v>
      </c>
      <c r="J32" t="str">
        <f t="shared" si="2"/>
        <v/>
      </c>
    </row>
    <row r="33" spans="1:10" ht="15" x14ac:dyDescent="0.15">
      <c r="A33" s="57" t="s">
        <v>522</v>
      </c>
      <c r="B33" s="47" t="str">
        <f t="shared" si="0"/>
        <v>Steve Pearce (Ratae)</v>
      </c>
      <c r="C33" s="48"/>
      <c r="D33" s="48">
        <v>26</v>
      </c>
      <c r="E33" s="48">
        <v>58</v>
      </c>
      <c r="F33" s="48"/>
      <c r="G33" s="48"/>
      <c r="H33" s="50" t="str">
        <f>IF($B33="","",IF($J33="X",B33,CONCATENATE(VLOOKUP(B33,Competitors!$A$2:$I$650,3,FALSE)," ",VLOOKUP(B33,Competitors!$A$2:$I$650,2,FALSE))))</f>
        <v>Steve Pearce (Ratae)</v>
      </c>
      <c r="I33" s="51">
        <f t="shared" si="1"/>
        <v>1.8726851851851852E-2</v>
      </c>
      <c r="J33" t="str">
        <f t="shared" si="2"/>
        <v>X</v>
      </c>
    </row>
    <row r="34" spans="1:10" ht="15" x14ac:dyDescent="0.15">
      <c r="A34" s="57" t="s">
        <v>423</v>
      </c>
      <c r="B34" s="47">
        <f t="shared" ref="B34:B97" si="3">IF(A34="","",_xlfn.XLOOKUP(A34,ClubNames,ClubNumbers,_xlfn.XLOOKUP(A34,RoundRobinRiderNames,RoundRobinRiderDecoratedNames,A34)))</f>
        <v>1407</v>
      </c>
      <c r="C34" s="48"/>
      <c r="D34" s="48">
        <v>24</v>
      </c>
      <c r="E34" s="48">
        <v>35</v>
      </c>
      <c r="F34" s="48" t="s">
        <v>555</v>
      </c>
      <c r="G34" s="48"/>
      <c r="H34" s="50" t="str">
        <f>IF($B34="","",IF($J34="X",B34,CONCATENATE(VLOOKUP(B34,Competitors!$A$2:$I$650,3,FALSE)," ",VLOOKUP(B34,Competitors!$A$2:$I$650,2,FALSE))))</f>
        <v>Colin Dobson</v>
      </c>
      <c r="I34" s="51">
        <f t="shared" si="1"/>
        <v>1.7071759259259259E-2</v>
      </c>
      <c r="J34" t="str">
        <f t="shared" si="2"/>
        <v/>
      </c>
    </row>
    <row r="35" spans="1:10" ht="15" x14ac:dyDescent="0.15">
      <c r="A35" s="57" t="s">
        <v>417</v>
      </c>
      <c r="B35" s="47">
        <f t="shared" si="3"/>
        <v>38</v>
      </c>
      <c r="C35" s="48"/>
      <c r="D35" s="48">
        <v>23</v>
      </c>
      <c r="E35" s="48">
        <v>9</v>
      </c>
      <c r="F35" s="48"/>
      <c r="G35" s="48"/>
      <c r="H35" s="50" t="str">
        <f>IF($B35="","",IF($J35="X",B35,CONCATENATE(VLOOKUP(B35,Competitors!$A$2:$I$650,3,FALSE)," ",VLOOKUP(B35,Competitors!$A$2:$I$650,2,FALSE))))</f>
        <v>Phil Rayner</v>
      </c>
      <c r="I35" s="51">
        <f t="shared" si="1"/>
        <v>1.607638888888889E-2</v>
      </c>
      <c r="J35" t="str">
        <f t="shared" si="2"/>
        <v/>
      </c>
    </row>
    <row r="36" spans="1:10" ht="15" x14ac:dyDescent="0.15">
      <c r="A36" s="57" t="s">
        <v>413</v>
      </c>
      <c r="B36" s="47">
        <f t="shared" si="3"/>
        <v>1144</v>
      </c>
      <c r="C36" s="48"/>
      <c r="D36" s="48">
        <v>23</v>
      </c>
      <c r="E36" s="48">
        <v>10</v>
      </c>
      <c r="F36" s="48" t="s">
        <v>555</v>
      </c>
      <c r="G36" s="48"/>
      <c r="H36" s="50" t="str">
        <f>IF($B36="","",IF($J36="X",B36,CONCATENATE(VLOOKUP(B36,Competitors!$A$2:$I$650,3,FALSE)," ",VLOOKUP(B36,Competitors!$A$2:$I$650,2,FALSE))))</f>
        <v>Jamie Kershaw</v>
      </c>
      <c r="I36" s="51">
        <f t="shared" si="1"/>
        <v>1.6087962962962964E-2</v>
      </c>
      <c r="J36" t="str">
        <f t="shared" si="2"/>
        <v/>
      </c>
    </row>
    <row r="37" spans="1:10" ht="15" x14ac:dyDescent="0.15">
      <c r="A37" s="57" t="s">
        <v>537</v>
      </c>
      <c r="B37" s="47" t="str">
        <f t="shared" si="3"/>
        <v>Phil Wilkinson (RFW)</v>
      </c>
      <c r="C37" s="48"/>
      <c r="D37" s="48">
        <v>23</v>
      </c>
      <c r="E37" s="48">
        <v>16</v>
      </c>
      <c r="F37" s="48"/>
      <c r="G37" s="48"/>
      <c r="H37" s="50" t="str">
        <f>IF($B37="","",IF($J37="X",B37,CONCATENATE(VLOOKUP(B37,Competitors!$A$2:$I$650,3,FALSE)," ",VLOOKUP(B37,Competitors!$A$2:$I$650,2,FALSE))))</f>
        <v>Phil Wilkinson (RFW)</v>
      </c>
      <c r="I37" s="51">
        <f t="shared" si="1"/>
        <v>1.6157407407407409E-2</v>
      </c>
      <c r="J37" t="str">
        <f t="shared" si="2"/>
        <v>X</v>
      </c>
    </row>
    <row r="38" spans="1:10" ht="15" x14ac:dyDescent="0.15">
      <c r="A38" s="57" t="s">
        <v>422</v>
      </c>
      <c r="B38" s="47">
        <f t="shared" si="3"/>
        <v>415</v>
      </c>
      <c r="C38" s="48"/>
      <c r="D38" s="48">
        <v>24</v>
      </c>
      <c r="E38" s="48">
        <v>31</v>
      </c>
      <c r="F38" s="48" t="s">
        <v>555</v>
      </c>
      <c r="G38" s="48"/>
      <c r="H38" s="50" t="str">
        <f>IF($B38="","",IF($J38="X",B38,CONCATENATE(VLOOKUP(B38,Competitors!$A$2:$I$650,3,FALSE)," ",VLOOKUP(B38,Competitors!$A$2:$I$650,2,FALSE))))</f>
        <v>Nik Kershaw</v>
      </c>
      <c r="I38" s="51">
        <f t="shared" si="1"/>
        <v>1.7025462962962964E-2</v>
      </c>
      <c r="J38" t="str">
        <f t="shared" si="2"/>
        <v/>
      </c>
    </row>
    <row r="39" spans="1:10" ht="15" x14ac:dyDescent="0.15">
      <c r="A39" s="62" t="s">
        <v>586</v>
      </c>
      <c r="B39" s="47" t="str">
        <f t="shared" si="3"/>
        <v>Mike Deely (G Fox)</v>
      </c>
      <c r="C39" s="48"/>
      <c r="D39" s="48">
        <v>24</v>
      </c>
      <c r="E39" s="48">
        <v>30</v>
      </c>
      <c r="F39" s="48"/>
      <c r="G39" s="48"/>
      <c r="H39" s="50" t="str">
        <f>IF($B39="","",IF($J39="X",B39,CONCATENATE(VLOOKUP(B39,Competitors!$A$2:$I$650,3,FALSE)," ",VLOOKUP(B39,Competitors!$A$2:$I$650,2,FALSE))))</f>
        <v>Mike Deely (G Fox)</v>
      </c>
      <c r="I39" s="51">
        <f t="shared" si="1"/>
        <v>1.7013888888888887E-2</v>
      </c>
      <c r="J39" t="str">
        <f t="shared" si="2"/>
        <v>X</v>
      </c>
    </row>
    <row r="40" spans="1:10" ht="15" x14ac:dyDescent="0.15">
      <c r="A40" s="57" t="s">
        <v>416</v>
      </c>
      <c r="B40" s="47">
        <f t="shared" si="3"/>
        <v>1161</v>
      </c>
      <c r="C40" s="48"/>
      <c r="D40" s="48">
        <v>23</v>
      </c>
      <c r="E40" s="48">
        <v>7</v>
      </c>
      <c r="F40" s="48"/>
      <c r="G40" s="48"/>
      <c r="H40" s="50" t="str">
        <f>IF($B40="","",IF($J40="X",B40,CONCATENATE(VLOOKUP(B40,Competitors!$A$2:$I$650,3,FALSE)," ",VLOOKUP(B40,Competitors!$A$2:$I$650,2,FALSE))))</f>
        <v>Maciej Suchocki</v>
      </c>
      <c r="I40" s="51">
        <f t="shared" si="1"/>
        <v>1.6053240740740739E-2</v>
      </c>
      <c r="J40" t="str">
        <f t="shared" si="2"/>
        <v/>
      </c>
    </row>
    <row r="41" spans="1:10" ht="15" x14ac:dyDescent="0.15">
      <c r="A41" s="57" t="s">
        <v>421</v>
      </c>
      <c r="B41" s="47">
        <f t="shared" si="3"/>
        <v>1192</v>
      </c>
      <c r="C41" s="48"/>
      <c r="D41" s="48">
        <v>23</v>
      </c>
      <c r="E41" s="48">
        <v>59</v>
      </c>
      <c r="F41" s="48"/>
      <c r="G41" s="48"/>
      <c r="H41" s="50" t="str">
        <f>IF($B41="","",IF($J41="X",B41,CONCATENATE(VLOOKUP(B41,Competitors!$A$2:$I$650,3,FALSE)," ",VLOOKUP(B41,Competitors!$A$2:$I$650,2,FALSE))))</f>
        <v>Dale Norris</v>
      </c>
      <c r="I41" s="51">
        <f t="shared" si="1"/>
        <v>1.6655092592592593E-2</v>
      </c>
      <c r="J41" t="str">
        <f t="shared" si="2"/>
        <v/>
      </c>
    </row>
    <row r="42" spans="1:10" ht="15" x14ac:dyDescent="0.15">
      <c r="A42" s="57" t="s">
        <v>412</v>
      </c>
      <c r="B42" s="47">
        <f t="shared" si="3"/>
        <v>407</v>
      </c>
      <c r="C42" s="48"/>
      <c r="D42" s="48">
        <v>21</v>
      </c>
      <c r="E42" s="48">
        <v>51</v>
      </c>
      <c r="F42" s="48"/>
      <c r="G42" s="48"/>
      <c r="H42" s="50" t="str">
        <f>IF($B42="","",IF($J42="X",B42,CONCATENATE(VLOOKUP(B42,Competitors!$A$2:$I$650,3,FALSE)," ",VLOOKUP(B42,Competitors!$A$2:$I$650,2,FALSE))))</f>
        <v>Hans van Nierop</v>
      </c>
      <c r="I42" s="51">
        <f t="shared" si="1"/>
        <v>1.5173611111111112E-2</v>
      </c>
      <c r="J42" t="str">
        <f t="shared" si="2"/>
        <v/>
      </c>
    </row>
    <row r="43" spans="1:10" ht="14.25" x14ac:dyDescent="0.15">
      <c r="A43" s="46" t="s">
        <v>533</v>
      </c>
      <c r="B43" s="47" t="str">
        <f t="shared" si="3"/>
        <v>Lynne Wilkinson-Scofield (RFW)</v>
      </c>
      <c r="C43" s="48"/>
      <c r="D43" s="48">
        <v>27</v>
      </c>
      <c r="E43" s="48">
        <v>8</v>
      </c>
      <c r="F43" s="48"/>
      <c r="G43" s="48"/>
      <c r="H43" s="50" t="str">
        <f>IF($B43="","",IF($J43="X",B43,CONCATENATE(VLOOKUP(B43,Competitors!$A$2:$I$650,3,FALSE)," ",VLOOKUP(B43,Competitors!$A$2:$I$650,2,FALSE))))</f>
        <v>Lynne Wilkinson-Scofield (RFW)</v>
      </c>
      <c r="I43" s="51">
        <f t="shared" si="1"/>
        <v>1.8842592592592591E-2</v>
      </c>
      <c r="J43" t="str">
        <f t="shared" si="2"/>
        <v>X</v>
      </c>
    </row>
    <row r="44" spans="1:10" ht="14.25" x14ac:dyDescent="0.15">
      <c r="A44" s="46" t="s">
        <v>411</v>
      </c>
      <c r="B44" s="47">
        <f t="shared" si="3"/>
        <v>747</v>
      </c>
      <c r="C44" s="48"/>
      <c r="D44" s="48">
        <v>21</v>
      </c>
      <c r="E44" s="48">
        <v>36</v>
      </c>
      <c r="F44" s="48"/>
      <c r="G44" s="48"/>
      <c r="H44" s="50" t="str">
        <f>IF($B44="","",IF($J44="X",B44,CONCATENATE(VLOOKUP(B44,Competitors!$A$2:$I$650,3,FALSE)," ",VLOOKUP(B44,Competitors!$A$2:$I$650,2,FALSE))))</f>
        <v>James Moore</v>
      </c>
      <c r="I44" s="51">
        <f t="shared" si="1"/>
        <v>1.4999999999999999E-2</v>
      </c>
      <c r="J44" t="str">
        <f t="shared" si="2"/>
        <v/>
      </c>
    </row>
    <row r="45" spans="1:10" ht="14.25" x14ac:dyDescent="0.15">
      <c r="A45" s="46" t="s">
        <v>517</v>
      </c>
      <c r="B45" s="47" t="str">
        <f t="shared" si="3"/>
        <v>Mark Newton (Ratae)</v>
      </c>
      <c r="C45" s="48"/>
      <c r="D45" s="48">
        <v>24</v>
      </c>
      <c r="E45" s="48">
        <v>40</v>
      </c>
      <c r="F45" s="48"/>
      <c r="G45" s="48"/>
      <c r="H45" s="50" t="str">
        <f>IF($B45="","",IF($J45="X",B45,CONCATENATE(VLOOKUP(B45,Competitors!$A$2:$I$650,3,FALSE)," ",VLOOKUP(B45,Competitors!$A$2:$I$650,2,FALSE))))</f>
        <v>Mark Newton (Ratae)</v>
      </c>
      <c r="I45" s="51">
        <f t="shared" si="1"/>
        <v>1.712962962962963E-2</v>
      </c>
      <c r="J45" t="str">
        <f t="shared" si="2"/>
        <v>X</v>
      </c>
    </row>
    <row r="46" spans="1:10" ht="14.25" x14ac:dyDescent="0.15">
      <c r="A46" s="46" t="s">
        <v>415</v>
      </c>
      <c r="B46" s="47">
        <f t="shared" si="3"/>
        <v>699</v>
      </c>
      <c r="C46" s="48"/>
      <c r="D46" s="48">
        <v>22</v>
      </c>
      <c r="E46" s="48">
        <v>14</v>
      </c>
      <c r="F46" s="48"/>
      <c r="G46" s="48"/>
      <c r="H46" s="50" t="str">
        <f>IF($B46="","",IF($J46="X",B46,CONCATENATE(VLOOKUP(B46,Competitors!$A$2:$I$650,3,FALSE)," ",VLOOKUP(B46,Competitors!$A$2:$I$650,2,FALSE))))</f>
        <v>Jonathan Durnin</v>
      </c>
      <c r="I46" s="51">
        <f t="shared" si="1"/>
        <v>1.5439814814814814E-2</v>
      </c>
      <c r="J46" t="str">
        <f t="shared" si="2"/>
        <v/>
      </c>
    </row>
    <row r="47" spans="1:10" ht="14.25" x14ac:dyDescent="0.15">
      <c r="A47" s="46"/>
      <c r="B47" s="47" t="str">
        <f t="shared" si="3"/>
        <v/>
      </c>
      <c r="C47" s="48"/>
      <c r="D47" s="48"/>
      <c r="E47" s="48"/>
      <c r="F47" s="48"/>
      <c r="G47" s="48"/>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8"/>
      <c r="E48" s="48"/>
      <c r="F48" s="48"/>
      <c r="G48" s="48"/>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tabSelected="1" topLeftCell="B1" workbookViewId="0">
      <selection activeCell="F37" sqref="F37"/>
    </sheetView>
  </sheetViews>
  <sheetFormatPr defaultColWidth="9.16796875" defaultRowHeight="12.75" x14ac:dyDescent="0.15"/>
  <cols>
    <col min="1" max="1" width="20.2265625" bestFit="1" customWidth="1"/>
    <col min="2" max="2" width="32.6328125" bestFit="1" customWidth="1"/>
    <col min="3" max="5" width="4.71875" customWidth="1"/>
    <col min="6" max="7" width="11.0546875" customWidth="1"/>
    <col min="8" max="8" width="32.6328125" bestFit="1" customWidth="1"/>
    <col min="9" max="9" width="14.6953125" style="38"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t="s">
        <v>454</v>
      </c>
      <c r="B2" s="47">
        <f t="shared" ref="B2:B33" si="0">IF(A2="","",_xlfn.XLOOKUP(A2,ClubNames,ClubNumbers,_xlfn.XLOOKUP(A2,RoundRobinRiderNames,RoundRobinRiderDecoratedNames,A2)))</f>
        <v>990</v>
      </c>
      <c r="C2" s="48"/>
      <c r="D2" s="48"/>
      <c r="E2" s="48"/>
      <c r="F2" s="48" t="s">
        <v>555</v>
      </c>
      <c r="G2" s="48"/>
      <c r="H2" s="50" t="str">
        <f>IF($B2="","",IF($J2="X",B2,CONCATENATE(VLOOKUP(B2,Competitors!$A$2:$I$650,3, FALSE)," ",VLOOKUP(B2,Competitors!$A$2:$I$650,2,FALSE))))</f>
        <v>Jennifer Hulme</v>
      </c>
      <c r="I2" s="51">
        <f t="shared" ref="I2:I65" si="1">IF(LEFT($F2,1)="D",UPPER($F2),(C2*3600+D2*60+E2)/86400)</f>
        <v>0</v>
      </c>
      <c r="J2" t="str">
        <f t="shared" ref="J2:J65" si="2">IF(OR(B2="",ISNUMBER(B2)),"","X")</f>
        <v/>
      </c>
    </row>
    <row r="3" spans="1:10" ht="14.25" x14ac:dyDescent="0.15">
      <c r="A3" s="46" t="s">
        <v>514</v>
      </c>
      <c r="B3" s="47" t="str">
        <f t="shared" si="0"/>
        <v>Lesley Allden (Ratae)</v>
      </c>
      <c r="C3" s="48"/>
      <c r="D3" s="48"/>
      <c r="E3" s="48"/>
      <c r="F3" s="48"/>
      <c r="G3" s="48"/>
      <c r="H3" s="50" t="str">
        <f>IF($B3="","",IF($J3="X",B3,CONCATENATE(VLOOKUP(B3,Competitors!$A$2:$I$650,3,FALSE)," ",VLOOKUP(B3,Competitors!$A$2:$I$650,2,FALSE))))</f>
        <v>Lesley Allden (Ratae)</v>
      </c>
      <c r="I3" s="51">
        <f t="shared" si="1"/>
        <v>0</v>
      </c>
      <c r="J3" t="str">
        <f t="shared" si="2"/>
        <v>X</v>
      </c>
    </row>
    <row r="4" spans="1:10" ht="14.25" x14ac:dyDescent="0.15">
      <c r="A4" s="46" t="s">
        <v>461</v>
      </c>
      <c r="B4" s="47">
        <f t="shared" si="0"/>
        <v>742</v>
      </c>
      <c r="C4" s="48"/>
      <c r="D4" s="48"/>
      <c r="E4" s="48"/>
      <c r="F4" s="48" t="s">
        <v>555</v>
      </c>
      <c r="G4" s="48"/>
      <c r="H4" s="50" t="str">
        <f>IF($B4="","",IF($J4="X",B4,CONCATENATE(VLOOKUP(B4,Competitors!$A$2:$I$650,3,FALSE)," ",VLOOKUP(B4,Competitors!$A$2:$I$650,2,FALSE))))</f>
        <v>Claire Moore</v>
      </c>
      <c r="I4" s="51">
        <f t="shared" si="1"/>
        <v>0</v>
      </c>
      <c r="J4" t="str">
        <f t="shared" si="2"/>
        <v/>
      </c>
    </row>
    <row r="5" spans="1:10" ht="14.25" x14ac:dyDescent="0.15">
      <c r="A5" s="46" t="s">
        <v>448</v>
      </c>
      <c r="B5" s="47">
        <f t="shared" si="0"/>
        <v>1194</v>
      </c>
      <c r="C5" s="48"/>
      <c r="D5" s="48"/>
      <c r="E5" s="48"/>
      <c r="F5" s="48" t="s">
        <v>555</v>
      </c>
      <c r="G5" s="48"/>
      <c r="H5" s="50" t="str">
        <f>IF($B5="","",IF($J5="X",B5,CONCATENATE(VLOOKUP(B5,Competitors!$A$2:$I$650,3,FALSE)," ",VLOOKUP(B5,Competitors!$A$2:$I$650,2,FALSE))))</f>
        <v>Alex Hardwicke</v>
      </c>
      <c r="I5" s="51">
        <f t="shared" si="1"/>
        <v>0</v>
      </c>
      <c r="J5" t="str">
        <f t="shared" si="2"/>
        <v/>
      </c>
    </row>
    <row r="6" spans="1:10" ht="14.25" x14ac:dyDescent="0.15">
      <c r="A6" s="46" t="s">
        <v>587</v>
      </c>
      <c r="B6" s="47">
        <f t="shared" si="0"/>
        <v>935</v>
      </c>
      <c r="C6" s="48"/>
      <c r="D6" s="48"/>
      <c r="E6" s="48"/>
      <c r="F6" s="48" t="s">
        <v>555</v>
      </c>
      <c r="G6" s="48"/>
      <c r="H6" s="50" t="str">
        <f>IF($B6="","",IF($J6="X",B6,CONCATENATE(VLOOKUP(B6,Competitors!$A$2:$I$650,3,FALSE)," ",VLOOKUP(B6,Competitors!$A$2:$I$650,2,FALSE))))</f>
        <v>Sophie Ward</v>
      </c>
      <c r="I6" s="51">
        <f t="shared" si="1"/>
        <v>0</v>
      </c>
      <c r="J6" t="str">
        <f t="shared" si="2"/>
        <v/>
      </c>
    </row>
    <row r="7" spans="1:10" ht="14.25" x14ac:dyDescent="0.15">
      <c r="A7" s="46" t="s">
        <v>444</v>
      </c>
      <c r="B7" s="47">
        <f t="shared" si="0"/>
        <v>1193</v>
      </c>
      <c r="C7" s="48"/>
      <c r="D7" s="48"/>
      <c r="E7" s="48"/>
      <c r="F7" s="48" t="s">
        <v>555</v>
      </c>
      <c r="G7" s="48"/>
      <c r="H7" s="50" t="str">
        <f>IF($B7="","",IF($J7="X",B7,CONCATENATE(VLOOKUP(B7,Competitors!$A$2:$I$650,3,FALSE)," ",VLOOKUP(B7,Competitors!$A$2:$I$650,2,FALSE))))</f>
        <v>Richard Hardwicke</v>
      </c>
      <c r="I7" s="51">
        <f t="shared" si="1"/>
        <v>0</v>
      </c>
      <c r="J7" t="str">
        <f t="shared" si="2"/>
        <v/>
      </c>
    </row>
    <row r="8" spans="1:10" ht="14.25" x14ac:dyDescent="0.15">
      <c r="A8" s="46" t="s">
        <v>462</v>
      </c>
      <c r="B8" s="47">
        <f t="shared" si="0"/>
        <v>7</v>
      </c>
      <c r="C8" s="48"/>
      <c r="D8" s="48"/>
      <c r="E8" s="48"/>
      <c r="F8" s="48" t="s">
        <v>555</v>
      </c>
      <c r="G8" s="48"/>
      <c r="H8" s="50" t="str">
        <f>IF($B8="","",IF($J8="X",B8,CONCATENATE(VLOOKUP(B8,Competitors!$A$2:$I$650,3,FALSE)," ",VLOOKUP(B8,Competitors!$A$2:$I$650,2,FALSE))))</f>
        <v>Vic Barnett</v>
      </c>
      <c r="I8" s="51">
        <f t="shared" si="1"/>
        <v>0</v>
      </c>
      <c r="J8" t="str">
        <f t="shared" si="2"/>
        <v/>
      </c>
    </row>
    <row r="9" spans="1:10" ht="14.25" x14ac:dyDescent="0.15">
      <c r="A9" s="46" t="s">
        <v>438</v>
      </c>
      <c r="B9" s="47">
        <f t="shared" si="0"/>
        <v>1195</v>
      </c>
      <c r="C9" s="48"/>
      <c r="D9" s="48"/>
      <c r="E9" s="48"/>
      <c r="F9" s="48" t="s">
        <v>555</v>
      </c>
      <c r="G9" s="48"/>
      <c r="H9" s="50" t="str">
        <f>IF($B9="","",IF($J9="X",B9,CONCATENATE(VLOOKUP(B9,Competitors!$A$2:$I$650,3,FALSE)," ",VLOOKUP(B9,Competitors!$A$2:$I$650,2,FALSE))))</f>
        <v>Charlie Hardwicke</v>
      </c>
      <c r="I9" s="51">
        <f t="shared" si="1"/>
        <v>0</v>
      </c>
      <c r="J9" t="str">
        <f t="shared" si="2"/>
        <v/>
      </c>
    </row>
    <row r="10" spans="1:10" ht="14.25" x14ac:dyDescent="0.15">
      <c r="A10" s="46" t="s">
        <v>509</v>
      </c>
      <c r="B10" s="47" t="str">
        <f t="shared" si="0"/>
        <v>Chris Bonsor (Ratae)</v>
      </c>
      <c r="C10" s="48"/>
      <c r="D10" s="48"/>
      <c r="E10" s="48"/>
      <c r="F10" s="48"/>
      <c r="G10" s="48"/>
      <c r="H10" s="50" t="str">
        <f>IF($B10="","",IF($J10="X",B10,CONCATENATE(VLOOKUP(B10,Competitors!$A$2:$I$650,3, FALSE)," ",VLOOKUP(B10,Competitors!$A$2:$I$650,2,FALSE))))</f>
        <v>Chris Bonsor (Ratae)</v>
      </c>
      <c r="I10" s="51">
        <f t="shared" si="1"/>
        <v>0</v>
      </c>
      <c r="J10" t="str">
        <f t="shared" si="2"/>
        <v>X</v>
      </c>
    </row>
    <row r="11" spans="1:10" ht="14.25" x14ac:dyDescent="0.15">
      <c r="A11" s="46" t="s">
        <v>419</v>
      </c>
      <c r="B11" s="47">
        <f t="shared" si="0"/>
        <v>1355</v>
      </c>
      <c r="C11" s="48"/>
      <c r="D11" s="48"/>
      <c r="E11" s="48"/>
      <c r="F11" s="48" t="s">
        <v>555</v>
      </c>
      <c r="G11" s="48"/>
      <c r="H11" s="50" t="str">
        <f>IF($B11="","",IF($J11="X",B11,CONCATENATE(VLOOKUP(B11,Competitors!$A$2:$I$650,3,FALSE)," ",VLOOKUP(B11,Competitors!$A$2:$I$650,2,FALSE))))</f>
        <v>Aubrey Elmer</v>
      </c>
      <c r="I11" s="51">
        <f t="shared" si="1"/>
        <v>0</v>
      </c>
      <c r="J11" t="str">
        <f t="shared" si="2"/>
        <v/>
      </c>
    </row>
    <row r="12" spans="1:10" ht="14.25" x14ac:dyDescent="0.15">
      <c r="A12" s="46" t="s">
        <v>458</v>
      </c>
      <c r="B12" s="47">
        <f t="shared" si="0"/>
        <v>967</v>
      </c>
      <c r="C12" s="48"/>
      <c r="D12" s="48"/>
      <c r="E12" s="48"/>
      <c r="F12" s="48" t="s">
        <v>555</v>
      </c>
      <c r="G12" s="48"/>
      <c r="H12" s="50" t="str">
        <f>IF($B12="","",IF($J12="X",B12,CONCATENATE(VLOOKUP(B12,Competitors!$A$2:$I$650,3,FALSE)," ",VLOOKUP(B12,Competitors!$A$2:$I$650,2,FALSE))))</f>
        <v>Daniel McDonnell</v>
      </c>
      <c r="I12" s="51">
        <f t="shared" si="1"/>
        <v>0</v>
      </c>
      <c r="J12" t="str">
        <f t="shared" si="2"/>
        <v/>
      </c>
    </row>
    <row r="13" spans="1:10" ht="14.25" x14ac:dyDescent="0.15">
      <c r="A13" s="46" t="s">
        <v>588</v>
      </c>
      <c r="B13" s="47">
        <f t="shared" si="0"/>
        <v>741</v>
      </c>
      <c r="C13" s="48"/>
      <c r="D13" s="48"/>
      <c r="E13" s="48"/>
      <c r="F13" s="48" t="s">
        <v>555</v>
      </c>
      <c r="G13" s="48"/>
      <c r="H13" s="50" t="str">
        <f>IF($B13="","",IF($J13="X",B13,CONCATENATE(VLOOKUP(B13,Competitors!$A$2:$I$650,3,FALSE)," ",VLOOKUP(B13,Competitors!$A$2:$I$650,2,FALSE))))</f>
        <v>Rob Moore</v>
      </c>
      <c r="I13" s="51">
        <f t="shared" si="1"/>
        <v>0</v>
      </c>
      <c r="J13" t="str">
        <f t="shared" si="2"/>
        <v/>
      </c>
    </row>
    <row r="14" spans="1:10" ht="14.25" x14ac:dyDescent="0.15">
      <c r="A14" s="46" t="s">
        <v>583</v>
      </c>
      <c r="B14" s="47" t="str">
        <f t="shared" si="0"/>
        <v>Tom Keane</v>
      </c>
      <c r="C14" s="48"/>
      <c r="D14" s="48"/>
      <c r="E14" s="48"/>
      <c r="F14" s="48" t="s">
        <v>555</v>
      </c>
      <c r="G14" s="48"/>
      <c r="H14" s="50" t="str">
        <f>IF($B14="","",IF($J14="X",B14,CONCATENATE(VLOOKUP(B14,Competitors!$A$2:$I$650,3,FALSE)," ",VLOOKUP(B14,Competitors!$A$2:$I$650,2,FALSE))))</f>
        <v>Tom Keane</v>
      </c>
      <c r="I14" s="51">
        <f t="shared" si="1"/>
        <v>0</v>
      </c>
      <c r="J14" t="str">
        <f t="shared" si="2"/>
        <v>X</v>
      </c>
    </row>
    <row r="15" spans="1:10" ht="14.25" x14ac:dyDescent="0.15">
      <c r="A15" s="46" t="s">
        <v>559</v>
      </c>
      <c r="B15" s="47">
        <f t="shared" si="0"/>
        <v>674</v>
      </c>
      <c r="C15" s="48"/>
      <c r="D15" s="48"/>
      <c r="E15" s="48"/>
      <c r="F15" s="48"/>
      <c r="G15" s="48"/>
      <c r="H15" s="50" t="str">
        <f>IF($B15="","",IF($J15="X",B15,CONCATENATE(VLOOKUP(B15,Competitors!$A$2:$I$650,3,FALSE)," ",VLOOKUP(B15,Competitors!$A$2:$I$650,2,FALSE))))</f>
        <v>Jennifer Clegg</v>
      </c>
      <c r="I15" s="51">
        <f t="shared" si="1"/>
        <v>0</v>
      </c>
      <c r="J15" t="str">
        <f t="shared" si="2"/>
        <v/>
      </c>
    </row>
    <row r="16" spans="1:10" ht="14.25" x14ac:dyDescent="0.15">
      <c r="A16" s="46" t="s">
        <v>577</v>
      </c>
      <c r="B16" s="47" t="str">
        <f t="shared" si="0"/>
        <v>Laura Davison</v>
      </c>
      <c r="C16" s="48"/>
      <c r="D16" s="48"/>
      <c r="E16" s="48"/>
      <c r="F16" s="48" t="s">
        <v>555</v>
      </c>
      <c r="G16" s="48"/>
      <c r="H16" s="50" t="str">
        <f>IF($B16="","",IF($J16="X",B16,CONCATENATE(VLOOKUP(B16,Competitors!$A$2:$I$650,3,FALSE)," ",VLOOKUP(B16,Competitors!$A$2:$I$650,2,FALSE))))</f>
        <v>Laura Davison</v>
      </c>
      <c r="I16" s="51">
        <f t="shared" si="1"/>
        <v>0</v>
      </c>
      <c r="J16" t="str">
        <f t="shared" si="2"/>
        <v>X</v>
      </c>
    </row>
    <row r="17" spans="1:10" ht="14.25" x14ac:dyDescent="0.15">
      <c r="A17" s="46" t="s">
        <v>430</v>
      </c>
      <c r="B17" s="47">
        <f t="shared" si="0"/>
        <v>1107</v>
      </c>
      <c r="C17" s="48"/>
      <c r="D17" s="48"/>
      <c r="E17" s="48"/>
      <c r="F17" s="48"/>
      <c r="G17" s="48"/>
      <c r="H17" s="50" t="str">
        <f>IF($B17="","",IF($J17="X",B17,CONCATENATE(VLOOKUP(B17,Competitors!$A$2:$I$650,3,FALSE)," ",VLOOKUP(B17,Competitors!$A$2:$I$650,2,FALSE))))</f>
        <v>Milly Pinnock</v>
      </c>
      <c r="I17" s="51">
        <f t="shared" si="1"/>
        <v>0</v>
      </c>
      <c r="J17" t="str">
        <f t="shared" si="2"/>
        <v/>
      </c>
    </row>
    <row r="18" spans="1:10" ht="14.25" x14ac:dyDescent="0.15">
      <c r="A18" s="46" t="s">
        <v>589</v>
      </c>
      <c r="B18" s="47">
        <f t="shared" si="0"/>
        <v>1048</v>
      </c>
      <c r="C18" s="48"/>
      <c r="D18" s="48"/>
      <c r="E18" s="48"/>
      <c r="F18" s="48" t="s">
        <v>555</v>
      </c>
      <c r="G18" s="48"/>
      <c r="H18" s="50" t="str">
        <f>IF($B18="","",IF($J18="X",B18,CONCATENATE(VLOOKUP(B18,Competitors!$A$2:$I$650,3,FALSE)," ",VLOOKUP(B18,Competitors!$A$2:$I$650,2,FALSE))))</f>
        <v>Andy Smith</v>
      </c>
      <c r="I18" s="51">
        <f t="shared" si="1"/>
        <v>0</v>
      </c>
      <c r="J18" t="str">
        <f t="shared" si="2"/>
        <v/>
      </c>
    </row>
    <row r="19" spans="1:10" ht="14.25" x14ac:dyDescent="0.15">
      <c r="A19" s="61" t="s">
        <v>590</v>
      </c>
      <c r="B19" s="47" t="str">
        <f t="shared" si="0"/>
        <v>Geoff Stanbridge (Ratae)</v>
      </c>
      <c r="C19" s="48"/>
      <c r="D19" s="48"/>
      <c r="E19" s="48"/>
      <c r="F19" s="48"/>
      <c r="G19" s="48"/>
      <c r="H19" s="50" t="str">
        <f>IF($B19="","",IF($J19="X",B19,CONCATENATE(VLOOKUP(B19,Competitors!$A$2:$I$650,3,FALSE)," ",VLOOKUP(B19,Competitors!$A$2:$I$650,2,FALSE))))</f>
        <v>Geoff Stanbridge (Ratae)</v>
      </c>
      <c r="I19" s="51">
        <f t="shared" si="1"/>
        <v>0</v>
      </c>
      <c r="J19" t="str">
        <f t="shared" si="2"/>
        <v>X</v>
      </c>
    </row>
    <row r="20" spans="1:10" ht="14.25" x14ac:dyDescent="0.15">
      <c r="A20" s="46" t="s">
        <v>431</v>
      </c>
      <c r="B20" s="47">
        <f t="shared" si="0"/>
        <v>616</v>
      </c>
      <c r="C20" s="48"/>
      <c r="D20" s="48"/>
      <c r="E20" s="48"/>
      <c r="F20" s="48"/>
      <c r="G20" s="48"/>
      <c r="H20" s="50" t="str">
        <f>IF($B20="","",IF($J20="X",B20,CONCATENATE(VLOOKUP(B20,Competitors!$A$2:$I$650,3,FALSE)," ",VLOOKUP(B20,Competitors!$A$2:$I$650,2,FALSE))))</f>
        <v>Simon Ward</v>
      </c>
      <c r="I20" s="51">
        <f t="shared" si="1"/>
        <v>0</v>
      </c>
      <c r="J20" t="str">
        <f t="shared" si="2"/>
        <v/>
      </c>
    </row>
    <row r="21" spans="1:10" ht="14.25" x14ac:dyDescent="0.15">
      <c r="A21" s="46" t="s">
        <v>538</v>
      </c>
      <c r="B21" s="47" t="str">
        <f t="shared" si="0"/>
        <v>Hudson Hendry (Ride Revolution)</v>
      </c>
      <c r="C21" s="48"/>
      <c r="D21" s="48"/>
      <c r="E21" s="48"/>
      <c r="F21" s="48" t="s">
        <v>555</v>
      </c>
      <c r="G21" s="48"/>
      <c r="H21" s="50" t="str">
        <f>IF($B21="","",IF($J21="X",B21,CONCATENATE(VLOOKUP(B21,Competitors!$A$2:$I$650,3,FALSE)," ",VLOOKUP(B21,Competitors!$A$2:$I$650,2,FALSE))))</f>
        <v>Hudson Hendry (Ride Revolution)</v>
      </c>
      <c r="I21" s="51">
        <f t="shared" si="1"/>
        <v>0</v>
      </c>
      <c r="J21" t="str">
        <f t="shared" si="2"/>
        <v>X</v>
      </c>
    </row>
    <row r="22" spans="1:10" ht="14.25" x14ac:dyDescent="0.15">
      <c r="A22" s="46" t="s">
        <v>508</v>
      </c>
      <c r="B22" s="47" t="str">
        <f t="shared" si="0"/>
        <v>Brian Lincoln (Ratae)</v>
      </c>
      <c r="C22" s="48"/>
      <c r="D22" s="48"/>
      <c r="E22" s="48"/>
      <c r="F22" s="48"/>
      <c r="G22" s="48"/>
      <c r="H22" s="50" t="str">
        <f>IF($B22="","",IF($J22="X",B22,CONCATENATE(VLOOKUP(B22,Competitors!$A$2:$I$650,3,FALSE)," ",VLOOKUP(B22,Competitors!$A$2:$I$650,2,FALSE))))</f>
        <v>Brian Lincoln (Ratae)</v>
      </c>
      <c r="I22" s="51">
        <f t="shared" si="1"/>
        <v>0</v>
      </c>
      <c r="J22" t="str">
        <f t="shared" si="2"/>
        <v>X</v>
      </c>
    </row>
    <row r="23" spans="1:10" ht="14.25" x14ac:dyDescent="0.15">
      <c r="A23" s="46" t="s">
        <v>440</v>
      </c>
      <c r="B23" s="47">
        <f t="shared" si="0"/>
        <v>23</v>
      </c>
      <c r="C23" s="48"/>
      <c r="D23" s="48"/>
      <c r="E23" s="48"/>
      <c r="F23" s="48"/>
      <c r="G23" s="48"/>
      <c r="H23" s="50" t="str">
        <f>IF($B23="","",IF($J23="X",B23,CONCATENATE(VLOOKUP(B23,Competitors!$A$2:$I$650,3,FALSE)," ",VLOOKUP(B23,Competitors!$A$2:$I$650,2,FALSE))))</f>
        <v>Chris Hyde</v>
      </c>
      <c r="I23" s="51">
        <f t="shared" si="1"/>
        <v>0</v>
      </c>
      <c r="J23" t="str">
        <f t="shared" si="2"/>
        <v/>
      </c>
    </row>
    <row r="24" spans="1:10" ht="14.25" x14ac:dyDescent="0.15">
      <c r="A24" s="46" t="s">
        <v>517</v>
      </c>
      <c r="B24" s="47" t="str">
        <f t="shared" si="0"/>
        <v>Mark Newton (Ratae)</v>
      </c>
      <c r="C24" s="48"/>
      <c r="D24" s="48"/>
      <c r="E24" s="48"/>
      <c r="F24" s="48" t="s">
        <v>555</v>
      </c>
      <c r="G24" s="48"/>
      <c r="H24" s="50" t="str">
        <f>IF($B24="","",IF($J24="X",B24,CONCATENATE(VLOOKUP(B24,Competitors!$A$2:$I$650,3,FALSE)," ",VLOOKUP(B24,Competitors!$A$2:$I$650,2,FALSE))))</f>
        <v>Mark Newton (Ratae)</v>
      </c>
      <c r="I24" s="51">
        <f t="shared" si="1"/>
        <v>0</v>
      </c>
      <c r="J24" t="str">
        <f t="shared" si="2"/>
        <v>X</v>
      </c>
    </row>
    <row r="25" spans="1:10" ht="14.25" x14ac:dyDescent="0.15">
      <c r="A25" s="46" t="s">
        <v>441</v>
      </c>
      <c r="B25" s="47">
        <f t="shared" si="0"/>
        <v>245</v>
      </c>
      <c r="C25" s="48"/>
      <c r="D25" s="48"/>
      <c r="E25" s="48"/>
      <c r="F25" s="48"/>
      <c r="G25" s="48"/>
      <c r="H25" s="50" t="str">
        <f>IF($B25="","",IF($J25="X",B25,CONCATENATE(VLOOKUP(B25,Competitors!$A$2:$I$650,3,FALSE)," ",VLOOKUP(B25,Competitors!$A$2:$I$650,2,FALSE))))</f>
        <v>David Reay</v>
      </c>
      <c r="I25" s="51">
        <f t="shared" si="1"/>
        <v>0</v>
      </c>
      <c r="J25" t="str">
        <f t="shared" si="2"/>
        <v/>
      </c>
    </row>
    <row r="26" spans="1:10" ht="14.25" x14ac:dyDescent="0.15">
      <c r="A26" s="46" t="s">
        <v>418</v>
      </c>
      <c r="B26" s="47">
        <f t="shared" si="0"/>
        <v>1152</v>
      </c>
      <c r="C26" s="48"/>
      <c r="D26" s="48"/>
      <c r="E26" s="48"/>
      <c r="F26" s="48"/>
      <c r="G26" s="48"/>
      <c r="H26" s="50" t="str">
        <f>IF($B26="","",IF($J26="X",B26,CONCATENATE(VLOOKUP(B26,Competitors!$A$2:$I$650,3,FALSE)," ",VLOOKUP(B26,Competitors!$A$2:$I$650,2,FALSE))))</f>
        <v>Ruby Isaac</v>
      </c>
      <c r="I26" s="51">
        <f t="shared" si="1"/>
        <v>0</v>
      </c>
      <c r="J26" t="str">
        <f t="shared" si="2"/>
        <v/>
      </c>
    </row>
    <row r="27" spans="1:10" ht="14.25" x14ac:dyDescent="0.15">
      <c r="A27" s="46" t="s">
        <v>591</v>
      </c>
      <c r="B27" s="47">
        <f t="shared" si="0"/>
        <v>704</v>
      </c>
      <c r="C27" s="48"/>
      <c r="D27" s="48"/>
      <c r="E27" s="48"/>
      <c r="F27" s="48" t="s">
        <v>555</v>
      </c>
      <c r="G27" s="48"/>
      <c r="H27" s="50" t="str">
        <f>IF($B27="","",IF($J27="X",B27,CONCATENATE(VLOOKUP(B27,Competitors!$A$2:$I$650,3,FALSE)," ",VLOOKUP(B27,Competitors!$A$2:$I$650,2,FALSE))))</f>
        <v>Chris Dainty</v>
      </c>
      <c r="I27" s="51">
        <f t="shared" si="1"/>
        <v>0</v>
      </c>
      <c r="J27" t="str">
        <f t="shared" si="2"/>
        <v/>
      </c>
    </row>
    <row r="28" spans="1:10" ht="14.25" x14ac:dyDescent="0.15">
      <c r="A28" s="46" t="s">
        <v>457</v>
      </c>
      <c r="B28" s="47">
        <f t="shared" si="0"/>
        <v>295</v>
      </c>
      <c r="C28" s="48"/>
      <c r="D28" s="48"/>
      <c r="E28" s="48"/>
      <c r="F28" s="48" t="s">
        <v>555</v>
      </c>
      <c r="G28" s="48"/>
      <c r="H28" s="50" t="str">
        <f>IF($B28="","",IF($J28="X",B28,CONCATENATE(VLOOKUP(B28,Competitors!$A$2:$I$650,3,FALSE)," ",VLOOKUP(B28,Competitors!$A$2:$I$650,2,FALSE))))</f>
        <v>Stuart Dawkins</v>
      </c>
      <c r="I28" s="51">
        <f t="shared" si="1"/>
        <v>0</v>
      </c>
      <c r="J28" t="str">
        <f t="shared" si="2"/>
        <v/>
      </c>
    </row>
    <row r="29" spans="1:10" ht="14.25" x14ac:dyDescent="0.15">
      <c r="A29" s="46" t="s">
        <v>423</v>
      </c>
      <c r="B29" s="47">
        <f t="shared" si="0"/>
        <v>1407</v>
      </c>
      <c r="C29" s="48"/>
      <c r="D29" s="48"/>
      <c r="E29" s="48"/>
      <c r="F29" s="48" t="s">
        <v>555</v>
      </c>
      <c r="G29" s="48"/>
      <c r="H29" s="50" t="str">
        <f>IF($B29="","",IF($J29="X",B29,CONCATENATE(VLOOKUP(B29,Competitors!$A$2:$I$650,3,FALSE)," ",VLOOKUP(B29,Competitors!$A$2:$I$650,2,FALSE))))</f>
        <v>Colin Dobson</v>
      </c>
      <c r="I29" s="51">
        <f t="shared" si="1"/>
        <v>0</v>
      </c>
      <c r="J29" t="str">
        <f t="shared" si="2"/>
        <v/>
      </c>
    </row>
    <row r="30" spans="1:10" ht="14.25" x14ac:dyDescent="0.15">
      <c r="A30" s="46" t="s">
        <v>422</v>
      </c>
      <c r="B30" s="47">
        <f t="shared" si="0"/>
        <v>415</v>
      </c>
      <c r="C30" s="48"/>
      <c r="D30" s="48"/>
      <c r="E30" s="48"/>
      <c r="F30" s="48" t="s">
        <v>555</v>
      </c>
      <c r="G30" s="48"/>
      <c r="H30" s="50" t="str">
        <f>IF($B30="","",IF($J30="X",B30,CONCATENATE(VLOOKUP(B30,Competitors!$A$2:$I$650,3,FALSE)," ",VLOOKUP(B30,Competitors!$A$2:$I$650,2,FALSE))))</f>
        <v>Nik Kershaw</v>
      </c>
      <c r="I30" s="51">
        <f t="shared" si="1"/>
        <v>0</v>
      </c>
      <c r="J30" t="str">
        <f t="shared" si="2"/>
        <v/>
      </c>
    </row>
    <row r="31" spans="1:10" ht="14.25" x14ac:dyDescent="0.15">
      <c r="A31" s="46" t="s">
        <v>424</v>
      </c>
      <c r="B31" s="47">
        <f t="shared" si="0"/>
        <v>35</v>
      </c>
      <c r="C31" s="48"/>
      <c r="D31" s="48"/>
      <c r="E31" s="48"/>
      <c r="F31" s="48"/>
      <c r="G31" s="48"/>
      <c r="H31" s="50" t="str">
        <f>IF($B31="","",IF($J31="X",B31,CONCATENATE(VLOOKUP(B31,Competitors!$A$2:$I$650,3,FALSE)," ",VLOOKUP(B31,Competitors!$A$2:$I$650,2,FALSE))))</f>
        <v>Matt Plews</v>
      </c>
      <c r="I31" s="51">
        <f t="shared" si="1"/>
        <v>0</v>
      </c>
      <c r="J31" t="str">
        <f t="shared" si="2"/>
        <v/>
      </c>
    </row>
    <row r="32" spans="1:10" ht="14.25" x14ac:dyDescent="0.15">
      <c r="A32" s="46" t="s">
        <v>414</v>
      </c>
      <c r="B32" s="47">
        <f t="shared" si="0"/>
        <v>989</v>
      </c>
      <c r="C32" s="48"/>
      <c r="D32" s="48"/>
      <c r="E32" s="48"/>
      <c r="F32" s="48" t="s">
        <v>555</v>
      </c>
      <c r="G32" s="48"/>
      <c r="H32" s="50" t="str">
        <f>IF($B32="","",IF($J32="X",B32,CONCATENATE(VLOOKUP(B32,Competitors!$A$2:$I$650,3,FALSE)," ",VLOOKUP(B32,Competitors!$A$2:$I$650,2,FALSE))))</f>
        <v>Jason Williams</v>
      </c>
      <c r="I32" s="51">
        <f t="shared" si="1"/>
        <v>0</v>
      </c>
      <c r="J32" t="str">
        <f t="shared" si="2"/>
        <v/>
      </c>
    </row>
    <row r="33" spans="1:10" ht="14.25" x14ac:dyDescent="0.15">
      <c r="A33" s="46" t="s">
        <v>413</v>
      </c>
      <c r="B33" s="47">
        <f t="shared" si="0"/>
        <v>1144</v>
      </c>
      <c r="C33" s="48"/>
      <c r="D33" s="48"/>
      <c r="E33" s="48"/>
      <c r="F33" s="48"/>
      <c r="G33" s="48"/>
      <c r="H33" s="50" t="str">
        <f>IF($B33="","",IF($J33="X",B33,CONCATENATE(VLOOKUP(B33,Competitors!$A$2:$I$650,3,FALSE)," ",VLOOKUP(B33,Competitors!$A$2:$I$650,2,FALSE))))</f>
        <v>Jamie Kershaw</v>
      </c>
      <c r="I33" s="51">
        <f t="shared" si="1"/>
        <v>0</v>
      </c>
      <c r="J33" t="str">
        <f t="shared" si="2"/>
        <v/>
      </c>
    </row>
    <row r="34" spans="1:10" ht="14.25" x14ac:dyDescent="0.15">
      <c r="A34" s="46" t="s">
        <v>592</v>
      </c>
      <c r="B34" s="47">
        <f t="shared" ref="B34:B97" si="3">IF(A34="","",_xlfn.XLOOKUP(A34,ClubNames,ClubNumbers,_xlfn.XLOOKUP(A34,RoundRobinRiderNames,RoundRobinRiderDecoratedNames,A34)))</f>
        <v>1370</v>
      </c>
      <c r="C34" s="48"/>
      <c r="D34" s="48"/>
      <c r="E34" s="48"/>
      <c r="F34" s="48"/>
      <c r="G34" s="48"/>
      <c r="H34" s="50" t="str">
        <f>IF($B34="","",IF($J34="X",B34,CONCATENATE(VLOOKUP(B34,Competitors!$A$2:$I$650,3,FALSE)," ",VLOOKUP(B34,Competitors!$A$2:$I$650,2,FALSE))))</f>
        <v>Ian Aldridge</v>
      </c>
      <c r="I34" s="51">
        <f t="shared" si="1"/>
        <v>0</v>
      </c>
      <c r="J34" t="str">
        <f t="shared" si="2"/>
        <v/>
      </c>
    </row>
    <row r="35" spans="1:10" ht="14.25" x14ac:dyDescent="0.15">
      <c r="A35" s="46" t="s">
        <v>429</v>
      </c>
      <c r="B35" s="47">
        <f t="shared" si="3"/>
        <v>1237</v>
      </c>
      <c r="C35" s="48"/>
      <c r="D35" s="48"/>
      <c r="E35" s="48"/>
      <c r="F35" s="48" t="s">
        <v>555</v>
      </c>
      <c r="G35" s="48"/>
      <c r="H35" s="50" t="str">
        <f>IF($B35="","",IF($J35="X",B35,CONCATENATE(VLOOKUP(B35,Competitors!$A$2:$I$650,3,FALSE)," ",VLOOKUP(B35,Competitors!$A$2:$I$650,2,FALSE))))</f>
        <v>John Abbott</v>
      </c>
      <c r="I35" s="51">
        <f t="shared" si="1"/>
        <v>0</v>
      </c>
      <c r="J35" t="str">
        <f t="shared" si="2"/>
        <v/>
      </c>
    </row>
    <row r="36" spans="1:10" ht="14.25" x14ac:dyDescent="0.15">
      <c r="A36" s="46" t="s">
        <v>593</v>
      </c>
      <c r="B36" s="47" t="str">
        <f t="shared" si="3"/>
        <v>Brian Harman</v>
      </c>
      <c r="C36" s="48"/>
      <c r="D36" s="48"/>
      <c r="E36" s="48"/>
      <c r="F36" s="48" t="s">
        <v>555</v>
      </c>
      <c r="G36" s="48"/>
      <c r="H36" s="50" t="str">
        <f>IF($B36="","",IF($J36="X",B36,CONCATENATE(VLOOKUP(B36,Competitors!$A$2:$I$650,3,FALSE)," ",VLOOKUP(B36,Competitors!$A$2:$I$650,2,FALSE))))</f>
        <v>Brian Harman</v>
      </c>
      <c r="I36" s="51">
        <f t="shared" si="1"/>
        <v>0</v>
      </c>
      <c r="J36" t="str">
        <f t="shared" si="2"/>
        <v>X</v>
      </c>
    </row>
    <row r="37" spans="1:10" ht="14.25" x14ac:dyDescent="0.15">
      <c r="A37" s="46" t="s">
        <v>594</v>
      </c>
      <c r="B37" s="47" t="str">
        <f t="shared" si="3"/>
        <v>Jonathan Clarke</v>
      </c>
      <c r="C37" s="48"/>
      <c r="D37" s="48"/>
      <c r="E37" s="48"/>
      <c r="F37" s="48"/>
      <c r="G37" s="48"/>
      <c r="H37" s="50" t="str">
        <f>IF($B37="","",IF($J37="X",B37,CONCATENATE(VLOOKUP(B37,Competitors!$A$2:$I$650,3,FALSE)," ",VLOOKUP(B37,Competitors!$A$2:$I$650,2,FALSE))))</f>
        <v>Jonathan Clarke</v>
      </c>
      <c r="I37" s="51">
        <f t="shared" si="1"/>
        <v>0</v>
      </c>
      <c r="J37" t="str">
        <f t="shared" si="2"/>
        <v>X</v>
      </c>
    </row>
    <row r="38" spans="1:10" ht="14.25" x14ac:dyDescent="0.15">
      <c r="A38" s="46" t="s">
        <v>537</v>
      </c>
      <c r="B38" s="47" t="str">
        <f t="shared" si="3"/>
        <v>Phil Wilkinson (RFW)</v>
      </c>
      <c r="C38" s="48"/>
      <c r="D38" s="48"/>
      <c r="E38" s="48"/>
      <c r="F38" s="48"/>
      <c r="G38" s="48"/>
      <c r="H38" s="50" t="str">
        <f>IF($B38="","",IF($J38="X",B38,CONCATENATE(VLOOKUP(B38,Competitors!$A$2:$I$650,3,FALSE)," ",VLOOKUP(B38,Competitors!$A$2:$I$650,2,FALSE))))</f>
        <v>Phil Wilkinson (RFW)</v>
      </c>
      <c r="I38" s="51">
        <f t="shared" si="1"/>
        <v>0</v>
      </c>
      <c r="J38" t="str">
        <f t="shared" si="2"/>
        <v>X</v>
      </c>
    </row>
    <row r="39" spans="1:10" ht="14.25" x14ac:dyDescent="0.15">
      <c r="A39" s="46" t="s">
        <v>432</v>
      </c>
      <c r="B39" s="47">
        <f t="shared" si="3"/>
        <v>1403</v>
      </c>
      <c r="C39" s="48"/>
      <c r="D39" s="48"/>
      <c r="E39" s="48"/>
      <c r="F39" s="48"/>
      <c r="G39" s="48"/>
      <c r="H39" s="50" t="str">
        <f>IF($B39="","",IF($J39="X",B39,CONCATENATE(VLOOKUP(B39,Competitors!$A$2:$I$650,3,FALSE)," ",VLOOKUP(B39,Competitors!$A$2:$I$650,2,FALSE))))</f>
        <v>Toby Lenehan</v>
      </c>
      <c r="I39" s="51">
        <f t="shared" si="1"/>
        <v>0</v>
      </c>
      <c r="J39" t="str">
        <f t="shared" si="2"/>
        <v/>
      </c>
    </row>
    <row r="40" spans="1:10" ht="14.25" x14ac:dyDescent="0.15">
      <c r="A40" s="46" t="s">
        <v>453</v>
      </c>
      <c r="B40" s="47">
        <f t="shared" si="3"/>
        <v>1404</v>
      </c>
      <c r="C40" s="48"/>
      <c r="D40" s="48"/>
      <c r="E40" s="48"/>
      <c r="F40" s="48"/>
      <c r="G40" s="48"/>
      <c r="H40" s="50" t="str">
        <f>IF($B40="","",IF($J40="X",B40,CONCATENATE(VLOOKUP(B40,Competitors!$A$2:$I$650,3,FALSE)," ",VLOOKUP(B40,Competitors!$A$2:$I$650,2,FALSE))))</f>
        <v>Millie Lenehan</v>
      </c>
      <c r="I40" s="51">
        <f t="shared" si="1"/>
        <v>0</v>
      </c>
      <c r="J40" t="str">
        <f t="shared" si="2"/>
        <v/>
      </c>
    </row>
    <row r="41" spans="1:10" ht="14.25" x14ac:dyDescent="0.15">
      <c r="A41" s="46" t="s">
        <v>412</v>
      </c>
      <c r="B41" s="47">
        <f t="shared" si="3"/>
        <v>407</v>
      </c>
      <c r="C41" s="48"/>
      <c r="D41" s="48"/>
      <c r="E41" s="48"/>
      <c r="F41" s="48"/>
      <c r="G41" s="48"/>
      <c r="H41" s="50" t="str">
        <f>IF($B41="","",IF($J41="X",B41,CONCATENATE(VLOOKUP(B41,Competitors!$A$2:$I$650,3,FALSE)," ",VLOOKUP(B41,Competitors!$A$2:$I$650,2,FALSE))))</f>
        <v>Hans van Nierop</v>
      </c>
      <c r="I41" s="51">
        <f t="shared" si="1"/>
        <v>0</v>
      </c>
      <c r="J41" t="str">
        <f t="shared" si="2"/>
        <v/>
      </c>
    </row>
    <row r="42" spans="1:10" ht="14.25" x14ac:dyDescent="0.15">
      <c r="A42" s="46" t="s">
        <v>421</v>
      </c>
      <c r="B42" s="47">
        <f t="shared" si="3"/>
        <v>1192</v>
      </c>
      <c r="C42" s="48"/>
      <c r="D42" s="48"/>
      <c r="E42" s="48"/>
      <c r="F42" s="48"/>
      <c r="G42" s="48"/>
      <c r="H42" s="50" t="str">
        <f>IF($B42="","",IF($J42="X",B42,CONCATENATE(VLOOKUP(B42,Competitors!$A$2:$I$650,3,FALSE)," ",VLOOKUP(B42,Competitors!$A$2:$I$650,2,FALSE))))</f>
        <v>Dale Norris</v>
      </c>
      <c r="I42" s="51">
        <f t="shared" si="1"/>
        <v>0</v>
      </c>
      <c r="J42" t="str">
        <f t="shared" si="2"/>
        <v/>
      </c>
    </row>
    <row r="43" spans="1:10" ht="14.25" x14ac:dyDescent="0.15">
      <c r="A43" s="46" t="s">
        <v>416</v>
      </c>
      <c r="B43" s="47">
        <f t="shared" si="3"/>
        <v>1161</v>
      </c>
      <c r="C43" s="48"/>
      <c r="D43" s="48"/>
      <c r="E43" s="48"/>
      <c r="F43" s="48"/>
      <c r="G43" s="48"/>
      <c r="H43" s="50" t="str">
        <f>IF($B43="","",IF($J43="X",B43,CONCATENATE(VLOOKUP(B43,Competitors!$A$2:$I$650,3,FALSE)," ",VLOOKUP(B43,Competitors!$A$2:$I$650,2,FALSE))))</f>
        <v>Maciej Suchocki</v>
      </c>
      <c r="I43" s="51">
        <f t="shared" si="1"/>
        <v>0</v>
      </c>
      <c r="J43" t="str">
        <f t="shared" si="2"/>
        <v/>
      </c>
    </row>
    <row r="44" spans="1:10" ht="14.25" x14ac:dyDescent="0.15">
      <c r="A44" s="46" t="s">
        <v>433</v>
      </c>
      <c r="B44" s="47">
        <f t="shared" si="3"/>
        <v>1112</v>
      </c>
      <c r="C44" s="48"/>
      <c r="D44" s="48"/>
      <c r="E44" s="48"/>
      <c r="F44" s="48" t="s">
        <v>555</v>
      </c>
      <c r="G44" s="48"/>
      <c r="H44" s="50" t="str">
        <f>IF($B44="","",IF($J44="X",B44,CONCATENATE(VLOOKUP(B44,Competitors!$A$2:$I$650,3,FALSE)," ",VLOOKUP(B44,Competitors!$A$2:$I$650,2,FALSE))))</f>
        <v>Gary Ashwell</v>
      </c>
      <c r="I44" s="51">
        <f t="shared" si="1"/>
        <v>0</v>
      </c>
      <c r="J44" t="str">
        <f t="shared" si="2"/>
        <v/>
      </c>
    </row>
    <row r="45" spans="1:10" ht="14.25" x14ac:dyDescent="0.15">
      <c r="A45" s="46" t="s">
        <v>427</v>
      </c>
      <c r="B45" s="47">
        <f t="shared" si="3"/>
        <v>1055</v>
      </c>
      <c r="C45" s="48"/>
      <c r="D45" s="48"/>
      <c r="E45" s="48"/>
      <c r="F45" s="48"/>
      <c r="G45" s="48"/>
      <c r="H45" s="50" t="str">
        <f>IF($B45="","",IF($J45="X",B45,CONCATENATE(VLOOKUP(B45,Competitors!$A$2:$I$650,3,FALSE)," ",VLOOKUP(B45,Competitors!$A$2:$I$650,2,FALSE))))</f>
        <v>Austin Smith</v>
      </c>
      <c r="I45" s="51">
        <f t="shared" si="1"/>
        <v>0</v>
      </c>
      <c r="J45" t="str">
        <f t="shared" si="2"/>
        <v/>
      </c>
    </row>
    <row r="46" spans="1:10" ht="14.25" x14ac:dyDescent="0.15">
      <c r="A46" s="61" t="s">
        <v>586</v>
      </c>
      <c r="B46" s="47" t="str">
        <f t="shared" si="3"/>
        <v>Mike Deely (G Fox)</v>
      </c>
      <c r="C46" s="48"/>
      <c r="D46" s="48"/>
      <c r="E46" s="48"/>
      <c r="F46" s="48"/>
      <c r="G46" s="48"/>
      <c r="H46" s="50" t="str">
        <f>IF($B46="","",IF($J46="X",B46,CONCATENATE(VLOOKUP(B46,Competitors!$A$2:$I$650,3,FALSE)," ",VLOOKUP(B46,Competitors!$A$2:$I$650,2,FALSE))))</f>
        <v>Mike Deely (G Fox)</v>
      </c>
      <c r="I46" s="51">
        <f t="shared" si="1"/>
        <v>0</v>
      </c>
      <c r="J46" t="str">
        <f t="shared" si="2"/>
        <v>X</v>
      </c>
    </row>
    <row r="47" spans="1:10" ht="14.25" x14ac:dyDescent="0.15">
      <c r="A47" s="61" t="s">
        <v>590</v>
      </c>
      <c r="B47" s="47" t="str">
        <f t="shared" si="3"/>
        <v>Geoff Stanbridge (Ratae)</v>
      </c>
      <c r="C47" s="48"/>
      <c r="D47" s="48"/>
      <c r="E47" s="48"/>
      <c r="F47" s="48"/>
      <c r="G47" s="48"/>
      <c r="H47" s="50" t="str">
        <f>IF($B47="","",IF($J47="X",B47,CONCATENATE(VLOOKUP(B47,Competitors!$A$2:$I$650,3,FALSE)," ",VLOOKUP(B47,Competitors!$A$2:$I$650,2,FALSE))))</f>
        <v>Geoff Stanbridge (Ratae)</v>
      </c>
      <c r="I47" s="51">
        <f t="shared" si="1"/>
        <v>0</v>
      </c>
      <c r="J47" t="str">
        <f t="shared" si="2"/>
        <v>X</v>
      </c>
    </row>
    <row r="48" spans="1:10" ht="14.25" x14ac:dyDescent="0.15">
      <c r="A48" s="46" t="s">
        <v>417</v>
      </c>
      <c r="B48" s="47">
        <f t="shared" si="3"/>
        <v>38</v>
      </c>
      <c r="C48" s="48"/>
      <c r="D48" s="48"/>
      <c r="E48" s="48"/>
      <c r="F48" s="48"/>
      <c r="G48" s="48"/>
      <c r="H48" s="50" t="str">
        <f>IF($B48="","",IF($J48="X",B48,CONCATENATE(VLOOKUP(B48,Competitors!$A$2:$I$650,3,FALSE)," ",VLOOKUP(B48,Competitors!$A$2:$I$650,2,FALSE))))</f>
        <v>Phil Rayner</v>
      </c>
      <c r="I48" s="51">
        <f t="shared" si="1"/>
        <v>0</v>
      </c>
      <c r="J48" t="str">
        <f t="shared" si="2"/>
        <v/>
      </c>
    </row>
    <row r="49" spans="1:10" ht="14.25" x14ac:dyDescent="0.15">
      <c r="A49" s="46"/>
      <c r="B49" s="47" t="str">
        <f t="shared" si="3"/>
        <v/>
      </c>
      <c r="C49" s="48"/>
      <c r="D49" s="48"/>
      <c r="E49" s="48"/>
      <c r="F49" s="48"/>
      <c r="G49" s="48"/>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8"/>
      <c r="E50" s="48"/>
      <c r="F50" s="48"/>
      <c r="G50" s="48"/>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8"/>
      <c r="E51" s="48"/>
      <c r="F51" s="48"/>
      <c r="G51" s="48"/>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8"/>
      <c r="E52" s="48"/>
      <c r="F52" s="48"/>
      <c r="G52" s="48"/>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8"/>
      <c r="E53" s="48"/>
      <c r="F53" s="48"/>
      <c r="G53" s="48"/>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8"/>
      <c r="E54" s="48"/>
      <c r="F54" s="48"/>
      <c r="G54" s="48"/>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8"/>
      <c r="E55" s="48"/>
      <c r="F55" s="48"/>
      <c r="G55" s="48"/>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8"/>
      <c r="E56" s="48"/>
      <c r="F56" s="48"/>
      <c r="G56" s="48"/>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8"/>
      <c r="E57" s="48"/>
      <c r="F57" s="48"/>
      <c r="G57" s="48"/>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8"/>
      <c r="E58" s="48"/>
      <c r="F58" s="48"/>
      <c r="G58" s="48"/>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8"/>
      <c r="E59" s="48"/>
      <c r="F59" s="48"/>
      <c r="G59" s="48"/>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8"/>
      <c r="E60" s="48"/>
      <c r="F60" s="48"/>
      <c r="G60" s="48"/>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8"/>
      <c r="E61" s="48"/>
      <c r="F61" s="48"/>
      <c r="G61" s="48"/>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8"/>
      <c r="E62" s="48"/>
      <c r="F62" s="48"/>
      <c r="G62" s="48"/>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8"/>
      <c r="E63" s="48"/>
      <c r="F63" s="48"/>
      <c r="G63" s="48"/>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8"/>
      <c r="E64" s="48"/>
      <c r="F64" s="48"/>
      <c r="G64" s="48"/>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8"/>
      <c r="E65" s="48"/>
      <c r="F65" s="48"/>
      <c r="G65" s="48"/>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8"/>
      <c r="E99" s="48"/>
      <c r="F99" s="48"/>
      <c r="G99" s="48"/>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8"/>
      <c r="E100" s="48"/>
      <c r="F100" s="48"/>
      <c r="G100" s="48"/>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2"/>
  <dimension ref="A1:J104"/>
  <sheetViews>
    <sheetView zoomScale="85" workbookViewId="0">
      <selection activeCell="J10" sqref="J10"/>
    </sheetView>
  </sheetViews>
  <sheetFormatPr defaultColWidth="9.16796875" defaultRowHeight="12.75" x14ac:dyDescent="0.15"/>
  <cols>
    <col min="1" max="1" width="20.90234375" bestFit="1" customWidth="1"/>
    <col min="2" max="2" width="24.0039062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8.1835937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9.39453125" bestFit="1"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2.902343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A20"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4.25" x14ac:dyDescent="0.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4.25" x14ac:dyDescent="0.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4.25" x14ac:dyDescent="0.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4.25" x14ac:dyDescent="0.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4.25" x14ac:dyDescent="0.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4.25" x14ac:dyDescent="0.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4.25" x14ac:dyDescent="0.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4.25" x14ac:dyDescent="0.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4.25" x14ac:dyDescent="0.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4.25" x14ac:dyDescent="0.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4.25" x14ac:dyDescent="0.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4.25" x14ac:dyDescent="0.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4.25" x14ac:dyDescent="0.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4.25" x14ac:dyDescent="0.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4.25" x14ac:dyDescent="0.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4.25" x14ac:dyDescent="0.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4.25" x14ac:dyDescent="0.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4.25" x14ac:dyDescent="0.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4.25" x14ac:dyDescent="0.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4.25" x14ac:dyDescent="0.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4.25" x14ac:dyDescent="0.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4.25" x14ac:dyDescent="0.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4.25" x14ac:dyDescent="0.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4.25" x14ac:dyDescent="0.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4.25" x14ac:dyDescent="0.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4.25" x14ac:dyDescent="0.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4.25" x14ac:dyDescent="0.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4.25" x14ac:dyDescent="0.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4.25" x14ac:dyDescent="0.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4.25" x14ac:dyDescent="0.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4.25" x14ac:dyDescent="0.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4.25" x14ac:dyDescent="0.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4.25" x14ac:dyDescent="0.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4.25" x14ac:dyDescent="0.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4.25" x14ac:dyDescent="0.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4.25" x14ac:dyDescent="0.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4.25" x14ac:dyDescent="0.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4.25" x14ac:dyDescent="0.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4.25" x14ac:dyDescent="0.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4.25" x14ac:dyDescent="0.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4.25" x14ac:dyDescent="0.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4.25" x14ac:dyDescent="0.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4.25" x14ac:dyDescent="0.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4.25" x14ac:dyDescent="0.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4.25" x14ac:dyDescent="0.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4.25" x14ac:dyDescent="0.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4.25" x14ac:dyDescent="0.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4.25" x14ac:dyDescent="0.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4.25" x14ac:dyDescent="0.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4.25" x14ac:dyDescent="0.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4.25" x14ac:dyDescent="0.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4.25" x14ac:dyDescent="0.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4.25" x14ac:dyDescent="0.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4.25" x14ac:dyDescent="0.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4.25" x14ac:dyDescent="0.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4.25" x14ac:dyDescent="0.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4.25" x14ac:dyDescent="0.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4.25" x14ac:dyDescent="0.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4.25" x14ac:dyDescent="0.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4.25" x14ac:dyDescent="0.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4.25" x14ac:dyDescent="0.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4.25" x14ac:dyDescent="0.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4.25" x14ac:dyDescent="0.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4.25" x14ac:dyDescent="0.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4.25" x14ac:dyDescent="0.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4.25" x14ac:dyDescent="0.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4.25" x14ac:dyDescent="0.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4.25" x14ac:dyDescent="0.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4.25" x14ac:dyDescent="0.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4.25" x14ac:dyDescent="0.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4.25" x14ac:dyDescent="0.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4.25" x14ac:dyDescent="0.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4.25" x14ac:dyDescent="0.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4.25" x14ac:dyDescent="0.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4.25" x14ac:dyDescent="0.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4.25" x14ac:dyDescent="0.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4.25" x14ac:dyDescent="0.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4.25" x14ac:dyDescent="0.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4.25" x14ac:dyDescent="0.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4.25" x14ac:dyDescent="0.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4.25" x14ac:dyDescent="0.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4.25" x14ac:dyDescent="0.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4.25" x14ac:dyDescent="0.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4.25" x14ac:dyDescent="0.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4.25" x14ac:dyDescent="0.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4.25" x14ac:dyDescent="0.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4.25" x14ac:dyDescent="0.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4.25" x14ac:dyDescent="0.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4.25" x14ac:dyDescent="0.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4.25" x14ac:dyDescent="0.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4.25" x14ac:dyDescent="0.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4.25" x14ac:dyDescent="0.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4.25" x14ac:dyDescent="0.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4.25" x14ac:dyDescent="0.15">
      <c r="A98" s="46"/>
      <c r="B98" s="59" t="str">
        <f t="shared" ref="B98:B101" si="6">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4.25" x14ac:dyDescent="0.15">
      <c r="A99" s="46"/>
      <c r="B99" s="59" t="str">
        <f t="shared" si="6"/>
        <v/>
      </c>
      <c r="C99" s="60"/>
      <c r="D99" s="60"/>
      <c r="E99" s="60"/>
      <c r="F99" s="60"/>
      <c r="G99" s="60"/>
      <c r="H99" s="50" t="str">
        <f>IF($B99="","",IF($J99="X",B99,CONCATENATE(VLOOKUP(B99,Competitors!$A$2:$I$650,3,FALSE)," ",VLOOKUP(B99,Competitors!$A$2:$I$650,2,FALSE))))</f>
        <v/>
      </c>
      <c r="I99" s="51">
        <f t="shared" si="4"/>
        <v>0</v>
      </c>
      <c r="J99" t="str">
        <f t="shared" si="5"/>
        <v/>
      </c>
    </row>
    <row r="100" spans="1:10" ht="14.25" x14ac:dyDescent="0.15">
      <c r="A100" s="46"/>
      <c r="B100" s="59" t="str">
        <f t="shared" si="6"/>
        <v/>
      </c>
      <c r="C100" s="60"/>
      <c r="D100" s="60"/>
      <c r="E100" s="60"/>
      <c r="F100" s="60"/>
      <c r="G100" s="60"/>
      <c r="H100" s="50" t="str">
        <f>IF($B100="","",IF($J100="X",B100,CONCATENATE(VLOOKUP(B100,Competitors!$A$2:$I$650,3, FALSE)," ",VLOOKUP(B100,Competitors!$A$2:$I$650,2,FALSE))))</f>
        <v/>
      </c>
      <c r="I100" s="51">
        <f t="shared" si="4"/>
        <v>0</v>
      </c>
      <c r="J100" t="str">
        <f t="shared" si="5"/>
        <v/>
      </c>
    </row>
    <row r="101" spans="1:10" ht="14.25" x14ac:dyDescent="0.15">
      <c r="A101" s="46"/>
      <c r="B101" s="59" t="str">
        <f t="shared" si="6"/>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58"/>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58"/>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zoomScale="75" workbookViewId="0">
      <selection activeCell="B26" sqref="B2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topLeftCell="A7"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38" bestFit="1" customWidth="1"/>
    <col min="10" max="10" width="19.28125" bestFit="1" customWidth="1"/>
  </cols>
  <sheetData>
    <row r="1" spans="1:10" ht="15.75" customHeight="1" x14ac:dyDescent="0.15">
      <c r="A1" s="39" t="s">
        <v>546</v>
      </c>
      <c r="B1" s="40" t="s">
        <v>547</v>
      </c>
      <c r="C1" s="41" t="s">
        <v>548</v>
      </c>
      <c r="D1" s="42" t="s">
        <v>549</v>
      </c>
      <c r="E1" s="43" t="s">
        <v>550</v>
      </c>
      <c r="F1" s="44" t="s">
        <v>551</v>
      </c>
      <c r="G1" s="44" t="s">
        <v>552</v>
      </c>
      <c r="H1" s="39" t="s">
        <v>463</v>
      </c>
      <c r="I1" s="45" t="s">
        <v>553</v>
      </c>
      <c r="J1" t="s">
        <v>554</v>
      </c>
    </row>
    <row r="2" spans="1:10" ht="14.25" x14ac:dyDescent="0.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4.25" x14ac:dyDescent="0.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4.25" x14ac:dyDescent="0.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4.25" x14ac:dyDescent="0.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4.25" x14ac:dyDescent="0.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4.25" x14ac:dyDescent="0.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4.25" x14ac:dyDescent="0.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4.25" x14ac:dyDescent="0.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4.25" x14ac:dyDescent="0.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4.25" x14ac:dyDescent="0.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4.25" x14ac:dyDescent="0.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4.25" x14ac:dyDescent="0.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4.25" x14ac:dyDescent="0.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4.25" x14ac:dyDescent="0.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4.25" x14ac:dyDescent="0.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4.25" x14ac:dyDescent="0.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4.25" x14ac:dyDescent="0.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4.25" x14ac:dyDescent="0.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4.25" x14ac:dyDescent="0.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4.25" x14ac:dyDescent="0.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4.25" x14ac:dyDescent="0.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4.25" x14ac:dyDescent="0.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4.25" x14ac:dyDescent="0.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4.25" x14ac:dyDescent="0.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4.25" x14ac:dyDescent="0.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4.25" x14ac:dyDescent="0.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4.25" x14ac:dyDescent="0.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4.25" x14ac:dyDescent="0.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4.25" x14ac:dyDescent="0.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4.25" x14ac:dyDescent="0.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4.25" x14ac:dyDescent="0.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4.25" x14ac:dyDescent="0.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4.25" x14ac:dyDescent="0.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4.25" x14ac:dyDescent="0.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4.25" x14ac:dyDescent="0.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4.25" x14ac:dyDescent="0.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4.25" x14ac:dyDescent="0.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4.25" x14ac:dyDescent="0.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4.25" x14ac:dyDescent="0.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4.25" x14ac:dyDescent="0.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4.25" x14ac:dyDescent="0.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4.25" x14ac:dyDescent="0.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4.25" x14ac:dyDescent="0.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4.25" x14ac:dyDescent="0.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4.25" x14ac:dyDescent="0.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4.25" x14ac:dyDescent="0.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4.25" x14ac:dyDescent="0.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4.25" x14ac:dyDescent="0.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4.25" x14ac:dyDescent="0.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4.25" x14ac:dyDescent="0.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4.25" x14ac:dyDescent="0.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4.25" x14ac:dyDescent="0.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4.25" x14ac:dyDescent="0.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4.25" x14ac:dyDescent="0.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4.25" x14ac:dyDescent="0.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4.25" x14ac:dyDescent="0.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4.25" x14ac:dyDescent="0.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4.25" x14ac:dyDescent="0.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4.25" x14ac:dyDescent="0.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4.25" x14ac:dyDescent="0.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4.25" x14ac:dyDescent="0.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4.25" x14ac:dyDescent="0.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4.25" x14ac:dyDescent="0.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4.25" x14ac:dyDescent="0.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4.25" x14ac:dyDescent="0.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4.25" x14ac:dyDescent="0.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4.25" x14ac:dyDescent="0.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4.25" x14ac:dyDescent="0.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4.25" x14ac:dyDescent="0.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4.25" x14ac:dyDescent="0.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4.25" x14ac:dyDescent="0.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4.25" x14ac:dyDescent="0.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4.25" x14ac:dyDescent="0.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4.25" x14ac:dyDescent="0.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4.25" x14ac:dyDescent="0.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4.25" x14ac:dyDescent="0.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4.25" x14ac:dyDescent="0.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4.25" x14ac:dyDescent="0.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4.25" x14ac:dyDescent="0.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4.25" x14ac:dyDescent="0.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4.25" x14ac:dyDescent="0.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4.25" x14ac:dyDescent="0.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4.25" x14ac:dyDescent="0.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4.25" x14ac:dyDescent="0.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4.25" x14ac:dyDescent="0.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4.25" x14ac:dyDescent="0.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4.25" x14ac:dyDescent="0.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4.25" x14ac:dyDescent="0.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4.25" x14ac:dyDescent="0.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4.25" x14ac:dyDescent="0.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4.25" x14ac:dyDescent="0.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4.25" x14ac:dyDescent="0.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4.25" x14ac:dyDescent="0.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4.25" x14ac:dyDescent="0.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4.25" x14ac:dyDescent="0.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4.25" x14ac:dyDescent="0.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4.25" x14ac:dyDescent="0.15">
      <c r="A98" s="46"/>
      <c r="B98" s="47" t="str">
        <f t="shared" ref="B98:B101" si="6">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4.25" x14ac:dyDescent="0.15">
      <c r="A99" s="46"/>
      <c r="B99" s="47" t="str">
        <f t="shared" si="6"/>
        <v/>
      </c>
      <c r="C99" s="48"/>
      <c r="D99" s="49"/>
      <c r="E99" s="49"/>
      <c r="F99" s="49"/>
      <c r="G99" s="49"/>
      <c r="H99" s="50" t="str">
        <f>IF($B99="","",IF($J99="X",B99,CONCATENATE(VLOOKUP(B99,Competitors!$A$2:$I$650,3,FALSE)," ",VLOOKUP(B99,Competitors!$A$2:$I$650,2,FALSE))))</f>
        <v/>
      </c>
      <c r="I99" s="51">
        <f t="shared" si="4"/>
        <v>0</v>
      </c>
      <c r="J99" t="str">
        <f t="shared" si="5"/>
        <v/>
      </c>
    </row>
    <row r="100" spans="1:10" ht="14.25" x14ac:dyDescent="0.15">
      <c r="A100" s="46"/>
      <c r="B100" s="47" t="str">
        <f t="shared" si="6"/>
        <v/>
      </c>
      <c r="C100" s="48"/>
      <c r="D100" s="49"/>
      <c r="E100" s="49"/>
      <c r="F100" s="49"/>
      <c r="G100" s="49"/>
      <c r="H100" s="50" t="str">
        <f>IF($B100="","",IF($J100="X",B100,CONCATENATE(VLOOKUP(B100,Competitors!$A$2:$I$650,3, FALSE)," ",VLOOKUP(B100,Competitors!$A$2:$I$650,2,FALSE))))</f>
        <v/>
      </c>
      <c r="I100" s="51">
        <f t="shared" si="4"/>
        <v>0</v>
      </c>
      <c r="J100" t="str">
        <f t="shared" si="5"/>
        <v/>
      </c>
    </row>
    <row r="101" spans="1:10" ht="14.25" x14ac:dyDescent="0.15">
      <c r="A101" s="46"/>
      <c r="B101" s="47" t="str">
        <f t="shared" si="6"/>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x14ac:dyDescent="0.15">
      <c r="I102" s="53"/>
    </row>
    <row r="103" spans="1:10" x14ac:dyDescent="0.15">
      <c r="B103" t="s">
        <v>562</v>
      </c>
      <c r="C103" t="e" cm="1">
        <f t="array" aca="1" ref="C103" ca="1">MID(CELL("filename",B1),FIND("]",CELL("filename",B1))+1,255)</f>
        <v>#VALUE!</v>
      </c>
    </row>
    <row r="104" spans="1:10" x14ac:dyDescent="0.15">
      <c r="B104" t="s">
        <v>563</v>
      </c>
      <c r="C104" t="e">
        <f ca="1">_xlfn.XLOOKUP(C103,Calendar!N:N,Calendar!H:H,"Event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46</vt:i4>
      </vt:variant>
      <vt:variant>
        <vt:lpstr>Named Ranges</vt:lpstr>
      </vt:variant>
      <vt:variant>
        <vt:i4>13</vt:i4>
      </vt:variant>
    </vt:vector>
  </HeadingPairs>
  <TitlesOfParts>
    <vt:vector size="59"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2026-06-15T07:48:03Z</dcterms:modified>
</cp:coreProperties>
</file>