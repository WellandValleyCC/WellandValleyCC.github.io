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DF3B10D-E000-4DF7-BA29-53CD914FE68F}" xr6:coauthVersionLast="47" xr6:coauthVersionMax="47" xr10:uidLastSave="{00000000-0000-0000-0000-000000000000}"/>
  <bookViews>
    <workbookView xWindow="-98" yWindow="-98" windowWidth="28996" windowHeight="17475" firstSheet="33"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B19" i="34"/>
  <c r="I44" i="34"/>
  <c r="B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6" i="18"/>
  <c r="I48" i="29"/>
  <c r="C59" i="18"/>
  <c r="I47" i="29"/>
  <c r="I46" i="29"/>
  <c r="C64" i="18"/>
  <c r="I45" i="29"/>
  <c r="I44" i="29"/>
  <c r="I43" i="29"/>
  <c r="I42" i="29"/>
  <c r="I41" i="29"/>
  <c r="I40" i="29"/>
  <c r="I39" i="29"/>
  <c r="I38" i="29"/>
  <c r="I37" i="29"/>
  <c r="I36" i="29"/>
  <c r="I35" i="29"/>
  <c r="I34" i="29"/>
  <c r="I33" i="29"/>
  <c r="I32" i="29"/>
  <c r="I31" i="29"/>
  <c r="I30" i="29"/>
  <c r="I29" i="29"/>
  <c r="I28" i="29"/>
  <c r="I27" i="29"/>
  <c r="I26" i="29"/>
  <c r="I25" i="29"/>
  <c r="I24" i="29"/>
  <c r="C43" i="18"/>
  <c r="B34" i="34" s="1"/>
  <c r="I23" i="29"/>
  <c r="I22" i="29"/>
  <c r="C33" i="18"/>
  <c r="I21" i="29"/>
  <c r="I20" i="29"/>
  <c r="I19" i="29"/>
  <c r="C38" i="18"/>
  <c r="I18" i="29"/>
  <c r="I17" i="29"/>
  <c r="I16" i="29"/>
  <c r="I15" i="29"/>
  <c r="I14" i="29"/>
  <c r="I13" i="29"/>
  <c r="I12" i="29"/>
  <c r="I11" i="29"/>
  <c r="I10" i="29"/>
  <c r="C34" i="18"/>
  <c r="I9" i="29"/>
  <c r="I8" i="29"/>
  <c r="I7" i="29"/>
  <c r="I6" i="29"/>
  <c r="I5" i="29"/>
  <c r="I4" i="29"/>
  <c r="I3" i="29"/>
  <c r="C4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68" i="18"/>
  <c r="B32" i="34" s="1"/>
  <c r="C77" i="18"/>
  <c r="C76" i="18"/>
  <c r="C79" i="18"/>
  <c r="C78" i="18"/>
  <c r="C16" i="18"/>
  <c r="C19" i="18"/>
  <c r="C60" i="18"/>
  <c r="C71" i="18"/>
  <c r="C70" i="18"/>
  <c r="C18" i="18"/>
  <c r="C57" i="18"/>
  <c r="C74" i="18"/>
  <c r="C73" i="18"/>
  <c r="C72" i="18"/>
  <c r="C69" i="18"/>
  <c r="C67" i="18"/>
  <c r="C66" i="18"/>
  <c r="C65" i="18"/>
  <c r="C63" i="18"/>
  <c r="C62" i="18"/>
  <c r="C61" i="18"/>
  <c r="C58" i="18"/>
  <c r="C56" i="18"/>
  <c r="C55" i="18"/>
  <c r="C54" i="18"/>
  <c r="C53" i="18"/>
  <c r="C52" i="18"/>
  <c r="C51" i="18"/>
  <c r="C50" i="18"/>
  <c r="C49" i="18"/>
  <c r="C48" i="18"/>
  <c r="C47" i="18"/>
  <c r="C45" i="18"/>
  <c r="C44" i="18"/>
  <c r="C42" i="18"/>
  <c r="C41" i="18"/>
  <c r="C39" i="18"/>
  <c r="C37" i="18"/>
  <c r="C36" i="18"/>
  <c r="C35" i="18"/>
  <c r="C32" i="18"/>
  <c r="C31" i="18"/>
  <c r="C75" i="18"/>
  <c r="C30" i="18"/>
  <c r="C29" i="18"/>
  <c r="C28" i="18"/>
  <c r="C27" i="18"/>
  <c r="C26" i="18"/>
  <c r="C25" i="18"/>
  <c r="C24" i="18"/>
  <c r="C23" i="18"/>
  <c r="C22" i="18"/>
  <c r="C21" i="18"/>
  <c r="C20" i="18"/>
  <c r="C17"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J32" i="33" s="1"/>
  <c r="H32" i="33" s="1"/>
  <c r="B50" i="32"/>
  <c r="J50" i="32" s="1"/>
  <c r="H50" i="32" s="1"/>
  <c r="B7" i="33"/>
  <c r="B36" i="32"/>
  <c r="J36" i="32" s="1"/>
  <c r="H36" i="32" s="1"/>
  <c r="B27" i="33"/>
  <c r="B26" i="33"/>
  <c r="B16" i="32"/>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27" i="33"/>
  <c r="H27" i="33" s="1"/>
  <c r="J26" i="33"/>
  <c r="H26" i="33" s="1"/>
  <c r="J16" i="32"/>
  <c r="H16"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19" i="34"/>
  <c r="H19"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<sst xmlns="http://schemas.openxmlformats.org/spreadsheetml/2006/main" count="15348" uniqueCount="645">
  <si>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</si>
  <si>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</si>
  <si>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</si>
  <si>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</si>
  <si>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</si>
  <si>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</si>
  <si>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</si>
  <si>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</si>
  <si>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</si>
  <si>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</si>
  <si>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</si>
  <si>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</si>
  <si>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</si>
  <si>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</si>
  <si>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</si>
  <si>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</si>
  <si>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</si>
  <si>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</si>
  <si>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</si>
  <si>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</si>
  <si>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</si>
  <si>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</si>
  <si>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</si>
  <si>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</si>
  <si>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</si>
  <si>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</si>
  <si>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</si>
  <si>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</si>
  <si>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</si>
  <si>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</si>
  <si>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</si>
  <si>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</si>
  <si>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</si>
  <si>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</si>
  <si>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</si>
  <si>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</si>
  <si>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</si>
  <si>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</si>
  <si>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</si>
  <si>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</si>
  <si>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</si>
  <si>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</si>
  <si>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</si>
  <si>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</si>
  <si>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</si>
  <si>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</si>
  <si>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</si>
  <si>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</si>
  <si>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</si>
  <si>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</si>
  <si>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</si>
  <si>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</si>
  <si>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</si>
  <si>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</si>
  <si>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</si>
  <si>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</si>
  <si>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</si>
  <si>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</si>
  <si>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</si>
  <si>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</si>
  <si>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</si>
  <si>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</si>
  <si>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</si>
  <si>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</si>
  <si>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</si>
  <si>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</si>
  <si>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</si>
  <si>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</si>
  <si>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</si>
  <si>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</si>
  <si>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</si>
  <si>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</si>
  <si>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</si>
  <si>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</si>
  <si>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</si>
  <si>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</si>
  <si>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</si>
  <si>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</si>
  <si>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</si>
  <si>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</si>
  <si>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</si>
  <si>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</si>
  <si>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</si>
  <si>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</si>
  <si>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</si>
  <si>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</si>
  <si>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</si>
  <si>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</si>
  <si>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</si>
  <si>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</si>
  <si>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</si>
  <si>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</si>
  <si>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</si>
  <si>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</si>
  <si>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</si>
  <si>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</si>
  <si>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</si>
  <si>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</si>
  <si>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</si>
  <si>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</si>
  <si>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</si>
  <si>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</si>
  <si>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</si>
  <si>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</si>
  <si>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</si>
  <si>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</si>
  <si>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</si>
  <si>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</si>
  <si>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</si>
  <si>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</si>
  <si>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</si>
  <si>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</si>
  <si>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</si>
  <si>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</si>
  <si>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</si>
  <si>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</si>
  <si>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</si>
  <si>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</si>
  <si>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</si>
  <si>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</si>
  <si>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</si>
  <si>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</si>
  <si>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</si>
  <si>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</si>
  <si>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</si>
  <si>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</si>
  <si>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</si>
  <si>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</si>
  <si>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</si>
  <si>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</si>
  <si>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</si>
  <si>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</si>
  <si>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</si>
  <si>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</si>
  <si>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</si>
  <si>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</si>
  <si>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</si>
  <si>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</si>
  <si>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</si>
  <si>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</si>
  <si>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</si>
  <si>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</si>
  <si>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</si>
  <si>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</si>
  <si>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</si>
  <si>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</si>
  <si>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</si>
  <si>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</si>
  <si>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</si>
  <si>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</si>
  <si>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</si>
  <si>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</si>
  <si>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</si>
  <si>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</si>
  <si>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</si>
  <si>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</si>
  <si>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</si>
  <si>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</si>
  <si>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</si>
  <si>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</si>
  <si>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</si>
  <si>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</si>
  <si>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</si>
  <si>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</si>
  <si>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</si>
  <si>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</si>
  <si>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</si>
  <si>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</si>
  <si>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</si>
  <si>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</si>
  <si>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</si>
  <si>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</si>
  <si>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</si>
  <si>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</si>
  <si>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</si>
  <si>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</si>
  <si>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</si>
  <si>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</si>
  <si>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</si>
  <si>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</si>
  <si>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</si>
  <si>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</si>
  <si>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</si>
  <si>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</si>
  <si>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</si>
  <si>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</si>
  <si>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</si>
  <si>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</si>
  <si>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</si>
  <si>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</si>
  <si>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</si>
  <si>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</si>
  <si>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</si>
  <si>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</si>
  <si>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</si>
  <si>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</si>
  <si>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</si>
  <si>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</si>
  <si>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</si>
  <si>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</si>
  <si>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</si>
  <si>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</si>
  <si>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</si>
  <si>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</si>
  <si>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</si>
  <si>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</si>
  <si>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</si>
  <si>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</si>
  <si>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</si>
  <si>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</si>
  <si>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</si>
  <si>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</si>
  <si>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</si>
  <si>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</si>
  <si>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</si>
  <si>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</si>
  <si>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</si>
  <si>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</si>
  <si>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</si>
  <si>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</si>
  <si>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</si>
  <si>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</si>
  <si>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</si>
  <si>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</si>
  <si>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</si>
  <si>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</si>
  <si>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</si>
  <si>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</si>
  <si>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</si>
  <si>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</si>
  <si>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</si>
  <si>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</si>
  <si>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</si>
  <si>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</si>
  <si>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</si>
  <si>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</si>
  <si>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</si>
  <si>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</si>
  <si>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</si>
  <si>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</si>
  <si>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</si>
  <si>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</si>
  <si>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</si>
  <si>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</si>
  <si>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</si>
  <si>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</si>
  <si>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</si>
  <si>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</si>
  <si>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</si>
  <si>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</si>
  <si>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</si>
  <si>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</si>
  <si>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</si>
  <si>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</si>
  <si>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</si>
  <si>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</si>
  <si>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</si>
  <si>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</si>
  <si>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</si>
  <si>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</si>
  <si>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</si>
  <si>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</si>
  <si>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</si>
  <si>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</si>
  <si>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</si>
  <si>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</si>
  <si>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</si>
  <si>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</si>
  <si>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</si>
  <si>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</si>
  <si>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</si>
  <si>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</si>
  <si>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</si>
  <si>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</si>
  <si>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</si>
  <si>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</si>
  <si>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</si>
  <si>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</si>
  <si>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</si>
  <si>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</si>
  <si>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</si>
  <si>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</si>
  <si>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</si>
  <si>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</si>
  <si>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</si>
  <si>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</si>
  <si>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</si>
  <si>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</si>
  <si>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</si>
  <si>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</si>
  <si>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</si>
  <si>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</si>
  <si>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</si>
  <si>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</si>
  <si>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</si>
  <si>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</si>
  <si>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</si>
  <si>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</si>
  <si>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</si>
  <si>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</si>
  <si>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</si>
  <si>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</si>
  <si>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</si>
  <si>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</si>
  <si>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</si>
  <si>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</si>
  <si>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</si>
  <si>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</si>
  <si>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</si>
  <si>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</si>
  <si>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</si>
  <si>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</si>
  <si>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</si>
  <si>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</si>
  <si>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</si>
  <si>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</si>
  <si>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</si>
  <si>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</si>
  <si>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</si>
  <si>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</si>
  <si>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</si>
  <si>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</si>
  <si>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</si>
  <si>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</si>
  <si>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</si>
  <si>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</si>
  <si>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</si>
  <si>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</si>
  <si>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</si>
  <si>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</si>
  <si>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</si>
  <si>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</si>
  <si>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</si>
  <si>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</si>
  <si>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</si>
  <si>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</si>
  <si>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</si>
  <si>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</si>
  <si>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</si>
  <si>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</si>
  <si>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</si>
  <si>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</si>
  <si>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</si>
  <si>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</si>
  <si>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</si>
  <si>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</si>
  <si>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</si>
  <si>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</si>
  <si>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</si>
  <si>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</si>
  <si>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</si>
  <si>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</si>
  <si>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</si>
  <si>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</si>
  <si>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</si>
  <si>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</si>
  <si>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</si>
  <si>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</si>
  <si>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</si>
  <si>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</si>
  <si>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</si>
  <si>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</si>
  <si>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</si>
  <si>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</si>
  <si>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</si>
  <si>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</si>
  <si>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</si>
  <si>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</si>
  <si>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</si>
  <si>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</si>
  <si>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</si>
  <si>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</si>
  <si>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</si>
  <si>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</si>
  <si>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</si>
  <si>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</si>
  <si>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</si>
  <si>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</si>
  <si>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</si>
  <si>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</si>
  <si>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</si>
  <si>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</si>
  <si>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</si>
  <si>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</si>
  <si>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</si>
  <si>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</si>
  <si>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</si>
  <si>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</si>
  <si>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</si>
  <si>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</si>
  <si>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</si>
  <si>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</si>
  <si>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</si>
  <si>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</si>
  <si>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</si>
  <si>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</si>
  <si>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</si>
  <si>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</si>
  <si>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</si>
  <si>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</si>
  <si>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</si>
  <si>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</si>
  <si>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</si>
  <si>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</si>
  <si>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</si>
  <si>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</si>
  <si>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</si>
  <si>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</si>
  <si>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</si>
  <si>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</si>
  <si>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</si>
  <si>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</si>
  <si>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</si>
  <si>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</si>
  <si>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</si>
  <si>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</si>
  <si>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</si>
  <si>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</si>
  <si>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</si>
  <si>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</si>
  <si>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</si>
  <si>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</si>
  <si>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</si>
  <si>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</si>
  <si>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</si>
  <si>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</si>
  <si>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</si>
  <si>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</si>
  <si>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</si>
  <si>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</si>
  <si>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</si>
  <si>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</si>
  <si>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</si>
  <si>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</si>
  <si>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</si>
  <si>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</si>
  <si>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</si>
  <si>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</si>
  <si>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</si>
  <si>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</si>
  <si>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</si>
  <si>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</si>
  <si>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</si>
  <si>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</si>
  <si>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</si>
  <si>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</si>
  <si>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</si>
  <si>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</si>
  <si>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</si>
  <si>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</si>
  <si>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</si>
  <si>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</si>
  <si>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</si>
  <si>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</si>
  <si>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</si>
  <si>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</si>
  <si>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</si>
  <si>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</si>
  <si>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</si>
  <si>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</si>
  <si>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</si>
  <si>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</si>
  <si>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</si>
  <si>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</si>
  <si>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</si>
  <si>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</si>
  <si>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</si>
  <si>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</si>
  <si>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</si>
  <si>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</si>
  <si>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</si>
  <si>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</si>
  <si>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</si>
  <si>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</si>
  <si>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</si>
  <si>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</si>
  <si>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</si>
  <si>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</si>
  <si>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</si>
  <si>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</si>
  <si>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</si>
  <si>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</si>
  <si>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</si>
  <si>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</si>
  <si>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</si>
  <si>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</si>
  <si>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</si>
  <si>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</si>
  <si>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</si>
  <si>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</si>
  <si>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</si>
  <si>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</si>
  <si>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</si>
  <si>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</si>
  <si>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</si>
  <si>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</si>
  <si>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</si>
  <si>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</si>
  <si>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</si>
  <si>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</si>
  <si>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</si>
  <si>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</si>
  <si>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</si>
  <si>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</si>
  <si>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</si>
  <si>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</si>
  <si>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</si>
  <si>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</si>
  <si>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</si>
  <si>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</si>
  <si>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</si>
  <si>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</si>
  <si>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</si>
  <si>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</si>
  <si>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</si>
  <si>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</si>
  <si>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</si>
  <si>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</si>
  <si>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</si>
  <si>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</si>
  <si>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</si>
  <si>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</si>
  <si>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</si>
  <si>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</si>
  <si>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</si>
  <si>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</si>
  <si>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</si>
  <si>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</si>
  <si>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</si>
  <si>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</si>
  <si>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</si>
  <si>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</si>
  <si>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</si>
  <si>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</si>
  <si>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</si>
  <si>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</si>
  <si>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</si>
  <si>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</si>
  <si>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</si>
  <si>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</si>
  <si>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</si>
  <si>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</si>
  <si>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</si>
  <si>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</si>
  <si>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</si>
  <si>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</si>
  <si>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</si>
  <si>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</si>
  <si>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</si>
  <si>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</si>
  <si>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</si>
  <si>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</si>
  <si>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</si>
  <si>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</si>
  <si>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</si>
  <si>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</si>
  <si>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</si>
  <si>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</si>
  <si>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</si>
  <si>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</si>
  <si>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</si>
  <si>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</si>
  <si>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</si>
  <si>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</si>
  <si>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</si>
  <si>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</si>
  <si>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</si>
  <si>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</si>
  <si>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</si>
  <si>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</si>
  <si>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</si>
  <si>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</si>
  <si>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</si>
  <si>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</si>
  <si>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</si>
  <si>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</si>
  <si>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</si>
  <si>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</si>
  <si>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</si>
  <si>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</si>
  <si>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</si>
  <si>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</si>
  <si>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</si>
  <si>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</si>
  <si>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</si>
  <si>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</si>
  <si>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</si>
  <si>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</si>
  <si>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</si>
  <si>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</si>
  <si>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</si>
  <si>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</si>
  <si>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</si>
  <si>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</si>
  <si>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</si>
  <si>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</si>
  <si>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</si>
  <si>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</si>
  <si>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</si>
  <si>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</si>
  <si>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</si>
  <si>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</si>
  <si>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</si>
  <si>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</si>
  <si>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</si>
  <si>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</si>
  <si>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</si>
  <si>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</si>
  <si>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</si>
  <si>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</si>
  <si>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</si>
  <si>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</si>
  <si>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</si>
  <si>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</si>
  <si>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</si>
  <si>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</si>
  <si>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</si>
  <si>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</si>
  <si>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</si>
  <si>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</si>
  <si>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</si>
  <si>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</si>
  <si>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</si>
  <si>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</si>
  <si>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</si>
  <si>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</si>
  <si>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</si>
  <si>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</si>
  <si>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</si>
  <si>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</si>
  <si>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</si>
  <si>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</si>
  <si>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</si>
  <si>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</si>
  <si>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</si>
  <si>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</si>
  <si>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</si>
  <si>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</si>
  <si>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</si>
  <si>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</si>
  <si>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</si>
  <si>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</si>
  <si>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</si>
  <si>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Robert Moore</t>
  </si>
  <si>
    <t>James Aldridge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</si>
</sst>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5" workbookViewId="0">
      <selection activeCell="C36" sqref="C3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631</v>
      </c>
      <c r="B16" t="s">
        <v>391</v>
      </c>
      <c r="C16" s="36" t="str">
        <f t="shared" si="0"/>
        <v>Ian Bird (KCC)</v>
      </c>
    </row>
    <row r="17" spans="1:4" ht="14.25">
      <c r="A17" t="s">
        <v>487</v>
      </c>
      <c r="B17" t="s">
        <v>391</v>
      </c>
      <c r="C17" s="36" t="str">
        <f t="shared" si="0"/>
        <v>Josh Brown (KCC)</v>
      </c>
    </row>
    <row r="18" spans="1:4" ht="14.25">
      <c r="A18" t="s">
        <v>592</v>
      </c>
      <c r="B18" t="s">
        <v>391</v>
      </c>
      <c r="C18" s="36" t="str">
        <f t="shared" si="0"/>
        <v>Maria Cayford (KCC)</v>
      </c>
      <c r="D18" t="s">
        <v>372</v>
      </c>
    </row>
    <row r="19" spans="1:4" ht="14.25">
      <c r="A19" t="s">
        <v>630</v>
      </c>
      <c r="B19" t="s">
        <v>391</v>
      </c>
      <c r="C19" s="36" t="str">
        <f t="shared" si="0"/>
        <v>Michael Wheeler (KCC)</v>
      </c>
    </row>
    <row r="20" spans="1:4" ht="14.25">
      <c r="A20" t="s">
        <v>488</v>
      </c>
      <c r="B20" t="s">
        <v>400</v>
      </c>
      <c r="C20" s="36" t="str">
        <f t="shared" si="0"/>
        <v>Harriet Hughes (LFCC)</v>
      </c>
      <c r="D20" t="s">
        <v>372</v>
      </c>
    </row>
    <row r="21" spans="1:4" ht="14.25">
      <c r="A21" t="s">
        <v>489</v>
      </c>
      <c r="B21" t="s">
        <v>400</v>
      </c>
      <c r="C21" s="36" t="str">
        <f t="shared" si="0"/>
        <v>Mat Mabe (LFCC)</v>
      </c>
    </row>
    <row r="22" spans="1:4" ht="14.25">
      <c r="A22" t="s">
        <v>490</v>
      </c>
      <c r="B22" t="s">
        <v>400</v>
      </c>
      <c r="C22" s="36" t="str">
        <f t="shared" si="0"/>
        <v>Matt Finch (LFCC)</v>
      </c>
    </row>
    <row r="23" spans="1:4" ht="14.25">
      <c r="A23" t="s">
        <v>491</v>
      </c>
      <c r="B23" t="s">
        <v>400</v>
      </c>
      <c r="C23" s="36" t="str">
        <f t="shared" si="0"/>
        <v>Morris Mabe (LFCC)</v>
      </c>
    </row>
    <row r="24" spans="1:4" ht="14.25">
      <c r="A24" t="s">
        <v>492</v>
      </c>
      <c r="B24" t="s">
        <v>400</v>
      </c>
      <c r="C24" s="36" t="str">
        <f t="shared" si="0"/>
        <v>Sam Nettel (LFCC)</v>
      </c>
    </row>
    <row r="25" spans="1:4" ht="14.25">
      <c r="A25" t="s">
        <v>493</v>
      </c>
      <c r="B25" t="s">
        <v>400</v>
      </c>
      <c r="C25" s="36" t="str">
        <f t="shared" si="0"/>
        <v>Talles Medevives (LFCC)</v>
      </c>
    </row>
    <row r="26" spans="1:4" ht="14.25">
      <c r="A26" t="s">
        <v>494</v>
      </c>
      <c r="B26" t="s">
        <v>495</v>
      </c>
      <c r="C26" s="36" t="str">
        <f t="shared" si="0"/>
        <v>Dean Tacey (LRC)</v>
      </c>
    </row>
    <row r="27" spans="1:4" ht="14.25">
      <c r="A27" t="s">
        <v>496</v>
      </c>
      <c r="B27" t="s">
        <v>497</v>
      </c>
      <c r="C27" s="36" t="str">
        <f t="shared" si="0"/>
        <v>Chris Booth (MOCC)</v>
      </c>
    </row>
    <row r="28" spans="1:4" ht="14.25">
      <c r="A28" t="s">
        <v>498</v>
      </c>
      <c r="B28" t="s">
        <v>497</v>
      </c>
      <c r="C28" s="36" t="str">
        <f t="shared" si="0"/>
        <v>David Cooper (MOCC)</v>
      </c>
    </row>
    <row r="29" spans="1:4" ht="14.25">
      <c r="A29" t="s">
        <v>499</v>
      </c>
      <c r="B29" t="s">
        <v>497</v>
      </c>
      <c r="C29" s="36" t="str">
        <f t="shared" si="0"/>
        <v>Jamie Haines (MOCC)</v>
      </c>
    </row>
    <row r="30" spans="1:4" ht="14.25">
      <c r="A30" t="s">
        <v>500</v>
      </c>
      <c r="B30" t="s">
        <v>497</v>
      </c>
      <c r="C30" s="36" t="str">
        <f t="shared" si="0"/>
        <v>Laura Ayers (W) (MOCC)</v>
      </c>
      <c r="D30" t="s">
        <v>372</v>
      </c>
    </row>
    <row r="31" spans="1:4" ht="14.25">
      <c r="A31" t="s">
        <v>502</v>
      </c>
      <c r="B31" t="s">
        <v>503</v>
      </c>
      <c r="C31" s="36" t="str">
        <f t="shared" si="0"/>
        <v>Lewis Cooper (RAF Tri)</v>
      </c>
    </row>
    <row r="32" spans="1:4" ht="14.25">
      <c r="A32" t="s">
        <v>504</v>
      </c>
      <c r="B32" t="s">
        <v>394</v>
      </c>
      <c r="C32" s="36" t="str">
        <f t="shared" si="0"/>
        <v>Alex Whitmore (Ratae)</v>
      </c>
    </row>
    <row r="33" spans="1:4" ht="14.25">
      <c r="A33" t="s">
        <v>505</v>
      </c>
      <c r="B33" t="s">
        <v>394</v>
      </c>
      <c r="C33" s="36" t="str">
        <f t="shared" si="0"/>
        <v>Brian Lincoln (Ratae)</v>
      </c>
    </row>
    <row r="34" spans="1:4" ht="14.25">
      <c r="A34" t="s">
        <v>506</v>
      </c>
      <c r="B34" t="s">
        <v>394</v>
      </c>
      <c r="C34" s="36" t="str">
        <f t="shared" si="0"/>
        <v>Chris Bonsor (Ratae)</v>
      </c>
    </row>
    <row r="35" spans="1:4" ht="14.25">
      <c r="A35" t="s">
        <v>507</v>
      </c>
      <c r="B35" t="s">
        <v>394</v>
      </c>
      <c r="C35" s="36" t="str">
        <f t="shared" si="0"/>
        <v>Chris Spray (Ratae)</v>
      </c>
    </row>
    <row r="36" spans="1:4" ht="14.25">
      <c r="A36" t="s">
        <v>508</v>
      </c>
      <c r="B36" t="s">
        <v>394</v>
      </c>
      <c r="C36" s="36" t="str">
        <f t="shared" ref="C36:C67" si="1">IF(ISBLANK(B36),IF(ISBLANK(A36),"",A36),_xlfn.CONCAT(A36," (",B36,")"))</f>
        <v>Debbie Cooper (Ratae)</v>
      </c>
      <c r="D36" t="s">
        <v>372</v>
      </c>
    </row>
    <row r="37" spans="1:4" ht="14.25">
      <c r="A37" t="s">
        <v>509</v>
      </c>
      <c r="B37" t="s">
        <v>394</v>
      </c>
      <c r="C37" s="36" t="str">
        <f t="shared" si="1"/>
        <v>Ed Watson (Ratae)</v>
      </c>
    </row>
    <row r="38" spans="1:4" ht="14.25">
      <c r="A38" t="s">
        <v>584</v>
      </c>
      <c r="B38" s="63" t="s">
        <v>394</v>
      </c>
      <c r="C38" s="36" t="str">
        <f t="shared" si="1"/>
        <v>Geoff Stanbridge (Ratae)</v>
      </c>
    </row>
    <row r="39" spans="1:4" ht="14.25">
      <c r="A39" t="s">
        <v>510</v>
      </c>
      <c r="B39" t="s">
        <v>394</v>
      </c>
      <c r="C39" s="36" t="str">
        <f t="shared" si="1"/>
        <v>Jonathon Clarke (Ratae)</v>
      </c>
      <c r="D39" s="36"/>
    </row>
    <row r="40" spans="1:4" ht="14.25">
      <c r="A40" t="s">
        <v>511</v>
      </c>
      <c r="B40" t="s">
        <v>394</v>
      </c>
      <c r="C40" s="36" t="str">
        <f t="shared" si="1"/>
        <v>Lesley Allden (Ratae)</v>
      </c>
      <c r="D40" t="s">
        <v>372</v>
      </c>
    </row>
    <row r="41" spans="1:4" ht="14.25">
      <c r="A41" t="s">
        <v>512</v>
      </c>
      <c r="B41" t="s">
        <v>394</v>
      </c>
      <c r="C41" s="36" t="str">
        <f t="shared" si="1"/>
        <v>Lucy Sturgess (Ratae)</v>
      </c>
      <c r="D41" t="s">
        <v>372</v>
      </c>
    </row>
    <row r="42" spans="1:4" ht="14.25">
      <c r="A42" t="s">
        <v>513</v>
      </c>
      <c r="B42" t="s">
        <v>394</v>
      </c>
      <c r="C42" s="36" t="str">
        <f t="shared" si="1"/>
        <v>Mark Marmoy (Ratae)</v>
      </c>
    </row>
    <row r="43" spans="1:4" ht="14.25">
      <c r="A43" t="s">
        <v>514</v>
      </c>
      <c r="B43" t="s">
        <v>394</v>
      </c>
      <c r="C43" s="36" t="str">
        <f t="shared" si="1"/>
        <v>Mark Newton (Ratae)</v>
      </c>
    </row>
    <row r="44" spans="1:4" ht="14.25">
      <c r="A44" t="s">
        <v>515</v>
      </c>
      <c r="B44" t="s">
        <v>394</v>
      </c>
      <c r="C44" s="36" t="str">
        <f t="shared" si="1"/>
        <v>Marshall Briggs (Ratae)</v>
      </c>
    </row>
    <row r="45" spans="1:4" ht="14.25">
      <c r="A45" t="s">
        <v>516</v>
      </c>
      <c r="B45" t="s">
        <v>394</v>
      </c>
      <c r="C45" s="36" t="str">
        <f t="shared" si="1"/>
        <v>Natalie Harris (Ratae)</v>
      </c>
      <c r="D45" t="s">
        <v>372</v>
      </c>
    </row>
    <row r="46" spans="1:4" ht="14.25">
      <c r="A46" t="s">
        <v>517</v>
      </c>
      <c r="B46" t="s">
        <v>394</v>
      </c>
      <c r="C46" s="36" t="str">
        <f t="shared" si="1"/>
        <v>Paul Eden (Ratae)</v>
      </c>
    </row>
    <row r="47" spans="1:4" ht="14.25">
      <c r="A47" t="s">
        <v>518</v>
      </c>
      <c r="B47" t="s">
        <v>394</v>
      </c>
      <c r="C47" s="36" t="str">
        <f t="shared" si="1"/>
        <v>Sadie Murphy (Ratae)</v>
      </c>
      <c r="D47" t="s">
        <v>372</v>
      </c>
    </row>
    <row r="48" spans="1:4" ht="14.25">
      <c r="A48" t="s">
        <v>519</v>
      </c>
      <c r="B48" t="s">
        <v>394</v>
      </c>
      <c r="C48" s="36" t="str">
        <f t="shared" si="1"/>
        <v>Steve Pearce (Ratae)</v>
      </c>
    </row>
    <row r="49" spans="1:4" ht="14.25">
      <c r="A49" t="s">
        <v>520</v>
      </c>
      <c r="B49" t="s">
        <v>385</v>
      </c>
      <c r="C49" s="36" t="str">
        <f t="shared" si="1"/>
        <v>Adam Wells (RFW)</v>
      </c>
    </row>
    <row r="50" spans="1:4" ht="14.25">
      <c r="A50" t="s">
        <v>596</v>
      </c>
      <c r="B50" t="s">
        <v>385</v>
      </c>
      <c r="C50" s="36" t="str">
        <f t="shared" si="1"/>
        <v>Alex Barrowman (RFW)</v>
      </c>
    </row>
    <row r="51" spans="1:4" ht="14.25">
      <c r="A51" t="s">
        <v>521</v>
      </c>
      <c r="B51" t="s">
        <v>385</v>
      </c>
      <c r="C51" s="36" t="str">
        <f t="shared" si="1"/>
        <v>Anne Gilhespy (RFW)</v>
      </c>
      <c r="D51" t="s">
        <v>372</v>
      </c>
    </row>
    <row r="52" spans="1:4" ht="14.25">
      <c r="A52" t="s">
        <v>522</v>
      </c>
      <c r="B52" t="s">
        <v>385</v>
      </c>
      <c r="C52" s="36" t="str">
        <f t="shared" si="1"/>
        <v>Chris Fowler (RFW)</v>
      </c>
    </row>
    <row r="53" spans="1:4" ht="14.25">
      <c r="A53" t="s">
        <v>523</v>
      </c>
      <c r="B53" t="s">
        <v>385</v>
      </c>
      <c r="C53" s="36" t="str">
        <f t="shared" si="1"/>
        <v>Dan Hempkin (RFW)</v>
      </c>
    </row>
    <row r="54" spans="1:4" ht="14.25">
      <c r="A54" t="s">
        <v>524</v>
      </c>
      <c r="B54" t="s">
        <v>385</v>
      </c>
      <c r="C54" s="36" t="str">
        <f t="shared" si="1"/>
        <v>David Hill (RFW)</v>
      </c>
    </row>
    <row r="55" spans="1:4" ht="14.25">
      <c r="A55" t="s">
        <v>640</v>
      </c>
      <c r="B55" t="s">
        <v>385</v>
      </c>
      <c r="C55" s="36" t="str">
        <f t="shared" si="1"/>
        <v>Ethan Mitchell-Clarke (Team Bottrill Nopinz) (RFW)</v>
      </c>
    </row>
    <row r="56" spans="1:4" ht="14.25">
      <c r="A56" t="s">
        <v>525</v>
      </c>
      <c r="B56" t="s">
        <v>385</v>
      </c>
      <c r="C56" s="36" t="str">
        <f t="shared" si="1"/>
        <v>Giles Cooper (RFW)</v>
      </c>
    </row>
    <row r="57" spans="1:4" ht="14.25">
      <c r="A57" t="s">
        <v>591</v>
      </c>
      <c r="B57" t="s">
        <v>385</v>
      </c>
      <c r="C57" s="36" t="str">
        <f t="shared" si="1"/>
        <v>Graeme Hall (RFW)</v>
      </c>
    </row>
    <row r="58" spans="1:4" ht="14.25">
      <c r="A58" t="s">
        <v>526</v>
      </c>
      <c r="B58" t="s">
        <v>385</v>
      </c>
      <c r="C58" s="36" t="str">
        <f t="shared" si="1"/>
        <v>Gregg Payne (RFW)</v>
      </c>
    </row>
    <row r="59" spans="1:4" ht="14.25">
      <c r="A59" t="s">
        <v>595</v>
      </c>
      <c r="B59" t="s">
        <v>385</v>
      </c>
      <c r="C59" s="36" t="str">
        <f t="shared" si="1"/>
        <v>Hudson Hendry (Ride Revolution) (RFW)</v>
      </c>
    </row>
    <row r="60" spans="1:4" ht="14.25">
      <c r="A60" t="s">
        <v>597</v>
      </c>
      <c r="B60" t="s">
        <v>385</v>
      </c>
      <c r="C60" s="36" t="str">
        <f t="shared" si="1"/>
        <v>Laurence Noble (RFW)</v>
      </c>
    </row>
    <row r="61" spans="1:4" ht="14.25">
      <c r="A61" t="s">
        <v>527</v>
      </c>
      <c r="B61" t="s">
        <v>385</v>
      </c>
      <c r="C61" s="36" t="str">
        <f t="shared" si="1"/>
        <v>Lynne Scofield (RFW)</v>
      </c>
      <c r="D61" t="s">
        <v>372</v>
      </c>
    </row>
    <row r="62" spans="1:4" ht="14.25">
      <c r="A62" t="s">
        <v>528</v>
      </c>
      <c r="B62" t="s">
        <v>385</v>
      </c>
      <c r="C62" s="36" t="str">
        <f t="shared" si="1"/>
        <v>Lynne Wilkinson-Scofield (RFW)</v>
      </c>
      <c r="D62" t="s">
        <v>372</v>
      </c>
    </row>
    <row r="63" spans="1:4" ht="14.25">
      <c r="A63" t="s">
        <v>529</v>
      </c>
      <c r="B63" t="s">
        <v>385</v>
      </c>
      <c r="C63" s="36" t="str">
        <f t="shared" si="1"/>
        <v>Michael Carter (RFW)</v>
      </c>
    </row>
    <row r="64" spans="1:4" ht="14.25">
      <c r="A64" s="63" t="s">
        <v>580</v>
      </c>
      <c r="B64" t="s">
        <v>385</v>
      </c>
      <c r="C64" s="36" t="str">
        <f t="shared" si="1"/>
        <v>Mike Deely (G Fox) (RFW)</v>
      </c>
    </row>
    <row r="65" spans="1:4" ht="14.25">
      <c r="A65" t="s">
        <v>517</v>
      </c>
      <c r="B65" t="s">
        <v>385</v>
      </c>
      <c r="C65" s="36" t="str">
        <f t="shared" si="1"/>
        <v>Paul Eden (RFW)</v>
      </c>
    </row>
    <row r="66" spans="1:4" ht="14.25">
      <c r="A66" t="s">
        <v>530</v>
      </c>
      <c r="B66" t="s">
        <v>385</v>
      </c>
      <c r="C66" s="36" t="str">
        <f t="shared" si="1"/>
        <v>Paul Russell (RFW)</v>
      </c>
    </row>
    <row r="67" spans="1:4" ht="14.25">
      <c r="A67" t="s">
        <v>531</v>
      </c>
      <c r="B67" t="s">
        <v>385</v>
      </c>
      <c r="C67" s="36" t="str">
        <f t="shared" si="1"/>
        <v>Paul Ryan (RFW)</v>
      </c>
    </row>
    <row r="68" spans="1:4" ht="14.25">
      <c r="A68" t="s">
        <v>641</v>
      </c>
      <c r="B68" t="s">
        <v>385</v>
      </c>
      <c r="C68" s="36" t="str">
        <f t="shared" ref="C68:C89" si="2">IF(ISBLANK(B68),IF(ISBLANK(A68),"",A68),_xlfn.CONCAT(A68," (",B68,")"))</f>
        <v>Pete Bradshaw (RFW)</v>
      </c>
    </row>
    <row r="69" spans="1:4" ht="14.25">
      <c r="A69" t="s">
        <v>532</v>
      </c>
      <c r="B69" t="s">
        <v>385</v>
      </c>
      <c r="C69" s="36" t="str">
        <f t="shared" si="2"/>
        <v>Phil Wilkinson (RFW)</v>
      </c>
    </row>
    <row r="70" spans="1:4" ht="14.25">
      <c r="A70" t="s">
        <v>593</v>
      </c>
      <c r="B70" t="s">
        <v>385</v>
      </c>
      <c r="C70" s="36" t="str">
        <f t="shared" si="2"/>
        <v>Steve Coombs (RFW)</v>
      </c>
    </row>
    <row r="71" spans="1:4" ht="14.25">
      <c r="A71" t="s">
        <v>594</v>
      </c>
      <c r="B71" t="s">
        <v>385</v>
      </c>
      <c r="C71" s="36" t="str">
        <f t="shared" si="2"/>
        <v>Steve Wickham (RFW)</v>
      </c>
    </row>
    <row r="72" spans="1:4" ht="14.25">
      <c r="A72" t="s">
        <v>534</v>
      </c>
      <c r="B72" t="s">
        <v>535</v>
      </c>
      <c r="C72" s="36" t="str">
        <f t="shared" si="2"/>
        <v>Adrian James (Rugby RCC)</v>
      </c>
    </row>
    <row r="73" spans="1:4" ht="14.25">
      <c r="A73" t="s">
        <v>536</v>
      </c>
      <c r="B73" t="s">
        <v>537</v>
      </c>
      <c r="C73" s="36" t="str">
        <f t="shared" si="2"/>
        <v>Carl Shaw (Speedhub)</v>
      </c>
    </row>
    <row r="74" spans="1:4" ht="14.25">
      <c r="A74" t="s">
        <v>538</v>
      </c>
      <c r="B74" t="s">
        <v>539</v>
      </c>
      <c r="C74" s="36" t="str">
        <f t="shared" si="2"/>
        <v>Oliver Searle (St Ives CC)</v>
      </c>
    </row>
    <row r="75" spans="1:4" ht="14.25">
      <c r="A75" t="s">
        <v>638</v>
      </c>
      <c r="B75" t="s">
        <v>388</v>
      </c>
      <c r="C75" s="36" t="str">
        <f t="shared" si="2"/>
        <v>Ed Tarelli (Race Hub) (WVCC)</v>
      </c>
      <c r="D75" s="36"/>
    </row>
    <row r="76" spans="1:4" ht="14.25">
      <c r="A76" t="s">
        <v>637</v>
      </c>
      <c r="B76" t="s">
        <v>388</v>
      </c>
      <c r="C76" s="36" t="str">
        <f t="shared" si="2"/>
        <v>Jamie Kershaw (Beeston CC) (WVCC)</v>
      </c>
    </row>
    <row r="77" spans="1:4" ht="14.25">
      <c r="A77" t="s">
        <v>639</v>
      </c>
      <c r="B77" t="s">
        <v>388</v>
      </c>
      <c r="C77" s="36" t="str">
        <f t="shared" si="2"/>
        <v>Jennifer Clegg (Team Bottrill Nopinz) (WVCC)</v>
      </c>
      <c r="D77" t="s">
        <v>372</v>
      </c>
    </row>
    <row r="78" spans="1:4" ht="14.25">
      <c r="A78" t="s">
        <v>635</v>
      </c>
      <c r="B78" t="s">
        <v>388</v>
      </c>
      <c r="C78" s="36" t="str">
        <f t="shared" si="2"/>
        <v>Leah Cuthbertson (G Fox) (WVCC)</v>
      </c>
      <c r="D78" t="s">
        <v>372</v>
      </c>
    </row>
    <row r="79" spans="1:4" ht="14.25">
      <c r="A79" t="s">
        <v>636</v>
      </c>
      <c r="B79" t="s">
        <v>388</v>
      </c>
      <c r="C79" s="36" t="str">
        <f t="shared" si="2"/>
        <v>Ruby Isaac (CAMS Majaco) (WVCC)</v>
      </c>
      <c r="D79" t="s">
        <v>372</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94">
    <sortCondition ref="B2:B94"/>
    <sortCondition ref="A2:A94"/>
  </sortState>
  <conditionalFormatting sqref="A2:D89">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abSelected="1" topLeftCell="A11" workbookViewId="0">
      <selection activeCell="E44" sqref="E44"/>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644</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643</v>
      </c>
      <c r="B10" s="47" t="str">
        <f t="shared" si="0"/>
        <v>Robert Moore</v>
      </c>
      <c r="C10" s="48"/>
      <c r="D10" s="49">
        <v>24</v>
      </c>
      <c r="E10" s="49">
        <v>54</v>
      </c>
      <c r="F10" s="49" t="s">
        <v>549</v>
      </c>
      <c r="G10" s="49"/>
      <c r="H10" s="50" t="str">
        <f>IF($B10="","",IF($J10="X",B10,CONCATENATE(VLOOKUP(B10,Competitors!$A$2:$I$650,3,FALSE)," ",VLOOKUP(B10,Competitors!$A$2:$I$650,2,FALSE))))</f>
        <v>Robert Moore</v>
      </c>
      <c r="I10" s="51">
        <f t="shared" si="1"/>
        <v>1.7291666666666667E-2</v>
      </c>
      <c r="J10" t="str">
        <f t="shared" si="2"/>
        <v>X</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29</v>
      </c>
      <c r="E30" s="49">
        <v>57</v>
      </c>
      <c r="F30" s="49"/>
      <c r="G30" s="49"/>
      <c r="H30" s="50" t="str">
        <f>IF($B30="","",IF($J30="X",B30,CONCATENATE(VLOOKUP(B30,Competitors!$A$2:$I$650,3,FALSE)," ",VLOOKUP(B30,Competitors!$A$2:$I$650,2,FALSE))))</f>
        <v>Linda Hubbard</v>
      </c>
      <c r="I30" s="51">
        <f t="shared" si="1"/>
        <v>2.0798611111111111E-2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2026-07-08T19:27:19Z</dcterms:modified>
</cp:coreProperties>
</file>