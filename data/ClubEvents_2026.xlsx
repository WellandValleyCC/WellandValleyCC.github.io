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3DFA696A-D2DF-4AA1-9044-27ECD53249AC}" xr6:coauthVersionLast="47" xr6:coauthVersionMax="47" xr10:uidLastSave="{00000000-0000-0000-0000-000000000000}"/>
  <bookViews>
    <workbookView xWindow="-83" yWindow="0" windowWidth="14566" windowHeight="17363" firstSheet="9" activeTab="18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9" l="1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18" i="8" l="1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/>
  <c r="J15" i="9"/>
  <c r="H15" i="9"/>
  <c r="J16" i="9"/>
  <c r="H16" i="9"/>
  <c r="J17" i="9"/>
  <c r="H17" i="9" s="1"/>
  <c r="J18" i="9"/>
  <c r="H18" i="9"/>
  <c r="J19" i="9"/>
  <c r="H19" i="9"/>
  <c r="J20" i="9"/>
  <c r="H20" i="9" s="1"/>
  <c r="J21" i="9"/>
  <c r="H21" i="9"/>
  <c r="J22" i="9"/>
  <c r="H22" i="9" s="1"/>
  <c r="J23" i="9"/>
  <c r="H23" i="9"/>
  <c r="J24" i="9"/>
  <c r="H24" i="9"/>
  <c r="J25" i="9"/>
  <c r="H25" i="9"/>
  <c r="J26" i="9"/>
  <c r="H26" i="9"/>
  <c r="J27" i="9"/>
  <c r="H27" i="9" s="1"/>
  <c r="J28" i="9"/>
  <c r="H28" i="9"/>
  <c r="J29" i="9"/>
  <c r="H29" i="9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 s="1"/>
  <c r="J5" i="10"/>
  <c r="H5" i="10" s="1"/>
  <c r="J6" i="10"/>
  <c r="H6" i="10"/>
  <c r="J7" i="10"/>
  <c r="H7" i="10"/>
  <c r="J8" i="10"/>
  <c r="H8" i="10" s="1"/>
  <c r="J9" i="10"/>
  <c r="H9" i="10" s="1"/>
  <c r="J10" i="10"/>
  <c r="H10" i="10"/>
  <c r="J11" i="10"/>
  <c r="H11" i="10"/>
  <c r="J12" i="10"/>
  <c r="H12" i="10" s="1"/>
  <c r="J13" i="10"/>
  <c r="H13" i="10"/>
  <c r="J14" i="10"/>
  <c r="H14" i="10" s="1"/>
  <c r="J15" i="10"/>
  <c r="H15" i="10" s="1"/>
  <c r="J16" i="10"/>
  <c r="H16" i="10"/>
  <c r="J17" i="10"/>
  <c r="H17" i="10" s="1"/>
  <c r="J18" i="10"/>
  <c r="H18" i="10" s="1"/>
  <c r="J19" i="10"/>
  <c r="H19" i="10" s="1"/>
  <c r="J20" i="10"/>
  <c r="H20" i="10"/>
  <c r="J21" i="10"/>
  <c r="H21" i="10"/>
  <c r="J22" i="10"/>
  <c r="H22" i="10"/>
  <c r="J23" i="10"/>
  <c r="H23" i="10"/>
  <c r="J24" i="10"/>
  <c r="H24" i="10" s="1"/>
  <c r="J25" i="10"/>
  <c r="H25" i="10" s="1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H2" i="10" s="1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<sst xmlns="http://schemas.openxmlformats.org/spreadsheetml/2006/main" count="7668" uniqueCount="537">
  <si>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</si>
  <si>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</si>
  <si>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</si>
  <si>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</si>
  <si>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</si>
  <si>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</si>
  <si>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</si>
  <si>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</si>
  <si>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</si>
  <si>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</si>
  <si>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</si>
  <si>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</si>
  <si>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</si>
  <si>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</si>
  <si>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</si>
  <si>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</si>
  <si>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</si>
  <si>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</si>
  <si>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</si>
  <si>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</si>
  <si>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</si>
  <si>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</si>
  <si>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</si>
  <si>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</si>
  <si>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</si>
  <si>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</si>
  <si>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</si>
  <si>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</si>
  <si>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</si>
  <si>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</si>
  <si>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</si>
  <si>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</si>
  <si>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</si>
  <si>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</si>
  <si>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</si>
  <si>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</si>
  <si>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</si>
  <si>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</si>
  <si>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</si>
  <si>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</si>
  <si>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</si>
  <si>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</si>
  <si>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</si>
  <si>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</si>
  <si>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</si>
  <si>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</si>
  <si>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</si>
  <si>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</si>
  <si>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</si>
  <si>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</si>
  <si>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</si>
  <si>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</si>
  <si>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</si>
  <si>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</si>
  <si>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</si>
  <si>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</si>
  <si>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</si>
  <si>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</si>
  <si>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</si>
  <si>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</si>
  <si>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</si>
  <si>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</si>
  <si>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</si>
  <si>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</si>
  <si>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</si>
  <si>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</si>
  <si>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</si>
  <si>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</si>
  <si>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</si>
  <si>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</si>
  <si>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</si>
  <si>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</si>
  <si>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</si>
  <si>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</si>
  <si>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</si>
  <si>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</si>
  <si>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</si>
  <si>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</si>
  <si>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</si>
  <si>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</si>
  <si>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</si>
  <si>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</si>
  <si>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</si>
  <si>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</si>
  <si>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</si>
  <si>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</si>
  <si>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</si>
  <si>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</si>
  <si>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</si>
  <si>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</si>
  <si>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</si>
  <si>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</si>
  <si>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</si>
  <si>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</si>
  <si>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</si>
  <si>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</si>
  <si>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</si>
  <si>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</si>
  <si>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</si>
  <si>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</si>
  <si>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</si>
  <si>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</si>
  <si>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</si>
  <si>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</si>
  <si>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</si>
  <si>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</si>
  <si>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</si>
  <si>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</si>
  <si>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</si>
  <si>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</si>
  <si>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</si>
  <si>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</si>
  <si>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</si>
  <si>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</si>
  <si>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</si>
  <si>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</si>
  <si>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</si>
  <si>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</si>
  <si>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</si>
  <si>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</si>
  <si>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</si>
  <si>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</si>
  <si>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</si>
  <si>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</si>
  <si>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</si>
  <si>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</si>
  <si>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</si>
  <si>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</si>
  <si>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</si>
  <si>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</si>
  <si>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</si>
  <si>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</si>
  <si>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</si>
  <si>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</si>
  <si>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</si>
  <si>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</si>
  <si>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</si>
  <si>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</si>
  <si>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</si>
  <si>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</si>
  <si>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</si>
  <si>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</si>
  <si>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</si>
  <si>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</si>
  <si>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</si>
  <si>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</si>
  <si>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</si>
  <si>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</si>
  <si>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</si>
  <si>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</si>
  <si>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</si>
  <si>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</si>
  <si>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</si>
  <si>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</si>
  <si>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</si>
  <si>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</si>
  <si>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</si>
  <si>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</si>
  <si>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</si>
  <si>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</si>
  <si>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</si>
  <si>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</si>
  <si>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</si>
  <si>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</si>
  <si>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</si>
  <si>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</si>
  <si>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</si>
  <si>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</si>
  <si>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</si>
  <si>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</si>
  <si>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</si>
  <si>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</si>
  <si>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</si>
  <si>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</si>
  <si>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</si>
  <si>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</si>
  <si>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</si>
  <si>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</si>
  <si>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</si>
  <si>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</si>
  <si>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</si>
  <si>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</si>
  <si>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</si>
  <si>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</si>
  <si>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</si>
  <si>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</si>
  <si>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</si>
  <si>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</si>
  <si>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</si>
  <si>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</si>
  <si>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</si>
  <si>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</si>
  <si>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</si>
  <si>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</si>
  <si>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</si>
  <si>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</si>
  <si>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</si>
  <si>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</si>
  <si>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</si>
  <si>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</si>
  <si>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</si>
  <si>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</si>
  <si>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</si>
  <si>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</si>
  <si>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</si>
  <si>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</si>
  <si>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</si>
  <si>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</si>
  <si>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</si>
  <si>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</si>
  <si>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</si>
  <si>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</si>
  <si>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</si>
  <si>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</si>
  <si>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</si>
  <si>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</si>
  <si>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</si>
  <si>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</si>
  <si>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</si>
  <si>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</si>
  <si>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</si>
  <si>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</si>
  <si>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</si>
  <si>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</si>
  <si>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</si>
  <si>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</si>
  <si>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</si>
  <si>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</si>
  <si>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</si>
  <si>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</si>
  <si>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</si>
  <si>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</si>
  <si>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</si>
  <si>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</si>
  <si>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</si>
  <si>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</si>
  <si>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</si>
  <si>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</si>
  <si>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</si>
  <si>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</si>
  <si>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</si>
  <si>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</si>
  <si>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</si>
  <si>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</si>
  <si>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</si>
  <si>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</si>
  <si>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</si>
  <si>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</si>
  <si>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</si>
  <si>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</si>
  <si>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</si>
  <si>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</si>
  <si>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</si>
  <si>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</si>
  <si>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</si>
  <si>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</si>
  <si>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</si>
  <si>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</si>
  <si>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</si>
  <si>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</si>
  <si>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</si>
  <si>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</si>
  <si>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</si>
  <si>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</si>
  <si>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</si>
  <si>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</si>
  <si>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</si>
  <si>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</si>
  <si>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</si>
  <si>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</si>
  <si>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</si>
  <si>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</si>
  <si>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</si>
  <si>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</si>
  <si>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</si>
  <si>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</si>
  <si>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</si>
  <si>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</si>
  <si>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</si>
  <si>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</si>
  <si>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</si>
  <si>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</si>
  <si>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</si>
  <si>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</si>
  <si>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</si>
  <si>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</si>
  <si>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</si>
  <si>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</si>
  <si>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</si>
  <si>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</si>
  <si>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</si>
  <si>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</si>
  <si>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</si>
  <si>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</si>
  <si>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</si>
  <si>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</si>
  <si>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</si>
  <si>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</si>
  <si>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</si>
  <si>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</si>
  <si>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</si>
  <si>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</si>
  <si>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</si>
  <si>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</si>
  <si>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</si>
  <si>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</si>
  <si>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</si>
  <si>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</si>
  <si>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</si>
  <si>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</si>
  <si>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</si>
  <si>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</si>
  <si>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</si>
  <si>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</si>
  <si>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</si>
  <si>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</si>
  <si>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</si>
  <si>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</si>
  <si>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</si>
  <si>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</si>
  <si>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</si>
  <si>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</si>
  <si>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</si>
  <si>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</si>
  <si>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</si>
  <si>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</si>
  <si>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</si>
  <si>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</si>
  <si>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</si>
  <si>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</si>
  <si>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</si>
  <si>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</si>
  <si>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</si>
  <si>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</si>
  <si>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</si>
  <si>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</si>
  <si>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</si>
  <si>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</si>
  <si>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</si>
  <si>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</si>
  <si>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</si>
  <si>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</si>
  <si>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</si>
  <si>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</si>
  <si>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</si>
  <si>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</si>
  <si>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</si>
  <si>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</si>
  <si>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</si>
  <si>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</si>
  <si>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</si>
  <si>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</si>
  <si>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</si>
  <si>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</si>
  <si>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</si>
  <si>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</si>
  <si>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</si>
  <si>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</si>
  <si>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</si>
  <si>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</si>
  <si>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</si>
  <si>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</si>
  <si>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</si>
  <si>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</si>
  <si>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</si>
  <si>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</si>
  <si>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</si>
  <si>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</si>
  <si>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</si>
  <si>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</si>
  <si>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</si>
  <si>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</si>
  <si>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</si>
  <si>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</si>
  <si>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</si>
  <si>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</si>
  <si>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</si>
  <si>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</si>
  <si>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</si>
  <si>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</si>
  <si>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</si>
  <si>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</si>
  <si>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</si>
  <si>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</si>
  <si>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</si>
  <si>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</si>
  <si>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</si>
  <si>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</si>
  <si>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</si>
  <si>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</si>
  <si>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</si>
  <si>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</si>
  <si>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</si>
  <si>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</si>
  <si>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</si>
  <si>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</si>
  <si>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</si>
  <si>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</si>
  <si>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</si>
  <si>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</si>
  <si>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</si>
  <si>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</si>
  <si>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</si>
  <si>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</si>
  <si>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</si>
  <si>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</si>
  <si>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</si>
  <si>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</si>
  <si>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</si>
  <si>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</si>
  <si>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</si>
  <si>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</si>
  <si>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</si>
  <si>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</si>
  <si>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</si>
  <si>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</si>
  <si>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</si>
  <si>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</si>
  <si>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</si>
  <si>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</si>
  <si>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</si>
  <si>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</si>
  <si>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</si>
  <si>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</si>
  <si>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</si>
  <si>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</si>
  <si>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</si>
  <si>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</si>
  <si>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</si>
  <si>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</si>
  <si>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</si>
  <si>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</si>
  <si>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</si>
  <si>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</si>
  <si>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</si>
  <si>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</si>
  <si>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</si>
  <si>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</si>
  <si>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</si>
  <si>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</si>
  <si>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</si>
  <si>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</si>
  <si>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</si>
  <si>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</si>
  <si>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</si>
  <si>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</si>
  <si>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</si>
  <si>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</si>
  <si>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</si>
  <si>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</si>
  <si>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</si>
  <si>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</si>
  <si>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</si>
  <si>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</si>
  <si>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</si>
  <si>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</si>
  <si>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</si>
  <si>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</si>
  <si>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</si>
  <si>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</si>
  <si>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</si>
  <si>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</si>
  <si>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</si>
  <si>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</si>
  <si>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</si>
  <si>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</si>
  <si>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</si>
  <si>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</si>
  <si>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</si>
  <si>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</si>
  <si>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</si>
  <si>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</si>
  <si>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</si>
  <si>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</si>
  <si>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</si>
  <si>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</si>
  <si>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</si>
  <si>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</si>
  <si>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</si>
  <si>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</si>
  <si>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</si>
  <si>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</si>
  <si>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</si>
  <si>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</si>
  <si>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</si>
  <si>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</si>
  <si>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</si>
  <si>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</si>
  <si>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</si>
  <si>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</si>
  <si>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</si>
  <si>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</si>
  <si>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</si>
  <si>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</si>
  <si>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</si>
  <si>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</si>
  <si>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</si>
  <si>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</si>
  <si>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</si>
  <si>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</si>
  <si>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</si>
  <si>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</si>
  <si>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</si>
  <si>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</si>
  <si>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</si>
  <si>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</si>
  <si>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</si>
  <si>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</si>
  <si>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</si>
  <si>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</si>
  <si>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</si>
  <si>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</si>
  <si>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</si>
  <si>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</si>
  <si>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</si>
  <si>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</si>
  <si>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</si>
  <si>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</si>
  <si>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</si>
  <si>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</si>
  <si>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</si>
  <si>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</si>
  <si>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</si>
  <si>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</si>
  <si>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</si>
  <si>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</si>
  <si>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</si>
  <si>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</si>
  <si>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</si>
  <si>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</si>
  <si>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</si>
  <si>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</si>
  <si>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</si>
  <si>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</si>
  <si>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</si>
  <si>
    <t>Pamela Moore</t>
  </si>
  <si>
    <t>John Capel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</si>
</sst>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2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11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1" fillId="0" borderId="0"/>
  </cellStyleXfs>
  <cellXfs count="62">
    <xf numFmtId="0" fontId="0" fillId="0" borderId="0" xfId="0"/>
    <xf numFmtId="14" fontId="0" fillId="0" borderId="0" xfId="0" applyNumberFormat="1"/>
    <xf numFmtId="16" fontId="14" fillId="2" borderId="0" xfId="2" applyNumberFormat="1" applyFont="1" applyFill="1" applyAlignment="1">
      <alignment horizontal="center"/>
    </xf>
    <xf numFmtId="0" fontId="14" fillId="2" borderId="0" xfId="2" applyFont="1" applyFill="1" applyAlignment="1">
      <alignment horizontal="center"/>
    </xf>
    <xf numFmtId="16" fontId="14" fillId="2" borderId="0" xfId="2" applyNumberFormat="1" applyFont="1" applyFill="1"/>
    <xf numFmtId="0" fontId="14" fillId="2" borderId="0" xfId="2" applyFont="1" applyFill="1"/>
    <xf numFmtId="0" fontId="14" fillId="2" borderId="0" xfId="3" applyFont="1" applyFill="1" applyAlignment="1">
      <alignment horizontal="center" vertical="center" wrapText="1"/>
    </xf>
    <xf numFmtId="0" fontId="13" fillId="0" borderId="0" xfId="2" applyAlignment="1">
      <alignment horizontal="center"/>
    </xf>
    <xf numFmtId="0" fontId="13" fillId="0" borderId="0" xfId="2"/>
    <xf numFmtId="0" fontId="0" fillId="3" borderId="0" xfId="0" applyFill="1"/>
    <xf numFmtId="0" fontId="15" fillId="2" borderId="1" xfId="0" applyFont="1" applyFill="1" applyBorder="1" applyAlignment="1">
      <alignment wrapText="1"/>
    </xf>
    <xf numFmtId="0" fontId="15" fillId="2" borderId="2" xfId="0" applyFont="1" applyFill="1" applyBorder="1" applyAlignment="1">
      <alignment horizontal="center"/>
    </xf>
    <xf numFmtId="0" fontId="15" fillId="2" borderId="3" xfId="0" applyFont="1" applyFill="1" applyBorder="1" applyAlignment="1">
      <alignment horizontal="center"/>
    </xf>
    <xf numFmtId="0" fontId="15" fillId="2" borderId="4" xfId="0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 vertical="center" wrapText="1"/>
    </xf>
    <xf numFmtId="0" fontId="15" fillId="2" borderId="6" xfId="0" applyFont="1" applyFill="1" applyBorder="1"/>
    <xf numFmtId="0" fontId="15" fillId="2" borderId="6" xfId="0" applyFont="1" applyFill="1" applyBorder="1" applyAlignment="1">
      <alignment horizontal="left"/>
    </xf>
    <xf numFmtId="0" fontId="17" fillId="4" borderId="6" xfId="0" applyFont="1" applyFill="1" applyBorder="1" applyAlignment="1">
      <alignment horizontal="center"/>
    </xf>
    <xf numFmtId="164" fontId="17" fillId="4" borderId="6" xfId="0" applyNumberFormat="1" applyFont="1" applyFill="1" applyBorder="1" applyAlignment="1">
      <alignment horizontal="center"/>
    </xf>
    <xf numFmtId="0" fontId="17" fillId="0" borderId="6" xfId="0" applyFont="1" applyBorder="1"/>
    <xf numFmtId="165" fontId="17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7" fillId="0" borderId="6" xfId="0" applyFont="1" applyBorder="1" applyAlignment="1">
      <alignment horizontal="left"/>
    </xf>
    <xf numFmtId="166" fontId="17" fillId="4" borderId="6" xfId="0" applyNumberFormat="1" applyFont="1" applyFill="1" applyBorder="1" applyAlignment="1">
      <alignment horizontal="center"/>
    </xf>
    <xf numFmtId="0" fontId="18" fillId="6" borderId="6" xfId="0" applyFont="1" applyFill="1" applyBorder="1" applyAlignment="1">
      <alignment horizontal="center"/>
    </xf>
    <xf numFmtId="0" fontId="13" fillId="0" borderId="0" xfId="3" applyAlignment="1">
      <alignment horizontal="center"/>
    </xf>
    <xf numFmtId="14" fontId="13" fillId="0" borderId="0" xfId="0" applyNumberFormat="1" applyFont="1"/>
    <xf numFmtId="0" fontId="0" fillId="0" borderId="0" xfId="0" applyAlignment="1">
      <alignment horizontal="center"/>
    </xf>
    <xf numFmtId="0" fontId="17" fillId="7" borderId="6" xfId="0" applyFont="1" applyFill="1" applyBorder="1" applyAlignment="1">
      <alignment horizontal="center"/>
    </xf>
    <xf numFmtId="164" fontId="17" fillId="7" borderId="6" xfId="0" applyNumberFormat="1" applyFont="1" applyFill="1" applyBorder="1" applyAlignment="1">
      <alignment horizontal="center"/>
    </xf>
    <xf numFmtId="166" fontId="17" fillId="7" borderId="6" xfId="0" applyNumberFormat="1" applyFont="1" applyFill="1" applyBorder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4" fillId="2" borderId="0" xfId="2" applyNumberFormat="1" applyFont="1" applyFill="1"/>
    <xf numFmtId="167" fontId="13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7" fillId="0" borderId="6" xfId="0" applyFont="1" applyBorder="1" applyAlignment="1">
      <alignment horizontal="center"/>
    </xf>
    <xf numFmtId="0" fontId="18" fillId="0" borderId="6" xfId="0" applyFont="1" applyBorder="1" applyAlignment="1">
      <alignment horizontal="center"/>
    </xf>
    <xf numFmtId="0" fontId="17" fillId="0" borderId="7" xfId="0" applyFont="1" applyBorder="1" applyAlignment="1">
      <alignment horizontal="center"/>
    </xf>
    <xf numFmtId="0" fontId="0" fillId="0" borderId="0" xfId="0" quotePrefix="1"/>
    <xf numFmtId="0" fontId="10" fillId="0" borderId="0" xfId="0" applyFont="1"/>
    <xf numFmtId="0" fontId="9" fillId="0" borderId="0" xfId="0" applyFont="1"/>
    <xf numFmtId="0" fontId="8" fillId="0" borderId="0" xfId="8"/>
    <xf numFmtId="14" fontId="8" fillId="0" borderId="0" xfId="8" applyNumberFormat="1"/>
    <xf numFmtId="0" fontId="7" fillId="0" borderId="0" xfId="9"/>
    <xf numFmtId="14" fontId="7" fillId="0" borderId="0" xfId="9" applyNumberFormat="1"/>
    <xf numFmtId="0" fontId="6" fillId="0" borderId="0" xfId="10"/>
    <xf numFmtId="14" fontId="6" fillId="0" borderId="0" xfId="10" applyNumberFormat="1"/>
    <xf numFmtId="0" fontId="5" fillId="0" borderId="0" xfId="11"/>
    <xf numFmtId="14" fontId="5" fillId="0" borderId="0" xfId="11" applyNumberFormat="1"/>
    <xf numFmtId="0" fontId="4" fillId="0" borderId="0" xfId="12"/>
    <xf numFmtId="14" fontId="4" fillId="0" borderId="0" xfId="12" applyNumberFormat="1"/>
    <xf numFmtId="0" fontId="3" fillId="0" borderId="0" xfId="13"/>
    <xf numFmtId="14" fontId="3" fillId="0" borderId="0" xfId="13" applyNumberFormat="1"/>
    <xf numFmtId="0" fontId="2" fillId="0" borderId="0" xfId="0" applyFont="1"/>
    <xf numFmtId="0" fontId="1" fillId="0" borderId="0" xfId="14"/>
    <xf numFmtId="14" fontId="1" fillId="0" borderId="0" xfId="14" applyNumberForma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7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9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D59" sqref="D59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8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S11" sqref="S1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 t="s">
        <v>473</v>
      </c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tabSelected="1" zoomScaleNormal="100" workbookViewId="0">
      <selection activeCell="F28" sqref="F28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458</v>
      </c>
      <c r="B2" s="41">
        <f t="shared" ref="B2:B33" si="0">IF(A2="","",_xlfn.XLOOKUP(A2,ClubNames,ClubNumbers,_xlfn.XLOOKUP(A2,RoundRobinRiderNames,RoundRobinRiderDecoratedNames,A2)))</f>
        <v>1298</v>
      </c>
      <c r="C2" s="17"/>
      <c r="D2" s="17"/>
      <c r="E2" s="17"/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Jane Moore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496</v>
      </c>
      <c r="B3" s="41">
        <f t="shared" si="0"/>
        <v>23</v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>Chris Hyde</v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 t="s">
        <v>478</v>
      </c>
      <c r="B4" s="41">
        <f t="shared" si="0"/>
        <v>1404</v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>Millie Lenehan</v>
      </c>
      <c r="I4" s="20">
        <f t="shared" si="1"/>
        <v>0</v>
      </c>
      <c r="J4" t="str">
        <f t="shared" si="2"/>
        <v/>
      </c>
    </row>
    <row r="5" spans="1:10" ht="15" x14ac:dyDescent="0.4">
      <c r="A5" s="40" t="s">
        <v>535</v>
      </c>
      <c r="B5" s="41" t="str">
        <f t="shared" si="0"/>
        <v>Pamela Moore</v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>Pamela Moore</v>
      </c>
      <c r="I5" s="20">
        <f t="shared" si="1"/>
        <v>0</v>
      </c>
      <c r="J5" t="str">
        <f t="shared" si="2"/>
        <v>X</v>
      </c>
    </row>
    <row r="6" spans="1:10" ht="15" x14ac:dyDescent="0.4">
      <c r="A6" s="40" t="s">
        <v>481</v>
      </c>
      <c r="B6" s="41">
        <f t="shared" si="0"/>
        <v>1112</v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>Gary Ashwell</v>
      </c>
      <c r="I6" s="20">
        <f t="shared" si="1"/>
        <v>0</v>
      </c>
      <c r="J6" t="str">
        <f t="shared" si="2"/>
        <v/>
      </c>
    </row>
    <row r="7" spans="1:10" ht="15" x14ac:dyDescent="0.4">
      <c r="A7" s="40" t="s">
        <v>102</v>
      </c>
      <c r="B7" s="41" t="str">
        <f t="shared" si="0"/>
        <v>Chris Bonsor (Ratae)</v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>Chris Bonsor (Ratae)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536</v>
      </c>
      <c r="B8" s="41" t="str">
        <f t="shared" si="0"/>
        <v>John Capel</v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>John Capel</v>
      </c>
      <c r="I8" s="20">
        <f t="shared" si="1"/>
        <v>0</v>
      </c>
      <c r="J8" t="str">
        <f t="shared" si="2"/>
        <v>X</v>
      </c>
    </row>
    <row r="9" spans="1:10" ht="15" x14ac:dyDescent="0.4">
      <c r="A9" s="40" t="s">
        <v>493</v>
      </c>
      <c r="B9" s="41">
        <f t="shared" si="0"/>
        <v>1254</v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>Paul White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/>
      <c r="E10" s="17"/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0</v>
      </c>
      <c r="J10" t="str">
        <f t="shared" si="2"/>
        <v/>
      </c>
    </row>
    <row r="11" spans="1:10" ht="15" x14ac:dyDescent="0.4">
      <c r="A11" s="40" t="s">
        <v>529</v>
      </c>
      <c r="B11" s="41">
        <f t="shared" si="0"/>
        <v>1195</v>
      </c>
      <c r="C11" s="17"/>
      <c r="D11" s="17"/>
      <c r="E11" s="17"/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Charlie Hardwicke</v>
      </c>
      <c r="I11" s="20">
        <f t="shared" si="1"/>
        <v>0</v>
      </c>
      <c r="J11" t="str">
        <f t="shared" si="2"/>
        <v/>
      </c>
    </row>
    <row r="12" spans="1:10" ht="15" x14ac:dyDescent="0.4">
      <c r="A12" s="40" t="s">
        <v>482</v>
      </c>
      <c r="B12" s="41">
        <f t="shared" si="0"/>
        <v>1193</v>
      </c>
      <c r="C12" s="17"/>
      <c r="D12" s="17"/>
      <c r="E12" s="17"/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Richard Hardwicke</v>
      </c>
      <c r="I12" s="20">
        <f t="shared" si="1"/>
        <v>0</v>
      </c>
      <c r="J12" t="str">
        <f t="shared" si="2"/>
        <v/>
      </c>
    </row>
    <row r="13" spans="1:10" ht="15" x14ac:dyDescent="0.4">
      <c r="A13" s="40" t="s">
        <v>484</v>
      </c>
      <c r="B13" s="41">
        <f t="shared" si="0"/>
        <v>1419</v>
      </c>
      <c r="C13" s="17"/>
      <c r="D13" s="17"/>
      <c r="E13" s="17"/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Ethan Marsh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461</v>
      </c>
      <c r="B14" s="41">
        <f t="shared" si="0"/>
        <v>1407</v>
      </c>
      <c r="C14" s="17"/>
      <c r="D14" s="17"/>
      <c r="E14" s="17"/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Colin Dobson</v>
      </c>
      <c r="I14" s="20">
        <f t="shared" si="1"/>
        <v>0</v>
      </c>
      <c r="J14" t="str">
        <f t="shared" si="2"/>
        <v/>
      </c>
    </row>
    <row r="15" spans="1:10" ht="15" x14ac:dyDescent="0.4">
      <c r="A15" s="40" t="s">
        <v>497</v>
      </c>
      <c r="B15" s="41">
        <f t="shared" si="0"/>
        <v>407</v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>Hans van Nierop</v>
      </c>
      <c r="I15" s="20">
        <f t="shared" si="1"/>
        <v>0</v>
      </c>
      <c r="J15" t="str">
        <f t="shared" si="2"/>
        <v/>
      </c>
    </row>
    <row r="16" spans="1:10" ht="15" x14ac:dyDescent="0.4">
      <c r="A16" s="40" t="s">
        <v>467</v>
      </c>
      <c r="B16" s="41">
        <f t="shared" si="0"/>
        <v>704</v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>Chris Dainty</v>
      </c>
      <c r="I16" s="20">
        <f t="shared" si="1"/>
        <v>0</v>
      </c>
      <c r="J16" t="str">
        <f t="shared" si="2"/>
        <v/>
      </c>
    </row>
    <row r="17" spans="1:10" ht="15" x14ac:dyDescent="0.4">
      <c r="A17" s="40" t="s">
        <v>486</v>
      </c>
      <c r="B17" s="41">
        <f t="shared" si="0"/>
        <v>564</v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>Ian Murdey</v>
      </c>
      <c r="I17" s="20">
        <f t="shared" si="1"/>
        <v>0</v>
      </c>
      <c r="J17" t="str">
        <f t="shared" si="2"/>
        <v/>
      </c>
    </row>
    <row r="18" spans="1:10" ht="15" x14ac:dyDescent="0.4">
      <c r="A18" s="40" t="s">
        <v>500</v>
      </c>
      <c r="B18" s="41">
        <f t="shared" si="0"/>
        <v>915</v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>Julian Twynham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499</v>
      </c>
      <c r="B19" s="41">
        <f t="shared" si="0"/>
        <v>415</v>
      </c>
      <c r="C19" s="17"/>
      <c r="D19" s="17"/>
      <c r="E19" s="17"/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Nik Kershaw</v>
      </c>
      <c r="I19" s="20">
        <f t="shared" si="1"/>
        <v>0</v>
      </c>
      <c r="J19" t="str">
        <f t="shared" si="2"/>
        <v/>
      </c>
    </row>
    <row r="20" spans="1:10" ht="15" x14ac:dyDescent="0.4">
      <c r="A20" s="40" t="s">
        <v>464</v>
      </c>
      <c r="B20" s="41">
        <f t="shared" si="0"/>
        <v>1403</v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>Toby Lenehan</v>
      </c>
      <c r="I20" s="20">
        <f t="shared" si="1"/>
        <v>0</v>
      </c>
      <c r="J20" t="str">
        <f t="shared" si="2"/>
        <v/>
      </c>
    </row>
    <row r="21" spans="1:10" ht="15" x14ac:dyDescent="0.4">
      <c r="A21" s="40" t="s">
        <v>498</v>
      </c>
      <c r="B21" s="41">
        <f t="shared" si="0"/>
        <v>1192</v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>Dale Norris</v>
      </c>
      <c r="I21" s="20">
        <f t="shared" si="1"/>
        <v>0</v>
      </c>
      <c r="J21" t="str">
        <f t="shared" si="2"/>
        <v/>
      </c>
    </row>
    <row r="22" spans="1:10" ht="15" x14ac:dyDescent="0.4">
      <c r="A22" s="40" t="s">
        <v>479</v>
      </c>
      <c r="B22" s="41">
        <f t="shared" si="0"/>
        <v>1055</v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>Austin Smith</v>
      </c>
      <c r="I22" s="20">
        <f t="shared" si="1"/>
        <v>0</v>
      </c>
      <c r="J22" t="str">
        <f t="shared" si="2"/>
        <v/>
      </c>
    </row>
    <row r="23" spans="1:10" ht="15" x14ac:dyDescent="0.4">
      <c r="A23" s="40" t="s">
        <v>490</v>
      </c>
      <c r="B23" s="41">
        <f t="shared" si="0"/>
        <v>699</v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>Jonathan Durnin</v>
      </c>
      <c r="I23" s="20">
        <f t="shared" si="1"/>
        <v>0</v>
      </c>
      <c r="J23" t="str">
        <f t="shared" si="2"/>
        <v/>
      </c>
    </row>
    <row r="24" spans="1:10" ht="15" x14ac:dyDescent="0.4">
      <c r="A24" s="40" t="s">
        <v>502</v>
      </c>
      <c r="B24" s="41">
        <f t="shared" si="0"/>
        <v>846</v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>Roger Kockelbergh</v>
      </c>
      <c r="I24" s="20">
        <f t="shared" si="1"/>
        <v>0</v>
      </c>
      <c r="J24" t="str">
        <f t="shared" si="2"/>
        <v/>
      </c>
    </row>
    <row r="25" spans="1:10" ht="15" x14ac:dyDescent="0.4">
      <c r="A25" s="40" t="s">
        <v>503</v>
      </c>
      <c r="B25" s="41">
        <f t="shared" si="0"/>
        <v>1094</v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>Andy Poulton</v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2026-05-02T14:26:20Z</dcterms:modified>
</cp:coreProperties>
</file>