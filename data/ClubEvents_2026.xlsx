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2A9888A6-0B61-42F8-8530-3471A2F4D018}" xr6:coauthVersionLast="47" xr6:coauthVersionMax="47" xr10:uidLastSave="{00000000-0000-0000-0000-000000000000}"/>
  <bookViews>
    <workbookView xWindow="-98" yWindow="-98" windowWidth="28996" windowHeight="17475" firstSheet="22" activeTab="33"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18"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32" l="1"/>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s="1"/>
  <c r="I97" i="43"/>
  <c r="B97" i="43"/>
  <c r="J97" i="43" s="1"/>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s="1"/>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s="1"/>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s="1"/>
  <c r="I35" i="38"/>
  <c r="B35" i="38"/>
  <c r="I34" i="38"/>
  <c r="B34" i="38"/>
  <c r="I33" i="38"/>
  <c r="B33" i="38"/>
  <c r="I32" i="38"/>
  <c r="B32" i="38"/>
  <c r="I31" i="38"/>
  <c r="B31" i="38"/>
  <c r="I30" i="38"/>
  <c r="B30" i="38"/>
  <c r="I29" i="38"/>
  <c r="B29" i="38"/>
  <c r="I28" i="38"/>
  <c r="B28" i="38"/>
  <c r="I27" i="38"/>
  <c r="B27" i="38"/>
  <c r="I26" i="38"/>
  <c r="B26" i="38"/>
  <c r="I25" i="38"/>
  <c r="B25" i="38"/>
  <c r="H25" i="38" s="1"/>
  <c r="I24" i="38"/>
  <c r="B24" i="38"/>
  <c r="I23" i="38"/>
  <c r="B23" i="38"/>
  <c r="I22" i="38"/>
  <c r="B22" i="38"/>
  <c r="I21" i="38"/>
  <c r="B21" i="38"/>
  <c r="I20" i="38"/>
  <c r="B20" i="38"/>
  <c r="H20" i="38" s="1"/>
  <c r="I19" i="38"/>
  <c r="B19" i="38"/>
  <c r="I18" i="38"/>
  <c r="B18" i="38"/>
  <c r="I17" i="38"/>
  <c r="B17" i="38"/>
  <c r="I16" i="38"/>
  <c r="B16" i="38"/>
  <c r="I15" i="38"/>
  <c r="B15" i="38"/>
  <c r="I14" i="38"/>
  <c r="B14" i="38"/>
  <c r="I13" i="38"/>
  <c r="B13" i="38"/>
  <c r="I12" i="38"/>
  <c r="B12" i="38"/>
  <c r="J12" i="38" s="1"/>
  <c r="I11" i="38"/>
  <c r="B11" i="38"/>
  <c r="I10" i="38"/>
  <c r="B10" i="38"/>
  <c r="H10" i="38" s="1"/>
  <c r="I9" i="38"/>
  <c r="B9" i="38"/>
  <c r="I8" i="38"/>
  <c r="B8" i="38"/>
  <c r="I7" i="38"/>
  <c r="B7" i="38"/>
  <c r="I6" i="38"/>
  <c r="B6" i="38"/>
  <c r="H6" i="38" s="1"/>
  <c r="I5" i="38"/>
  <c r="B5" i="38"/>
  <c r="I4" i="38"/>
  <c r="B4" i="38"/>
  <c r="I3" i="38"/>
  <c r="B3" i="38"/>
  <c r="I2" i="38"/>
  <c r="B2" i="38"/>
  <c r="C103" i="37" a="1"/>
  <c r="I101" i="37"/>
  <c r="B101" i="37"/>
  <c r="I100" i="37"/>
  <c r="B100" i="37"/>
  <c r="H100" i="37" s="1"/>
  <c r="I99" i="37"/>
  <c r="B99" i="37"/>
  <c r="H99" i="37" s="1"/>
  <c r="I98" i="37"/>
  <c r="B98" i="37"/>
  <c r="H98" i="37" s="1"/>
  <c r="I97" i="37"/>
  <c r="B97" i="37"/>
  <c r="I96" i="37"/>
  <c r="B96" i="37"/>
  <c r="I95" i="37"/>
  <c r="B95" i="37"/>
  <c r="H95" i="37" s="1"/>
  <c r="I94" i="37"/>
  <c r="B94" i="37"/>
  <c r="H94" i="37" s="1"/>
  <c r="I93" i="37"/>
  <c r="B93" i="37"/>
  <c r="I92" i="37"/>
  <c r="B92" i="37"/>
  <c r="I91" i="37"/>
  <c r="B91" i="37"/>
  <c r="I90" i="37"/>
  <c r="B90" i="37"/>
  <c r="I89" i="37"/>
  <c r="B89" i="37"/>
  <c r="H89" i="37" s="1"/>
  <c r="I88" i="37"/>
  <c r="B88" i="37"/>
  <c r="I87" i="37"/>
  <c r="B87" i="37"/>
  <c r="I86" i="37"/>
  <c r="B86" i="37"/>
  <c r="I85" i="37"/>
  <c r="B85" i="37"/>
  <c r="I84" i="37"/>
  <c r="B84" i="37"/>
  <c r="I83" i="37"/>
  <c r="B83" i="37"/>
  <c r="I82" i="37"/>
  <c r="B82" i="37"/>
  <c r="I81" i="37"/>
  <c r="B81" i="37"/>
  <c r="I80" i="37"/>
  <c r="B80" i="37"/>
  <c r="I79" i="37"/>
  <c r="B79" i="37"/>
  <c r="J79" i="37" s="1"/>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s="1"/>
  <c r="I37" i="36"/>
  <c r="B37" i="36"/>
  <c r="I36" i="36"/>
  <c r="B36" i="36"/>
  <c r="I35" i="36"/>
  <c r="B35" i="36"/>
  <c r="I34" i="36"/>
  <c r="B34" i="36"/>
  <c r="I33" i="36"/>
  <c r="B33" i="36"/>
  <c r="I32" i="36"/>
  <c r="B32" i="36"/>
  <c r="I31" i="36"/>
  <c r="B31" i="36"/>
  <c r="I30" i="36"/>
  <c r="B30" i="36"/>
  <c r="I29" i="36"/>
  <c r="B29" i="36"/>
  <c r="I28" i="36"/>
  <c r="B28" i="36"/>
  <c r="I27" i="36"/>
  <c r="B27" i="36"/>
  <c r="I26" i="36"/>
  <c r="B26" i="36"/>
  <c r="H26" i="36" s="1"/>
  <c r="I25" i="36"/>
  <c r="B25" i="36"/>
  <c r="J25" i="36" s="1"/>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s="1"/>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s="1"/>
  <c r="I75" i="34"/>
  <c r="B75" i="34"/>
  <c r="H75" i="34" s="1"/>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16" i="33" s="1"/>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l="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J17" i="33"/>
  <c r="H17" i="33" s="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s="1"/>
  <c r="J26" i="33"/>
  <c r="H26" i="33" s="1"/>
  <c r="J25" i="33"/>
  <c r="H25" i="33"/>
  <c r="J24" i="33"/>
  <c r="H24" i="33" s="1"/>
  <c r="J23" i="33"/>
  <c r="H23" i="33"/>
  <c r="J22" i="33"/>
  <c r="H22" i="33" s="1"/>
  <c r="J21" i="33"/>
  <c r="H21" i="33"/>
  <c r="J20" i="33"/>
  <c r="H20" i="33" s="1"/>
  <c r="J19" i="33"/>
  <c r="H19" i="33" s="1"/>
  <c r="J18" i="33"/>
  <c r="H18" i="33" s="1"/>
  <c r="H92" i="31"/>
  <c r="H90" i="31"/>
  <c r="J88" i="31"/>
  <c r="J87" i="31"/>
  <c r="J85" i="31"/>
  <c r="H85" i="31"/>
  <c r="J83" i="31"/>
  <c r="H83" i="31"/>
  <c r="J81" i="31"/>
  <c r="H81" i="31"/>
  <c r="J79" i="31"/>
  <c r="H79" i="31"/>
  <c r="J78" i="31"/>
  <c r="H78" i="31"/>
  <c r="J77" i="31"/>
  <c r="H77" i="31"/>
  <c r="J75" i="31"/>
  <c r="H75" i="31"/>
  <c r="J73" i="31"/>
  <c r="H73" i="31"/>
  <c r="H72" i="31"/>
  <c r="H69" i="31"/>
  <c r="J16" i="33"/>
  <c r="H16" i="33" s="1"/>
  <c r="J15" i="33"/>
  <c r="H15" i="33" s="1"/>
  <c r="J14" i="33"/>
  <c r="H14" i="33" s="1"/>
  <c r="J13" i="33"/>
  <c r="H13" i="33" s="1"/>
  <c r="J12" i="33"/>
  <c r="H12" i="33" s="1"/>
  <c r="J11" i="33"/>
  <c r="H11" i="33"/>
  <c r="J10" i="33"/>
  <c r="H10" i="33" s="1"/>
  <c r="J9" i="33"/>
  <c r="H9" i="33" s="1"/>
  <c r="J8" i="33"/>
  <c r="H8" i="33" s="1"/>
  <c r="J7" i="33"/>
  <c r="H7" i="33" s="1"/>
  <c r="J6" i="33"/>
  <c r="H6" i="33" s="1"/>
  <c r="J5" i="33"/>
  <c r="H5" i="33" s="1"/>
  <c r="J4" i="33"/>
  <c r="H4" i="33" s="1"/>
  <c r="J3" i="33"/>
  <c r="H3" i="33" s="1"/>
  <c r="J2" i="33"/>
  <c r="H2" i="33" s="1"/>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s="1"/>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B2" i="32" l="1"/>
  <c r="B27" i="32"/>
  <c r="B40" i="32"/>
  <c r="J40" i="32" s="1"/>
  <c r="B25" i="32"/>
  <c r="B43" i="32"/>
  <c r="B31" i="32"/>
  <c r="B44" i="32"/>
  <c r="B33" i="32"/>
  <c r="B46" i="32"/>
  <c r="B45" i="32"/>
  <c r="J45" i="32" s="1"/>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l="1"/>
  <c r="H2" i="32" s="1"/>
  <c r="J27" i="32"/>
  <c r="H27" i="32" s="1"/>
  <c r="J43" i="32"/>
  <c r="H43" i="32" s="1"/>
  <c r="J44" i="32"/>
  <c r="H44" i="32" s="1"/>
  <c r="J33" i="32"/>
  <c r="H33" i="32" s="1"/>
  <c r="J34" i="32"/>
  <c r="H34" i="32" s="1"/>
  <c r="J28" i="32"/>
  <c r="H28" i="32" s="1"/>
  <c r="J18" i="32"/>
  <c r="H18" i="32"/>
  <c r="J4" i="32"/>
  <c r="H4" i="32"/>
  <c r="J21" i="32"/>
  <c r="H21" i="32" s="1"/>
  <c r="J14" i="32"/>
  <c r="H14" i="32" s="1"/>
  <c r="J35" i="32"/>
  <c r="H35" i="32" s="1"/>
  <c r="J15" i="32"/>
  <c r="H15" i="32"/>
  <c r="J16" i="32"/>
  <c r="H16" i="32" s="1"/>
  <c r="J19" i="32"/>
  <c r="H19" i="32" s="1"/>
  <c r="J26" i="32"/>
  <c r="H26" i="32"/>
  <c r="J25" i="32"/>
  <c r="H25" i="32"/>
  <c r="J31" i="32"/>
  <c r="H31" i="32"/>
  <c r="J46" i="32"/>
  <c r="H46" i="32"/>
  <c r="J41" i="32"/>
  <c r="H41" i="32"/>
  <c r="J29" i="32"/>
  <c r="H29" i="32" s="1"/>
  <c r="J42" i="32"/>
  <c r="H42" i="32" s="1"/>
  <c r="J23" i="32"/>
  <c r="H23" i="32"/>
  <c r="J47" i="32"/>
  <c r="H47" i="32" s="1"/>
  <c r="J32" i="32"/>
  <c r="H32" i="32" s="1"/>
  <c r="J3" i="32"/>
  <c r="H3" i="32" s="1"/>
  <c r="J5" i="32"/>
  <c r="H5" i="32"/>
  <c r="J22" i="32"/>
  <c r="H22" i="32"/>
  <c r="J6" i="32"/>
  <c r="H6" i="32" s="1"/>
  <c r="J7" i="32"/>
  <c r="H7" i="32" s="1"/>
  <c r="J30" i="32"/>
  <c r="H30" i="32" s="1"/>
  <c r="J39" i="32"/>
  <c r="H39" i="32" s="1"/>
  <c r="J36" i="32"/>
  <c r="H36" i="32" s="1"/>
  <c r="J38" i="32"/>
  <c r="H38" i="32" s="1"/>
  <c r="J37" i="32"/>
  <c r="H37" i="32" s="1"/>
  <c r="J10" i="32"/>
  <c r="H10" i="32" s="1"/>
  <c r="J11" i="32"/>
  <c r="H11" i="32" s="1"/>
  <c r="J17" i="32"/>
  <c r="H17" i="32" s="1"/>
  <c r="J9" i="32"/>
  <c r="H9" i="32"/>
  <c r="J20" i="32"/>
  <c r="H20" i="32" s="1"/>
  <c r="J8" i="32"/>
  <c r="H8" i="32" s="1"/>
  <c r="J12" i="32"/>
  <c r="H12" i="32" s="1"/>
  <c r="J13" i="32"/>
  <c r="H13" i="32"/>
  <c r="J24" i="32"/>
  <c r="H24" i="32" s="1"/>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l="1"/>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<sst xmlns="http://schemas.openxmlformats.org/spreadsheetml/2006/main" count="15249" uniqueCount="637">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</sst>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RowHeight="14.25"/>
  <cols>
    <col min="1" max="7" width="9.06640625" style="64"/>
    <col min="8" max="8" width="18.3984375" style="64" customWidth="1"/>
    <col min="9" max="16384" width="9.06640625"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opLeftCell="A7" zoomScale="120" workbookViewId="0">
      <selection activeCell="B14" sqref="B14:E14"/>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c r="P14" s="18"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abSelected="1" zoomScale="90" zoomScaleNormal="90" workbookViewId="0">
      <selection activeCell="A53" sqref="A53"/>
    </sheetView>
  </sheetViews>
  <sheetFormatPr defaultColWidth="9.1328125" defaultRowHeight="12.75"/>
  <cols>
    <col min="1" max="1" width="24.1328125" bestFit="1" customWidth="1"/>
    <col min="2" max="2" width="32" bestFit="1" customWidth="1"/>
    <col min="3" max="5" width="4.73046875" customWidth="1"/>
    <col min="6" max="7" width="11.06640625" customWidth="1"/>
    <col min="8" max="8" width="32"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c r="F47" s="49"/>
      <c r="G47" s="49"/>
      <c r="H47" s="50" t="str">
        <f>IF($B47="","",IF($J47="X",B47,CONCATENATE(VLOOKUP(B47,Competitors!$A$2:$I$650,3,FALSE)," ",VLOOKUP(B47,Competitors!$A$2:$I$650,2,FALSE))))</f>
        <v>Jonathan Durnin</v>
      </c>
      <c r="I47" s="51">
        <f t="shared" si="1"/>
        <v>1.5972222222222221E-2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328125" defaultRowHeight="12.75"/>
  <cols>
    <col min="1" max="1" width="24.1328125" bestFit="1" customWidth="1"/>
    <col min="2" max="2" width="32" bestFit="1" customWidth="1"/>
    <col min="3" max="5" width="4.73046875" customWidth="1"/>
    <col min="6" max="7" width="11.06640625" customWidth="1"/>
    <col min="8" max="8" width="32"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f t="shared" ref="B2:B33" si="0">IF(A2="","",_xlfn.XLOOKUP(A2,ClubNames,ClubNumbers,_xlfn.XLOOKUP(A2,RoundRobinRiderNames,RoundRobinRiderDecoratedNames,A2)))</f>
        <v>990</v>
      </c>
      <c r="C2" s="48"/>
      <c r="D2" s="49"/>
      <c r="E2" s="49"/>
      <c r="F2" s="49" t="s">
        <v>551</v>
      </c>
      <c r="G2" s="49"/>
      <c r="H2" s="50" t="str">
        <f>IF($B2="","",IF($J2="X",B2,CONCATENATE(VLOOKUP(B2,Competitors!$A$2:$I$650,3, FALSE)," ",VLOOKUP(B2,Competitors!$A$2:$I$650,2,FALSE))))</f>
        <v>Jen Hulme</v>
      </c>
      <c r="I2" s="51">
        <f t="shared" ref="I2:I65" si="1">IF(LEFT($F2,1)="D",UPPER($F2),(C2*3600+D2*60+E2)/86400)</f>
        <v>0</v>
      </c>
      <c r="J2" t="str">
        <f t="shared" ref="J2:J65" si="2">IF(OR(B2="",ISNUMBER(B2)),"","X")</f>
        <v/>
      </c>
    </row>
    <row r="3" spans="1:10" ht="15">
      <c r="A3" s="46" t="s">
        <v>419</v>
      </c>
      <c r="B3" s="47">
        <f t="shared" si="0"/>
        <v>1355</v>
      </c>
      <c r="C3" s="48"/>
      <c r="D3" s="49"/>
      <c r="E3" s="49"/>
      <c r="F3" s="49" t="s">
        <v>551</v>
      </c>
      <c r="G3" s="49"/>
      <c r="H3" s="50" t="str">
        <f>IF($B3="","",IF($J3="X",B3,CONCATENATE(VLOOKUP(B3,Competitors!$A$2:$I$650,3,FALSE)," ",VLOOKUP(B3,Competitors!$A$2:$I$650,2,FALSE))))</f>
        <v>Aubrey Elmer</v>
      </c>
      <c r="I3" s="51">
        <f t="shared" si="1"/>
        <v>0</v>
      </c>
      <c r="J3" t="str">
        <f t="shared" si="2"/>
        <v/>
      </c>
    </row>
    <row r="4" spans="1:10" ht="15">
      <c r="A4" s="46" t="s">
        <v>582</v>
      </c>
      <c r="B4" s="47" t="str">
        <f t="shared" si="0"/>
        <v>Mike Deely (G Fox) (RFW)</v>
      </c>
      <c r="C4" s="48"/>
      <c r="D4" s="49"/>
      <c r="E4" s="49"/>
      <c r="F4" s="49"/>
      <c r="G4" s="49"/>
      <c r="H4" s="50" t="str">
        <f>IF($B4="","",IF($J4="X",B4,CONCATENATE(VLOOKUP(B4,Competitors!$A$2:$I$650,3,FALSE)," ",VLOOKUP(B4,Competitors!$A$2:$I$650,2,FALSE))))</f>
        <v>Mike Deely (G Fox) (RFW)</v>
      </c>
      <c r="I4" s="51">
        <f t="shared" si="1"/>
        <v>0</v>
      </c>
      <c r="J4" t="str">
        <f t="shared" si="2"/>
        <v>X</v>
      </c>
    </row>
    <row r="5" spans="1:10" ht="15">
      <c r="A5" s="46" t="s">
        <v>534</v>
      </c>
      <c r="B5" s="47" t="str">
        <f t="shared" si="0"/>
        <v>Phil Wilkinson (RFW)</v>
      </c>
      <c r="C5" s="48"/>
      <c r="D5" s="49"/>
      <c r="E5" s="49"/>
      <c r="F5" s="49"/>
      <c r="G5" s="49"/>
      <c r="H5" s="50" t="str">
        <f>IF($B5="","",IF($J5="X",B5,CONCATENATE(VLOOKUP(B5,Competitors!$A$2:$I$650,3,FALSE)," ",VLOOKUP(B5,Competitors!$A$2:$I$650,2,FALSE))))</f>
        <v>Phil Wilkinson (RFW)</v>
      </c>
      <c r="I5" s="51">
        <f t="shared" si="1"/>
        <v>0</v>
      </c>
      <c r="J5" t="str">
        <f t="shared" si="2"/>
        <v>X</v>
      </c>
    </row>
    <row r="6" spans="1:10" ht="15">
      <c r="A6" s="46" t="s">
        <v>594</v>
      </c>
      <c r="B6" s="47" t="str">
        <f t="shared" si="0"/>
        <v>Maria Cayford (KCC)</v>
      </c>
      <c r="C6" s="48"/>
      <c r="D6" s="49"/>
      <c r="E6" s="49"/>
      <c r="F6" s="49"/>
      <c r="G6" s="49"/>
      <c r="H6" s="50" t="str">
        <f>IF($B6="","",IF($J6="X",B6,CONCATENATE(VLOOKUP(B6,Competitors!$A$2:$I$650,3,FALSE)," ",VLOOKUP(B6,Competitors!$A$2:$I$650,2,FALSE))))</f>
        <v>Maria Cayford (KCC)</v>
      </c>
      <c r="I6" s="51">
        <f t="shared" si="1"/>
        <v>0</v>
      </c>
      <c r="J6" t="str">
        <f t="shared" si="2"/>
        <v>X</v>
      </c>
    </row>
    <row r="7" spans="1:10" ht="15">
      <c r="A7" s="46" t="s">
        <v>448</v>
      </c>
      <c r="B7" s="47">
        <f t="shared" si="0"/>
        <v>1194</v>
      </c>
      <c r="C7" s="48"/>
      <c r="D7" s="49"/>
      <c r="E7" s="49"/>
      <c r="F7" s="49" t="s">
        <v>551</v>
      </c>
      <c r="G7" s="49"/>
      <c r="H7" s="50" t="str">
        <f>IF($B7="","",IF($J7="X",B7,CONCATENATE(VLOOKUP(B7,Competitors!$A$2:$I$650,3,FALSE)," ",VLOOKUP(B7,Competitors!$A$2:$I$650,2,FALSE))))</f>
        <v>Alex Hardwicke</v>
      </c>
      <c r="I7" s="51">
        <f t="shared" si="1"/>
        <v>0</v>
      </c>
      <c r="J7" t="str">
        <f t="shared" si="2"/>
        <v/>
      </c>
    </row>
    <row r="8" spans="1:10" ht="15">
      <c r="A8" s="46" t="s">
        <v>417</v>
      </c>
      <c r="B8" s="47">
        <f t="shared" si="0"/>
        <v>38</v>
      </c>
      <c r="C8" s="48"/>
      <c r="D8" s="49"/>
      <c r="E8" s="49"/>
      <c r="F8" s="49"/>
      <c r="G8" s="49"/>
      <c r="H8" s="50" t="str">
        <f>IF($B8="","",IF($J8="X",B8,CONCATENATE(VLOOKUP(B8,Competitors!$A$2:$I$650,3,FALSE)," ",VLOOKUP(B8,Competitors!$A$2:$I$650,2,FALSE))))</f>
        <v>Phil Rayner</v>
      </c>
      <c r="I8" s="51">
        <f t="shared" si="1"/>
        <v>0</v>
      </c>
      <c r="J8" t="str">
        <f t="shared" si="2"/>
        <v/>
      </c>
    </row>
    <row r="9" spans="1:10" ht="15">
      <c r="A9" s="46" t="s">
        <v>601</v>
      </c>
      <c r="B9" s="47" t="str">
        <f t="shared" si="0"/>
        <v>Evan Collett (G Fox) (KCC)</v>
      </c>
      <c r="C9" s="48"/>
      <c r="D9" s="49"/>
      <c r="E9" s="49"/>
      <c r="F9" s="49"/>
      <c r="G9" s="49"/>
      <c r="H9" s="50" t="str">
        <f>IF($B9="","",IF($J9="X",B9,CONCATENATE(VLOOKUP(B9,Competitors!$A$2:$I$650,3,FALSE)," ",VLOOKUP(B9,Competitors!$A$2:$I$650,2,FALSE))))</f>
        <v>Evan Collett (G Fox) (KCC)</v>
      </c>
      <c r="I9" s="51">
        <f t="shared" si="1"/>
        <v>0</v>
      </c>
      <c r="J9" t="str">
        <f t="shared" si="2"/>
        <v>X</v>
      </c>
    </row>
    <row r="10" spans="1:10" ht="15">
      <c r="A10" s="46" t="s">
        <v>438</v>
      </c>
      <c r="B10" s="47">
        <f t="shared" si="0"/>
        <v>1195</v>
      </c>
      <c r="C10" s="48"/>
      <c r="D10" s="49"/>
      <c r="E10" s="49"/>
      <c r="F10" s="49" t="s">
        <v>551</v>
      </c>
      <c r="G10" s="49"/>
      <c r="H10" s="50" t="str">
        <f>IF($B10="","",IF($J10="X",B10,CONCATENATE(VLOOKUP(B10,Competitors!$A$2:$I$650,3, FALSE)," ",VLOOKUP(B10,Competitors!$A$2:$I$650,2,FALSE))))</f>
        <v>Charlie Hardwicke</v>
      </c>
      <c r="I10" s="51">
        <f t="shared" si="1"/>
        <v>0</v>
      </c>
      <c r="J10" t="str">
        <f t="shared" si="2"/>
        <v/>
      </c>
    </row>
    <row r="11" spans="1:10" ht="15">
      <c r="A11" s="46" t="s">
        <v>430</v>
      </c>
      <c r="B11" s="47">
        <f t="shared" si="0"/>
        <v>1107</v>
      </c>
      <c r="C11" s="48"/>
      <c r="D11" s="49"/>
      <c r="E11" s="49"/>
      <c r="F11" s="49"/>
      <c r="G11" s="49"/>
      <c r="H11" s="50" t="str">
        <f>IF($B11="","",IF($J11="X",B11,CONCATENATE(VLOOKUP(B11,Competitors!$A$2:$I$650,3,FALSE)," ",VLOOKUP(B11,Competitors!$A$2:$I$650,2,FALSE))))</f>
        <v>Milly Pinnock</v>
      </c>
      <c r="I11" s="51">
        <f t="shared" si="1"/>
        <v>0</v>
      </c>
      <c r="J11" t="str">
        <f t="shared" si="2"/>
        <v/>
      </c>
    </row>
    <row r="12" spans="1:10" ht="15">
      <c r="A12" s="46" t="s">
        <v>458</v>
      </c>
      <c r="B12" s="47">
        <f t="shared" si="0"/>
        <v>120</v>
      </c>
      <c r="C12" s="48"/>
      <c r="D12" s="49"/>
      <c r="E12" s="49"/>
      <c r="F12" s="49"/>
      <c r="G12" s="49"/>
      <c r="H12" s="50" t="str">
        <f>IF($B12="","",IF($J12="X",B12,CONCATENATE(VLOOKUP(B12,Competitors!$A$2:$I$650,3,FALSE)," ",VLOOKUP(B12,Competitors!$A$2:$I$650,2,FALSE))))</f>
        <v>Linda Hubbard</v>
      </c>
      <c r="I12" s="51">
        <f t="shared" si="1"/>
        <v>0</v>
      </c>
      <c r="J12" t="str">
        <f t="shared" si="2"/>
        <v/>
      </c>
    </row>
    <row r="13" spans="1:10" ht="15">
      <c r="A13" s="46" t="s">
        <v>432</v>
      </c>
      <c r="B13" s="47">
        <f t="shared" si="0"/>
        <v>1403</v>
      </c>
      <c r="C13" s="48"/>
      <c r="D13" s="49"/>
      <c r="E13" s="49"/>
      <c r="F13" s="49"/>
      <c r="G13" s="49"/>
      <c r="H13" s="50" t="str">
        <f>IF($B13="","",IF($J13="X",B13,CONCATENATE(VLOOKUP(B13,Competitors!$A$2:$I$650,3,FALSE)," ",VLOOKUP(B13,Competitors!$A$2:$I$650,2,FALSE))))</f>
        <v>Toby Lenehan</v>
      </c>
      <c r="I13" s="51">
        <f t="shared" si="1"/>
        <v>0</v>
      </c>
      <c r="J13" t="str">
        <f t="shared" si="2"/>
        <v/>
      </c>
    </row>
    <row r="14" spans="1:10" ht="15">
      <c r="A14" s="46" t="s">
        <v>412</v>
      </c>
      <c r="B14" s="47">
        <f t="shared" si="0"/>
        <v>407</v>
      </c>
      <c r="C14" s="48"/>
      <c r="D14" s="49"/>
      <c r="E14" s="49"/>
      <c r="F14" s="49"/>
      <c r="G14" s="49"/>
      <c r="H14" s="50" t="str">
        <f>IF($B14="","",IF($J14="X",B14,CONCATENATE(VLOOKUP(B14,Competitors!$A$2:$I$650,3,FALSE)," ",VLOOKUP(B14,Competitors!$A$2:$I$650,2,FALSE))))</f>
        <v>Hans van Nierop</v>
      </c>
      <c r="I14" s="51">
        <f t="shared" si="1"/>
        <v>0</v>
      </c>
      <c r="J14" t="str">
        <f t="shared" si="2"/>
        <v/>
      </c>
    </row>
    <row r="15" spans="1:10" ht="15">
      <c r="A15" s="46" t="s">
        <v>447</v>
      </c>
      <c r="B15" s="47">
        <f t="shared" si="0"/>
        <v>1379</v>
      </c>
      <c r="C15" s="48"/>
      <c r="D15" s="49"/>
      <c r="E15" s="49"/>
      <c r="F15" s="49" t="s">
        <v>551</v>
      </c>
      <c r="G15" s="49"/>
      <c r="H15" s="50" t="str">
        <f>IF($B15="","",IF($J15="X",B15,CONCATENATE(VLOOKUP(B15,Competitors!$A$2:$I$650,3,FALSE)," ",VLOOKUP(B15,Competitors!$A$2:$I$650,2,FALSE))))</f>
        <v>Michaela Latham</v>
      </c>
      <c r="I15" s="51">
        <f t="shared" si="1"/>
        <v>0</v>
      </c>
      <c r="J15" t="str">
        <f t="shared" si="2"/>
        <v/>
      </c>
    </row>
    <row r="16" spans="1:10" ht="15">
      <c r="A16" s="46" t="s">
        <v>632</v>
      </c>
      <c r="B16" s="47" t="str">
        <f t="shared" si="0"/>
        <v>Michael Wheeler (KCC)</v>
      </c>
      <c r="C16" s="48"/>
      <c r="D16" s="49"/>
      <c r="E16" s="49"/>
      <c r="F16" s="49" t="s">
        <v>551</v>
      </c>
      <c r="G16" s="49"/>
      <c r="H16" s="50" t="str">
        <f>IF($B16="","",IF($J16="X",B16,CONCATENATE(VLOOKUP(B16,Competitors!$A$2:$I$650,3,FALSE)," ",VLOOKUP(B16,Competitors!$A$2:$I$650,2,FALSE))))</f>
        <v>Michael Wheeler (KCC)</v>
      </c>
      <c r="I16" s="51">
        <f t="shared" si="1"/>
        <v>0</v>
      </c>
      <c r="J16" t="str">
        <f t="shared" si="2"/>
        <v>X</v>
      </c>
    </row>
    <row r="17" spans="1:10" ht="15">
      <c r="A17" s="46" t="s">
        <v>414</v>
      </c>
      <c r="B17" s="47">
        <f t="shared" si="0"/>
        <v>989</v>
      </c>
      <c r="C17" s="48"/>
      <c r="D17" s="49"/>
      <c r="E17" s="49"/>
      <c r="F17" s="49" t="s">
        <v>551</v>
      </c>
      <c r="G17" s="49"/>
      <c r="H17" s="50" t="str">
        <f>IF($B17="","",IF($J17="X",B17,CONCATENATE(VLOOKUP(B17,Competitors!$A$2:$I$650,3,FALSE)," ",VLOOKUP(B17,Competitors!$A$2:$I$650,2,FALSE))))</f>
        <v>Jason Williams</v>
      </c>
      <c r="I17" s="51">
        <f t="shared" si="1"/>
        <v>0</v>
      </c>
      <c r="J17" t="str">
        <f t="shared" si="2"/>
        <v/>
      </c>
    </row>
    <row r="18" spans="1:10" ht="15">
      <c r="A18" s="46" t="s">
        <v>634</v>
      </c>
      <c r="B18" s="47" t="str">
        <f t="shared" si="0"/>
        <v>Paul Akroyd (VTTA E.Mids)</v>
      </c>
      <c r="C18" s="48"/>
      <c r="D18" s="49"/>
      <c r="E18" s="49"/>
      <c r="F18" s="49" t="s">
        <v>551</v>
      </c>
      <c r="G18" s="49"/>
      <c r="H18" s="50" t="str">
        <f>IF($B18="","",IF($J18="X",B18,CONCATENATE(VLOOKUP(B18,Competitors!$A$2:$I$650,3,FALSE)," ",VLOOKUP(B18,Competitors!$A$2:$I$650,2,FALSE))))</f>
        <v>Paul Akroyd (VTTA E.Mids)</v>
      </c>
      <c r="I18" s="51">
        <f t="shared" si="1"/>
        <v>0</v>
      </c>
      <c r="J18" t="str">
        <f t="shared" si="2"/>
        <v>X</v>
      </c>
    </row>
    <row r="19" spans="1:10" ht="15">
      <c r="A19" s="46" t="s">
        <v>415</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t="s">
        <v>460</v>
      </c>
      <c r="B20" s="47">
        <f t="shared" si="0"/>
        <v>742</v>
      </c>
      <c r="C20" s="48"/>
      <c r="D20" s="49"/>
      <c r="E20" s="49"/>
      <c r="F20" s="49" t="s">
        <v>551</v>
      </c>
      <c r="G20" s="49"/>
      <c r="H20" s="50" t="str">
        <f>IF($B20="","",IF($J20="X",B20,CONCATENATE(VLOOKUP(B20,Competitors!$A$2:$I$650,3,FALSE)," ",VLOOKUP(B20,Competitors!$A$2:$I$650,2,FALSE))))</f>
        <v>Claire Moore</v>
      </c>
      <c r="I20" s="51">
        <f t="shared" si="1"/>
        <v>0</v>
      </c>
      <c r="J20" t="str">
        <f t="shared" si="2"/>
        <v/>
      </c>
    </row>
    <row r="21" spans="1:10" ht="15">
      <c r="A21" s="46" t="s">
        <v>429</v>
      </c>
      <c r="B21" s="47">
        <f t="shared" si="0"/>
        <v>1237</v>
      </c>
      <c r="C21" s="48"/>
      <c r="D21" s="49"/>
      <c r="E21" s="49"/>
      <c r="F21" s="49" t="s">
        <v>551</v>
      </c>
      <c r="G21" s="49"/>
      <c r="H21" s="50" t="str">
        <f>IF($B21="","",IF($J21="X",B21,CONCATENATE(VLOOKUP(B21,Competitors!$A$2:$I$650,3,FALSE)," ",VLOOKUP(B21,Competitors!$A$2:$I$650,2,FALSE))))</f>
        <v>John Abbott</v>
      </c>
      <c r="I21" s="51">
        <f t="shared" si="1"/>
        <v>0</v>
      </c>
      <c r="J21" t="str">
        <f t="shared" si="2"/>
        <v/>
      </c>
    </row>
    <row r="22" spans="1:10" ht="15">
      <c r="A22" s="46" t="s">
        <v>586</v>
      </c>
      <c r="B22" s="47" t="str">
        <f t="shared" si="0"/>
        <v>Geoff Stanbridge (Ratae)</v>
      </c>
      <c r="C22" s="48"/>
      <c r="D22" s="49"/>
      <c r="E22" s="49"/>
      <c r="F22" s="49" t="s">
        <v>551</v>
      </c>
      <c r="G22" s="49"/>
      <c r="H22" s="50" t="str">
        <f>IF($B22="","",IF($J22="X",B22,CONCATENATE(VLOOKUP(B22,Competitors!$A$2:$I$650,3,FALSE)," ",VLOOKUP(B22,Competitors!$A$2:$I$650,2,FALSE))))</f>
        <v>Geoff Stanbridge (Ratae)</v>
      </c>
      <c r="I22" s="51">
        <f t="shared" si="1"/>
        <v>0</v>
      </c>
      <c r="J22" t="str">
        <f t="shared" si="2"/>
        <v>X</v>
      </c>
    </row>
    <row r="23" spans="1:10" ht="15">
      <c r="A23" s="46" t="s">
        <v>444</v>
      </c>
      <c r="B23" s="47">
        <f t="shared" si="0"/>
        <v>1193</v>
      </c>
      <c r="C23" s="48"/>
      <c r="D23" s="49"/>
      <c r="E23" s="49"/>
      <c r="F23" s="49" t="s">
        <v>551</v>
      </c>
      <c r="G23" s="49"/>
      <c r="H23" s="50" t="str">
        <f>IF($B23="","",IF($J23="X",B23,CONCATENATE(VLOOKUP(B23,Competitors!$A$2:$I$650,3,FALSE)," ",VLOOKUP(B23,Competitors!$A$2:$I$650,2,FALSE))))</f>
        <v>Richard Hardwicke</v>
      </c>
      <c r="I23" s="51">
        <f t="shared" si="1"/>
        <v>0</v>
      </c>
      <c r="J23" t="str">
        <f t="shared" si="2"/>
        <v/>
      </c>
    </row>
    <row r="24" spans="1:10" ht="15">
      <c r="A24" s="46" t="s">
        <v>633</v>
      </c>
      <c r="B24" s="47" t="str">
        <f t="shared" si="0"/>
        <v>Ian Bird (KCC)</v>
      </c>
      <c r="C24" s="48"/>
      <c r="D24" s="49"/>
      <c r="E24" s="49"/>
      <c r="F24" s="49" t="s">
        <v>551</v>
      </c>
      <c r="G24" s="49"/>
      <c r="H24" s="50" t="str">
        <f>IF($B24="","",IF($J24="X",B24,CONCATENATE(VLOOKUP(B24,Competitors!$A$2:$I$650,3,FALSE)," ",VLOOKUP(B24,Competitors!$A$2:$I$650,2,FALSE))))</f>
        <v>Ian Bird (KCC)</v>
      </c>
      <c r="I24" s="51">
        <f t="shared" si="1"/>
        <v>0</v>
      </c>
      <c r="J24" t="str">
        <f t="shared" si="2"/>
        <v>X</v>
      </c>
    </row>
    <row r="25" spans="1:10" ht="15">
      <c r="A25" s="46" t="s">
        <v>436</v>
      </c>
      <c r="B25" s="47">
        <f t="shared" si="0"/>
        <v>846</v>
      </c>
      <c r="C25" s="48"/>
      <c r="D25" s="49"/>
      <c r="E25" s="49"/>
      <c r="F25" s="49"/>
      <c r="G25" s="49"/>
      <c r="H25" s="50" t="str">
        <f>IF($B25="","",IF($J25="X",B25,CONCATENATE(VLOOKUP(B25,Competitors!$A$2:$I$650,3,FALSE)," ",VLOOKUP(B25,Competitors!$A$2:$I$650,2,FALSE))))</f>
        <v>Roger Kockelbergh</v>
      </c>
      <c r="I25" s="51">
        <f t="shared" si="1"/>
        <v>0</v>
      </c>
      <c r="J25" t="str">
        <f t="shared" si="2"/>
        <v/>
      </c>
    </row>
    <row r="26" spans="1:10" ht="15">
      <c r="A26" s="46" t="s">
        <v>507</v>
      </c>
      <c r="B26" s="47" t="str">
        <f t="shared" si="0"/>
        <v>Chris Bonsor (Ratae)</v>
      </c>
      <c r="C26" s="48"/>
      <c r="D26" s="49"/>
      <c r="E26" s="49"/>
      <c r="F26" s="49"/>
      <c r="G26" s="49"/>
      <c r="H26" s="50" t="str">
        <f>IF($B26="","",IF($J26="X",B26,CONCATENATE(VLOOKUP(B26,Competitors!$A$2:$I$650,3,FALSE)," ",VLOOKUP(B26,Competitors!$A$2:$I$650,2,FALSE))))</f>
        <v>Chris Bonsor (Ratae)</v>
      </c>
      <c r="I26" s="51">
        <f t="shared" si="1"/>
        <v>0</v>
      </c>
      <c r="J26" t="str">
        <f t="shared" si="2"/>
        <v>X</v>
      </c>
    </row>
    <row r="27" spans="1:10" ht="15">
      <c r="A27" s="46" t="s">
        <v>530</v>
      </c>
      <c r="B27" s="47" t="str">
        <f t="shared" si="0"/>
        <v>Lynne Wilkinson-Scofield (RFW)</v>
      </c>
      <c r="C27" s="48"/>
      <c r="D27" s="49"/>
      <c r="E27" s="49"/>
      <c r="F27" s="49"/>
      <c r="G27" s="49"/>
      <c r="H27" s="50" t="str">
        <f>IF($B27="","",IF($J27="X",B27,CONCATENATE(VLOOKUP(B27,Competitors!$A$2:$I$650,3,FALSE)," ",VLOOKUP(B27,Competitors!$A$2:$I$650,2,FALSE))))</f>
        <v>Lynne Wilkinson-Scofield (RFW)</v>
      </c>
      <c r="I27" s="51">
        <f t="shared" si="1"/>
        <v>0</v>
      </c>
      <c r="J27" t="str">
        <f t="shared" si="2"/>
        <v>X</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2026-06-30T20:28:22Z</dcterms:modified>
</cp:coreProperties>
</file>