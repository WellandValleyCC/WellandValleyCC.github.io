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D2D7A6B-E1AB-47B5-AA96-C2DF15FD3C56}" xr6:coauthVersionLast="47" xr6:coauthVersionMax="47" xr10:uidLastSave="{00000000-0000-0000-0000-000000000000}"/>
  <bookViews>
    <workbookView xWindow="0" yWindow="0" windowWidth="14400" windowHeight="17280" firstSheet="14" activeTab="1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1" l="1"/>
  <c r="D35" i="11"/>
  <c r="E34" i="11"/>
  <c r="D34" i="11"/>
  <c r="E33" i="11"/>
  <c r="D33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8" i="11"/>
  <c r="D18" i="11"/>
  <c r="E17" i="11"/>
  <c r="D17" i="1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9" i="11"/>
  <c r="D9" i="11"/>
  <c r="E8" i="11"/>
  <c r="D8" i="11"/>
  <c r="D7" i="11"/>
  <c r="E6" i="11"/>
  <c r="D6" i="11"/>
  <c r="D5" i="11"/>
  <c r="E5" i="11"/>
  <c r="D2" i="11"/>
  <c r="E2" i="11"/>
  <c r="D3" i="11"/>
  <c r="E3" i="11"/>
  <c r="D4" i="11"/>
  <c r="E4" i="11"/>
  <c r="C60" i="4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I4" i="11"/>
  <c r="B5" i="11"/>
  <c r="I5" i="11"/>
  <c r="B6" i="11"/>
  <c r="I6" i="11"/>
  <c r="B7" i="11"/>
  <c r="I7" i="11"/>
  <c r="B8" i="11"/>
  <c r="I8" i="11"/>
  <c r="B9" i="11"/>
  <c r="I9" i="11"/>
  <c r="B10" i="11"/>
  <c r="I10" i="11"/>
  <c r="B11" i="11"/>
  <c r="I11" i="11"/>
  <c r="B12" i="11"/>
  <c r="I12" i="11"/>
  <c r="B13" i="11"/>
  <c r="I13" i="11"/>
  <c r="B14" i="11"/>
  <c r="I14" i="11"/>
  <c r="B15" i="11"/>
  <c r="I15" i="11"/>
  <c r="B16" i="11"/>
  <c r="I16" i="11"/>
  <c r="B17" i="11"/>
  <c r="I17" i="11"/>
  <c r="B18" i="11"/>
  <c r="I18" i="11"/>
  <c r="B19" i="11"/>
  <c r="I19" i="11"/>
  <c r="B20" i="11"/>
  <c r="I20" i="11"/>
  <c r="B21" i="11"/>
  <c r="I21" i="11"/>
  <c r="B22" i="11"/>
  <c r="I22" i="11"/>
  <c r="B23" i="11"/>
  <c r="I23" i="11"/>
  <c r="B24" i="11"/>
  <c r="I24" i="11"/>
  <c r="B25" i="11"/>
  <c r="I25" i="11"/>
  <c r="B26" i="11"/>
  <c r="I26" i="11"/>
  <c r="B27" i="11"/>
  <c r="I27" i="11"/>
  <c r="B28" i="11"/>
  <c r="I28" i="11"/>
  <c r="B29" i="11"/>
  <c r="I29" i="11"/>
  <c r="B30" i="11"/>
  <c r="I30" i="11"/>
  <c r="B31" i="11"/>
  <c r="I31" i="11"/>
  <c r="B32" i="11"/>
  <c r="I32" i="11"/>
  <c r="B33" i="1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H20" i="11" l="1"/>
  <c r="H11" i="11"/>
  <c r="H13" i="11"/>
  <c r="H9" i="11"/>
  <c r="J18" i="8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 s="1"/>
  <c r="J6" i="11"/>
  <c r="H6" i="11"/>
  <c r="J12" i="11"/>
  <c r="H12" i="11"/>
  <c r="J14" i="11"/>
  <c r="H14" i="11" s="1"/>
  <c r="J17" i="11"/>
  <c r="H17" i="11" s="1"/>
  <c r="J19" i="11"/>
  <c r="H19" i="11" s="1"/>
  <c r="J21" i="11"/>
  <c r="H21" i="11"/>
  <c r="J22" i="11"/>
  <c r="H22" i="11"/>
  <c r="J26" i="11"/>
  <c r="H26" i="11"/>
  <c r="J30" i="11"/>
  <c r="H30" i="11" s="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H2" i="11" s="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H4" i="11" s="1"/>
  <c r="J5" i="11"/>
  <c r="H5" i="11" s="1"/>
  <c r="J7" i="11"/>
  <c r="H7" i="11" s="1"/>
  <c r="J8" i="11"/>
  <c r="H8" i="11" s="1"/>
  <c r="J9" i="11"/>
  <c r="J10" i="11"/>
  <c r="H10" i="11" s="1"/>
  <c r="J11" i="11"/>
  <c r="J13" i="11"/>
  <c r="J15" i="11"/>
  <c r="H15" i="11" s="1"/>
  <c r="J16" i="11"/>
  <c r="H16" i="11" s="1"/>
  <c r="J18" i="11"/>
  <c r="H18" i="11" s="1"/>
  <c r="J20" i="11"/>
  <c r="J23" i="11"/>
  <c r="H23" i="11" s="1"/>
  <c r="J24" i="11"/>
  <c r="H24" i="11" s="1"/>
  <c r="J25" i="11"/>
  <c r="H25" i="11" s="1"/>
  <c r="J27" i="11"/>
  <c r="H27" i="11" s="1"/>
  <c r="J28" i="11"/>
  <c r="H28" i="11" s="1"/>
  <c r="J29" i="11"/>
  <c r="H29" i="11" s="1"/>
  <c r="J32" i="11"/>
  <c r="H32" i="11" s="1"/>
  <c r="J33" i="11"/>
  <c r="H33" i="11" s="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<sst xmlns="http://schemas.openxmlformats.org/spreadsheetml/2006/main" count="7734" uniqueCount="546">
  <si>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</si>
  <si>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</si>
  <si>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</si>
  <si>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</si>
  <si>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</si>
  <si>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</si>
  <si>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</si>
  <si>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</si>
  <si>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</si>
  <si>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</si>
  <si>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</si>
  <si>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</si>
  <si>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</si>
  <si>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</si>
  <si>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</si>
  <si>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</si>
  <si>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</si>
  <si>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</si>
  <si>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</si>
  <si>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</si>
  <si>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</si>
  <si>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</si>
  <si>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</si>
  <si>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</si>
  <si>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</si>
  <si>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</si>
  <si>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</si>
  <si>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</si>
  <si>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</si>
  <si>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</si>
  <si>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</si>
  <si>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</si>
  <si>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</si>
  <si>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</si>
  <si>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</si>
  <si>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</si>
  <si>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</si>
  <si>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</si>
  <si>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</si>
  <si>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</si>
  <si>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</si>
  <si>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</si>
  <si>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</si>
  <si>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</si>
  <si>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</si>
  <si>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</si>
  <si>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</si>
  <si>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</si>
  <si>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</si>
  <si>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</si>
  <si>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</si>
  <si>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</si>
  <si>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</si>
  <si>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</si>
  <si>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</si>
  <si>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</si>
  <si>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</si>
  <si>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</si>
  <si>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</si>
  <si>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</si>
  <si>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</si>
  <si>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</si>
  <si>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</si>
  <si>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</si>
  <si>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</si>
  <si>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</si>
  <si>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</si>
  <si>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</si>
  <si>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</si>
  <si>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</si>
  <si>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</si>
  <si>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</si>
  <si>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</si>
  <si>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</si>
  <si>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</si>
  <si>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</si>
  <si>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</si>
  <si>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</si>
  <si>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</si>
  <si>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</si>
  <si>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</si>
  <si>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</si>
  <si>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</si>
  <si>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</si>
  <si>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</si>
  <si>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</si>
  <si>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</si>
  <si>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</si>
  <si>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</si>
  <si>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</si>
  <si>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</si>
  <si>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</si>
  <si>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</si>
  <si>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</si>
  <si>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</si>
  <si>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</si>
  <si>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</si>
  <si>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</si>
  <si>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</si>
  <si>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</si>
  <si>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</si>
  <si>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</si>
  <si>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</si>
  <si>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</si>
  <si>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</si>
  <si>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</si>
  <si>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</si>
  <si>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</si>
  <si>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</si>
  <si>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</si>
  <si>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</si>
  <si>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</si>
  <si>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</si>
  <si>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</si>
  <si>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</si>
  <si>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</si>
  <si>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</si>
  <si>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</si>
  <si>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</si>
  <si>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</si>
  <si>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</si>
  <si>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</si>
  <si>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</si>
  <si>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</si>
  <si>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</si>
  <si>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</si>
  <si>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</si>
  <si>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</si>
  <si>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</si>
  <si>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</si>
  <si>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</si>
  <si>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</si>
  <si>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</si>
  <si>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</si>
  <si>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</si>
  <si>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</si>
  <si>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</si>
  <si>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</si>
  <si>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</si>
  <si>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</si>
  <si>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</si>
  <si>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</si>
  <si>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</si>
  <si>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</si>
  <si>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</si>
  <si>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</si>
  <si>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</si>
  <si>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</si>
  <si>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</si>
  <si>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</si>
  <si>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</si>
  <si>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</si>
  <si>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</si>
  <si>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</si>
  <si>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</si>
  <si>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</si>
  <si>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</si>
  <si>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</si>
  <si>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</si>
  <si>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</si>
  <si>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</si>
  <si>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</si>
  <si>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</si>
  <si>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</si>
  <si>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</si>
  <si>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</si>
  <si>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</si>
  <si>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</si>
  <si>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</si>
  <si>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</si>
  <si>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</si>
  <si>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</si>
  <si>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</si>
  <si>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</si>
  <si>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</si>
  <si>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</si>
  <si>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</si>
  <si>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</si>
  <si>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</si>
  <si>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</si>
  <si>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</si>
  <si>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</si>
  <si>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</si>
  <si>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</si>
  <si>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</si>
  <si>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</si>
  <si>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</si>
  <si>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</si>
  <si>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</si>
  <si>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</si>
  <si>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</si>
  <si>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</si>
  <si>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</si>
  <si>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</si>
  <si>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</si>
  <si>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</si>
  <si>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</si>
  <si>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</si>
  <si>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</si>
  <si>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</si>
  <si>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</si>
  <si>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</si>
  <si>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</si>
  <si>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</si>
  <si>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</si>
  <si>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</si>
  <si>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</si>
  <si>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</si>
  <si>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</si>
  <si>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</si>
  <si>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</si>
  <si>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</si>
  <si>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</si>
  <si>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</si>
  <si>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</si>
  <si>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</si>
  <si>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</si>
  <si>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</si>
  <si>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</si>
  <si>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</si>
  <si>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</si>
  <si>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</si>
  <si>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</si>
  <si>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</si>
  <si>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</si>
  <si>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</si>
  <si>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</si>
  <si>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</si>
  <si>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</si>
  <si>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</si>
  <si>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</si>
  <si>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</si>
  <si>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</si>
  <si>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</si>
  <si>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</si>
  <si>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</si>
  <si>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</si>
  <si>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</si>
  <si>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</si>
  <si>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</si>
  <si>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</si>
  <si>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</si>
  <si>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</si>
  <si>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</si>
  <si>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</si>
  <si>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</si>
  <si>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</si>
  <si>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</si>
  <si>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</si>
  <si>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</si>
  <si>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</si>
  <si>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</si>
  <si>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</si>
  <si>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</si>
  <si>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</si>
  <si>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</si>
  <si>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</si>
  <si>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</si>
  <si>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</si>
  <si>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</si>
  <si>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</si>
  <si>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</si>
  <si>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</si>
  <si>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</si>
  <si>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</si>
  <si>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</si>
  <si>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</si>
  <si>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</si>
  <si>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</si>
  <si>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</si>
  <si>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</si>
  <si>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</si>
  <si>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</si>
  <si>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</si>
  <si>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</si>
  <si>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</si>
  <si>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</si>
  <si>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</si>
  <si>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</si>
  <si>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</si>
  <si>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</si>
  <si>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</si>
  <si>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</si>
  <si>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</si>
  <si>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</si>
  <si>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</si>
  <si>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</si>
  <si>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</si>
  <si>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</si>
  <si>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</si>
  <si>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</si>
  <si>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</si>
  <si>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</si>
  <si>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</si>
  <si>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</si>
  <si>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</si>
  <si>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</si>
  <si>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</si>
  <si>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</si>
  <si>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</si>
  <si>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</si>
  <si>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</si>
  <si>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</si>
  <si>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</si>
  <si>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</si>
  <si>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</si>
  <si>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</si>
  <si>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</si>
  <si>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</si>
  <si>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</si>
  <si>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</si>
  <si>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</si>
  <si>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</si>
  <si>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</si>
  <si>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</si>
  <si>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</si>
  <si>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</si>
  <si>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</si>
  <si>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</si>
  <si>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</si>
  <si>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</si>
  <si>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</si>
  <si>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</si>
  <si>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</si>
  <si>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</si>
  <si>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</si>
  <si>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</si>
  <si>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</si>
  <si>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</si>
  <si>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</si>
  <si>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</si>
  <si>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</si>
  <si>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</si>
  <si>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</si>
  <si>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</si>
  <si>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</si>
  <si>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</si>
  <si>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</si>
  <si>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</si>
  <si>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</si>
  <si>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</si>
  <si>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</si>
  <si>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</si>
  <si>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</si>
  <si>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</si>
  <si>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</si>
  <si>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</si>
  <si>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</si>
  <si>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</si>
  <si>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</si>
  <si>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</si>
  <si>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</si>
  <si>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</si>
  <si>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</si>
  <si>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</si>
  <si>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</si>
  <si>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</si>
  <si>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</si>
  <si>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</si>
  <si>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</si>
  <si>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</si>
  <si>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</si>
  <si>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</si>
  <si>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</si>
  <si>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</si>
  <si>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</si>
  <si>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</si>
  <si>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</si>
  <si>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</si>
  <si>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</si>
  <si>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</si>
  <si>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</si>
  <si>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</si>
  <si>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</si>
  <si>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</si>
  <si>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</si>
  <si>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</si>
  <si>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</si>
  <si>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</si>
  <si>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</si>
  <si>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</si>
  <si>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</si>
  <si>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</si>
  <si>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</si>
  <si>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</si>
  <si>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</si>
  <si>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</si>
  <si>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</si>
  <si>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</si>
  <si>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</si>
  <si>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</si>
  <si>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</si>
  <si>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</si>
  <si>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</si>
  <si>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</si>
  <si>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</si>
  <si>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</si>
  <si>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</si>
  <si>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</si>
  <si>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</si>
  <si>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</si>
  <si>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</si>
  <si>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</si>
  <si>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</si>
  <si>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</si>
  <si>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</si>
  <si>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</si>
  <si>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</si>
  <si>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</si>
  <si>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</si>
  <si>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</si>
  <si>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</si>
  <si>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</si>
  <si>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</si>
  <si>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</si>
  <si>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</si>
  <si>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</si>
  <si>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</si>
  <si>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</si>
  <si>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</si>
  <si>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</si>
  <si>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</si>
  <si>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</si>
  <si>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</si>
  <si>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</si>
  <si>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</si>
  <si>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</si>
  <si>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</si>
  <si>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</si>
  <si>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</si>
  <si>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</si>
  <si>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</si>
  <si>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</si>
  <si>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</si>
  <si>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</si>
  <si>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</si>
  <si>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</si>
  <si>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</si>
  <si>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</si>
  <si>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</si>
  <si>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</si>
  <si>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</si>
  <si>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</si>
  <si>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</si>
  <si>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</si>
  <si>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</si>
  <si>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</si>
  <si>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</si>
  <si>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</si>
  <si>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</si>
  <si>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</si>
  <si>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</si>
  <si>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</si>
  <si>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</si>
  <si>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</si>
  <si>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</si>
  <si>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</si>
  <si>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</si>
  <si>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</si>
  <si>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</si>
  <si>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</si>
  <si>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</si>
  <si>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</si>
  <si>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</si>
  <si>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</si>
  <si>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</si>
  <si>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</si>
  <si>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</si>
  <si>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</si>
  <si>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</si>
  <si>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</si>
  <si>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</si>
  <si>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</si>
  <si>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</si>
  <si>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</si>
  <si>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</si>
  <si>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</si>
  <si>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</si>
  <si>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</si>
  <si>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</si>
  <si>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</si>
  <si>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</si>
  <si>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</si>
  <si>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</si>
  <si>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</si>
  <si>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</si>
  <si>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</si>
  <si>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</si>
  <si>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</si>
  <si>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</si>
  <si>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</si>
  <si>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</si>
  <si>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</si>
  <si>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</si>
  <si>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</si>
  <si>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</si>
  <si>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</si>
  <si>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</si>
  <si>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</si>
  <si>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</si>
  <si>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</si>
  <si>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</si>
  <si>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</si>
  <si>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</si>
  <si>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</si>
  <si>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</si>
  <si>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</si>
  <si>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</si>
  <si>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</si>
  <si>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</si>
  <si>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</si>
  <si>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</si>
  <si>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</si>
  <si>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</si>
  <si>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</si>
  <si>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</si>
  <si>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</si>
  <si>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</si>
  <si>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</si>
  <si>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</si>
  <si>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</si>
  <si>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</si>
  <si>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</si>
  <si>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</si>
  <si>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</si>
  <si>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</si>
  <si>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</si>
  <si>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</si>
  <si>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</si>
  <si>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</si>
  <si>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</si>
  <si>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</si>
  <si>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</si>
  <si>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</si>
  <si>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</si>
  <si>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</si>
  <si>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</si>
  <si>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</si>
  <si>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</si>
  <si>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</si>
  <si>
    <t>Michaela Latham</t>
  </si>
  <si>
    <t>Steven Latham</t>
  </si>
  <si>
    <t>Claire Moore</t>
  </si>
  <si>
    <t>Mea Moore</t>
  </si>
  <si>
    <t>James Moore</t>
  </si>
  <si>
    <t>Mike Sirett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</si>
</sst>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Normal="100" workbookViewId="0">
      <selection activeCell="F26" sqref="F26"/>
    </sheetView>
  </sheetViews>
  <sheetFormatPr defaultColWidth="9.1328125" defaultRowHeight="12.75" x14ac:dyDescent="0.35"/>
  <cols>
    <col min="1" max="1" width="20.3984375" bestFit="1" customWidth="1"/>
    <col min="2" max="2" width="38.796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tabSelected="1" topLeftCell="B2" zoomScaleNormal="100" workbookViewId="0">
      <selection activeCell="E36" sqref="E3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526</v>
      </c>
      <c r="B2" s="41">
        <f t="shared" ref="B2:B33" si="0">IF(A2="","",_xlfn.XLOOKUP(A2,ClubNames,ClubNumbers,_xlfn.XLOOKUP(A2,RoundRobinRiderNames,RoundRobinRiderDecoratedNames,A2)))</f>
        <v>990</v>
      </c>
      <c r="C2" s="17"/>
      <c r="D2" s="17">
        <f>15+15</f>
        <v>30</v>
      </c>
      <c r="E2" s="17">
        <f>23+11</f>
        <v>34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Jennifer Hulme</v>
      </c>
      <c r="I2" s="20">
        <f>IF(LEFT($F2,1)="D",UPPER($F2),(C2*3600+D2*60+E2)/86400)</f>
        <v>2.1226851851851851E-2</v>
      </c>
      <c r="J2" t="str">
        <f>IF(OR(B2="",ISNUMBER(B2)),"","X")</f>
        <v/>
      </c>
    </row>
    <row r="3" spans="1:10" ht="15" x14ac:dyDescent="0.4">
      <c r="A3" s="40" t="s">
        <v>540</v>
      </c>
      <c r="B3" s="41">
        <f t="shared" si="0"/>
        <v>1379</v>
      </c>
      <c r="C3" s="17"/>
      <c r="D3" s="17">
        <f>13+13</f>
        <v>26</v>
      </c>
      <c r="E3" s="17">
        <f>23+2</f>
        <v>25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Michaela Latham</v>
      </c>
      <c r="I3" s="20">
        <f t="shared" ref="I3:I66" si="1">IF(LEFT($F3,1)="D",UPPER($F3),(C3*3600+D3*60+E3)/86400)</f>
        <v>1.8344907407407407E-2</v>
      </c>
      <c r="J3" t="str">
        <f t="shared" ref="J3:J66" si="2">IF(OR(B3="",ISNUMBER(B3)),"","X")</f>
        <v/>
      </c>
    </row>
    <row r="4" spans="1:10" ht="15" x14ac:dyDescent="0.4">
      <c r="A4" s="40" t="s">
        <v>541</v>
      </c>
      <c r="B4" s="41">
        <f t="shared" si="0"/>
        <v>1244</v>
      </c>
      <c r="C4" s="17"/>
      <c r="D4" s="17">
        <f>13+12</f>
        <v>25</v>
      </c>
      <c r="E4" s="17">
        <f>17+52</f>
        <v>69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Steven Latham</v>
      </c>
      <c r="I4" s="20">
        <f t="shared" si="1"/>
        <v>1.8159722222222223E-2</v>
      </c>
      <c r="J4" t="str">
        <f t="shared" si="2"/>
        <v/>
      </c>
    </row>
    <row r="5" spans="1:10" ht="15" x14ac:dyDescent="0.4">
      <c r="A5" s="40" t="s">
        <v>457</v>
      </c>
      <c r="B5" s="41">
        <f t="shared" si="0"/>
        <v>1194</v>
      </c>
      <c r="C5" s="17"/>
      <c r="D5" s="17">
        <f>13+13</f>
        <v>26</v>
      </c>
      <c r="E5" s="17">
        <f>56+34</f>
        <v>90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Alex Hardwicke</v>
      </c>
      <c r="I5" s="20">
        <f t="shared" si="1"/>
        <v>1.9097222222222224E-2</v>
      </c>
      <c r="J5" t="str">
        <f t="shared" si="2"/>
        <v/>
      </c>
    </row>
    <row r="6" spans="1:10" ht="15" x14ac:dyDescent="0.4">
      <c r="A6" s="40" t="s">
        <v>529</v>
      </c>
      <c r="B6" s="41">
        <f t="shared" si="0"/>
        <v>1195</v>
      </c>
      <c r="C6" s="17"/>
      <c r="D6" s="17">
        <f>12+11</f>
        <v>23</v>
      </c>
      <c r="E6" s="17">
        <f>16+55</f>
        <v>71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Charlie Hardwicke</v>
      </c>
      <c r="I6" s="20">
        <f t="shared" si="1"/>
        <v>1.6793981481481483E-2</v>
      </c>
      <c r="J6" t="str">
        <f t="shared" si="2"/>
        <v/>
      </c>
    </row>
    <row r="7" spans="1:10" ht="15" x14ac:dyDescent="0.4">
      <c r="A7" s="40" t="s">
        <v>491</v>
      </c>
      <c r="B7" s="41">
        <f t="shared" si="0"/>
        <v>45</v>
      </c>
      <c r="C7" s="17"/>
      <c r="D7" s="17">
        <f>16+15</f>
        <v>31</v>
      </c>
      <c r="E7" s="17">
        <v>21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Ray Taylor</v>
      </c>
      <c r="I7" s="20">
        <f t="shared" si="1"/>
        <v>2.1770833333333333E-2</v>
      </c>
      <c r="J7" t="str">
        <f t="shared" si="2"/>
        <v/>
      </c>
    </row>
    <row r="8" spans="1:10" ht="15" x14ac:dyDescent="0.4">
      <c r="A8" s="40" t="s">
        <v>458</v>
      </c>
      <c r="B8" s="41">
        <f t="shared" si="0"/>
        <v>1298</v>
      </c>
      <c r="C8" s="17"/>
      <c r="D8" s="17">
        <f>14+14</f>
        <v>28</v>
      </c>
      <c r="E8" s="17">
        <f>59+11</f>
        <v>70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Jane Moore</v>
      </c>
      <c r="I8" s="20">
        <f t="shared" si="1"/>
        <v>2.0254629629629629E-2</v>
      </c>
      <c r="J8" t="str">
        <f t="shared" si="2"/>
        <v/>
      </c>
    </row>
    <row r="9" spans="1:10" ht="15" x14ac:dyDescent="0.4">
      <c r="A9" s="40" t="s">
        <v>542</v>
      </c>
      <c r="B9" s="41">
        <f t="shared" si="0"/>
        <v>742</v>
      </c>
      <c r="C9" s="17"/>
      <c r="D9" s="17">
        <f>15+13</f>
        <v>28</v>
      </c>
      <c r="E9" s="17">
        <f>1+54</f>
        <v>55</v>
      </c>
      <c r="F9" s="17" t="s">
        <v>473</v>
      </c>
      <c r="G9" s="17"/>
      <c r="H9" s="19" t="str">
        <f>IF($B9="","",IF($J9="X",B9,CONCATENATE(VLOOKUP(B9,Competitors!$A$2:$I$650,3, FALSE)," ",VLOOKUP(B9,Competitors!$A$2:$I$650,2,FALSE))))</f>
        <v>Claire Moore</v>
      </c>
      <c r="I9" s="20">
        <f t="shared" si="1"/>
        <v>2.0081018518518519E-2</v>
      </c>
      <c r="J9" t="str">
        <f t="shared" si="2"/>
        <v/>
      </c>
    </row>
    <row r="10" spans="1:10" ht="15" x14ac:dyDescent="0.4">
      <c r="A10" s="40" t="s">
        <v>482</v>
      </c>
      <c r="B10" s="41">
        <f t="shared" si="0"/>
        <v>1193</v>
      </c>
      <c r="C10" s="17"/>
      <c r="D10" s="17">
        <f>12+12</f>
        <v>24</v>
      </c>
      <c r="E10" s="17">
        <f>40+19</f>
        <v>59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Richard Hardwicke</v>
      </c>
      <c r="I10" s="20">
        <f t="shared" si="1"/>
        <v>1.7349537037037038E-2</v>
      </c>
      <c r="J10" t="str">
        <f t="shared" si="2"/>
        <v/>
      </c>
    </row>
    <row r="11" spans="1:10" ht="15" x14ac:dyDescent="0.4">
      <c r="A11" s="40" t="s">
        <v>543</v>
      </c>
      <c r="B11" s="41">
        <f t="shared" si="0"/>
        <v>1386</v>
      </c>
      <c r="C11" s="17"/>
      <c r="D11" s="17">
        <f>12+12</f>
        <v>24</v>
      </c>
      <c r="E11" s="17">
        <f>56+15</f>
        <v>71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Mea Moore</v>
      </c>
      <c r="I11" s="20">
        <f t="shared" si="1"/>
        <v>1.7488425925925925E-2</v>
      </c>
      <c r="J11" t="str">
        <f t="shared" si="2"/>
        <v/>
      </c>
    </row>
    <row r="12" spans="1:10" ht="15" x14ac:dyDescent="0.4">
      <c r="A12" s="40" t="s">
        <v>462</v>
      </c>
      <c r="B12" s="41">
        <f t="shared" si="0"/>
        <v>1418</v>
      </c>
      <c r="C12" s="17"/>
      <c r="D12" s="17">
        <f>11+11</f>
        <v>22</v>
      </c>
      <c r="E12" s="17">
        <f>37+13</f>
        <v>50</v>
      </c>
      <c r="F12" s="17"/>
      <c r="G12" s="17"/>
      <c r="H12" s="19" t="str">
        <f>IF($B12="","",IF($J12="X",B12,CONCATENATE(VLOOKUP(B12,Competitors!$A$2:$I$650,3, FALSE)," ",VLOOKUP(B12,Competitors!$A$2:$I$650,2,FALSE))))</f>
        <v>James Brown</v>
      </c>
      <c r="I12" s="20">
        <f t="shared" si="1"/>
        <v>1.5856481481481482E-2</v>
      </c>
      <c r="J12" t="str">
        <f t="shared" si="2"/>
        <v/>
      </c>
    </row>
    <row r="13" spans="1:10" ht="15" x14ac:dyDescent="0.4">
      <c r="A13" s="40" t="s">
        <v>544</v>
      </c>
      <c r="B13" s="41">
        <f t="shared" si="0"/>
        <v>747</v>
      </c>
      <c r="C13" s="17"/>
      <c r="D13" s="17">
        <f>10+9</f>
        <v>19</v>
      </c>
      <c r="E13" s="17">
        <f>28+58</f>
        <v>86</v>
      </c>
      <c r="F13" s="17"/>
      <c r="G13" s="17"/>
      <c r="H13" s="19" t="str">
        <f>IF($B13="","",IF($J13="X",B13,CONCATENATE(VLOOKUP(B13,Competitors!$A$2:$I$650,3, FALSE)," ",VLOOKUP(B13,Competitors!$A$2:$I$650,2,FALSE))))</f>
        <v>James Moore</v>
      </c>
      <c r="I13" s="20">
        <f t="shared" si="1"/>
        <v>1.4189814814814815E-2</v>
      </c>
      <c r="J13" t="str">
        <f t="shared" si="2"/>
        <v/>
      </c>
    </row>
    <row r="14" spans="1:10" ht="15" x14ac:dyDescent="0.4">
      <c r="A14" s="40" t="s">
        <v>475</v>
      </c>
      <c r="B14" s="41">
        <f t="shared" si="0"/>
        <v>245</v>
      </c>
      <c r="C14" s="17"/>
      <c r="D14" s="17">
        <f>12+11</f>
        <v>23</v>
      </c>
      <c r="E14" s="17">
        <f>37+59</f>
        <v>96</v>
      </c>
      <c r="F14" s="17"/>
      <c r="G14" s="17"/>
      <c r="H14" s="19" t="str">
        <f>IF($B14="","",IF($J14="X",B14,CONCATENATE(VLOOKUP(B14,Competitors!$A$2:$I$650,3, FALSE)," ",VLOOKUP(B14,Competitors!$A$2:$I$650,2,FALSE))))</f>
        <v>David Reay</v>
      </c>
      <c r="I14" s="20">
        <f t="shared" si="1"/>
        <v>1.7083333333333332E-2</v>
      </c>
      <c r="J14" t="str">
        <f t="shared" si="2"/>
        <v/>
      </c>
    </row>
    <row r="15" spans="1:10" ht="15" x14ac:dyDescent="0.4">
      <c r="A15" s="40" t="s">
        <v>480</v>
      </c>
      <c r="B15" s="41">
        <f t="shared" si="0"/>
        <v>1152</v>
      </c>
      <c r="C15" s="17"/>
      <c r="D15" s="17">
        <f>11+11</f>
        <v>22</v>
      </c>
      <c r="E15" s="17">
        <f>30+2</f>
        <v>32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Ruby Isaac</v>
      </c>
      <c r="I15" s="20">
        <f t="shared" si="1"/>
        <v>1.5648148148148147E-2</v>
      </c>
      <c r="J15" t="str">
        <f t="shared" si="2"/>
        <v/>
      </c>
    </row>
    <row r="16" spans="1:10" ht="15" x14ac:dyDescent="0.4">
      <c r="A16" s="40" t="s">
        <v>464</v>
      </c>
      <c r="B16" s="41">
        <f t="shared" si="0"/>
        <v>1403</v>
      </c>
      <c r="C16" s="17"/>
      <c r="D16" s="17">
        <f>12+11</f>
        <v>23</v>
      </c>
      <c r="E16" s="17">
        <f>22+48</f>
        <v>70</v>
      </c>
      <c r="F16" s="17"/>
      <c r="G16" s="17"/>
      <c r="H16" s="19" t="str">
        <f>IF($B16="","",IF($J16="X",B16,CONCATENATE(VLOOKUP(B16,Competitors!$A$2:$I$650,3, FALSE)," ",VLOOKUP(B16,Competitors!$A$2:$I$650,2,FALSE))))</f>
        <v>Toby Lenehan</v>
      </c>
      <c r="I16" s="20">
        <f t="shared" si="1"/>
        <v>1.6782407407407409E-2</v>
      </c>
      <c r="J16" t="str">
        <f t="shared" si="2"/>
        <v/>
      </c>
    </row>
    <row r="17" spans="1:10" ht="15" x14ac:dyDescent="0.4">
      <c r="A17" s="40" t="s">
        <v>463</v>
      </c>
      <c r="B17" s="41">
        <f t="shared" si="0"/>
        <v>1107</v>
      </c>
      <c r="C17" s="17"/>
      <c r="D17" s="17">
        <f>12+11</f>
        <v>23</v>
      </c>
      <c r="E17" s="17">
        <f>20+53</f>
        <v>73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Milly Pinnock</v>
      </c>
      <c r="I17" s="20">
        <f t="shared" si="1"/>
        <v>1.681712962962963E-2</v>
      </c>
      <c r="J17" t="str">
        <f t="shared" si="2"/>
        <v/>
      </c>
    </row>
    <row r="18" spans="1:10" ht="15" x14ac:dyDescent="0.4">
      <c r="A18" s="40" t="s">
        <v>460</v>
      </c>
      <c r="B18" s="41">
        <f t="shared" si="0"/>
        <v>1355</v>
      </c>
      <c r="C18" s="17"/>
      <c r="D18" s="17">
        <f>11+10</f>
        <v>21</v>
      </c>
      <c r="E18" s="17">
        <f>27+59</f>
        <v>86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Aubrey Elmer</v>
      </c>
      <c r="I18" s="20">
        <f t="shared" si="1"/>
        <v>1.5578703703703704E-2</v>
      </c>
      <c r="J18" t="str">
        <f t="shared" si="2"/>
        <v/>
      </c>
    </row>
    <row r="19" spans="1:10" ht="15" x14ac:dyDescent="0.4">
      <c r="A19" s="40" t="s">
        <v>527</v>
      </c>
      <c r="B19" s="41">
        <f t="shared" si="0"/>
        <v>203</v>
      </c>
      <c r="C19" s="17"/>
      <c r="D19" s="17"/>
      <c r="E19" s="17"/>
      <c r="F19" s="17"/>
      <c r="G19" s="17" t="s">
        <v>539</v>
      </c>
      <c r="H19" s="19" t="str">
        <f>IF($B19="","",IF($J19="X",B19,CONCATENATE(VLOOKUP(B19,Competitors!$A$2:$I$650,3, FALSE)," ",VLOOKUP(B19,Competitors!$A$2:$I$650,2,FALSE))))</f>
        <v>Adrian Killworth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486</v>
      </c>
      <c r="B20" s="41">
        <f t="shared" si="0"/>
        <v>564</v>
      </c>
      <c r="C20" s="17"/>
      <c r="D20" s="17">
        <f>12+12</f>
        <v>24</v>
      </c>
      <c r="E20" s="17">
        <f>40+22</f>
        <v>62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1"/>
        <v>1.7384259259259259E-2</v>
      </c>
      <c r="J20" t="str">
        <f t="shared" si="2"/>
        <v/>
      </c>
    </row>
    <row r="21" spans="1:10" ht="15" x14ac:dyDescent="0.4">
      <c r="A21" s="40" t="s">
        <v>510</v>
      </c>
      <c r="B21" s="41">
        <f t="shared" si="0"/>
        <v>1109</v>
      </c>
      <c r="C21" s="17"/>
      <c r="D21" s="17">
        <f>12+11</f>
        <v>23</v>
      </c>
      <c r="E21" s="17">
        <f>31+58</f>
        <v>89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Stuart Haycox</v>
      </c>
      <c r="I21" s="20">
        <f t="shared" si="1"/>
        <v>1.7002314814814814E-2</v>
      </c>
      <c r="J21" t="str">
        <f t="shared" si="2"/>
        <v/>
      </c>
    </row>
    <row r="22" spans="1:10" ht="15" x14ac:dyDescent="0.4">
      <c r="A22" s="40" t="s">
        <v>461</v>
      </c>
      <c r="B22" s="41">
        <f t="shared" si="0"/>
        <v>1407</v>
      </c>
      <c r="C22" s="17"/>
      <c r="D22" s="17">
        <f>11+11</f>
        <v>22</v>
      </c>
      <c r="E22" s="17">
        <f>44+4</f>
        <v>48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Colin Dobson</v>
      </c>
      <c r="I22" s="20">
        <f t="shared" si="1"/>
        <v>1.5833333333333335E-2</v>
      </c>
      <c r="J22" t="str">
        <f t="shared" si="2"/>
        <v/>
      </c>
    </row>
    <row r="23" spans="1:10" ht="15" x14ac:dyDescent="0.4">
      <c r="A23" s="40" t="s">
        <v>497</v>
      </c>
      <c r="B23" s="41">
        <f t="shared" si="0"/>
        <v>407</v>
      </c>
      <c r="C23" s="17"/>
      <c r="D23" s="17">
        <f>10+10</f>
        <v>20</v>
      </c>
      <c r="E23" s="17">
        <f>32+11</f>
        <v>43</v>
      </c>
      <c r="F23" s="17"/>
      <c r="G23" s="17"/>
      <c r="H23" s="19" t="str">
        <f>IF($B23="","",IF($J23="X",B23,CONCATENATE(VLOOKUP(B23,Competitors!$A$2:$I$650,3, FALSE)," ",VLOOKUP(B23,Competitors!$A$2:$I$650,2,FALSE))))</f>
        <v>Hans van Nierop</v>
      </c>
      <c r="I23" s="20">
        <f t="shared" si="1"/>
        <v>1.4386574074074074E-2</v>
      </c>
      <c r="J23" t="str">
        <f t="shared" si="2"/>
        <v/>
      </c>
    </row>
    <row r="24" spans="1:10" ht="15" x14ac:dyDescent="0.4">
      <c r="A24" s="40" t="s">
        <v>481</v>
      </c>
      <c r="B24" s="41">
        <f t="shared" si="0"/>
        <v>1112</v>
      </c>
      <c r="C24" s="17"/>
      <c r="D24" s="17">
        <f>12+11</f>
        <v>23</v>
      </c>
      <c r="E24" s="17">
        <f>29+48</f>
        <v>77</v>
      </c>
      <c r="F24" s="17"/>
      <c r="G24" s="17"/>
      <c r="H24" s="19" t="str">
        <f>IF($B24="","",IF($J24="X",B24,CONCATENATE(VLOOKUP(B24,Competitors!$A$2:$I$650,3, FALSE)," ",VLOOKUP(B24,Competitors!$A$2:$I$650,2,FALSE))))</f>
        <v>Gary Ashwell</v>
      </c>
      <c r="I24" s="20">
        <f t="shared" si="1"/>
        <v>1.6863425925925928E-2</v>
      </c>
      <c r="J24" t="str">
        <f t="shared" si="2"/>
        <v/>
      </c>
    </row>
    <row r="25" spans="1:10" ht="15" x14ac:dyDescent="0.4">
      <c r="A25" s="40" t="s">
        <v>467</v>
      </c>
      <c r="B25" s="41">
        <f t="shared" si="0"/>
        <v>704</v>
      </c>
      <c r="C25" s="17"/>
      <c r="D25" s="17">
        <f>12+11</f>
        <v>23</v>
      </c>
      <c r="E25" s="17">
        <f>11+59</f>
        <v>70</v>
      </c>
      <c r="F25" s="17"/>
      <c r="G25" s="17"/>
      <c r="H25" s="19" t="str">
        <f>IF($B25="","",IF($J25="X",B25,CONCATENATE(VLOOKUP(B25,Competitors!$A$2:$I$650,3, FALSE)," ",VLOOKUP(B25,Competitors!$A$2:$I$650,2,FALSE))))</f>
        <v>Chris Dainty</v>
      </c>
      <c r="I25" s="20">
        <f t="shared" si="1"/>
        <v>1.6782407407407409E-2</v>
      </c>
      <c r="J25" t="str">
        <f t="shared" si="2"/>
        <v/>
      </c>
    </row>
    <row r="26" spans="1:10" ht="15" x14ac:dyDescent="0.4">
      <c r="A26" s="40" t="s">
        <v>499</v>
      </c>
      <c r="B26" s="41">
        <f t="shared" si="0"/>
        <v>415</v>
      </c>
      <c r="C26" s="17"/>
      <c r="D26" s="17">
        <f>11+11</f>
        <v>22</v>
      </c>
      <c r="E26" s="17">
        <f>44+8</f>
        <v>52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Nik Kershaw</v>
      </c>
      <c r="I26" s="20">
        <f t="shared" si="1"/>
        <v>1.5879629629629629E-2</v>
      </c>
      <c r="J26" t="str">
        <f t="shared" si="2"/>
        <v/>
      </c>
    </row>
    <row r="27" spans="1:10" ht="15" x14ac:dyDescent="0.4">
      <c r="A27" s="40" t="s">
        <v>501</v>
      </c>
      <c r="B27" s="41">
        <f t="shared" si="0"/>
        <v>1237</v>
      </c>
      <c r="C27" s="17"/>
      <c r="D27" s="17">
        <f>12+12</f>
        <v>24</v>
      </c>
      <c r="E27" s="17">
        <f>36+5</f>
        <v>41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John Abbott</v>
      </c>
      <c r="I27" s="20">
        <f t="shared" si="1"/>
        <v>1.7141203703703704E-2</v>
      </c>
      <c r="J27" t="str">
        <f t="shared" si="2"/>
        <v/>
      </c>
    </row>
    <row r="28" spans="1:10" ht="15" x14ac:dyDescent="0.4">
      <c r="A28" s="40" t="s">
        <v>503</v>
      </c>
      <c r="B28" s="41">
        <f t="shared" si="0"/>
        <v>1094</v>
      </c>
      <c r="C28" s="17"/>
      <c r="D28" s="17">
        <f>10+10</f>
        <v>20</v>
      </c>
      <c r="E28" s="17">
        <f>51+37</f>
        <v>88</v>
      </c>
      <c r="F28" s="17"/>
      <c r="G28" s="17"/>
      <c r="H28" s="19" t="str">
        <f>IF($B28="","",IF($J28="X",B28,CONCATENATE(VLOOKUP(B28,Competitors!$A$2:$I$650,3, FALSE)," ",VLOOKUP(B28,Competitors!$A$2:$I$650,2,FALSE))))</f>
        <v>Andy Poulton</v>
      </c>
      <c r="I28" s="20">
        <f t="shared" si="1"/>
        <v>1.4907407407407407E-2</v>
      </c>
      <c r="J28" t="str">
        <f t="shared" si="2"/>
        <v/>
      </c>
    </row>
    <row r="29" spans="1:10" ht="15" x14ac:dyDescent="0.4">
      <c r="A29" s="40" t="s">
        <v>471</v>
      </c>
      <c r="B29" s="41">
        <f t="shared" si="0"/>
        <v>1161</v>
      </c>
      <c r="C29" s="17"/>
      <c r="D29" s="17">
        <f>10+10</f>
        <v>20</v>
      </c>
      <c r="E29" s="17">
        <f>57+26</f>
        <v>83</v>
      </c>
      <c r="F29" s="17"/>
      <c r="G29" s="17"/>
      <c r="H29" s="19" t="str">
        <f>IF($B29="","",IF($J29="X",B29,CONCATENATE(VLOOKUP(B29,Competitors!$A$2:$I$650,3, FALSE)," ",VLOOKUP(B29,Competitors!$A$2:$I$650,2,FALSE))))</f>
        <v>Maciej Suchocki</v>
      </c>
      <c r="I29" s="20">
        <f t="shared" si="1"/>
        <v>1.4849537037037038E-2</v>
      </c>
      <c r="J29" t="str">
        <f t="shared" si="2"/>
        <v/>
      </c>
    </row>
    <row r="30" spans="1:10" ht="15" x14ac:dyDescent="0.4">
      <c r="A30" s="40" t="s">
        <v>498</v>
      </c>
      <c r="B30" s="41">
        <f t="shared" si="0"/>
        <v>1192</v>
      </c>
      <c r="C30" s="17"/>
      <c r="D30" s="17">
        <f>11+11</f>
        <v>22</v>
      </c>
      <c r="E30" s="17">
        <f>43+7</f>
        <v>50</v>
      </c>
      <c r="F30" s="17"/>
      <c r="G30" s="17"/>
      <c r="H30" s="19" t="str">
        <f>IF($B30="","",IF($J30="X",B30,CONCATENATE(VLOOKUP(B30,Competitors!$A$2:$I$650,3, FALSE)," ",VLOOKUP(B30,Competitors!$A$2:$I$650,2,FALSE))))</f>
        <v>Dale Norris</v>
      </c>
      <c r="I30" s="20">
        <f t="shared" si="1"/>
        <v>1.5856481481481482E-2</v>
      </c>
      <c r="J30" t="str">
        <f t="shared" si="2"/>
        <v/>
      </c>
    </row>
    <row r="31" spans="1:10" ht="15" x14ac:dyDescent="0.4">
      <c r="A31" s="40" t="s">
        <v>490</v>
      </c>
      <c r="B31" s="41">
        <f t="shared" si="0"/>
        <v>699</v>
      </c>
      <c r="C31" s="17"/>
      <c r="D31" s="17">
        <f>10+10</f>
        <v>20</v>
      </c>
      <c r="E31" s="17">
        <f>57+32</f>
        <v>89</v>
      </c>
      <c r="F31" s="17"/>
      <c r="G31" s="17"/>
      <c r="H31" s="19" t="str">
        <f>IF($B31="","",IF($J31="X",B31,CONCATENATE(VLOOKUP(B31,Competitors!$A$2:$I$650,3, FALSE)," ",VLOOKUP(B31,Competitors!$A$2:$I$650,2,FALSE))))</f>
        <v>Jonathan Durnin</v>
      </c>
      <c r="I31" s="20">
        <f t="shared" si="1"/>
        <v>1.4918981481481481E-2</v>
      </c>
      <c r="J31" t="str">
        <f t="shared" si="2"/>
        <v/>
      </c>
    </row>
    <row r="32" spans="1:10" ht="15" x14ac:dyDescent="0.4">
      <c r="A32" s="40" t="s">
        <v>502</v>
      </c>
      <c r="B32" s="41">
        <f t="shared" si="0"/>
        <v>846</v>
      </c>
      <c r="C32" s="17"/>
      <c r="D32" s="17"/>
      <c r="E32" s="17"/>
      <c r="F32" s="17"/>
      <c r="G32" s="17" t="s">
        <v>539</v>
      </c>
      <c r="H32" s="19" t="str">
        <f>IF($B32="","",IF($J32="X",B32,CONCATENATE(VLOOKUP(B32,Competitors!$A$2:$I$650,3, FALSE)," ",VLOOKUP(B32,Competitors!$A$2:$I$650,2,FALSE))))</f>
        <v>Roger Kockelbergh</v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545</v>
      </c>
      <c r="B33" s="41">
        <f t="shared" si="0"/>
        <v>1242</v>
      </c>
      <c r="C33" s="17"/>
      <c r="D33" s="17">
        <f>13+12</f>
        <v>25</v>
      </c>
      <c r="E33" s="17">
        <f>1+17</f>
        <v>18</v>
      </c>
      <c r="F33" s="17" t="s">
        <v>473</v>
      </c>
      <c r="G33" s="17"/>
      <c r="H33" s="19" t="str">
        <f>IF($B33="","",IF($J33="X",B33,CONCATENATE(VLOOKUP(B33,Competitors!$A$2:$I$650,3, FALSE)," ",VLOOKUP(B33,Competitors!$A$2:$I$650,2,FALSE))))</f>
        <v>Mike Sirett</v>
      </c>
      <c r="I33" s="20">
        <f t="shared" si="1"/>
        <v>1.7569444444444443E-2</v>
      </c>
      <c r="J33" t="str">
        <f t="shared" si="2"/>
        <v/>
      </c>
    </row>
    <row r="34" spans="1:10" ht="15" x14ac:dyDescent="0.4">
      <c r="A34" s="40" t="s">
        <v>483</v>
      </c>
      <c r="B34" s="41">
        <f t="shared" ref="B34:B65" si="3">IF(A34="","",_xlfn.XLOOKUP(A34,ClubNames,ClubNumbers,_xlfn.XLOOKUP(A34,RoundRobinRiderNames,RoundRobinRiderDecoratedNames,A34)))</f>
        <v>989</v>
      </c>
      <c r="C34" s="17"/>
      <c r="D34" s="17">
        <f>11+10</f>
        <v>21</v>
      </c>
      <c r="E34" s="17">
        <f>29+52</f>
        <v>81</v>
      </c>
      <c r="F34" s="17"/>
      <c r="G34" s="17"/>
      <c r="H34" s="19" t="str">
        <f>IF($B34="","",IF($J34="X",B34,CONCATENATE(VLOOKUP(B34,Competitors!$A$2:$I$650,3, FALSE)," ",VLOOKUP(B34,Competitors!$A$2:$I$650,2,FALSE))))</f>
        <v>Jason Williams</v>
      </c>
      <c r="I34" s="20">
        <f t="shared" si="1"/>
        <v>1.5520833333333333E-2</v>
      </c>
      <c r="J34" t="str">
        <f t="shared" si="2"/>
        <v/>
      </c>
    </row>
    <row r="35" spans="1:10" ht="15" x14ac:dyDescent="0.4">
      <c r="A35" s="40" t="s">
        <v>493</v>
      </c>
      <c r="B35" s="41">
        <f t="shared" si="3"/>
        <v>1254</v>
      </c>
      <c r="C35" s="17"/>
      <c r="D35" s="17">
        <f>12+11</f>
        <v>23</v>
      </c>
      <c r="E35" s="17">
        <f>12+53</f>
        <v>65</v>
      </c>
      <c r="F35" s="17"/>
      <c r="G35" s="17"/>
      <c r="H35" s="19" t="str">
        <f>IF($B35="","",IF($J35="X",B35,CONCATENATE(VLOOKUP(B35,Competitors!$A$2:$I$650,3, FALSE)," ",VLOOKUP(B35,Competitors!$A$2:$I$650,2,FALSE))))</f>
        <v>Paul White</v>
      </c>
      <c r="I35" s="20">
        <f t="shared" si="1"/>
        <v>1.6724537037037038E-2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2026-05-05T19:49:33Z</dcterms:modified>
</cp:coreProperties>
</file>