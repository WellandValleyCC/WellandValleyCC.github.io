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986151D-706C-483E-9212-E0BB2638BC06}" xr6:coauthVersionLast="47" xr6:coauthVersionMax="47" xr10:uidLastSave="{00000000-0000-0000-0000-000000000000}"/>
  <bookViews>
    <workbookView xWindow="14317" yWindow="0" windowWidth="14565" windowHeight="17363" firstSheet="27"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30" l="1"/>
  <c r="B11" i="31"/>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I10" i="31"/>
  <c r="B10" i="31"/>
  <c r="I9" i="31"/>
  <c r="B9" i="31"/>
  <c r="I8" i="31"/>
  <c r="B8" i="31"/>
  <c r="I7" i="31"/>
  <c r="B7" i="31"/>
  <c r="I6" i="31"/>
  <c r="B6" i="31"/>
  <c r="I5" i="31"/>
  <c r="B5" i="31"/>
  <c r="I4" i="31"/>
  <c r="B4" i="31"/>
  <c r="I3" i="31"/>
  <c r="C15" i="18"/>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B37" i="30"/>
  <c r="I36" i="30"/>
  <c r="B36" i="30"/>
  <c r="I35" i="30"/>
  <c r="B35" i="30"/>
  <c r="I34" i="30"/>
  <c r="B34" i="30"/>
  <c r="I33" i="30"/>
  <c r="B33" i="30"/>
  <c r="I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89" i="40"/>
  <c r="H87" i="40"/>
  <c r="H33" i="39"/>
  <c r="J79" i="37"/>
  <c r="J64" i="31"/>
  <c r="J87" i="40"/>
  <c r="J33" i="39"/>
  <c r="H75" i="34"/>
  <c r="H64" i="31"/>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18" i="26" l="1"/>
  <c r="H18" i="26"/>
  <c r="J37" i="30"/>
  <c r="H37" i="30"/>
  <c r="J36" i="30"/>
  <c r="H36" i="30"/>
  <c r="J35" i="30"/>
  <c r="H35" i="30"/>
  <c r="J34" i="30"/>
  <c r="H34" i="30"/>
  <c r="J33" i="30"/>
  <c r="H33" i="30"/>
  <c r="J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J16" i="31"/>
  <c r="J15" i="31"/>
  <c r="J14" i="31"/>
  <c r="J13" i="31"/>
  <c r="J12" i="31"/>
  <c r="H12" i="31"/>
  <c r="J11" i="31"/>
  <c r="J7" i="31"/>
  <c r="J10" i="31"/>
  <c r="H10" i="31"/>
  <c r="J3" i="31"/>
  <c r="H3"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J29" i="30"/>
  <c r="J28" i="30"/>
  <c r="J27" i="30"/>
  <c r="J25" i="30"/>
  <c r="J24" i="30"/>
  <c r="J22" i="30"/>
  <c r="J21" i="30"/>
  <c r="J20" i="30"/>
  <c r="J19" i="30"/>
  <c r="J18" i="30"/>
  <c r="J17" i="30"/>
  <c r="J16" i="30"/>
  <c r="H16" i="30"/>
  <c r="J15" i="30"/>
  <c r="J14" i="30"/>
  <c r="H14" i="30"/>
  <c r="J13" i="30"/>
  <c r="H13" i="30"/>
  <c r="J12" i="30"/>
  <c r="J10" i="30"/>
  <c r="H10" i="30"/>
  <c r="J9" i="30"/>
  <c r="J8" i="30"/>
  <c r="J7" i="30"/>
  <c r="H7" i="30"/>
  <c r="J5" i="30"/>
  <c r="J4" i="30"/>
  <c r="H4" i="30"/>
  <c r="J3" i="30"/>
  <c r="H3" i="30"/>
  <c r="J23" i="30"/>
  <c r="J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32" i="30" l="1"/>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<sst xmlns="http://schemas.openxmlformats.org/spreadsheetml/2006/main" count="14312" uniqueCount="606">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</sst>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7" workbookViewId="0">
      <selection activeCell="A53" sqref="A5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f t="shared" ref="B2:B33" si="0">IF(A2="","",_xlfn.XLOOKUP(A2,ClubNames,ClubNumbers,_xlfn.XLOOKUP(A2,RoundRobinRiderNames,RoundRobinRiderDecoratedNames,A2)))</f>
        <v>558</v>
      </c>
      <c r="C2" s="48"/>
      <c r="D2" s="48">
        <v>40</v>
      </c>
      <c r="E2" s="48">
        <v>54</v>
      </c>
      <c r="F2" s="48" t="s">
        <v>552</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552</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552</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552</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552</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552</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552</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552</v>
      </c>
      <c r="G15" s="48"/>
      <c r="H15" s="50" t="str">
        <f>IF($B15="","",IF($J15="X",B15,CONCATENATE(VLOOKUP(B15,Competitors!$A$2:$I$650,3,FALSE)," ",VLOOKUP(B15,Competitors!$A$2:$I$650,2,FALSE))))</f>
        <v>Milly Pinnock</v>
      </c>
      <c r="I15" s="51">
        <f t="shared" si="1"/>
        <v>2.0231481481481482E-2</v>
      </c>
      <c r="J15" t="str">
        <f t="shared" si="2"/>
        <v/>
      </c>
    </row>
    <row r="16" spans="1:10" ht="15">
      <c r="A16" s="46" t="s">
        <v>574</v>
      </c>
      <c r="B16" s="47" t="str">
        <f t="shared" si="0"/>
        <v>Laura Davison</v>
      </c>
      <c r="C16" s="48"/>
      <c r="D16" s="48">
        <v>31</v>
      </c>
      <c r="E16" s="48">
        <v>25</v>
      </c>
      <c r="F16" s="48" t="s">
        <v>552</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552</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552</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552</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552</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552</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552</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552</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552</v>
      </c>
      <c r="G30" s="48"/>
      <c r="H30" s="50" t="str">
        <f>IF($B30="","",IF($J30="X",B30,CONCATENATE(VLOOKUP(B30,Competitors!$A$2:$I$650,3,FALSE)," ",VLOOKUP(B30,Competitors!$A$2:$I$650,2,FALSE))))</f>
        <v>John Abbott</v>
      </c>
      <c r="I30" s="51">
        <f t="shared" si="1"/>
        <v>1.9965277777777776E-2</v>
      </c>
      <c r="J30" t="str">
        <f t="shared" si="2"/>
        <v/>
      </c>
    </row>
    <row r="31" spans="1:10" ht="15">
      <c r="A31" s="46" t="s">
        <v>535</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f t="shared" ref="B2:B33" si="0">IF(A2="","",_xlfn.XLOOKUP(A2,ClubNames,ClubNumbers,_xlfn.XLOOKUP(A2,RoundRobinRiderNames,RoundRobinRiderDecoratedNames,A2)))</f>
        <v>1298</v>
      </c>
      <c r="C2" s="48"/>
      <c r="D2" s="48"/>
      <c r="E2" s="48"/>
      <c r="F2" s="48" t="s">
        <v>552</v>
      </c>
      <c r="G2" s="48" t="s">
        <v>554</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554</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554</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552</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552</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552</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552</v>
      </c>
      <c r="G13" s="48" t="s">
        <v>554</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552</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554</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552</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552</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576</v>
      </c>
      <c r="H25" s="50" t="str">
        <f>IF($B25="","",IF($J25="X",B25,CONCATENATE(VLOOKUP(B25,Competitors!$A$2:$I$650,3,FALSE)," ",VLOOKUP(B25,Competitors!$A$2:$I$650,2,FALSE))))</f>
        <v>Andy Poulton</v>
      </c>
      <c r="I25" s="51">
        <f t="shared" si="1"/>
        <v>0</v>
      </c>
      <c r="J25" t="str">
        <f t="shared" si="2"/>
        <v/>
      </c>
    </row>
    <row r="26" spans="1:10" ht="15">
      <c r="A26" s="46" t="s">
        <v>577</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f>15+15</f>
        <v>30</v>
      </c>
      <c r="E2" s="48">
        <f>23+11</f>
        <v>34</v>
      </c>
      <c r="F2" s="48" t="s">
        <v>552</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552</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552</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552</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552</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552</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552</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552</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552</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552</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552</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552</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552</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576</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552</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552</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552</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552</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576</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552</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552</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f t="shared" ref="B2:B33" si="0">IF(A2="","",_xlfn.XLOOKUP(A2,ClubNames,ClubNumbers,_xlfn.XLOOKUP(A2,RoundRobinRiderNames,RoundRobinRiderDecoratedNames,A2)))</f>
        <v>1244</v>
      </c>
      <c r="C2" s="48"/>
      <c r="D2" s="48">
        <v>30</v>
      </c>
      <c r="E2" s="48">
        <v>3</v>
      </c>
      <c r="F2" s="48" t="s">
        <v>552</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552</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552</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552</v>
      </c>
      <c r="G5" s="48" t="s">
        <v>554</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552</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552</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552</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552</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552</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552</v>
      </c>
      <c r="G12" s="48" t="s">
        <v>554</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552</v>
      </c>
      <c r="G13" s="48" t="s">
        <v>554</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552</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554</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552</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552</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552</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552</v>
      </c>
      <c r="G27" s="48" t="s">
        <v>554</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552</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f t="shared" ref="B2:B33" si="0">IF(A2="","",_xlfn.XLOOKUP(A2,ClubNames,ClubNumbers,_xlfn.XLOOKUP(A2,RoundRobinRiderNames,RoundRobinRiderDecoratedNames,A2)))</f>
        <v>1244</v>
      </c>
      <c r="C2" s="48">
        <v>1</v>
      </c>
      <c r="D2" s="48">
        <v>15</v>
      </c>
      <c r="E2" s="48">
        <v>5</v>
      </c>
      <c r="F2" s="48" t="s">
        <v>552</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552</v>
      </c>
      <c r="G4" s="48"/>
      <c r="H4" s="50" t="str">
        <f>IF($B4="","",IF($J4="X",B4,CONCATENATE(VLOOKUP(B4,Competitors!$A$2:$I$650,3,FALSE)," ",VLOOKUP(B4,Competitors!$A$2:$I$650,2,FALSE))))</f>
        <v>Michaela Latham</v>
      </c>
      <c r="I4" s="51">
        <f t="shared" si="1"/>
        <v>5.0752314814814813E-2</v>
      </c>
      <c r="J4" t="str">
        <f t="shared" si="2"/>
        <v/>
      </c>
    </row>
    <row r="5" spans="1:10" ht="15">
      <c r="A5" s="56" t="s">
        <v>531</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552</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578</v>
      </c>
      <c r="B8" s="47" t="str">
        <f t="shared" si="0"/>
        <v>Charlie Hoyle</v>
      </c>
      <c r="C8" s="48"/>
      <c r="D8" s="48"/>
      <c r="E8" s="48"/>
      <c r="F8" s="48"/>
      <c r="G8" s="48" t="s">
        <v>561</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552</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552</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565</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552</v>
      </c>
      <c r="G14" s="48" t="s">
        <v>561</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552</v>
      </c>
      <c r="G22" s="48" t="s">
        <v>561</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552</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552</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579</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535</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f t="shared" ref="B2:B33" si="0">IF(A2="","",_xlfn.XLOOKUP(A2,ClubNames,ClubNumbers,_xlfn.XLOOKUP(A2,RoundRobinRiderNames,RoundRobinRiderDecoratedNames,A2)))</f>
        <v>990</v>
      </c>
      <c r="C2" s="48"/>
      <c r="D2" s="48">
        <v>31</v>
      </c>
      <c r="E2" s="48">
        <v>1</v>
      </c>
      <c r="F2" s="48" t="s">
        <v>552</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552</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552</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552</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552</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552</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552</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552</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552</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552</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552</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552</v>
      </c>
      <c r="G13" s="48"/>
      <c r="H13" s="50" t="str">
        <f>IF($B13="","",IF($J13="X",B13,CONCATENATE(VLOOKUP(B13,Competitors!$A$2:$I$650,3,FALSE)," ",VLOOKUP(B13,Competitors!$A$2:$I$650,2,FALSE))))</f>
        <v>Michaela Latham</v>
      </c>
      <c r="I13" s="51">
        <f t="shared" si="1"/>
        <v>1.8842592592592591E-2</v>
      </c>
      <c r="J13" t="str">
        <f t="shared" si="2"/>
        <v/>
      </c>
    </row>
    <row r="14" spans="1:10" ht="15">
      <c r="A14" s="57" t="s">
        <v>580</v>
      </c>
      <c r="B14" s="47" t="str">
        <f t="shared" si="0"/>
        <v>Tom Keane</v>
      </c>
      <c r="C14" s="48"/>
      <c r="D14" s="48">
        <v>26</v>
      </c>
      <c r="E14" s="48">
        <v>56</v>
      </c>
      <c r="F14" s="48" t="s">
        <v>552</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552</v>
      </c>
      <c r="G15" s="48"/>
      <c r="H15" s="50" t="str">
        <f>IF($B15="","",IF($J15="X",B15,CONCATENATE(VLOOKUP(B15,Competitors!$A$2:$I$650,3,FALSE)," ",VLOOKUP(B15,Competitors!$A$2:$I$650,2,FALSE))))</f>
        <v>Natalie Harris (Ratae)</v>
      </c>
      <c r="I15" s="51">
        <f t="shared" si="1"/>
        <v>1.9895833333333335E-2</v>
      </c>
      <c r="J15" t="str">
        <f t="shared" si="2"/>
        <v>X</v>
      </c>
    </row>
    <row r="16" spans="1:10" ht="15">
      <c r="A16" s="57" t="s">
        <v>581</v>
      </c>
      <c r="B16" s="47">
        <f t="shared" si="0"/>
        <v>1423</v>
      </c>
      <c r="C16" s="48"/>
      <c r="D16" s="48">
        <v>29</v>
      </c>
      <c r="E16" s="48">
        <v>0</v>
      </c>
      <c r="F16" s="48" t="s">
        <v>552</v>
      </c>
      <c r="G16" s="48"/>
      <c r="H16" s="50" t="str">
        <f>IF($B16="","",IF($J16="X",B16,CONCATENATE(VLOOKUP(B16,Competitors!$A$2:$I$650,3,FALSE)," ",VLOOKUP(B16,Competitors!$A$2:$I$650,2,FALSE))))</f>
        <v>Mark Vowles</v>
      </c>
      <c r="I16" s="51">
        <f t="shared" si="1"/>
        <v>2.013888888888889E-2</v>
      </c>
      <c r="J16" t="str">
        <f t="shared" si="2"/>
        <v/>
      </c>
    </row>
    <row r="17" spans="1:10" ht="15">
      <c r="A17" s="57" t="s">
        <v>582</v>
      </c>
      <c r="B17" s="47">
        <f t="shared" si="0"/>
        <v>1422</v>
      </c>
      <c r="C17" s="48"/>
      <c r="D17" s="48"/>
      <c r="E17" s="48"/>
      <c r="F17" s="48" t="s">
        <v>552</v>
      </c>
      <c r="G17" s="48" t="s">
        <v>554</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552</v>
      </c>
      <c r="G19" s="48" t="s">
        <v>576</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552</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552</v>
      </c>
      <c r="G22" s="48" t="s">
        <v>554</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552</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552</v>
      </c>
      <c r="G30" s="48"/>
      <c r="H30" s="50" t="str">
        <f>IF($B30="","",IF($J30="X",B30,CONCATENATE(VLOOKUP(B30,Competitors!$A$2:$I$650,3,FALSE)," ",VLOOKUP(B30,Competitors!$A$2:$I$650,2,FALSE))))</f>
        <v>Brian Lincoln (Ratae)</v>
      </c>
      <c r="I30" s="51">
        <f t="shared" si="1"/>
        <v>2.0266203703703703E-2</v>
      </c>
      <c r="J30" t="str">
        <f t="shared" si="2"/>
        <v>X</v>
      </c>
    </row>
    <row r="31" spans="1:10" ht="15">
      <c r="A31" s="57" t="s">
        <v>536</v>
      </c>
      <c r="B31" s="47" t="str">
        <f t="shared" si="0"/>
        <v>Hudson Hendry</v>
      </c>
      <c r="C31" s="48"/>
      <c r="D31" s="48"/>
      <c r="E31" s="48"/>
      <c r="F31" s="48" t="s">
        <v>552</v>
      </c>
      <c r="G31" s="48" t="s">
        <v>554</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552</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552</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552</v>
      </c>
      <c r="G36" s="48"/>
      <c r="H36" s="50" t="str">
        <f>IF($B36="","",IF($J36="X",B36,CONCATENATE(VLOOKUP(B36,Competitors!$A$2:$I$650,3,FALSE)," ",VLOOKUP(B36,Competitors!$A$2:$I$650,2,FALSE))))</f>
        <v>Jamie Kershaw</v>
      </c>
      <c r="I36" s="51">
        <f t="shared" si="1"/>
        <v>1.6087962962962964E-2</v>
      </c>
      <c r="J36" t="str">
        <f t="shared" si="2"/>
        <v/>
      </c>
    </row>
    <row r="37" spans="1:10" ht="15">
      <c r="A37" s="57" t="s">
        <v>535</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552</v>
      </c>
      <c r="G38" s="48"/>
      <c r="H38" s="50" t="str">
        <f>IF($B38="","",IF($J38="X",B38,CONCATENATE(VLOOKUP(B38,Competitors!$A$2:$I$650,3,FALSE)," ",VLOOKUP(B38,Competitors!$A$2:$I$650,2,FALSE))))</f>
        <v>Nik Kershaw</v>
      </c>
      <c r="I38" s="51">
        <f t="shared" si="1"/>
        <v>1.7025462962962964E-2</v>
      </c>
      <c r="J38" t="str">
        <f t="shared" si="2"/>
        <v/>
      </c>
    </row>
    <row r="39" spans="1:10" ht="15">
      <c r="A39" s="62" t="s">
        <v>583</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531</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v>31</v>
      </c>
      <c r="E2" s="48">
        <v>8</v>
      </c>
      <c r="F2" s="48" t="s">
        <v>552</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552</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552</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552</v>
      </c>
      <c r="G5" s="48"/>
      <c r="H5" s="50" t="str">
        <f>IF($B5="","",IF($J5="X",B5,CONCATENATE(VLOOKUP(B5,Competitors!$A$2:$I$650,3,FALSE)," ",VLOOKUP(B5,Competitors!$A$2:$I$650,2,FALSE))))</f>
        <v>Alex Hardwicke</v>
      </c>
      <c r="I5" s="51">
        <f t="shared" si="1"/>
        <v>1.9490740740740739E-2</v>
      </c>
      <c r="J5" t="str">
        <f t="shared" si="2"/>
        <v/>
      </c>
    </row>
    <row r="6" spans="1:10" ht="15">
      <c r="A6" s="46" t="s">
        <v>584</v>
      </c>
      <c r="B6" s="47">
        <f t="shared" si="0"/>
        <v>935</v>
      </c>
      <c r="C6" s="48"/>
      <c r="D6" s="48">
        <v>34</v>
      </c>
      <c r="E6" s="48">
        <v>39</v>
      </c>
      <c r="F6" s="48" t="s">
        <v>552</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552</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552</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552</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552</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552</v>
      </c>
      <c r="G12" s="48"/>
      <c r="H12" s="50" t="str">
        <f>IF($B12="","",IF($J12="X",B12,CONCATENATE(VLOOKUP(B12,Competitors!$A$2:$I$650,3,FALSE)," ",VLOOKUP(B12,Competitors!$A$2:$I$650,2,FALSE))))</f>
        <v>Daniel McDonnell</v>
      </c>
      <c r="I12" s="51">
        <f t="shared" si="1"/>
        <v>1.6053240740740739E-2</v>
      </c>
      <c r="J12" t="str">
        <f t="shared" si="2"/>
        <v/>
      </c>
    </row>
    <row r="13" spans="1:10" ht="15">
      <c r="A13" s="46" t="s">
        <v>585</v>
      </c>
      <c r="B13" s="47">
        <f t="shared" si="0"/>
        <v>741</v>
      </c>
      <c r="C13" s="48"/>
      <c r="D13" s="48">
        <v>23</v>
      </c>
      <c r="E13" s="48">
        <v>10</v>
      </c>
      <c r="F13" s="48" t="s">
        <v>552</v>
      </c>
      <c r="G13" s="48"/>
      <c r="H13" s="50" t="str">
        <f>IF($B13="","",IF($J13="X",B13,CONCATENATE(VLOOKUP(B13,Competitors!$A$2:$I$650,3,FALSE)," ",VLOOKUP(B13,Competitors!$A$2:$I$650,2,FALSE))))</f>
        <v>Rob Moore</v>
      </c>
      <c r="I13" s="51">
        <f t="shared" si="1"/>
        <v>1.6087962962962964E-2</v>
      </c>
      <c r="J13" t="str">
        <f t="shared" si="2"/>
        <v/>
      </c>
    </row>
    <row r="14" spans="1:10" ht="15">
      <c r="A14" s="46" t="s">
        <v>580</v>
      </c>
      <c r="B14" s="47" t="str">
        <f t="shared" si="0"/>
        <v>Tom Keane</v>
      </c>
      <c r="C14" s="48"/>
      <c r="D14" s="48">
        <v>27</v>
      </c>
      <c r="E14" s="48">
        <v>32</v>
      </c>
      <c r="F14" s="48" t="s">
        <v>552</v>
      </c>
      <c r="G14" s="48"/>
      <c r="H14" s="50" t="str">
        <f>IF($B14="","",IF($J14="X",B14,CONCATENATE(VLOOKUP(B14,Competitors!$A$2:$I$650,3,FALSE)," ",VLOOKUP(B14,Competitors!$A$2:$I$650,2,FALSE))))</f>
        <v>Tom Keane</v>
      </c>
      <c r="I14" s="51">
        <f t="shared" si="1"/>
        <v>1.9120370370370371E-2</v>
      </c>
      <c r="J14" t="str">
        <f t="shared" si="2"/>
        <v>X</v>
      </c>
    </row>
    <row r="15" spans="1:10" ht="15">
      <c r="A15" s="46" t="s">
        <v>556</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574</v>
      </c>
      <c r="B16" s="47" t="str">
        <f t="shared" si="0"/>
        <v>Laura Davison</v>
      </c>
      <c r="C16" s="48"/>
      <c r="D16" s="48">
        <v>27</v>
      </c>
      <c r="E16" s="48">
        <v>48</v>
      </c>
      <c r="F16" s="48" t="s">
        <v>552</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586</v>
      </c>
      <c r="B18" s="47">
        <f t="shared" si="0"/>
        <v>1048</v>
      </c>
      <c r="C18" s="48"/>
      <c r="D18" s="48">
        <v>29</v>
      </c>
      <c r="E18" s="48">
        <v>34</v>
      </c>
      <c r="F18" s="48" t="s">
        <v>552</v>
      </c>
      <c r="G18" s="48"/>
      <c r="H18" s="50" t="str">
        <f>IF($B18="","",IF($J18="X",B18,CONCATENATE(VLOOKUP(B18,Competitors!$A$2:$I$650,3,FALSE)," ",VLOOKUP(B18,Competitors!$A$2:$I$650,2,FALSE))))</f>
        <v>Andy Smith</v>
      </c>
      <c r="I18" s="51">
        <f t="shared" si="1"/>
        <v>2.0532407407407409E-2</v>
      </c>
      <c r="J18" t="str">
        <f t="shared" si="2"/>
        <v/>
      </c>
    </row>
    <row r="19" spans="1:10" ht="15">
      <c r="A19" s="61" t="s">
        <v>587</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552</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588</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552</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552</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552</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552</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589</v>
      </c>
      <c r="B34" s="47">
        <f t="shared" ref="B34:B97" si="3">IF(A34="","",_xlfn.XLOOKUP(A34,ClubNames,ClubNumbers,_xlfn.XLOOKUP(A34,RoundRobinRiderNames,RoundRobinRiderDecoratedNames,A34)))</f>
        <v>1370</v>
      </c>
      <c r="C34" s="48"/>
      <c r="D34" s="48">
        <v>25</v>
      </c>
      <c r="E34" s="48">
        <v>19</v>
      </c>
      <c r="F34" s="48" t="s">
        <v>552</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552</v>
      </c>
      <c r="G35" s="48"/>
      <c r="H35" s="50" t="str">
        <f>IF($B35="","",IF($J35="X",B35,CONCATENATE(VLOOKUP(B35,Competitors!$A$2:$I$650,3,FALSE)," ",VLOOKUP(B35,Competitors!$A$2:$I$650,2,FALSE))))</f>
        <v>John Abbott</v>
      </c>
      <c r="I35" s="51">
        <f t="shared" si="1"/>
        <v>1.7141203703703704E-2</v>
      </c>
      <c r="J35" t="str">
        <f t="shared" si="2"/>
        <v/>
      </c>
    </row>
    <row r="36" spans="1:10" ht="15">
      <c r="A36" s="46" t="s">
        <v>590</v>
      </c>
      <c r="B36" s="47" t="str">
        <f t="shared" si="3"/>
        <v>Brian Harman</v>
      </c>
      <c r="C36" s="48"/>
      <c r="D36" s="48">
        <v>26</v>
      </c>
      <c r="E36" s="48">
        <v>19</v>
      </c>
      <c r="F36" s="48" t="s">
        <v>552</v>
      </c>
      <c r="G36" s="48"/>
      <c r="H36" s="50" t="str">
        <f>IF($B36="","",IF($J36="X",B36,CONCATENATE(VLOOKUP(B36,Competitors!$A$2:$I$650,3,FALSE)," ",VLOOKUP(B36,Competitors!$A$2:$I$650,2,FALSE))))</f>
        <v>Brian Harman</v>
      </c>
      <c r="I36" s="51">
        <f t="shared" si="1"/>
        <v>1.8275462962962962E-2</v>
      </c>
      <c r="J36" t="str">
        <f t="shared" si="2"/>
        <v>X</v>
      </c>
    </row>
    <row r="37" spans="1:10" ht="15">
      <c r="A37" s="46" t="s">
        <v>591</v>
      </c>
      <c r="B37" s="47" t="str">
        <f t="shared" si="3"/>
        <v>Jonathan Clarke</v>
      </c>
      <c r="C37" s="48"/>
      <c r="D37" s="48"/>
      <c r="E37" s="48"/>
      <c r="F37" s="48"/>
      <c r="G37" s="48" t="s">
        <v>561</v>
      </c>
      <c r="H37" s="50" t="str">
        <f>IF($B37="","",IF($J37="X",B37,CONCATENATE(VLOOKUP(B37,Competitors!$A$2:$I$650,3,FALSE)," ",VLOOKUP(B37,Competitors!$A$2:$I$650,2,FALSE))))</f>
        <v>Jonathan Clarke</v>
      </c>
      <c r="I37" s="51">
        <f t="shared" si="1"/>
        <v>0</v>
      </c>
      <c r="J37" t="str">
        <f t="shared" si="2"/>
        <v>X</v>
      </c>
    </row>
    <row r="38" spans="1:10" ht="15">
      <c r="A38" s="46" t="s">
        <v>535</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583</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536</v>
      </c>
      <c r="B48" s="47" t="str">
        <f t="shared" si="3"/>
        <v>Hudson Hendry</v>
      </c>
      <c r="C48" s="48"/>
      <c r="D48" s="48">
        <v>20</v>
      </c>
      <c r="E48" s="48">
        <v>22</v>
      </c>
      <c r="F48" s="48" t="s">
        <v>552</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552</v>
      </c>
      <c r="G49" s="48"/>
      <c r="H49" s="50" t="str">
        <f>IF($B49="","",IF($J49="X",B49,CONCATENATE(VLOOKUP(B49,Competitors!$A$2:$I$650,3,FALSE)," ",VLOOKUP(B49,Competitors!$A$2:$I$650,2,FALSE))))</f>
        <v>Paul Eden (Ratae)</v>
      </c>
      <c r="I49" s="51">
        <f t="shared" si="4"/>
        <v>2.0810185185185185E-2</v>
      </c>
      <c r="J49" t="str">
        <f t="shared" si="2"/>
        <v>X</v>
      </c>
    </row>
    <row r="50" spans="1:10" ht="15">
      <c r="A50" s="46" t="s">
        <v>593</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592</v>
      </c>
      <c r="B51" s="47">
        <f t="shared" si="3"/>
        <v>1347</v>
      </c>
      <c r="C51" s="48"/>
      <c r="D51" s="48">
        <v>26</v>
      </c>
      <c r="E51" s="48">
        <v>5</v>
      </c>
      <c r="F51" s="48" t="s">
        <v>552</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zoomScaleNormal="100" workbookViewId="0">
      <selection activeCell="G26" sqref="G26"/>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f t="shared" ref="B2:B33" si="0">IF(A2="","",_xlfn.XLOOKUP(A2,ClubNames,ClubNumbers,_xlfn.XLOOKUP(A2,RoundRobinRiderNames,RoundRobinRiderDecoratedNames,A2)))</f>
        <v>1379</v>
      </c>
      <c r="C2" s="48"/>
      <c r="D2" s="49">
        <v>76</v>
      </c>
      <c r="E2" s="49">
        <v>10</v>
      </c>
      <c r="F2" s="49" t="s">
        <v>552</v>
      </c>
      <c r="G2" s="49"/>
      <c r="H2" s="50" t="str">
        <f>IF($B2="","",IF($J2="X",B2,CONCATENATE(VLOOKUP(B2,Competitors!$A$2:$I$650,3, FALSE)," ",VLOOKUP(B2,Competitors!$A$2:$I$650,2,FALSE))))</f>
        <v>Michaela Latham</v>
      </c>
      <c r="I2" s="51">
        <f t="shared" ref="I2:I65" si="1">IF(LEFT($F2,1)="D",UPPER($F2),(C2*3600+D2*60+E2)/86400)</f>
        <v>5.289351851851852E-2</v>
      </c>
      <c r="J2" t="str">
        <f t="shared" ref="J2:J65" si="2">IF(OR(B2="",ISNUMBER(B2)),"","X")</f>
        <v/>
      </c>
    </row>
    <row r="3" spans="1:10" ht="15">
      <c r="A3" s="46" t="s">
        <v>444</v>
      </c>
      <c r="B3" s="47">
        <f t="shared" si="0"/>
        <v>1193</v>
      </c>
      <c r="C3" s="48"/>
      <c r="D3" s="49">
        <v>72</v>
      </c>
      <c r="E3" s="49">
        <v>25</v>
      </c>
      <c r="F3" s="49" t="s">
        <v>552</v>
      </c>
      <c r="G3" s="49"/>
      <c r="H3" s="50" t="str">
        <f>IF($B3="","",IF($J3="X",B3,CONCATENATE(VLOOKUP(B3,Competitors!$A$2:$I$650,3,FALSE)," ",VLOOKUP(B3,Competitors!$A$2:$I$650,2,FALSE))))</f>
        <v>Richard Hardwicke</v>
      </c>
      <c r="I3" s="51">
        <f t="shared" si="1"/>
        <v>5.0289351851851849E-2</v>
      </c>
      <c r="J3" t="str">
        <f t="shared" si="2"/>
        <v/>
      </c>
    </row>
    <row r="4" spans="1:10" ht="15">
      <c r="A4" s="46" t="s">
        <v>531</v>
      </c>
      <c r="B4" s="47" t="str">
        <f t="shared" si="0"/>
        <v>Lynne Wilkinson-Scofield (RFW)</v>
      </c>
      <c r="C4" s="48"/>
      <c r="D4" s="49">
        <v>77</v>
      </c>
      <c r="E4" s="49">
        <v>9</v>
      </c>
      <c r="F4" s="49"/>
      <c r="G4" s="49"/>
      <c r="H4" s="50" t="str">
        <f>IF($B4="","",IF($J4="X",B4,CONCATENATE(VLOOKUP(B4,Competitors!$A$2:$I$650,3,FALSE)," ",VLOOKUP(B4,Competitors!$A$2:$I$650,2,FALSE))))</f>
        <v>Lynne Wilkinson-Scofield (RFW)</v>
      </c>
      <c r="I4" s="51">
        <f t="shared" si="1"/>
        <v>5.3576388888888889E-2</v>
      </c>
      <c r="J4" t="str">
        <f t="shared" si="2"/>
        <v>X</v>
      </c>
    </row>
    <row r="5" spans="1:10" ht="15">
      <c r="A5" s="46" t="s">
        <v>448</v>
      </c>
      <c r="B5" s="47">
        <f t="shared" si="0"/>
        <v>1194</v>
      </c>
      <c r="C5" s="48"/>
      <c r="D5" s="49">
        <v>79</v>
      </c>
      <c r="E5" s="49">
        <v>11</v>
      </c>
      <c r="F5" s="49" t="s">
        <v>552</v>
      </c>
      <c r="G5" s="49"/>
      <c r="H5" s="50" t="str">
        <f>IF($B5="","",IF($J5="X",B5,CONCATENATE(VLOOKUP(B5,Competitors!$A$2:$I$650,3,FALSE)," ",VLOOKUP(B5,Competitors!$A$2:$I$650,2,FALSE))))</f>
        <v>Alex Hardwicke</v>
      </c>
      <c r="I5" s="51">
        <f t="shared" si="1"/>
        <v>5.4988425925925927E-2</v>
      </c>
      <c r="J5" t="str">
        <f t="shared" si="2"/>
        <v/>
      </c>
    </row>
    <row r="6" spans="1:10" ht="15">
      <c r="A6" s="46" t="s">
        <v>522</v>
      </c>
      <c r="B6" s="47" t="str">
        <f t="shared" si="0"/>
        <v>Adam Wells (RFW)</v>
      </c>
      <c r="C6" s="48"/>
      <c r="D6" s="49">
        <v>63</v>
      </c>
      <c r="E6" s="49">
        <v>57</v>
      </c>
      <c r="F6" s="49"/>
      <c r="G6" s="49"/>
      <c r="H6" s="50" t="str">
        <f>IF($B6="","",IF($J6="X",B6,CONCATENATE(VLOOKUP(B6,Competitors!$A$2:$I$650,3,FALSE)," ",VLOOKUP(B6,Competitors!$A$2:$I$650,2,FALSE))))</f>
        <v>Adam Wells (RFW)</v>
      </c>
      <c r="I6" s="51">
        <f t="shared" si="1"/>
        <v>4.4409722222222225E-2</v>
      </c>
      <c r="J6" t="str">
        <f t="shared" si="2"/>
        <v>X</v>
      </c>
    </row>
    <row r="7" spans="1:10" ht="15">
      <c r="A7" s="46" t="s">
        <v>419</v>
      </c>
      <c r="B7" s="47">
        <f t="shared" si="0"/>
        <v>1355</v>
      </c>
      <c r="C7" s="48"/>
      <c r="D7" s="49">
        <v>64</v>
      </c>
      <c r="E7" s="49">
        <v>46</v>
      </c>
      <c r="F7" s="49" t="s">
        <v>552</v>
      </c>
      <c r="G7" s="49"/>
      <c r="H7" s="50" t="str">
        <f>IF($B7="","",IF($J7="X",B7,CONCATENATE(VLOOKUP(B7,Competitors!$A$2:$I$650,3,FALSE)," ",VLOOKUP(B7,Competitors!$A$2:$I$650,2,FALSE))))</f>
        <v>Aubrey Elmer</v>
      </c>
      <c r="I7" s="51">
        <f t="shared" si="1"/>
        <v>4.4976851851851851E-2</v>
      </c>
      <c r="J7" t="str">
        <f t="shared" si="2"/>
        <v/>
      </c>
    </row>
    <row r="8" spans="1:10" ht="15">
      <c r="A8" s="46" t="s">
        <v>438</v>
      </c>
      <c r="B8" s="47">
        <f t="shared" si="0"/>
        <v>1195</v>
      </c>
      <c r="C8" s="48"/>
      <c r="D8" s="49">
        <v>71</v>
      </c>
      <c r="E8" s="49">
        <v>45</v>
      </c>
      <c r="F8" s="49" t="s">
        <v>552</v>
      </c>
      <c r="G8" s="49"/>
      <c r="H8" s="50" t="str">
        <f>IF($B8="","",IF($J8="X",B8,CONCATENATE(VLOOKUP(B8,Competitors!$A$2:$I$650,3,FALSE)," ",VLOOKUP(B8,Competitors!$A$2:$I$650,2,FALSE))))</f>
        <v>Charlie Hardwicke</v>
      </c>
      <c r="I8" s="51">
        <f t="shared" si="1"/>
        <v>4.9826388888888892E-2</v>
      </c>
      <c r="J8" t="str">
        <f t="shared" si="2"/>
        <v/>
      </c>
    </row>
    <row r="9" spans="1:10" ht="15">
      <c r="A9" s="46" t="s">
        <v>597</v>
      </c>
      <c r="B9" s="47" t="str">
        <f t="shared" si="0"/>
        <v>Steve Wickham (RFW)</v>
      </c>
      <c r="C9" s="48"/>
      <c r="D9" s="49">
        <v>73</v>
      </c>
      <c r="E9" s="49">
        <v>45</v>
      </c>
      <c r="F9" s="49" t="s">
        <v>605</v>
      </c>
      <c r="G9" s="49"/>
      <c r="H9" s="50" t="str">
        <f>IF($B9="","",IF($J9="X",B9,CONCATENATE(VLOOKUP(B9,Competitors!$A$2:$I$650,3,FALSE)," ",VLOOKUP(B9,Competitors!$A$2:$I$650,2,FALSE))))</f>
        <v>Steve Wickham (RFW)</v>
      </c>
      <c r="I9" s="51">
        <f t="shared" si="1"/>
        <v>5.1215277777777776E-2</v>
      </c>
      <c r="J9" t="str">
        <f t="shared" si="2"/>
        <v>X</v>
      </c>
    </row>
    <row r="10" spans="1:10" ht="15">
      <c r="A10" s="46" t="s">
        <v>439</v>
      </c>
      <c r="B10" s="47">
        <f t="shared" si="0"/>
        <v>704</v>
      </c>
      <c r="C10" s="48"/>
      <c r="D10" s="49">
        <v>73</v>
      </c>
      <c r="E10" s="49">
        <v>50</v>
      </c>
      <c r="F10" s="49" t="s">
        <v>605</v>
      </c>
      <c r="G10" s="49"/>
      <c r="H10" s="50" t="str">
        <f>IF($B10="","",IF($J10="X",B10,CONCATENATE(VLOOKUP(B10,Competitors!$A$2:$I$650,3, FALSE)," ",VLOOKUP(B10,Competitors!$A$2:$I$650,2,FALSE))))</f>
        <v>Chris Dainty</v>
      </c>
      <c r="I10" s="51">
        <f t="shared" si="1"/>
        <v>5.1273148148148151E-2</v>
      </c>
      <c r="J10" t="str">
        <f t="shared" si="2"/>
        <v/>
      </c>
    </row>
    <row r="11" spans="1:10" ht="15">
      <c r="A11" s="46" t="s">
        <v>416</v>
      </c>
      <c r="B11" s="47">
        <f t="shared" si="0"/>
        <v>1161</v>
      </c>
      <c r="C11" s="48"/>
      <c r="D11" s="49">
        <v>63</v>
      </c>
      <c r="E11" s="49">
        <v>25</v>
      </c>
      <c r="F11" s="49"/>
      <c r="G11" s="49"/>
      <c r="H11" s="50" t="str">
        <f>IF($B11="","",IF($J11="X",B11,CONCATENATE(VLOOKUP(B11,Competitors!$A$2:$I$650,3,FALSE)," ",VLOOKUP(B11,Competitors!$A$2:$I$650,2,FALSE))))</f>
        <v>Maciej Suchocki</v>
      </c>
      <c r="I11" s="51">
        <f t="shared" si="1"/>
        <v>4.403935185185185E-2</v>
      </c>
      <c r="J11" t="str">
        <f t="shared" si="2"/>
        <v/>
      </c>
    </row>
    <row r="12" spans="1:10" ht="15">
      <c r="A12" s="46" t="s">
        <v>526</v>
      </c>
      <c r="B12" s="47" t="str">
        <f t="shared" si="0"/>
        <v>David Hill (RFW)</v>
      </c>
      <c r="C12" s="48"/>
      <c r="D12" s="49">
        <v>72</v>
      </c>
      <c r="E12" s="49">
        <v>32</v>
      </c>
      <c r="F12" s="49" t="s">
        <v>552</v>
      </c>
      <c r="G12" s="49"/>
      <c r="H12" s="50" t="str">
        <f>IF($B12="","",IF($J12="X",B12,CONCATENATE(VLOOKUP(B12,Competitors!$A$2:$I$650,3,FALSE)," ",VLOOKUP(B12,Competitors!$A$2:$I$650,2,FALSE))))</f>
        <v>David Hill (RFW)</v>
      </c>
      <c r="I12" s="51">
        <f t="shared" si="1"/>
        <v>5.0370370370370371E-2</v>
      </c>
      <c r="J12" t="str">
        <f t="shared" si="2"/>
        <v>X</v>
      </c>
    </row>
    <row r="13" spans="1:10" ht="15">
      <c r="A13" s="46" t="s">
        <v>440</v>
      </c>
      <c r="B13" s="47">
        <f t="shared" si="0"/>
        <v>23</v>
      </c>
      <c r="C13" s="48"/>
      <c r="D13" s="49">
        <v>76</v>
      </c>
      <c r="E13" s="49">
        <v>57</v>
      </c>
      <c r="F13" s="49"/>
      <c r="G13" s="49"/>
      <c r="H13" s="50" t="str">
        <f>IF($B13="","",IF($J13="X",B13,CONCATENATE(VLOOKUP(B13,Competitors!$A$2:$I$650,3,FALSE)," ",VLOOKUP(B13,Competitors!$A$2:$I$650,2,FALSE))))</f>
        <v>Chris Hyde</v>
      </c>
      <c r="I13" s="51">
        <f t="shared" si="1"/>
        <v>5.3437499999999999E-2</v>
      </c>
      <c r="J13" t="str">
        <f t="shared" si="2"/>
        <v/>
      </c>
    </row>
    <row r="14" spans="1:10" ht="15">
      <c r="A14" s="46" t="s">
        <v>596</v>
      </c>
      <c r="B14" s="47" t="str">
        <f t="shared" si="0"/>
        <v>Steve Coombs (RFW)</v>
      </c>
      <c r="C14" s="48"/>
      <c r="D14" s="49">
        <v>66</v>
      </c>
      <c r="E14" s="49">
        <v>18</v>
      </c>
      <c r="F14" s="49"/>
      <c r="G14" s="49"/>
      <c r="H14" s="50" t="str">
        <f>IF($B14="","",IF($J14="X",B14,CONCATENATE(VLOOKUP(B14,Competitors!$A$2:$I$650,3,FALSE)," ",VLOOKUP(B14,Competitors!$A$2:$I$650,2,FALSE))))</f>
        <v>Steve Coombs (RFW)</v>
      </c>
      <c r="I14" s="51">
        <f t="shared" si="1"/>
        <v>4.6041666666666668E-2</v>
      </c>
      <c r="J14" t="str">
        <f t="shared" si="2"/>
        <v>X</v>
      </c>
    </row>
    <row r="15" spans="1:10" ht="15">
      <c r="A15" s="46" t="s">
        <v>423</v>
      </c>
      <c r="B15" s="47">
        <f t="shared" si="0"/>
        <v>1407</v>
      </c>
      <c r="C15" s="48"/>
      <c r="D15" s="49">
        <v>64</v>
      </c>
      <c r="E15" s="49">
        <v>56</v>
      </c>
      <c r="F15" s="49" t="s">
        <v>552</v>
      </c>
      <c r="G15" s="49"/>
      <c r="H15" s="50" t="str">
        <f>IF($B15="","",IF($J15="X",B15,CONCATENATE(VLOOKUP(B15,Competitors!$A$2:$I$650,3,FALSE)," ",VLOOKUP(B15,Competitors!$A$2:$I$650,2,FALSE))))</f>
        <v>Colin Dobson</v>
      </c>
      <c r="I15" s="51">
        <f t="shared" si="1"/>
        <v>4.5092592592592594E-2</v>
      </c>
      <c r="J15" t="str">
        <f t="shared" si="2"/>
        <v/>
      </c>
    </row>
    <row r="16" spans="1:10" ht="15">
      <c r="A16" s="46" t="s">
        <v>430</v>
      </c>
      <c r="B16" s="47">
        <f t="shared" si="0"/>
        <v>1107</v>
      </c>
      <c r="C16" s="48"/>
      <c r="D16" s="49">
        <v>68</v>
      </c>
      <c r="E16" s="49">
        <v>1</v>
      </c>
      <c r="F16" s="49"/>
      <c r="G16" s="49"/>
      <c r="H16" s="50" t="str">
        <f>IF($B16="","",IF($J16="X",B16,CONCATENATE(VLOOKUP(B16,Competitors!$A$2:$I$650,3,FALSE)," ",VLOOKUP(B16,Competitors!$A$2:$I$650,2,FALSE))))</f>
        <v>Milly Pinnock</v>
      </c>
      <c r="I16" s="51">
        <f t="shared" si="1"/>
        <v>4.7233796296296295E-2</v>
      </c>
      <c r="J16" t="str">
        <f t="shared" si="2"/>
        <v/>
      </c>
    </row>
    <row r="17" spans="1:10" ht="15">
      <c r="A17" s="46" t="s">
        <v>595</v>
      </c>
      <c r="B17" s="47" t="str">
        <f t="shared" si="0"/>
        <v>Maria Cayford (KCC)</v>
      </c>
      <c r="C17" s="48"/>
      <c r="D17" s="49">
        <v>84</v>
      </c>
      <c r="E17" s="49">
        <v>21</v>
      </c>
      <c r="F17" s="49"/>
      <c r="G17" s="49"/>
      <c r="H17" s="50" t="str">
        <f>IF($B17="","",IF($J17="X",B17,CONCATENATE(VLOOKUP(B17,Competitors!$A$2:$I$650,3,FALSE)," ",VLOOKUP(B17,Competitors!$A$2:$I$650,2,FALSE))))</f>
        <v>Maria Cayford (KCC)</v>
      </c>
      <c r="I17" s="51">
        <f t="shared" si="1"/>
        <v>5.8576388888888886E-2</v>
      </c>
      <c r="J17" t="str">
        <f t="shared" si="2"/>
        <v>X</v>
      </c>
    </row>
    <row r="18" spans="1:10" ht="15">
      <c r="A18" s="46" t="s">
        <v>534</v>
      </c>
      <c r="B18" s="47" t="str">
        <f t="shared" si="0"/>
        <v>Paul Ryan (RFW)</v>
      </c>
      <c r="C18" s="48"/>
      <c r="D18" s="49">
        <v>70</v>
      </c>
      <c r="E18" s="49">
        <v>45</v>
      </c>
      <c r="F18" s="49" t="s">
        <v>552</v>
      </c>
      <c r="G18" s="49"/>
      <c r="H18" s="50" t="str">
        <f>IF($B18="","",IF($J18="X",B18,CONCATENATE(VLOOKUP(B18,Competitors!$A$2:$I$650,3,FALSE)," ",VLOOKUP(B18,Competitors!$A$2:$I$650,2,FALSE))))</f>
        <v>Paul Ryan (RFW)</v>
      </c>
      <c r="I18" s="51">
        <f t="shared" si="1"/>
        <v>4.9131944444444443E-2</v>
      </c>
      <c r="J18" t="str">
        <f t="shared" si="2"/>
        <v>X</v>
      </c>
    </row>
    <row r="19" spans="1:10" ht="15">
      <c r="A19" s="46" t="s">
        <v>436</v>
      </c>
      <c r="B19" s="47">
        <f t="shared" si="0"/>
        <v>846</v>
      </c>
      <c r="C19" s="48"/>
      <c r="D19" s="49"/>
      <c r="E19" s="49"/>
      <c r="F19" s="49"/>
      <c r="G19" s="49" t="s">
        <v>561</v>
      </c>
      <c r="H19" s="50" t="str">
        <f>IF($B19="","",IF($J19="X",B19,CONCATENATE(VLOOKUP(B19,Competitors!$A$2:$I$650,3,FALSE)," ",VLOOKUP(B19,Competitors!$A$2:$I$650,2,FALSE))))</f>
        <v>Roger Kockelbergh</v>
      </c>
      <c r="I19" s="51">
        <f t="shared" si="1"/>
        <v>0</v>
      </c>
      <c r="J19" t="str">
        <f t="shared" si="2"/>
        <v/>
      </c>
    </row>
    <row r="20" spans="1:10" ht="15">
      <c r="A20" s="46" t="s">
        <v>600</v>
      </c>
      <c r="B20" s="47" t="str">
        <f t="shared" si="0"/>
        <v>Laurence Noble (RFW)</v>
      </c>
      <c r="C20" s="48"/>
      <c r="D20" s="49">
        <v>67</v>
      </c>
      <c r="E20" s="49">
        <v>50</v>
      </c>
      <c r="F20" s="49"/>
      <c r="G20" s="49"/>
      <c r="H20" s="50" t="str">
        <f>IF($B20="","",IF($J20="X",B20,CONCATENATE(VLOOKUP(B20,Competitors!$A$2:$I$650,3,FALSE)," ",VLOOKUP(B20,Competitors!$A$2:$I$650,2,FALSE))))</f>
        <v>Laurence Noble (RFW)</v>
      </c>
      <c r="I20" s="51">
        <f t="shared" si="1"/>
        <v>4.7106481481481478E-2</v>
      </c>
      <c r="J20" t="str">
        <f t="shared" si="2"/>
        <v>X</v>
      </c>
    </row>
    <row r="21" spans="1:10" ht="15">
      <c r="A21" s="46" t="s">
        <v>414</v>
      </c>
      <c r="B21" s="47">
        <f t="shared" si="0"/>
        <v>989</v>
      </c>
      <c r="C21" s="48"/>
      <c r="D21" s="49">
        <v>73</v>
      </c>
      <c r="E21" s="49">
        <v>6</v>
      </c>
      <c r="F21" s="49" t="s">
        <v>552</v>
      </c>
      <c r="G21" s="49"/>
      <c r="H21" s="50" t="str">
        <f>IF($B21="","",IF($J21="X",B21,CONCATENATE(VLOOKUP(B21,Competitors!$A$2:$I$650,3,FALSE)," ",VLOOKUP(B21,Competitors!$A$2:$I$650,2,FALSE))))</f>
        <v>Jason Williams</v>
      </c>
      <c r="I21" s="51">
        <f t="shared" si="1"/>
        <v>5.0763888888888886E-2</v>
      </c>
      <c r="J21" t="str">
        <f t="shared" si="2"/>
        <v/>
      </c>
    </row>
    <row r="22" spans="1:10" ht="15">
      <c r="A22" s="46" t="s">
        <v>594</v>
      </c>
      <c r="B22" s="47" t="str">
        <f t="shared" si="0"/>
        <v>Graeme Hall (RFW)</v>
      </c>
      <c r="C22" s="48"/>
      <c r="D22" s="49">
        <v>61</v>
      </c>
      <c r="E22" s="49">
        <v>43</v>
      </c>
      <c r="F22" s="49"/>
      <c r="G22" s="49"/>
      <c r="H22" s="50" t="str">
        <f>IF($B22="","",IF($J22="X",B22,CONCATENATE(VLOOKUP(B22,Competitors!$A$2:$I$650,3,FALSE)," ",VLOOKUP(B22,Competitors!$A$2:$I$650,2,FALSE))))</f>
        <v>Graeme Hall (RFW)</v>
      </c>
      <c r="I22" s="51">
        <f t="shared" si="1"/>
        <v>4.2858796296296298E-2</v>
      </c>
      <c r="J22" t="str">
        <f t="shared" si="2"/>
        <v>X</v>
      </c>
    </row>
    <row r="23" spans="1:10" ht="15">
      <c r="A23" s="46" t="s">
        <v>433</v>
      </c>
      <c r="B23" s="47">
        <f t="shared" si="0"/>
        <v>1112</v>
      </c>
      <c r="C23" s="48"/>
      <c r="D23" s="49"/>
      <c r="E23" s="49"/>
      <c r="F23" s="49"/>
      <c r="G23" s="49" t="s">
        <v>561</v>
      </c>
      <c r="H23" s="50" t="str">
        <f>IF($B23="","",IF($J23="X",B23,CONCATENATE(VLOOKUP(B23,Competitors!$A$2:$I$650,3,FALSE)," ",VLOOKUP(B23,Competitors!$A$2:$I$650,2,FALSE))))</f>
        <v>Gary Ashwell</v>
      </c>
      <c r="I23" s="51">
        <f t="shared" si="1"/>
        <v>0</v>
      </c>
      <c r="J23" t="str">
        <f t="shared" si="2"/>
        <v/>
      </c>
    </row>
    <row r="24" spans="1:10" ht="15">
      <c r="A24" s="46" t="s">
        <v>583</v>
      </c>
      <c r="B24" s="47" t="str">
        <f t="shared" si="0"/>
        <v>Mike Deely (G Fox) (RFW)</v>
      </c>
      <c r="C24" s="48"/>
      <c r="D24" s="49"/>
      <c r="E24" s="49"/>
      <c r="F24" s="49"/>
      <c r="G24" s="49" t="s">
        <v>561</v>
      </c>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t="s">
        <v>561</v>
      </c>
      <c r="H25" s="50" t="str">
        <f>IF($B25="","",IF($J25="X",B25,CONCATENATE(VLOOKUP(B25,Competitors!$A$2:$I$650,3,FALSE)," ",VLOOKUP(B25,Competitors!$A$2:$I$650,2,FALSE))))</f>
        <v>Stuart Haycox</v>
      </c>
      <c r="I25" s="51">
        <f t="shared" si="1"/>
        <v>0</v>
      </c>
      <c r="J25" t="str">
        <f t="shared" si="2"/>
        <v/>
      </c>
    </row>
    <row r="26" spans="1:10" ht="15">
      <c r="A26" s="46" t="s">
        <v>532</v>
      </c>
      <c r="B26" s="47" t="str">
        <f t="shared" si="0"/>
        <v>Michael Carter (RFW)</v>
      </c>
      <c r="C26" s="48"/>
      <c r="D26" s="49">
        <v>67</v>
      </c>
      <c r="E26" s="49">
        <v>14</v>
      </c>
      <c r="F26" s="49" t="s">
        <v>552</v>
      </c>
      <c r="G26" s="49"/>
      <c r="H26" s="50" t="str">
        <f>IF($B26="","",IF($J26="X",B26,CONCATENATE(VLOOKUP(B26,Competitors!$A$2:$I$650,3,FALSE)," ",VLOOKUP(B26,Competitors!$A$2:$I$650,2,FALSE))))</f>
        <v>Michael Carter (RFW)</v>
      </c>
      <c r="I26" s="51">
        <f t="shared" si="1"/>
        <v>4.6689814814814816E-2</v>
      </c>
      <c r="J26" t="str">
        <f t="shared" si="2"/>
        <v>X</v>
      </c>
    </row>
    <row r="27" spans="1:10" ht="15">
      <c r="A27" s="46" t="s">
        <v>417</v>
      </c>
      <c r="B27" s="47">
        <f t="shared" si="0"/>
        <v>38</v>
      </c>
      <c r="C27" s="48"/>
      <c r="D27" s="49">
        <v>65</v>
      </c>
      <c r="E27" s="49">
        <v>32</v>
      </c>
      <c r="F27" s="49"/>
      <c r="G27" s="49"/>
      <c r="H27" s="50" t="str">
        <f>IF($B27="","",IF($J27="X",B27,CONCATENATE(VLOOKUP(B27,Competitors!$A$2:$I$650,3,FALSE)," ",VLOOKUP(B27,Competitors!$A$2:$I$650,2,FALSE))))</f>
        <v>Phil Rayner</v>
      </c>
      <c r="I27" s="51">
        <f t="shared" si="1"/>
        <v>4.5509259259259256E-2</v>
      </c>
      <c r="J27" t="str">
        <f t="shared" si="2"/>
        <v/>
      </c>
    </row>
    <row r="28" spans="1:10" ht="15">
      <c r="A28" s="46" t="s">
        <v>599</v>
      </c>
      <c r="B28" s="47" t="str">
        <f t="shared" si="0"/>
        <v>Alex Barrowman (RFW)</v>
      </c>
      <c r="C28" s="48"/>
      <c r="D28" s="49">
        <v>61</v>
      </c>
      <c r="E28" s="49">
        <v>34</v>
      </c>
      <c r="F28" s="49" t="s">
        <v>552</v>
      </c>
      <c r="G28" s="49"/>
      <c r="H28" s="50" t="str">
        <f>IF($B28="","",IF($J28="X",B28,CONCATENATE(VLOOKUP(B28,Competitors!$A$2:$I$650,3,FALSE)," ",VLOOKUP(B28,Competitors!$A$2:$I$650,2,FALSE))))</f>
        <v>Alex Barrowman (RFW)</v>
      </c>
      <c r="I28" s="51">
        <f t="shared" si="1"/>
        <v>4.2754629629629629E-2</v>
      </c>
      <c r="J28" t="str">
        <f t="shared" si="2"/>
        <v>X</v>
      </c>
    </row>
    <row r="29" spans="1:10" ht="15">
      <c r="A29" s="46" t="s">
        <v>415</v>
      </c>
      <c r="B29" s="47">
        <f t="shared" si="0"/>
        <v>699</v>
      </c>
      <c r="C29" s="48"/>
      <c r="D29" s="49">
        <v>64</v>
      </c>
      <c r="E29" s="49">
        <v>41</v>
      </c>
      <c r="F29" s="49"/>
      <c r="G29" s="49"/>
      <c r="H29" s="50" t="str">
        <f>IF($B29="","",IF($J29="X",B29,CONCATENATE(VLOOKUP(B29,Competitors!$A$2:$I$650,3,FALSE)," ",VLOOKUP(B29,Competitors!$A$2:$I$650,2,FALSE))))</f>
        <v>Jonathan Durnin</v>
      </c>
      <c r="I29" s="51">
        <f t="shared" si="1"/>
        <v>4.4918981481481483E-2</v>
      </c>
      <c r="J29" t="str">
        <f t="shared" si="2"/>
        <v/>
      </c>
    </row>
    <row r="30" spans="1:10" ht="15">
      <c r="A30" s="46" t="s">
        <v>487</v>
      </c>
      <c r="B30" s="47" t="str">
        <f t="shared" si="0"/>
        <v>Andy King (KCC)</v>
      </c>
      <c r="C30" s="48"/>
      <c r="D30" s="49">
        <v>63</v>
      </c>
      <c r="E30" s="49">
        <v>43</v>
      </c>
      <c r="F30" s="49" t="s">
        <v>552</v>
      </c>
      <c r="G30" s="49"/>
      <c r="H30" s="50" t="str">
        <f>IF($B30="","",IF($J30="X",B30,CONCATENATE(VLOOKUP(B30,Competitors!$A$2:$I$650,3,FALSE)," ",VLOOKUP(B30,Competitors!$A$2:$I$650,2,FALSE))))</f>
        <v>Andy King (KCC)</v>
      </c>
      <c r="I30" s="51">
        <f t="shared" si="1"/>
        <v>4.4247685185185189E-2</v>
      </c>
      <c r="J30" t="str">
        <f t="shared" si="2"/>
        <v>X</v>
      </c>
    </row>
    <row r="31" spans="1:10" ht="15">
      <c r="A31" s="46" t="s">
        <v>535</v>
      </c>
      <c r="B31" s="47" t="str">
        <f t="shared" si="0"/>
        <v>Phil Wilkinson (RFW)</v>
      </c>
      <c r="C31" s="48"/>
      <c r="D31" s="49">
        <v>64</v>
      </c>
      <c r="E31" s="49">
        <v>7</v>
      </c>
      <c r="F31" s="49"/>
      <c r="G31" s="49"/>
      <c r="H31" s="50" t="str">
        <f>IF($B31="","",IF($J31="X",B31,CONCATENATE(VLOOKUP(B31,Competitors!$A$2:$I$650,3,FALSE)," ",VLOOKUP(B31,Competitors!$A$2:$I$650,2,FALSE))))</f>
        <v>Phil Wilkinson (RFW)</v>
      </c>
      <c r="I31" s="51">
        <f t="shared" si="1"/>
        <v>4.4525462962962961E-2</v>
      </c>
      <c r="J31" t="str">
        <f t="shared" si="2"/>
        <v>X</v>
      </c>
    </row>
    <row r="32" spans="1:10" ht="15">
      <c r="A32" s="46" t="s">
        <v>529</v>
      </c>
      <c r="B32" s="47" t="str">
        <f t="shared" si="0"/>
        <v>Gregg Payne (RFW)</v>
      </c>
      <c r="C32" s="48"/>
      <c r="D32" s="49">
        <v>69</v>
      </c>
      <c r="E32" s="49">
        <v>20</v>
      </c>
      <c r="F32" s="49" t="s">
        <v>552</v>
      </c>
      <c r="G32" s="49"/>
      <c r="H32" s="50" t="str">
        <f>IF($B32="","",IF($J32="X",B32,CONCATENATE(VLOOKUP(B32,Competitors!$A$2:$I$650,3,FALSE)," ",VLOOKUP(B32,Competitors!$A$2:$I$650,2,FALSE))))</f>
        <v>Gregg Payne (RFW)</v>
      </c>
      <c r="I32" s="51">
        <f t="shared" si="1"/>
        <v>4.8148148148148148E-2</v>
      </c>
      <c r="J32" t="str">
        <f t="shared" si="2"/>
        <v>X</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12" sqref="A12"/>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601</v>
      </c>
      <c r="B2" s="47" t="str">
        <f t="shared" ref="B2:B33" si="0">IF(A2="","",_xlfn.XLOOKUP(A2,ClubNames,ClubNumbers,_xlfn.XLOOKUP(A2,RoundRobinRiderNames,RoundRobinRiderDecoratedNames,A2)))</f>
        <v>Mohammed Nurgat</v>
      </c>
      <c r="C2" s="48"/>
      <c r="D2" s="49"/>
      <c r="E2" s="49"/>
      <c r="F2" s="49" t="s">
        <v>552</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552</v>
      </c>
      <c r="G3" s="49"/>
      <c r="H3" s="50" t="str">
        <f>IF($B3="","",IF($J3="X",B3,CONCATENATE(VLOOKUP(B3,Competitors!$A$2:$I$650,3,FALSE)," ",VLOOKUP(B3,Competitors!$A$2:$I$650,2,FALSE))))</f>
        <v>Michaela Latham</v>
      </c>
      <c r="I3" s="51">
        <f t="shared" si="1"/>
        <v>0</v>
      </c>
      <c r="J3" t="str">
        <f t="shared" si="2"/>
        <v/>
      </c>
    </row>
    <row r="4" spans="1:10" ht="15">
      <c r="A4" s="46" t="s">
        <v>602</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603</v>
      </c>
      <c r="B5" s="47">
        <f t="shared" si="0"/>
        <v>1390</v>
      </c>
      <c r="C5" s="48"/>
      <c r="D5" s="49"/>
      <c r="E5" s="49"/>
      <c r="F5" s="49" t="s">
        <v>552</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552</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552</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604</v>
      </c>
      <c r="B10" s="47" t="str">
        <f t="shared" si="0"/>
        <v>Jahan Malik</v>
      </c>
      <c r="C10" s="48"/>
      <c r="D10" s="49"/>
      <c r="E10" s="49"/>
      <c r="F10" s="49" t="s">
        <v>552</v>
      </c>
      <c r="G10" s="49"/>
      <c r="H10" s="50" t="str">
        <f>IF($B10="","",IF($J10="X",B10,CONCATENATE(VLOOKUP(B10,Competitors!$A$2:$I$650,3, FALSE)," ",VLOOKUP(B10,Competitors!$A$2:$I$650,2,FALSE))))</f>
        <v>Jahan Malik</v>
      </c>
      <c r="I10" s="51">
        <f t="shared" si="1"/>
        <v>0</v>
      </c>
      <c r="J10" t="str">
        <f t="shared" si="2"/>
        <v>X</v>
      </c>
    </row>
    <row r="11" spans="1:10" ht="15">
      <c r="A11" s="46" t="s">
        <v>444</v>
      </c>
      <c r="B11" s="47">
        <f>IF(A11="","",_xlfn.XLOOKUP(A11,ClubNames,ClubNumbers,_xlfn.XLOOKUP(A11,RoundRobinRiderNames,RoundRobinRiderDecoratedNames,A11)))</f>
        <v>1193</v>
      </c>
      <c r="C11" s="48"/>
      <c r="D11" s="49"/>
      <c r="E11" s="49"/>
      <c r="F11" s="49" t="s">
        <v>552</v>
      </c>
      <c r="G11" s="49"/>
      <c r="H11" s="50" t="str">
        <f>IF($B11="","",IF($J11="X",B11,CONCATENATE(VLOOKUP(B11,Competitors!$A$2:$I$650,3,FALSE)," ",VLOOKUP(B11,Competitors!$A$2:$I$650,2,FALSE))))</f>
        <v>Richard Hardwicke</v>
      </c>
      <c r="I11" s="51">
        <f t="shared" si="1"/>
        <v>0</v>
      </c>
      <c r="J11" t="str">
        <f t="shared" si="2"/>
        <v/>
      </c>
    </row>
    <row r="12" spans="1:10" ht="15">
      <c r="A12" s="46" t="s">
        <v>423</v>
      </c>
      <c r="B12" s="47">
        <f t="shared" si="0"/>
        <v>1407</v>
      </c>
      <c r="C12" s="48"/>
      <c r="D12" s="49"/>
      <c r="E12" s="49"/>
      <c r="F12" s="49" t="s">
        <v>552</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552</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552</v>
      </c>
      <c r="G15" s="49"/>
      <c r="H15" s="50" t="str">
        <f>IF($B15="","",IF($J15="X",B15,CONCATENATE(VLOOKUP(B15,Competitors!$A$2:$I$650,3,FALSE)," ",VLOOKUP(B15,Competitors!$A$2:$I$650,2,FALSE))))</f>
        <v>Alex Hardwicke</v>
      </c>
      <c r="I15" s="51">
        <f t="shared" si="1"/>
        <v>0</v>
      </c>
      <c r="J15" t="str">
        <f t="shared" si="2"/>
        <v/>
      </c>
    </row>
    <row r="16" spans="1:10" ht="15">
      <c r="A16" s="46" t="s">
        <v>531</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2026-06-21T09:49:48Z</dcterms:modified>
</cp:coreProperties>
</file>